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EL dashboard" sheetId="2" state="visible" r:id="rId2"/>
    <sheet xmlns:r="http://schemas.openxmlformats.org/officeDocument/2006/relationships" name="EL institution summary" sheetId="3" state="visible" r:id="rId3"/>
    <sheet xmlns:r="http://schemas.openxmlformats.org/officeDocument/2006/relationships" name="EL scheme register" sheetId="4" state="visible" r:id="rId4"/>
    <sheet xmlns:r="http://schemas.openxmlformats.org/officeDocument/2006/relationships" name="EL exclusions &amp; gaps" sheetId="5" state="visible" r:id="rId5"/>
    <sheet xmlns:r="http://schemas.openxmlformats.org/officeDocument/2006/relationships" name="EL sources" sheetId="6" state="visible" r:id="rId6"/>
    <sheet xmlns:r="http://schemas.openxmlformats.org/officeDocument/2006/relationships" name="EL search log" sheetId="7" state="visible" r:id="rId7"/>
    <sheet xmlns:r="http://schemas.openxmlformats.org/officeDocument/2006/relationships" name="EL method &amp; QC" sheetId="8" state="visible" r:id="rId8"/>
    <sheet xmlns:r="http://schemas.openxmlformats.org/officeDocument/2006/relationships" name="Institution index" sheetId="9" state="visible" r:id="rId9"/>
    <sheet xmlns:r="http://schemas.openxmlformats.org/officeDocument/2006/relationships" name="Legacy schemes (v3)" sheetId="10" state="visible" r:id="rId10"/>
    <sheet xmlns:r="http://schemas.openxmlformats.org/officeDocument/2006/relationships" name="UK providers" sheetId="11" state="visible" r:id="rId11"/>
    <sheet xmlns:r="http://schemas.openxmlformats.org/officeDocument/2006/relationships" name="Revenue evidence" sheetId="12" state="visible" r:id="rId12"/>
  </sheets>
  <definedNames/>
  <calcPr calcId="124519" fullCalcOnLoad="1"/>
</workbook>
</file>

<file path=xl/styles.xml><?xml version="1.0" encoding="utf-8"?>
<styleSheet xmlns="http://schemas.openxmlformats.org/spreadsheetml/2006/main">
  <numFmts count="5">
    <numFmt numFmtId="164" formatCode="dd mmm yyyy"/>
    <numFmt numFmtId="165" formatCode="#,##0.000"/>
    <numFmt numFmtId="166" formatCode="0.0%"/>
    <numFmt numFmtId="167" formatCode="&quot;£&quot;#,##0.0&quot;m&quot;"/>
    <numFmt numFmtId="168" formatCode="#,##0.0"/>
  </numFmts>
  <fonts count="15">
    <font>
      <name val="Carlito"/>
      <sz val="11"/>
    </font>
    <font>
      <name val="Arial"/>
      <color rgb="FF172B4D"/>
      <sz val="10"/>
    </font>
    <font>
      <name val="Arial"/>
      <b val="1"/>
      <color rgb="FF203B60"/>
      <sz val="15"/>
    </font>
    <font>
      <name val="Arial"/>
      <color rgb="FF526277"/>
      <sz val="10"/>
    </font>
    <font>
      <name val="Arial"/>
      <b val="1"/>
      <color rgb="FFFFFFFF"/>
      <sz val="10"/>
    </font>
    <font>
      <name val="Arial"/>
      <b val="1"/>
      <color rgb="FF172B4D"/>
      <sz val="10"/>
    </font>
    <font>
      <name val="Arial"/>
      <b val="1"/>
      <color rgb="FF203B60"/>
      <sz val="13"/>
    </font>
    <font>
      <name val="Arial"/>
      <color rgb="FF172B4D"/>
      <sz val="10"/>
    </font>
    <font>
      <name val="Arial"/>
      <b val="1"/>
      <color rgb="FF203B60"/>
      <sz val="20"/>
    </font>
    <font>
      <name val="Arial"/>
      <color rgb="FF526277"/>
      <sz val="11"/>
    </font>
    <font>
      <name val="Arial"/>
      <b val="1"/>
      <color rgb="FF526277"/>
      <sz val="10"/>
    </font>
    <font>
      <name val="Arial"/>
      <b val="1"/>
      <color rgb="FF203B60"/>
      <sz val="25"/>
    </font>
    <font>
      <name val="Arial"/>
      <b val="1"/>
      <color rgb="FF203B60"/>
      <sz val="12"/>
    </font>
    <font>
      <name val="Arial"/>
      <b val="1"/>
      <color rgb="FF203B60"/>
      <sz val="18"/>
    </font>
    <font>
      <name val="Arial"/>
      <i val="1"/>
      <color rgb="FF526277"/>
      <sz val="8"/>
    </font>
  </fonts>
  <fills count="5">
    <fill>
      <patternFill/>
    </fill>
    <fill>
      <patternFill patternType="gray125"/>
    </fill>
    <fill>
      <patternFill patternType="solid">
        <fgColor rgb="FF203B60"/>
      </patternFill>
    </fill>
    <fill>
      <patternFill patternType="solid">
        <fgColor rgb="FFF3F6FA"/>
      </patternFill>
    </fill>
    <fill>
      <patternFill patternType="solid">
        <fgColor rgb="FFEEF2F7"/>
      </patternFill>
    </fill>
  </fills>
  <borders count="1">
    <border>
      <left/>
      <right/>
      <top/>
      <bottom/>
      <diagonal/>
    </border>
  </borders>
  <cellStyleXfs count="1">
    <xf numFmtId="0" fontId="0" fillId="0" borderId="0"/>
  </cellStyleXfs>
  <cellXfs count="89">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wrapText="1"/>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vertical="center" wrapText="1"/>
    </xf>
    <xf numFmtId="0" fontId="1" fillId="0" borderId="0" applyAlignment="1" pivotButton="0" quotePrefix="0" xfId="0">
      <alignment vertical="center" wrapText="1"/>
    </xf>
    <xf numFmtId="0" fontId="5" fillId="0" borderId="0" applyAlignment="1" pivotButton="0" quotePrefix="0" xfId="0">
      <alignment vertical="center" wrapText="1"/>
    </xf>
    <xf numFmtId="164" fontId="1" fillId="0" borderId="0" applyAlignment="1" pivotButton="0" quotePrefix="0" xfId="0">
      <alignment vertical="center" wrapText="1"/>
    </xf>
    <xf numFmtId="3" fontId="1" fillId="0" borderId="0" applyAlignment="1" pivotButton="0" quotePrefix="0" xfId="0">
      <alignment vertical="center" wrapText="1"/>
    </xf>
    <xf numFmtId="3" fontId="0" fillId="0" borderId="0" pivotButton="0" quotePrefix="0" xfId="0"/>
    <xf numFmtId="165" fontId="1" fillId="0" borderId="0" applyAlignment="1" pivotButton="0" quotePrefix="0" xfId="0">
      <alignment vertical="center" wrapText="1"/>
    </xf>
    <xf numFmtId="165" fontId="0" fillId="0" borderId="0" pivotButton="0" quotePrefix="0" xfId="0"/>
    <xf numFmtId="166" fontId="1" fillId="0" borderId="0" applyAlignment="1" pivotButton="0" quotePrefix="0" xfId="0">
      <alignment vertical="center" wrapText="1"/>
    </xf>
    <xf numFmtId="3" fontId="1" fillId="0" borderId="0" applyAlignment="1" pivotButton="0" quotePrefix="0" xfId="0">
      <alignment horizontal="right" vertical="center" wrapText="1"/>
    </xf>
    <xf numFmtId="165" fontId="1" fillId="0" borderId="0" applyAlignment="1" pivotButton="0" quotePrefix="0" xfId="0">
      <alignment horizontal="right" vertical="center" wrapText="1"/>
    </xf>
    <xf numFmtId="166" fontId="1" fillId="0" borderId="0" applyAlignment="1" pivotButton="0" quotePrefix="0" xfId="0">
      <alignment horizontal="right" vertical="center" wrapText="1"/>
    </xf>
    <xf numFmtId="3" fontId="0" fillId="0" borderId="0" applyAlignment="1" pivotButton="0" quotePrefix="0" xfId="0">
      <alignment horizontal="right"/>
    </xf>
    <xf numFmtId="165" fontId="0" fillId="0" borderId="0" applyAlignment="1" pivotButton="0" quotePrefix="0" xfId="0">
      <alignment horizontal="right"/>
    </xf>
    <xf numFmtId="0" fontId="0" fillId="0" borderId="0" applyAlignment="1" pivotButton="0" quotePrefix="0" xfId="0">
      <alignment horizontal="right"/>
    </xf>
    <xf numFmtId="0" fontId="5" fillId="0" borderId="0" pivotButton="0" quotePrefix="0" xfId="0"/>
    <xf numFmtId="3" fontId="5" fillId="0" borderId="0" applyAlignment="1" pivotButton="0" quotePrefix="0" xfId="0">
      <alignment horizontal="right"/>
    </xf>
    <xf numFmtId="165" fontId="5" fillId="0" borderId="0" applyAlignment="1" pivotButton="0" quotePrefix="0" xfId="0">
      <alignment horizontal="right"/>
    </xf>
    <xf numFmtId="0" fontId="5" fillId="0" borderId="0" applyAlignment="1" pivotButton="0" quotePrefix="0" xfId="0">
      <alignment horizontal="right"/>
    </xf>
    <xf numFmtId="1" fontId="1" fillId="0" borderId="0" applyAlignment="1" pivotButton="0" quotePrefix="0" xfId="0">
      <alignment vertical="center" wrapText="1"/>
    </xf>
    <xf numFmtId="0" fontId="6" fillId="0" borderId="0" pivotButton="0" quotePrefix="0" xfId="0"/>
    <xf numFmtId="0" fontId="6" fillId="0" borderId="0" applyAlignment="1" pivotButton="0" quotePrefix="0" xfId="0">
      <alignment wrapText="1"/>
    </xf>
    <xf numFmtId="0" fontId="5"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5" fillId="3" borderId="0" applyAlignment="1" pivotButton="0" quotePrefix="0" xfId="0">
      <alignment wrapText="1"/>
    </xf>
    <xf numFmtId="0" fontId="7" fillId="3" borderId="0" applyAlignment="1" pivotButton="0" quotePrefix="0" xfId="0">
      <alignment wrapText="1"/>
    </xf>
    <xf numFmtId="0" fontId="8"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center"/>
    </xf>
    <xf numFmtId="0" fontId="9" fillId="0" borderId="0" applyAlignment="1" pivotButton="0" quotePrefix="0" xfId="0">
      <alignment vertical="center" wrapText="1"/>
    </xf>
    <xf numFmtId="0" fontId="10" fillId="0" borderId="0" applyAlignment="1" pivotButton="0" quotePrefix="0" xfId="0">
      <alignment vertical="center"/>
    </xf>
    <xf numFmtId="0" fontId="10" fillId="0" borderId="0" applyAlignment="1" pivotButton="0" quotePrefix="0" xfId="0">
      <alignment vertical="center" wrapText="1"/>
    </xf>
    <xf numFmtId="167" fontId="1" fillId="0" borderId="0" applyAlignment="1" pivotButton="0" quotePrefix="0" xfId="0">
      <alignment vertical="center"/>
    </xf>
    <xf numFmtId="167" fontId="11" fillId="0" borderId="0" applyAlignment="1" pivotButton="0" quotePrefix="0" xfId="0">
      <alignment vertical="center"/>
    </xf>
    <xf numFmtId="3" fontId="1" fillId="0" borderId="0" applyAlignment="1" pivotButton="0" quotePrefix="0" xfId="0">
      <alignment vertical="center"/>
    </xf>
    <xf numFmtId="3" fontId="11" fillId="0" borderId="0" applyAlignment="1" pivotButton="0" quotePrefix="0" xfId="0">
      <alignment vertical="center"/>
    </xf>
    <xf numFmtId="0" fontId="12" fillId="0" borderId="0" applyAlignment="1" pivotButton="0" quotePrefix="0" xfId="0">
      <alignment vertical="center"/>
    </xf>
    <xf numFmtId="0" fontId="12"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1" fontId="1" fillId="0" borderId="0" applyAlignment="1" pivotButton="0" quotePrefix="0" xfId="0">
      <alignment vertical="center"/>
    </xf>
    <xf numFmtId="168" fontId="1" fillId="0" borderId="0" applyAlignment="1" pivotButton="0" quotePrefix="0" xfId="0">
      <alignment vertical="center"/>
    </xf>
    <xf numFmtId="166" fontId="1" fillId="0" borderId="0" applyAlignment="1" pivotButton="0" quotePrefix="0" xfId="0">
      <alignment vertical="center"/>
    </xf>
    <xf numFmtId="168" fontId="4" fillId="2" borderId="0" applyAlignment="1" pivotButton="0" quotePrefix="0" xfId="0">
      <alignment vertical="center" wrapText="1"/>
    </xf>
    <xf numFmtId="0" fontId="1" fillId="3" borderId="0" applyAlignment="1" pivotButton="0" quotePrefix="0" xfId="0">
      <alignment vertical="center" wrapText="1"/>
    </xf>
    <xf numFmtId="165" fontId="1" fillId="3" borderId="0" applyAlignment="1" pivotButton="0" quotePrefix="0" xfId="0">
      <alignment vertical="center" wrapText="1"/>
    </xf>
    <xf numFmtId="166" fontId="1" fillId="3" borderId="0" applyAlignment="1" pivotButton="0" quotePrefix="0" xfId="0">
      <alignment vertical="center" wrapText="1"/>
    </xf>
    <xf numFmtId="167" fontId="11" fillId="0" borderId="0" applyAlignment="1" pivotButton="0" quotePrefix="0" xfId="0">
      <alignment vertical="center"/>
    </xf>
    <xf numFmtId="3" fontId="11" fillId="0" borderId="0" applyAlignment="1" pivotButton="0" quotePrefix="0" xfId="0">
      <alignment vertical="center"/>
    </xf>
    <xf numFmtId="168" fontId="1" fillId="0" borderId="0" applyAlignment="1" pivotButton="0" quotePrefix="0" xfId="0">
      <alignment vertical="center"/>
    </xf>
    <xf numFmtId="1" fontId="1" fillId="0" borderId="0" applyAlignment="1" pivotButton="0" quotePrefix="0" xfId="0">
      <alignment vertical="center"/>
    </xf>
    <xf numFmtId="168" fontId="4" fillId="2" borderId="0" applyAlignment="1" pivotButton="0" quotePrefix="0" xfId="0">
      <alignment vertical="center" wrapText="1"/>
    </xf>
    <xf numFmtId="166" fontId="1" fillId="0" borderId="0" applyAlignment="1" pivotButton="0" quotePrefix="0" xfId="0">
      <alignment vertical="center"/>
    </xf>
    <xf numFmtId="165" fontId="1" fillId="3" borderId="0" applyAlignment="1" pivotButton="0" quotePrefix="0" xfId="0">
      <alignment vertical="center" wrapText="1"/>
    </xf>
    <xf numFmtId="166" fontId="1" fillId="3" borderId="0" applyAlignment="1" pivotButton="0" quotePrefix="0" xfId="0">
      <alignment vertical="center" wrapText="1"/>
    </xf>
    <xf numFmtId="165" fontId="1" fillId="0" borderId="0" applyAlignment="1" pivotButton="0" quotePrefix="0" xfId="0">
      <alignment vertical="center" wrapText="1"/>
    </xf>
    <xf numFmtId="166" fontId="1" fillId="0" borderId="0" applyAlignment="1" pivotButton="0" quotePrefix="0" xfId="0">
      <alignment vertical="center" wrapText="1"/>
    </xf>
    <xf numFmtId="0" fontId="13" fillId="0" borderId="0" pivotButton="0" quotePrefix="0" xfId="0"/>
    <xf numFmtId="0" fontId="3" fillId="0" borderId="0" applyAlignment="1" pivotButton="0" quotePrefix="0" xfId="0">
      <alignment vertical="top" wrapText="1"/>
    </xf>
    <xf numFmtId="0" fontId="3" fillId="0" borderId="0" pivotButton="0" quotePrefix="0" xfId="0"/>
    <xf numFmtId="0" fontId="8" fillId="4" borderId="0" applyAlignment="1" pivotButton="0" quotePrefix="0" xfId="0">
      <alignment horizontal="left"/>
    </xf>
    <xf numFmtId="0" fontId="14" fillId="0" borderId="0" pivotButton="0" quotePrefix="0" xfId="0"/>
    <xf numFmtId="0" fontId="12" fillId="0" borderId="0" pivotButton="0" quotePrefix="0" xfId="0"/>
    <xf numFmtId="0" fontId="4" fillId="2" borderId="0" applyAlignment="1" pivotButton="0" quotePrefix="0" xfId="0">
      <alignment vertical="top" wrapText="1"/>
    </xf>
    <xf numFmtId="9" fontId="7" fillId="0" borderId="0" pivotButton="0" quotePrefix="0" xfId="0"/>
    <xf numFmtId="0" fontId="7" fillId="0" borderId="0" applyAlignment="1" pivotButton="0" quotePrefix="0" xfId="0">
      <alignment vertical="top" wrapText="1"/>
    </xf>
    <xf numFmtId="0" fontId="2" fillId="0" borderId="0" pivotButton="0" quotePrefix="0" xfId="0"/>
    <xf numFmtId="0" fontId="5" fillId="0" borderId="0" applyAlignment="1" pivotButton="0" quotePrefix="0" xfId="0">
      <alignment vertical="top" wrapText="1"/>
    </xf>
    <xf numFmtId="1" fontId="1" fillId="0" borderId="0" applyAlignment="1" pivotButton="0" quotePrefix="0" xfId="0">
      <alignment vertical="center" wrapText="1"/>
    </xf>
    <xf numFmtId="164" fontId="1" fillId="0" borderId="0" applyAlignment="1" pivotButton="0" quotePrefix="0" xfId="0">
      <alignment vertical="center" wrapText="1"/>
    </xf>
    <xf numFmtId="3" fontId="1" fillId="0" borderId="0" applyAlignment="1" pivotButton="0" quotePrefix="0" xfId="0">
      <alignment horizontal="right" vertical="center" wrapText="1"/>
    </xf>
    <xf numFmtId="165" fontId="1" fillId="0" borderId="0" applyAlignment="1" pivotButton="0" quotePrefix="0" xfId="0">
      <alignment horizontal="right" vertical="center" wrapText="1"/>
    </xf>
    <xf numFmtId="166" fontId="1" fillId="0" borderId="0" applyAlignment="1" pivotButton="0" quotePrefix="0" xfId="0">
      <alignment horizontal="right" vertical="center" wrapText="1"/>
    </xf>
    <xf numFmtId="3" fontId="0" fillId="0" borderId="0" applyAlignment="1" pivotButton="0" quotePrefix="0" xfId="0">
      <alignment horizontal="right"/>
    </xf>
    <xf numFmtId="165" fontId="0" fillId="0" borderId="0" applyAlignment="1" pivotButton="0" quotePrefix="0" xfId="0">
      <alignment horizontal="right"/>
    </xf>
    <xf numFmtId="3" fontId="5" fillId="0" borderId="0" applyAlignment="1" pivotButton="0" quotePrefix="0" xfId="0">
      <alignment horizontal="right"/>
    </xf>
    <xf numFmtId="165" fontId="5" fillId="0" borderId="0" applyAlignment="1" pivotButton="0" quotePrefix="0" xfId="0">
      <alignment horizontal="right"/>
    </xf>
  </cellXfs>
  <cellStyles count="1">
    <cellStyle name="Normal" xfId="0"/>
  </cellStyles>
  <dxfs count="7">
    <dxf>
      <font>
        <color rgb="FF956600"/>
      </font>
    </dxf>
    <dxf>
      <font>
        <b val="1"/>
        <color rgb="FFB42318"/>
      </font>
    </dxf>
    <dxf>
      <font>
        <b val="1"/>
        <color rgb="FFB42318"/>
      </font>
    </dxf>
    <dxf>
      <font>
        <color rgb="FFB42318"/>
      </font>
    </dxf>
    <dxf>
      <fill>
        <patternFill patternType="solid">
          <fgColor rgb="FFD9EAD3"/>
        </patternFill>
      </fill>
    </dxf>
    <dxf>
      <fill>
        <patternFill patternType="solid">
          <fgColor rgb="FFFFF2CC"/>
        </patternFill>
      </fill>
    </dxf>
    <dxf>
      <fill>
        <patternFill patternType="solid">
          <f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75">
                <a:latin typeface="Arial"/>
                <a:ea typeface="Arial"/>
                <a:cs typeface="Arial"/>
              </a:rPr>
              <a:t>Top 10 UK providers: CPD/CE income (£m)</a:t>
            </a:r>
          </a:p>
        </rich>
      </tx>
      <overlay val="0"/>
      <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r>
            <a:t/>
          </a:r>
        </a:p>
      </txPr>
    </title>
    <plotArea>
      <barChart>
        <barDir val="col"/>
        <grouping val="clustered"/>
        <varyColors val="0"/>
        <ser>
          <idx val="0"/>
          <order val="0"/>
          <tx>
            <v>CPD/CE (£m)</v>
          </tx>
          <spPr>
            <a:solidFill xmlns:a="http://schemas.openxmlformats.org/drawingml/2006/main">
              <a:srgbClr val="376C99"/>
            </a:solidFill>
            <a:ln xmlns:a="http://schemas.openxmlformats.org/drawingml/2006/main">
              <a:prstDash val="solid"/>
            </a:ln>
          </spPr>
          <cat>
            <strRef>
              <f>'Dashboard'!$Q$6:$Q$15</f>
              <strCache>
                <ptCount val="0"/>
              </strCache>
            </strRef>
          </cat>
          <val>
            <numRef>
              <f>'Dashboard'!$R$6:$R$15</f>
              <numCache>
                <formatCode>#,##0.0</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r>
              <a:t/>
            </a:r>
          </a:p>
        </txPr>
        <crossAx val="48672768"/>
        <lblOffset val="100"/>
      </catAx>
      <valAx>
        <axId val="48672768"/>
        <scaling>
          <orientation val="minMax"/>
          <min val="0"/>
        </scaling>
        <delete val="0"/>
        <axPos val="l"/>
        <majorGridlines>
          <spPr>
            <a:ln xmlns:a="http://schemas.openxmlformats.org/drawingml/2006/main" w="9525">
              <a:solidFill>
                <a:srgbClr val="CCCCCC"/>
              </a:solidFill>
              <a:prstDash val="dash"/>
            </a:ln>
          </spPr>
        </majorGridlines>
        <numFmt formatCode="0" sourceLinked="0"/>
        <majorTickMark val="none"/>
        <minorTickMark val="none"/>
        <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r>
              <a:t/>
            </a:r>
          </a:p>
        </txPr>
        <crossAx val="48650112"/>
        <crossBetween val="between"/>
      </valAx>
    </plotArea>
    <legend>
      <legendPos val="b"/>
      <overlay val="0"/>
      <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r>
            <a:t/>
          </a:r>
        </a:p>
      </txPr>
    </legend>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75">
                <a:latin typeface="Arial"/>
                <a:ea typeface="Arial"/>
                <a:cs typeface="Arial"/>
              </a:rPr>
              <a:t>UK income by customer (£m)</a:t>
            </a:r>
          </a:p>
        </rich>
      </tx>
      <overlay val="0"/>
      <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r>
            <a:t/>
          </a:r>
        </a:p>
      </txPr>
    </title>
    <plotArea>
      <barChart>
        <barDir val="col"/>
        <grouping val="clustered"/>
        <varyColors val="0"/>
        <ser>
          <idx val="0"/>
          <order val="0"/>
          <tx>
            <v>CPD/CE (£m)</v>
          </tx>
          <spPr>
            <a:solidFill xmlns:a="http://schemas.openxmlformats.org/drawingml/2006/main">
              <a:srgbClr val="237E83"/>
            </a:solidFill>
            <a:ln xmlns:a="http://schemas.openxmlformats.org/drawingml/2006/main">
              <a:prstDash val="solid"/>
            </a:ln>
          </spPr>
          <cat>
            <strRef>
              <f>'Dashboard'!$Q$19:$Q$22</f>
              <strCache>
                <ptCount val="0"/>
              </strCache>
            </strRef>
          </cat>
          <val>
            <numRef>
              <f>'Dashboard'!$R$19:$R$22</f>
              <numCache>
                <formatCode>#,##0.0</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r>
              <a:t/>
            </a:r>
          </a:p>
        </txPr>
        <crossAx val="48672768"/>
        <lblOffset val="100"/>
      </catAx>
      <valAx>
        <axId val="48672768"/>
        <scaling>
          <orientation val="minMax"/>
          <min val="0"/>
        </scaling>
        <delete val="0"/>
        <axPos val="l"/>
        <majorGridlines>
          <spPr>
            <a:ln xmlns:a="http://schemas.openxmlformats.org/drawingml/2006/main" w="9525">
              <a:solidFill>
                <a:srgbClr val="CCCCCC"/>
              </a:solidFill>
              <a:prstDash val="dash"/>
            </a:ln>
          </spPr>
        </majorGridlines>
        <numFmt formatCode="0" sourceLinked="0"/>
        <majorTickMark val="none"/>
        <minorTickMark val="none"/>
        <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r>
              <a:t/>
            </a:r>
          </a:p>
        </txPr>
        <crossAx val="48650112"/>
        <crossBetween val="between"/>
      </valAx>
    </plotArea>
    <legend>
      <legendPos val="b"/>
      <overlay val="0"/>
      <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r>
            <a:t/>
          </a:r>
        </a:p>
      </txPr>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0</col>
      <colOff>0</colOff>
      <row>21</row>
      <rowOff>0</rowOff>
    </from>
    <to>
      <col>7</col>
      <colOff>0</colOff>
      <row>40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0</colOff>
      <row>21</row>
      <rowOff>0</rowOff>
    </from>
    <to>
      <col>14</col>
      <colOff>0</colOff>
      <row>40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InstitutionSummary" displayName="InstitutionSummary" ref="A6:X130" headerRowCount="1">
  <autoFilter ref="A6:X130"/>
  <tableColumns count="24">
    <tableColumn id="1" name="Institution ID"/>
    <tableColumn id="2" name="Institution"/>
    <tableColumn id="3" name="Country"/>
    <tableColumn id="4" name="Sample group"/>
    <tableColumn id="5" name="Region group"/>
    <tableColumn id="6" name="QS edition"/>
    <tableColumn id="7" name="QS rank"/>
    <tableColumn id="8" name="Review completeness"/>
    <tableColumn id="9" name="Qualifying current: University-wide"/>
    <tableColumn id="10" name="Qualifying current: Cross-faculty"/>
    <tableColumn id="11" name="Qualifying current: Faculty/school"/>
    <tableColumn id="12" name="Qualifying current: Programme/course"/>
    <tableColumn id="13" name="Qualifying current: Unclear reach"/>
    <tableColumn id="14" name="Qualifying current: total"/>
    <tableColumn id="15" name="Evidence-incomplete records"/>
    <tableColumn id="16" name="Outside-definition records in register"/>
    <tableColumn id="17" name="Exclusions / near-misses"/>
    <tableColumn id="18" name="University-wide access evidenced (qualifying current scheme)"/>
    <tableColumn id="19" name="Compulsory university-wide provision evidenced"/>
    <tableColumn id="20" name="Main qualifying schemes"/>
    <tableColumn id="21" name="Distribution across faculty areas (qualifying current)"/>
    <tableColumn id="22" name="How embedded the provision appears"/>
    <tableColumn id="23" name="Concise assessment"/>
    <tableColumn id="24" name="Material gaps and unresolved questions"/>
  </tableColumns>
  <tableStyleInfo name="TableStyleMedium2" showRowStripes="1"/>
</table>
</file>

<file path=xl/tables/table2.xml><?xml version="1.0" encoding="utf-8"?>
<table xmlns="http://schemas.openxmlformats.org/spreadsheetml/2006/main" id="2" name="SchemeRegister" displayName="SchemeRegister" ref="A6:AS610" headerRowCount="1">
  <autoFilter ref="A6:AS610"/>
  <tableColumns count="45">
    <tableColumn id="1" name="Institution ID"/>
    <tableColumn id="2" name="Institution"/>
    <tableColumn id="3" name="Academic reach"/>
    <tableColumn id="4" name="Scheme ID"/>
    <tableColumn id="5" name="Parent ID"/>
    <tableColumn id="6" name="Umbrella with counted children?"/>
    <tableColumn id="7" name="Official scheme name"/>
    <tableColumn id="8" name="English name / translation"/>
    <tableColumn id="9" name="Module / subject code"/>
    <tableColumn id="10" name="What students actually do"/>
    <tableColumn id="11" name="Administrative host"/>
    <tableColumn id="12" name="Eligible faculties / programmes"/>
    <tableColumn id="13" name="Faculty areas"/>
    <tableColumn id="14" name="Student level"/>
    <tableColumn id="15" name="Year of study"/>
    <tableColumn id="16" name="Eligibility restrictions"/>
    <tableColumn id="17" name="Participation requirement"/>
    <tableColumn id="18" name="Curricular status"/>
    <tableColumn id="19" name="Credit and assessment"/>
    <tableColumn id="20" name="Duration"/>
    <tableColumn id="21" name="Delivery format"/>
    <tableColumn id="22" name="A. Project-based"/>
    <tableColumn id="23" name="A. Evidence"/>
    <tableColumn id="24" name="B. Group working"/>
    <tableColumn id="25" name="B. Evidence"/>
    <tableColumn id="26" name="C. Employer / external organisation"/>
    <tableColumn id="27" name="C. Evidence: how the organisation participates"/>
    <tableColumn id="28" name="External partner type"/>
    <tableColumn id="29" name="Partner role"/>
    <tableColumn id="30" name="Named partners (evidenced)"/>
    <tableColumn id="31" name="Student deliverable"/>
    <tableColumn id="32" name="Qualification classification"/>
    <tableColumn id="33" name="Operating status"/>
    <tableColumn id="34" name="Latest evidenced delivery year"/>
    <tableColumn id="35" name="Counts as distinct scheme"/>
    <tableColumn id="36" name="Current &amp; meets all three (counted)"/>
    <tableColumn id="37" name="Published participation data"/>
    <tableColumn id="38" name="Source IDs (see EL sources)"/>
    <tableColumn id="39" name="Unresolved points"/>
    <tableColumn id="40" name="Legacy row reassessed"/>
    <tableColumn id="41" name="Country"/>
    <tableColumn id="42" name="Region group"/>
    <tableColumn id="43" name="Duration band"/>
    <tableColumn id="44" name="External partner coverage"/>
    <tableColumn id="45" name="Not counted because"/>
  </tableColumns>
  <tableStyleInfo name="TableStyleMedium2" showRowStripes="1"/>
</table>
</file>

<file path=xl/tables/table3.xml><?xml version="1.0" encoding="utf-8"?>
<table xmlns="http://schemas.openxmlformats.org/spreadsheetml/2006/main" id="3" name="Exclusions" displayName="Exclusions" ref="A6:K639" headerRowCount="1">
  <autoFilter ref="A6:K639"/>
  <tableColumns count="11">
    <tableColumn id="1" name="Exclusion ID"/>
    <tableColumn id="2" name="Institution ID"/>
    <tableColumn id="3" name="Institution"/>
    <tableColumn id="4" name="Region group"/>
    <tableColumn id="5" name="Scheme / activity"/>
    <tableColumn id="6" name="From legacy research?"/>
    <tableColumn id="7" name="Legacy row no. (Legacy schemes tab)"/>
    <tableColumn id="8" name="Category"/>
    <tableColumn id="9" name="Reason it does not qualify / evidence missing"/>
    <tableColumn id="10" name="Source URL"/>
    <tableColumn id="11" name="Status note"/>
  </tableColumns>
  <tableStyleInfo name="TableStyleMedium2" showRowStripes="1"/>
</table>
</file>

<file path=xl/tables/table4.xml><?xml version="1.0" encoding="utf-8"?>
<table xmlns="http://schemas.openxmlformats.org/spreadsheetml/2006/main" id="4" name="Sources" displayName="Sources" ref="A6:L1188" headerRowCount="1">
  <autoFilter ref="A6:L1188"/>
  <tableColumns count="12">
    <tableColumn id="1" name="Source ID"/>
    <tableColumn id="2" name="Institution ID"/>
    <tableColumn id="3" name="Scheme ID"/>
    <tableColumn id="4" name="Scheme"/>
    <tableColumn id="5" name="Supports (claim / criterion)"/>
    <tableColumn id="6" name="URL"/>
    <tableColumn id="7" name="Title"/>
    <tableColumn id="8" name="Section / subpage / PDF page"/>
    <tableColumn id="9" name="Publication / academic year"/>
    <tableColumn id="10" name="Access date"/>
    <tableColumn id="11" name="Retrieval method"/>
    <tableColumn id="12" name="Supporting extract or precise paraphrase"/>
  </tableColumns>
  <tableStyleInfo name="TableStyleMedium2" showRowStripes="1"/>
</table>
</file>

<file path=xl/tables/table5.xml><?xml version="1.0" encoding="utf-8"?>
<table xmlns="http://schemas.openxmlformats.org/spreadsheetml/2006/main" id="5" name="SearchLog" displayName="SearchLog" ref="A6:G396" headerRowCount="1">
  <autoFilter ref="A6:G396"/>
  <tableColumns count="7">
    <tableColumn id="1" name="Institution ID"/>
    <tableColumn id="2" name="Institution"/>
    <tableColumn id="3" name="Faculty / provision area"/>
    <tableColumn id="4" name="Search status"/>
    <tableColumn id="5" name="Queries run"/>
    <tableColumn id="6" name="Key sources examined"/>
    <tableColumn id="7" name="Finding"/>
  </tableColumns>
  <tableStyleInfo name="TableStyleMedium2" showRowStripes="1"/>
</table>
</file>

<file path=xl/tables/table6.xml><?xml version="1.0" encoding="utf-8"?>
<table xmlns="http://schemas.openxmlformats.org/spreadsheetml/2006/main" id="6" name="InstitutionindexTable" displayName="InstitutionindexTable" ref="A6:O130" headerRowCount="1" totalsRowCount="0" totalsRowShown="0">
  <autoFilter ref="A6:M130"/>
  <tableColumns count="15">
    <tableColumn id="1" name="Country"/>
    <tableColumn id="2" name="University"/>
    <tableColumn id="3" name="Cohort"/>
    <tableColumn id="4" name="QS edition"/>
    <tableColumn id="5" name="QS rank"/>
    <tableColumn id="6" name="Tied rank?"/>
    <tableColumn id="7" name="Official ranking source"/>
    <tableColumn id="8" name="UKPRN"/>
    <tableColumn id="9" name="Scheme examples"/>
    <tableColumn id="10" name="University-wide examples"/>
    <tableColumn id="11" name="Narrower examples"/>
    <tableColumn id="12" name="Unconfirmed reach examples"/>
    <tableColumn id="13" name="Broadest documented reach"/>
    <tableColumn id="14" name="EL review ID"/>
    <tableColumn id="15" name="Sample / QS note (Oct 2026 reconciliation)"/>
  </tableColumns>
  <tableStyleInfo name="TableStyleMedium2" showFirstColumn="0" showLastColumn="0" showRowStripes="1" showColumnStripes="0"/>
</table>
</file>

<file path=xl/tables/table7.xml><?xml version="1.0" encoding="utf-8"?>
<table xmlns="http://schemas.openxmlformats.org/spreadsheetml/2006/main" id="7" name="SchemesTable" displayName="SchemesTable" ref="A6:Q158" headerRowCount="1" totalsRowCount="0" totalsRowShown="0">
  <autoFilter ref="A6:P158"/>
  <tableColumns count="17">
    <tableColumn id="1" name="Country"/>
    <tableColumn id="2" name="University"/>
    <tableColumn id="3" name="Academic reach"/>
    <tableColumn id="4" name="Learning model"/>
    <tableColumn id="5" name="Scheme / framework"/>
    <tableColumn id="6" name="Administrative home"/>
    <tableColumn id="7" name="Participation"/>
    <tableColumn id="8" name="Eligibility / restrictions"/>
    <tableColumn id="9" name="Delivery / credit / practical activity"/>
    <tableColumn id="10" name="Basis for reach classification"/>
    <tableColumn id="11" name="Latest dated / current evidence"/>
    <tableColumn id="12" name="Cohort"/>
    <tableColumn id="13" name="Primary sources"/>
    <tableColumn id="14" name="Scope evidence basis"/>
    <tableColumn id="15" name="Evidence currency"/>
    <tableColumn id="16" name="Research date"/>
    <tableColumn id="17" name="Disposition in detailed review (Oct 2026)"/>
  </tableColumns>
  <tableStyleInfo name="TableStyleMedium2" showFirstColumn="0" showLastColumn="0" showRowStripes="1" showColumnStripes="0"/>
</table>
</file>

<file path=xl/tables/table8.xml><?xml version="1.0" encoding="utf-8"?>
<table xmlns="http://schemas.openxmlformats.org/spreadsheetml/2006/main" id="8" name="UKprovidersTable" displayName="UKprovidersTable" ref="A6:Q212" headerRowCount="1" totalsRowCount="0" totalsRowShown="0">
  <autoFilter ref="A6:Q212"/>
  <tableColumns count="17">
    <tableColumn id="1" name="UKPRN"/>
    <tableColumn id="2" name="HESA provider name"/>
    <tableColumn id="3" name="Research cohort"/>
    <tableColumn id="4" name="Academic year"/>
    <tableColumn id="5" name="SMEs (£000)"/>
    <tableColumn id="6" name="Other commercial (£000)"/>
    <tableColumn id="7" name="Non-commercial (£000)"/>
    <tableColumn id="8" name="Individuals (£000)"/>
    <tableColumn id="9" name="Total CPD/CE (£000)"/>
    <tableColumn id="10" name="Learner days"/>
    <tableColumn id="11" name="Total income (£m)"/>
    <tableColumn id="12" name="Organisations (£m)"/>
    <tableColumn id="13" name="Individuals share"/>
    <tableColumn id="14" name="Income per learner day (£)"/>
    <tableColumn id="15" name="Components − total (£000)"/>
    <tableColumn id="16" name="Revenue rank"/>
    <tableColumn id="17" name="Chart label"/>
  </tableColumns>
  <tableStyleInfo name="TableStyleMedium2" showFirstColumn="0" showLastColumn="0" showRowStripes="1" showColumnStripes="0"/>
</table>
</file>

<file path=xl/tables/table9.xml><?xml version="1.0" encoding="utf-8"?>
<table xmlns="http://schemas.openxmlformats.org/spreadsheetml/2006/main" id="9" name="RevenueevidenceTable" displayName="RevenueevidenceTable" ref="A6:N95" headerRowCount="1" totalsRowCount="0" totalsRowShown="0">
  <autoFilter ref="A6:N95"/>
  <tableColumns count="14">
    <tableColumn id="1" name="Country"/>
    <tableColumn id="2" name="University"/>
    <tableColumn id="3" name="Evidence type"/>
    <tableColumn id="4" name="Reported metric"/>
    <tableColumn id="5" name="Unit"/>
    <tableColumn id="6" name="Prior period"/>
    <tableColumn id="7" name="Prior value"/>
    <tableColumn id="8" name="Current period"/>
    <tableColumn id="9" name="Current value"/>
    <tableColumn id="10" name="Growth"/>
    <tableColumn id="11" name="Reporting coverage"/>
    <tableColumn id="12" name="Interpretation / limitation"/>
    <tableColumn id="13" name="Primary source"/>
    <tableColumn id="14" name="HESA UKPR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rgb="FF237E83"/>
    <outlinePr summaryBelow="1" summaryRight="1"/>
    <pageSetUpPr/>
  </sheetPr>
  <dimension ref="A1:S64"/>
  <sheetViews>
    <sheetView showGridLines="0" workbookViewId="0">
      <pane ySplit="3" topLeftCell="A4" activePane="bottomLeft" state="frozen"/>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32" customWidth="1" min="17" max="17"/>
    <col width="22" customWidth="1" min="18" max="18"/>
    <col width="22" customWidth="1" min="19" max="19"/>
  </cols>
  <sheetData>
    <row r="1"/>
    <row r="2" ht="35" customHeight="1">
      <c r="A2" s="37" t="inlineStr">
        <is>
          <t>Lifelong learning income dashboard</t>
        </is>
      </c>
      <c r="O2" s="2" t="n"/>
      <c r="P2" s="2" t="n"/>
      <c r="Q2" s="2" t="n"/>
      <c r="R2" s="2" t="n"/>
      <c r="S2" s="2" t="n"/>
    </row>
    <row r="3" ht="26" customHeight="1">
      <c r="A3" s="39" t="inlineStr">
        <is>
          <t>UK comparable CPD/CE income | 2024/25 | HESA HE-BCI provider returns</t>
        </is>
      </c>
      <c r="O3" s="2" t="n"/>
      <c r="P3" s="2" t="n"/>
      <c r="Q3" s="2" t="n"/>
      <c r="R3" s="2" t="n"/>
      <c r="S3" s="2" t="n"/>
    </row>
    <row r="4" ht="23" customHeight="1">
      <c r="A4" s="2" t="n"/>
      <c r="B4" s="2" t="n"/>
      <c r="C4" s="2" t="n"/>
      <c r="D4" s="2" t="n"/>
      <c r="E4" s="2" t="n"/>
      <c r="F4" s="2" t="n"/>
      <c r="G4" s="2" t="n"/>
      <c r="H4" s="2" t="n"/>
      <c r="I4" s="2" t="n"/>
      <c r="J4" s="2" t="n"/>
      <c r="K4" s="2" t="n"/>
      <c r="L4" s="2" t="n"/>
      <c r="M4" s="2" t="n"/>
      <c r="N4" s="2" t="n"/>
      <c r="O4" s="2" t="n"/>
      <c r="P4" s="2" t="n"/>
      <c r="Q4" s="2" t="n"/>
      <c r="R4" s="2" t="n"/>
      <c r="S4" s="2" t="n"/>
    </row>
    <row r="5" ht="40" customHeight="1">
      <c r="A5" s="41" t="inlineStr">
        <is>
          <t>UK income (£m)</t>
        </is>
      </c>
      <c r="E5" s="2" t="n"/>
      <c r="F5" s="41" t="inlineStr">
        <is>
          <t>HE providers</t>
        </is>
      </c>
      <c r="J5" s="2" t="n"/>
      <c r="K5" s="41" t="inlineStr">
        <is>
          <t>Learner days</t>
        </is>
      </c>
      <c r="O5" s="2" t="n"/>
      <c r="P5" s="2" t="n"/>
      <c r="Q5" s="9" t="inlineStr">
        <is>
          <t>Top provider</t>
        </is>
      </c>
      <c r="R5" s="9" t="inlineStr">
        <is>
          <t>CPD/CE (£m)</t>
        </is>
      </c>
      <c r="S5" s="2" t="n"/>
    </row>
    <row r="6" ht="23" customHeight="1">
      <c r="A6" s="59">
        <f>SUM('UK providers'!I7:I212)/1000</f>
        <v/>
      </c>
      <c r="E6" s="2" t="n"/>
      <c r="F6" s="60">
        <f>COUNTA('UK providers'!A7:A212)</f>
        <v/>
      </c>
      <c r="J6" s="2" t="n"/>
      <c r="K6" s="60">
        <f>SUM('UK providers'!J7:J212)</f>
        <v/>
      </c>
      <c r="O6" s="2" t="n"/>
      <c r="P6" s="2" t="n"/>
      <c r="Q6" s="2">
        <f>INDEX('UK providers'!$Q$7:$Q$212,MATCH(1,'UK providers'!$P$7:$P$212,0))</f>
        <v/>
      </c>
      <c r="R6" s="61">
        <f>INDEX('UK providers'!$K$7:$K$212,MATCH(1,'UK providers'!$P$7:$P$212,0))</f>
        <v/>
      </c>
      <c r="S6" s="2" t="n"/>
    </row>
    <row r="7" ht="23" customHeight="1">
      <c r="E7" s="2" t="n"/>
      <c r="J7" s="2" t="n"/>
      <c r="O7" s="2" t="n"/>
      <c r="P7" s="2" t="n"/>
      <c r="Q7" s="2">
        <f>INDEX('UK providers'!$Q$7:$Q$212,MATCH(2,'UK providers'!$P$7:$P$212,0))</f>
        <v/>
      </c>
      <c r="R7" s="61">
        <f>INDEX('UK providers'!$K$7:$K$212,MATCH(2,'UK providers'!$P$7:$P$212,0))</f>
        <v/>
      </c>
      <c r="S7" s="2" t="n"/>
    </row>
    <row r="8" ht="23" customHeight="1">
      <c r="A8" s="2" t="n"/>
      <c r="B8" s="2" t="n"/>
      <c r="C8" s="2" t="n"/>
      <c r="D8" s="2" t="n"/>
      <c r="E8" s="2" t="n"/>
      <c r="F8" s="2" t="n"/>
      <c r="G8" s="2" t="n"/>
      <c r="H8" s="2" t="n"/>
      <c r="I8" s="2" t="n"/>
      <c r="J8" s="2" t="n"/>
      <c r="K8" s="2" t="n"/>
      <c r="L8" s="2" t="n"/>
      <c r="M8" s="2" t="n"/>
      <c r="N8" s="2" t="n"/>
      <c r="O8" s="2" t="n"/>
      <c r="P8" s="2" t="n"/>
      <c r="Q8" s="2">
        <f>INDEX('UK providers'!$Q$7:$Q$212,MATCH(3,'UK providers'!$P$7:$P$212,0))</f>
        <v/>
      </c>
      <c r="R8" s="61">
        <f>INDEX('UK providers'!$K$7:$K$212,MATCH(3,'UK providers'!$P$7:$P$212,0))</f>
        <v/>
      </c>
      <c r="S8" s="2" t="n"/>
    </row>
    <row r="9" ht="23" customHeight="1">
      <c r="A9" s="6" t="inlineStr">
        <is>
          <t>CPD/CE is a defined part of lifelong learning. These HE providers extend beyond universities. The supplied file contains one year, so a UK HESA income growth trend is unavailable.</t>
        </is>
      </c>
      <c r="O9" s="2" t="n"/>
      <c r="P9" s="2" t="n"/>
      <c r="Q9" s="2">
        <f>INDEX('UK providers'!$Q$7:$Q$212,MATCH(4,'UK providers'!$P$7:$P$212,0))</f>
        <v/>
      </c>
      <c r="R9" s="61">
        <f>INDEX('UK providers'!$K$7:$K$212,MATCH(4,'UK providers'!$P$7:$P$212,0))</f>
        <v/>
      </c>
      <c r="S9" s="2" t="n"/>
    </row>
    <row r="10" ht="23" customHeight="1">
      <c r="O10" s="2" t="n"/>
      <c r="P10" s="2" t="n"/>
      <c r="Q10" s="2">
        <f>INDEX('UK providers'!$Q$7:$Q$212,MATCH(5,'UK providers'!$P$7:$P$212,0))</f>
        <v/>
      </c>
      <c r="R10" s="61">
        <f>INDEX('UK providers'!$K$7:$K$212,MATCH(5,'UK providers'!$P$7:$P$212,0))</f>
        <v/>
      </c>
      <c r="S10" s="2" t="n"/>
    </row>
    <row r="11" ht="23" customHeight="1">
      <c r="A11" s="2" t="n"/>
      <c r="B11" s="2" t="n"/>
      <c r="C11" s="2" t="n"/>
      <c r="D11" s="2" t="n"/>
      <c r="E11" s="2" t="n"/>
      <c r="F11" s="2" t="n"/>
      <c r="G11" s="2" t="n"/>
      <c r="H11" s="2" t="n"/>
      <c r="I11" s="2" t="n"/>
      <c r="J11" s="2" t="n"/>
      <c r="K11" s="2" t="n"/>
      <c r="L11" s="2" t="n"/>
      <c r="M11" s="2" t="n"/>
      <c r="N11" s="2" t="n"/>
      <c r="O11" s="2" t="n"/>
      <c r="P11" s="2" t="n"/>
      <c r="Q11" s="2">
        <f>INDEX('UK providers'!$Q$7:$Q$212,MATCH(6,'UK providers'!$P$7:$P$212,0))</f>
        <v/>
      </c>
      <c r="R11" s="61">
        <f>INDEX('UK providers'!$K$7:$K$212,MATCH(6,'UK providers'!$P$7:$P$212,0))</f>
        <v/>
      </c>
      <c r="S11" s="2" t="n"/>
    </row>
    <row r="12" ht="23" customHeight="1">
      <c r="A12" s="47" t="inlineStr">
        <is>
          <t>UK income by research cohort</t>
        </is>
      </c>
      <c r="H12" s="2" t="n"/>
      <c r="I12" s="47" t="inlineStr">
        <is>
          <t>Customer mix</t>
        </is>
      </c>
      <c r="O12" s="2" t="n"/>
      <c r="P12" s="2" t="n"/>
      <c r="Q12" s="2">
        <f>INDEX('UK providers'!$Q$7:$Q$212,MATCH(7,'UK providers'!$P$7:$P$212,0))</f>
        <v/>
      </c>
      <c r="R12" s="61">
        <f>INDEX('UK providers'!$K$7:$K$212,MATCH(7,'UK providers'!$P$7:$P$212,0))</f>
        <v/>
      </c>
      <c r="S12" s="2" t="n"/>
    </row>
    <row r="13" ht="23" customHeight="1">
      <c r="A13" s="2" t="n"/>
      <c r="B13" s="2" t="n"/>
      <c r="C13" s="2" t="n"/>
      <c r="D13" s="2" t="n"/>
      <c r="E13" s="2" t="n"/>
      <c r="F13" s="2" t="n"/>
      <c r="G13" s="2" t="n"/>
      <c r="H13" s="2" t="n"/>
      <c r="I13" s="2" t="n"/>
      <c r="J13" s="2" t="n"/>
      <c r="K13" s="2" t="n"/>
      <c r="L13" s="2" t="n"/>
      <c r="M13" s="2" t="n"/>
      <c r="N13" s="2" t="n"/>
      <c r="O13" s="2" t="n"/>
      <c r="P13" s="2" t="n"/>
      <c r="Q13" s="2">
        <f>INDEX('UK providers'!$Q$7:$Q$212,MATCH(8,'UK providers'!$P$7:$P$212,0))</f>
        <v/>
      </c>
      <c r="R13" s="61">
        <f>INDEX('UK providers'!$K$7:$K$212,MATCH(8,'UK providers'!$P$7:$P$212,0))</f>
        <v/>
      </c>
      <c r="S13" s="2" t="n"/>
    </row>
    <row r="14" ht="23" customHeight="1">
      <c r="A14" s="9" t="inlineStr">
        <is>
          <t>Cohort</t>
        </is>
      </c>
      <c r="D14" s="9" t="inlineStr">
        <is>
          <t>Providers</t>
        </is>
      </c>
      <c r="F14" s="9" t="inlineStr">
        <is>
          <t>Income (£m)</t>
        </is>
      </c>
      <c r="H14" s="2" t="n"/>
      <c r="I14" s="9" t="inlineStr">
        <is>
          <t>Customer</t>
        </is>
      </c>
      <c r="M14" s="9" t="inlineStr">
        <is>
          <t>Income (£m)</t>
        </is>
      </c>
      <c r="O14" s="2" t="n"/>
      <c r="P14" s="2" t="n"/>
      <c r="Q14" s="2">
        <f>INDEX('UK providers'!$Q$7:$Q$212,MATCH(9,'UK providers'!$P$7:$P$212,0))</f>
        <v/>
      </c>
      <c r="R14" s="61">
        <f>INDEX('UK providers'!$K$7:$K$212,MATCH(9,'UK providers'!$P$7:$P$212,0))</f>
        <v/>
      </c>
      <c r="S14" s="2" t="n"/>
    </row>
    <row r="15" ht="23" customHeight="1">
      <c r="A15" s="51" t="inlineStr">
        <is>
          <t>Russell Group</t>
        </is>
      </c>
      <c r="D15" s="62">
        <f>COUNTIF('UK providers'!$C$7:$C$212,A15)</f>
        <v/>
      </c>
      <c r="F15" s="61">
        <f>SUMIF('UK providers'!$C$7:$C$212,A15,'UK providers'!$K$7:$K$212)</f>
        <v/>
      </c>
      <c r="H15" s="2" t="n"/>
      <c r="I15" s="51" t="inlineStr">
        <is>
          <t>Individuals</t>
        </is>
      </c>
      <c r="M15" s="61">
        <f>SUM('UK providers'!H7:H212)/1000</f>
        <v/>
      </c>
      <c r="O15" s="2" t="n"/>
      <c r="P15" s="2" t="n"/>
      <c r="Q15" s="2">
        <f>INDEX('UK providers'!$Q$7:$Q$212,MATCH(10,'UK providers'!$P$7:$P$212,0))</f>
        <v/>
      </c>
      <c r="R15" s="61">
        <f>INDEX('UK providers'!$K$7:$K$212,MATCH(10,'UK providers'!$P$7:$P$212,0))</f>
        <v/>
      </c>
      <c r="S15" s="2" t="n"/>
    </row>
    <row r="16" ht="23" customHeight="1">
      <c r="A16" s="51" t="inlineStr">
        <is>
          <t>Additional UK sample</t>
        </is>
      </c>
      <c r="D16" s="62">
        <f>COUNTIF('UK providers'!$C$7:$C$212,A16)</f>
        <v/>
      </c>
      <c r="F16" s="61">
        <f>SUMIF('UK providers'!$C$7:$C$212,A16,'UK providers'!$K$7:$K$212)</f>
        <v/>
      </c>
      <c r="H16" s="2" t="n"/>
      <c r="I16" s="51" t="inlineStr">
        <is>
          <t>Non-commercial</t>
        </is>
      </c>
      <c r="M16" s="61">
        <f>SUM('UK providers'!G7:G212)/1000</f>
        <v/>
      </c>
      <c r="O16" s="2" t="n"/>
      <c r="P16" s="2" t="n"/>
      <c r="Q16" s="2" t="n"/>
      <c r="R16" s="61" t="n"/>
      <c r="S16" s="2" t="n"/>
    </row>
    <row r="17" ht="23" customHeight="1">
      <c r="A17" s="51" t="inlineStr">
        <is>
          <t>Other HE provider</t>
        </is>
      </c>
      <c r="D17" s="62">
        <f>COUNTIF('UK providers'!$C$7:$C$212,A17)</f>
        <v/>
      </c>
      <c r="F17" s="61">
        <f>SUMIF('UK providers'!$C$7:$C$212,A17,'UK providers'!$K$7:$K$212)</f>
        <v/>
      </c>
      <c r="H17" s="2" t="n"/>
      <c r="I17" s="51" t="inlineStr">
        <is>
          <t>Other commercial</t>
        </is>
      </c>
      <c r="M17" s="61">
        <f>SUM('UK providers'!F7:F212)/1000</f>
        <v/>
      </c>
      <c r="O17" s="2" t="n"/>
      <c r="P17" s="2" t="n"/>
      <c r="Q17" s="2" t="n"/>
      <c r="R17" s="61" t="n"/>
      <c r="S17" s="2" t="n"/>
    </row>
    <row r="18" ht="40" customHeight="1">
      <c r="A18" s="2" t="n"/>
      <c r="B18" s="2" t="n"/>
      <c r="C18" s="2" t="n"/>
      <c r="D18" s="2" t="n"/>
      <c r="E18" s="2" t="n"/>
      <c r="F18" s="2" t="n"/>
      <c r="G18" s="2" t="n"/>
      <c r="H18" s="2" t="n"/>
      <c r="I18" s="51" t="inlineStr">
        <is>
          <t>SMEs</t>
        </is>
      </c>
      <c r="M18" s="61">
        <f>SUM('UK providers'!E7:E212)/1000</f>
        <v/>
      </c>
      <c r="O18" s="2" t="n"/>
      <c r="P18" s="2" t="n"/>
      <c r="Q18" s="9" t="inlineStr">
        <is>
          <t>Customer</t>
        </is>
      </c>
      <c r="R18" s="63" t="inlineStr">
        <is>
          <t>CPD/CE (£m)</t>
        </is>
      </c>
      <c r="S18" s="2" t="n"/>
    </row>
    <row r="19" ht="23" customHeight="1">
      <c r="A19" s="51" t="inlineStr">
        <is>
          <t>Share from individual learners</t>
        </is>
      </c>
      <c r="F19" s="64">
        <f>SUM('UK providers'!H7:H212)/SUM('UK providers'!I7:I212)</f>
        <v/>
      </c>
      <c r="H19" s="2" t="n"/>
      <c r="I19" s="2" t="n"/>
      <c r="J19" s="2" t="n"/>
      <c r="K19" s="2" t="n"/>
      <c r="L19" s="2" t="n"/>
      <c r="M19" s="2" t="n"/>
      <c r="N19" s="2" t="n"/>
      <c r="O19" s="2" t="n"/>
      <c r="P19" s="2" t="n"/>
      <c r="Q19" s="2">
        <f>I15</f>
        <v/>
      </c>
      <c r="R19" s="61">
        <f>M15</f>
        <v/>
      </c>
      <c r="S19" s="2" t="n"/>
    </row>
    <row r="20" ht="23" customHeight="1">
      <c r="A20" s="2" t="n"/>
      <c r="B20" s="2" t="n"/>
      <c r="C20" s="2" t="n"/>
      <c r="D20" s="2" t="n"/>
      <c r="E20" s="2" t="n"/>
      <c r="F20" s="2" t="n"/>
      <c r="G20" s="2" t="n"/>
      <c r="H20" s="2" t="n"/>
      <c r="I20" s="2" t="n"/>
      <c r="J20" s="2" t="n"/>
      <c r="K20" s="2" t="n"/>
      <c r="L20" s="2" t="n"/>
      <c r="M20" s="2" t="n"/>
      <c r="N20" s="2" t="n"/>
      <c r="O20" s="2" t="n"/>
      <c r="P20" s="2" t="n"/>
      <c r="Q20" s="2">
        <f>I16</f>
        <v/>
      </c>
      <c r="R20" s="61">
        <f>M16</f>
        <v/>
      </c>
      <c r="S20" s="2" t="n"/>
    </row>
    <row r="21" ht="23" customHeight="1">
      <c r="A21" s="2" t="n"/>
      <c r="B21" s="2" t="n"/>
      <c r="C21" s="2" t="n"/>
      <c r="D21" s="2" t="n"/>
      <c r="E21" s="2" t="n"/>
      <c r="F21" s="2" t="n"/>
      <c r="G21" s="2" t="n"/>
      <c r="H21" s="2" t="n"/>
      <c r="I21" s="2" t="n"/>
      <c r="J21" s="2" t="n"/>
      <c r="K21" s="2" t="n"/>
      <c r="L21" s="2" t="n"/>
      <c r="M21" s="2" t="n"/>
      <c r="N21" s="2" t="n"/>
      <c r="O21" s="2" t="n"/>
      <c r="P21" s="2" t="n"/>
      <c r="Q21" s="2">
        <f>I17</f>
        <v/>
      </c>
      <c r="R21" s="61">
        <f>M17</f>
        <v/>
      </c>
      <c r="S21" s="2" t="n"/>
    </row>
    <row r="22" ht="23" customHeight="1">
      <c r="A22" s="2" t="n"/>
      <c r="B22" s="2" t="n"/>
      <c r="C22" s="2" t="n"/>
      <c r="D22" s="2" t="n"/>
      <c r="E22" s="2" t="n"/>
      <c r="F22" s="2" t="n"/>
      <c r="G22" s="2" t="n"/>
      <c r="H22" s="2" t="n"/>
      <c r="I22" s="2" t="n"/>
      <c r="J22" s="2" t="n"/>
      <c r="K22" s="2" t="n"/>
      <c r="L22" s="2" t="n"/>
      <c r="M22" s="2" t="n"/>
      <c r="N22" s="2" t="n"/>
      <c r="O22" s="2" t="n"/>
      <c r="P22" s="2" t="n"/>
      <c r="Q22" s="2">
        <f>I18</f>
        <v/>
      </c>
      <c r="R22" s="61">
        <f>M18</f>
        <v/>
      </c>
      <c r="S22" s="2" t="n"/>
    </row>
    <row r="23" ht="23" customHeight="1">
      <c r="A23" s="2" t="n"/>
      <c r="B23" s="2" t="n"/>
      <c r="C23" s="2" t="n"/>
      <c r="D23" s="2" t="n"/>
      <c r="E23" s="2" t="n"/>
      <c r="F23" s="2" t="n"/>
      <c r="G23" s="2" t="n"/>
      <c r="H23" s="2" t="n"/>
      <c r="I23" s="2" t="n"/>
      <c r="J23" s="2" t="n"/>
      <c r="K23" s="2" t="n"/>
      <c r="L23" s="2" t="n"/>
      <c r="M23" s="2" t="n"/>
      <c r="N23" s="2" t="n"/>
      <c r="O23" s="2" t="n"/>
      <c r="P23" s="2" t="n"/>
      <c r="Q23" s="2" t="n"/>
      <c r="R23" s="2" t="n"/>
      <c r="S23" s="2" t="n"/>
    </row>
    <row r="24" ht="23" customHeight="1">
      <c r="A24" s="2" t="n"/>
      <c r="B24" s="2" t="n"/>
      <c r="C24" s="2" t="n"/>
      <c r="D24" s="2" t="n"/>
      <c r="E24" s="2" t="n"/>
      <c r="F24" s="2" t="n"/>
      <c r="G24" s="2" t="n"/>
      <c r="H24" s="2" t="n"/>
      <c r="I24" s="2" t="n"/>
      <c r="J24" s="2" t="n"/>
      <c r="K24" s="2" t="n"/>
      <c r="L24" s="2" t="n"/>
      <c r="M24" s="2" t="n"/>
      <c r="N24" s="2" t="n"/>
      <c r="O24" s="2" t="n"/>
      <c r="P24" s="2" t="n"/>
      <c r="Q24" s="2" t="n"/>
      <c r="R24" s="2" t="n"/>
      <c r="S24" s="2" t="n"/>
    </row>
    <row r="25" ht="23" customHeight="1">
      <c r="A25" s="2" t="n"/>
      <c r="B25" s="2" t="n"/>
      <c r="C25" s="2" t="n"/>
      <c r="D25" s="2" t="n"/>
      <c r="E25" s="2" t="n"/>
      <c r="F25" s="2" t="n"/>
      <c r="G25" s="2" t="n"/>
      <c r="H25" s="2" t="n"/>
      <c r="I25" s="2" t="n"/>
      <c r="J25" s="2" t="n"/>
      <c r="K25" s="2" t="n"/>
      <c r="L25" s="2" t="n"/>
      <c r="M25" s="2" t="n"/>
      <c r="N25" s="2" t="n"/>
      <c r="O25" s="2" t="n"/>
      <c r="P25" s="2" t="n"/>
      <c r="Q25" s="2" t="n"/>
      <c r="R25" s="2" t="n"/>
      <c r="S25" s="2" t="n"/>
    </row>
    <row r="26" ht="23" customHeight="1">
      <c r="A26" s="2" t="n"/>
      <c r="B26" s="2" t="n"/>
      <c r="C26" s="2" t="n"/>
      <c r="D26" s="2" t="n"/>
      <c r="E26" s="2" t="n"/>
      <c r="F26" s="2" t="n"/>
      <c r="G26" s="2" t="n"/>
      <c r="H26" s="2" t="n"/>
      <c r="I26" s="2" t="n"/>
      <c r="J26" s="2" t="n"/>
      <c r="K26" s="2" t="n"/>
      <c r="L26" s="2" t="n"/>
      <c r="M26" s="2" t="n"/>
      <c r="N26" s="2" t="n"/>
      <c r="O26" s="2" t="n"/>
      <c r="P26" s="2" t="n"/>
      <c r="Q26" s="2" t="n"/>
      <c r="R26" s="2" t="n"/>
      <c r="S26" s="2" t="n"/>
    </row>
    <row r="27" ht="23" customHeight="1">
      <c r="A27" s="2" t="n"/>
      <c r="B27" s="2" t="n"/>
      <c r="C27" s="2" t="n"/>
      <c r="D27" s="2" t="n"/>
      <c r="E27" s="2" t="n"/>
      <c r="F27" s="2" t="n"/>
      <c r="G27" s="2" t="n"/>
      <c r="H27" s="2" t="n"/>
      <c r="I27" s="2" t="n"/>
      <c r="J27" s="2" t="n"/>
      <c r="K27" s="2" t="n"/>
      <c r="L27" s="2" t="n"/>
      <c r="M27" s="2" t="n"/>
      <c r="N27" s="2" t="n"/>
      <c r="O27" s="2" t="n"/>
      <c r="P27" s="2" t="n"/>
      <c r="Q27" s="2" t="n"/>
      <c r="R27" s="2" t="n"/>
      <c r="S27" s="2" t="n"/>
    </row>
    <row r="28" ht="23" customHeight="1">
      <c r="A28" s="2" t="n"/>
      <c r="B28" s="2" t="n"/>
      <c r="C28" s="2" t="n"/>
      <c r="D28" s="2" t="n"/>
      <c r="E28" s="2" t="n"/>
      <c r="F28" s="2" t="n"/>
      <c r="G28" s="2" t="n"/>
      <c r="H28" s="2" t="n"/>
      <c r="I28" s="2" t="n"/>
      <c r="J28" s="2" t="n"/>
      <c r="K28" s="2" t="n"/>
      <c r="L28" s="2" t="n"/>
      <c r="M28" s="2" t="n"/>
      <c r="N28" s="2" t="n"/>
      <c r="O28" s="2" t="n"/>
      <c r="P28" s="2" t="n"/>
      <c r="Q28" s="2" t="n"/>
      <c r="R28" s="2" t="n"/>
      <c r="S28" s="2" t="n"/>
    </row>
    <row r="29" ht="23" customHeight="1">
      <c r="A29" s="2" t="n"/>
      <c r="B29" s="2" t="n"/>
      <c r="C29" s="2" t="n"/>
      <c r="D29" s="2" t="n"/>
      <c r="E29" s="2" t="n"/>
      <c r="F29" s="2" t="n"/>
      <c r="G29" s="2" t="n"/>
      <c r="H29" s="2" t="n"/>
      <c r="I29" s="2" t="n"/>
      <c r="J29" s="2" t="n"/>
      <c r="K29" s="2" t="n"/>
      <c r="L29" s="2" t="n"/>
      <c r="M29" s="2" t="n"/>
      <c r="N29" s="2" t="n"/>
      <c r="O29" s="2" t="n"/>
      <c r="P29" s="2" t="n"/>
      <c r="Q29" s="2" t="n"/>
      <c r="R29" s="2" t="n"/>
      <c r="S29" s="2" t="n"/>
    </row>
    <row r="30" ht="23" customHeight="1">
      <c r="A30" s="2" t="n"/>
      <c r="B30" s="2" t="n"/>
      <c r="C30" s="2" t="n"/>
      <c r="D30" s="2" t="n"/>
      <c r="E30" s="2" t="n"/>
      <c r="F30" s="2" t="n"/>
      <c r="G30" s="2" t="n"/>
      <c r="H30" s="2" t="n"/>
      <c r="I30" s="2" t="n"/>
      <c r="J30" s="2" t="n"/>
      <c r="K30" s="2" t="n"/>
      <c r="L30" s="2" t="n"/>
      <c r="M30" s="2" t="n"/>
      <c r="N30" s="2" t="n"/>
      <c r="O30" s="2" t="n"/>
      <c r="P30" s="2" t="n"/>
      <c r="Q30" s="2" t="n"/>
      <c r="R30" s="2" t="n"/>
      <c r="S30" s="2" t="n"/>
    </row>
    <row r="31" ht="23" customHeight="1">
      <c r="A31" s="2" t="n"/>
      <c r="B31" s="2" t="n"/>
      <c r="C31" s="2" t="n"/>
      <c r="D31" s="2" t="n"/>
      <c r="E31" s="2" t="n"/>
      <c r="F31" s="2" t="n"/>
      <c r="G31" s="2" t="n"/>
      <c r="H31" s="2" t="n"/>
      <c r="I31" s="2" t="n"/>
      <c r="J31" s="2" t="n"/>
      <c r="K31" s="2" t="n"/>
      <c r="L31" s="2" t="n"/>
      <c r="M31" s="2" t="n"/>
      <c r="N31" s="2" t="n"/>
      <c r="O31" s="2" t="n"/>
      <c r="P31" s="2" t="n"/>
      <c r="Q31" s="2" t="n"/>
      <c r="R31" s="2" t="n"/>
      <c r="S31" s="2" t="n"/>
    </row>
    <row r="32" ht="23" customHeight="1">
      <c r="A32" s="2" t="n"/>
      <c r="B32" s="2" t="n"/>
      <c r="C32" s="2" t="n"/>
      <c r="D32" s="2" t="n"/>
      <c r="E32" s="2" t="n"/>
      <c r="F32" s="2" t="n"/>
      <c r="G32" s="2" t="n"/>
      <c r="H32" s="2" t="n"/>
      <c r="I32" s="2" t="n"/>
      <c r="J32" s="2" t="n"/>
      <c r="K32" s="2" t="n"/>
      <c r="L32" s="2" t="n"/>
      <c r="M32" s="2" t="n"/>
      <c r="N32" s="2" t="n"/>
      <c r="O32" s="2" t="n"/>
      <c r="P32" s="2" t="n"/>
      <c r="Q32" s="2" t="n"/>
      <c r="R32" s="2" t="n"/>
      <c r="S32" s="2" t="n"/>
    </row>
    <row r="33" ht="23" customHeight="1">
      <c r="A33" s="2" t="n"/>
      <c r="B33" s="2" t="n"/>
      <c r="C33" s="2" t="n"/>
      <c r="D33" s="2" t="n"/>
      <c r="E33" s="2" t="n"/>
      <c r="F33" s="2" t="n"/>
      <c r="G33" s="2" t="n"/>
      <c r="H33" s="2" t="n"/>
      <c r="I33" s="2" t="n"/>
      <c r="J33" s="2" t="n"/>
      <c r="K33" s="2" t="n"/>
      <c r="L33" s="2" t="n"/>
      <c r="M33" s="2" t="n"/>
      <c r="N33" s="2" t="n"/>
      <c r="O33" s="2" t="n"/>
      <c r="P33" s="2" t="n"/>
      <c r="Q33" s="2" t="n"/>
      <c r="R33" s="2" t="n"/>
      <c r="S33" s="2" t="n"/>
    </row>
    <row r="34" ht="23" customHeight="1">
      <c r="A34" s="2" t="n"/>
      <c r="B34" s="2" t="n"/>
      <c r="C34" s="2" t="n"/>
      <c r="D34" s="2" t="n"/>
      <c r="E34" s="2" t="n"/>
      <c r="F34" s="2" t="n"/>
      <c r="G34" s="2" t="n"/>
      <c r="H34" s="2" t="n"/>
      <c r="I34" s="2" t="n"/>
      <c r="J34" s="2" t="n"/>
      <c r="K34" s="2" t="n"/>
      <c r="L34" s="2" t="n"/>
      <c r="M34" s="2" t="n"/>
      <c r="N34" s="2" t="n"/>
      <c r="O34" s="2" t="n"/>
      <c r="P34" s="2" t="n"/>
      <c r="Q34" s="2" t="n"/>
      <c r="R34" s="2" t="n"/>
      <c r="S34" s="2" t="n"/>
    </row>
    <row r="35" ht="23" customHeight="1">
      <c r="A35" s="2" t="n"/>
      <c r="B35" s="2" t="n"/>
      <c r="C35" s="2" t="n"/>
      <c r="D35" s="2" t="n"/>
      <c r="E35" s="2" t="n"/>
      <c r="F35" s="2" t="n"/>
      <c r="G35" s="2" t="n"/>
      <c r="H35" s="2" t="n"/>
      <c r="I35" s="2" t="n"/>
      <c r="J35" s="2" t="n"/>
      <c r="K35" s="2" t="n"/>
      <c r="L35" s="2" t="n"/>
      <c r="M35" s="2" t="n"/>
      <c r="N35" s="2" t="n"/>
      <c r="O35" s="2" t="n"/>
      <c r="P35" s="2" t="n"/>
      <c r="Q35" s="2" t="n"/>
      <c r="R35" s="2" t="n"/>
      <c r="S35" s="2" t="n"/>
    </row>
    <row r="36" ht="23" customHeight="1">
      <c r="A36" s="2" t="n"/>
      <c r="B36" s="2" t="n"/>
      <c r="C36" s="2" t="n"/>
      <c r="D36" s="2" t="n"/>
      <c r="E36" s="2" t="n"/>
      <c r="F36" s="2" t="n"/>
      <c r="G36" s="2" t="n"/>
      <c r="H36" s="2" t="n"/>
      <c r="I36" s="2" t="n"/>
      <c r="J36" s="2" t="n"/>
      <c r="K36" s="2" t="n"/>
      <c r="L36" s="2" t="n"/>
      <c r="M36" s="2" t="n"/>
      <c r="N36" s="2" t="n"/>
      <c r="O36" s="2" t="n"/>
      <c r="P36" s="2" t="n"/>
      <c r="Q36" s="2" t="n"/>
      <c r="R36" s="2" t="n"/>
      <c r="S36" s="2" t="n"/>
    </row>
    <row r="37" ht="23" customHeight="1">
      <c r="A37" s="2" t="n"/>
      <c r="B37" s="2" t="n"/>
      <c r="C37" s="2" t="n"/>
      <c r="D37" s="2" t="n"/>
      <c r="E37" s="2" t="n"/>
      <c r="F37" s="2" t="n"/>
      <c r="G37" s="2" t="n"/>
      <c r="H37" s="2" t="n"/>
      <c r="I37" s="2" t="n"/>
      <c r="J37" s="2" t="n"/>
      <c r="K37" s="2" t="n"/>
      <c r="L37" s="2" t="n"/>
      <c r="M37" s="2" t="n"/>
      <c r="N37" s="2" t="n"/>
      <c r="O37" s="2" t="n"/>
      <c r="P37" s="2" t="n"/>
      <c r="Q37" s="2" t="n"/>
      <c r="R37" s="2" t="n"/>
      <c r="S37" s="2" t="n"/>
    </row>
    <row r="38" ht="23" customHeight="1">
      <c r="A38" s="2" t="n"/>
      <c r="B38" s="2" t="n"/>
      <c r="C38" s="2" t="n"/>
      <c r="D38" s="2" t="n"/>
      <c r="E38" s="2" t="n"/>
      <c r="F38" s="2" t="n"/>
      <c r="G38" s="2" t="n"/>
      <c r="H38" s="2" t="n"/>
      <c r="I38" s="2" t="n"/>
      <c r="J38" s="2" t="n"/>
      <c r="K38" s="2" t="n"/>
      <c r="L38" s="2" t="n"/>
      <c r="M38" s="2" t="n"/>
      <c r="N38" s="2" t="n"/>
      <c r="O38" s="2" t="n"/>
      <c r="P38" s="2" t="n"/>
      <c r="Q38" s="2" t="n"/>
      <c r="R38" s="2" t="n"/>
      <c r="S38" s="2" t="n"/>
    </row>
    <row r="39" ht="23" customHeight="1">
      <c r="A39" s="2" t="n"/>
      <c r="B39" s="2" t="n"/>
      <c r="C39" s="2" t="n"/>
      <c r="D39" s="2" t="n"/>
      <c r="E39" s="2" t="n"/>
      <c r="F39" s="2" t="n"/>
      <c r="G39" s="2" t="n"/>
      <c r="H39" s="2" t="n"/>
      <c r="I39" s="2" t="n"/>
      <c r="J39" s="2" t="n"/>
      <c r="K39" s="2" t="n"/>
      <c r="L39" s="2" t="n"/>
      <c r="M39" s="2" t="n"/>
      <c r="N39" s="2" t="n"/>
      <c r="O39" s="2" t="n"/>
      <c r="P39" s="2" t="n"/>
      <c r="Q39" s="2" t="n"/>
      <c r="R39" s="2" t="n"/>
      <c r="S39" s="2" t="n"/>
    </row>
    <row r="40" ht="23" customHeight="1">
      <c r="A40" s="2" t="n"/>
      <c r="B40" s="2" t="n"/>
      <c r="C40" s="2" t="n"/>
      <c r="D40" s="2" t="n"/>
      <c r="E40" s="2" t="n"/>
      <c r="F40" s="2" t="n"/>
      <c r="G40" s="2" t="n"/>
      <c r="H40" s="2" t="n"/>
      <c r="I40" s="2" t="n"/>
      <c r="J40" s="2" t="n"/>
      <c r="K40" s="2" t="n"/>
      <c r="L40" s="2" t="n"/>
      <c r="M40" s="2" t="n"/>
      <c r="N40" s="2" t="n"/>
      <c r="O40" s="2" t="n"/>
      <c r="P40" s="2" t="n"/>
      <c r="Q40" s="2" t="n"/>
      <c r="R40" s="2" t="n"/>
      <c r="S40" s="2" t="n"/>
    </row>
    <row r="41" ht="23" customHeight="1">
      <c r="A41" s="2" t="n"/>
      <c r="B41" s="2" t="n"/>
      <c r="C41" s="2" t="n"/>
      <c r="D41" s="2" t="n"/>
      <c r="E41" s="2" t="n"/>
      <c r="F41" s="2" t="n"/>
      <c r="G41" s="2" t="n"/>
      <c r="H41" s="2" t="n"/>
      <c r="I41" s="2" t="n"/>
      <c r="J41" s="2" t="n"/>
      <c r="K41" s="2" t="n"/>
      <c r="L41" s="2" t="n"/>
      <c r="M41" s="2" t="n"/>
      <c r="N41" s="2" t="n"/>
      <c r="O41" s="2" t="n"/>
      <c r="P41" s="2" t="n"/>
      <c r="Q41" s="2" t="n"/>
      <c r="R41" s="2" t="n"/>
      <c r="S41" s="2" t="n"/>
    </row>
    <row r="42" ht="23" customHeight="1">
      <c r="A42" s="47" t="inlineStr">
        <is>
          <t>Australian revenue and growth: seven of the top 10 institutions</t>
        </is>
      </c>
      <c r="O42" s="2" t="n"/>
      <c r="P42" s="2" t="n"/>
      <c r="Q42" s="2" t="n"/>
      <c r="R42" s="2" t="n"/>
      <c r="S42" s="2" t="n"/>
    </row>
    <row r="43" ht="23" customHeight="1">
      <c r="A43" s="6" t="inlineStr">
        <is>
          <t>Separate measures in AUD millions. Melbourne is the Business School entity. Periods and definitions differ; amounts must not be aggregated. Three institutions have no comparable numeric row.</t>
        </is>
      </c>
      <c r="O43" s="2" t="n"/>
      <c r="P43" s="2" t="n"/>
      <c r="Q43" s="2" t="n"/>
      <c r="R43" s="2" t="n"/>
      <c r="S43" s="2" t="n"/>
    </row>
    <row r="44" ht="23" customHeight="1">
      <c r="O44" s="2" t="n"/>
      <c r="P44" s="2" t="n"/>
      <c r="Q44" s="2" t="n"/>
      <c r="R44" s="2" t="n"/>
      <c r="S44" s="2" t="n"/>
    </row>
    <row r="45" ht="23" customHeight="1">
      <c r="A45" s="2" t="n"/>
      <c r="B45" s="2" t="n"/>
      <c r="C45" s="2" t="n"/>
      <c r="D45" s="2" t="n"/>
      <c r="E45" s="2" t="n"/>
      <c r="F45" s="2" t="n"/>
      <c r="G45" s="2" t="n"/>
      <c r="H45" s="2" t="n"/>
      <c r="I45" s="2" t="n"/>
      <c r="J45" s="2" t="n"/>
      <c r="K45" s="2" t="n"/>
      <c r="L45" s="2" t="n"/>
      <c r="M45" s="2" t="n"/>
      <c r="N45" s="2" t="n"/>
      <c r="O45" s="2" t="n"/>
      <c r="P45" s="2" t="n"/>
      <c r="Q45" s="2" t="n"/>
      <c r="R45" s="2" t="n"/>
      <c r="S45" s="2" t="n"/>
    </row>
    <row r="46" ht="23" customHeight="1">
      <c r="A46" s="9" t="inlineStr">
        <is>
          <t>Institution</t>
        </is>
      </c>
      <c r="D46" s="9" t="inlineStr">
        <is>
          <t>Reported metric</t>
        </is>
      </c>
      <c r="I46" s="9" t="inlineStr">
        <is>
          <t>Current period</t>
        </is>
      </c>
      <c r="K46" s="9" t="inlineStr">
        <is>
          <t>AUD m</t>
        </is>
      </c>
      <c r="M46" s="9" t="inlineStr">
        <is>
          <t>Growth</t>
        </is>
      </c>
      <c r="O46" s="2" t="n"/>
      <c r="P46" s="2" t="n"/>
      <c r="Q46" s="2" t="n"/>
      <c r="R46" s="2" t="n"/>
      <c r="S46" s="2" t="n"/>
    </row>
    <row r="47" ht="34" customHeight="1">
      <c r="A47" s="56">
        <f>'Revenue evidence'!B32</f>
        <v/>
      </c>
      <c r="D47" s="56">
        <f>'Revenue evidence'!D32</f>
        <v/>
      </c>
      <c r="I47" s="56">
        <f>'Revenue evidence'!H32</f>
        <v/>
      </c>
      <c r="K47" s="65">
        <f>'Revenue evidence'!I32</f>
        <v/>
      </c>
      <c r="M47" s="66">
        <f>'Revenue evidence'!J32</f>
        <v/>
      </c>
      <c r="O47" s="2" t="n"/>
      <c r="P47" s="2" t="n"/>
      <c r="Q47" s="2" t="n"/>
      <c r="R47" s="2" t="n"/>
      <c r="S47" s="2" t="n"/>
    </row>
    <row r="48" ht="34" customHeight="1">
      <c r="A48" s="10">
        <f>'Revenue evidence'!B33</f>
        <v/>
      </c>
      <c r="D48" s="10">
        <f>'Revenue evidence'!D33</f>
        <v/>
      </c>
      <c r="I48" s="10">
        <f>'Revenue evidence'!H33</f>
        <v/>
      </c>
      <c r="K48" s="67">
        <f>'Revenue evidence'!I33</f>
        <v/>
      </c>
      <c r="M48" s="68">
        <f>'Revenue evidence'!J33</f>
        <v/>
      </c>
      <c r="O48" s="2" t="n"/>
      <c r="P48" s="2" t="n"/>
      <c r="Q48" s="2" t="n"/>
      <c r="R48" s="2" t="n"/>
      <c r="S48" s="2" t="n"/>
    </row>
    <row r="49" ht="34" customHeight="1">
      <c r="A49" s="56">
        <f>'Revenue evidence'!B34</f>
        <v/>
      </c>
      <c r="D49" s="56">
        <f>'Revenue evidence'!D34</f>
        <v/>
      </c>
      <c r="I49" s="56">
        <f>'Revenue evidence'!H34</f>
        <v/>
      </c>
      <c r="K49" s="65">
        <f>'Revenue evidence'!I34</f>
        <v/>
      </c>
      <c r="M49" s="66">
        <f>'Revenue evidence'!J34</f>
        <v/>
      </c>
      <c r="O49" s="2" t="n"/>
      <c r="P49" s="2" t="n"/>
      <c r="Q49" s="2" t="n"/>
      <c r="R49" s="2" t="n"/>
      <c r="S49" s="2" t="n"/>
    </row>
    <row r="50" ht="34" customHeight="1">
      <c r="A50" s="10">
        <f>'Revenue evidence'!B37</f>
        <v/>
      </c>
      <c r="D50" s="10">
        <f>'Revenue evidence'!D37</f>
        <v/>
      </c>
      <c r="I50" s="10">
        <f>'Revenue evidence'!H37</f>
        <v/>
      </c>
      <c r="K50" s="67">
        <f>'Revenue evidence'!I37</f>
        <v/>
      </c>
      <c r="M50" s="68">
        <f>'Revenue evidence'!J37</f>
        <v/>
      </c>
      <c r="O50" s="2" t="n"/>
      <c r="P50" s="2" t="n"/>
      <c r="Q50" s="2" t="n"/>
      <c r="R50" s="2" t="n"/>
      <c r="S50" s="2" t="n"/>
    </row>
    <row r="51" ht="34" customHeight="1">
      <c r="A51" s="56">
        <f>'Revenue evidence'!B38</f>
        <v/>
      </c>
      <c r="D51" s="56">
        <f>'Revenue evidence'!D38</f>
        <v/>
      </c>
      <c r="I51" s="56">
        <f>'Revenue evidence'!H38</f>
        <v/>
      </c>
      <c r="K51" s="65">
        <f>'Revenue evidence'!I38</f>
        <v/>
      </c>
      <c r="M51" s="66">
        <f>'Revenue evidence'!J38</f>
        <v/>
      </c>
      <c r="O51" s="2" t="n"/>
      <c r="P51" s="2" t="n"/>
      <c r="Q51" s="2" t="n"/>
      <c r="R51" s="2" t="n"/>
      <c r="S51" s="2" t="n"/>
    </row>
    <row r="52" ht="34" customHeight="1">
      <c r="A52" s="10">
        <f>'Revenue evidence'!B40</f>
        <v/>
      </c>
      <c r="D52" s="10">
        <f>'Revenue evidence'!D40</f>
        <v/>
      </c>
      <c r="I52" s="10">
        <f>'Revenue evidence'!H40</f>
        <v/>
      </c>
      <c r="K52" s="67">
        <f>'Revenue evidence'!I40</f>
        <v/>
      </c>
      <c r="M52" s="68">
        <f>'Revenue evidence'!J40</f>
        <v/>
      </c>
      <c r="O52" s="2" t="n"/>
      <c r="P52" s="2" t="n"/>
      <c r="Q52" s="2" t="n"/>
      <c r="R52" s="2" t="n"/>
      <c r="S52" s="2" t="n"/>
    </row>
    <row r="53" ht="34" customHeight="1">
      <c r="A53" s="56">
        <f>'Revenue evidence'!B41</f>
        <v/>
      </c>
      <c r="D53" s="56">
        <f>'Revenue evidence'!D41</f>
        <v/>
      </c>
      <c r="I53" s="56">
        <f>'Revenue evidence'!H41</f>
        <v/>
      </c>
      <c r="K53" s="65">
        <f>'Revenue evidence'!I41</f>
        <v/>
      </c>
      <c r="M53" s="66">
        <f>'Revenue evidence'!J41</f>
        <v/>
      </c>
      <c r="O53" s="2" t="n"/>
      <c r="P53" s="2" t="n"/>
      <c r="Q53" s="2" t="n"/>
      <c r="R53" s="2" t="n"/>
      <c r="S53" s="2" t="n"/>
    </row>
    <row r="54" ht="23" customHeight="1">
      <c r="A54" s="2" t="n"/>
      <c r="B54" s="2" t="n"/>
      <c r="C54" s="2" t="n"/>
      <c r="D54" s="2" t="n"/>
      <c r="E54" s="2" t="n"/>
      <c r="F54" s="2" t="n"/>
      <c r="G54" s="2" t="n"/>
      <c r="H54" s="2" t="n"/>
      <c r="I54" s="2" t="n"/>
      <c r="J54" s="2" t="n"/>
      <c r="K54" s="2" t="n"/>
      <c r="L54" s="2" t="n"/>
      <c r="M54" s="2" t="n"/>
      <c r="N54" s="2" t="n"/>
      <c r="O54" s="2" t="n"/>
      <c r="P54" s="2" t="n"/>
      <c r="Q54" s="2" t="n"/>
      <c r="R54" s="2" t="n"/>
      <c r="S54" s="2" t="n"/>
    </row>
    <row r="55" ht="23" customHeight="1">
      <c r="A55" s="2" t="n"/>
      <c r="B55" s="2" t="n"/>
      <c r="C55" s="2" t="n"/>
      <c r="D55" s="2" t="n"/>
      <c r="E55" s="2" t="n"/>
      <c r="F55" s="2" t="n"/>
      <c r="G55" s="2" t="n"/>
      <c r="H55" s="2" t="n"/>
      <c r="I55" s="2" t="n"/>
      <c r="J55" s="2" t="n"/>
      <c r="K55" s="2" t="n"/>
      <c r="L55" s="2" t="n"/>
      <c r="M55" s="2" t="n"/>
      <c r="N55" s="2" t="n"/>
      <c r="O55" s="2" t="n"/>
      <c r="P55" s="2" t="n"/>
      <c r="Q55" s="2" t="n"/>
      <c r="R55" s="2" t="n"/>
      <c r="S55" s="2" t="n"/>
    </row>
    <row r="56" ht="23" customHeight="1">
      <c r="A56" s="47" t="inlineStr">
        <is>
          <t>Experiential-learning research coverage (strict-definition review; detail in 'EL dashboard')</t>
        </is>
      </c>
      <c r="O56" s="2" t="n"/>
      <c r="P56" s="2" t="n"/>
      <c r="Q56" s="2" t="n"/>
      <c r="R56" s="2" t="n"/>
      <c r="S56" s="2" t="n"/>
    </row>
    <row r="57" ht="23" customHeight="1">
      <c r="A57" s="51" t="inlineStr">
        <is>
          <t>Institutions in scope / reviewed</t>
        </is>
      </c>
      <c r="F57" s="62">
        <f>COUNTA('EL institution summary'!$A$7:$A$130)</f>
        <v/>
      </c>
      <c r="H57" s="2" t="n"/>
      <c r="I57" s="51" t="inlineStr">
        <is>
          <t>Current qualifying schemes</t>
        </is>
      </c>
      <c r="M57" s="62">
        <f>COUNTIF('EL scheme register'!$AJ$7:$AJ$610,"Yes")</f>
        <v/>
      </c>
      <c r="O57" s="2" t="n"/>
      <c r="P57" s="2" t="n"/>
      <c r="Q57" s="2" t="n"/>
      <c r="R57" s="2" t="n"/>
      <c r="S57" s="2" t="n"/>
    </row>
    <row r="58" ht="34" customHeight="1">
      <c r="A58" s="51" t="inlineStr">
        <is>
          <t>With ≥1 current qualifying scheme</t>
        </is>
      </c>
      <c r="F58" s="62">
        <f>COUNTIF('EL institution summary'!$N$7:$N$130,"&gt;0")</f>
        <v/>
      </c>
      <c r="H58" s="2" t="n"/>
      <c r="I58" s="51" t="inlineStr">
        <is>
          <t>Institutions fully reviewed</t>
        </is>
      </c>
      <c r="M58" s="62">
        <f>COUNTIF('EL institution summary'!$H$7:$H$130,"Complete")</f>
        <v/>
      </c>
      <c r="O58" s="2" t="n"/>
      <c r="P58" s="2" t="n"/>
      <c r="Q58" s="2" t="n"/>
      <c r="R58" s="2" t="n"/>
      <c r="S58" s="2" t="n"/>
    </row>
    <row r="59" ht="23" customHeight="1">
      <c r="A59" s="2" t="n"/>
      <c r="B59" s="2" t="n"/>
      <c r="C59" s="2" t="n"/>
      <c r="D59" s="2" t="n"/>
      <c r="E59" s="2" t="n"/>
      <c r="F59" s="2" t="n"/>
      <c r="G59" s="2" t="n"/>
      <c r="H59" s="2" t="n"/>
      <c r="I59" s="2" t="n"/>
      <c r="J59" s="2" t="n"/>
      <c r="K59" s="2" t="n"/>
      <c r="L59" s="2" t="n"/>
      <c r="M59" s="2" t="n"/>
      <c r="N59" s="2" t="n"/>
      <c r="O59" s="2" t="n"/>
      <c r="P59" s="2" t="n"/>
      <c r="Q59" s="2" t="n"/>
      <c r="R59" s="2" t="n"/>
      <c r="S59" s="2" t="n"/>
    </row>
    <row r="60" ht="23" customHeight="1">
      <c r="A60" s="6" t="inlineStr">
        <is>
          <t>Qualifying = project-based, group working and connected to a real external organisation on the same route, with current delivery confirmed. The legacy scheme sample (152 frameworks/examples) is retained in 'Legacy schemes (v3)'. Lifelong-learning revenue above is NOT revenue from these schemes.</t>
        </is>
      </c>
      <c r="O60" s="2" t="n"/>
      <c r="P60" s="2" t="n"/>
      <c r="Q60" s="2" t="n"/>
      <c r="R60" s="2" t="n"/>
      <c r="S60" s="2" t="n"/>
    </row>
    <row r="61" ht="23" customHeight="1">
      <c r="O61" s="2" t="n"/>
      <c r="P61" s="2" t="n"/>
      <c r="Q61" s="2" t="n"/>
      <c r="R61" s="2" t="n"/>
      <c r="S61" s="2" t="n"/>
    </row>
    <row r="62" ht="23" customHeight="1">
      <c r="A62" s="2" t="n"/>
      <c r="B62" s="2" t="n"/>
      <c r="C62" s="2" t="n"/>
      <c r="D62" s="2" t="n"/>
      <c r="E62" s="2" t="n"/>
      <c r="F62" s="2" t="n"/>
      <c r="G62" s="2" t="n"/>
      <c r="H62" s="2" t="n"/>
      <c r="I62" s="2" t="n"/>
      <c r="J62" s="2" t="n"/>
      <c r="K62" s="2" t="n"/>
      <c r="L62" s="2" t="n"/>
      <c r="M62" s="2" t="n"/>
      <c r="N62" s="2" t="n"/>
      <c r="O62" s="2" t="n"/>
      <c r="P62" s="2" t="n"/>
      <c r="Q62" s="2" t="n"/>
      <c r="R62" s="2" t="n"/>
      <c r="S62" s="2" t="n"/>
    </row>
    <row r="63" ht="23" customHeight="1">
      <c r="A63" s="2" t="n"/>
      <c r="B63" s="2" t="n"/>
      <c r="C63" s="2" t="n"/>
      <c r="D63" s="2" t="n"/>
      <c r="E63" s="2" t="n"/>
      <c r="F63" s="2" t="n"/>
      <c r="G63" s="2" t="n"/>
      <c r="H63" s="2" t="n"/>
      <c r="I63" s="2" t="n"/>
      <c r="J63" s="2" t="n"/>
      <c r="K63" s="2" t="n"/>
      <c r="L63" s="2" t="n"/>
      <c r="M63" s="2" t="n"/>
      <c r="N63" s="2" t="n"/>
      <c r="O63" s="2" t="n"/>
      <c r="P63" s="2" t="n"/>
      <c r="Q63" s="2" t="n"/>
      <c r="R63" s="2" t="n"/>
      <c r="S63" s="2" t="n"/>
    </row>
    <row r="64" ht="23" customHeight="1">
      <c r="A64" s="2" t="n"/>
      <c r="B64" s="2" t="n"/>
      <c r="C64" s="2" t="n"/>
      <c r="D64" s="2" t="n"/>
      <c r="E64" s="2" t="n"/>
      <c r="F64" s="2" t="n"/>
      <c r="G64" s="2" t="n"/>
      <c r="H64" s="2" t="n"/>
      <c r="I64" s="2" t="n"/>
      <c r="J64" s="2" t="n"/>
      <c r="K64" s="2" t="n"/>
      <c r="L64" s="2" t="n"/>
      <c r="M64" s="2" t="n"/>
      <c r="N64" s="2" t="n"/>
      <c r="O64" s="2" t="n"/>
      <c r="P64" s="2" t="n"/>
      <c r="Q64" s="2" t="n"/>
      <c r="R64" s="2" t="n"/>
      <c r="S64" s="2" t="n"/>
    </row>
  </sheetData>
  <mergeCells count="87">
    <mergeCell ref="A5:D5"/>
    <mergeCell ref="I14:L14"/>
    <mergeCell ref="K49:L49"/>
    <mergeCell ref="A46:C46"/>
    <mergeCell ref="F16:G16"/>
    <mergeCell ref="I12:N12"/>
    <mergeCell ref="D52:H52"/>
    <mergeCell ref="F15:G15"/>
    <mergeCell ref="K50:L50"/>
    <mergeCell ref="A52:C52"/>
    <mergeCell ref="M16:N16"/>
    <mergeCell ref="K52:L52"/>
    <mergeCell ref="D53:H53"/>
    <mergeCell ref="D47:H47"/>
    <mergeCell ref="A57:E57"/>
    <mergeCell ref="I16:L16"/>
    <mergeCell ref="M18:N18"/>
    <mergeCell ref="I52:J52"/>
    <mergeCell ref="M17:N17"/>
    <mergeCell ref="K53:L53"/>
    <mergeCell ref="A49:C49"/>
    <mergeCell ref="I18:L18"/>
    <mergeCell ref="I58:L58"/>
    <mergeCell ref="M47:N47"/>
    <mergeCell ref="A60:N61"/>
    <mergeCell ref="M50:N50"/>
    <mergeCell ref="F57:G57"/>
    <mergeCell ref="I46:J46"/>
    <mergeCell ref="F19:G19"/>
    <mergeCell ref="A6:D7"/>
    <mergeCell ref="K51:L51"/>
    <mergeCell ref="M51:N51"/>
    <mergeCell ref="A14:C14"/>
    <mergeCell ref="D49:H49"/>
    <mergeCell ref="I15:L15"/>
    <mergeCell ref="F17:G17"/>
    <mergeCell ref="A3:N3"/>
    <mergeCell ref="I57:L57"/>
    <mergeCell ref="F5:I5"/>
    <mergeCell ref="A15:C15"/>
    <mergeCell ref="A51:C51"/>
    <mergeCell ref="D15:E15"/>
    <mergeCell ref="A12:G12"/>
    <mergeCell ref="M53:N53"/>
    <mergeCell ref="A58:E58"/>
    <mergeCell ref="A16:C16"/>
    <mergeCell ref="F6:I7"/>
    <mergeCell ref="I17:L17"/>
    <mergeCell ref="M52:N52"/>
    <mergeCell ref="M49:N49"/>
    <mergeCell ref="D46:H46"/>
    <mergeCell ref="A50:C50"/>
    <mergeCell ref="M48:N48"/>
    <mergeCell ref="A47:C47"/>
    <mergeCell ref="I47:J47"/>
    <mergeCell ref="K47:L47"/>
    <mergeCell ref="K46:L46"/>
    <mergeCell ref="D17:E17"/>
    <mergeCell ref="K5:N5"/>
    <mergeCell ref="A9:N10"/>
    <mergeCell ref="M15:N15"/>
    <mergeCell ref="A2:N2"/>
    <mergeCell ref="I51:J51"/>
    <mergeCell ref="D14:E14"/>
    <mergeCell ref="F14:G14"/>
    <mergeCell ref="I50:J50"/>
    <mergeCell ref="D50:H50"/>
    <mergeCell ref="M58:N58"/>
    <mergeCell ref="I49:J49"/>
    <mergeCell ref="A17:C17"/>
    <mergeCell ref="A53:C53"/>
    <mergeCell ref="I53:J53"/>
    <mergeCell ref="D48:H48"/>
    <mergeCell ref="A56:N56"/>
    <mergeCell ref="D16:E16"/>
    <mergeCell ref="A43:N44"/>
    <mergeCell ref="M46:N46"/>
    <mergeCell ref="A42:N42"/>
    <mergeCell ref="A48:C48"/>
    <mergeCell ref="I48:J48"/>
    <mergeCell ref="F58:G58"/>
    <mergeCell ref="K48:L48"/>
    <mergeCell ref="M57:N57"/>
    <mergeCell ref="M14:N14"/>
    <mergeCell ref="A19:E19"/>
    <mergeCell ref="D51:H51"/>
    <mergeCell ref="K6:N7"/>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M60"/>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4" customWidth="1" min="7" max="7"/>
    <col width="34" customWidth="1" min="8" max="8"/>
    <col width="13" customWidth="1" min="9" max="9"/>
    <col width="13" customWidth="1" min="10" max="10"/>
    <col width="13" customWidth="1" min="11" max="11"/>
    <col width="13" customWidth="1" min="12" max="12"/>
    <col width="13" customWidth="1" min="13" max="13"/>
  </cols>
  <sheetData>
    <row r="2">
      <c r="A2" s="69" t="inlineStr">
        <is>
          <t>Experiential learning dashboard: collaborative employer-connected projects</t>
        </is>
      </c>
    </row>
    <row r="3">
      <c r="A3" s="70" t="inlineStr">
        <is>
          <t>Findings within the researched 124-institution sample (purposive, not random) — not estimates of national prevalence. A qualifying scheme = project-based AND group working AND connected to a real external organisation (all Yes on the same route) with current delivery confirmed; umbrellas with counted children are not double-counted.</t>
        </is>
      </c>
    </row>
    <row r="4"/>
    <row r="6">
      <c r="A6" s="71" t="inlineStr">
        <is>
          <t>Institutions in scope</t>
        </is>
      </c>
      <c r="C6" s="71" t="inlineStr">
        <is>
          <t>Fully reviewed</t>
        </is>
      </c>
      <c r="E6" s="71" t="inlineStr">
        <is>
          <t>Partially reviewed</t>
        </is>
      </c>
      <c r="H6" s="71" t="inlineStr">
        <is>
          <t>Not yet reviewed</t>
        </is>
      </c>
      <c r="J6" s="71" t="inlineStr">
        <is>
          <t>With ≥1 current qualifying scheme</t>
        </is>
      </c>
    </row>
    <row r="7">
      <c r="A7" s="72">
        <f>COUNTA('EL institution summary'!$A$7:$A$130)</f>
        <v/>
      </c>
      <c r="C7" s="72">
        <f>COUNTIF('EL institution summary'!$H$7:$H$130,"Complete")</f>
        <v/>
      </c>
      <c r="E7" s="72">
        <f>COUNTIF('EL institution summary'!$H$7:$H$130,"Partial")</f>
        <v/>
      </c>
      <c r="H7" s="72">
        <f>COUNTIF('EL institution summary'!$H$7:$H$130,"Not started")</f>
        <v/>
      </c>
      <c r="J7" s="72">
        <f>COUNTIF('EL institution summary'!$N$7:$N$130,"&gt;0")</f>
        <v/>
      </c>
    </row>
    <row r="8">
      <c r="J8" s="73" t="inlineStr">
        <is>
          <t>denominator = reviewed (full + partial)</t>
        </is>
      </c>
    </row>
    <row r="10">
      <c r="A10" s="71" t="inlineStr">
        <is>
          <t>Distinct current qualifying schemes</t>
        </is>
      </c>
      <c r="C10" s="71" t="inlineStr">
        <is>
          <t>Records in scheme register</t>
        </is>
      </c>
      <c r="E10" s="71" t="inlineStr">
        <is>
          <t>Exclusion / near-miss records</t>
        </is>
      </c>
      <c r="H10" s="71" t="inlineStr">
        <is>
          <t>Source rows (claim-level)</t>
        </is>
      </c>
      <c r="J10" s="71" t="inlineStr">
        <is>
          <t>Reviewed institutions with none verified</t>
        </is>
      </c>
    </row>
    <row r="11">
      <c r="A11" s="72">
        <f>COUNTIF('EL scheme register'!$AJ$7:$AJ$610,"Yes")</f>
        <v/>
      </c>
      <c r="C11" s="72">
        <f>COUNTA('EL scheme register'!$D$7:$D$610)</f>
        <v/>
      </c>
      <c r="E11" s="72">
        <f>COUNTA('EL exclusions &amp; gaps'!$A$7:$A$5000)</f>
        <v/>
      </c>
      <c r="H11" s="72">
        <f>COUNTA('EL sources'!$A$7:$A$20000)</f>
        <v/>
      </c>
      <c r="J11" s="72">
        <f>COUNTIFS('EL institution summary'!$H$7:$H$130,"&lt;&gt;Not started",'EL institution summary'!$N$7:$N$130,0)</f>
        <v/>
      </c>
    </row>
    <row r="12">
      <c r="J12" s="73" t="inlineStr">
        <is>
          <t>"no qualifying scheme verified through the documented search"</t>
        </is>
      </c>
    </row>
    <row r="15">
      <c r="A15" s="74" t="inlineStr">
        <is>
          <t>Current qualifying schemes by academic reach</t>
        </is>
      </c>
      <c r="H15" s="74" t="inlineStr">
        <is>
          <t>Breakdown by country / region group</t>
        </is>
      </c>
    </row>
    <row r="16">
      <c r="A16" s="75" t="inlineStr">
        <is>
          <t>Academic reach</t>
        </is>
      </c>
      <c r="B16" s="75" t="inlineStr">
        <is>
          <t>Schemes</t>
        </is>
      </c>
      <c r="C16" s="75" t="inlineStr">
        <is>
          <t>Institutions with ≥1</t>
        </is>
      </c>
      <c r="D16" s="75" t="inlineStr">
        <is>
          <t>Share of qualifying schemes</t>
        </is>
      </c>
      <c r="H16" s="75" t="inlineStr">
        <is>
          <t>Region group</t>
        </is>
      </c>
      <c r="I16" s="75" t="inlineStr">
        <is>
          <t>In scope</t>
        </is>
      </c>
      <c r="J16" s="75" t="inlineStr">
        <is>
          <t>Reviewed (full+partial)</t>
        </is>
      </c>
      <c r="K16" s="75" t="inlineStr">
        <is>
          <t>With ≥1 qualifying</t>
        </is>
      </c>
      <c r="L16" s="75" t="inlineStr">
        <is>
          <t>Qualifying schemes</t>
        </is>
      </c>
      <c r="M16" s="75" t="inlineStr">
        <is>
          <t>University-wide qualifying</t>
        </is>
      </c>
    </row>
    <row r="17">
      <c r="A17" s="24" t="inlineStr">
        <is>
          <t>University-wide</t>
        </is>
      </c>
      <c r="B17" s="32">
        <f>COUNTIFS('EL scheme register'!$C$7:$C$610,A17,'EL scheme register'!$AJ$7:$AJ$610,"Yes")</f>
        <v/>
      </c>
      <c r="C17" s="32">
        <f>COUNTIF('EL institution summary'!$I$7:$I$130,"&gt;0")</f>
        <v/>
      </c>
      <c r="D17" s="76">
        <f>IF(SUM($B$17:$B$21)=0,"n/a",B17/SUM($B$17:$B$21))</f>
        <v/>
      </c>
      <c r="H17" s="24" t="inlineStr">
        <is>
          <t>UK – Russell Group</t>
        </is>
      </c>
      <c r="I17">
        <f>COUNTIF('EL institution summary'!$E$7:$E$130,H17)</f>
        <v/>
      </c>
      <c r="J17">
        <f>COUNTIFS('EL institution summary'!$E$7:$E$130,H17,'EL institution summary'!$H$7:$H$130,"&lt;&gt;Not started")</f>
        <v/>
      </c>
      <c r="K17">
        <f>COUNTIFS('EL institution summary'!$E$7:$E$130,H17,'EL institution summary'!$N$7:$N$130,"&gt;0")</f>
        <v/>
      </c>
      <c r="L17">
        <f>COUNTIFS('EL scheme register'!$AP$7:$AP$610,H17,'EL scheme register'!$AJ$7:$AJ$610,"Yes")</f>
        <v/>
      </c>
      <c r="M17">
        <f>COUNTIFS('EL scheme register'!$AP$7:$AP$610,H17,'EL scheme register'!$AJ$7:$AJ$610,"Yes",'EL scheme register'!$C$7:$C$610,"University-wide")</f>
        <v/>
      </c>
    </row>
    <row r="18">
      <c r="A18" s="24" t="inlineStr">
        <is>
          <t>Cross-faculty</t>
        </is>
      </c>
      <c r="B18" s="32">
        <f>COUNTIFS('EL scheme register'!$C$7:$C$610,A18,'EL scheme register'!$AJ$7:$AJ$610,"Yes")</f>
        <v/>
      </c>
      <c r="C18" s="32">
        <f>COUNTIF('EL institution summary'!$J$7:$J$130,"&gt;0")</f>
        <v/>
      </c>
      <c r="D18" s="76">
        <f>IF(SUM($B$17:$B$21)=0,"n/a",B18/SUM($B$17:$B$21))</f>
        <v/>
      </c>
      <c r="H18" s="24" t="inlineStr">
        <is>
          <t>UK – additional</t>
        </is>
      </c>
      <c r="I18">
        <f>COUNTIF('EL institution summary'!$E$7:$E$130,H18)</f>
        <v/>
      </c>
      <c r="J18">
        <f>COUNTIFS('EL institution summary'!$E$7:$E$130,H18,'EL institution summary'!$H$7:$H$130,"&lt;&gt;Not started")</f>
        <v/>
      </c>
      <c r="K18">
        <f>COUNTIFS('EL institution summary'!$E$7:$E$130,H18,'EL institution summary'!$N$7:$N$130,"&gt;0")</f>
        <v/>
      </c>
      <c r="L18">
        <f>COUNTIFS('EL scheme register'!$AP$7:$AP$610,H18,'EL scheme register'!$AJ$7:$AJ$610,"Yes")</f>
        <v/>
      </c>
      <c r="M18">
        <f>COUNTIFS('EL scheme register'!$AP$7:$AP$610,H18,'EL scheme register'!$AJ$7:$AJ$610,"Yes",'EL scheme register'!$C$7:$C$610,"University-wide")</f>
        <v/>
      </c>
    </row>
    <row r="19">
      <c r="A19" s="24" t="inlineStr">
        <is>
          <t>Faculty/school</t>
        </is>
      </c>
      <c r="B19" s="32">
        <f>COUNTIFS('EL scheme register'!$C$7:$C$610,A19,'EL scheme register'!$AJ$7:$AJ$610,"Yes")</f>
        <v/>
      </c>
      <c r="C19" s="32">
        <f>COUNTIF('EL institution summary'!$K$7:$K$130,"&gt;0")</f>
        <v/>
      </c>
      <c r="D19" s="76">
        <f>IF(SUM($B$17:$B$21)=0,"n/a",B19/SUM($B$17:$B$21))</f>
        <v/>
      </c>
      <c r="H19" s="24" t="inlineStr">
        <is>
          <t>Australia</t>
        </is>
      </c>
      <c r="I19">
        <f>COUNTIF('EL institution summary'!$E$7:$E$130,H19)</f>
        <v/>
      </c>
      <c r="J19">
        <f>COUNTIFS('EL institution summary'!$E$7:$E$130,H19,'EL institution summary'!$H$7:$H$130,"&lt;&gt;Not started")</f>
        <v/>
      </c>
      <c r="K19">
        <f>COUNTIFS('EL institution summary'!$E$7:$E$130,H19,'EL institution summary'!$N$7:$N$130,"&gt;0")</f>
        <v/>
      </c>
      <c r="L19">
        <f>COUNTIFS('EL scheme register'!$AP$7:$AP$610,H19,'EL scheme register'!$AJ$7:$AJ$610,"Yes")</f>
        <v/>
      </c>
      <c r="M19">
        <f>COUNTIFS('EL scheme register'!$AP$7:$AP$610,H19,'EL scheme register'!$AJ$7:$AJ$610,"Yes",'EL scheme register'!$C$7:$C$610,"University-wide")</f>
        <v/>
      </c>
    </row>
    <row r="20">
      <c r="A20" s="24" t="inlineStr">
        <is>
          <t>Programme/course</t>
        </is>
      </c>
      <c r="B20" s="32">
        <f>COUNTIFS('EL scheme register'!$C$7:$C$610,A20,'EL scheme register'!$AJ$7:$AJ$610,"Yes")</f>
        <v/>
      </c>
      <c r="C20" s="32">
        <f>COUNTIF('EL institution summary'!$L$7:$L$130,"&gt;0")</f>
        <v/>
      </c>
      <c r="D20" s="76">
        <f>IF(SUM($B$17:$B$21)=0,"n/a",B20/SUM($B$17:$B$21))</f>
        <v/>
      </c>
      <c r="H20" s="24" t="inlineStr">
        <is>
          <t>US</t>
        </is>
      </c>
      <c r="I20">
        <f>COUNTIF('EL institution summary'!$E$7:$E$130,H20)</f>
        <v/>
      </c>
      <c r="J20">
        <f>COUNTIFS('EL institution summary'!$E$7:$E$130,H20,'EL institution summary'!$H$7:$H$130,"&lt;&gt;Not started")</f>
        <v/>
      </c>
      <c r="K20">
        <f>COUNTIFS('EL institution summary'!$E$7:$E$130,H20,'EL institution summary'!$N$7:$N$130,"&gt;0")</f>
        <v/>
      </c>
      <c r="L20">
        <f>COUNTIFS('EL scheme register'!$AP$7:$AP$610,H20,'EL scheme register'!$AJ$7:$AJ$610,"Yes")</f>
        <v/>
      </c>
      <c r="M20">
        <f>COUNTIFS('EL scheme register'!$AP$7:$AP$610,H20,'EL scheme register'!$AJ$7:$AJ$610,"Yes",'EL scheme register'!$C$7:$C$610,"University-wide")</f>
        <v/>
      </c>
    </row>
    <row r="21">
      <c r="A21" s="24" t="inlineStr">
        <is>
          <t>Unclear</t>
        </is>
      </c>
      <c r="B21" s="32">
        <f>COUNTIFS('EL scheme register'!$C$7:$C$610,A21,'EL scheme register'!$AJ$7:$AJ$610,"Yes")</f>
        <v/>
      </c>
      <c r="C21" s="32">
        <f>COUNTIF('EL institution summary'!$M$7:$M$130,"&gt;0")</f>
        <v/>
      </c>
      <c r="D21" s="76">
        <f>IF(SUM($B$17:$B$21)=0,"n/a",B21/SUM($B$17:$B$21))</f>
        <v/>
      </c>
      <c r="H21" s="24" t="inlineStr">
        <is>
          <t>EU</t>
        </is>
      </c>
      <c r="I21">
        <f>COUNTIF('EL institution summary'!$E$7:$E$130,H21)</f>
        <v/>
      </c>
      <c r="J21">
        <f>COUNTIFS('EL institution summary'!$E$7:$E$130,H21,'EL institution summary'!$H$7:$H$130,"&lt;&gt;Not started")</f>
        <v/>
      </c>
      <c r="K21">
        <f>COUNTIFS('EL institution summary'!$E$7:$E$130,H21,'EL institution summary'!$N$7:$N$130,"&gt;0")</f>
        <v/>
      </c>
      <c r="L21">
        <f>COUNTIFS('EL scheme register'!$AP$7:$AP$610,H21,'EL scheme register'!$AJ$7:$AJ$610,"Yes")</f>
        <v/>
      </c>
      <c r="M21">
        <f>COUNTIFS('EL scheme register'!$AP$7:$AP$610,H21,'EL scheme register'!$AJ$7:$AJ$610,"Yes",'EL scheme register'!$C$7:$C$610,"University-wide")</f>
        <v/>
      </c>
    </row>
    <row r="22">
      <c r="A22" s="24" t="inlineStr">
        <is>
          <t>Total</t>
        </is>
      </c>
      <c r="B22" s="32">
        <f>SUM(B17:B21)</f>
        <v/>
      </c>
      <c r="C22" s="32">
        <f>COUNTIF('EL institution summary'!$N$7:$N$130,"&gt;0")</f>
        <v/>
      </c>
      <c r="D22" s="76" t="inlineStr"/>
      <c r="H22" s="24" t="inlineStr">
        <is>
          <t>Total</t>
        </is>
      </c>
      <c r="I22" s="24">
        <f>SUM(I17:I21)</f>
        <v/>
      </c>
      <c r="J22" s="24">
        <f>SUM(J17:J21)</f>
        <v/>
      </c>
      <c r="K22" s="24">
        <f>SUM(K17:K21)</f>
        <v/>
      </c>
      <c r="L22" s="24">
        <f>SUM(L17:L21)</f>
        <v/>
      </c>
      <c r="M22" s="24">
        <f>SUM(M17:M21)</f>
        <v/>
      </c>
    </row>
    <row r="24">
      <c r="A24" s="74" t="inlineStr">
        <is>
          <t>University-wide qualifying schemes: optional access vs compulsory provision</t>
        </is>
      </c>
    </row>
    <row r="25">
      <c r="A25" s="75" t="inlineStr">
        <is>
          <t>Participation requirement</t>
        </is>
      </c>
      <c r="B25" s="75" t="inlineStr">
        <is>
          <t>Schemes</t>
        </is>
      </c>
      <c r="C25" s="75" t="inlineStr">
        <is>
          <t>Institutions</t>
        </is>
      </c>
      <c r="H25" s="74" t="inlineStr">
        <is>
          <t>By country</t>
        </is>
      </c>
    </row>
    <row r="26">
      <c r="A26" s="24" t="inlineStr">
        <is>
          <t>Compulsory for all students (at stated level)</t>
        </is>
      </c>
      <c r="B26" s="32">
        <f>COUNTIFS('EL scheme register'!$C$7:$C$610,"University-wide",'EL scheme register'!$Q$7:$Q$610,A26,'EL scheme register'!$AJ$7:$AJ$610,"Yes")</f>
        <v/>
      </c>
      <c r="C26" s="32">
        <f>SUMPRODUCT(('EL institution summary'!$A$7:$A$130&lt;&gt;"")/COUNTIF('EL institution summary'!$A$7:$A$130,'EL institution summary'!$A$7:$A$130&amp;"")*(COUNTIFS('EL scheme register'!$A$7:$A$610,'EL institution summary'!$A$7:$A$130,'EL scheme register'!$C$7:$C$610,"University-wide",'EL scheme register'!$Q$7:$Q$610,A26,'EL scheme register'!$AJ$7:$AJ$610,"Yes")&gt;0))</f>
        <v/>
      </c>
      <c r="H26" s="75" t="inlineStr">
        <is>
          <t>Country</t>
        </is>
      </c>
      <c r="I26" s="75" t="inlineStr">
        <is>
          <t>In scope</t>
        </is>
      </c>
      <c r="J26" s="75" t="inlineStr">
        <is>
          <t>Reviewed</t>
        </is>
      </c>
      <c r="K26" s="75" t="inlineStr">
        <is>
          <t>With ≥1 qualifying</t>
        </is>
      </c>
      <c r="L26" s="75" t="inlineStr">
        <is>
          <t>Qualifying schemes</t>
        </is>
      </c>
    </row>
    <row r="27">
      <c r="A27" s="24" t="inlineStr">
        <is>
          <t>Compulsory within specified programmes</t>
        </is>
      </c>
      <c r="B27" s="32">
        <f>COUNTIFS('EL scheme register'!$C$7:$C$610,"University-wide",'EL scheme register'!$Q$7:$Q$610,A27,'EL scheme register'!$AJ$7:$AJ$610,"Yes")</f>
        <v/>
      </c>
      <c r="C27" s="32">
        <f>SUMPRODUCT(('EL institution summary'!$A$7:$A$130&lt;&gt;"")/COUNTIF('EL institution summary'!$A$7:$A$130,'EL institution summary'!$A$7:$A$130&amp;"")*(COUNTIFS('EL scheme register'!$A$7:$A$610,'EL institution summary'!$A$7:$A$130,'EL scheme register'!$C$7:$C$610,"University-wide",'EL scheme register'!$Q$7:$Q$610,A27,'EL scheme register'!$AJ$7:$AJ$610,"Yes")&gt;0))</f>
        <v/>
      </c>
      <c r="H27" s="24" t="inlineStr">
        <is>
          <t>Australia</t>
        </is>
      </c>
      <c r="I27">
        <f>COUNTIF('EL institution summary'!$C$7:$C$130,H27)</f>
        <v/>
      </c>
      <c r="J27">
        <f>COUNTIFS('EL institution summary'!$C$7:$C$130,H27,'EL institution summary'!$H$7:$H$130,"&lt;&gt;Not started")</f>
        <v/>
      </c>
      <c r="K27">
        <f>COUNTIFS('EL institution summary'!$C$7:$C$130,H27,'EL institution summary'!$N$7:$N$130,"&gt;0")</f>
        <v/>
      </c>
      <c r="L27">
        <f>COUNTIFS('EL scheme register'!$AO$7:$AO$610,H27,'EL scheme register'!$AJ$7:$AJ$610,"Yes")</f>
        <v/>
      </c>
    </row>
    <row r="28">
      <c r="A28" s="24" t="inlineStr">
        <is>
          <t>Optional/elective</t>
        </is>
      </c>
      <c r="B28" s="32">
        <f>COUNTIFS('EL scheme register'!$C$7:$C$610,"University-wide",'EL scheme register'!$Q$7:$Q$610,A28,'EL scheme register'!$AJ$7:$AJ$610,"Yes")</f>
        <v/>
      </c>
      <c r="C28" s="32">
        <f>SUMPRODUCT(('EL institution summary'!$A$7:$A$130&lt;&gt;"")/COUNTIF('EL institution summary'!$A$7:$A$130,'EL institution summary'!$A$7:$A$130&amp;"")*(COUNTIFS('EL scheme register'!$A$7:$A$610,'EL institution summary'!$A$7:$A$130,'EL scheme register'!$C$7:$C$610,"University-wide",'EL scheme register'!$Q$7:$Q$610,A28,'EL scheme register'!$AJ$7:$AJ$610,"Yes")&gt;0))</f>
        <v/>
      </c>
      <c r="H28" s="24" t="inlineStr">
        <is>
          <t>UK</t>
        </is>
      </c>
      <c r="I28">
        <f>COUNTIF('EL institution summary'!$C$7:$C$130,H28)</f>
        <v/>
      </c>
      <c r="J28">
        <f>COUNTIFS('EL institution summary'!$C$7:$C$130,H28,'EL institution summary'!$H$7:$H$130,"&lt;&gt;Not started")</f>
        <v/>
      </c>
      <c r="K28">
        <f>COUNTIFS('EL institution summary'!$C$7:$C$130,H28,'EL institution summary'!$N$7:$N$130,"&gt;0")</f>
        <v/>
      </c>
      <c r="L28">
        <f>COUNTIFS('EL scheme register'!$AO$7:$AO$610,H28,'EL scheme register'!$AJ$7:$AJ$610,"Yes")</f>
        <v/>
      </c>
    </row>
    <row r="29">
      <c r="A29" s="24" t="inlineStr">
        <is>
          <t>Selective/competitive</t>
        </is>
      </c>
      <c r="B29" s="32">
        <f>COUNTIFS('EL scheme register'!$C$7:$C$610,"University-wide",'EL scheme register'!$Q$7:$Q$610,A29,'EL scheme register'!$AJ$7:$AJ$610,"Yes")</f>
        <v/>
      </c>
      <c r="C29" s="32">
        <f>SUMPRODUCT(('EL institution summary'!$A$7:$A$130&lt;&gt;"")/COUNTIF('EL institution summary'!$A$7:$A$130,'EL institution summary'!$A$7:$A$130&amp;"")*(COUNTIFS('EL scheme register'!$A$7:$A$610,'EL institution summary'!$A$7:$A$130,'EL scheme register'!$C$7:$C$610,"University-wide",'EL scheme register'!$Q$7:$Q$610,A29,'EL scheme register'!$AJ$7:$AJ$610,"Yes")&gt;0))</f>
        <v/>
      </c>
      <c r="H29" s="24" t="inlineStr">
        <is>
          <t>US</t>
        </is>
      </c>
      <c r="I29">
        <f>COUNTIF('EL institution summary'!$C$7:$C$130,H29)</f>
        <v/>
      </c>
      <c r="J29">
        <f>COUNTIFS('EL institution summary'!$C$7:$C$130,H29,'EL institution summary'!$H$7:$H$130,"&lt;&gt;Not started")</f>
        <v/>
      </c>
      <c r="K29">
        <f>COUNTIFS('EL institution summary'!$C$7:$C$130,H29,'EL institution summary'!$N$7:$N$130,"&gt;0")</f>
        <v/>
      </c>
      <c r="L29">
        <f>COUNTIFS('EL scheme register'!$AO$7:$AO$610,H29,'EL scheme register'!$AJ$7:$AJ$610,"Yes")</f>
        <v/>
      </c>
    </row>
    <row r="30">
      <c r="A30" s="24" t="inlineStr">
        <is>
          <t>Unclear</t>
        </is>
      </c>
      <c r="B30" s="32">
        <f>COUNTIFS('EL scheme register'!$C$7:$C$610,"University-wide",'EL scheme register'!$Q$7:$Q$610,A30,'EL scheme register'!$AJ$7:$AJ$610,"Yes")</f>
        <v/>
      </c>
      <c r="C30" s="32">
        <f>SUMPRODUCT(('EL institution summary'!$A$7:$A$130&lt;&gt;"")/COUNTIF('EL institution summary'!$A$7:$A$130,'EL institution summary'!$A$7:$A$130&amp;"")*(COUNTIFS('EL scheme register'!$A$7:$A$610,'EL institution summary'!$A$7:$A$130,'EL scheme register'!$C$7:$C$610,"University-wide",'EL scheme register'!$Q$7:$Q$610,A30,'EL scheme register'!$AJ$7:$AJ$610,"Yes")&gt;0))</f>
        <v/>
      </c>
      <c r="H30" s="24" t="inlineStr">
        <is>
          <t>Belgium</t>
        </is>
      </c>
      <c r="I30">
        <f>COUNTIF('EL institution summary'!$C$7:$C$130,H30)</f>
        <v/>
      </c>
      <c r="J30">
        <f>COUNTIFS('EL institution summary'!$C$7:$C$130,H30,'EL institution summary'!$H$7:$H$130,"&lt;&gt;Not started")</f>
        <v/>
      </c>
      <c r="K30">
        <f>COUNTIFS('EL institution summary'!$C$7:$C$130,H30,'EL institution summary'!$N$7:$N$130,"&gt;0")</f>
        <v/>
      </c>
      <c r="L30">
        <f>COUNTIFS('EL scheme register'!$AO$7:$AO$610,H30,'EL scheme register'!$AJ$7:$AJ$610,"Yes")</f>
        <v/>
      </c>
    </row>
    <row r="31">
      <c r="H31" s="24" t="inlineStr">
        <is>
          <t>Denmark</t>
        </is>
      </c>
      <c r="I31">
        <f>COUNTIF('EL institution summary'!$C$7:$C$130,H31)</f>
        <v/>
      </c>
      <c r="J31">
        <f>COUNTIFS('EL institution summary'!$C$7:$C$130,H31,'EL institution summary'!$H$7:$H$130,"&lt;&gt;Not started")</f>
        <v/>
      </c>
      <c r="K31">
        <f>COUNTIFS('EL institution summary'!$C$7:$C$130,H31,'EL institution summary'!$N$7:$N$130,"&gt;0")</f>
        <v/>
      </c>
      <c r="L31">
        <f>COUNTIFS('EL scheme register'!$AO$7:$AO$610,H31,'EL scheme register'!$AJ$7:$AJ$610,"Yes")</f>
        <v/>
      </c>
    </row>
    <row r="32">
      <c r="A32" s="74" t="inlineStr">
        <is>
          <t>Current qualifying schemes by external partner type (business-linked vs public/community)</t>
        </is>
      </c>
      <c r="H32" s="24" t="inlineStr">
        <is>
          <t>Finland</t>
        </is>
      </c>
      <c r="I32">
        <f>COUNTIF('EL institution summary'!$C$7:$C$130,H32)</f>
        <v/>
      </c>
      <c r="J32">
        <f>COUNTIFS('EL institution summary'!$C$7:$C$130,H32,'EL institution summary'!$H$7:$H$130,"&lt;&gt;Not started")</f>
        <v/>
      </c>
      <c r="K32">
        <f>COUNTIFS('EL institution summary'!$C$7:$C$130,H32,'EL institution summary'!$N$7:$N$130,"&gt;0")</f>
        <v/>
      </c>
      <c r="L32">
        <f>COUNTIFS('EL scheme register'!$AO$7:$AO$610,H32,'EL scheme register'!$AJ$7:$AJ$610,"Yes")</f>
        <v/>
      </c>
    </row>
    <row r="33">
      <c r="A33" s="75" t="inlineStr">
        <is>
          <t>Partner type</t>
        </is>
      </c>
      <c r="B33" s="75" t="inlineStr">
        <is>
          <t>Schemes</t>
        </is>
      </c>
      <c r="C33" s="75" t="inlineStr">
        <is>
          <t>Institutions</t>
        </is>
      </c>
      <c r="H33" s="24" t="inlineStr">
        <is>
          <t>France</t>
        </is>
      </c>
      <c r="I33">
        <f>COUNTIF('EL institution summary'!$C$7:$C$130,H33)</f>
        <v/>
      </c>
      <c r="J33">
        <f>COUNTIFS('EL institution summary'!$C$7:$C$130,H33,'EL institution summary'!$H$7:$H$130,"&lt;&gt;Not started")</f>
        <v/>
      </c>
      <c r="K33">
        <f>COUNTIFS('EL institution summary'!$C$7:$C$130,H33,'EL institution summary'!$N$7:$N$130,"&gt;0")</f>
        <v/>
      </c>
      <c r="L33">
        <f>COUNTIFS('EL scheme register'!$AO$7:$AO$610,H33,'EL scheme register'!$AJ$7:$AJ$610,"Yes")</f>
        <v/>
      </c>
    </row>
    <row r="34">
      <c r="A34" s="24" t="inlineStr">
        <is>
          <t>Business/commercial</t>
        </is>
      </c>
      <c r="B34" s="32">
        <f>COUNTIFS('EL scheme register'!$AB$7:$AB$610,A34,'EL scheme register'!$AJ$7:$AJ$610,"Yes")</f>
        <v/>
      </c>
      <c r="C34" s="32">
        <f>SUMPRODUCT(('EL institution summary'!$A$7:$A$130&lt;&gt;"")/COUNTIF('EL institution summary'!$A$7:$A$130,'EL institution summary'!$A$7:$A$130&amp;"")*(COUNTIFS('EL scheme register'!$A$7:$A$610,'EL institution summary'!$A$7:$A$130,'EL scheme register'!$AB$7:$AB$610,A34,'EL scheme register'!$AJ$7:$AJ$610,"Yes")&gt;0))</f>
        <v/>
      </c>
      <c r="H34" s="24" t="inlineStr">
        <is>
          <t>Germany</t>
        </is>
      </c>
      <c r="I34">
        <f>COUNTIF('EL institution summary'!$C$7:$C$130,H34)</f>
        <v/>
      </c>
      <c r="J34">
        <f>COUNTIFS('EL institution summary'!$C$7:$C$130,H34,'EL institution summary'!$H$7:$H$130,"&lt;&gt;Not started")</f>
        <v/>
      </c>
      <c r="K34">
        <f>COUNTIFS('EL institution summary'!$C$7:$C$130,H34,'EL institution summary'!$N$7:$N$130,"&gt;0")</f>
        <v/>
      </c>
      <c r="L34">
        <f>COUNTIFS('EL scheme register'!$AO$7:$AO$610,H34,'EL scheme register'!$AJ$7:$AJ$610,"Yes")</f>
        <v/>
      </c>
    </row>
    <row r="35">
      <c r="A35" s="24" t="inlineStr">
        <is>
          <t>Public sector</t>
        </is>
      </c>
      <c r="B35" s="32">
        <f>COUNTIFS('EL scheme register'!$AB$7:$AB$610,A35,'EL scheme register'!$AJ$7:$AJ$610,"Yes")</f>
        <v/>
      </c>
      <c r="C35" s="32">
        <f>SUMPRODUCT(('EL institution summary'!$A$7:$A$130&lt;&gt;"")/COUNTIF('EL institution summary'!$A$7:$A$130,'EL institution summary'!$A$7:$A$130&amp;"")*(COUNTIFS('EL scheme register'!$A$7:$A$610,'EL institution summary'!$A$7:$A$130,'EL scheme register'!$AB$7:$AB$610,A35,'EL scheme register'!$AJ$7:$AJ$610,"Yes")&gt;0))</f>
        <v/>
      </c>
      <c r="H35" s="24" t="inlineStr">
        <is>
          <t>Ireland</t>
        </is>
      </c>
      <c r="I35">
        <f>COUNTIF('EL institution summary'!$C$7:$C$130,H35)</f>
        <v/>
      </c>
      <c r="J35">
        <f>COUNTIFS('EL institution summary'!$C$7:$C$130,H35,'EL institution summary'!$H$7:$H$130,"&lt;&gt;Not started")</f>
        <v/>
      </c>
      <c r="K35">
        <f>COUNTIFS('EL institution summary'!$C$7:$C$130,H35,'EL institution summary'!$N$7:$N$130,"&gt;0")</f>
        <v/>
      </c>
      <c r="L35">
        <f>COUNTIFS('EL scheme register'!$AO$7:$AO$610,H35,'EL scheme register'!$AJ$7:$AJ$610,"Yes")</f>
        <v/>
      </c>
    </row>
    <row r="36">
      <c r="A36" s="24" t="inlineStr">
        <is>
          <t>Charity/community</t>
        </is>
      </c>
      <c r="B36" s="32">
        <f>COUNTIFS('EL scheme register'!$AB$7:$AB$610,A36,'EL scheme register'!$AJ$7:$AJ$610,"Yes")</f>
        <v/>
      </c>
      <c r="C36" s="32">
        <f>SUMPRODUCT(('EL institution summary'!$A$7:$A$130&lt;&gt;"")/COUNTIF('EL institution summary'!$A$7:$A$130,'EL institution summary'!$A$7:$A$130&amp;"")*(COUNTIFS('EL scheme register'!$A$7:$A$610,'EL institution summary'!$A$7:$A$130,'EL scheme register'!$AB$7:$AB$610,A36,'EL scheme register'!$AJ$7:$AJ$610,"Yes")&gt;0))</f>
        <v/>
      </c>
      <c r="H36" s="24" t="inlineStr">
        <is>
          <t>Italy</t>
        </is>
      </c>
      <c r="I36">
        <f>COUNTIF('EL institution summary'!$C$7:$C$130,H36)</f>
        <v/>
      </c>
      <c r="J36">
        <f>COUNTIFS('EL institution summary'!$C$7:$C$130,H36,'EL institution summary'!$H$7:$H$130,"&lt;&gt;Not started")</f>
        <v/>
      </c>
      <c r="K36">
        <f>COUNTIFS('EL institution summary'!$C$7:$C$130,H36,'EL institution summary'!$N$7:$N$130,"&gt;0")</f>
        <v/>
      </c>
      <c r="L36">
        <f>COUNTIFS('EL scheme register'!$AO$7:$AO$610,H36,'EL scheme register'!$AJ$7:$AJ$610,"Yes")</f>
        <v/>
      </c>
    </row>
    <row r="37">
      <c r="A37" s="24" t="inlineStr">
        <is>
          <t>Mixed</t>
        </is>
      </c>
      <c r="B37" s="32">
        <f>COUNTIFS('EL scheme register'!$AB$7:$AB$610,A37,'EL scheme register'!$AJ$7:$AJ$610,"Yes")</f>
        <v/>
      </c>
      <c r="C37" s="32">
        <f>SUMPRODUCT(('EL institution summary'!$A$7:$A$130&lt;&gt;"")/COUNTIF('EL institution summary'!$A$7:$A$130,'EL institution summary'!$A$7:$A$130&amp;"")*(COUNTIFS('EL scheme register'!$A$7:$A$610,'EL institution summary'!$A$7:$A$130,'EL scheme register'!$AB$7:$AB$610,A37,'EL scheme register'!$AJ$7:$AJ$610,"Yes")&gt;0))</f>
        <v/>
      </c>
      <c r="H37" s="24" t="inlineStr">
        <is>
          <t>Netherlands</t>
        </is>
      </c>
      <c r="I37">
        <f>COUNTIF('EL institution summary'!$C$7:$C$130,H37)</f>
        <v/>
      </c>
      <c r="J37">
        <f>COUNTIFS('EL institution summary'!$C$7:$C$130,H37,'EL institution summary'!$H$7:$H$130,"&lt;&gt;Not started")</f>
        <v/>
      </c>
      <c r="K37">
        <f>COUNTIFS('EL institution summary'!$C$7:$C$130,H37,'EL institution summary'!$N$7:$N$130,"&gt;0")</f>
        <v/>
      </c>
      <c r="L37">
        <f>COUNTIFS('EL scheme register'!$AO$7:$AO$610,H37,'EL scheme register'!$AJ$7:$AJ$610,"Yes")</f>
        <v/>
      </c>
    </row>
    <row r="38">
      <c r="A38" s="24" t="inlineStr">
        <is>
          <t>Other</t>
        </is>
      </c>
      <c r="B38" s="32">
        <f>COUNTIFS('EL scheme register'!$AB$7:$AB$610,A38,'EL scheme register'!$AJ$7:$AJ$610,"Yes")</f>
        <v/>
      </c>
      <c r="C38" s="32">
        <f>SUMPRODUCT(('EL institution summary'!$A$7:$A$130&lt;&gt;"")/COUNTIF('EL institution summary'!$A$7:$A$130,'EL institution summary'!$A$7:$A$130&amp;"")*(COUNTIFS('EL scheme register'!$A$7:$A$610,'EL institution summary'!$A$7:$A$130,'EL scheme register'!$AB$7:$AB$610,A38,'EL scheme register'!$AJ$7:$AJ$610,"Yes")&gt;0))</f>
        <v/>
      </c>
      <c r="H38" s="24" t="inlineStr">
        <is>
          <t>Spain</t>
        </is>
      </c>
      <c r="I38">
        <f>COUNTIF('EL institution summary'!$C$7:$C$130,H38)</f>
        <v/>
      </c>
      <c r="J38">
        <f>COUNTIFS('EL institution summary'!$C$7:$C$130,H38,'EL institution summary'!$H$7:$H$130,"&lt;&gt;Not started")</f>
        <v/>
      </c>
      <c r="K38">
        <f>COUNTIFS('EL institution summary'!$C$7:$C$130,H38,'EL institution summary'!$N$7:$N$130,"&gt;0")</f>
        <v/>
      </c>
      <c r="L38">
        <f>COUNTIFS('EL scheme register'!$AO$7:$AO$610,H38,'EL scheme register'!$AJ$7:$AJ$610,"Yes")</f>
        <v/>
      </c>
    </row>
    <row r="39">
      <c r="A39" s="24" t="inlineStr">
        <is>
          <t>Unclear</t>
        </is>
      </c>
      <c r="B39" s="32">
        <f>COUNTIFS('EL scheme register'!$AB$7:$AB$610,A39,'EL scheme register'!$AJ$7:$AJ$610,"Yes")</f>
        <v/>
      </c>
      <c r="C39" s="32">
        <f>SUMPRODUCT(('EL institution summary'!$A$7:$A$130&lt;&gt;"")/COUNTIF('EL institution summary'!$A$7:$A$130,'EL institution summary'!$A$7:$A$130&amp;"")*(COUNTIFS('EL scheme register'!$A$7:$A$610,'EL institution summary'!$A$7:$A$130,'EL scheme register'!$AB$7:$AB$610,A39,'EL scheme register'!$AJ$7:$AJ$610,"Yes")&gt;0))</f>
        <v/>
      </c>
      <c r="H39" s="24" t="inlineStr">
        <is>
          <t>Sweden</t>
        </is>
      </c>
      <c r="I39">
        <f>COUNTIF('EL institution summary'!$C$7:$C$130,H39)</f>
        <v/>
      </c>
      <c r="J39">
        <f>COUNTIFS('EL institution summary'!$C$7:$C$130,H39,'EL institution summary'!$H$7:$H$130,"&lt;&gt;Not started")</f>
        <v/>
      </c>
      <c r="K39">
        <f>COUNTIFS('EL institution summary'!$C$7:$C$130,H39,'EL institution summary'!$N$7:$N$130,"&gt;0")</f>
        <v/>
      </c>
      <c r="L39">
        <f>COUNTIFS('EL scheme register'!$AO$7:$AO$610,H39,'EL scheme register'!$AJ$7:$AJ$610,"Yes")</f>
        <v/>
      </c>
    </row>
    <row r="40">
      <c r="A40" s="24" t="inlineStr">
        <is>
          <t>None</t>
        </is>
      </c>
      <c r="B40" s="32">
        <f>COUNTIFS('EL scheme register'!$AB$7:$AB$610,A40,'EL scheme register'!$AJ$7:$AJ$610,"Yes")</f>
        <v/>
      </c>
      <c r="C40" s="32">
        <f>SUMPRODUCT(('EL institution summary'!$A$7:$A$130&lt;&gt;"")/COUNTIF('EL institution summary'!$A$7:$A$130,'EL institution summary'!$A$7:$A$130&amp;"")*(COUNTIFS('EL scheme register'!$A$7:$A$610,'EL institution summary'!$A$7:$A$130,'EL scheme register'!$AB$7:$AB$610,A40,'EL scheme register'!$AJ$7:$AJ$610,"Yes")&gt;0))</f>
        <v/>
      </c>
    </row>
    <row r="42">
      <c r="A42" s="74" t="inlineStr">
        <is>
          <t>Evidence status of all register records (counted schemes only; umbrellas excluded)</t>
        </is>
      </c>
    </row>
    <row r="43">
      <c r="A43" s="75" t="inlineStr">
        <is>
          <t>Category</t>
        </is>
      </c>
      <c r="B43" s="75" t="inlineStr">
        <is>
          <t>Records</t>
        </is>
      </c>
    </row>
    <row r="44">
      <c r="A44" s="24" t="inlineStr">
        <is>
          <t>Meets all three; current delivery confirmed</t>
        </is>
      </c>
      <c r="B44" s="32">
        <f>COUNTIFS('EL scheme register'!$AF$7:$AF$610,"Meets all three",'EL scheme register'!$AG$7:$AG$610,"Current delivery confirmed",'EL scheme register'!$AI$7:$AI$610,"Yes")</f>
        <v/>
      </c>
    </row>
    <row r="45">
      <c r="A45" s="24" t="inlineStr">
        <is>
          <t>Meets all three; current status unclear</t>
        </is>
      </c>
      <c r="B45" s="32">
        <f>COUNTIFS('EL scheme register'!$AF$7:$AF$610,"Meets all three",'EL scheme register'!$AG$7:$AG$610,"Current status unclear",'EL scheme register'!$AI$7:$AI$610,"Yes")</f>
        <v/>
      </c>
    </row>
    <row r="46">
      <c r="A46" s="24" t="inlineStr">
        <is>
          <t>Meets all three; historical / paused only</t>
        </is>
      </c>
      <c r="B46" s="32">
        <f>COUNTIFS('EL scheme register'!$AF$7:$AF$610,"Meets all three",'EL scheme register'!$AG$7:$AG$610,"Historical delivery only",'EL scheme register'!$AI$7:$AI$610,"Yes")+COUNTIFS('EL scheme register'!$AF$7:$AF$610,"Meets all three",'EL scheme register'!$AG$7:$AG$610,"Paused/discontinued",'EL scheme register'!$AI$7:$AI$610,"Yes")</f>
        <v/>
      </c>
    </row>
    <row r="47">
      <c r="A47" s="24" t="inlineStr">
        <is>
          <t>Meets all three; announced / forthcoming</t>
        </is>
      </c>
      <c r="B47" s="32">
        <f>COUNTIFS('EL scheme register'!$AF$7:$AF$610,"Meets all three",'EL scheme register'!$AG$7:$AG$610,"Announced/forthcoming",'EL scheme register'!$AI$7:$AI$610,"Yes")</f>
        <v/>
      </c>
    </row>
    <row r="48">
      <c r="A48" s="24" t="inlineStr">
        <is>
          <t>Potentially relevant; evidence incomplete</t>
        </is>
      </c>
      <c r="B48" s="32">
        <f>COUNTIFS('EL scheme register'!$AF$7:$AF$610,"Potentially relevant; evidence incomplete",'EL scheme register'!$AI$7:$AI$610,"Yes")</f>
        <v/>
      </c>
    </row>
    <row r="49">
      <c r="A49" s="24" t="inlineStr">
        <is>
          <t>Outside strict definition (kept in register as near-miss)</t>
        </is>
      </c>
      <c r="B49" s="32">
        <f>COUNTIFS('EL scheme register'!$AF$7:$AF$610,"Outside strict definition",'EL scheme register'!$AI$7:$AI$610,"Yes")</f>
        <v/>
      </c>
    </row>
    <row r="50">
      <c r="A50" s="24" t="inlineStr">
        <is>
          <t xml:space="preserve">  memo: current qualifying schemes lasting &lt;1 week</t>
        </is>
      </c>
      <c r="B50" s="32">
        <f>COUNTIFS('EL scheme register'!$AQ$7:$AQ$610,"&lt;1 week",'EL scheme register'!$AJ$7:$AJ$610,"Yes")</f>
        <v/>
      </c>
    </row>
    <row r="51">
      <c r="A51" s="24" t="inlineStr">
        <is>
          <t>Excluded / near-miss / evidence-gap records (exclusions tab)</t>
        </is>
      </c>
      <c r="B51" s="32">
        <f>COUNTA('EL exclusions &amp; gaps'!$A$7:$A$5000)</f>
        <v/>
      </c>
    </row>
    <row r="52">
      <c r="A52" s="24" t="inlineStr">
        <is>
          <t xml:space="preserve">  of which from legacy research</t>
        </is>
      </c>
      <c r="B52" s="32">
        <f>COUNTIF('EL exclusions &amp; gaps'!$F$7:$F$5000,"Yes")</f>
        <v/>
      </c>
    </row>
    <row r="55">
      <c r="A55" s="74" t="inlineStr">
        <is>
          <t>Reading the dashboard</t>
        </is>
      </c>
    </row>
    <row r="56" ht="28" customHeight="1">
      <c r="A56" s="77" t="inlineStr">
        <is>
          <t>• Denominators are shown; 'with ≥1 qualifying' should be read against reviewed institutions, not the full 124 if any remain unreviewed.</t>
        </is>
      </c>
    </row>
    <row r="57" ht="28" customHeight="1">
      <c r="A57" s="77" t="inlineStr">
        <is>
          <t>• University-wide = published eligibility open across the institution (subject to stated restrictions). It does not mean every student participates; compulsory university-wide provision is counted separately.</t>
        </is>
      </c>
    </row>
    <row r="58" ht="28" customHeight="1">
      <c r="A58" s="77" t="inlineStr">
        <is>
          <t>• Business-linked schemes are those whose external partners are Business/commercial; Mixed schemes include business and public/charity clients. Public-sector and charity-only schemes are shown separately.</t>
        </is>
      </c>
    </row>
    <row r="59" ht="28" customHeight="1">
      <c r="A59" s="77" t="inlineStr">
        <is>
          <t>• 'Evidence incomplete' = no criterion failed, but at least one is Unclear. These are not negative findings.</t>
        </is>
      </c>
    </row>
    <row r="60" ht="28" customHeight="1">
      <c r="A60" s="77" t="inlineStr">
        <is>
          <t>• Evidence was gathered from search-index extracts of official pages (direct page fetching was blocked); see EL method &amp; QC.</t>
        </is>
      </c>
    </row>
  </sheetData>
  <mergeCells count="6">
    <mergeCell ref="A57:L57"/>
    <mergeCell ref="A60:L60"/>
    <mergeCell ref="A58:L58"/>
    <mergeCell ref="A56:L56"/>
    <mergeCell ref="A3:L4"/>
    <mergeCell ref="A59:L5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X13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12" customWidth="1" min="3" max="3"/>
    <col width="18" customWidth="1" min="4" max="4"/>
    <col width="18" customWidth="1" min="5" max="5"/>
    <col width="8" customWidth="1" min="6" max="6"/>
    <col width="8" customWidth="1" min="7" max="7"/>
    <col width="12"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4" customWidth="1" min="18" max="18"/>
    <col width="14" customWidth="1" min="19" max="19"/>
    <col width="46" customWidth="1" min="20" max="20"/>
    <col width="34" customWidth="1" min="21" max="21"/>
    <col width="22" customWidth="1" min="22" max="22"/>
    <col width="70" customWidth="1" min="23" max="23"/>
    <col width="60" customWidth="1" min="24" max="24"/>
  </cols>
  <sheetData>
    <row r="2">
      <c r="A2" s="78" t="inlineStr">
        <is>
          <t>Experiential learning: institution summary</t>
        </is>
      </c>
    </row>
    <row r="3">
      <c r="A3" s="71" t="inlineStr">
        <is>
          <t>One row per institution in the 124-institution sample. Counts are live formulas over 'EL scheme register' (column AJ = counted, meets all three, current).</t>
        </is>
      </c>
    </row>
    <row r="4">
      <c r="A4" s="71" t="inlineStr">
        <is>
          <t>Findings within the researched sample, not national prevalence estimates. 'Not started' / 'Partial' institutions must not be read as negative findings. No composite score is used.</t>
        </is>
      </c>
    </row>
    <row r="6">
      <c r="A6" s="75" t="inlineStr">
        <is>
          <t>Institution ID</t>
        </is>
      </c>
      <c r="B6" s="75" t="inlineStr">
        <is>
          <t>Institution</t>
        </is>
      </c>
      <c r="C6" s="75" t="inlineStr">
        <is>
          <t>Country</t>
        </is>
      </c>
      <c r="D6" s="75" t="inlineStr">
        <is>
          <t>Sample group</t>
        </is>
      </c>
      <c r="E6" s="75" t="inlineStr">
        <is>
          <t>Region group</t>
        </is>
      </c>
      <c r="F6" s="75" t="inlineStr">
        <is>
          <t>QS edition</t>
        </is>
      </c>
      <c r="G6" s="75" t="inlineStr">
        <is>
          <t>QS rank</t>
        </is>
      </c>
      <c r="H6" s="75" t="inlineStr">
        <is>
          <t>Review completeness</t>
        </is>
      </c>
      <c r="I6" s="75" t="inlineStr">
        <is>
          <t>Qualifying current: University-wide</t>
        </is>
      </c>
      <c r="J6" s="75" t="inlineStr">
        <is>
          <t>Qualifying current: Cross-faculty</t>
        </is>
      </c>
      <c r="K6" s="75" t="inlineStr">
        <is>
          <t>Qualifying current: Faculty/school</t>
        </is>
      </c>
      <c r="L6" s="75" t="inlineStr">
        <is>
          <t>Qualifying current: Programme/course</t>
        </is>
      </c>
      <c r="M6" s="75" t="inlineStr">
        <is>
          <t>Qualifying current: Unclear reach</t>
        </is>
      </c>
      <c r="N6" s="75" t="inlineStr">
        <is>
          <t>Qualifying current: total</t>
        </is>
      </c>
      <c r="O6" s="75" t="inlineStr">
        <is>
          <t>Evidence-incomplete records</t>
        </is>
      </c>
      <c r="P6" s="75" t="inlineStr">
        <is>
          <t>Outside-definition records in register</t>
        </is>
      </c>
      <c r="Q6" s="75" t="inlineStr">
        <is>
          <t>Exclusions / near-misses</t>
        </is>
      </c>
      <c r="R6" s="75" t="inlineStr">
        <is>
          <t>University-wide access evidenced (qualifying current scheme)</t>
        </is>
      </c>
      <c r="S6" s="75" t="inlineStr">
        <is>
          <t>Compulsory university-wide provision evidenced</t>
        </is>
      </c>
      <c r="T6" s="75" t="inlineStr">
        <is>
          <t>Main qualifying schemes</t>
        </is>
      </c>
      <c r="U6" s="75" t="inlineStr">
        <is>
          <t>Distribution across faculty areas (qualifying current)</t>
        </is>
      </c>
      <c r="V6" s="75" t="inlineStr">
        <is>
          <t>How embedded the provision appears</t>
        </is>
      </c>
      <c r="W6" s="75" t="inlineStr">
        <is>
          <t>Concise assessment</t>
        </is>
      </c>
      <c r="X6" s="75" t="inlineStr">
        <is>
          <t>Material gaps and unresolved questions</t>
        </is>
      </c>
    </row>
    <row r="7">
      <c r="A7" s="77" t="inlineStr">
        <is>
          <t>RG01</t>
        </is>
      </c>
      <c r="B7" s="79" t="inlineStr">
        <is>
          <t>Birmingham</t>
        </is>
      </c>
      <c r="C7" s="77" t="inlineStr">
        <is>
          <t>UK</t>
        </is>
      </c>
      <c r="D7" s="77" t="inlineStr">
        <is>
          <t>Russell Group</t>
        </is>
      </c>
      <c r="E7" s="77" t="inlineStr">
        <is>
          <t>UK – Russell Group</t>
        </is>
      </c>
      <c r="F7" s="77" t="n">
        <v>2027</v>
      </c>
      <c r="G7" s="77" t="n">
        <v>68</v>
      </c>
      <c r="H7" s="77" t="inlineStr">
        <is>
          <t>Complete</t>
        </is>
      </c>
      <c r="I7" s="77">
        <f>COUNTIFS('EL scheme register'!$A$7:$A$610,$A7,'EL scheme register'!$C$7:$C$610,"University-wide",'EL scheme register'!$AJ$7:$AJ$610,"Yes")</f>
        <v/>
      </c>
      <c r="J7" s="77">
        <f>COUNTIFS('EL scheme register'!$A$7:$A$610,$A7,'EL scheme register'!$C$7:$C$610,"Cross-faculty",'EL scheme register'!$AJ$7:$AJ$610,"Yes")</f>
        <v/>
      </c>
      <c r="K7" s="77">
        <f>COUNTIFS('EL scheme register'!$A$7:$A$610,$A7,'EL scheme register'!$C$7:$C$610,"Faculty/school",'EL scheme register'!$AJ$7:$AJ$610,"Yes")</f>
        <v/>
      </c>
      <c r="L7" s="77">
        <f>COUNTIFS('EL scheme register'!$A$7:$A$610,$A7,'EL scheme register'!$C$7:$C$610,"Programme/course",'EL scheme register'!$AJ$7:$AJ$610,"Yes")</f>
        <v/>
      </c>
      <c r="M7" s="77">
        <f>COUNTIFS('EL scheme register'!$A$7:$A$610,$A7,'EL scheme register'!$C$7:$C$610,"Unclear",'EL scheme register'!$AJ$7:$AJ$610,"Yes")</f>
        <v/>
      </c>
      <c r="N7" s="77">
        <f>SUM(I7:M7)</f>
        <v/>
      </c>
      <c r="O7" s="77">
        <f>COUNTIFS('EL scheme register'!$A$7:$A$610,$A7,'EL scheme register'!$AF$7:$AF$610,"Potentially relevant; evidence incomplete",'EL scheme register'!$AI$7:$AI$610,"Yes")</f>
        <v/>
      </c>
      <c r="P7" s="77">
        <f>COUNTIFS('EL scheme register'!$A$7:$A$610,$A7,'EL scheme register'!$AF$7:$AF$610,"Outside strict definition")</f>
        <v/>
      </c>
      <c r="Q7" s="77">
        <f>COUNTIF('EL exclusions &amp; gaps'!$B$7:$B$5000,$A7)</f>
        <v/>
      </c>
      <c r="R7" s="77" t="inlineStr">
        <is>
          <t>Yes</t>
        </is>
      </c>
      <c r="S7" s="77" t="inlineStr">
        <is>
          <t>Not evidenced</t>
        </is>
      </c>
      <c r="T7" s="77" t="inlineStr">
        <is>
          <t>The Birmingham Project [University-wide]; Masters Consultancy Challenge (MCC) [University-wide]; Impact Challenge [University-wide]; Capgemini Community Challenge [Cross-faculty]</t>
        </is>
      </c>
      <c r="U7" s="77" t="inlineStr">
        <is>
          <t>Central provision: 3; Business/management: 1; Engineering/computing: 1; Science: 1</t>
        </is>
      </c>
      <c r="V7" s="77" t="inlineStr">
        <is>
          <t>Several distributed routes</t>
        </is>
      </c>
      <c r="W7" s="77" t="inlineStr">
        <is>
          <t>Birmingham has several distributed live-project routes. Most are short, extracurricular and centrally run, with smaller programme-embedded provision in the Business School. - Central (Careers Network): - The Birmingham Project is open to all first-year undergraduates on the Edgbaston campus. It is optional, non-credit and recorded as pass/fail on the transcript. Interdisciplinary teams spend one full-time week in June on challenges set by 7–8 employer partners in 2026 (e.g. HSBC, Siemens, Transport for West Midlands, West Midlands Combined Authority). Each challenge has an industry professional, and teams finish with a group video presentation to industry and academics. More than 2,000 students have taken part since 2013. - The Masters Consultancy Challenge is selective and open to taught postgraduates. Interdisciplinary groups work for 3 weeks on a Turner &amp; Townsend challenge and present to an industry and University panel. - The Impact Challenge is a paid, week-long programme for widening-participation finalists and penultimate-year students. Teams work on employer-set projects, mostly for charities and social enterprises. - Business School: - The Capgemini Community Challenge is</t>
        </is>
      </c>
      <c r="X7" s="77" t="inlineStr">
        <is>
          <t>Further departmental instances likely. Engineering group design projects lack evidence of industry-set briefs. Current-year evidence missing for SMC MSc and Company Projects. Maths Mathematical Challenge module partner/team format unverified. Education, Psychology and Biosciences only lightly searched. Birmingham Project partner count conflict (7 vs 8). Capgemini eligibility conflict.</t>
        </is>
      </c>
    </row>
    <row r="8">
      <c r="A8" s="77" t="inlineStr">
        <is>
          <t>RG02</t>
        </is>
      </c>
      <c r="B8" s="79" t="inlineStr">
        <is>
          <t>Bristol</t>
        </is>
      </c>
      <c r="C8" s="77" t="inlineStr">
        <is>
          <t>UK</t>
        </is>
      </c>
      <c r="D8" s="77" t="inlineStr">
        <is>
          <t>Russell Group</t>
        </is>
      </c>
      <c r="E8" s="77" t="inlineStr">
        <is>
          <t>UK – Russell Group</t>
        </is>
      </c>
      <c r="F8" s="77" t="n">
        <v>2027</v>
      </c>
      <c r="G8" s="77" t="n">
        <v>57</v>
      </c>
      <c r="H8" s="77" t="inlineStr">
        <is>
          <t>Complete</t>
        </is>
      </c>
      <c r="I8" s="77">
        <f>COUNTIFS('EL scheme register'!$A$7:$A$610,$A8,'EL scheme register'!$C$7:$C$610,"University-wide",'EL scheme register'!$AJ$7:$AJ$610,"Yes")</f>
        <v/>
      </c>
      <c r="J8" s="77">
        <f>COUNTIFS('EL scheme register'!$A$7:$A$610,$A8,'EL scheme register'!$C$7:$C$610,"Cross-faculty",'EL scheme register'!$AJ$7:$AJ$610,"Yes")</f>
        <v/>
      </c>
      <c r="K8" s="77">
        <f>COUNTIFS('EL scheme register'!$A$7:$A$610,$A8,'EL scheme register'!$C$7:$C$610,"Faculty/school",'EL scheme register'!$AJ$7:$AJ$610,"Yes")</f>
        <v/>
      </c>
      <c r="L8" s="77">
        <f>COUNTIFS('EL scheme register'!$A$7:$A$610,$A8,'EL scheme register'!$C$7:$C$610,"Programme/course",'EL scheme register'!$AJ$7:$AJ$610,"Yes")</f>
        <v/>
      </c>
      <c r="M8" s="77">
        <f>COUNTIFS('EL scheme register'!$A$7:$A$610,$A8,'EL scheme register'!$C$7:$C$610,"Unclear",'EL scheme register'!$AJ$7:$AJ$610,"Yes")</f>
        <v/>
      </c>
      <c r="N8" s="77">
        <f>SUM(I8:M8)</f>
        <v/>
      </c>
      <c r="O8" s="77">
        <f>COUNTIFS('EL scheme register'!$A$7:$A$610,$A8,'EL scheme register'!$AF$7:$AF$610,"Potentially relevant; evidence incomplete",'EL scheme register'!$AI$7:$AI$610,"Yes")</f>
        <v/>
      </c>
      <c r="P8" s="77">
        <f>COUNTIFS('EL scheme register'!$A$7:$A$610,$A8,'EL scheme register'!$AF$7:$AF$610,"Outside strict definition")</f>
        <v/>
      </c>
      <c r="Q8" s="77">
        <f>COUNTIF('EL exclusions &amp; gaps'!$B$7:$B$5000,$A8)</f>
        <v/>
      </c>
      <c r="R8" s="77" t="inlineStr">
        <is>
          <t>Not evidenced</t>
        </is>
      </c>
      <c r="S8" s="77" t="inlineStr">
        <is>
          <t>Not evidenced</t>
        </is>
      </c>
      <c r="T8" s="77" t="inlineStr">
        <is>
          <t>Mathematical and Data Modelling 3 (SEMT30005) [Programme/course]; Management Consultancy (EFIM30064) [Programme/course]; Business School Micro-Internship programme [Faculty/school]; The Marketing Applied Extended Project (AEP) - applied group route (MSc Marketing) (MGRCM0040) [Programme/course]; Human Rights Law Clinic (Human Rights Implementation Centre) [Faculty/school]</t>
        </is>
      </c>
      <c r="U8" s="77" t="inlineStr">
        <is>
          <t>Business/management: 3; Engineering/computing: 1; Other (law, health, design, architecture…): 1</t>
        </is>
      </c>
      <c r="V8" s="77" t="inlineStr">
        <is>
          <t>Several distributed routes</t>
        </is>
      </c>
      <c r="W8" s="77" t="inlineStr">
        <is>
          <t>Bristol has no university-wide, compulsory employer-project scheme; qualifying provision is distributed across schools, with the Industrial Liaison Office (Faculty of Science and Engineering) acting as the main broker of client briefs. Verified current routes. Engineering Mathematics' Mathematical and Data Modelling 3 (2026/27) puts groups of 4-6 on three six-week problems, two supplied by industrial partners. The Business School's final-year Management Consultancy (EFIM30064, 2025/26) places groups of 4-6 on briefs from outside organisations, mostly charities. The Business School Micro-Internship (200 Masters places, 3 weeks, extracurricular) assigns random teams to an industry client. The MSc Marketing applied project (small group, external commercial/third-sector partners) and the Law School's selective Human Rights Law Clinic (student-led teams researching to partner briefs, ~70 members) are also current. Credible but not currently evidenced. Undergraduate Software Engineering Project and MSc Summer Team Project (client-proposed, teams of 4-6) rest on undated ILO pages; Geography's Consultancy Project (3-5 student teams, external clients) appears only in a mislabelled catalogue</t>
        </is>
      </c>
      <c r="X8" s="77" t="inlineStr">
        <is>
          <t>Further departmental instances likely (Aerospace/Electrical MEng industrial group design projects, Computer Science AI software team project, other MSc business projects, Veterinary/Medicine/Dentistry/Architecture community or client projects not found). Unit catalogue results often carry unreliable future year labels (2031-2038) so several units lack genuine current-year evidence. Partner names and cohort sizes mostly unpublished. Humanities/social science client-team units not found. 38 searches used; Open Unit lists not examined unit by unit.</t>
        </is>
      </c>
    </row>
    <row r="9">
      <c r="A9" s="77" t="inlineStr">
        <is>
          <t>RG03</t>
        </is>
      </c>
      <c r="B9" s="79" t="inlineStr">
        <is>
          <t>Cambridge</t>
        </is>
      </c>
      <c r="C9" s="77" t="inlineStr">
        <is>
          <t>UK</t>
        </is>
      </c>
      <c r="D9" s="77" t="inlineStr">
        <is>
          <t>Russell Group</t>
        </is>
      </c>
      <c r="E9" s="77" t="inlineStr">
        <is>
          <t>UK – Russell Group</t>
        </is>
      </c>
      <c r="F9" s="77" t="n">
        <v>2027</v>
      </c>
      <c r="G9" s="77" t="n">
        <v>6</v>
      </c>
      <c r="H9" s="77" t="inlineStr">
        <is>
          <t>Complete</t>
        </is>
      </c>
      <c r="I9" s="77">
        <f>COUNTIFS('EL scheme register'!$A$7:$A$610,$A9,'EL scheme register'!$C$7:$C$610,"University-wide",'EL scheme register'!$AJ$7:$AJ$610,"Yes")</f>
        <v/>
      </c>
      <c r="J9" s="77">
        <f>COUNTIFS('EL scheme register'!$A$7:$A$610,$A9,'EL scheme register'!$C$7:$C$610,"Cross-faculty",'EL scheme register'!$AJ$7:$AJ$610,"Yes")</f>
        <v/>
      </c>
      <c r="K9" s="77">
        <f>COUNTIFS('EL scheme register'!$A$7:$A$610,$A9,'EL scheme register'!$C$7:$C$610,"Faculty/school",'EL scheme register'!$AJ$7:$AJ$610,"Yes")</f>
        <v/>
      </c>
      <c r="L9" s="77">
        <f>COUNTIFS('EL scheme register'!$A$7:$A$610,$A9,'EL scheme register'!$C$7:$C$610,"Programme/course",'EL scheme register'!$AJ$7:$AJ$610,"Yes")</f>
        <v/>
      </c>
      <c r="M9" s="77">
        <f>COUNTIFS('EL scheme register'!$A$7:$A$610,$A9,'EL scheme register'!$C$7:$C$610,"Unclear",'EL scheme register'!$AJ$7:$AJ$610,"Yes")</f>
        <v/>
      </c>
      <c r="N9" s="77">
        <f>SUM(I9:M9)</f>
        <v/>
      </c>
      <c r="O9" s="77">
        <f>COUNTIFS('EL scheme register'!$A$7:$A$610,$A9,'EL scheme register'!$AF$7:$AF$610,"Potentially relevant; evidence incomplete",'EL scheme register'!$AI$7:$AI$610,"Yes")</f>
        <v/>
      </c>
      <c r="P9" s="77">
        <f>COUNTIFS('EL scheme register'!$A$7:$A$610,$A9,'EL scheme register'!$AF$7:$AF$610,"Outside strict definition")</f>
        <v/>
      </c>
      <c r="Q9" s="77">
        <f>COUNTIF('EL exclusions &amp; gaps'!$B$7:$B$5000,$A9)</f>
        <v/>
      </c>
      <c r="R9" s="77" t="inlineStr">
        <is>
          <t>Not evidenced</t>
        </is>
      </c>
      <c r="S9" s="77" t="inlineStr">
        <is>
          <t>Not evidenced</t>
        </is>
      </c>
      <c r="T9" s="77" t="inlineStr">
        <is>
          <t>MBA Global Consulting Project (GCP) [Programme/course]; MBA Cambridge Venture Project (CVP) [Programme/course]; MFin Group Consulting Project (GCP) [Programme/course]; MPhil in Management: Management Consulting Project [Programme/course]; Management Studies Tripos (MST) consulting project [Programme/course]; MPhil in Technology Policy: Final Group Project [Programme/course]; Computer Science Tripos Part IB Group Project [Programme/course]</t>
        </is>
      </c>
      <c r="U9" s="77" t="inlineStr">
        <is>
          <t>Business/management: 6; Engineering/computing: 2</t>
        </is>
      </c>
      <c r="V9" s="77" t="inlineStr">
        <is>
          <t>Several distributed routes</t>
        </is>
      </c>
      <c r="W9" s="77" t="inlineStr">
        <is>
          <t>Cambridge has no institution-wide employer-project scheme; provision is concentrated in a few programme-embedded routes. Cambridge Judge Business School runs the densest set: the MBA Global Consulting Project (4-5 students, ~4 weeks, hosts such as WHO and Uber) and Cambridge Venture Project (5-6 students, ~6 weeks, local businesses), the MFin Group Consulting Project, the MPhil in Management Consulting Project, the undergraduate Management Studies Tripos project (teams of 3-4 for external organisations), and the MPhil in Technology Policy Final Group Project (clients including Cabinet Office, Ofcom, Arm). Each is part of a degree, uses a central client-proposal process with 2026/27 calls, and relies on external organisations as clients who receive the output. Outside business, the Computer Science Tripos Part IB group project is the standout: a compulsory seven-week team project for an assigned industry client, with 2026 clients including Nokia Bell Labs and Bending Spoons. Further routes exist in Engineering (IfM MET/ISMM company projects, ESD MPhil Client Project), Bioscience Enterprise and Public Policy/Conservation Leadership, but these lack dated current evidence. The universi</t>
        </is>
      </c>
      <c r="X9" s="77" t="inlineStr">
        <is>
          <t>Further departmental instances likely (other MPhils, Engineering Part IIA group projects, Chemical Engineering, Medicine, Architecture, Law, Education not individually searched). Credit/weighting and 'compulsory' wording not retrieved for most JBS projects (inferred from core-curriculum placement). MET/ISMM, ESD, MBE, Bennett PAE and Conservation Leadership need dated 2025/26-2026/27 corroboration. Student societies (180 Degrees Consulting, Cambridge Consulting Network) and Cambridge Hub not verified. WebFetch unavailable; all evidence is search-index extract/paraphrase.</t>
        </is>
      </c>
    </row>
    <row r="10">
      <c r="A10" s="77" t="inlineStr">
        <is>
          <t>RG04</t>
        </is>
      </c>
      <c r="B10" s="79" t="inlineStr">
        <is>
          <t>Cardiff</t>
        </is>
      </c>
      <c r="C10" s="77" t="inlineStr">
        <is>
          <t>UK</t>
        </is>
      </c>
      <c r="D10" s="77" t="inlineStr">
        <is>
          <t>Russell Group</t>
        </is>
      </c>
      <c r="E10" s="77" t="inlineStr">
        <is>
          <t>UK – Russell Group</t>
        </is>
      </c>
      <c r="F10" s="77" t="n">
        <v>2027</v>
      </c>
      <c r="G10" s="77" t="n">
        <v>179</v>
      </c>
      <c r="H10" s="77" t="inlineStr">
        <is>
          <t>Complete</t>
        </is>
      </c>
      <c r="I10" s="77">
        <f>COUNTIFS('EL scheme register'!$A$7:$A$610,$A10,'EL scheme register'!$C$7:$C$610,"University-wide",'EL scheme register'!$AJ$7:$AJ$610,"Yes")</f>
        <v/>
      </c>
      <c r="J10" s="77">
        <f>COUNTIFS('EL scheme register'!$A$7:$A$610,$A10,'EL scheme register'!$C$7:$C$610,"Cross-faculty",'EL scheme register'!$AJ$7:$AJ$610,"Yes")</f>
        <v/>
      </c>
      <c r="K10" s="77">
        <f>COUNTIFS('EL scheme register'!$A$7:$A$610,$A10,'EL scheme register'!$C$7:$C$610,"Faculty/school",'EL scheme register'!$AJ$7:$AJ$610,"Yes")</f>
        <v/>
      </c>
      <c r="L10" s="77">
        <f>COUNTIFS('EL scheme register'!$A$7:$A$610,$A10,'EL scheme register'!$C$7:$C$610,"Programme/course",'EL scheme register'!$AJ$7:$AJ$610,"Yes")</f>
        <v/>
      </c>
      <c r="M10" s="77">
        <f>COUNTIFS('EL scheme register'!$A$7:$A$610,$A10,'EL scheme register'!$C$7:$C$610,"Unclear",'EL scheme register'!$AJ$7:$AJ$610,"Yes")</f>
        <v/>
      </c>
      <c r="N10" s="77">
        <f>SUM(I10:M10)</f>
        <v/>
      </c>
      <c r="O10" s="77">
        <f>COUNTIFS('EL scheme register'!$A$7:$A$610,$A10,'EL scheme register'!$AF$7:$AF$610,"Potentially relevant; evidence incomplete",'EL scheme register'!$AI$7:$AI$610,"Yes")</f>
        <v/>
      </c>
      <c r="P10" s="77">
        <f>COUNTIFS('EL scheme register'!$A$7:$A$610,$A10,'EL scheme register'!$AF$7:$AF$610,"Outside strict definition")</f>
        <v/>
      </c>
      <c r="Q10" s="77">
        <f>COUNTIF('EL exclusions &amp; gaps'!$B$7:$B$5000,$A10)</f>
        <v/>
      </c>
      <c r="R10" s="77" t="inlineStr">
        <is>
          <t>Not evidenced</t>
        </is>
      </c>
      <c r="S10" s="77" t="inlineStr">
        <is>
          <t>Not evidenced</t>
        </is>
      </c>
      <c r="T10" s="77" t="inlineStr">
        <is>
          <t>BSc Applied Software Engineering: client-based team projects (National Software Academy) [Programme/course]</t>
        </is>
      </c>
      <c r="U10" s="77" t="inlineStr">
        <is>
          <t>Engineering/computing: 1</t>
        </is>
      </c>
      <c r="V10" s="77" t="inlineStr">
        <is>
          <t>Several distributed routes</t>
        </is>
      </c>
      <c r="W10" s="77" t="inlineStr">
        <is>
          <t>Cardiff has employer-linked group project provision concentrated in computing and the Business School (mostly postgraduate). No university-wide route was verified. - Clearest current route: the National Software Academy's BSc Applied Software Engineering builds team client projects into the degree. Teams build software for real private, public and third-sector clients over projects of about four weeks, meeting clients fortnightly (2026-entry page). - Business School: - The MSc Strategic Entrepreneurship and Innovation New Venture Plan (BST413, 40 credits; optional instead of a dissertation) assigns each group a real company client that sets the brief. - The MBA Management Consultancy elective, co-run with PA Consulting, sends teams to Welsh charities (e.g. Tenovus Cancer Care, WCVA). - The current status of both is undated. - The MBA live/Accelerator project (corporate client) and the MSc Business Management Consultancy Challenge (charity clients only 'may') are incomplete on group work or external coverage. - Planning: MSc Spatial Planning Live Project CPT831 has real clients such as planning authorities (group work unconfirmed). An older UG group consultancy module (CP0210) is ev</t>
        </is>
      </c>
      <c r="X10" s="77" t="inlineStr">
        <is>
          <t>Review is Partial (see partial_remaining). Key gaps: health schools not searched; science covered by one search only; group structure for MBA live project, MSc SPD Live Project and architecture live projects; whether MSc Business Management Consultancy Challenge always has an external client; dated 2025/26 evidence for Business School routes; whether engineering MSc group projects routinely have company partners and on which programmes; Bremen-Cardiff eligibility and any external problem owner; Student Enterprise annual report content; FinTech Wales Skills Challenge and Public Value Hackathon format. Further departmental instances are likely (e.g. NSA MSc Software Engineering, Computer Science MSc, Journalism). Reduced-depth round: WebFetch returned 403 for cardiff.ac.uk so no page text was obtained; health schools and Journalism remain unverified after one search.</t>
        </is>
      </c>
    </row>
    <row r="11">
      <c r="A11" s="77" t="inlineStr">
        <is>
          <t>RG05</t>
        </is>
      </c>
      <c r="B11" s="79" t="inlineStr">
        <is>
          <t>Durham</t>
        </is>
      </c>
      <c r="C11" s="77" t="inlineStr">
        <is>
          <t>UK</t>
        </is>
      </c>
      <c r="D11" s="77" t="inlineStr">
        <is>
          <t>Russell Group</t>
        </is>
      </c>
      <c r="E11" s="77" t="inlineStr">
        <is>
          <t>UK – Russell Group</t>
        </is>
      </c>
      <c r="F11" s="77" t="n">
        <v>2027</v>
      </c>
      <c r="G11" s="77" t="n">
        <v>85</v>
      </c>
      <c r="H11" s="77" t="inlineStr">
        <is>
          <t>Complete</t>
        </is>
      </c>
      <c r="I11" s="77">
        <f>COUNTIFS('EL scheme register'!$A$7:$A$610,$A11,'EL scheme register'!$C$7:$C$610,"University-wide",'EL scheme register'!$AJ$7:$AJ$610,"Yes")</f>
        <v/>
      </c>
      <c r="J11" s="77">
        <f>COUNTIFS('EL scheme register'!$A$7:$A$610,$A11,'EL scheme register'!$C$7:$C$610,"Cross-faculty",'EL scheme register'!$AJ$7:$AJ$610,"Yes")</f>
        <v/>
      </c>
      <c r="K11" s="77">
        <f>COUNTIFS('EL scheme register'!$A$7:$A$610,$A11,'EL scheme register'!$C$7:$C$610,"Faculty/school",'EL scheme register'!$AJ$7:$AJ$610,"Yes")</f>
        <v/>
      </c>
      <c r="L11" s="77">
        <f>COUNTIFS('EL scheme register'!$A$7:$A$610,$A11,'EL scheme register'!$C$7:$C$610,"Programme/course",'EL scheme register'!$AJ$7:$AJ$610,"Yes")</f>
        <v/>
      </c>
      <c r="M11" s="77">
        <f>COUNTIFS('EL scheme register'!$A$7:$A$610,$A11,'EL scheme register'!$C$7:$C$610,"Unclear",'EL scheme register'!$AJ$7:$AJ$610,"Yes")</f>
        <v/>
      </c>
      <c r="N11" s="77">
        <f>SUM(I11:M11)</f>
        <v/>
      </c>
      <c r="O11" s="77">
        <f>COUNTIFS('EL scheme register'!$A$7:$A$610,$A11,'EL scheme register'!$AF$7:$AF$610,"Potentially relevant; evidence incomplete",'EL scheme register'!$AI$7:$AI$610,"Yes")</f>
        <v/>
      </c>
      <c r="P11" s="77">
        <f>COUNTIFS('EL scheme register'!$A$7:$A$610,$A11,'EL scheme register'!$AF$7:$AF$610,"Outside strict definition")</f>
        <v/>
      </c>
      <c r="Q11" s="77">
        <f>COUNTIF('EL exclusions &amp; gaps'!$B$7:$B$5000,$A11)</f>
        <v/>
      </c>
      <c r="R11" s="77" t="inlineStr">
        <is>
          <t>Not evidenced</t>
        </is>
      </c>
      <c r="S11" s="77" t="inlineStr">
        <is>
          <t>Not evidenced</t>
        </is>
      </c>
      <c r="T11" s="77" t="inlineStr">
        <is>
          <t>COMP2281 Software Engineering (Year 2 team project with external organisation) (COMP2281) [Programme/course]; GEOL4091 Earth Sciences into Industry (GEOL4091) [Programme/course]</t>
        </is>
      </c>
      <c r="U11" s="77" t="inlineStr">
        <is>
          <t>Engineering/computing: 1; Science: 1</t>
        </is>
      </c>
      <c r="V11" s="77" t="inlineStr">
        <is>
          <t>Several distributed routes</t>
        </is>
      </c>
      <c r="W11" s="77" t="inlineStr">
        <is>
          <t>Durham's verified employer-linked group project provision is distributed across departments rather than institution-wide, with a small central employer-facing offer. The clearest current routes are two curricular modules: COMP2281 Software Engineering (compulsory Year 2 Computer Science teams build a substantial software project in partnership with an external organisation; listed available 2025/26) and GEOL4091 Earth Sciences into Industry (optional Level 4 group project in which a client, typically an external organisation, sets the problem and deliverables and receives the groups' presented solution; 60% group report, listed 2025/26). The Physics Team Project (PHYS3581) fits closely (teams of up to six, 8 weeks, client brief, presentation to clients such as Procter &amp; Gamble and Mantis Vacuum Systems) but problems are set by 'staff or local industry', so the external share is unproven. The central Mini Consultancy Competition (three-week, employer-set issue, three student teams) is documented only on an employer page, with no student eligibility or dated cohort. Engineering's pair-based Industrial Problem Solving live company project is only evidenced to 2019; the year-long Engin</t>
        </is>
      </c>
      <c r="X11" s="77" t="inlineStr">
        <is>
          <t>Search limit reached before checking Participatory Action Research (SOCI43715) and further arts/social science, education, health and law clinic provision. Further departmental instances likely (Engineering design/capstone with Industrial Partnership Committee partners, Biosciences, Psychology, Education). Central Mini Consultancy Competition lacks student-side eligibility, date and cohort evidence. Many sources are undated module/course pages or search-summary paraphrases of them; page contents were not opened directly. Resume pass (2026-10-13, 3 searches): Mini Consultancy student-side selection/team details still not found (employer-side page only: 3 teams, 3 weeks); MSc Business Analytics team vs individual still unconfirmed; PHYS3581 external share not stated.</t>
        </is>
      </c>
    </row>
    <row r="12">
      <c r="A12" s="77" t="inlineStr">
        <is>
          <t>RG06</t>
        </is>
      </c>
      <c r="B12" s="79" t="inlineStr">
        <is>
          <t>Edinburgh</t>
        </is>
      </c>
      <c r="C12" s="77" t="inlineStr">
        <is>
          <t>UK</t>
        </is>
      </c>
      <c r="D12" s="77" t="inlineStr">
        <is>
          <t>Russell Group</t>
        </is>
      </c>
      <c r="E12" s="77" t="inlineStr">
        <is>
          <t>UK – Russell Group</t>
        </is>
      </c>
      <c r="F12" s="77" t="n">
        <v>2027</v>
      </c>
      <c r="G12" s="77" t="n">
        <v>35</v>
      </c>
      <c r="H12" s="77" t="inlineStr">
        <is>
          <t>Complete</t>
        </is>
      </c>
      <c r="I12" s="77">
        <f>COUNTIFS('EL scheme register'!$A$7:$A$610,$A12,'EL scheme register'!$C$7:$C$610,"University-wide",'EL scheme register'!$AJ$7:$AJ$610,"Yes")</f>
        <v/>
      </c>
      <c r="J12" s="77">
        <f>COUNTIFS('EL scheme register'!$A$7:$A$610,$A12,'EL scheme register'!$C$7:$C$610,"Cross-faculty",'EL scheme register'!$AJ$7:$AJ$610,"Yes")</f>
        <v/>
      </c>
      <c r="K12" s="77">
        <f>COUNTIFS('EL scheme register'!$A$7:$A$610,$A12,'EL scheme register'!$C$7:$C$610,"Faculty/school",'EL scheme register'!$AJ$7:$AJ$610,"Yes")</f>
        <v/>
      </c>
      <c r="L12" s="77">
        <f>COUNTIFS('EL scheme register'!$A$7:$A$610,$A12,'EL scheme register'!$C$7:$C$610,"Programme/course",'EL scheme register'!$AJ$7:$AJ$610,"Yes")</f>
        <v/>
      </c>
      <c r="M12" s="77">
        <f>COUNTIFS('EL scheme register'!$A$7:$A$610,$A12,'EL scheme register'!$C$7:$C$610,"Unclear",'EL scheme register'!$AJ$7:$AJ$610,"Yes")</f>
        <v/>
      </c>
      <c r="N12" s="77">
        <f>SUM(I12:M12)</f>
        <v/>
      </c>
      <c r="O12" s="77">
        <f>COUNTIFS('EL scheme register'!$A$7:$A$610,$A12,'EL scheme register'!$AF$7:$AF$610,"Potentially relevant; evidence incomplete",'EL scheme register'!$AI$7:$AI$610,"Yes")</f>
        <v/>
      </c>
      <c r="P12" s="77">
        <f>COUNTIFS('EL scheme register'!$A$7:$A$610,$A12,'EL scheme register'!$AF$7:$AF$610,"Outside strict definition")</f>
        <v/>
      </c>
      <c r="Q12" s="77">
        <f>COUNTIF('EL exclusions &amp; gaps'!$B$7:$B$5000,$A12)</f>
        <v/>
      </c>
      <c r="R12" s="77" t="inlineStr">
        <is>
          <t>Not evidenced</t>
        </is>
      </c>
      <c r="S12" s="77" t="inlineStr">
        <is>
          <t>Not evidenced</t>
        </is>
      </c>
      <c r="T12" s="77" t="inlineStr">
        <is>
          <t>Students as Change Agents (EFIE08003) / EFI Change Agents (EFIE08006) (EFIE08003 / EFIE08006) [Unclear]; Sustainable Business Consultancy Projects (MSc Global Strategy and Sustainability) (CMSE11573) [Programme/course]; Enterprise Consultancy Project (BUST10120), Undergraduate Enterprise Consultancy (BUST10120) [Programme/course]; Client Consulting Project (EFIE11118), MSc Creative Industries (EFIE11118) [Programme/course]; LLM Human Rights Clinic (LLM in Human Rights) [Programme/course]</t>
        </is>
      </c>
      <c r="U12" s="77" t="inlineStr">
        <is>
          <t>Arts/humanities/social sciences: 3; Business/management: 2; Other (law, health, design, architecture…): 2; Central provision: 1</t>
        </is>
      </c>
      <c r="V12" s="77" t="inlineStr">
        <is>
          <t>Several distributed routes</t>
        </is>
      </c>
      <c r="W12" s="77" t="inlineStr">
        <is>
          <t>Edinburgh has no institution-wide employer-project programme in operation. The one university-wide scheme, Students as Change Agents (SACHA), survives only as a 20-credit EFI course (EFIE08003 / EFIE08006) in which small interdisciplinary teams work on a challenge set by an external partner and present outputs to it; the Careers co-curricular route is paused. Whether the elective is open university-wide or restricted to the EFI Interdisciplinary Futures MA is unresolved. The densest provision is distributed in the Business School: live-client team consultancies for MSc Global Strategy and Sustainability (teams of 5-6, ten weeks, current in the 2026/27 catalogue), MSc Entrepreneurship and Innovation, MSc Climate Change Finance and Investment, the MBA (consultancy project and a one-week charity consultancy), and an undergraduate Enterprise Consultancy Project (2025/26) for a new local business. Clients propose challenges, attend scoping and presentations, and receive reports; several of these pages are undated or last evidenced before 2025. EFI MSc Creative Industries has a compulsory Client Consulting Project (cultural-organisation client, 2025/26) and a Team Project that mixes clie</t>
        </is>
      </c>
      <c r="X12" s="77" t="inlineStr">
        <is>
          <t>Further departmental instances likely (ECA live-brief modules, Business School and EFI courses not individually checked, Engineering/Informatics sponsor projects). Currency not confirmed for MCiP, Climate Change Consulting, MBA projects, Freedom of Expression Clinic, GeoSciences Outreach. SACHA/EFI Change Agents eligibility conflict. No participation numbers published. Search ceiling approached (~40); Medicine/Veterinary/Social Sciences/Moray House only lightly searched.</t>
        </is>
      </c>
    </row>
    <row r="13">
      <c r="A13" s="77" t="inlineStr">
        <is>
          <t>RG07</t>
        </is>
      </c>
      <c r="B13" s="79" t="inlineStr">
        <is>
          <t>Exeter</t>
        </is>
      </c>
      <c r="C13" s="77" t="inlineStr">
        <is>
          <t>UK</t>
        </is>
      </c>
      <c r="D13" s="77" t="inlineStr">
        <is>
          <t>Russell Group</t>
        </is>
      </c>
      <c r="E13" s="77" t="inlineStr">
        <is>
          <t>UK – Russell Group</t>
        </is>
      </c>
      <c r="F13" s="77" t="n">
        <v>2027</v>
      </c>
      <c r="G13" s="77" t="n">
        <v>136</v>
      </c>
      <c r="H13" s="77" t="inlineStr">
        <is>
          <t>Complete</t>
        </is>
      </c>
      <c r="I13" s="77">
        <f>COUNTIFS('EL scheme register'!$A$7:$A$610,$A13,'EL scheme register'!$C$7:$C$610,"University-wide",'EL scheme register'!$AJ$7:$AJ$610,"Yes")</f>
        <v/>
      </c>
      <c r="J13" s="77">
        <f>COUNTIFS('EL scheme register'!$A$7:$A$610,$A13,'EL scheme register'!$C$7:$C$610,"Cross-faculty",'EL scheme register'!$AJ$7:$AJ$610,"Yes")</f>
        <v/>
      </c>
      <c r="K13" s="77">
        <f>COUNTIFS('EL scheme register'!$A$7:$A$610,$A13,'EL scheme register'!$C$7:$C$610,"Faculty/school",'EL scheme register'!$AJ$7:$AJ$610,"Yes")</f>
        <v/>
      </c>
      <c r="L13" s="77">
        <f>COUNTIFS('EL scheme register'!$A$7:$A$610,$A13,'EL scheme register'!$C$7:$C$610,"Programme/course",'EL scheme register'!$AJ$7:$AJ$610,"Yes")</f>
        <v/>
      </c>
      <c r="M13" s="77">
        <f>COUNTIFS('EL scheme register'!$A$7:$A$610,$A13,'EL scheme register'!$C$7:$C$610,"Unclear",'EL scheme register'!$AJ$7:$AJ$610,"Yes")</f>
        <v/>
      </c>
      <c r="N13" s="77">
        <f>SUM(I13:M13)</f>
        <v/>
      </c>
      <c r="O13" s="77">
        <f>COUNTIFS('EL scheme register'!$A$7:$A$610,$A13,'EL scheme register'!$AF$7:$AF$610,"Potentially relevant; evidence incomplete",'EL scheme register'!$AI$7:$AI$610,"Yes")</f>
        <v/>
      </c>
      <c r="P13" s="77">
        <f>COUNTIFS('EL scheme register'!$A$7:$A$610,$A13,'EL scheme register'!$AF$7:$AF$610,"Outside strict definition")</f>
        <v/>
      </c>
      <c r="Q13" s="77">
        <f>COUNTIF('EL exclusions &amp; gaps'!$B$7:$B$5000,$A13)</f>
        <v/>
      </c>
      <c r="R13" s="77" t="inlineStr">
        <is>
          <t>Not evidenced</t>
        </is>
      </c>
      <c r="S13" s="77" t="inlineStr">
        <is>
          <t>Not evidenced</t>
        </is>
      </c>
      <c r="T13" s="77" t="inlineStr">
        <is>
          <t>Business Project (MSc Management) (BEMM149) [Programme/course]</t>
        </is>
      </c>
      <c r="U13" s="77" t="inlineStr">
        <is>
          <t>Business/management: 1</t>
        </is>
      </c>
      <c r="V13" s="77" t="inlineStr">
        <is>
          <t>Unclear</t>
        </is>
      </c>
      <c r="W13" s="77" t="inlineStr">
        <is>
          <t>Exeter has two university-wide extracurricular routes. Embedded programme provision is mainly in the Business School. Review incomplete (search budget exhausted). - Grand Challenges (legacy): a free June project week open to all undergraduates. Groups of normally 4-8 design solutions to themed real-world challenges and present them to expert panels. 2026 challenge pages confirm current delivery. External input is largely experts giving lectures or sitting in the audience, so C is Unclear. The exception is a 2026 Industry-led Enquiry Group with Amazon Web Services, but AWS's exact role was not evidenced. - Future17 (legacy, with QS): open to undergraduates in year 2 or later and to PGT students. International teams of 6-8 spend 12 weeks on challenges set by partner organisations; 31 organisations offered 44 challenges in one round. A partner representative sits on the assessment panel. It can be taken for 15 credits via APEL or without credit. It meets all three criteria, but the latest dated cohort is about 2024/25, so its status is unclear. - Business School: the compulsory BEMM149 Business Project on MSc Management is a group consultancy project on a partner's brief, with a repor</t>
        </is>
      </c>
      <c r="X13" s="77" t="inlineStr">
        <is>
          <t>Other area unsearched; AHSS barely searched; dated current evidence missing for Future17 and BEMM149; AWS role in Grand Challenges; ECMM427 customer; group format for BEP3020, MSc MBA consulting option, Sports Consultancy Project; One Planet MBA team challenges; further departmental instances likely (engineering, business MSc programmes). Medicine/Health, Psychology, Sport not separately searched; reduced-depth mode.</t>
        </is>
      </c>
    </row>
    <row r="14">
      <c r="A14" s="77" t="inlineStr">
        <is>
          <t>RG08</t>
        </is>
      </c>
      <c r="B14" s="79" t="inlineStr">
        <is>
          <t>Glasgow</t>
        </is>
      </c>
      <c r="C14" s="77" t="inlineStr">
        <is>
          <t>UK</t>
        </is>
      </c>
      <c r="D14" s="77" t="inlineStr">
        <is>
          <t>Russell Group</t>
        </is>
      </c>
      <c r="E14" s="77" t="inlineStr">
        <is>
          <t>UK – Russell Group</t>
        </is>
      </c>
      <c r="F14" s="77" t="n">
        <v>2027</v>
      </c>
      <c r="G14" s="77" t="n">
        <v>80</v>
      </c>
      <c r="H14" s="77" t="inlineStr">
        <is>
          <t>Complete</t>
        </is>
      </c>
      <c r="I14" s="77">
        <f>COUNTIFS('EL scheme register'!$A$7:$A$610,$A14,'EL scheme register'!$C$7:$C$610,"University-wide",'EL scheme register'!$AJ$7:$AJ$610,"Yes")</f>
        <v/>
      </c>
      <c r="J14" s="77">
        <f>COUNTIFS('EL scheme register'!$A$7:$A$610,$A14,'EL scheme register'!$C$7:$C$610,"Cross-faculty",'EL scheme register'!$AJ$7:$AJ$610,"Yes")</f>
        <v/>
      </c>
      <c r="K14" s="77">
        <f>COUNTIFS('EL scheme register'!$A$7:$A$610,$A14,'EL scheme register'!$C$7:$C$610,"Faculty/school",'EL scheme register'!$AJ$7:$AJ$610,"Yes")</f>
        <v/>
      </c>
      <c r="L14" s="77">
        <f>COUNTIFS('EL scheme register'!$A$7:$A$610,$A14,'EL scheme register'!$C$7:$C$610,"Programme/course",'EL scheme register'!$AJ$7:$AJ$610,"Yes")</f>
        <v/>
      </c>
      <c r="M14" s="77">
        <f>COUNTIFS('EL scheme register'!$A$7:$A$610,$A14,'EL scheme register'!$C$7:$C$610,"Unclear",'EL scheme register'!$AJ$7:$AJ$610,"Yes")</f>
        <v/>
      </c>
      <c r="N14" s="77">
        <f>SUM(I14:M14)</f>
        <v/>
      </c>
      <c r="O14" s="77">
        <f>COUNTIFS('EL scheme register'!$A$7:$A$610,$A14,'EL scheme register'!$AF$7:$AF$610,"Potentially relevant; evidence incomplete",'EL scheme register'!$AI$7:$AI$610,"Yes")</f>
        <v/>
      </c>
      <c r="P14" s="77">
        <f>COUNTIFS('EL scheme register'!$A$7:$A$610,$A14,'EL scheme register'!$AF$7:$AF$610,"Outside strict definition")</f>
        <v/>
      </c>
      <c r="Q14" s="77">
        <f>COUNTIF('EL exclusions &amp; gaps'!$B$7:$B$5000,$A14)</f>
        <v/>
      </c>
      <c r="R14" s="77" t="inlineStr">
        <is>
          <t>Not evidenced</t>
        </is>
      </c>
      <c r="S14" s="77" t="inlineStr">
        <is>
          <t>Not evidenced</t>
        </is>
      </c>
      <c r="T14" s="77" t="inlineStr">
        <is>
          <t>MBA Group Consultancy Project (BUS5052) [Programme/course]; Integrating Business and Management in Practice (MGT4091) [Programme/course]; International Management Solutions (MGT5181) [Programme/course]; Team Project 3 (Software Team Project) (COMPSCI3004) [Programme/course]</t>
        </is>
      </c>
      <c r="U14" s="77" t="inlineStr">
        <is>
          <t>Business/management: 3; Engineering/computing: 1</t>
        </is>
      </c>
      <c r="V14" s="77" t="inlineStr">
        <is>
          <t>Several distributed routes</t>
        </is>
      </c>
      <c r="W14" s="77" t="inlineStr">
        <is>
          <t>Glasgow's qualifying provision is programme-embedded, concentrated in the Adam Smith Business School with one computing route; nothing university-wide was verified. - MBA Group Consultancy Project (BUS5052, 2026-27): MBA groups manage a client and respond to a client brief over ~70 hours in two weeks; group report (65%) and 30-minute presentation (35%). - International Management Solutions (MGT5181, 2026-27): MSc International Business teams run a live consultancy for firms seeking to internationalise; group report and presentation; client introduction meeting. - Integrating Business and Management in Practice (MGT4091, 2025-26): Honours capstone in one intensive week; groups meet a live client and present recommendations to them. Probably the Honours core 'integrative experiential learning course', but not confirmed. - Team Project 3 (COMPSCI3004, 2026-27): 30-credit, year-long third-year team software project for real customers who submit projects and select teams. Customer sector and internal/external mix are not stated. - Entrepreneurial Ventures Management &amp; Growth (MGT4019): teams of 4-5 consult for real charity/social-enterprise clients with consultant mentors; current deliv</t>
        </is>
      </c>
      <c r="X14" s="77" t="inlineStr">
        <is>
          <t>Compulsory vs optional status unknown for S2-S5. Client names/sectors not evidenced (S5 customer type unclear). MGT4091 link to the UG 'Small Business Consultancy Project' course card unconfirmed. MGT4019 current delivery unconfirmed. Engineering design/industrial projects, MSc Environment &amp; Sustainable Development consultancy, College of Social Sciences consultation projects not verified (reduced-depth). Further departmental instances likely.</t>
        </is>
      </c>
    </row>
    <row r="15">
      <c r="A15" s="77" t="inlineStr">
        <is>
          <t>RG09</t>
        </is>
      </c>
      <c r="B15" s="79" t="inlineStr">
        <is>
          <t>Imperial College London</t>
        </is>
      </c>
      <c r="C15" s="77" t="inlineStr">
        <is>
          <t>UK</t>
        </is>
      </c>
      <c r="D15" s="77" t="inlineStr">
        <is>
          <t>Russell Group</t>
        </is>
      </c>
      <c r="E15" s="77" t="inlineStr">
        <is>
          <t>UK – Russell Group</t>
        </is>
      </c>
      <c r="F15" s="77" t="n">
        <v>2027</v>
      </c>
      <c r="G15" s="77" t="n">
        <v>2</v>
      </c>
      <c r="H15" s="77" t="inlineStr">
        <is>
          <t>Complete</t>
        </is>
      </c>
      <c r="I15" s="77">
        <f>COUNTIFS('EL scheme register'!$A$7:$A$610,$A15,'EL scheme register'!$C$7:$C$610,"University-wide",'EL scheme register'!$AJ$7:$AJ$610,"Yes")</f>
        <v/>
      </c>
      <c r="J15" s="77">
        <f>COUNTIFS('EL scheme register'!$A$7:$A$610,$A15,'EL scheme register'!$C$7:$C$610,"Cross-faculty",'EL scheme register'!$AJ$7:$AJ$610,"Yes")</f>
        <v/>
      </c>
      <c r="K15" s="77">
        <f>COUNTIFS('EL scheme register'!$A$7:$A$610,$A15,'EL scheme register'!$C$7:$C$610,"Faculty/school",'EL scheme register'!$AJ$7:$AJ$610,"Yes")</f>
        <v/>
      </c>
      <c r="L15" s="77">
        <f>COUNTIFS('EL scheme register'!$A$7:$A$610,$A15,'EL scheme register'!$C$7:$C$610,"Programme/course",'EL scheme register'!$AJ$7:$AJ$610,"Yes")</f>
        <v/>
      </c>
      <c r="M15" s="77">
        <f>COUNTIFS('EL scheme register'!$A$7:$A$610,$A15,'EL scheme register'!$C$7:$C$610,"Unclear",'EL scheme register'!$AJ$7:$AJ$610,"Yes")</f>
        <v/>
      </c>
      <c r="N15" s="77">
        <f>SUM(I15:M15)</f>
        <v/>
      </c>
      <c r="O15" s="77">
        <f>COUNTIFS('EL scheme register'!$A$7:$A$610,$A15,'EL scheme register'!$AF$7:$AF$610,"Potentially relevant; evidence incomplete",'EL scheme register'!$AI$7:$AI$610,"Yes")</f>
        <v/>
      </c>
      <c r="P15" s="77">
        <f>COUNTIFS('EL scheme register'!$A$7:$A$610,$A15,'EL scheme register'!$AF$7:$AF$610,"Outside strict definition")</f>
        <v/>
      </c>
      <c r="Q15" s="77">
        <f>COUNTIF('EL exclusions &amp; gaps'!$B$7:$B$5000,$A15)</f>
        <v/>
      </c>
      <c r="R15" s="77" t="inlineStr">
        <is>
          <t>Not evidenced</t>
        </is>
      </c>
      <c r="S15" s="77" t="inlineStr">
        <is>
          <t>Not evidenced</t>
        </is>
      </c>
      <c r="T15" s="77" t="inlineStr">
        <is>
          <t>Strategic Marketing Consulting Project (BUSI70292) [Programme/course]; MSc Business Analytics &amp; AI Consulting Project (capstone option) [Programme/course]; MSc Management Consulting Project [Programme/course]; Hounslow Heath Project (MSc Environmental Technology: Environmental Assessment and Management option) [Programme/course]</t>
        </is>
      </c>
      <c r="U15" s="77" t="inlineStr">
        <is>
          <t>Business/management: 3; Science: 1</t>
        </is>
      </c>
      <c r="V15" s="77" t="inlineStr">
        <is>
          <t>Several distributed routes</t>
        </is>
      </c>
      <c r="W15" s="77" t="inlineStr">
        <is>
          <t>Imperial's strongest employer-linked group provision sits in the Business School and a few engineering/environment programmes, with no institution-wide scheme found. The Business School's MSc Group Consulting Projects (June-July 2026 call; 4-5 weeks; teams of 5-7 from seven MSc programmes) take real briefs from companies, which are free to participate; students bid for them and present recommendations to a panel including company representatives. These run as elective capstone options (e.g. Strategic Marketing Consulting Project BUSI70292, 10 ECTS; Business Analytics &amp; AI; Management; Economics &amp; Strategy; Climate Change, Management &amp; Finance). The MBA equivalent (Perspectives on Practice) is individual. In science, the MSc Environmental Technology (EAM option) Hounslow Heath project is a group technical report for Hounslow Borough Council with team presentations to the client (2025-26 specification). In engineering, the EEE third-year MEng group project (industry-proposed, groups of 5-7, industrial and academic supervisors) and the Computing Year 3 Software Engineering Group Project (customers, many industry-proposed) are strong leads, but current-year delivery or share of externa</t>
        </is>
      </c>
      <c r="X15" s="77" t="inlineStr">
        <is>
          <t>Further departmental instances likely (e.g. Bioengineering, Materials, Chemical Engineering, Earth Science, Physics/Chemistry industry projects, Faculty of Medicine). Extracurricular employer-set challenges (Careers competitions such as Accuracy Business Cup, Siemens/Sony) and the Imperial College Consultancy Society not verified. Credit weightings, module codes and cohort sizes mostly not extracted (search summaries only; no verbatim page quotes for most). Current-year evidence needed for S5, S6, S7, S9, S10. UROP/internship routes were not examined (individual).</t>
        </is>
      </c>
    </row>
    <row r="16">
      <c r="A16" s="77" t="inlineStr">
        <is>
          <t>RG10</t>
        </is>
      </c>
      <c r="B16" s="79" t="inlineStr">
        <is>
          <t>King’s College London</t>
        </is>
      </c>
      <c r="C16" s="77" t="inlineStr">
        <is>
          <t>UK</t>
        </is>
      </c>
      <c r="D16" s="77" t="inlineStr">
        <is>
          <t>Russell Group</t>
        </is>
      </c>
      <c r="E16" s="77" t="inlineStr">
        <is>
          <t>UK – Russell Group</t>
        </is>
      </c>
      <c r="F16" s="77" t="n">
        <v>2027</v>
      </c>
      <c r="G16" s="77" t="n">
        <v>37</v>
      </c>
      <c r="H16" s="77" t="inlineStr">
        <is>
          <t>Complete</t>
        </is>
      </c>
      <c r="I16" s="77">
        <f>COUNTIFS('EL scheme register'!$A$7:$A$610,$A16,'EL scheme register'!$C$7:$C$610,"University-wide",'EL scheme register'!$AJ$7:$AJ$610,"Yes")</f>
        <v/>
      </c>
      <c r="J16" s="77">
        <f>COUNTIFS('EL scheme register'!$A$7:$A$610,$A16,'EL scheme register'!$C$7:$C$610,"Cross-faculty",'EL scheme register'!$AJ$7:$AJ$610,"Yes")</f>
        <v/>
      </c>
      <c r="K16" s="77">
        <f>COUNTIFS('EL scheme register'!$A$7:$A$610,$A16,'EL scheme register'!$C$7:$C$610,"Faculty/school",'EL scheme register'!$AJ$7:$AJ$610,"Yes")</f>
        <v/>
      </c>
      <c r="L16" s="77">
        <f>COUNTIFS('EL scheme register'!$A$7:$A$610,$A16,'EL scheme register'!$C$7:$C$610,"Programme/course",'EL scheme register'!$AJ$7:$AJ$610,"Yes")</f>
        <v/>
      </c>
      <c r="M16" s="77">
        <f>COUNTIFS('EL scheme register'!$A$7:$A$610,$A16,'EL scheme register'!$C$7:$C$610,"Unclear",'EL scheme register'!$AJ$7:$AJ$610,"Yes")</f>
        <v/>
      </c>
      <c r="N16" s="77">
        <f>SUM(I16:M16)</f>
        <v/>
      </c>
      <c r="O16" s="77">
        <f>COUNTIFS('EL scheme register'!$A$7:$A$610,$A16,'EL scheme register'!$AF$7:$AF$610,"Potentially relevant; evidence incomplete",'EL scheme register'!$AI$7:$AI$610,"Yes")</f>
        <v/>
      </c>
      <c r="P16" s="77">
        <f>COUNTIFS('EL scheme register'!$A$7:$A$610,$A16,'EL scheme register'!$AF$7:$AF$610,"Outside strict definition")</f>
        <v/>
      </c>
      <c r="Q16" s="77">
        <f>COUNTIF('EL exclusions &amp; gaps'!$B$7:$B$5000,$A16)</f>
        <v/>
      </c>
      <c r="R16" s="77" t="inlineStr">
        <is>
          <t>Not evidenced</t>
        </is>
      </c>
      <c r="S16" s="77" t="inlineStr">
        <is>
          <t>Not evidenced</t>
        </is>
      </c>
      <c r="T16" s="77" t="inlineStr">
        <is>
          <t>King's Business School Consultancy (Strategy consultancy support for London enterprises; originally Business Consultancy Scheme) [Faculty/school]</t>
        </is>
      </c>
      <c r="U16" s="77" t="inlineStr">
        <is>
          <t>Business/management: 1</t>
        </is>
      </c>
      <c r="V16" s="77" t="inlineStr">
        <is>
          <t>Several distributed routes</t>
        </is>
      </c>
      <c r="W16" s="77" t="inlineStr">
        <is>
          <t>King's College London (partial review) has live-client project provision spread across the Business School, Informatics and central civic and careers units. Some routes are confirmed to involve group working; for others it is unverified. - Fully qualifying, current: The King's Business School Consultancy places teams of 3-4 final-year economics, business and management undergraduates with up to 15 local enterprises. Teams deliver a presentation and written recommendations, and a summer 2026 call is open. - Qualifying but undated: On the MSc Advanced Software Engineering, teams build software for external partners, including public-sector challenges with AWS mentors (Richmond and Wandsworth Councils). The Careers Insights Programme runs 2-week group virtual micro-internships on employer-proposed briefs for final-year undergraduates across all nine faculties. - Live clients, group working unclear: Informatics' Knowledge Exchange Projects (over 90 since 2022; partners set the brief, join supervision and receive the software; up to five students per brief; 2025/26 confirmed). PPM Consultancy (NHS trusts, Hackney, charities; Jan-Apr 2026). The MSc International Management Business Consu</t>
        </is>
      </c>
      <c r="X16" s="77" t="inlineStr">
        <is>
          <t>Science, AHSS and other searched lightly (1-2 queries each); further departmental instances likely. Group-working evidence missing for KEPs, PPM Consultancy, IM Business Consulting Project and the GHRM Benifex project. Dated current-year evidence missing for Insights, MSc ASE partner project and Civic Challenge. Whether Insights and CLA are open to all students or targeted at under-represented groups. KBS Consultancy timing inconsistency (summer 2026 vs w/c 30 November). Further departmental instances likely (e.g. KBS MSc capstones, SSPP charity projects, Policy Institute).</t>
        </is>
      </c>
    </row>
    <row r="17">
      <c r="A17" s="77" t="inlineStr">
        <is>
          <t>RG11</t>
        </is>
      </c>
      <c r="B17" s="79" t="inlineStr">
        <is>
          <t>Leeds</t>
        </is>
      </c>
      <c r="C17" s="77" t="inlineStr">
        <is>
          <t>UK</t>
        </is>
      </c>
      <c r="D17" s="77" t="inlineStr">
        <is>
          <t>Russell Group</t>
        </is>
      </c>
      <c r="E17" s="77" t="inlineStr">
        <is>
          <t>UK – Russell Group</t>
        </is>
      </c>
      <c r="F17" s="77" t="n">
        <v>2027</v>
      </c>
      <c r="G17" s="77" t="n">
        <v>77</v>
      </c>
      <c r="H17" s="77" t="inlineStr">
        <is>
          <t>Complete</t>
        </is>
      </c>
      <c r="I17" s="77">
        <f>COUNTIFS('EL scheme register'!$A$7:$A$610,$A17,'EL scheme register'!$C$7:$C$610,"University-wide",'EL scheme register'!$AJ$7:$AJ$610,"Yes")</f>
        <v/>
      </c>
      <c r="J17" s="77">
        <f>COUNTIFS('EL scheme register'!$A$7:$A$610,$A17,'EL scheme register'!$C$7:$C$610,"Cross-faculty",'EL scheme register'!$AJ$7:$AJ$610,"Yes")</f>
        <v/>
      </c>
      <c r="K17" s="77">
        <f>COUNTIFS('EL scheme register'!$A$7:$A$610,$A17,'EL scheme register'!$C$7:$C$610,"Faculty/school",'EL scheme register'!$AJ$7:$AJ$610,"Yes")</f>
        <v/>
      </c>
      <c r="L17" s="77">
        <f>COUNTIFS('EL scheme register'!$A$7:$A$610,$A17,'EL scheme register'!$C$7:$C$610,"Programme/course",'EL scheme register'!$AJ$7:$AJ$610,"Yes")</f>
        <v/>
      </c>
      <c r="M17" s="77">
        <f>COUNTIFS('EL scheme register'!$A$7:$A$610,$A17,'EL scheme register'!$C$7:$C$610,"Unclear",'EL scheme register'!$AJ$7:$AJ$610,"Yes")</f>
        <v/>
      </c>
      <c r="N17" s="77">
        <f>SUM(I17:M17)</f>
        <v/>
      </c>
      <c r="O17" s="77">
        <f>COUNTIFS('EL scheme register'!$A$7:$A$610,$A17,'EL scheme register'!$AF$7:$AF$610,"Potentially relevant; evidence incomplete",'EL scheme register'!$AI$7:$AI$610,"Yes")</f>
        <v/>
      </c>
      <c r="P17" s="77">
        <f>COUNTIFS('EL scheme register'!$A$7:$A$610,$A17,'EL scheme register'!$AF$7:$AF$610,"Outside strict definition")</f>
        <v/>
      </c>
      <c r="Q17" s="77">
        <f>COUNTIF('EL exclusions &amp; gaps'!$B$7:$B$5000,$A17)</f>
        <v/>
      </c>
      <c r="R17" s="77" t="inlineStr">
        <is>
          <t>Yes</t>
        </is>
      </c>
      <c r="S17" s="77" t="inlineStr">
        <is>
          <t>Not evidenced</t>
        </is>
      </c>
      <c r="T17" s="77" t="inlineStr">
        <is>
          <t>LUBS3013 Enterprise Consultancy (Leeds Enterprise Consultancy Project) (LUBS3013) [University-wide]; Leeds Global Industry Programme (postgraduate) [University-wide]; EPS Embedded Virtual Work Experience [Faculty/school]; MECH5080M Team Project (MEng major team project with industrial partner) (MECH5080M) [Programme/course]; FOAH5000M Engaging the Modern City: The Civic Researcher (FOAH5000M) [Unclear]</t>
        </is>
      </c>
      <c r="U17" s="77" t="inlineStr">
        <is>
          <t>Business/management: 2; Central provision: 2; Science: 2; Arts/humanities/social sciences: 2; Engineering/computing: 2; Other (law, health, design, architecture…): 1</t>
        </is>
      </c>
      <c r="V17" s="77" t="inlineStr">
        <is>
          <t>Several distributed routes</t>
        </is>
      </c>
      <c r="W17" s="77" t="inlineStr">
        <is>
          <t>Leeds has several verified employer-linked group project routes, distributed across schools rather than run through one university-wide scheme. The widest are two Discovery-eligible or central routes: LUBS3013 Enterprise Consultancy (final-year undergraduates from across the University work in teams on consultancy briefs from small businesses and social enterprises, graded partly by a group client report) and the Leeds Global Industry Programme (multidisciplinary teams of 5-8 taught postgraduates produce a consultancy report for a live company brief; EPS students take an eight-week embedded equivalent in teams of five). Within degrees, the MEng Team Project (MECH5080M, 45 credits, groups of 3-6 mentored by industry collaborators acting as customers) is compulsory in mechanical-engineering MEng programmes, and the civil engineering Year 4 design project has industrial partners acting as client (undated evidence). In arts and humanities, FOAH5000M Civic Researcher has interdisciplinary groups negotiating briefs with Leeds cultural and third-sector bodies, with external leads on the assessment panel; the Arts Management MA has a partner-brief group module. Business school routes inclu</t>
        </is>
      </c>
      <c r="X17" s="77" t="inlineStr">
        <is>
          <t>Further departmental instances likely (Electronic Engineering, Aerospace/Mechatronics variants, Geography/Environment, Education, Cerebra pro bono programme, School of Media and Communication, Computer Science industrial MSc projects). Not searched in detail: Physics/Chemistry/Biology group projects other than via Enterprise Consultancy; Maths/Statistics MSc projects (co-supervised individual projects found, group unclear). Participation numbers mostly unpublished; several pages undated so current delivery uncertain for S5, S7, S8, S9. Search budget exceeded the ~40 target (about 50 searches) to cover six areas.</t>
        </is>
      </c>
    </row>
    <row r="18">
      <c r="A18" s="77" t="inlineStr">
        <is>
          <t>RG12</t>
        </is>
      </c>
      <c r="B18" s="79" t="inlineStr">
        <is>
          <t>Liverpool</t>
        </is>
      </c>
      <c r="C18" s="77" t="inlineStr">
        <is>
          <t>UK</t>
        </is>
      </c>
      <c r="D18" s="77" t="inlineStr">
        <is>
          <t>Russell Group</t>
        </is>
      </c>
      <c r="E18" s="77" t="inlineStr">
        <is>
          <t>UK – Russell Group</t>
        </is>
      </c>
      <c r="F18" s="77" t="n">
        <v>2027</v>
      </c>
      <c r="G18" s="77" t="n">
        <v>139</v>
      </c>
      <c r="H18" s="77" t="inlineStr">
        <is>
          <t>Complete</t>
        </is>
      </c>
      <c r="I18" s="77">
        <f>COUNTIFS('EL scheme register'!$A$7:$A$610,$A18,'EL scheme register'!$C$7:$C$610,"University-wide",'EL scheme register'!$AJ$7:$AJ$610,"Yes")</f>
        <v/>
      </c>
      <c r="J18" s="77">
        <f>COUNTIFS('EL scheme register'!$A$7:$A$610,$A18,'EL scheme register'!$C$7:$C$610,"Cross-faculty",'EL scheme register'!$AJ$7:$AJ$610,"Yes")</f>
        <v/>
      </c>
      <c r="K18" s="77">
        <f>COUNTIFS('EL scheme register'!$A$7:$A$610,$A18,'EL scheme register'!$C$7:$C$610,"Faculty/school",'EL scheme register'!$AJ$7:$AJ$610,"Yes")</f>
        <v/>
      </c>
      <c r="L18" s="77">
        <f>COUNTIFS('EL scheme register'!$A$7:$A$610,$A18,'EL scheme register'!$C$7:$C$610,"Programme/course",'EL scheme register'!$AJ$7:$AJ$610,"Yes")</f>
        <v/>
      </c>
      <c r="M18" s="77">
        <f>COUNTIFS('EL scheme register'!$A$7:$A$610,$A18,'EL scheme register'!$C$7:$C$610,"Unclear",'EL scheme register'!$AJ$7:$AJ$610,"Yes")</f>
        <v/>
      </c>
      <c r="N18" s="77">
        <f>SUM(I18:M18)</f>
        <v/>
      </c>
      <c r="O18" s="77">
        <f>COUNTIFS('EL scheme register'!$A$7:$A$610,$A18,'EL scheme register'!$AF$7:$AF$610,"Potentially relevant; evidence incomplete",'EL scheme register'!$AI$7:$AI$610,"Yes")</f>
        <v/>
      </c>
      <c r="P18" s="77">
        <f>COUNTIFS('EL scheme register'!$A$7:$A$610,$A18,'EL scheme register'!$AF$7:$AF$610,"Outside strict definition")</f>
        <v/>
      </c>
      <c r="Q18" s="77">
        <f>COUNTIF('EL exclusions &amp; gaps'!$B$7:$B$5000,$A18)</f>
        <v/>
      </c>
      <c r="R18" s="77" t="inlineStr">
        <is>
          <t>Yes</t>
        </is>
      </c>
      <c r="S18" s="77" t="inlineStr">
        <is>
          <t>Not evidenced</t>
        </is>
      </c>
      <c r="T18" s="77" t="inlineStr">
        <is>
          <t>The Big Events Challenge with Culture Liverpool [Unclear]; Sustainable Innovation Challenge [University-wide]; Professional Projects and Employability in Mathematics (MATH390) [Programme/course]</t>
        </is>
      </c>
      <c r="U18" s="77" t="inlineStr">
        <is>
          <t>Central provision: 2; Science: 1</t>
        </is>
      </c>
      <c r="V18" s="77" t="inlineStr">
        <is>
          <t>Several distributed routes</t>
        </is>
      </c>
      <c r="W18" s="77" t="inlineStr">
        <is>
          <t>Liverpool shows qualifying provision in several distinct places rather than a single institution-wide scheme. Centrally, Careers and Employability runs extracurricular employer team challenges under Launchpad (the Big Events Challenge with Culture Liverpool, March 2026, a two-day challenge; and the annual Sustainable Innovation Challenge, 2026 brief with Manchester City FC and partner universities). Both are selective, short and not credit-bearing; the Sustainable Innovation Challenge is open across the University with priority for EQ+ students. A central 'Real-World Challenges in Curriculum' offer invites employers to embed projects in modules, but no list of participating modules is published. The strongest curricular routes are programme-level: MATH390 (Mathematical Sciences, optional Year 3, groups on employer-set projects with employer input on reports and Q&amp;A), Geography and Planning's client-based group modules (ENVS467 compulsory in MPlan/MCD with named council and charity clients; Environmental Planning and Management Project), a Management School HRM Consultancy Day (one day, Enterprise Mobility, BDO, Hilton, March 2025), and an EEE module with industry-panel pitches. The</t>
        </is>
      </c>
      <c r="X18" s="77" t="inlineStr">
        <is>
          <t>Further departmental instances likely (engineering, computer science, medicine, dentistry, veterinary science, nursing/allied health, biosciences, chemistry, physics, music/arts, politics) were not searched in depth. Many module pages undated; legacy Grand Challenges page not surfaced in search. Group working unresolved for MBA, MKIB306, Project Partners and architecture studio. Partner types for several routes unspecified. No participation numbers published. 39 searches used.</t>
        </is>
      </c>
    </row>
    <row r="19">
      <c r="A19" s="77" t="inlineStr">
        <is>
          <t>RG13</t>
        </is>
      </c>
      <c r="B19" s="79" t="inlineStr">
        <is>
          <t>London School of Economics</t>
        </is>
      </c>
      <c r="C19" s="77" t="inlineStr">
        <is>
          <t>UK</t>
        </is>
      </c>
      <c r="D19" s="77" t="inlineStr">
        <is>
          <t>Russell Group</t>
        </is>
      </c>
      <c r="E19" s="77" t="inlineStr">
        <is>
          <t>UK – Russell Group</t>
        </is>
      </c>
      <c r="F19" s="77" t="n">
        <v>2027</v>
      </c>
      <c r="G19" s="77" t="n">
        <v>62</v>
      </c>
      <c r="H19" s="77" t="inlineStr">
        <is>
          <t>Complete</t>
        </is>
      </c>
      <c r="I19" s="77">
        <f>COUNTIFS('EL scheme register'!$A$7:$A$610,$A19,'EL scheme register'!$C$7:$C$610,"University-wide",'EL scheme register'!$AJ$7:$AJ$610,"Yes")</f>
        <v/>
      </c>
      <c r="J19" s="77">
        <f>COUNTIFS('EL scheme register'!$A$7:$A$610,$A19,'EL scheme register'!$C$7:$C$610,"Cross-faculty",'EL scheme register'!$AJ$7:$AJ$610,"Yes")</f>
        <v/>
      </c>
      <c r="K19" s="77">
        <f>COUNTIFS('EL scheme register'!$A$7:$A$610,$A19,'EL scheme register'!$C$7:$C$610,"Faculty/school",'EL scheme register'!$AJ$7:$AJ$610,"Yes")</f>
        <v/>
      </c>
      <c r="L19" s="77">
        <f>COUNTIFS('EL scheme register'!$A$7:$A$610,$A19,'EL scheme register'!$C$7:$C$610,"Programme/course",'EL scheme register'!$AJ$7:$AJ$610,"Yes")</f>
        <v/>
      </c>
      <c r="M19" s="77">
        <f>COUNTIFS('EL scheme register'!$A$7:$A$610,$A19,'EL scheme register'!$C$7:$C$610,"Unclear",'EL scheme register'!$AJ$7:$AJ$610,"Yes")</f>
        <v/>
      </c>
      <c r="N19" s="77">
        <f>SUM(I19:M19)</f>
        <v/>
      </c>
      <c r="O19" s="77">
        <f>COUNTIFS('EL scheme register'!$A$7:$A$610,$A19,'EL scheme register'!$AF$7:$AF$610,"Potentially relevant; evidence incomplete",'EL scheme register'!$AI$7:$AI$610,"Yes")</f>
        <v/>
      </c>
      <c r="P19" s="77">
        <f>COUNTIFS('EL scheme register'!$A$7:$A$610,$A19,'EL scheme register'!$AF$7:$AF$610,"Outside strict definition")</f>
        <v/>
      </c>
      <c r="Q19" s="77">
        <f>COUNTIF('EL exclusions &amp; gaps'!$B$7:$B$5000,$A19)</f>
        <v/>
      </c>
      <c r="R19" s="77" t="inlineStr">
        <is>
          <t>Yes</t>
        </is>
      </c>
      <c r="S19" s="77" t="inlineStr">
        <is>
          <t>Not evidenced</t>
        </is>
      </c>
      <c r="T19" s="77" t="inlineStr">
        <is>
          <t>Future17 [University-wide]; LSE Community Engagement Programme (CEP) [University-wide]; Research Volunteering Scheme (RVS) [University-wide]; GMiM Capstone Course - Management in Action (MG488B (with MG488A)) [Programme/course]; CEMS &amp; MBA Business Projects [Programme/course]; Marketing Action Learning Project (MALP) (MG4F1) [Programme/course]; MiM Capstone Course - International Management in Action (incl. London Consulting Project) (MG4J4) [Programme/course]; Social Innovation and Entrepreneurship Fundamentals (year-long partner group project) (MG4G6) [Programme/course]; Capstone Project (MSc Data Science) (ST498) [Programme/course]; MPA Capstone Project (PP4B3) [Programme/course]; Capstone Project: MPA - Data Science for Public Policy (PP4B5) [Programme/course]; Executive MPP Capstone Project (PP4B3E) [Programme/course]; Philosophy, Politics and Economics: Capstone (GV343) [Programme/course]; Development Management Consultancy Project (DV443) [Programme/course]; Health and International Development Consultancy Project (DV453) [Programme/course]; Humanitarian Consultancy Project (DV466) [Programme/course]</t>
        </is>
      </c>
      <c r="U19" s="77" t="inlineStr">
        <is>
          <t>Arts/humanities/social sciences: 7; Business/management: 5; Central provision: 3; Science: 1</t>
        </is>
      </c>
      <c r="V19" s="77" t="inlineStr">
        <is>
          <t>Several distributed routes</t>
        </is>
      </c>
      <c r="W19" s="77" t="inlineStr">
        <is>
          <t>LSE has substantial but mainly postgraduate, programme-embedded live-client group project provision, together with a few institution-wide extracurricular routes. - Institution-wide: LSE100 is compulsory for all first-year undergraduates and includes a 4-5 person group research project. That project is addressed to a self-defined target audience, and no external organisation was evidenced, so it is a near-miss on criterion C. The open qualifying routes are selective and extracurricular: Future17 (QS consortium; teams of about five work on SDG challenges set by business, charity or NGO partners; open to all undergraduates), the Volunteer Centre Community Engagement Programme (teams of 6-7 work as consultants on charity briefs; open to all students) and the Research Volunteering Scheme (postgraduate teams answer charity research questions; 10 questions in 2025/26). - Embedded client capstones (compulsory within programmes): - Management: a sponsored Business Projects framework (GMiM MG488B, CEMS, HRO Links in pairs, MSc Marketing MG4F1), the MiM capstone MG4J4 / London Consulting Project, and the SIE partner project MG4G6. - School of Public Policy: the MPA capstone PP4B3, where the c</t>
        </is>
      </c>
      <c r="X19" s="77" t="inlineStr">
        <is>
          <t>Future17 credit status and LSE participant numbers; Department of Management 'Open Innovation' business-project stream and SIE consulting capstone not identified at course level; CEMS/MBA project credit and which 'MBA' students; PP4B5/PP4B3E assessment and compulsory status; PP4A7E Urban Consultancy Project (Executive MSc Cities) not searched in detail; LAC Policy Clinic (reports on live issues for external partners) not separately verified; law clinic current cohorts undated; no client-project evidence found for Economics, Social Policy, Media &amp; Communications, Psychological &amp; Behavioural Science, Anthropology, Sociology, International Relations, Accounting, Finance (not every department searched individually; further departmental instances may exist); search budget exceeded (42 searches) to calibrate depth.</t>
        </is>
      </c>
    </row>
    <row r="20">
      <c r="A20" s="77" t="inlineStr">
        <is>
          <t>RG14</t>
        </is>
      </c>
      <c r="B20" s="79" t="inlineStr">
        <is>
          <t>Manchester</t>
        </is>
      </c>
      <c r="C20" s="77" t="inlineStr">
        <is>
          <t>UK</t>
        </is>
      </c>
      <c r="D20" s="77" t="inlineStr">
        <is>
          <t>Russell Group</t>
        </is>
      </c>
      <c r="E20" s="77" t="inlineStr">
        <is>
          <t>UK – Russell Group</t>
        </is>
      </c>
      <c r="F20" s="77" t="n">
        <v>2027</v>
      </c>
      <c r="G20" s="77" t="n">
        <v>40</v>
      </c>
      <c r="H20" s="77" t="inlineStr">
        <is>
          <t>Complete</t>
        </is>
      </c>
      <c r="I20" s="77">
        <f>COUNTIFS('EL scheme register'!$A$7:$A$610,$A20,'EL scheme register'!$C$7:$C$610,"University-wide",'EL scheme register'!$AJ$7:$AJ$610,"Yes")</f>
        <v/>
      </c>
      <c r="J20" s="77">
        <f>COUNTIFS('EL scheme register'!$A$7:$A$610,$A20,'EL scheme register'!$C$7:$C$610,"Cross-faculty",'EL scheme register'!$AJ$7:$AJ$610,"Yes")</f>
        <v/>
      </c>
      <c r="K20" s="77">
        <f>COUNTIFS('EL scheme register'!$A$7:$A$610,$A20,'EL scheme register'!$C$7:$C$610,"Faculty/school",'EL scheme register'!$AJ$7:$AJ$610,"Yes")</f>
        <v/>
      </c>
      <c r="L20" s="77">
        <f>COUNTIFS('EL scheme register'!$A$7:$A$610,$A20,'EL scheme register'!$C$7:$C$610,"Programme/course",'EL scheme register'!$AJ$7:$AJ$610,"Yes")</f>
        <v/>
      </c>
      <c r="M20" s="77">
        <f>COUNTIFS('EL scheme register'!$A$7:$A$610,$A20,'EL scheme register'!$C$7:$C$610,"Unclear",'EL scheme register'!$AJ$7:$AJ$610,"Yes")</f>
        <v/>
      </c>
      <c r="N20" s="77">
        <f>SUM(I20:M20)</f>
        <v/>
      </c>
      <c r="O20" s="77">
        <f>COUNTIFS('EL scheme register'!$A$7:$A$610,$A20,'EL scheme register'!$AF$7:$AF$610,"Potentially relevant; evidence incomplete",'EL scheme register'!$AI$7:$AI$610,"Yes")</f>
        <v/>
      </c>
      <c r="P20" s="77">
        <f>COUNTIFS('EL scheme register'!$A$7:$A$610,$A20,'EL scheme register'!$AF$7:$AF$610,"Outside strict definition")</f>
        <v/>
      </c>
      <c r="Q20" s="77">
        <f>COUNTIF('EL exclusions &amp; gaps'!$B$7:$B$5000,$A20)</f>
        <v/>
      </c>
      <c r="R20" s="77" t="inlineStr">
        <is>
          <t>Not evidenced</t>
        </is>
      </c>
      <c r="S20" s="77" t="inlineStr">
        <is>
          <t>Not evidenced</t>
        </is>
      </c>
      <c r="T20" s="77" t="inlineStr">
        <is>
          <t>International Business Consultancy Project (International Business Project, IBP) [Programme/course]; Social Impact Project (formerly Not-for-Profit project) [Programme/course]; MSc Business Analysis and Strategic Management client consultancy project [Programme/course]; Civil Group Design Project (CIVL41530) [Programme/course]; MSA LIVE (Manchester School of Architecture live projects) [Faculty/school]</t>
        </is>
      </c>
      <c r="U20" s="77" t="inlineStr">
        <is>
          <t>Business/management: 3; Engineering/computing: 1; Other (law, health, design, architecture…): 1</t>
        </is>
      </c>
      <c r="V20" s="77" t="inlineStr">
        <is>
          <t>Several distributed routes</t>
        </is>
      </c>
      <c r="W20" s="77" t="inlineStr">
        <is>
          <t>Manchester has substantial live-client group project provision. It is concentrated in Alliance Manchester Business School (AMBS) and selected engineering degrees, with two cross-institutional routes. This reduced-depth review is complete across the six areas. - AMBS: - The Full-time MBA builds in several group consultancy projects for real clients. These include the Social Impact Project for third-sector clients and the International Business Project, where teams of 5-6 bid for client briefs and deliver consultancy. - The MSc Business Analysis and Strategic Management offers a 60-credit May-September client consultancy option, assessed by a group report. - BSc Management final-year students can choose a live consultancy project with a client company. Whether this is done in groups is unverified. - Engineering and computing: - The MEng Civil degrees have a compulsory 30-credit industry-supervised Civil Group Design Project (CIVL41530). - COMP23311 puts about 200 second-year computer scientists in teams of six, each mentored by an industry software engineer. The brief is academic, and the industry role is mentoring only. - The final-year team projects in Electrical and Electronic Eng</t>
        </is>
      </c>
      <c r="X20" s="77" t="inlineStr">
        <is>
          <t>Reduced-depth review: humanities/social science and health searched lightly with no qualifying unit found; further departmental instances likely. Unverified: group format of S6 and S11; dated 2025/26 evidence for S7, S9, S10, S11; MSA LIVE Manchester vs MMU cohort and compulsory status; whether Lloyds/P&amp;G set briefs in S14; Chemistry/Physics/Maths/Earth Sciences and Aerospace/Mechanical/Chemical client links; Biotechnology group enterprise projects.</t>
        </is>
      </c>
    </row>
    <row r="21">
      <c r="A21" s="77" t="inlineStr">
        <is>
          <t>RG15</t>
        </is>
      </c>
      <c r="B21" s="79" t="inlineStr">
        <is>
          <t>Newcastle</t>
        </is>
      </c>
      <c r="C21" s="77" t="inlineStr">
        <is>
          <t>UK</t>
        </is>
      </c>
      <c r="D21" s="77" t="inlineStr">
        <is>
          <t>Russell Group</t>
        </is>
      </c>
      <c r="E21" s="77" t="inlineStr">
        <is>
          <t>UK – Russell Group</t>
        </is>
      </c>
      <c r="F21" s="77" t="n">
        <v>2027</v>
      </c>
      <c r="G21" s="77" t="n">
        <v>149</v>
      </c>
      <c r="H21" s="77" t="inlineStr">
        <is>
          <t>Complete</t>
        </is>
      </c>
      <c r="I21" s="77">
        <f>COUNTIFS('EL scheme register'!$A$7:$A$610,$A21,'EL scheme register'!$C$7:$C$610,"University-wide",'EL scheme register'!$AJ$7:$AJ$610,"Yes")</f>
        <v/>
      </c>
      <c r="J21" s="77">
        <f>COUNTIFS('EL scheme register'!$A$7:$A$610,$A21,'EL scheme register'!$C$7:$C$610,"Cross-faculty",'EL scheme register'!$AJ$7:$AJ$610,"Yes")</f>
        <v/>
      </c>
      <c r="K21" s="77">
        <f>COUNTIFS('EL scheme register'!$A$7:$A$610,$A21,'EL scheme register'!$C$7:$C$610,"Faculty/school",'EL scheme register'!$AJ$7:$AJ$610,"Yes")</f>
        <v/>
      </c>
      <c r="L21" s="77">
        <f>COUNTIFS('EL scheme register'!$A$7:$A$610,$A21,'EL scheme register'!$C$7:$C$610,"Programme/course",'EL scheme register'!$AJ$7:$AJ$610,"Yes")</f>
        <v/>
      </c>
      <c r="M21" s="77">
        <f>COUNTIFS('EL scheme register'!$A$7:$A$610,$A21,'EL scheme register'!$C$7:$C$610,"Unclear",'EL scheme register'!$AJ$7:$AJ$610,"Yes")</f>
        <v/>
      </c>
      <c r="N21" s="77">
        <f>SUM(I21:M21)</f>
        <v/>
      </c>
      <c r="O21" s="77">
        <f>COUNTIFS('EL scheme register'!$A$7:$A$610,$A21,'EL scheme register'!$AF$7:$AF$610,"Potentially relevant; evidence incomplete",'EL scheme register'!$AI$7:$AI$610,"Yes")</f>
        <v/>
      </c>
      <c r="P21" s="77">
        <f>COUNTIFS('EL scheme register'!$A$7:$A$610,$A21,'EL scheme register'!$AF$7:$AF$610,"Outside strict definition")</f>
        <v/>
      </c>
      <c r="Q21" s="77">
        <f>COUNTIF('EL exclusions &amp; gaps'!$B$7:$B$5000,$A21)</f>
        <v/>
      </c>
      <c r="R21" s="77" t="inlineStr">
        <is>
          <t>Not evidenced</t>
        </is>
      </c>
      <c r="S21" s="77" t="inlineStr">
        <is>
          <t>Not evidenced</t>
        </is>
      </c>
      <c r="T21" s="77" t="inlineStr">
        <is>
          <t>BUS3053 Management Consultancy Project (BUS3053) [Faculty/school]; NBS8130 Management Consultancy Project (MBA) (NBS8130) [Programme/course]; TCP8024 Consultancy Project (planning) (TCP8024) [Programme/course]; POL3103 Community-based Research in Politics (POL3103) [Programme/course]; APL3001 Alternative Practice: Co-producing Space (APL3001) [Programme/course]; Careers Service Practera Horizons programme [Unclear]</t>
        </is>
      </c>
      <c r="U21" s="77" t="inlineStr">
        <is>
          <t>Business/management: 2; Other (law, health, design, architecture…): 2; Arts/humanities/social sciences: 1; Central provision: 1</t>
        </is>
      </c>
      <c r="V21" s="77" t="inlineStr">
        <is>
          <t>Several distributed routes</t>
        </is>
      </c>
      <c r="W21" s="77" t="inlineStr">
        <is>
          <t>Newcastle's verified provision is distributed across schools rather than institution-wide. The strongest cluster is in the Business School: BUS3053 (final-year undergraduate Management Consultancy Project, 40 places, group report and presentation to an external client, 2025/26 page), MKT3097 (marketing equivalent, current delivery not corroborated beyond 2024/25), the MBA team module NBS8130 (client-set briefs, 2025/26 regulations) and the Business in Action case competition run with Northumbrian Water (latest dated 2024, about a week). Outside business, TCP8024 (planning, compulsory on the MPlan) puts student groups on a live brief set by an outside client; APL3001 has groups design and build an intervention with a community group; POL3103 places up to 20 students in research teams for partner (voluntary-sector) organisations, though its assessment is now mostly individual portfolio. NES2202 Sustainable Solutions is a compulsory-in-programme sponsor-set team challenge in Natural and Environmental Sciences, but its currency is undated. In computing, the compulsory Stage 2 CSC2033 team project involves industry sponsors/employer feedback, but the module page says this varies by year</t>
        </is>
      </c>
      <c r="X21" s="77" t="inlineStr">
        <is>
          <t>Further departmental capstones likely (Civil, Chemical, Electrical engineering; Biosciences, Chemistry, Physics; Education, Sociology, Modern Languages, Digital Civics/Open Lab; Dentistry/Medicine/Nursing). Not tested: SPG8500, EIN2011/EIN3000/BMS3003 enterprise modules (group business-idea assignments likely hypothetical), CSC8-coded MSc team projects, Newcastle Think Tank/student consultancy societies, Social Justice North East current partners. Current-year evidence missing for MKT3097, NES2202, Mechanical Engineering projects, Business in Action, Data Science and Industrial Biotechnology, Museum Studies. All evidence is search-index extract/paraphrase; no pages opened.</t>
        </is>
      </c>
    </row>
    <row r="22">
      <c r="A22" s="77" t="inlineStr">
        <is>
          <t>RG16</t>
        </is>
      </c>
      <c r="B22" s="79" t="inlineStr">
        <is>
          <t>Nottingham</t>
        </is>
      </c>
      <c r="C22" s="77" t="inlineStr">
        <is>
          <t>UK</t>
        </is>
      </c>
      <c r="D22" s="77" t="inlineStr">
        <is>
          <t>Russell Group</t>
        </is>
      </c>
      <c r="E22" s="77" t="inlineStr">
        <is>
          <t>UK – Russell Group</t>
        </is>
      </c>
      <c r="F22" s="77" t="n">
        <v>2027</v>
      </c>
      <c r="G22" s="77" t="n">
        <v>97</v>
      </c>
      <c r="H22" s="77" t="inlineStr">
        <is>
          <t>Complete</t>
        </is>
      </c>
      <c r="I22" s="77">
        <f>COUNTIFS('EL scheme register'!$A$7:$A$610,$A22,'EL scheme register'!$C$7:$C$610,"University-wide",'EL scheme register'!$AJ$7:$AJ$610,"Yes")</f>
        <v/>
      </c>
      <c r="J22" s="77">
        <f>COUNTIFS('EL scheme register'!$A$7:$A$610,$A22,'EL scheme register'!$C$7:$C$610,"Cross-faculty",'EL scheme register'!$AJ$7:$AJ$610,"Yes")</f>
        <v/>
      </c>
      <c r="K22" s="77">
        <f>COUNTIFS('EL scheme register'!$A$7:$A$610,$A22,'EL scheme register'!$C$7:$C$610,"Faculty/school",'EL scheme register'!$AJ$7:$AJ$610,"Yes")</f>
        <v/>
      </c>
      <c r="L22" s="77">
        <f>COUNTIFS('EL scheme register'!$A$7:$A$610,$A22,'EL scheme register'!$C$7:$C$610,"Programme/course",'EL scheme register'!$AJ$7:$AJ$610,"Yes")</f>
        <v/>
      </c>
      <c r="M22" s="77">
        <f>COUNTIFS('EL scheme register'!$A$7:$A$610,$A22,'EL scheme register'!$C$7:$C$610,"Unclear",'EL scheme register'!$AJ$7:$AJ$610,"Yes")</f>
        <v/>
      </c>
      <c r="N22" s="77">
        <f>SUM(I22:M22)</f>
        <v/>
      </c>
      <c r="O22" s="77">
        <f>COUNTIFS('EL scheme register'!$A$7:$A$610,$A22,'EL scheme register'!$AF$7:$AF$610,"Potentially relevant; evidence incomplete",'EL scheme register'!$AI$7:$AI$610,"Yes")</f>
        <v/>
      </c>
      <c r="P22" s="77">
        <f>COUNTIFS('EL scheme register'!$A$7:$A$610,$A22,'EL scheme register'!$AF$7:$AF$610,"Outside strict definition")</f>
        <v/>
      </c>
      <c r="Q22" s="77">
        <f>COUNTIF('EL exclusions &amp; gaps'!$B$7:$B$5000,$A22)</f>
        <v/>
      </c>
      <c r="R22" s="77" t="inlineStr">
        <is>
          <t>Not evidenced</t>
        </is>
      </c>
      <c r="S22" s="77" t="inlineStr">
        <is>
          <t>Not evidenced</t>
        </is>
      </c>
      <c r="T22" s="77" t="inlineStr">
        <is>
          <t>Company-based Consultancy Challenge (NUBS) [Faculty/school]; Business Project (MSc, Nottingham University Business School) [Faculty/school]</t>
        </is>
      </c>
      <c r="U22" s="77" t="inlineStr">
        <is>
          <t>Business/management: 2</t>
        </is>
      </c>
      <c r="V22" s="77" t="inlineStr">
        <is>
          <t>Several distributed routes</t>
        </is>
      </c>
      <c r="W22" s="77" t="inlineStr">
        <is>
          <t>Nottingham's verified employer-linked group project provision is concentrated in Nottingham University Business School (NUBS), with weaker, partial routes in Computer Science, Engineering and Arts. NUBS. The Company-based Consultancy Challenge (c.3 weeks, extracurricular and selective) pairs teams of six to eight with local partner organisations (2025: IBM among others; 2026: Hallam, ApplyU, Capital One, Notts County Foundation); each organisation gets two teams, with company representatives mentoring and a panel of business partners judging. The 2026 edition was opened from MSc to selected undergraduates. The MSc Entrepreneurship Project (12 groups with 12 start-ups/local companies in 2025, three months) and the MSc Business Project (group project with an industry partner, e.g. Haleon in 2024; 60-credit summer option subject to selection) are curricular. An optional UG Business Project is only partly evidenced. Central. The Careers-run Nottingham Consultancy Challenge (multidisciplinary teams for local business/charity) is not running in 2025/26 and relaunches in 2026/27; Sustainability/EDI challenges and Advantage Award modules do not show employer-set briefs. Computing/engineeri</t>
        </is>
      </c>
      <c r="X22" s="77" t="inlineStr">
        <is>
          <t>Current (2025/26-2026/27) delivery evidence is thin for S2-S11. Further departmental capstones likely exist (Chemical Engineering design projects linked to industry, Product Design group projects, Computer Science/Engineering MSc projects, Pharmacy, Geography, Education, Architecture) and were not verified. Evidence is search-summary paraphrase only (no pages opened). Credit values, enrolment numbers and the partner split for CS Year 2 and ECE group projects not found.</t>
        </is>
      </c>
    </row>
    <row r="23">
      <c r="A23" s="77" t="inlineStr">
        <is>
          <t>RG17</t>
        </is>
      </c>
      <c r="B23" s="79" t="inlineStr">
        <is>
          <t>Oxford</t>
        </is>
      </c>
      <c r="C23" s="77" t="inlineStr">
        <is>
          <t>UK</t>
        </is>
      </c>
      <c r="D23" s="77" t="inlineStr">
        <is>
          <t>Russell Group</t>
        </is>
      </c>
      <c r="E23" s="77" t="inlineStr">
        <is>
          <t>UK – Russell Group</t>
        </is>
      </c>
      <c r="F23" s="77" t="n">
        <v>2027</v>
      </c>
      <c r="G23" s="77" t="n">
        <v>4</v>
      </c>
      <c r="H23" s="77" t="inlineStr">
        <is>
          <t>Complete</t>
        </is>
      </c>
      <c r="I23" s="77">
        <f>COUNTIFS('EL scheme register'!$A$7:$A$610,$A23,'EL scheme register'!$C$7:$C$610,"University-wide",'EL scheme register'!$AJ$7:$AJ$610,"Yes")</f>
        <v/>
      </c>
      <c r="J23" s="77">
        <f>COUNTIFS('EL scheme register'!$A$7:$A$610,$A23,'EL scheme register'!$C$7:$C$610,"Cross-faculty",'EL scheme register'!$AJ$7:$AJ$610,"Yes")</f>
        <v/>
      </c>
      <c r="K23" s="77">
        <f>COUNTIFS('EL scheme register'!$A$7:$A$610,$A23,'EL scheme register'!$C$7:$C$610,"Faculty/school",'EL scheme register'!$AJ$7:$AJ$610,"Yes")</f>
        <v/>
      </c>
      <c r="L23" s="77">
        <f>COUNTIFS('EL scheme register'!$A$7:$A$610,$A23,'EL scheme register'!$C$7:$C$610,"Programme/course",'EL scheme register'!$AJ$7:$AJ$610,"Yes")</f>
        <v/>
      </c>
      <c r="M23" s="77">
        <f>COUNTIFS('EL scheme register'!$A$7:$A$610,$A23,'EL scheme register'!$C$7:$C$610,"Unclear",'EL scheme register'!$AJ$7:$AJ$610,"Yes")</f>
        <v/>
      </c>
      <c r="N23" s="77">
        <f>SUM(I23:M23)</f>
        <v/>
      </c>
      <c r="O23" s="77">
        <f>COUNTIFS('EL scheme register'!$A$7:$A$610,$A23,'EL scheme register'!$AF$7:$AF$610,"Potentially relevant; evidence incomplete",'EL scheme register'!$AI$7:$AI$610,"Yes")</f>
        <v/>
      </c>
      <c r="P23" s="77">
        <f>COUNTIFS('EL scheme register'!$A$7:$A$610,$A23,'EL scheme register'!$AF$7:$AF$610,"Outside strict definition")</f>
        <v/>
      </c>
      <c r="Q23" s="77">
        <f>COUNTIF('EL exclusions &amp; gaps'!$B$7:$B$5000,$A23)</f>
        <v/>
      </c>
      <c r="R23" s="77" t="inlineStr">
        <is>
          <t>Not evidenced</t>
        </is>
      </c>
      <c r="S23" s="77" t="inlineStr">
        <is>
          <t>Not evidenced</t>
        </is>
      </c>
      <c r="T23" s="77" t="inlineStr">
        <is>
          <t>Strategic Consulting Project (Oxford MBA) [Programme/course]; Group Design Practical (Second Year Group Design Practicals) (GDP (Part A practical)) [Programme/course]; MSc in Energy Systems whole-cohort consultancy exercise [Programme/course]</t>
        </is>
      </c>
      <c r="U23" s="77" t="inlineStr">
        <is>
          <t>Engineering/computing: 2; Business/management: 1; Science: 1</t>
        </is>
      </c>
      <c r="V23" s="77" t="inlineStr">
        <is>
          <t>Several distributed routes</t>
        </is>
      </c>
      <c r="W23" s="77" t="inlineStr">
        <is>
          <t>Oxford (partial review) shows qualifying provision in three places, but no institution-wide curricular route. - Careers Service (central, extracurricular, selective): a family of team consultancy programmes for real clients. The Oxford Strategy Challenge runs 5-day projects for mixed teams of 4-6 students, from first-year undergraduates to DPhils in any subject (Saïd students excluded); clients define the challenge and receive the recommendations. Making a Difference serves charities and social enterprises (50 places a term). The Student Consultancy (4-6 weeks) and The Agency (term-long marketing briefs) are similar. Most of these pages are now labelled Programme Paused, although there are testimonials from Michaelmas 2025 and Hilary 2026, so their current status is unclear. - Embedded in degrees: - Computer Science: the compulsory second-year Group Design Practical (HT2026). Teams of 5-6 build software for industrial sponsors such as G-Research and Palantir, who co-supervise. - MSc Energy Systems: the whole cohort works as a consultancy for an external stakeholder (2025/26 handbook), although some past stakeholders were internal. - Saïd MBA: the optional summer Strategic Consultin</t>
        </is>
      </c>
      <c r="X23" s="77" t="inlineStr">
        <is>
          <t>Reduced-depth: Medical Sciences, Education, remaining sciences (Chemistry, Biology, Earth Sciences, Physics), Smith School, Executive MBA, Continuing Education not searched; further departmental instances likely. Careers Service programmes (TOSCA, MaDe, TSC, Agency) show 'Programme Paused' headings so 2026/27 status unresolved. GDP sponsor list, 3YP sponsored share, MBA SCP team counts unverified.</t>
        </is>
      </c>
    </row>
    <row r="24">
      <c r="A24" s="77" t="inlineStr">
        <is>
          <t>RG18</t>
        </is>
      </c>
      <c r="B24" s="79" t="inlineStr">
        <is>
          <t>Queen Mary University of London</t>
        </is>
      </c>
      <c r="C24" s="77" t="inlineStr">
        <is>
          <t>UK</t>
        </is>
      </c>
      <c r="D24" s="77" t="inlineStr">
        <is>
          <t>Russell Group</t>
        </is>
      </c>
      <c r="E24" s="77" t="inlineStr">
        <is>
          <t>UK – Russell Group</t>
        </is>
      </c>
      <c r="F24" s="77" t="n">
        <v>2027</v>
      </c>
      <c r="G24" s="77" t="n">
        <v>103</v>
      </c>
      <c r="H24" s="77" t="inlineStr">
        <is>
          <t>Complete</t>
        </is>
      </c>
      <c r="I24" s="77">
        <f>COUNTIFS('EL scheme register'!$A$7:$A$610,$A24,'EL scheme register'!$C$7:$C$610,"University-wide",'EL scheme register'!$AJ$7:$AJ$610,"Yes")</f>
        <v/>
      </c>
      <c r="J24" s="77">
        <f>COUNTIFS('EL scheme register'!$A$7:$A$610,$A24,'EL scheme register'!$C$7:$C$610,"Cross-faculty",'EL scheme register'!$AJ$7:$AJ$610,"Yes")</f>
        <v/>
      </c>
      <c r="K24" s="77">
        <f>COUNTIFS('EL scheme register'!$A$7:$A$610,$A24,'EL scheme register'!$C$7:$C$610,"Faculty/school",'EL scheme register'!$AJ$7:$AJ$610,"Yes")</f>
        <v/>
      </c>
      <c r="L24" s="77">
        <f>COUNTIFS('EL scheme register'!$A$7:$A$610,$A24,'EL scheme register'!$C$7:$C$610,"Programme/course",'EL scheme register'!$AJ$7:$AJ$610,"Yes")</f>
        <v/>
      </c>
      <c r="M24" s="77">
        <f>COUNTIFS('EL scheme register'!$A$7:$A$610,$A24,'EL scheme register'!$C$7:$C$610,"Unclear",'EL scheme register'!$AJ$7:$AJ$610,"Yes")</f>
        <v/>
      </c>
      <c r="N24" s="77">
        <f>SUM(I24:M24)</f>
        <v/>
      </c>
      <c r="O24" s="77">
        <f>COUNTIFS('EL scheme register'!$A$7:$A$610,$A24,'EL scheme register'!$AF$7:$AF$610,"Potentially relevant; evidence incomplete",'EL scheme register'!$AI$7:$AI$610,"Yes")</f>
        <v/>
      </c>
      <c r="P24" s="77">
        <f>COUNTIFS('EL scheme register'!$A$7:$A$610,$A24,'EL scheme register'!$AF$7:$AF$610,"Outside strict definition")</f>
        <v/>
      </c>
      <c r="Q24" s="77">
        <f>COUNTIF('EL exclusions &amp; gaps'!$B$7:$B$5000,$A24)</f>
        <v/>
      </c>
      <c r="R24" s="77" t="inlineStr">
        <is>
          <t>Yes</t>
        </is>
      </c>
      <c r="S24" s="77" t="inlineStr">
        <is>
          <t>Not evidenced</t>
        </is>
      </c>
      <c r="T24" s="77" t="inlineStr">
        <is>
          <t>The Student Consultancy Project (SCP) [University-wide]; qHeritage (SKETCH pillar) [University-wide]; qNomics Client Advisory [Faculty/school]</t>
        </is>
      </c>
      <c r="U24" s="77" t="inlineStr">
        <is>
          <t>Central provision: 2; Arts/humanities/social sciences: 2; Business/management: 1</t>
        </is>
      </c>
      <c r="V24" s="77" t="inlineStr">
        <is>
          <t>Several distributed routes</t>
        </is>
      </c>
      <c r="W24" s="77" t="inlineStr">
        <is>
          <t>Provision found. Queen Mary's clearest provision is distributed across SBM and the SKETCH student knowledge-exchange programme rather than institution-wide curriculum. The only University-wide route is the Student Consultancy Project (Careers): selective, extracurricular, multidisciplinary undergraduate teams working for external business, charity and social-enterprise hosts and presenting a report and presentation to them (autumn programme, one-day hackathons, two-week summer sprint). qHeritage (History, open to current QM students) and qNomics Client Advisory (Economics and Finance, third-year UG and PG) are further extracurricular team-client routes with confirmed 2026/27 recruitment. Curricular routes. In the Business School, BUS380 Social Impact Project (15 credits, Level 6, optional) has teams consult for charities/social enterprises, with a Tower Hamlets Council brief and Town Hall presentation described; BUSM250 (60 credits) and the MSc Entrepreneurship and Innovation capstone (clients ViWipe, FlowSense, Decentials, Clean Break; completed June 2026) place PG students with live clients. Real World Impact Projects span SBM and Society &amp; Environment. Limits. SBM Consult uses i</t>
        </is>
      </c>
      <c r="X24" s="77" t="inlineStr">
        <is>
          <t>BUS380, BUSM250 and Real World Impact Projects lack dated 2025/26 delivery evidence. Group working for the E&amp;I capstone not established. Numbers of participants/teams not found for most schemes. Further departmental instances likely (SEMS/EECS sponsored projects, DEN327, SKETCH strands, Natural Capital/Water MSc partner projects). Science schools and medical/dental programmes yielded nothing but were searched only via two broad queries each. Search results were summaries, not page text.</t>
        </is>
      </c>
    </row>
    <row r="25">
      <c r="A25" s="77" t="inlineStr">
        <is>
          <t>RG19</t>
        </is>
      </c>
      <c r="B25" s="79" t="inlineStr">
        <is>
          <t>Queen’s University Belfast</t>
        </is>
      </c>
      <c r="C25" s="77" t="inlineStr">
        <is>
          <t>UK</t>
        </is>
      </c>
      <c r="D25" s="77" t="inlineStr">
        <is>
          <t>Russell Group</t>
        </is>
      </c>
      <c r="E25" s="77" t="inlineStr">
        <is>
          <t>UK – Russell Group</t>
        </is>
      </c>
      <c r="F25" s="77" t="n">
        <v>2027</v>
      </c>
      <c r="G25" s="77" t="n">
        <v>174</v>
      </c>
      <c r="H25" s="77" t="inlineStr">
        <is>
          <t>Complete</t>
        </is>
      </c>
      <c r="I25" s="77">
        <f>COUNTIFS('EL scheme register'!$A$7:$A$610,$A25,'EL scheme register'!$C$7:$C$610,"University-wide",'EL scheme register'!$AJ$7:$AJ$610,"Yes")</f>
        <v/>
      </c>
      <c r="J25" s="77">
        <f>COUNTIFS('EL scheme register'!$A$7:$A$610,$A25,'EL scheme register'!$C$7:$C$610,"Cross-faculty",'EL scheme register'!$AJ$7:$AJ$610,"Yes")</f>
        <v/>
      </c>
      <c r="K25" s="77">
        <f>COUNTIFS('EL scheme register'!$A$7:$A$610,$A25,'EL scheme register'!$C$7:$C$610,"Faculty/school",'EL scheme register'!$AJ$7:$AJ$610,"Yes")</f>
        <v/>
      </c>
      <c r="L25" s="77">
        <f>COUNTIFS('EL scheme register'!$A$7:$A$610,$A25,'EL scheme register'!$C$7:$C$610,"Programme/course",'EL scheme register'!$AJ$7:$AJ$610,"Yes")</f>
        <v/>
      </c>
      <c r="M25" s="77">
        <f>COUNTIFS('EL scheme register'!$A$7:$A$610,$A25,'EL scheme register'!$C$7:$C$610,"Unclear",'EL scheme register'!$AJ$7:$AJ$610,"Yes")</f>
        <v/>
      </c>
      <c r="N25" s="77">
        <f>SUM(I25:M25)</f>
        <v/>
      </c>
      <c r="O25" s="77">
        <f>COUNTIFS('EL scheme register'!$A$7:$A$610,$A25,'EL scheme register'!$AF$7:$AF$610,"Potentially relevant; evidence incomplete",'EL scheme register'!$AI$7:$AI$610,"Yes")</f>
        <v/>
      </c>
      <c r="P25" s="77">
        <f>COUNTIFS('EL scheme register'!$A$7:$A$610,$A25,'EL scheme register'!$AF$7:$AF$610,"Outside strict definition")</f>
        <v/>
      </c>
      <c r="Q25" s="77">
        <f>COUNTIF('EL exclusions &amp; gaps'!$B$7:$B$5000,$A25)</f>
        <v/>
      </c>
      <c r="R25" s="77" t="inlineStr">
        <is>
          <t>Yes</t>
        </is>
      </c>
      <c r="S25" s="77" t="inlineStr">
        <is>
          <t>Not evidenced</t>
        </is>
      </c>
      <c r="T25" s="77" t="inlineStr">
        <is>
          <t>Real-World Consultancy Programme (Careers) [University-wide]</t>
        </is>
      </c>
      <c r="U25" s="77" t="inlineStr">
        <is>
          <t>Central provision: 1</t>
        </is>
      </c>
      <c r="V25" s="77" t="inlineStr">
        <is>
          <t>Several distributed routes</t>
        </is>
      </c>
      <c r="W25" s="77" t="inlineStr">
        <is>
          <t>Queen's has one verified, currently delivered route meeting all three criteria: the Careers-run Real-World Consultancy Programme (4 days, 26-29 May 2026), where multidisciplinary teams of up to 40 students from any subject or level resolve problems set by named external clients (2025: Aflac NI, BDO NI, KPMG Ireland, an education charity and others). It is extracurricular, selective and Future-Ready Award accredited, so reach is university-wide but participation is small and short. Other routes are discipline-based and incomplete. The Queen's Business School Business Clinic places students on 6-12 week consultancy projects for organisations (industry, government, charities) with an organisation mentor and academic supervision, delivering reports and presentations for graded coursework; current-year delivery is advertised but team versus individual working and credit are unresolved. The Software Engineering Final Year Project (CSC3032) is a compulsory 40-credit team capstone whose projects can be proposed by outside organisations through an EoI call, but academics also propose and the external share and 2025/26 delivery are not shown. MSc Data Analytics (Analytics in Action) uses bus</t>
        </is>
      </c>
      <c r="X25" s="77" t="inlineStr">
        <is>
          <t>Search exceeded the ~40 ceiling (44 searches). Unresolved: Business Clinic team vs individual and credit status; share of external-client projects and 2025/26 delivery for CSC3032; client and group structure in EVP7038; Science Shop team-based projects; further departmental capstones (architecture, civil, chemical engineering, medicine/health, education, law) likely exist but were not verified; no 2025/26 handbook-level module pages were retrievable (WebSearch only).</t>
        </is>
      </c>
    </row>
    <row r="26">
      <c r="A26" s="77" t="inlineStr">
        <is>
          <t>RG20</t>
        </is>
      </c>
      <c r="B26" s="79" t="inlineStr">
        <is>
          <t>Sheffield</t>
        </is>
      </c>
      <c r="C26" s="77" t="inlineStr">
        <is>
          <t>UK</t>
        </is>
      </c>
      <c r="D26" s="77" t="inlineStr">
        <is>
          <t>Russell Group</t>
        </is>
      </c>
      <c r="E26" s="77" t="inlineStr">
        <is>
          <t>UK – Russell Group</t>
        </is>
      </c>
      <c r="F26" s="77" t="n">
        <v>2027</v>
      </c>
      <c r="G26" s="77" t="n">
        <v>82</v>
      </c>
      <c r="H26" s="77" t="inlineStr">
        <is>
          <t>Complete</t>
        </is>
      </c>
      <c r="I26" s="77">
        <f>COUNTIFS('EL scheme register'!$A$7:$A$610,$A26,'EL scheme register'!$C$7:$C$610,"University-wide",'EL scheme register'!$AJ$7:$AJ$610,"Yes")</f>
        <v/>
      </c>
      <c r="J26" s="77">
        <f>COUNTIFS('EL scheme register'!$A$7:$A$610,$A26,'EL scheme register'!$C$7:$C$610,"Cross-faculty",'EL scheme register'!$AJ$7:$AJ$610,"Yes")</f>
        <v/>
      </c>
      <c r="K26" s="77">
        <f>COUNTIFS('EL scheme register'!$A$7:$A$610,$A26,'EL scheme register'!$C$7:$C$610,"Faculty/school",'EL scheme register'!$AJ$7:$AJ$610,"Yes")</f>
        <v/>
      </c>
      <c r="L26" s="77">
        <f>COUNTIFS('EL scheme register'!$A$7:$A$610,$A26,'EL scheme register'!$C$7:$C$610,"Programme/course",'EL scheme register'!$AJ$7:$AJ$610,"Yes")</f>
        <v/>
      </c>
      <c r="M26" s="77">
        <f>COUNTIFS('EL scheme register'!$A$7:$A$610,$A26,'EL scheme register'!$C$7:$C$610,"Unclear",'EL scheme register'!$AJ$7:$AJ$610,"Yes")</f>
        <v/>
      </c>
      <c r="N26" s="77">
        <f>SUM(I26:M26)</f>
        <v/>
      </c>
      <c r="O26" s="77">
        <f>COUNTIFS('EL scheme register'!$A$7:$A$610,$A26,'EL scheme register'!$AF$7:$AF$610,"Potentially relevant; evidence incomplete",'EL scheme register'!$AI$7:$AI$610,"Yes")</f>
        <v/>
      </c>
      <c r="P26" s="77">
        <f>COUNTIFS('EL scheme register'!$A$7:$A$610,$A26,'EL scheme register'!$AF$7:$AF$610,"Outside strict definition")</f>
        <v/>
      </c>
      <c r="Q26" s="77">
        <f>COUNTIF('EL exclusions &amp; gaps'!$B$7:$B$5000,$A26)</f>
        <v/>
      </c>
      <c r="R26" s="77" t="inlineStr">
        <is>
          <t>Not evidenced</t>
        </is>
      </c>
      <c r="S26" s="77" t="inlineStr">
        <is>
          <t>Not evidenced</t>
        </is>
      </c>
      <c r="T26" s="77" t="inlineStr">
        <is>
          <t>Global Engineering Challenge (GEC) [Faculty/school]; Engineering: You're Hired! (EYH) [Faculty/school]; Spring Internship Experience [Cross-faculty]; Management MSc Company Project [Programme/course]; Marketing Consultancy Challenge (2027 entry: Transformative Marketing Challenge) [Programme/course]; Software Hut (COM3420 (older departmental page); COM213 in a regulations document; current code not confirmed) [Programme/course]; Industrial Group Project in Physics (MPS372) [Programme/course]; MArch Live Projects (Live Project 1 / Live Project 2) [Programme/course]</t>
        </is>
      </c>
      <c r="U26" s="77" t="inlineStr">
        <is>
          <t>Engineering/computing: 3; Business/management: 2; Central provision: 1; Arts/humanities/social sciences: 1; Science: 1; Other (law, health, design, architecture…): 1</t>
        </is>
      </c>
      <c r="V26" s="77" t="inlineStr">
        <is>
          <t>Several distributed routes</t>
        </is>
      </c>
      <c r="W26" s="77" t="inlineStr">
        <is>
          <t>Sheffield has strong, mostly faculty- and programme-embedded provision, anchored by the Faculty of Engineering's compulsory project weeks. - Engineering (faculty-wide, compulsory): the Global Engineering Challenge (Year 1; 1,547 students in 258 mixed-discipline teams in 2026, with projects in neighbourhoods identified with Sheffield City Council and feedback from industry mentors) and Engineering: You're Hired! (Year 2; 1,448 students in 256 teams; problems from industrial partners, and industry senior mentors judge the pitches). Both last only one week. - Computing: Software Hut is compulsory in Year 2 of Computer Science (about 200 students a year). Teams build software for external clients, who help assess it. Genesys (final year) has 'real customers', but whether they are external, and its current status, are unclear. - Departmental capstones: Physics MPS372 Industrial Group Project (a problem set by an industrial client over two semesters); MEng group design projects with industry in Mechanical, Aerospace and EEE (evidence is thinner); and Architecture MArch Live Projects (core; groups of 13-15 for community, charity and public-sector clients). - Business: the MBA Marketing Co</t>
        </is>
      </c>
      <c r="X26" s="77" t="inlineStr">
        <is>
          <t>Dentistry, nursing/health sciences beyond Medicine placements not searched individually; MEng departmental capstones (Mechanical, Aerospace, EEE) evidenced only by search-summary paraphrase and status partly unclear; Genesys customer externality and status conflict; Software Hut module code/client sector; MBA Challenge modules' compulsory status; whether Management MSc Company Project and Easter micro-internship are distinct from the Spring Internship Experience; further departmental instances likely (e.g., Chemical/Civil Engineering design projects, Landscape Architecture, Urban Studies &amp; Planning, Journalism).</t>
        </is>
      </c>
    </row>
    <row r="27">
      <c r="A27" s="77" t="inlineStr">
        <is>
          <t>RG21</t>
        </is>
      </c>
      <c r="B27" s="79" t="inlineStr">
        <is>
          <t>Southampton</t>
        </is>
      </c>
      <c r="C27" s="77" t="inlineStr">
        <is>
          <t>UK</t>
        </is>
      </c>
      <c r="D27" s="77" t="inlineStr">
        <is>
          <t>Russell Group</t>
        </is>
      </c>
      <c r="E27" s="77" t="inlineStr">
        <is>
          <t>UK – Russell Group</t>
        </is>
      </c>
      <c r="F27" s="77" t="n">
        <v>2027</v>
      </c>
      <c r="G27" s="77" t="n">
        <v>111</v>
      </c>
      <c r="H27" s="77" t="inlineStr">
        <is>
          <t>Complete</t>
        </is>
      </c>
      <c r="I27" s="77">
        <f>COUNTIFS('EL scheme register'!$A$7:$A$610,$A27,'EL scheme register'!$C$7:$C$610,"University-wide",'EL scheme register'!$AJ$7:$AJ$610,"Yes")</f>
        <v/>
      </c>
      <c r="J27" s="77">
        <f>COUNTIFS('EL scheme register'!$A$7:$A$610,$A27,'EL scheme register'!$C$7:$C$610,"Cross-faculty",'EL scheme register'!$AJ$7:$AJ$610,"Yes")</f>
        <v/>
      </c>
      <c r="K27" s="77">
        <f>COUNTIFS('EL scheme register'!$A$7:$A$610,$A27,'EL scheme register'!$C$7:$C$610,"Faculty/school",'EL scheme register'!$AJ$7:$AJ$610,"Yes")</f>
        <v/>
      </c>
      <c r="L27" s="77">
        <f>COUNTIFS('EL scheme register'!$A$7:$A$610,$A27,'EL scheme register'!$C$7:$C$610,"Programme/course",'EL scheme register'!$AJ$7:$AJ$610,"Yes")</f>
        <v/>
      </c>
      <c r="M27" s="77">
        <f>COUNTIFS('EL scheme register'!$A$7:$A$610,$A27,'EL scheme register'!$C$7:$C$610,"Unclear",'EL scheme register'!$AJ$7:$AJ$610,"Yes")</f>
        <v/>
      </c>
      <c r="N27" s="77">
        <f>SUM(I27:M27)</f>
        <v/>
      </c>
      <c r="O27" s="77">
        <f>COUNTIFS('EL scheme register'!$A$7:$A$610,$A27,'EL scheme register'!$AF$7:$AF$610,"Potentially relevant; evidence incomplete",'EL scheme register'!$AI$7:$AI$610,"Yes")</f>
        <v/>
      </c>
      <c r="P27" s="77">
        <f>COUNTIFS('EL scheme register'!$A$7:$A$610,$A27,'EL scheme register'!$AF$7:$AF$610,"Outside strict definition")</f>
        <v/>
      </c>
      <c r="Q27" s="77">
        <f>COUNTIF('EL exclusions &amp; gaps'!$B$7:$B$5000,$A27)</f>
        <v/>
      </c>
      <c r="R27" s="77" t="inlineStr">
        <is>
          <t>Yes</t>
        </is>
      </c>
      <c r="S27" s="77" t="inlineStr">
        <is>
          <t>Not evidenced</t>
        </is>
      </c>
      <c r="T27" s="77" t="inlineStr">
        <is>
          <t>Student Innovation Projects [University-wide]; Student Innovation Challenge [University-wide]; Leading Sustainability, Innovation and Change (MBA live consulting project) [Programme/course]; Interdisciplinary Group Project (FEEG6046) (FEEG6046) [Programme/course]; Interdisciplinary Team Project (SUST6003) (SUST6003) [Programme/course]; Small Scale Research Projects (PSYC8042) (PSYC8042) [Programme/course]</t>
        </is>
      </c>
      <c r="U27" s="77" t="inlineStr">
        <is>
          <t>Central provision: 2; Engineering/computing: 2; Business/management: 1; Science: 1; Arts/humanities/social sciences: 1; Other (law, health, design, architecture…): 1</t>
        </is>
      </c>
      <c r="V27" s="77" t="inlineStr">
        <is>
          <t>Several distributed routes</t>
        </is>
      </c>
      <c r="W27" s="77" t="inlineStr">
        <is>
          <t>Southampton's clearest provision is central and extracurricular: Careers, Employability and Student Enterprise runs Student Innovation Projects (teams from any discipline work about four weeks for a business or non-profit client, present and report to it) and the four-day Student Innovation Challenge (teams of 3-5 on an employer-set challenge). Both are open to any current student by application, not compulsory, carry no evidenced credit, and the legacy note that the project route ends after Semester 1 2026/27 could not be confirmed. Curricular provision is programme-level. The MBA (and Global Executive MBA) module Leading Sustainability, Innovation and Change includes a live group consulting project (teams of 4-7) for a client organisation. Doctoral training cohorts take compulsory Semester 2 team modules in which industry or government partners set problems and provide an industrial advisor and interim feedback (FEEG6046 Defence and Security CDT, current in 2025/26 and 2026/27; SUST6003 AI for Sustainability; MIND6003 MINDS CDT, currency unclear). The Doctorate in Educational Psychology has a core small-group research project with a local authority partner. Engineering MEng group</t>
        </is>
      </c>
      <c r="X27" s="77" t="inlineStr">
        <is>
          <t>Legacy CRR Industry Consultancy Projects page content not retrievable; end date of Student Innovation Projects not verified; MBA/MiM module details (client type, credit, duration) from summaries; engineering group design projects only seen via future-year catalogue pages so sponsor share and currency unknown; no Medicine/Health Sciences search results; further departmental instances (e.g. CHEG6006, Civil/Ship Science GDPs, Winchester School of Art) likely exist; no 2025/26+ participation figures. Search used the web index only (no page opened).</t>
        </is>
      </c>
    </row>
    <row r="28">
      <c r="A28" s="77" t="inlineStr">
        <is>
          <t>RG22</t>
        </is>
      </c>
      <c r="B28" s="79" t="inlineStr">
        <is>
          <t>UCL</t>
        </is>
      </c>
      <c r="C28" s="77" t="inlineStr">
        <is>
          <t>UK</t>
        </is>
      </c>
      <c r="D28" s="77" t="inlineStr">
        <is>
          <t>Russell Group</t>
        </is>
      </c>
      <c r="E28" s="77" t="inlineStr">
        <is>
          <t>UK – Russell Group</t>
        </is>
      </c>
      <c r="F28" s="77" t="n">
        <v>2027</v>
      </c>
      <c r="G28" s="77" t="n">
        <v>8</v>
      </c>
      <c r="H28" s="77" t="inlineStr">
        <is>
          <t>Complete</t>
        </is>
      </c>
      <c r="I28" s="77">
        <f>COUNTIFS('EL scheme register'!$A$7:$A$610,$A28,'EL scheme register'!$C$7:$C$610,"University-wide",'EL scheme register'!$AJ$7:$AJ$610,"Yes")</f>
        <v/>
      </c>
      <c r="J28" s="77">
        <f>COUNTIFS('EL scheme register'!$A$7:$A$610,$A28,'EL scheme register'!$C$7:$C$610,"Cross-faculty",'EL scheme register'!$AJ$7:$AJ$610,"Yes")</f>
        <v/>
      </c>
      <c r="K28" s="77">
        <f>COUNTIFS('EL scheme register'!$A$7:$A$610,$A28,'EL scheme register'!$C$7:$C$610,"Faculty/school",'EL scheme register'!$AJ$7:$AJ$610,"Yes")</f>
        <v/>
      </c>
      <c r="L28" s="77">
        <f>COUNTIFS('EL scheme register'!$A$7:$A$610,$A28,'EL scheme register'!$C$7:$C$610,"Programme/course",'EL scheme register'!$AJ$7:$AJ$610,"Yes")</f>
        <v/>
      </c>
      <c r="M28" s="77">
        <f>COUNTIFS('EL scheme register'!$A$7:$A$610,$A28,'EL scheme register'!$C$7:$C$610,"Unclear",'EL scheme register'!$AJ$7:$AJ$610,"Yes")</f>
        <v/>
      </c>
      <c r="N28" s="77">
        <f>SUM(I28:M28)</f>
        <v/>
      </c>
      <c r="O28" s="77">
        <f>COUNTIFS('EL scheme register'!$A$7:$A$610,$A28,'EL scheme register'!$AF$7:$AF$610,"Potentially relevant; evidence incomplete",'EL scheme register'!$AI$7:$AI$610,"Yes")</f>
        <v/>
      </c>
      <c r="P28" s="77">
        <f>COUNTIFS('EL scheme register'!$A$7:$A$610,$A28,'EL scheme register'!$AF$7:$AF$610,"Outside strict definition")</f>
        <v/>
      </c>
      <c r="Q28" s="77">
        <f>COUNTIF('EL exclusions &amp; gaps'!$B$7:$B$5000,$A28)</f>
        <v/>
      </c>
      <c r="R28" s="77" t="inlineStr">
        <is>
          <t>Yes</t>
        </is>
      </c>
      <c r="S28" s="77" t="inlineStr">
        <is>
          <t>Not evidenced</t>
        </is>
      </c>
      <c r="T28" s="77" t="inlineStr">
        <is>
          <t>Systems Engineering (COMP0016) - UCL IXN team project (COMP0016) [Programme/course]; Industry supervised MSc &amp; Undergraduate projects (EEE-IXN) - final-year team projects [Programme/course]; Building a Better Future (BABF) consultancy project [Faculty/school]; International Industry Challenges (Practera Nano Projects) - ExtendED Learning [University-wide]; Centre for Data Intensive Science and Industry (DISI) CDT group projects [Programme/course]; Urban Economic Development MSc - UK Practice Engagement (London Project) [Programme/course]</t>
        </is>
      </c>
      <c r="U28" s="77" t="inlineStr">
        <is>
          <t>Engineering/computing: 2; Other (law, health, design, architecture…): 2; Central provision: 1; Science: 1</t>
        </is>
      </c>
      <c r="V28" s="77" t="inlineStr">
        <is>
          <t>Several distributed routes</t>
        </is>
      </c>
      <c r="W28" s="77" t="inlineStr">
        <is>
          <t>UCL has no institution-wide employer-project requirement, but several distributed, programme-embedded routes where student teams work for external organisations. In Engineering, second-year BSc/MEng Computer Science students take COMP0016 (30 credits, 100% group-assessed), building a prototype for an external partner under the UCL Industry Exchange Network, and EEE final-year teams of 4-5 deliver company-mentored proof-of-concept projects; both are confirmed for 2025/26. The Integrated Engineering Programme's two-week How to Change the World challenge uses partner-co-created briefs and external panels, though current delivery is unconfirmed, while Scenario weeks are only occasionally employer-linked. In Business, the MSc Marketing Science 45-credit group Business Project works with external organisations (undated), and the PhD Data Intensive Science centre places 3-4 student teams on company problems. In Social Sciences and the Bartlett, the STEaPP MPA nine-month group project serves external policy clients; the Bartlett's Building a Better Future (June 2026, 83 students, teams of 5-8, briefs from AtkinsRealis, Buro Happold, councils) and the DPU Urban Economic Development London P</t>
        </is>
      </c>
      <c r="X28" s="77" t="inlineStr">
        <is>
          <t>Further departmental instances likely (e.g. other Engineering MEng group design projects, Bartlett Architecture/Planning studios, Medical Sciences, Pharmacy, Slade, IOE, Laws, SSEES, Life Sciences) not exhaustively searched. Several routes rest on undated pages (How to Change the World, Marketing Science Business Project, STEaPP MPA group project, UDP London Project, BASC0070). No participation numbers for most routes. UCL Volunteering/researcher-student charity challenge (June) and Newham Futures/UCL East Co-Design Lab activities noted but not assessed. 41 searches used (slightly over the ~40 ceiling).</t>
        </is>
      </c>
    </row>
    <row r="29">
      <c r="A29" s="77" t="inlineStr">
        <is>
          <t>RG23</t>
        </is>
      </c>
      <c r="B29" s="79" t="inlineStr">
        <is>
          <t>Warwick</t>
        </is>
      </c>
      <c r="C29" s="77" t="inlineStr">
        <is>
          <t>UK</t>
        </is>
      </c>
      <c r="D29" s="77" t="inlineStr">
        <is>
          <t>Russell Group</t>
        </is>
      </c>
      <c r="E29" s="77" t="inlineStr">
        <is>
          <t>UK – Russell Group</t>
        </is>
      </c>
      <c r="F29" s="77" t="n">
        <v>2027</v>
      </c>
      <c r="G29" s="77" t="n">
        <v>68</v>
      </c>
      <c r="H29" s="77" t="inlineStr">
        <is>
          <t>Complete</t>
        </is>
      </c>
      <c r="I29" s="77">
        <f>COUNTIFS('EL scheme register'!$A$7:$A$610,$A29,'EL scheme register'!$C$7:$C$610,"University-wide",'EL scheme register'!$AJ$7:$AJ$610,"Yes")</f>
        <v/>
      </c>
      <c r="J29" s="77">
        <f>COUNTIFS('EL scheme register'!$A$7:$A$610,$A29,'EL scheme register'!$C$7:$C$610,"Cross-faculty",'EL scheme register'!$AJ$7:$AJ$610,"Yes")</f>
        <v/>
      </c>
      <c r="K29" s="77">
        <f>COUNTIFS('EL scheme register'!$A$7:$A$610,$A29,'EL scheme register'!$C$7:$C$610,"Faculty/school",'EL scheme register'!$AJ$7:$AJ$610,"Yes")</f>
        <v/>
      </c>
      <c r="L29" s="77">
        <f>COUNTIFS('EL scheme register'!$A$7:$A$610,$A29,'EL scheme register'!$C$7:$C$610,"Programme/course",'EL scheme register'!$AJ$7:$AJ$610,"Yes")</f>
        <v/>
      </c>
      <c r="M29" s="77">
        <f>COUNTIFS('EL scheme register'!$A$7:$A$610,$A29,'EL scheme register'!$C$7:$C$610,"Unclear",'EL scheme register'!$AJ$7:$AJ$610,"Yes")</f>
        <v/>
      </c>
      <c r="N29" s="77">
        <f>SUM(I29:M29)</f>
        <v/>
      </c>
      <c r="O29" s="77">
        <f>COUNTIFS('EL scheme register'!$A$7:$A$610,$A29,'EL scheme register'!$AF$7:$AF$610,"Potentially relevant; evidence incomplete",'EL scheme register'!$AI$7:$AI$610,"Yes")</f>
        <v/>
      </c>
      <c r="P29" s="77">
        <f>COUNTIFS('EL scheme register'!$A$7:$A$610,$A29,'EL scheme register'!$AF$7:$AF$610,"Outside strict definition")</f>
        <v/>
      </c>
      <c r="Q29" s="77">
        <f>COUNTIF('EL exclusions &amp; gaps'!$B$7:$B$5000,$A29)</f>
        <v/>
      </c>
      <c r="R29" s="77" t="inlineStr">
        <is>
          <t>Yes</t>
        </is>
      </c>
      <c r="S29" s="77" t="inlineStr">
        <is>
          <t>Not evidenced</t>
        </is>
      </c>
      <c r="T29" s="77" t="inlineStr">
        <is>
          <t>TeamWork International Experience Programme [University-wide]; Strategic Consulting Project (group SCP) - MBA [Programme/course]</t>
        </is>
      </c>
      <c r="U29" s="77" t="inlineStr">
        <is>
          <t>Central provision: 1; Business/management: 1</t>
        </is>
      </c>
      <c r="V29" s="77" t="inlineStr">
        <is>
          <t>Several distributed routes</t>
        </is>
      </c>
      <c r="W29" s="77" t="inlineStr">
        <is>
          <t>Warwick shows employer-linked group project provision in several separate places. There is one university-wide extracurricular route; the other verified examples are postgraduate or engineering and are embedded in specific programmes. - University-wide: TeamWork International Experience Programme, run by Warwick Careers. It is selective and open to all students. Multidisciplinary, multi-university teams of up to six spend four weeks part-time online on a project supplied by an external organisation. The organisation briefs the team, checks in regularly and receives the final presentation. Rounds ran in 2024 and 2025; the next is March 2027. - Business (WBS): - MBA students may choose a group Strategic Consulting Project: three students, 10-12 weeks, for a client that sets the brief, interviews the group and assigns a mentor (2026 FAQ). The Global Online MBA uses the same model. - The Full-time MBA LeadershipPlus project uses groups of 6-8 for corporate, SME or not-for-profit clients, but it is undated. - MSc client projects are mainly individual. The MSc Business with Consulting live-client projects rest on alumni blogs only. - Engineering and computing: - The MEng ES410 group proj</t>
        </is>
      </c>
      <c r="X29" s="77" t="inlineStr">
        <is>
          <t>Reduced-depth review: all six areas queried once or more but shallowly; current-year (2025/26-2026/27) catalogue evidence missing for ES410, ES3H7, CS407, LP916, GD903 and WMG programmes; WMG ITSO evidence is paraphrase only; Law LinC unverified; further departmental instances likely.</t>
        </is>
      </c>
    </row>
    <row r="30">
      <c r="A30" s="77" t="inlineStr">
        <is>
          <t>RG24</t>
        </is>
      </c>
      <c r="B30" s="79" t="inlineStr">
        <is>
          <t>York</t>
        </is>
      </c>
      <c r="C30" s="77" t="inlineStr">
        <is>
          <t>UK</t>
        </is>
      </c>
      <c r="D30" s="77" t="inlineStr">
        <is>
          <t>Russell Group</t>
        </is>
      </c>
      <c r="E30" s="77" t="inlineStr">
        <is>
          <t>UK – Russell Group</t>
        </is>
      </c>
      <c r="F30" s="77" t="n">
        <v>2027</v>
      </c>
      <c r="G30" s="77" t="n">
        <v>158</v>
      </c>
      <c r="H30" s="77" t="inlineStr">
        <is>
          <t>Complete</t>
        </is>
      </c>
      <c r="I30" s="77">
        <f>COUNTIFS('EL scheme register'!$A$7:$A$610,$A30,'EL scheme register'!$C$7:$C$610,"University-wide",'EL scheme register'!$AJ$7:$AJ$610,"Yes")</f>
        <v/>
      </c>
      <c r="J30" s="77">
        <f>COUNTIFS('EL scheme register'!$A$7:$A$610,$A30,'EL scheme register'!$C$7:$C$610,"Cross-faculty",'EL scheme register'!$AJ$7:$AJ$610,"Yes")</f>
        <v/>
      </c>
      <c r="K30" s="77">
        <f>COUNTIFS('EL scheme register'!$A$7:$A$610,$A30,'EL scheme register'!$C$7:$C$610,"Faculty/school",'EL scheme register'!$AJ$7:$AJ$610,"Yes")</f>
        <v/>
      </c>
      <c r="L30" s="77">
        <f>COUNTIFS('EL scheme register'!$A$7:$A$610,$A30,'EL scheme register'!$C$7:$C$610,"Programme/course",'EL scheme register'!$AJ$7:$AJ$610,"Yes")</f>
        <v/>
      </c>
      <c r="M30" s="77">
        <f>COUNTIFS('EL scheme register'!$A$7:$A$610,$A30,'EL scheme register'!$C$7:$C$610,"Unclear",'EL scheme register'!$AJ$7:$AJ$610,"Yes")</f>
        <v/>
      </c>
      <c r="N30" s="77">
        <f>SUM(I30:M30)</f>
        <v/>
      </c>
      <c r="O30" s="77">
        <f>COUNTIFS('EL scheme register'!$A$7:$A$610,$A30,'EL scheme register'!$AF$7:$AF$610,"Potentially relevant; evidence incomplete",'EL scheme register'!$AI$7:$AI$610,"Yes")</f>
        <v/>
      </c>
      <c r="P30" s="77">
        <f>COUNTIFS('EL scheme register'!$A$7:$A$610,$A30,'EL scheme register'!$AF$7:$AF$610,"Outside strict definition")</f>
        <v/>
      </c>
      <c r="Q30" s="77">
        <f>COUNTIF('EL exclusions &amp; gaps'!$B$7:$B$5000,$A30)</f>
        <v/>
      </c>
      <c r="R30" s="77" t="inlineStr">
        <is>
          <t>Not evidenced</t>
        </is>
      </c>
      <c r="S30" s="77" t="inlineStr">
        <is>
          <t>Not evidenced</t>
        </is>
      </c>
      <c r="T30" s="77" t="inlineStr">
        <is>
          <t>Sustainability Clinic (ESA00001H / ESA00002H / ESA00002M (elective); ENV00054H and ENV00111M (Environment and Geography versions)) [Cross-faculty]; Public History Project (HIS00130I) [Programme/course]; Community Action Project (PSY00075H) [Programme/course]; Student consultancy projects / Business Consultancy Project (MAN00019H) [Programme/course]; Group Sustainable Business Project (ENV00120M) [Programme/course]</t>
        </is>
      </c>
      <c r="U30" s="77" t="inlineStr">
        <is>
          <t>Science: 3; Business/management: 2; Central provision: 1; Arts/humanities/social sciences: 1</t>
        </is>
      </c>
      <c r="V30" s="77" t="inlineStr">
        <is>
          <t>Several distributed routes</t>
        </is>
      </c>
      <c r="W30" s="77" t="inlineStr">
        <is>
          <t>York has no single institution-wide employer project requirement, but a distributed set of curricular live-client team routes. The strongest central routes are the York Interdisciplinary Modules and the Community Engaged Learning (CEL) team: the Sustainability Clinic (20-credit elective for 3rd-year undergraduates and postgraduates, plus a core version in Environment and Geography) puts multidisciplinary teams to work for external clients (charities, councils, community groups, businesses) on live sustainability problems, with a facilitator and a reflective report; about 65 partner organisations and 450+ students are reported cumulatively. The Climate Crisis Action Lab used campaign-group briefs but is stated as not running in 2026/27. CEL also underpins department-based modules: the core Year 2 Public History Project (History) and Psychology's Community Action Project both put small teams on external-partner briefs; CEL reported 158 partners, 1,424 students and 61 projects in 2024/25. In business, the School for Business and Society runs a six-week undergraduate group consultancy for external clients linked to a 20-credit module, and MSc Management offers a live business project r</t>
        </is>
      </c>
      <c r="X30" s="77" t="inlineStr">
        <is>
          <t>Further departmental CEL instances likely (12 CEL taught modules across three faculties reported; only four identified). Not verified: SPY00033I Community Practice Experience; Biology, Politics, Sociology, Music, Archaeology, HYMS/Health Sciences modules; Education STEP 1 and MSc Management live-project route need dated corroboration; Law migrants' rights clinic needs current-year evidence; whether UG consultancy page maps directly to MAN00019H; computer science external-customer coverage.</t>
        </is>
      </c>
    </row>
    <row r="31">
      <c r="A31" s="77" t="inlineStr">
        <is>
          <t>AU01</t>
        </is>
      </c>
      <c r="B31" s="79" t="inlineStr">
        <is>
          <t>UNSW Sydney</t>
        </is>
      </c>
      <c r="C31" s="77" t="inlineStr">
        <is>
          <t>Australia</t>
        </is>
      </c>
      <c r="D31" s="77" t="inlineStr">
        <is>
          <t>Australia top 10</t>
        </is>
      </c>
      <c r="E31" s="77" t="inlineStr">
        <is>
          <t>Australia</t>
        </is>
      </c>
      <c r="F31" s="77" t="n">
        <v>2027</v>
      </c>
      <c r="G31" s="77" t="n">
        <v>19</v>
      </c>
      <c r="H31" s="77" t="inlineStr">
        <is>
          <t>Complete</t>
        </is>
      </c>
      <c r="I31" s="77">
        <f>COUNTIFS('EL scheme register'!$A$7:$A$610,$A31,'EL scheme register'!$C$7:$C$610,"University-wide",'EL scheme register'!$AJ$7:$AJ$610,"Yes")</f>
        <v/>
      </c>
      <c r="J31" s="77">
        <f>COUNTIFS('EL scheme register'!$A$7:$A$610,$A31,'EL scheme register'!$C$7:$C$610,"Cross-faculty",'EL scheme register'!$AJ$7:$AJ$610,"Yes")</f>
        <v/>
      </c>
      <c r="K31" s="77">
        <f>COUNTIFS('EL scheme register'!$A$7:$A$610,$A31,'EL scheme register'!$C$7:$C$610,"Faculty/school",'EL scheme register'!$AJ$7:$AJ$610,"Yes")</f>
        <v/>
      </c>
      <c r="L31" s="77">
        <f>COUNTIFS('EL scheme register'!$A$7:$A$610,$A31,'EL scheme register'!$C$7:$C$610,"Programme/course",'EL scheme register'!$AJ$7:$AJ$610,"Yes")</f>
        <v/>
      </c>
      <c r="M31" s="77">
        <f>COUNTIFS('EL scheme register'!$A$7:$A$610,$A31,'EL scheme register'!$C$7:$C$610,"Unclear",'EL scheme register'!$AJ$7:$AJ$610,"Yes")</f>
        <v/>
      </c>
      <c r="N31" s="77">
        <f>SUM(I31:M31)</f>
        <v/>
      </c>
      <c r="O31" s="77">
        <f>COUNTIFS('EL scheme register'!$A$7:$A$610,$A31,'EL scheme register'!$AF$7:$AF$610,"Potentially relevant; evidence incomplete",'EL scheme register'!$AI$7:$AI$610,"Yes")</f>
        <v/>
      </c>
      <c r="P31" s="77">
        <f>COUNTIFS('EL scheme register'!$A$7:$A$610,$A31,'EL scheme register'!$AF$7:$AF$610,"Outside strict definition")</f>
        <v/>
      </c>
      <c r="Q31" s="77">
        <f>COUNTIF('EL exclusions &amp; gaps'!$B$7:$B$5000,$A31)</f>
        <v/>
      </c>
      <c r="R31" s="77" t="inlineStr">
        <is>
          <t>Not evidenced</t>
        </is>
      </c>
      <c r="S31" s="77" t="inlineStr">
        <is>
          <t>Not evidenced</t>
        </is>
      </c>
      <c r="T31" s="77" t="inlineStr">
        <is>
          <t>CDEV3000 / CDEV6000 Practice of Work (CDEV3000 (UG) / CDEV6000 (PG)) [Cross-faculty]; CSE Industry Capstone Program (Capstone Project courses) (Capstone project courses (COMP3900/COMP9900 per 2018-21 handbook/outlines; current codes not verified)) [Faculty/school]</t>
        </is>
      </c>
      <c r="U31" s="77" t="inlineStr">
        <is>
          <t>Central provision: 1; Engineering/computing: 1</t>
        </is>
      </c>
      <c r="V31" s="77" t="inlineStr">
        <is>
          <t>Several distributed routes</t>
        </is>
      </c>
      <c r="W31" s="77" t="inlineStr">
        <is>
          <t>UNSW has a centrally run, term-based experiential learning course, CDEV3000/CDEV6000 Practice of Work (6 UOC), in which students from different degrees work in interdisciplinary teams on a brief set by an external industry, community or government partner. Summer Term 2027 and Term 1 2027 offerings are listed, so this is the best-evidenced route. Distributed beneath it are faculty routes: the School of Computer Science and Engineering Industry Capstone Program (teams of 6, external client supervises over a 10-week term, 2026 flyer), the Science Industry Project SCIF3000 (multidisciplinary teams, live partner project, WAM 65+ and 60 UOC; page undated), and in the Business School COMM2233 Industry Consulting Project (small teams at a host organisation, 2024-dated evidence) and short virtual Business Experience Projects (about 25 hours over 2 weeks). Participation is elective or selective in each case; no university-wide compulsory route was found. The legacy COMM1120 core course could not be tested because the handbook page carries no description. AHEGS Advantage is a recognition framework, not a project route. Uncertain: current delivery of SCIF3000, COMM2233 and Business Experience</t>
        </is>
      </c>
      <c r="X31" s="77" t="inlineStr">
        <is>
          <t>Reduced-depth run (about 8 searches plus 8 page fetches). Not opened: Business postgraduate practicum courses, Chemical Engineering/Industrial Design capstones, VIPs, ADA Innovation Hub, Law Social Impact Hub, Medicine. Further departmental instances are likely. COMM1120/COMM3900 handbook descriptions unavailable (pages note newer versions exist). Fetch tool summarises pages, so quotes are partly paraphrased.</t>
        </is>
      </c>
    </row>
    <row r="32">
      <c r="A32" s="77" t="inlineStr">
        <is>
          <t>AU02</t>
        </is>
      </c>
      <c r="B32" s="79" t="inlineStr">
        <is>
          <t>Melbourne</t>
        </is>
      </c>
      <c r="C32" s="77" t="inlineStr">
        <is>
          <t>Australia</t>
        </is>
      </c>
      <c r="D32" s="77" t="inlineStr">
        <is>
          <t>Australia top 10</t>
        </is>
      </c>
      <c r="E32" s="77" t="inlineStr">
        <is>
          <t>Australia</t>
        </is>
      </c>
      <c r="F32" s="77" t="n">
        <v>2027</v>
      </c>
      <c r="G32" s="77" t="n">
        <v>22</v>
      </c>
      <c r="H32" s="77" t="inlineStr">
        <is>
          <t>Complete</t>
        </is>
      </c>
      <c r="I32" s="77">
        <f>COUNTIFS('EL scheme register'!$A$7:$A$610,$A32,'EL scheme register'!$C$7:$C$610,"University-wide",'EL scheme register'!$AJ$7:$AJ$610,"Yes")</f>
        <v/>
      </c>
      <c r="J32" s="77">
        <f>COUNTIFS('EL scheme register'!$A$7:$A$610,$A32,'EL scheme register'!$C$7:$C$610,"Cross-faculty",'EL scheme register'!$AJ$7:$AJ$610,"Yes")</f>
        <v/>
      </c>
      <c r="K32" s="77">
        <f>COUNTIFS('EL scheme register'!$A$7:$A$610,$A32,'EL scheme register'!$C$7:$C$610,"Faculty/school",'EL scheme register'!$AJ$7:$AJ$610,"Yes")</f>
        <v/>
      </c>
      <c r="L32" s="77">
        <f>COUNTIFS('EL scheme register'!$A$7:$A$610,$A32,'EL scheme register'!$C$7:$C$610,"Programme/course",'EL scheme register'!$AJ$7:$AJ$610,"Yes")</f>
        <v/>
      </c>
      <c r="M32" s="77">
        <f>COUNTIFS('EL scheme register'!$A$7:$A$610,$A32,'EL scheme register'!$C$7:$C$610,"Unclear",'EL scheme register'!$AJ$7:$AJ$610,"Yes")</f>
        <v/>
      </c>
      <c r="N32" s="77">
        <f>SUM(I32:M32)</f>
        <v/>
      </c>
      <c r="O32" s="77">
        <f>COUNTIFS('EL scheme register'!$A$7:$A$610,$A32,'EL scheme register'!$AF$7:$AF$610,"Potentially relevant; evidence incomplete",'EL scheme register'!$AI$7:$AI$610,"Yes")</f>
        <v/>
      </c>
      <c r="P32" s="77">
        <f>COUNTIFS('EL scheme register'!$A$7:$A$610,$A32,'EL scheme register'!$AF$7:$AF$610,"Outside strict definition")</f>
        <v/>
      </c>
      <c r="Q32" s="77">
        <f>COUNTIF('EL exclusions &amp; gaps'!$B$7:$B$5000,$A32)</f>
        <v/>
      </c>
      <c r="R32" s="77" t="inlineStr">
        <is>
          <t>Not evidenced</t>
        </is>
      </c>
      <c r="S32" s="77" t="inlineStr">
        <is>
          <t>Not evidenced</t>
        </is>
      </c>
      <c r="T32" s="77" t="inlineStr">
        <is>
          <t>Industry Project (ARTS30001) [Cross-faculty]; Software Project (COMP90082) [Programme/course]; Masters Advanced Software Project Part 1 / Part 2 (SWEN90017 / SWEN90018) [Programme/course]; Data Science Project Part 1 / Part 2 (MAST90106 / MAST90107) [Programme/course]; Management Consulting (MGMT30012) [Faculty/school]; Business Innovation Challenge [Faculty/school]; Virtual Industry Projects [Faculty/school]; Creating Innovative Professionals (IPP Spark) (ENGR90039) [Cross-faculty]; SCOUT (Students Consulting on University Translation) [Cross-faculty]</t>
        </is>
      </c>
      <c r="U32" s="77" t="inlineStr">
        <is>
          <t>Engineering/computing: 5; Business/management: 5; Arts/humanities/social sciences: 2; Science: 2; Other (law, health, design, architecture…): 2; Central provision: 1</t>
        </is>
      </c>
      <c r="V32" s="77" t="inlineStr">
        <is>
          <t>Several distributed routes</t>
        </is>
      </c>
      <c r="W32" s="77" t="inlineStr">
        <is>
          <t>University of Melbourne has distributed, mostly faculty-level provision of team projects for external organisations rather than one institution-wide scheme. - Compulsory capstones with external clients are strongest at graduate level: the Master of IT Software Project (COMP90082) and Master of Software Engineering Advanced Software Project (SWEN90017/18, 'large teams... for an external client'), and the Faculty of Science capstone Industry Project model (teams of 3-5 on partner-submitted briefs) in the Masters of Data Science (MAST90106/7, 2026), Biotechnology (SCIE90015) and Environmental Science. The Master of Engineering capstone (ENGR90037/38) is group-based but involves industry partners only 'where appropriate'; Electrical &amp; Electronic Engineering documents an industry-supervised team route. - Elective/selective curricular routes: Arts Industry Project (ARTS30001, small consulting teams for partners who brief and attend presentations, also open as breadth); FBE Management Consulting (MGMT30012, teams assigned to client organisations, quota); Creating Innovative Professionals (ENGR90039, multidisciplinary teams on sponsor challenges, open to specified programs across Engineeri</t>
        </is>
      </c>
      <c r="X32" s="77" t="inlineStr">
        <is>
          <t>Further departmental instances likely exist (other Master of Engineering discipline capstones, e.g. BMEN90018; Master of Climate Science industry project code not found; MDHS/health, education, music/fine arts and social work not searched beyond one handbook query). 2026 eligibility/assessment tabs often not indexed - older-year handbook data used. Partner sector types not documented for most schemes. Relationship between FBE partner-facing 'Industry Projects' (S7) and named subjects (S6, S10) unresolved - possible double count. ARTS90027 2026 status rests on a search summary of the 2026 listing. COMP30022 client externality unverified. MBS (mbs.edu) Analytics Lab treated as University provision.</t>
        </is>
      </c>
    </row>
    <row r="33">
      <c r="A33" s="77" t="inlineStr">
        <is>
          <t>AU03</t>
        </is>
      </c>
      <c r="B33" s="79" t="inlineStr">
        <is>
          <t>Sydney</t>
        </is>
      </c>
      <c r="C33" s="77" t="inlineStr">
        <is>
          <t>Australia</t>
        </is>
      </c>
      <c r="D33" s="77" t="inlineStr">
        <is>
          <t>Australia top 10</t>
        </is>
      </c>
      <c r="E33" s="77" t="inlineStr">
        <is>
          <t>Australia</t>
        </is>
      </c>
      <c r="F33" s="77" t="n">
        <v>2027</v>
      </c>
      <c r="G33" s="77" t="n">
        <v>28</v>
      </c>
      <c r="H33" s="77" t="inlineStr">
        <is>
          <t>Complete</t>
        </is>
      </c>
      <c r="I33" s="77">
        <f>COUNTIFS('EL scheme register'!$A$7:$A$610,$A33,'EL scheme register'!$C$7:$C$610,"University-wide",'EL scheme register'!$AJ$7:$AJ$610,"Yes")</f>
        <v/>
      </c>
      <c r="J33" s="77">
        <f>COUNTIFS('EL scheme register'!$A$7:$A$610,$A33,'EL scheme register'!$C$7:$C$610,"Cross-faculty",'EL scheme register'!$AJ$7:$AJ$610,"Yes")</f>
        <v/>
      </c>
      <c r="K33" s="77">
        <f>COUNTIFS('EL scheme register'!$A$7:$A$610,$A33,'EL scheme register'!$C$7:$C$610,"Faculty/school",'EL scheme register'!$AJ$7:$AJ$610,"Yes")</f>
        <v/>
      </c>
      <c r="L33" s="77">
        <f>COUNTIFS('EL scheme register'!$A$7:$A$610,$A33,'EL scheme register'!$C$7:$C$610,"Programme/course",'EL scheme register'!$AJ$7:$AJ$610,"Yes")</f>
        <v/>
      </c>
      <c r="M33" s="77">
        <f>COUNTIFS('EL scheme register'!$A$7:$A$610,$A33,'EL scheme register'!$C$7:$C$610,"Unclear",'EL scheme register'!$AJ$7:$AJ$610,"Yes")</f>
        <v/>
      </c>
      <c r="N33" s="77">
        <f>SUM(I33:M33)</f>
        <v/>
      </c>
      <c r="O33" s="77">
        <f>COUNTIFS('EL scheme register'!$A$7:$A$610,$A33,'EL scheme register'!$AF$7:$AF$610,"Potentially relevant; evidence incomplete",'EL scheme register'!$AI$7:$AI$610,"Yes")</f>
        <v/>
      </c>
      <c r="P33" s="77">
        <f>COUNTIFS('EL scheme register'!$A$7:$A$610,$A33,'EL scheme register'!$AF$7:$AF$610,"Outside strict definition")</f>
        <v/>
      </c>
      <c r="Q33" s="77">
        <f>COUNTIF('EL exclusions &amp; gaps'!$B$7:$B$5000,$A33)</f>
        <v/>
      </c>
      <c r="R33" s="77" t="inlineStr">
        <is>
          <t>Yes</t>
        </is>
      </c>
      <c r="S33" s="77" t="inlineStr">
        <is>
          <t>Not evidenced</t>
        </is>
      </c>
      <c r="T33" s="77" t="inlineStr">
        <is>
          <t>Industry and Community Project (3000 level ICPU) (Faculty shell units incl. FASS3333, FINC3400, ACCT3400, BANK3400, GOVT3898, ENGG3800/ENGG3801, SCPU3001) [University-wide]; Advanced Industry and Community Project A and B (4000 level ICPU) (Shell units incl. BUSS4905, FASS4902, SCPU4001/SCPU4002, FMHU4001, ARCH4108) [Cross-faculty]; Business Consulting Practicum (Undergraduate) (BWIL1300) [Faculty/school]; Business Consulting Practicum (Postgraduate) (BWIL6300) [Faculty/school]; Strategy, Innovation and Management Capstone (SIEN6600) [Programme/course]; Computer Science Project (COMP3888 (advanced alternative COMP3988)) [Programme/course]</t>
        </is>
      </c>
      <c r="U33" s="77" t="inlineStr">
        <is>
          <t>Business/management: 5; Central provision: 2; Engineering/computing: 2; Science: 2; Arts/humanities/social sciences: 2; Other (law, health, design, architecture…): 2</t>
        </is>
      </c>
      <c r="V33" s="77" t="inlineStr">
        <is>
          <t>Several distributed routes</t>
        </is>
      </c>
      <c r="W33" s="77" t="inlineStr">
        <is>
          <t xml:space="preserve">University of Sydney has an institution-level framework for live, partner-briefed group projects, plus several faculty routes. This reduced-depth review queried all six areas; many discipline capstones remain untested. Law students reach the ICPU route through an Interdisciplinary Project (final/penultimate year, 48 cp core law); 4000-level teams of about five are set scope by partners and present to an external panel. - Industry and Community Project Units (ICPUs): run from the PVC Education portfolio and taken through faculty shell units. At 3000 level (6 cp), any undergraduate whose course offers a shell unit can register for a partner project. Supervisors put students into interdisciplinary groups, which work on a real challenge set by an industry, government or community partner and present solutions to it. Registration windows for the 2026/27 sessions are published. At 4000 level (12 cp: an A unit in a June-July intensive, then a B unit in Semester 2), the 2026 partners are AMP and PTW Architects. Both levels are elective. - Business School: the Business Consulting Practicum (BWIL1300 undergraduate, BWIL6300 postgraduate; offered in 2026) has student consultancies work for a </t>
        </is>
      </c>
      <c r="X33" s="77" t="inlineStr">
        <is>
          <t>Reduced-depth review; all six areas queried. Untested: engineering discipline capstones, Science XXXX3888 units, INDP3000, Sydney Policy Reform Project, MBA and Business Analytics capstones, Law electives with CLC NSW/Public Defenders/NSW Police (format unknown), architecture/design studios; MMGT6101 and JFC current status unresolved; BIS capstone group format unverified. Further departmental instances likely.</t>
        </is>
      </c>
    </row>
    <row r="34">
      <c r="A34" s="77" t="inlineStr">
        <is>
          <t>AU04</t>
        </is>
      </c>
      <c r="B34" s="79" t="inlineStr">
        <is>
          <t>Australian National University</t>
        </is>
      </c>
      <c r="C34" s="77" t="inlineStr">
        <is>
          <t>Australia</t>
        </is>
      </c>
      <c r="D34" s="77" t="inlineStr">
        <is>
          <t>Australia top 10</t>
        </is>
      </c>
      <c r="E34" s="77" t="inlineStr">
        <is>
          <t>Australia</t>
        </is>
      </c>
      <c r="F34" s="77" t="n">
        <v>2027</v>
      </c>
      <c r="G34" s="77" t="n">
        <v>29</v>
      </c>
      <c r="H34" s="77" t="inlineStr">
        <is>
          <t>Complete</t>
        </is>
      </c>
      <c r="I34" s="77">
        <f>COUNTIFS('EL scheme register'!$A$7:$A$610,$A34,'EL scheme register'!$C$7:$C$610,"University-wide",'EL scheme register'!$AJ$7:$AJ$610,"Yes")</f>
        <v/>
      </c>
      <c r="J34" s="77">
        <f>COUNTIFS('EL scheme register'!$A$7:$A$610,$A34,'EL scheme register'!$C$7:$C$610,"Cross-faculty",'EL scheme register'!$AJ$7:$AJ$610,"Yes")</f>
        <v/>
      </c>
      <c r="K34" s="77">
        <f>COUNTIFS('EL scheme register'!$A$7:$A$610,$A34,'EL scheme register'!$C$7:$C$610,"Faculty/school",'EL scheme register'!$AJ$7:$AJ$610,"Yes")</f>
        <v/>
      </c>
      <c r="L34" s="77">
        <f>COUNTIFS('EL scheme register'!$A$7:$A$610,$A34,'EL scheme register'!$C$7:$C$610,"Programme/course",'EL scheme register'!$AJ$7:$AJ$610,"Yes")</f>
        <v/>
      </c>
      <c r="M34" s="77">
        <f>COUNTIFS('EL scheme register'!$A$7:$A$610,$A34,'EL scheme register'!$C$7:$C$610,"Unclear",'EL scheme register'!$AJ$7:$AJ$610,"Yes")</f>
        <v/>
      </c>
      <c r="N34" s="77">
        <f>SUM(I34:M34)</f>
        <v/>
      </c>
      <c r="O34" s="77">
        <f>COUNTIFS('EL scheme register'!$A$7:$A$610,$A34,'EL scheme register'!$AF$7:$AF$610,"Potentially relevant; evidence incomplete",'EL scheme register'!$AI$7:$AI$610,"Yes")</f>
        <v/>
      </c>
      <c r="P34" s="77">
        <f>COUNTIFS('EL scheme register'!$A$7:$A$610,$A34,'EL scheme register'!$AF$7:$AF$610,"Outside strict definition")</f>
        <v/>
      </c>
      <c r="Q34" s="77">
        <f>COUNTIF('EL exclusions &amp; gaps'!$B$7:$B$5000,$A34)</f>
        <v/>
      </c>
      <c r="R34" s="77" t="inlineStr">
        <is>
          <t>Not evidenced</t>
        </is>
      </c>
      <c r="S34" s="77" t="inlineStr">
        <is>
          <t>Not evidenced</t>
        </is>
      </c>
      <c r="T34" s="77" t="inlineStr">
        <is>
          <t>TechLauncher (COMP3500 / COMP4500 (and postgraduate equivalents; COMP4500 page lists 2027-28 offerings)) [Programme/course]; Capstone Design Project (Engineering Capstone) (ENGN4300) [Programme/course]; Special Industry Project (CBEA3001 undergraduate / WILC6001 postgraduate) (CBEA3001; WILC6001) [Cross-faculty]</t>
        </is>
      </c>
      <c r="U34" s="77" t="inlineStr">
        <is>
          <t>Engineering/computing: 2; Business/management: 1</t>
        </is>
      </c>
      <c r="V34" s="77" t="inlineStr">
        <is>
          <t>Several distributed routes</t>
        </is>
      </c>
      <c r="W34" s="77" t="inlineStr">
        <is>
          <t>ANU has three verified routes meeting all three criteria with current delivery: TechLauncher (Computing; teams of 4-7 over two semesters for host organisations from industry, government, community or ANU; 2026 Semester 2 host timeline), the Engineering Capstone ENGN4300 (final-year teams of typically 4-6, year-long, hosts sign a Project Agreement, meet teams and give audit feedback) and the Special Industry Project (CBEA3001/WILC6001; open to undergraduates with 72+ units and postgraduates with 24+ units across the university; teams consult for a live client such as ActewAGL, Aspen Medical, CSIRO, mentored by Scyne Advisory). Each is a credited course, but reach is programme- or college-level rather than compulsory institution-wide; TechLauncher and the Capstone both accept some internal ANU hosts, and one 2026 SIP client was an internal ANU division. Weaker leads: ENGN8170 (client-drafted problem, client identity unclear), Crawford's Applied Policy Project (public-sector clients but individual or group, 2021 evidence only) and the university-wide SoCIETIE Initiative (the legacy row), which pairs students with 'campus and community partners' but where team working and external part</t>
        </is>
      </c>
      <c r="X34" s="77" t="inlineStr">
        <is>
          <t>Reduced-depth review (about 12 searches plus fetches). Not researched: further departmental instances (e.g. COMP6475/other TechLauncher codes, Research School of Management courses, INFS8202, BIOL3188, SCOM3007, McCusker Living Lab, Fenner School/environment, health/medicine, design/arts). SoCIETIE and GRIP vc-courses pages returned 404/503. Share of internal ANU hosts in TechLauncher/Capstone not quantified; participation numbers not found.</t>
        </is>
      </c>
    </row>
    <row r="35">
      <c r="A35" s="77" t="inlineStr">
        <is>
          <t>AU05</t>
        </is>
      </c>
      <c r="B35" s="79" t="inlineStr">
        <is>
          <t>Monash</t>
        </is>
      </c>
      <c r="C35" s="77" t="inlineStr">
        <is>
          <t>Australia</t>
        </is>
      </c>
      <c r="D35" s="77" t="inlineStr">
        <is>
          <t>Australia top 10</t>
        </is>
      </c>
      <c r="E35" s="77" t="inlineStr">
        <is>
          <t>Australia</t>
        </is>
      </c>
      <c r="F35" s="77" t="n">
        <v>2027</v>
      </c>
      <c r="G35" s="77" t="n">
        <v>31</v>
      </c>
      <c r="H35" s="77" t="inlineStr">
        <is>
          <t>Complete</t>
        </is>
      </c>
      <c r="I35" s="77">
        <f>COUNTIFS('EL scheme register'!$A$7:$A$610,$A35,'EL scheme register'!$C$7:$C$610,"University-wide",'EL scheme register'!$AJ$7:$AJ$610,"Yes")</f>
        <v/>
      </c>
      <c r="J35" s="77">
        <f>COUNTIFS('EL scheme register'!$A$7:$A$610,$A35,'EL scheme register'!$C$7:$C$610,"Cross-faculty",'EL scheme register'!$AJ$7:$AJ$610,"Yes")</f>
        <v/>
      </c>
      <c r="K35" s="77">
        <f>COUNTIFS('EL scheme register'!$A$7:$A$610,$A35,'EL scheme register'!$C$7:$C$610,"Faculty/school",'EL scheme register'!$AJ$7:$AJ$610,"Yes")</f>
        <v/>
      </c>
      <c r="L35" s="77">
        <f>COUNTIFS('EL scheme register'!$A$7:$A$610,$A35,'EL scheme register'!$C$7:$C$610,"Programme/course",'EL scheme register'!$AJ$7:$AJ$610,"Yes")</f>
        <v/>
      </c>
      <c r="M35" s="77">
        <f>COUNTIFS('EL scheme register'!$A$7:$A$610,$A35,'EL scheme register'!$C$7:$C$610,"Unclear",'EL scheme register'!$AJ$7:$AJ$610,"Yes")</f>
        <v/>
      </c>
      <c r="N35" s="77">
        <f>SUM(I35:M35)</f>
        <v/>
      </c>
      <c r="O35" s="77">
        <f>COUNTIFS('EL scheme register'!$A$7:$A$610,$A35,'EL scheme register'!$AF$7:$AF$610,"Potentially relevant; evidence incomplete",'EL scheme register'!$AI$7:$AI$610,"Yes")</f>
        <v/>
      </c>
      <c r="P35" s="77">
        <f>COUNTIFS('EL scheme register'!$A$7:$A$610,$A35,'EL scheme register'!$AF$7:$AF$610,"Outside strict definition")</f>
        <v/>
      </c>
      <c r="Q35" s="77">
        <f>COUNTIF('EL exclusions &amp; gaps'!$B$7:$B$5000,$A35)</f>
        <v/>
      </c>
      <c r="R35" s="77" t="inlineStr">
        <is>
          <t>Yes</t>
        </is>
      </c>
      <c r="S35" s="77" t="inlineStr">
        <is>
          <t>Not evidenced</t>
        </is>
      </c>
      <c r="T35" s="77" t="inlineStr">
        <is>
          <t>Monash Innovation Guarantee (MIG) (MON2750 (year 2); MON3750 (year 3+)) [University-wide]; Industry Consulting Projects (Business School consulting project units) (BEX3350/BEX3351 (6 CP), BEX3450 (12 CP), BEX5006 (6 CP), BEX5112 (12 CP)) [Faculty/school]</t>
        </is>
      </c>
      <c r="U35" s="77" t="inlineStr">
        <is>
          <t>Central provision: 1; Business/management: 1</t>
        </is>
      </c>
      <c r="V35" s="77" t="inlineStr">
        <is>
          <t>Several distributed routes</t>
        </is>
      </c>
      <c r="W35" s="77" t="inlineStr">
        <is>
          <t>Monash has one university-wide route and several faculty routes. University-wide: the Monash Innovation Guarantee (MON2750/MON3750 for undergraduates; MIG-P, MON5750, for postgraduates) is a three-week elective intensive. Small matched teams take a challenge set by an industry partner (commercial or social enterprise, government or UN agency, start-up), with weekly partner touch points. Eligibility depends on elective space and degree, and enrolment needs no application. Not compulsory. Business: Industry Consulting Projects (BEX3350/3351/3450 undergraduate; BEX5006/5112 graduate) put teams of up to 5 on real client problems. The route is competitive, and applications for 2027 open in October 2026. Engineering/IT: the Industry Innovation Program is a 12-month industry-funded final-year project (ENG4701/4702), but team versus individual assessment is unclear. The IT Industry Experience Studio Project (FIT5120) uses teams of 4-5 on real problems, but its evidence is mostly 2015-2019 handbooks, so current status is unclear. No qualifying team-with-external-client provision was verified in Science, Arts/Social Sciences, Law or health. Provision is distributed across the centre and facu</t>
        </is>
      </c>
      <c r="X35" s="77" t="inlineStr">
        <is>
          <t>monash.edu page text could not be opened (WebFetch 403; curl returned a Cloudflare challenge, not bypassed), so all sources are search-summary paraphrases. Not verified: MIG-P team/partner detail; IIP team assessment; current FIT5120 handbook; Science SCI3990/SCI3502 team format; Engineering faculty capstones (e.g. ENG4701 non-IIP) and further departmental projects likely exist; participation numbers.</t>
        </is>
      </c>
    </row>
    <row r="36">
      <c r="A36" s="77" t="inlineStr">
        <is>
          <t>AU06</t>
        </is>
      </c>
      <c r="B36" s="79" t="inlineStr">
        <is>
          <t>Queensland</t>
        </is>
      </c>
      <c r="C36" s="77" t="inlineStr">
        <is>
          <t>Australia</t>
        </is>
      </c>
      <c r="D36" s="77" t="inlineStr">
        <is>
          <t>Australia top 10</t>
        </is>
      </c>
      <c r="E36" s="77" t="inlineStr">
        <is>
          <t>Australia</t>
        </is>
      </c>
      <c r="F36" s="77" t="n">
        <v>2027</v>
      </c>
      <c r="G36" s="77" t="n">
        <v>40</v>
      </c>
      <c r="H36" s="77" t="inlineStr">
        <is>
          <t>Complete</t>
        </is>
      </c>
      <c r="I36" s="77">
        <f>COUNTIFS('EL scheme register'!$A$7:$A$610,$A36,'EL scheme register'!$C$7:$C$610,"University-wide",'EL scheme register'!$AJ$7:$AJ$610,"Yes")</f>
        <v/>
      </c>
      <c r="J36" s="77">
        <f>COUNTIFS('EL scheme register'!$A$7:$A$610,$A36,'EL scheme register'!$C$7:$C$610,"Cross-faculty",'EL scheme register'!$AJ$7:$AJ$610,"Yes")</f>
        <v/>
      </c>
      <c r="K36" s="77">
        <f>COUNTIFS('EL scheme register'!$A$7:$A$610,$A36,'EL scheme register'!$C$7:$C$610,"Faculty/school",'EL scheme register'!$AJ$7:$AJ$610,"Yes")</f>
        <v/>
      </c>
      <c r="L36" s="77">
        <f>COUNTIFS('EL scheme register'!$A$7:$A$610,$A36,'EL scheme register'!$C$7:$C$610,"Programme/course",'EL scheme register'!$AJ$7:$AJ$610,"Yes")</f>
        <v/>
      </c>
      <c r="M36" s="77">
        <f>COUNTIFS('EL scheme register'!$A$7:$A$610,$A36,'EL scheme register'!$C$7:$C$610,"Unclear",'EL scheme register'!$AJ$7:$AJ$610,"Yes")</f>
        <v/>
      </c>
      <c r="N36" s="77">
        <f>SUM(I36:M36)</f>
        <v/>
      </c>
      <c r="O36" s="77">
        <f>COUNTIFS('EL scheme register'!$A$7:$A$610,$A36,'EL scheme register'!$AF$7:$AF$610,"Potentially relevant; evidence incomplete",'EL scheme register'!$AI$7:$AI$610,"Yes")</f>
        <v/>
      </c>
      <c r="P36" s="77">
        <f>COUNTIFS('EL scheme register'!$A$7:$A$610,$A36,'EL scheme register'!$AF$7:$AF$610,"Outside strict definition")</f>
        <v/>
      </c>
      <c r="Q36" s="77">
        <f>COUNTIF('EL exclusions &amp; gaps'!$B$7:$B$5000,$A36)</f>
        <v/>
      </c>
      <c r="R36" s="77" t="inlineStr">
        <is>
          <t>Yes</t>
        </is>
      </c>
      <c r="S36" s="77" t="inlineStr">
        <is>
          <t>Not evidenced</t>
        </is>
      </c>
      <c r="T36" s="77" t="inlineStr">
        <is>
          <t>Practera SAIEP - Industry Experience Projects [University-wide]; Industry Consulting Project (Business Industry Consultancy Project) (RBUS3888; RBUS4888; RBUS7888; BSAN7215) [Faculty/school]; Learning by Doing in a Disruptive World (PBEL3000) [Faculty/school]; Impact Academy 1: Discovering New Solutions for Complex Problems (MGTS7820) [Programme/course]; Sustainability Strategy and Leadership Capstone (TIMS7334) [Programme/course]; Team Project (Bachelor of Advanced Finance and Economics (Honours)) (FINM4411) [Programme/course]</t>
        </is>
      </c>
      <c r="U36" s="77" t="inlineStr">
        <is>
          <t>Business/management: 5; Central provision: 1</t>
        </is>
      </c>
      <c r="V36" s="77" t="inlineStr">
        <is>
          <t>Several distributed routes</t>
        </is>
      </c>
      <c r="W36" s="77" t="inlineStr">
        <is>
          <t xml:space="preserve">University of Queensland (reduced-depth review). The verified provision sits mainly in Business, Economics and Law, plus two central extracurricular routes. - BEL Industry Consulting Project (RBUS3888/4888/7888, BSAN7215): selective final-year course (GPA 4.0+, by application). Project teams with an assigned mentor answer a brief from an industry partner, such as Cancer Council Queensland or Netball Queensland, and deliver a team report to the client. Applications are open for 2026-27. - PBEL3000 Learning by Doing in a Disruptive World: application-only undergraduate capstone. Teams of 3-5 pitch to an industry partner, who gives feedback, and write an industry report. Last offered Summer Semester 2025. - MBA Impact Academy 1 (MGTS7820, 2026): teams take sponsor-set real problems and present to the sponsors. It appears to replace the MGTS7818 Industry Engagement Capstone, last evidenced in 2024. Past MBA partners include Suncorp, Anglicare and Queensland Police. - Central: Practera SAIEP offers two-week virtual team projects for any UQ student, with briefs from real employers and client feedback. It is short and selective. The Ventures Industry Challenge is university-wide but only </t>
        </is>
      </c>
      <c r="X36" s="77" t="inlineStr">
        <is>
          <t>Further departmental capstones in Science, HASS, engineering disciplines and architecture likely exist but were not found at reduced depth; Ventures Industry Challenge external-partner role unclear; PBEL3000 2026-27 offering unconfirmed; MGTS7818 likely replaced; FINM4411 verified only via search extract; TIMS7334/HRSS4210 partner type unclear; no participation numbers for most routes.</t>
        </is>
      </c>
    </row>
    <row r="37">
      <c r="A37" s="77" t="inlineStr">
        <is>
          <t>AU07</t>
        </is>
      </c>
      <c r="B37" s="79" t="inlineStr">
        <is>
          <t>Western Australia</t>
        </is>
      </c>
      <c r="C37" s="77" t="inlineStr">
        <is>
          <t>Australia</t>
        </is>
      </c>
      <c r="D37" s="77" t="inlineStr">
        <is>
          <t>Australia top 10</t>
        </is>
      </c>
      <c r="E37" s="77" t="inlineStr">
        <is>
          <t>Australia</t>
        </is>
      </c>
      <c r="F37" s="77" t="n">
        <v>2027</v>
      </c>
      <c r="G37" s="77" t="n">
        <v>77</v>
      </c>
      <c r="H37" s="77" t="inlineStr">
        <is>
          <t>Not started</t>
        </is>
      </c>
      <c r="I37" s="77">
        <f>COUNTIFS('EL scheme register'!$A$7:$A$610,$A37,'EL scheme register'!$C$7:$C$610,"University-wide",'EL scheme register'!$AJ$7:$AJ$610,"Yes")</f>
        <v/>
      </c>
      <c r="J37" s="77">
        <f>COUNTIFS('EL scheme register'!$A$7:$A$610,$A37,'EL scheme register'!$C$7:$C$610,"Cross-faculty",'EL scheme register'!$AJ$7:$AJ$610,"Yes")</f>
        <v/>
      </c>
      <c r="K37" s="77">
        <f>COUNTIFS('EL scheme register'!$A$7:$A$610,$A37,'EL scheme register'!$C$7:$C$610,"Faculty/school",'EL scheme register'!$AJ$7:$AJ$610,"Yes")</f>
        <v/>
      </c>
      <c r="L37" s="77">
        <f>COUNTIFS('EL scheme register'!$A$7:$A$610,$A37,'EL scheme register'!$C$7:$C$610,"Programme/course",'EL scheme register'!$AJ$7:$AJ$610,"Yes")</f>
        <v/>
      </c>
      <c r="M37" s="77">
        <f>COUNTIFS('EL scheme register'!$A$7:$A$610,$A37,'EL scheme register'!$C$7:$C$610,"Unclear",'EL scheme register'!$AJ$7:$AJ$610,"Yes")</f>
        <v/>
      </c>
      <c r="N37" s="77">
        <f>SUM(I37:M37)</f>
        <v/>
      </c>
      <c r="O37" s="77">
        <f>COUNTIFS('EL scheme register'!$A$7:$A$610,$A37,'EL scheme register'!$AF$7:$AF$610,"Potentially relevant; evidence incomplete",'EL scheme register'!$AI$7:$AI$610,"Yes")</f>
        <v/>
      </c>
      <c r="P37" s="77">
        <f>COUNTIFS('EL scheme register'!$A$7:$A$610,$A37,'EL scheme register'!$AF$7:$AF$610,"Outside strict definition")</f>
        <v/>
      </c>
      <c r="Q37" s="77">
        <f>COUNTIF('EL exclusions &amp; gaps'!$B$7:$B$5000,$A37)</f>
        <v/>
      </c>
      <c r="R37" s="77" t="inlineStr">
        <is>
          <t>Not reviewed</t>
        </is>
      </c>
      <c r="S37" s="77" t="inlineStr">
        <is>
          <t>Not reviewed</t>
        </is>
      </c>
      <c r="T37" s="77" t="inlineStr"/>
      <c r="U37" s="77" t="inlineStr"/>
      <c r="V37" s="77" t="inlineStr">
        <is>
          <t>Not reviewed</t>
        </is>
      </c>
      <c r="W37" s="77" t="inlineStr"/>
      <c r="X37" s="77" t="inlineStr"/>
    </row>
    <row r="38">
      <c r="A38" s="77" t="inlineStr">
        <is>
          <t>AU08</t>
        </is>
      </c>
      <c r="B38" s="79" t="inlineStr">
        <is>
          <t>Adelaide University</t>
        </is>
      </c>
      <c r="C38" s="77" t="inlineStr">
        <is>
          <t>Australia</t>
        </is>
      </c>
      <c r="D38" s="77" t="inlineStr">
        <is>
          <t>Australia top 10</t>
        </is>
      </c>
      <c r="E38" s="77" t="inlineStr">
        <is>
          <t>Australia</t>
        </is>
      </c>
      <c r="F38" s="77" t="n">
        <v>2027</v>
      </c>
      <c r="G38" s="77" t="n">
        <v>79</v>
      </c>
      <c r="H38" s="77" t="inlineStr">
        <is>
          <t>Not started</t>
        </is>
      </c>
      <c r="I38" s="77">
        <f>COUNTIFS('EL scheme register'!$A$7:$A$610,$A38,'EL scheme register'!$C$7:$C$610,"University-wide",'EL scheme register'!$AJ$7:$AJ$610,"Yes")</f>
        <v/>
      </c>
      <c r="J38" s="77">
        <f>COUNTIFS('EL scheme register'!$A$7:$A$610,$A38,'EL scheme register'!$C$7:$C$610,"Cross-faculty",'EL scheme register'!$AJ$7:$AJ$610,"Yes")</f>
        <v/>
      </c>
      <c r="K38" s="77">
        <f>COUNTIFS('EL scheme register'!$A$7:$A$610,$A38,'EL scheme register'!$C$7:$C$610,"Faculty/school",'EL scheme register'!$AJ$7:$AJ$610,"Yes")</f>
        <v/>
      </c>
      <c r="L38" s="77">
        <f>COUNTIFS('EL scheme register'!$A$7:$A$610,$A38,'EL scheme register'!$C$7:$C$610,"Programme/course",'EL scheme register'!$AJ$7:$AJ$610,"Yes")</f>
        <v/>
      </c>
      <c r="M38" s="77">
        <f>COUNTIFS('EL scheme register'!$A$7:$A$610,$A38,'EL scheme register'!$C$7:$C$610,"Unclear",'EL scheme register'!$AJ$7:$AJ$610,"Yes")</f>
        <v/>
      </c>
      <c r="N38" s="77">
        <f>SUM(I38:M38)</f>
        <v/>
      </c>
      <c r="O38" s="77">
        <f>COUNTIFS('EL scheme register'!$A$7:$A$610,$A38,'EL scheme register'!$AF$7:$AF$610,"Potentially relevant; evidence incomplete",'EL scheme register'!$AI$7:$AI$610,"Yes")</f>
        <v/>
      </c>
      <c r="P38" s="77">
        <f>COUNTIFS('EL scheme register'!$A$7:$A$610,$A38,'EL scheme register'!$AF$7:$AF$610,"Outside strict definition")</f>
        <v/>
      </c>
      <c r="Q38" s="77">
        <f>COUNTIF('EL exclusions &amp; gaps'!$B$7:$B$5000,$A38)</f>
        <v/>
      </c>
      <c r="R38" s="77" t="inlineStr">
        <is>
          <t>Not reviewed</t>
        </is>
      </c>
      <c r="S38" s="77" t="inlineStr">
        <is>
          <t>Not reviewed</t>
        </is>
      </c>
      <c r="T38" s="77" t="inlineStr"/>
      <c r="U38" s="77" t="inlineStr"/>
      <c r="V38" s="77" t="inlineStr">
        <is>
          <t>Not reviewed</t>
        </is>
      </c>
      <c r="W38" s="77" t="inlineStr"/>
      <c r="X38" s="77" t="inlineStr"/>
    </row>
    <row r="39">
      <c r="A39" s="77" t="inlineStr">
        <is>
          <t>AU09</t>
        </is>
      </c>
      <c r="B39" s="79" t="inlineStr">
        <is>
          <t>University of Technology Sydney</t>
        </is>
      </c>
      <c r="C39" s="77" t="inlineStr">
        <is>
          <t>Australia</t>
        </is>
      </c>
      <c r="D39" s="77" t="inlineStr">
        <is>
          <t>Australia top 10</t>
        </is>
      </c>
      <c r="E39" s="77" t="inlineStr">
        <is>
          <t>Australia</t>
        </is>
      </c>
      <c r="F39" s="77" t="n">
        <v>2027</v>
      </c>
      <c r="G39" s="77" t="n">
        <v>87</v>
      </c>
      <c r="H39" s="77" t="inlineStr">
        <is>
          <t>Complete</t>
        </is>
      </c>
      <c r="I39" s="77">
        <f>COUNTIFS('EL scheme register'!$A$7:$A$610,$A39,'EL scheme register'!$C$7:$C$610,"University-wide",'EL scheme register'!$AJ$7:$AJ$610,"Yes")</f>
        <v/>
      </c>
      <c r="J39" s="77">
        <f>COUNTIFS('EL scheme register'!$A$7:$A$610,$A39,'EL scheme register'!$C$7:$C$610,"Cross-faculty",'EL scheme register'!$AJ$7:$AJ$610,"Yes")</f>
        <v/>
      </c>
      <c r="K39" s="77">
        <f>COUNTIFS('EL scheme register'!$A$7:$A$610,$A39,'EL scheme register'!$C$7:$C$610,"Faculty/school",'EL scheme register'!$AJ$7:$AJ$610,"Yes")</f>
        <v/>
      </c>
      <c r="L39" s="77">
        <f>COUNTIFS('EL scheme register'!$A$7:$A$610,$A39,'EL scheme register'!$C$7:$C$610,"Programme/course",'EL scheme register'!$AJ$7:$AJ$610,"Yes")</f>
        <v/>
      </c>
      <c r="M39" s="77">
        <f>COUNTIFS('EL scheme register'!$A$7:$A$610,$A39,'EL scheme register'!$C$7:$C$610,"Unclear",'EL scheme register'!$AJ$7:$AJ$610,"Yes")</f>
        <v/>
      </c>
      <c r="N39" s="77">
        <f>SUM(I39:M39)</f>
        <v/>
      </c>
      <c r="O39" s="77">
        <f>COUNTIFS('EL scheme register'!$A$7:$A$610,$A39,'EL scheme register'!$AF$7:$AF$610,"Potentially relevant; evidence incomplete",'EL scheme register'!$AI$7:$AI$610,"Yes")</f>
        <v/>
      </c>
      <c r="P39" s="77">
        <f>COUNTIFS('EL scheme register'!$A$7:$A$610,$A39,'EL scheme register'!$AF$7:$AF$610,"Outside strict definition")</f>
        <v/>
      </c>
      <c r="Q39" s="77">
        <f>COUNTIF('EL exclusions &amp; gaps'!$B$7:$B$5000,$A39)</f>
        <v/>
      </c>
      <c r="R39" s="77" t="inlineStr">
        <is>
          <t>Yes</t>
        </is>
      </c>
      <c r="S39" s="77" t="inlineStr">
        <is>
          <t>Not evidenced</t>
        </is>
      </c>
      <c r="T39" s="77" t="inlineStr">
        <is>
          <t>Transdisciplinary (TD) Electives (e.g. 95002/95010 TD: Reframing, remixing, reimagining society (UNICEF Australia); 95005 Shaping Technologies that Shape Us (Microsoft); 95004 (ServiceRocket); 95006 (City of Sydney); 95008 (Miro); Pathways to Societal Transitions (Lane Cove Council)) [University-wide]; Industry Innovation Project [Programme/course]; UTS Shopfront Community Program – community projects in coursework (Various participating coursework subjects (not identified)) [Unclear]</t>
        </is>
      </c>
      <c r="U39" s="77" t="inlineStr">
        <is>
          <t>Central provision: 3</t>
        </is>
      </c>
      <c r="V39" s="77" t="inlineStr">
        <is>
          <t>Several distributed routes</t>
        </is>
      </c>
      <c r="W39" s="77" t="inlineStr">
        <is>
          <t>UTS (reduced-depth, all six areas queried). Qualifying or near-qualifying routes were found centrally and in one faculty. TD Electives (TD School, 8 subjects, 6-8cp): the student page states each elective has "a real-world challenge presented by an industry partner organisation" and "Collaborate in teams with students from all faculties"; partners (UNICEF Australia, City of Sydney, Microsoft, Miro, Lane Cove Council, ServiceRocket in 2026) co-design the challenge, mentor and give feedback. Optional, open to undergraduates except BCII students. Industry Innovation Project (BCII final year): 13-week teams of 5-7 with partner mentors. UTS Shopfront brokers charity/community projects into coursework as team consultancies, but host subjects are unidentified. Software Development Studio (FEIT): teams of 4-6 deliver prototypes for industry-posed briefs over 12 weeks with weekly industry mentors; optional, listed FEIT degrees; page undated (copyright 2026) so current delivery unconfirmed. Strategic Communication capstone: semester-long real-client brief; team format not stated. Business, engineering capstone, design and science instances were seen only as titles or snippets. Provision is d</t>
        </is>
      </c>
      <c r="X39" s="77" t="inlineStr">
        <is>
          <t>Business School capstones, engineering/IT capstones, Mechanical and Mechatronic Design studio, Strategic Design Studio: not verified beyond snippets; further departmental instances likely. Shopfront host subjects and Industry Innovation Project core status unresolved. SDS and Strategic Communication lack dated delivery evidence. Law and health: no live-client team subject surfaced (one combined search only). 2026 handbook assessment for TD Electives not retrieved.</t>
        </is>
      </c>
    </row>
    <row r="40">
      <c r="A40" s="77" t="inlineStr">
        <is>
          <t>AU10</t>
        </is>
      </c>
      <c r="B40" s="79" t="inlineStr">
        <is>
          <t>RMIT</t>
        </is>
      </c>
      <c r="C40" s="77" t="inlineStr">
        <is>
          <t>Australia</t>
        </is>
      </c>
      <c r="D40" s="77" t="inlineStr">
        <is>
          <t>Australia top 10</t>
        </is>
      </c>
      <c r="E40" s="77" t="inlineStr">
        <is>
          <t>Australia</t>
        </is>
      </c>
      <c r="F40" s="77" t="n">
        <v>2027</v>
      </c>
      <c r="G40" s="77" t="n">
        <v>119</v>
      </c>
      <c r="H40" s="77" t="inlineStr">
        <is>
          <t>Complete</t>
        </is>
      </c>
      <c r="I40" s="77">
        <f>COUNTIFS('EL scheme register'!$A$7:$A$610,$A40,'EL scheme register'!$C$7:$C$610,"University-wide",'EL scheme register'!$AJ$7:$AJ$610,"Yes")</f>
        <v/>
      </c>
      <c r="J40" s="77">
        <f>COUNTIFS('EL scheme register'!$A$7:$A$610,$A40,'EL scheme register'!$C$7:$C$610,"Cross-faculty",'EL scheme register'!$AJ$7:$AJ$610,"Yes")</f>
        <v/>
      </c>
      <c r="K40" s="77">
        <f>COUNTIFS('EL scheme register'!$A$7:$A$610,$A40,'EL scheme register'!$C$7:$C$610,"Faculty/school",'EL scheme register'!$AJ$7:$AJ$610,"Yes")</f>
        <v/>
      </c>
      <c r="L40" s="77">
        <f>COUNTIFS('EL scheme register'!$A$7:$A$610,$A40,'EL scheme register'!$C$7:$C$610,"Programme/course",'EL scheme register'!$AJ$7:$AJ$610,"Yes")</f>
        <v/>
      </c>
      <c r="M40" s="77">
        <f>COUNTIFS('EL scheme register'!$A$7:$A$610,$A40,'EL scheme register'!$C$7:$C$610,"Unclear",'EL scheme register'!$AJ$7:$AJ$610,"Yes")</f>
        <v/>
      </c>
      <c r="N40" s="77">
        <f>SUM(I40:M40)</f>
        <v/>
      </c>
      <c r="O40" s="77">
        <f>COUNTIFS('EL scheme register'!$A$7:$A$610,$A40,'EL scheme register'!$AF$7:$AF$610,"Potentially relevant; evidence incomplete",'EL scheme register'!$AI$7:$AI$610,"Yes")</f>
        <v/>
      </c>
      <c r="P40" s="77">
        <f>COUNTIFS('EL scheme register'!$A$7:$A$610,$A40,'EL scheme register'!$AF$7:$AF$610,"Outside strict definition")</f>
        <v/>
      </c>
      <c r="Q40" s="77">
        <f>COUNTIF('EL exclusions &amp; gaps'!$B$7:$B$5000,$A40)</f>
        <v/>
      </c>
      <c r="R40" s="77" t="inlineStr">
        <is>
          <t>Not evidenced</t>
        </is>
      </c>
      <c r="S40" s="77" t="inlineStr">
        <is>
          <t>Not evidenced</t>
        </is>
      </c>
      <c r="T40" s="77" t="inlineStr">
        <is>
          <t>Impact Academy 1 (Bachelor of Business (Professional Practice) core subject) (Unclear) [Programme/course]</t>
        </is>
      </c>
      <c r="U40" s="77" t="inlineStr">
        <is>
          <t>Business/management: 1</t>
        </is>
      </c>
      <c r="V40" s="77" t="inlineStr">
        <is>
          <t>Several distributed routes</t>
        </is>
      </c>
      <c r="W40" s="77" t="inlineStr">
        <is>
          <t>RMIT has no single university-wide employer project scheme. Its WIL page describes industry-sponsored projects 'often in teams' but says requirements vary by course. Qualifying routes sit in programmes. The strongest is Impact Academy 1, a core subject of the Bachelor of Business (Professional Practice), where teams answer a real challenge set by a live industry partner's client. Other client-facing group routes are a software engineering project with an industry partner as client (teams, one semester), a Year 3 PR capstone commissioned by industry, government or community partners, and a cross-faculty Buyer Behaviour client project in the Associate Degree in Business (2023 evidence). Engineering runs a year-long capstone with industry-proposed projects, a three-party WIL agreement and a 22 October 2026 showcase. Team structure and the share of industry-sponsored projects are not stated, so group and employer criteria are Unclear. Medibank and Red Cross group challenges in the Bachelor of Business (IPBP) are named from a 2023-era page and not shown to be standard. Only Impact Academy 1 has current-delivery corroboration (degree intakes and 2027 fee) and meets all three criteria. Se</t>
        </is>
      </c>
      <c r="X40" s="77" t="inlineStr">
        <is>
          <t>Subject-level handbook pages (credit, year, current offering) not opened for any scheme; Impact Academy 2 details not read (WebFetch truncated); PR capstone and Bachelor of Science capstone text not reached (pages &gt;100k characters, only first 100k read); engineering team structure and proportion of industry-sponsored capstones; Science (COSC2408) current status; design/architecture/interior design live studios, Cyber Ready CIC, MBIT project and other departmental instances likely exist and were not researched in reduced-depth mode; law/health not found. Retrieval: WebFetch worked directly (page text) for most pages; no curl fallback needed.</t>
        </is>
      </c>
    </row>
    <row r="41">
      <c r="A41" s="77" t="inlineStr">
        <is>
          <t>UK01</t>
        </is>
      </c>
      <c r="B41" s="79" t="inlineStr">
        <is>
          <t>Bath</t>
        </is>
      </c>
      <c r="C41" s="77" t="inlineStr">
        <is>
          <t>UK</t>
        </is>
      </c>
      <c r="D41" s="77" t="inlineStr">
        <is>
          <t>Additional UK sample</t>
        </is>
      </c>
      <c r="E41" s="77" t="inlineStr">
        <is>
          <t>UK – additional</t>
        </is>
      </c>
      <c r="F41" s="77" t="n">
        <v>2027</v>
      </c>
      <c r="G41" s="77" t="n">
        <v>125</v>
      </c>
      <c r="H41" s="77" t="inlineStr">
        <is>
          <t>Complete</t>
        </is>
      </c>
      <c r="I41" s="77">
        <f>COUNTIFS('EL scheme register'!$A$7:$A$610,$A41,'EL scheme register'!$C$7:$C$610,"University-wide",'EL scheme register'!$AJ$7:$AJ$610,"Yes")</f>
        <v/>
      </c>
      <c r="J41" s="77">
        <f>COUNTIFS('EL scheme register'!$A$7:$A$610,$A41,'EL scheme register'!$C$7:$C$610,"Cross-faculty",'EL scheme register'!$AJ$7:$AJ$610,"Yes")</f>
        <v/>
      </c>
      <c r="K41" s="77">
        <f>COUNTIFS('EL scheme register'!$A$7:$A$610,$A41,'EL scheme register'!$C$7:$C$610,"Faculty/school",'EL scheme register'!$AJ$7:$AJ$610,"Yes")</f>
        <v/>
      </c>
      <c r="L41" s="77">
        <f>COUNTIFS('EL scheme register'!$A$7:$A$610,$A41,'EL scheme register'!$C$7:$C$610,"Programme/course",'EL scheme register'!$AJ$7:$AJ$610,"Yes")</f>
        <v/>
      </c>
      <c r="M41" s="77">
        <f>COUNTIFS('EL scheme register'!$A$7:$A$610,$A41,'EL scheme register'!$C$7:$C$610,"Unclear",'EL scheme register'!$AJ$7:$AJ$610,"Yes")</f>
        <v/>
      </c>
      <c r="N41" s="77">
        <f>SUM(I41:M41)</f>
        <v/>
      </c>
      <c r="O41" s="77">
        <f>COUNTIFS('EL scheme register'!$A$7:$A$610,$A41,'EL scheme register'!$AF$7:$AF$610,"Potentially relevant; evidence incomplete",'EL scheme register'!$AI$7:$AI$610,"Yes")</f>
        <v/>
      </c>
      <c r="P41" s="77">
        <f>COUNTIFS('EL scheme register'!$A$7:$A$610,$A41,'EL scheme register'!$AF$7:$AF$610,"Outside strict definition")</f>
        <v/>
      </c>
      <c r="Q41" s="77">
        <f>COUNTIF('EL exclusions &amp; gaps'!$B$7:$B$5000,$A41)</f>
        <v/>
      </c>
      <c r="R41" s="77" t="inlineStr">
        <is>
          <t>Not evidenced</t>
        </is>
      </c>
      <c r="S41" s="77" t="inlineStr">
        <is>
          <t>Not evidenced</t>
        </is>
      </c>
      <c r="T41" s="77" t="inlineStr"/>
      <c r="U41" s="77" t="inlineStr"/>
      <c r="V41" s="77" t="inlineStr">
        <is>
          <t>Several distributed routes</t>
        </is>
      </c>
      <c r="W41" s="77" t="inlineStr">
        <is>
          <t>Bath's relevant provision is distributed and mostly postgraduate. The University-wide Vertically Integrated Projects (250 students in 11 interdisciplinary teams in 2025/26, open to UG, PG and doctoral students, largely extracurricular) are group research projects, but external organisations only 'may' contribute, so the employer criterion is unclear. In Engineering &amp; Design, the MEng Group Design and Business Project has third-year teams working about 14 weeks on company-supplied briefs (Airbus, NCC, UKAEA and others named) and presenting to the company, but compulsory status, credit, and current-year delivery were not verified. In the School of Management, MSc Practice Track (teams with an external client, 7-8 weeks in summer, optional) and a six-week MSc Consulting Project with a local organisation are team client projects; the postgraduate consultancy option in several other MSc/MA courses can be done alone or in a group. A short employer-set Big Team Challenge and the student-run 180 Degrees Consulting are also recorded. Most pages are undated (some link to 2027 entry), so current delivery is largely unconfirmed. No science or arts-led qualifying scheme was verified.</t>
        </is>
      </c>
      <c r="X41" s="77" t="inlineStr">
        <is>
          <t>Dated 2025/26-2026/27 delivery for S2-S7; MBA Multi-Project Suite page; unit credit for MEng GDBP; Big Team Challenge page text; further departmental instances (Education MA, IR MSc, Sport Management) likely; no direct page text beyond ~7 fetches.</t>
        </is>
      </c>
    </row>
    <row r="42">
      <c r="A42" s="77" t="inlineStr">
        <is>
          <t>UK02</t>
        </is>
      </c>
      <c r="B42" s="79" t="inlineStr">
        <is>
          <t>St Andrews</t>
        </is>
      </c>
      <c r="C42" s="77" t="inlineStr">
        <is>
          <t>UK</t>
        </is>
      </c>
      <c r="D42" s="77" t="inlineStr">
        <is>
          <t>Additional UK sample</t>
        </is>
      </c>
      <c r="E42" s="77" t="inlineStr">
        <is>
          <t>UK – additional</t>
        </is>
      </c>
      <c r="F42" s="77" t="n">
        <v>2027</v>
      </c>
      <c r="G42" s="77" t="n">
        <v>115</v>
      </c>
      <c r="H42" s="77" t="inlineStr">
        <is>
          <t>Complete</t>
        </is>
      </c>
      <c r="I42" s="77">
        <f>COUNTIFS('EL scheme register'!$A$7:$A$610,$A42,'EL scheme register'!$C$7:$C$610,"University-wide",'EL scheme register'!$AJ$7:$AJ$610,"Yes")</f>
        <v/>
      </c>
      <c r="J42" s="77">
        <f>COUNTIFS('EL scheme register'!$A$7:$A$610,$A42,'EL scheme register'!$C$7:$C$610,"Cross-faculty",'EL scheme register'!$AJ$7:$AJ$610,"Yes")</f>
        <v/>
      </c>
      <c r="K42" s="77">
        <f>COUNTIFS('EL scheme register'!$A$7:$A$610,$A42,'EL scheme register'!$C$7:$C$610,"Faculty/school",'EL scheme register'!$AJ$7:$AJ$610,"Yes")</f>
        <v/>
      </c>
      <c r="L42" s="77">
        <f>COUNTIFS('EL scheme register'!$A$7:$A$610,$A42,'EL scheme register'!$C$7:$C$610,"Programme/course",'EL scheme register'!$AJ$7:$AJ$610,"Yes")</f>
        <v/>
      </c>
      <c r="M42" s="77">
        <f>COUNTIFS('EL scheme register'!$A$7:$A$610,$A42,'EL scheme register'!$C$7:$C$610,"Unclear",'EL scheme register'!$AJ$7:$AJ$610,"Yes")</f>
        <v/>
      </c>
      <c r="N42" s="77">
        <f>SUM(I42:M42)</f>
        <v/>
      </c>
      <c r="O42" s="77">
        <f>COUNTIFS('EL scheme register'!$A$7:$A$610,$A42,'EL scheme register'!$AF$7:$AF$610,"Potentially relevant; evidence incomplete",'EL scheme register'!$AI$7:$AI$610,"Yes")</f>
        <v/>
      </c>
      <c r="P42" s="77">
        <f>COUNTIFS('EL scheme register'!$A$7:$A$610,$A42,'EL scheme register'!$AF$7:$AF$610,"Outside strict definition")</f>
        <v/>
      </c>
      <c r="Q42" s="77">
        <f>COUNTIF('EL exclusions &amp; gaps'!$B$7:$B$5000,$A42)</f>
        <v/>
      </c>
      <c r="R42" s="77" t="inlineStr">
        <is>
          <t>Not evidenced</t>
        </is>
      </c>
      <c r="S42" s="77" t="inlineStr">
        <is>
          <t>Not evidenced</t>
        </is>
      </c>
      <c r="T42" s="77" t="inlineStr"/>
      <c r="U42" s="77" t="inlineStr"/>
      <c r="V42" s="77" t="inlineStr">
        <is>
          <t>Isolated departmental provision</t>
        </is>
      </c>
      <c r="W42" s="77" t="inlineStr">
        <is>
          <t>St Andrews (reduced-depth review, six areas queried): no scheme was verified that meets all three criteria with a documented external client and current delivery. - VIP: credit-bearing mixed-discipline research teams (applications for 2026/27 confirmed). Fetching the projects page shows 19 projects, none naming an external partner, so C is Unclear. Faculty eligibility is not stated (legacy row says Arts and Science). - STEP: online 7-week team consulting projects in 2026, but the clients are University Schools and units (internal, C = No). - CS3099: year-3 team software project with Experian and Skyscanner involvement reported in 2025, role unspecified. - Management MSc: advertises consultancy projects with local organisations, but no corresponding compulsory module or group structure was found. - Playfair: student-run pro bono consultancy with teams of 5-6 and external clients, but evidence is secondary and undated and it is not a University scheme. Science, humanities/social science, Medicine, Divinity and Law yielded no external-client team routes. Provision is isolated and mostly internal or research-led.</t>
        </is>
      </c>
      <c r="X42" s="77" t="inlineStr">
        <is>
          <t>Further departmental instances may exist but were not found in reduced-depth search. Open items: VIP faculty eligibility and external partners per project; CS3099 partner role and whether compulsory; the Management MSc module behind 'consultancy projects'; Playfair current status and eligibility; ScotGEM Agents of Change group/partner role; Law and Divinity only lightly searched (one combined query); one query per area only.</t>
        </is>
      </c>
    </row>
    <row r="43">
      <c r="A43" s="77" t="inlineStr">
        <is>
          <t>UK03</t>
        </is>
      </c>
      <c r="B43" s="79" t="inlineStr">
        <is>
          <t>Lancaster</t>
        </is>
      </c>
      <c r="C43" s="77" t="inlineStr">
        <is>
          <t>UK</t>
        </is>
      </c>
      <c r="D43" s="77" t="inlineStr">
        <is>
          <t>Additional UK sample</t>
        </is>
      </c>
      <c r="E43" s="77" t="inlineStr">
        <is>
          <t>UK – additional</t>
        </is>
      </c>
      <c r="F43" s="77" t="n">
        <v>2027</v>
      </c>
      <c r="G43" s="77" t="n">
        <v>164</v>
      </c>
      <c r="H43" s="77" t="inlineStr">
        <is>
          <t>Complete</t>
        </is>
      </c>
      <c r="I43" s="77">
        <f>COUNTIFS('EL scheme register'!$A$7:$A$610,$A43,'EL scheme register'!$C$7:$C$610,"University-wide",'EL scheme register'!$AJ$7:$AJ$610,"Yes")</f>
        <v/>
      </c>
      <c r="J43" s="77">
        <f>COUNTIFS('EL scheme register'!$A$7:$A$610,$A43,'EL scheme register'!$C$7:$C$610,"Cross-faculty",'EL scheme register'!$AJ$7:$AJ$610,"Yes")</f>
        <v/>
      </c>
      <c r="K43" s="77">
        <f>COUNTIFS('EL scheme register'!$A$7:$A$610,$A43,'EL scheme register'!$C$7:$C$610,"Faculty/school",'EL scheme register'!$AJ$7:$AJ$610,"Yes")</f>
        <v/>
      </c>
      <c r="L43" s="77">
        <f>COUNTIFS('EL scheme register'!$A$7:$A$610,$A43,'EL scheme register'!$C$7:$C$610,"Programme/course",'EL scheme register'!$AJ$7:$AJ$610,"Yes")</f>
        <v/>
      </c>
      <c r="M43" s="77">
        <f>COUNTIFS('EL scheme register'!$A$7:$A$610,$A43,'EL scheme register'!$C$7:$C$610,"Unclear",'EL scheme register'!$AJ$7:$AJ$610,"Yes")</f>
        <v/>
      </c>
      <c r="N43" s="77">
        <f>SUM(I43:M43)</f>
        <v/>
      </c>
      <c r="O43" s="77">
        <f>COUNTIFS('EL scheme register'!$A$7:$A$610,$A43,'EL scheme register'!$AF$7:$AF$610,"Potentially relevant; evidence incomplete",'EL scheme register'!$AI$7:$AI$610,"Yes")</f>
        <v/>
      </c>
      <c r="P43" s="77">
        <f>COUNTIFS('EL scheme register'!$A$7:$A$610,$A43,'EL scheme register'!$AF$7:$AF$610,"Outside strict definition")</f>
        <v/>
      </c>
      <c r="Q43" s="77">
        <f>COUNTIF('EL exclusions &amp; gaps'!$B$7:$B$5000,$A43)</f>
        <v/>
      </c>
      <c r="R43" s="77" t="inlineStr">
        <is>
          <t>Not evidenced</t>
        </is>
      </c>
      <c r="S43" s="77" t="inlineStr">
        <is>
          <t>Not evidenced</t>
        </is>
      </c>
      <c r="T43" s="77" t="inlineStr">
        <is>
          <t>Company-based group project (MSc Advanced Management, Consulting and Change) [Programme/course]; Action project / consultancy project (MSc Project Management) [Programme/course]; Company Commissioned Dissertation (MSc Digital and Social Media Marketing) [Programme/course]</t>
        </is>
      </c>
      <c r="U43" s="77" t="inlineStr">
        <is>
          <t>Business/management: 3</t>
        </is>
      </c>
      <c r="V43" s="77" t="inlineStr">
        <is>
          <t>Several distributed routes</t>
        </is>
      </c>
      <c r="W43" s="77" t="inlineStr">
        <is>
          <t>Lancaster's relevant provision is concentrated in programme-embedded, faculty-level routes rather than a single institution-wide scheme. The Lancaster Award is a co-curricular recognition scheme and was excluded as such. Business (strongest): LUMS runs a Company Projects framework in which external companies (Companies House-registered, trading 1+ year, 5-10 hours commitment) supply live briefs to small student teams. Programme routes include the final-year Research Consultancy Project in Marketing degrees, the MBA Consultancy and Corporate Challenges, a Management MSc company project (teams of four), an Advanced Management, Consulting and Change MSc group project, the MSc Project Management action project (groups of two to three), and the Digital and Social Media Marketing MSc company-commissioned dissertation. The LUMS Careers Projects Team reports 668 students and 160+ employer partners since 2023. A two-day April 2026 hackathon had Heathrow as client. Engineering and science: MEng ENGR 445 group projects (teams of 4-6, real company problems) and Physics Industrial Group Projects (groups of 3-6, company briefs, 25% of year-3 marks) qualify. Arts and design: Design Consultancy (r</t>
        </is>
      </c>
      <c r="X43" s="77" t="inlineStr">
        <is>
          <t>Further departmental instances likely (other LUMS UG modules, Chemistry, LEC, Statistics/STOR-i, Medical School and Health not searched). Most evidence is search-summary paraphrase of undated pages; UG routes lack dated 2025/26 delivery evidence. Criminology live-project claim from search summary not verified. Policy Law Clinic with Environmental Law Foundation and Executive MBA consultancy challenge need checking. Search budget approx 38 searches.</t>
        </is>
      </c>
    </row>
    <row r="44">
      <c r="A44" s="77" t="inlineStr">
        <is>
          <t>UK04</t>
        </is>
      </c>
      <c r="B44" s="79" t="inlineStr">
        <is>
          <t>Loughborough</t>
        </is>
      </c>
      <c r="C44" s="77" t="inlineStr">
        <is>
          <t>UK</t>
        </is>
      </c>
      <c r="D44" s="77" t="inlineStr">
        <is>
          <t>Additional UK sample</t>
        </is>
      </c>
      <c r="E44" s="77" t="inlineStr">
        <is>
          <t>UK – additional</t>
        </is>
      </c>
      <c r="F44" s="77" t="n">
        <v>2027</v>
      </c>
      <c r="G44" s="77" t="n">
        <v>203</v>
      </c>
      <c r="H44" s="77" t="inlineStr">
        <is>
          <t>Complete</t>
        </is>
      </c>
      <c r="I44" s="77">
        <f>COUNTIFS('EL scheme register'!$A$7:$A$610,$A44,'EL scheme register'!$C$7:$C$610,"University-wide",'EL scheme register'!$AJ$7:$AJ$610,"Yes")</f>
        <v/>
      </c>
      <c r="J44" s="77">
        <f>COUNTIFS('EL scheme register'!$A$7:$A$610,$A44,'EL scheme register'!$C$7:$C$610,"Cross-faculty",'EL scheme register'!$AJ$7:$AJ$610,"Yes")</f>
        <v/>
      </c>
      <c r="K44" s="77">
        <f>COUNTIFS('EL scheme register'!$A$7:$A$610,$A44,'EL scheme register'!$C$7:$C$610,"Faculty/school",'EL scheme register'!$AJ$7:$AJ$610,"Yes")</f>
        <v/>
      </c>
      <c r="L44" s="77">
        <f>COUNTIFS('EL scheme register'!$A$7:$A$610,$A44,'EL scheme register'!$C$7:$C$610,"Programme/course",'EL scheme register'!$AJ$7:$AJ$610,"Yes")</f>
        <v/>
      </c>
      <c r="M44" s="77">
        <f>COUNTIFS('EL scheme register'!$A$7:$A$610,$A44,'EL scheme register'!$C$7:$C$610,"Unclear",'EL scheme register'!$AJ$7:$AJ$610,"Yes")</f>
        <v/>
      </c>
      <c r="N44" s="77">
        <f>SUM(I44:M44)</f>
        <v/>
      </c>
      <c r="O44" s="77">
        <f>COUNTIFS('EL scheme register'!$A$7:$A$610,$A44,'EL scheme register'!$AF$7:$AF$610,"Potentially relevant; evidence incomplete",'EL scheme register'!$AI$7:$AI$610,"Yes")</f>
        <v/>
      </c>
      <c r="P44" s="77">
        <f>COUNTIFS('EL scheme register'!$A$7:$A$610,$A44,'EL scheme register'!$AF$7:$AF$610,"Outside strict definition")</f>
        <v/>
      </c>
      <c r="Q44" s="77">
        <f>COUNTIF('EL exclusions &amp; gaps'!$B$7:$B$5000,$A44)</f>
        <v/>
      </c>
      <c r="R44" s="77" t="inlineStr">
        <is>
          <t>Yes</t>
        </is>
      </c>
      <c r="S44" s="77" t="inlineStr">
        <is>
          <t>Not evidenced</t>
        </is>
      </c>
      <c r="T44" s="77" t="inlineStr">
        <is>
          <t>Collaborative Project (Loughborough University London) [Programme/course]; Talent Match Consultancy Programme [University-wide]</t>
        </is>
      </c>
      <c r="U44" s="77" t="inlineStr">
        <is>
          <t>Central provision: 2; Business/management: 1; Engineering/computing: 1; Arts/humanities/social sciences: 1</t>
        </is>
      </c>
      <c r="V44" s="77" t="inlineStr">
        <is>
          <t>Several distributed routes</t>
        </is>
      </c>
      <c r="W44" s="77" t="inlineStr">
        <is>
          <t>Loughborough University (UK04) has several distributed employer-linked team routes but no single institution-wide scheme. The most widely accessible curricular route is the Collaborative Project at Loughborough University London (15 credits; 2026 show with nine partners including Sports Interactive, West Ham United Foundation and The Commonwealth Secretariat), where multidisciplinary teams solve partner-set challenges. In the Business School, MSc programmes include a 45-credit Industry Experience Project, a group project for a client company (named clients: GB Snowsport, Cross Country Trains, Vector Consumer, TISA) and the MBA has a team Consultancy Project; both lack dated 2025/26 delivery evidence. Physics runs year-3 and final-year group projects with industrial partners (NLA Blue, IBM, BEIS examples), the Wolfson School offers company-set group projects in years 2 and 4, Design and Creative Arts runs company-brief projects and a compulsory UX Industry Project with team briefs presented to the company, and ABCE runs Cross-School Design Weeks with an industry panel. Centrally, the Talent Match Consultancy Programme (August 2026) puts selected students and recent graduates into pa</t>
        </is>
      </c>
      <c r="X44" s="77" t="inlineStr">
        <is>
          <t>No university-wide curricular scheme found; most evidence is undated programme pages. Not verified: dated 2025/26 delivery for S2, S3, S5-S8, S10; Physics compulsory status and team sizes; Wolfson link to Integrated Industrial Group Projects module; Computer Science group-project clients; Managing Innovation (MBA) team format; undergraduate Business School live-client modules; further departmental instances likely (e.g. Sport Business/Marketing London programmes, Civil Engineering group design projects, Design final-year projects, Mechanical/Aeronautical group projects). Search results were summaries, mostly not verbatim quotes.</t>
        </is>
      </c>
    </row>
    <row r="45">
      <c r="A45" s="77" t="inlineStr">
        <is>
          <t>UK05</t>
        </is>
      </c>
      <c r="B45" s="79" t="inlineStr">
        <is>
          <t>Aberdeen</t>
        </is>
      </c>
      <c r="C45" s="77" t="inlineStr">
        <is>
          <t>UK</t>
        </is>
      </c>
      <c r="D45" s="77" t="inlineStr">
        <is>
          <t>Additional UK sample</t>
        </is>
      </c>
      <c r="E45" s="77" t="inlineStr">
        <is>
          <t>UK – additional</t>
        </is>
      </c>
      <c r="F45" s="77" t="n">
        <v>2027</v>
      </c>
      <c r="G45" s="77" t="n">
        <v>288</v>
      </c>
      <c r="H45" s="77" t="inlineStr">
        <is>
          <t>Complete</t>
        </is>
      </c>
      <c r="I45" s="77">
        <f>COUNTIFS('EL scheme register'!$A$7:$A$610,$A45,'EL scheme register'!$C$7:$C$610,"University-wide",'EL scheme register'!$AJ$7:$AJ$610,"Yes")</f>
        <v/>
      </c>
      <c r="J45" s="77">
        <f>COUNTIFS('EL scheme register'!$A$7:$A$610,$A45,'EL scheme register'!$C$7:$C$610,"Cross-faculty",'EL scheme register'!$AJ$7:$AJ$610,"Yes")</f>
        <v/>
      </c>
      <c r="K45" s="77">
        <f>COUNTIFS('EL scheme register'!$A$7:$A$610,$A45,'EL scheme register'!$C$7:$C$610,"Faculty/school",'EL scheme register'!$AJ$7:$AJ$610,"Yes")</f>
        <v/>
      </c>
      <c r="L45" s="77">
        <f>COUNTIFS('EL scheme register'!$A$7:$A$610,$A45,'EL scheme register'!$C$7:$C$610,"Programme/course",'EL scheme register'!$AJ$7:$AJ$610,"Yes")</f>
        <v/>
      </c>
      <c r="M45" s="77">
        <f>COUNTIFS('EL scheme register'!$A$7:$A$610,$A45,'EL scheme register'!$C$7:$C$610,"Unclear",'EL scheme register'!$AJ$7:$AJ$610,"Yes")</f>
        <v/>
      </c>
      <c r="N45" s="77">
        <f>SUM(I45:M45)</f>
        <v/>
      </c>
      <c r="O45" s="77">
        <f>COUNTIFS('EL scheme register'!$A$7:$A$610,$A45,'EL scheme register'!$AF$7:$AF$610,"Potentially relevant; evidence incomplete",'EL scheme register'!$AI$7:$AI$610,"Yes")</f>
        <v/>
      </c>
      <c r="P45" s="77">
        <f>COUNTIFS('EL scheme register'!$A$7:$A$610,$A45,'EL scheme register'!$AF$7:$AF$610,"Outside strict definition")</f>
        <v/>
      </c>
      <c r="Q45" s="77">
        <f>COUNTIF('EL exclusions &amp; gaps'!$B$7:$B$5000,$A45)</f>
        <v/>
      </c>
      <c r="R45" s="77" t="inlineStr">
        <is>
          <t>Not evidenced</t>
        </is>
      </c>
      <c r="S45" s="77" t="inlineStr">
        <is>
          <t>Not evidenced</t>
        </is>
      </c>
      <c r="T45" s="77" t="inlineStr">
        <is>
          <t>Engineering Work Experience (ED251A) [Faculty/school]</t>
        </is>
      </c>
      <c r="U45" s="77" t="inlineStr">
        <is>
          <t>Engineering/computing: 1</t>
        </is>
      </c>
      <c r="V45" s="77" t="inlineStr">
        <is>
          <t>Several distributed routes</t>
        </is>
      </c>
      <c r="W45" s="77" t="inlineStr">
        <is>
          <t>Aberdeen has a small set of curricular routes where students work in teams on projects for outside organisations; none is verified as current for 2025/26 or later except ED251A and ED3537 (catalogue entries). - PD2503 Work-Based Learning: Team Projects with Employer Partners (Level 2, 15 credits, any undergraduate discipline). Students apply and are interviewed, then work in a team on a live project: the draft plan is signed off by the sponsor, with a group report (40%) and a pitch. The page fetched is headed 2024-2025; 23 students enrolled at the January 2025 launch. Delivery after that is not confirmed. - ED251A Engineering Work Experience (2025/26 catalogue, 15 credits): group consultancy project for a local engineering organisation, assessed by group report and group presentation; open to Level 2 students with Engineering studied. - ED3537 Employer-led Interdisciplinary Project (2025/26 catalogue, 30 credits, Level 3/4, any undergraduate programme): small-group consultancy-style project; the host-organisation role is not shown on the 2025/26 page, so employer connection is Unclear. - ED3536 Working Together (Arts &amp; Social Sciences, group project from a local business or charity</t>
        </is>
      </c>
      <c r="X45" s="77" t="inlineStr">
        <is>
          <t>Current (2025/26-2026/27) delivery of PD2503 and ED3536 not confirmed; sponsor sectors/named partners not published on the pages read; ED251A compulsory status unknown; ED3537 host role on current page not shown; Grad Challenge page 404; ABDN Internships seven-week employer-project strand unverified; Business School, science, law and health yielded no verified current group-client routes (reduced-depth, ~8 searches/fetches in this resume). Further departmental instances likely.</t>
        </is>
      </c>
    </row>
    <row r="46">
      <c r="A46" s="77" t="inlineStr">
        <is>
          <t>UK06</t>
        </is>
      </c>
      <c r="B46" s="79" t="inlineStr">
        <is>
          <t>Reading</t>
        </is>
      </c>
      <c r="C46" s="77" t="inlineStr">
        <is>
          <t>UK</t>
        </is>
      </c>
      <c r="D46" s="77" t="inlineStr">
        <is>
          <t>Additional UK sample</t>
        </is>
      </c>
      <c r="E46" s="77" t="inlineStr">
        <is>
          <t>UK – additional</t>
        </is>
      </c>
      <c r="F46" s="77" t="n">
        <v>2027</v>
      </c>
      <c r="G46" s="77" t="n">
        <v>196</v>
      </c>
      <c r="H46" s="77" t="inlineStr">
        <is>
          <t>Complete</t>
        </is>
      </c>
      <c r="I46" s="77">
        <f>COUNTIFS('EL scheme register'!$A$7:$A$610,$A46,'EL scheme register'!$C$7:$C$610,"University-wide",'EL scheme register'!$AJ$7:$AJ$610,"Yes")</f>
        <v/>
      </c>
      <c r="J46" s="77">
        <f>COUNTIFS('EL scheme register'!$A$7:$A$610,$A46,'EL scheme register'!$C$7:$C$610,"Cross-faculty",'EL scheme register'!$AJ$7:$AJ$610,"Yes")</f>
        <v/>
      </c>
      <c r="K46" s="77">
        <f>COUNTIFS('EL scheme register'!$A$7:$A$610,$A46,'EL scheme register'!$C$7:$C$610,"Faculty/school",'EL scheme register'!$AJ$7:$AJ$610,"Yes")</f>
        <v/>
      </c>
      <c r="L46" s="77">
        <f>COUNTIFS('EL scheme register'!$A$7:$A$610,$A46,'EL scheme register'!$C$7:$C$610,"Programme/course",'EL scheme register'!$AJ$7:$AJ$610,"Yes")</f>
        <v/>
      </c>
      <c r="M46" s="77">
        <f>COUNTIFS('EL scheme register'!$A$7:$A$610,$A46,'EL scheme register'!$C$7:$C$610,"Unclear",'EL scheme register'!$AJ$7:$AJ$610,"Yes")</f>
        <v/>
      </c>
      <c r="N46" s="77">
        <f>SUM(I46:M46)</f>
        <v/>
      </c>
      <c r="O46" s="77">
        <f>COUNTIFS('EL scheme register'!$A$7:$A$610,$A46,'EL scheme register'!$AF$7:$AF$610,"Potentially relevant; evidence incomplete",'EL scheme register'!$AI$7:$AI$610,"Yes")</f>
        <v/>
      </c>
      <c r="P46" s="77">
        <f>COUNTIFS('EL scheme register'!$A$7:$A$610,$A46,'EL scheme register'!$AF$7:$AF$610,"Outside strict definition")</f>
        <v/>
      </c>
      <c r="Q46" s="77">
        <f>COUNTIF('EL exclusions &amp; gaps'!$B$7:$B$5000,$A46)</f>
        <v/>
      </c>
      <c r="R46" s="77" t="inlineStr">
        <is>
          <t>Not evidenced</t>
        </is>
      </c>
      <c r="S46" s="77" t="inlineStr">
        <is>
          <t>Not evidenced</t>
        </is>
      </c>
      <c r="T46" s="77" t="inlineStr">
        <is>
          <t>Entrepreneurship and Innovation Consultancy Project (MMM161) [Programme/course]; Capstone Project (ECM200) (ECM200) [Programme/course]; Real Estate Opportunities (Industry Challenge) (REMF56) [Programme/course]</t>
        </is>
      </c>
      <c r="U46" s="77" t="inlineStr">
        <is>
          <t>Business/management: 3; Arts/humanities/social sciences: 1</t>
        </is>
      </c>
      <c r="V46" s="77" t="inlineStr">
        <is>
          <t>Several distributed routes</t>
        </is>
      </c>
      <c r="W46" s="77" t="inlineStr">
        <is>
          <t>Reading's documented employer-linked group provision is concentrated in postgraduate taught programmes in Henley Business School and the Economics group, with a few undergraduate leads. Qualifying routes (current 2025/26 evidence): (1) MMM161 Entrepreneurship and Innovation Consultancy Project (40 credits, MSc Entrepreneurship and Innovation), where teams work with a real host entrepreneur over June-July and each student writes a proposal for the host; (2) ECM200 Capstone Project (20 credits), where small supervised teams produce a report/presentation for an external organisation (businesses, government agencies, NGOs, start-ups) across MSc Economics-family and Public Policy programmes; (3) REMF56 Real Estate Opportunities, whose Industry Challenge (40% of the module) has teams respond to an industry partner's brief and present to that partner. Partial evidence: Henley's MMM190 (MSc Management) and MMM194 (MSc International Business) consulting projects and the Executive MBA team projects name organisations but do not show team structure or delivery year. Typography's Real Jobs live briefs are real-client but described as one-on-one. Food Technology's New Product Development is tea</t>
        </is>
      </c>
      <c r="X46" s="77" t="inlineStr">
        <is>
          <t>Searched with ~39 queries via search-index only. Unverified: group structure and delivery year for MMM190, MMM194, Executive MBA projects; whether MMM161 is compulsory in programmes beyond MSc Entrepreneurship and Innovation; partner identity for Food NPD and Going Public; individual vs team split for Typography Real Jobs; engineering/computing (further Built Environment client modules e.g. CE2CPR, Real Estate undergraduate projects), Pharmacy/Chemistry/Biological Sciences/Meteorology, Education, Film/Theatre/Art, MSc Environmental Management expert-panel contaminated-site project (clients from industry on panel) and other Henley PG programmes were not searched in depth; further departmental instances likely.</t>
        </is>
      </c>
    </row>
    <row r="47">
      <c r="A47" s="77" t="inlineStr">
        <is>
          <t>UK07</t>
        </is>
      </c>
      <c r="B47" s="79" t="inlineStr">
        <is>
          <t>Surrey</t>
        </is>
      </c>
      <c r="C47" s="77" t="inlineStr">
        <is>
          <t>UK</t>
        </is>
      </c>
      <c r="D47" s="77" t="inlineStr">
        <is>
          <t>Additional UK sample</t>
        </is>
      </c>
      <c r="E47" s="77" t="inlineStr">
        <is>
          <t>UK – additional</t>
        </is>
      </c>
      <c r="F47" s="77" t="n">
        <v>2027</v>
      </c>
      <c r="G47" s="77" t="n">
        <v>246</v>
      </c>
      <c r="H47" s="77" t="inlineStr">
        <is>
          <t>Complete</t>
        </is>
      </c>
      <c r="I47" s="77">
        <f>COUNTIFS('EL scheme register'!$A$7:$A$610,$A47,'EL scheme register'!$C$7:$C$610,"University-wide",'EL scheme register'!$AJ$7:$AJ$610,"Yes")</f>
        <v/>
      </c>
      <c r="J47" s="77">
        <f>COUNTIFS('EL scheme register'!$A$7:$A$610,$A47,'EL scheme register'!$C$7:$C$610,"Cross-faculty",'EL scheme register'!$AJ$7:$AJ$610,"Yes")</f>
        <v/>
      </c>
      <c r="K47" s="77">
        <f>COUNTIFS('EL scheme register'!$A$7:$A$610,$A47,'EL scheme register'!$C$7:$C$610,"Faculty/school",'EL scheme register'!$AJ$7:$AJ$610,"Yes")</f>
        <v/>
      </c>
      <c r="L47" s="77">
        <f>COUNTIFS('EL scheme register'!$A$7:$A$610,$A47,'EL scheme register'!$C$7:$C$610,"Programme/course",'EL scheme register'!$AJ$7:$AJ$610,"Yes")</f>
        <v/>
      </c>
      <c r="M47" s="77">
        <f>COUNTIFS('EL scheme register'!$A$7:$A$610,$A47,'EL scheme register'!$C$7:$C$610,"Unclear",'EL scheme register'!$AJ$7:$AJ$610,"Yes")</f>
        <v/>
      </c>
      <c r="N47" s="77">
        <f>SUM(I47:M47)</f>
        <v/>
      </c>
      <c r="O47" s="77">
        <f>COUNTIFS('EL scheme register'!$A$7:$A$610,$A47,'EL scheme register'!$AF$7:$AF$610,"Potentially relevant; evidence incomplete",'EL scheme register'!$AI$7:$AI$610,"Yes")</f>
        <v/>
      </c>
      <c r="P47" s="77">
        <f>COUNTIFS('EL scheme register'!$A$7:$A$610,$A47,'EL scheme register'!$AF$7:$AF$610,"Outside strict definition")</f>
        <v/>
      </c>
      <c r="Q47" s="77">
        <f>COUNTIF('EL exclusions &amp; gaps'!$B$7:$B$5000,$A47)</f>
        <v/>
      </c>
      <c r="R47" s="77" t="inlineStr">
        <is>
          <t>Not evidenced</t>
        </is>
      </c>
      <c r="S47" s="77" t="inlineStr">
        <is>
          <t>Not evidenced</t>
        </is>
      </c>
      <c r="T47" s="77" t="inlineStr">
        <is>
          <t>Consulting Project (MANM448) (MANM448) [Programme/course]; Dynamics of Business Consultancy (MSc Entrepreneurship &amp; Innovation Management) [Programme/course]; Digital Business Challenge / Digital Project Development (MANM468) (MANM468) [Programme/course]; Hospitality, Tourism and Events Consultancy / Consultancy for the Visitor Economy (MAN3164 / MAN3251) (MAN3164 (2025/6); MAN3251 (listed 2025/6 and 2026/7)) [Programme/course]; Applied Business Project (MAN3213) - Semester 1 group partner project (MAN3213) [Programme/course]; Multi-Disciplinary Design Project (ENGM001) (ENGM001) [Faculty/school]</t>
        </is>
      </c>
      <c r="U47" s="77" t="inlineStr">
        <is>
          <t>Business/management: 5; Engineering/computing: 1</t>
        </is>
      </c>
      <c r="V47" s="77" t="inlineStr">
        <is>
          <t>Several distributed routes</t>
        </is>
      </c>
      <c r="W47" s="77" t="inlineStr">
        <is>
          <t>Surrey's qualifying provision is concentrated in Surrey Business School, with one engineering route and several extracurricular Student Enterprise programmes. In the business school, small student teams act as consultants for external client organisations in compulsory MSc modules: Consulting Project (MANM448, MSc Management; group report and presentation, client feedback), Dynamics of Business Consultancy (MSc Entrepreneurship &amp; Innovation Management), Digital Project Development (MANM468; partner companies meet teams at least two hours a week) and, on the 2024/5 evidence, Employee Resourcing (MANM466, client-mentored). Final-year hospitality and tourism students can take a team consultancy for an industry client (MAN3164/MAN3251, e.g. London Gatwick), and the 2026/7 Applied Business Project (MAN3213) puts groups with an external start-up partner. In engineering, the MEng Multi-Disciplinary Design Project (ENGM001) puts mixed-discipline groups on briefs from industry Visiting Professors, who meet them weekly and contribute to assessment. Extracurricular IKEEP and iTEK place teams of students on SME or charity challenges, but delivery after 2022 was not verified. Access is programm</t>
        </is>
      </c>
      <c r="X47" s="77" t="inlineStr">
        <is>
          <t>Further departmental instances likely (other FEPS group design projects, MSc programmes in business school). Client names, group sizes and participation numbers mostly unpublished. Science and arts/health coverage thin (about 3 searches each). MANM466, IKEEP and iTEK lack 2025/26 evidence. Dynamics of Business Consultancy and MANM468 may overlap.</t>
        </is>
      </c>
    </row>
    <row r="48">
      <c r="A48" s="77" t="inlineStr">
        <is>
          <t>UK08</t>
        </is>
      </c>
      <c r="B48" s="79" t="inlineStr">
        <is>
          <t>Sussex</t>
        </is>
      </c>
      <c r="C48" s="77" t="inlineStr">
        <is>
          <t>UK</t>
        </is>
      </c>
      <c r="D48" s="77" t="inlineStr">
        <is>
          <t>Additional UK sample</t>
        </is>
      </c>
      <c r="E48" s="77" t="inlineStr">
        <is>
          <t>UK – additional</t>
        </is>
      </c>
      <c r="F48" s="77" t="n">
        <v>2027</v>
      </c>
      <c r="G48" s="77" t="n">
        <v>273</v>
      </c>
      <c r="H48" s="77" t="inlineStr">
        <is>
          <t>Complete</t>
        </is>
      </c>
      <c r="I48" s="77">
        <f>COUNTIFS('EL scheme register'!$A$7:$A$610,$A48,'EL scheme register'!$C$7:$C$610,"University-wide",'EL scheme register'!$AJ$7:$AJ$610,"Yes")</f>
        <v/>
      </c>
      <c r="J48" s="77">
        <f>COUNTIFS('EL scheme register'!$A$7:$A$610,$A48,'EL scheme register'!$C$7:$C$610,"Cross-faculty",'EL scheme register'!$AJ$7:$AJ$610,"Yes")</f>
        <v/>
      </c>
      <c r="K48" s="77">
        <f>COUNTIFS('EL scheme register'!$A$7:$A$610,$A48,'EL scheme register'!$C$7:$C$610,"Faculty/school",'EL scheme register'!$AJ$7:$AJ$610,"Yes")</f>
        <v/>
      </c>
      <c r="L48" s="77">
        <f>COUNTIFS('EL scheme register'!$A$7:$A$610,$A48,'EL scheme register'!$C$7:$C$610,"Programme/course",'EL scheme register'!$AJ$7:$AJ$610,"Yes")</f>
        <v/>
      </c>
      <c r="M48" s="77">
        <f>COUNTIFS('EL scheme register'!$A$7:$A$610,$A48,'EL scheme register'!$C$7:$C$610,"Unclear",'EL scheme register'!$AJ$7:$AJ$610,"Yes")</f>
        <v/>
      </c>
      <c r="N48" s="77">
        <f>SUM(I48:M48)</f>
        <v/>
      </c>
      <c r="O48" s="77">
        <f>COUNTIFS('EL scheme register'!$A$7:$A$610,$A48,'EL scheme register'!$AF$7:$AF$610,"Potentially relevant; evidence incomplete",'EL scheme register'!$AI$7:$AI$610,"Yes")</f>
        <v/>
      </c>
      <c r="P48" s="77">
        <f>COUNTIFS('EL scheme register'!$A$7:$A$610,$A48,'EL scheme register'!$AF$7:$AF$610,"Outside strict definition")</f>
        <v/>
      </c>
      <c r="Q48" s="77">
        <f>COUNTIF('EL exclusions &amp; gaps'!$B$7:$B$5000,$A48)</f>
        <v/>
      </c>
      <c r="R48" s="77" t="inlineStr">
        <is>
          <t>Yes</t>
        </is>
      </c>
      <c r="S48" s="77" t="inlineStr">
        <is>
          <t>Not evidenced</t>
        </is>
      </c>
      <c r="T48" s="77" t="inlineStr">
        <is>
          <t>Career Lab Student Consultancy Programme [University-wide]</t>
        </is>
      </c>
      <c r="U48" s="77" t="inlineStr">
        <is>
          <t>Central provision: 1</t>
        </is>
      </c>
      <c r="V48" s="77" t="inlineStr">
        <is>
          <t>Several distributed routes</t>
        </is>
      </c>
      <c r="W48" s="77" t="inlineStr">
        <is>
          <t>Reduced-depth review; all six areas queried. - Central: The Career Lab Student Consultancy Programme qualifies. Final-year undergraduates and taught postgraduates apply; selected students form small multidisciplinary teams that spend 3-4 weeks (c.20 hours) working on a brief set by an external organisation (charities/NGOs, startups, large corporates such as Hastings Direct) and present recommendations to the client. It is extracurricular, bursary-paid and runs three times in 2026/27. - Business School: The PG Consultancy Project (111N1) is a 30-credit summer group live consultancy for local organisations/businesses (e.g. Management MSc dissertation alternative), but the latest dated evidence is 2024/25. The UG Marketing Consultancy Project (Capstone) is a team brief-based capstone current in 2026 but with no evidenced real client (only tips from a consulting firm). - The legacy Connector Programme is an internal student-staff partnership scheme and does not meet criterion C. Engineering (MEng Group Project, no external client evidenced), sciences, arts/social sciences, Law Clinics and BSMS/IDS yielded no verified qualifying scheme at this depth; the Career Lab programme is promoted</t>
        </is>
      </c>
      <c r="X48" s="77" t="inlineStr">
        <is>
          <t>Reduced-depth: one query per area. PG Consultancy Project (S3) lacks 2025/26+ corroboration and client sector. Marketing capstone client unknown. Law Clinics, Community Media, Chemistry Industrial Project, Business Analytics/IBD projects, Changing the Face of Consultancy untested; further departmental instances likely.</t>
        </is>
      </c>
    </row>
    <row r="49">
      <c r="A49" s="77" t="inlineStr">
        <is>
          <t>UK09</t>
        </is>
      </c>
      <c r="B49" s="79" t="inlineStr">
        <is>
          <t>Leicester</t>
        </is>
      </c>
      <c r="C49" s="77" t="inlineStr">
        <is>
          <t>UK</t>
        </is>
      </c>
      <c r="D49" s="77" t="inlineStr">
        <is>
          <t>Additional UK sample</t>
        </is>
      </c>
      <c r="E49" s="77" t="inlineStr">
        <is>
          <t>UK – additional</t>
        </is>
      </c>
      <c r="F49" s="77" t="n">
        <v>2027</v>
      </c>
      <c r="G49" s="77" t="n">
        <v>314</v>
      </c>
      <c r="H49" s="77" t="inlineStr">
        <is>
          <t>Complete</t>
        </is>
      </c>
      <c r="I49" s="77">
        <f>COUNTIFS('EL scheme register'!$A$7:$A$610,$A49,'EL scheme register'!$C$7:$C$610,"University-wide",'EL scheme register'!$AJ$7:$AJ$610,"Yes")</f>
        <v/>
      </c>
      <c r="J49" s="77">
        <f>COUNTIFS('EL scheme register'!$A$7:$A$610,$A49,'EL scheme register'!$C$7:$C$610,"Cross-faculty",'EL scheme register'!$AJ$7:$AJ$610,"Yes")</f>
        <v/>
      </c>
      <c r="K49" s="77">
        <f>COUNTIFS('EL scheme register'!$A$7:$A$610,$A49,'EL scheme register'!$C$7:$C$610,"Faculty/school",'EL scheme register'!$AJ$7:$AJ$610,"Yes")</f>
        <v/>
      </c>
      <c r="L49" s="77">
        <f>COUNTIFS('EL scheme register'!$A$7:$A$610,$A49,'EL scheme register'!$C$7:$C$610,"Programme/course",'EL scheme register'!$AJ$7:$AJ$610,"Yes")</f>
        <v/>
      </c>
      <c r="M49" s="77">
        <f>COUNTIFS('EL scheme register'!$A$7:$A$610,$A49,'EL scheme register'!$C$7:$C$610,"Unclear",'EL scheme register'!$AJ$7:$AJ$610,"Yes")</f>
        <v/>
      </c>
      <c r="N49" s="77">
        <f>SUM(I49:M49)</f>
        <v/>
      </c>
      <c r="O49" s="77">
        <f>COUNTIFS('EL scheme register'!$A$7:$A$610,$A49,'EL scheme register'!$AF$7:$AF$610,"Potentially relevant; evidence incomplete",'EL scheme register'!$AI$7:$AI$610,"Yes")</f>
        <v/>
      </c>
      <c r="P49" s="77">
        <f>COUNTIFS('EL scheme register'!$A$7:$A$610,$A49,'EL scheme register'!$AF$7:$AF$610,"Outside strict definition")</f>
        <v/>
      </c>
      <c r="Q49" s="77">
        <f>COUNTIF('EL exclusions &amp; gaps'!$B$7:$B$5000,$A49)</f>
        <v/>
      </c>
      <c r="R49" s="77" t="inlineStr">
        <is>
          <t>Not evidenced</t>
        </is>
      </c>
      <c r="S49" s="77" t="inlineStr">
        <is>
          <t>Not evidenced</t>
        </is>
      </c>
      <c r="T49" s="77" t="inlineStr">
        <is>
          <t>Sustainability Enterprise Partnership Project (SEPP) (NT3100) [Cross-faculty]</t>
        </is>
      </c>
      <c r="U49" s="77" t="inlineStr">
        <is>
          <t>Science: 1; Engineering/computing: 1</t>
        </is>
      </c>
      <c r="V49" s="77" t="inlineStr">
        <is>
          <t>Several distributed routes</t>
        </is>
      </c>
      <c r="W49" s="77" t="inlineStr">
        <is>
          <t>Leicester's provision is distributed across departments rather than institution-wide. The only university-wide commitments found are frameworks: the 100-hour work-related learning guarantee (compulsory for campus-based undergraduates from 2026/27, delivered through modules and including simulations and virtual internships) and the Leicester Award. Neither evidences a group client project by itself. Qualifying specific routes: the Sustainability Enterprise Partnership Project (NT3100, 15 credits, final-year option on several science and computing degrees) puts student groups with local SMEs to audit sustainability, delivering a group report to the business (2025/26 listing). Also documented, but with current-delivery status unclear: second-year software engineering team projects typically commissioned by real clients; the Industrial Mathematics Project (MA3513, 30 credits), where groups solve problems supplied by industrial partners; the Space Science and Engineering MSc Major Project, where teams complete a Phase A mission study for an industry-supplied concept reviewed by industry experts; and a Physics MPhys ten-week group project with an industrial partner (partner role unspecif</t>
        </is>
      </c>
      <c r="X49" s="77" t="inlineStr">
        <is>
          <t>Further departmental instances likely (e.g. History, Archaeology, Education, Psychology, Pharmacy, Geography group projects were not individually searched). Current-delivery evidence missing for most routes (undated pages; entry-year course pages). Group structure unknown for Client Led Media Production, EMPAIP project and Consultancy Challenge. Client types/numbers unpublished. PA3241 Physics Industry Project and Citizens for Change not assessed in detail. Business school lacks a verified live-client group module; no search-visible participation data.</t>
        </is>
      </c>
    </row>
    <row r="50">
      <c r="A50" s="77" t="inlineStr">
        <is>
          <t>UK10</t>
        </is>
      </c>
      <c r="B50" s="79" t="inlineStr">
        <is>
          <t>Strathclyde</t>
        </is>
      </c>
      <c r="C50" s="77" t="inlineStr">
        <is>
          <t>UK</t>
        </is>
      </c>
      <c r="D50" s="77" t="inlineStr">
        <is>
          <t>Additional UK sample</t>
        </is>
      </c>
      <c r="E50" s="77" t="inlineStr">
        <is>
          <t>UK – additional</t>
        </is>
      </c>
      <c r="F50" s="77" t="n">
        <v>2027</v>
      </c>
      <c r="G50" s="77" t="n">
        <v>230</v>
      </c>
      <c r="H50" s="77" t="inlineStr">
        <is>
          <t>Complete</t>
        </is>
      </c>
      <c r="I50" s="77">
        <f>COUNTIFS('EL scheme register'!$A$7:$A$610,$A50,'EL scheme register'!$C$7:$C$610,"University-wide",'EL scheme register'!$AJ$7:$AJ$610,"Yes")</f>
        <v/>
      </c>
      <c r="J50" s="77">
        <f>COUNTIFS('EL scheme register'!$A$7:$A$610,$A50,'EL scheme register'!$C$7:$C$610,"Cross-faculty",'EL scheme register'!$AJ$7:$AJ$610,"Yes")</f>
        <v/>
      </c>
      <c r="K50" s="77">
        <f>COUNTIFS('EL scheme register'!$A$7:$A$610,$A50,'EL scheme register'!$C$7:$C$610,"Faculty/school",'EL scheme register'!$AJ$7:$AJ$610,"Yes")</f>
        <v/>
      </c>
      <c r="L50" s="77">
        <f>COUNTIFS('EL scheme register'!$A$7:$A$610,$A50,'EL scheme register'!$C$7:$C$610,"Programme/course",'EL scheme register'!$AJ$7:$AJ$610,"Yes")</f>
        <v/>
      </c>
      <c r="M50" s="77">
        <f>COUNTIFS('EL scheme register'!$A$7:$A$610,$A50,'EL scheme register'!$C$7:$C$610,"Unclear",'EL scheme register'!$AJ$7:$AJ$610,"Yes")</f>
        <v/>
      </c>
      <c r="N50" s="77">
        <f>SUM(I50:M50)</f>
        <v/>
      </c>
      <c r="O50" s="77">
        <f>COUNTIFS('EL scheme register'!$A$7:$A$610,$A50,'EL scheme register'!$AF$7:$AF$610,"Potentially relevant; evidence incomplete",'EL scheme register'!$AI$7:$AI$610,"Yes")</f>
        <v/>
      </c>
      <c r="P50" s="77">
        <f>COUNTIFS('EL scheme register'!$A$7:$A$610,$A50,'EL scheme register'!$AF$7:$AF$610,"Outside strict definition")</f>
        <v/>
      </c>
      <c r="Q50" s="77">
        <f>COUNTIF('EL exclusions &amp; gaps'!$B$7:$B$5000,$A50)</f>
        <v/>
      </c>
      <c r="R50" s="77" t="inlineStr">
        <is>
          <t>Not evidenced</t>
        </is>
      </c>
      <c r="S50" s="77" t="inlineStr">
        <is>
          <t>Not evidenced</t>
        </is>
      </c>
      <c r="T50" s="77" t="inlineStr">
        <is>
          <t>DMEM Industrial Group Projects (IGP) / Industrial Projects scheme [Programme/course]; Becoming an Effective Business Analyst (BEBA) experiential learning class, MSc Business Analysis &amp; Consulting (and pathway variants) [Programme/course]</t>
        </is>
      </c>
      <c r="U50" s="77" t="inlineStr">
        <is>
          <t>Engineering/computing: 1; Business/management: 1</t>
        </is>
      </c>
      <c r="V50" s="77" t="inlineStr">
        <is>
          <t>Several distributed routes</t>
        </is>
      </c>
      <c r="W50" s="77" t="inlineStr">
        <is>
          <t xml:space="preserve">Strathclyde has several distributed, programme-embedded client-project routes, concentrated in Engineering and the Business School, plus a university-wide VIP4SD framework whose partner role is unclear. The clearest route is the Design, Manufacturing &amp; Engineering Management (DMEM) Industrial Group Projects: companies set outline briefs, teams of senior undergraduate and postgraduate taught students work through four client-reviewed stages to a report or prototype, and the client attends the May/August presentation day (a 9 May 2025 presentation day is recorded). It is a compulsory element within DMEM programmes (40 credits on MSc Systems Engineering Management). The MSc Civil Engineering group design project (20 credits) adds industry mentors such as Arcadis and Skanska but lacks dated currency evidence. In Strathclyde Business School, the MSc Business Analysis &amp; Consulting class (Becoming an Effective Business Analyst) has allocated teams solving client problems; a March 2026 newsletter names Deloitte, StormID, Sphera and WB Alloys. Team consultancy modules also appear in BA Business Analysis &amp; Technology, Marketing Works (an option on MSc Marketing) and Consultancy in Practice, </t>
        </is>
      </c>
      <c r="X50" s="77" t="inlineStr">
        <is>
          <t>Most Business School and Civil Engineering pages are undated (some roughly a decade old), so current delivery is unconfirmed for S3, S5-S9. Credit values, compulsory status and assessment splits are missing for several routes. Further departmental instances likely (Honours client projects, Management Science 4, computing/mechanical group projects, Education, Product Design). VIP4SD partner roles and eligibility/credit not retrieved. Architecture scheme wording may blend with DMEM wording.</t>
        </is>
      </c>
    </row>
    <row r="51">
      <c r="A51" s="77" t="inlineStr">
        <is>
          <t>UK11</t>
        </is>
      </c>
      <c r="B51" s="79" t="inlineStr">
        <is>
          <t>Heriot-Watt</t>
        </is>
      </c>
      <c r="C51" s="77" t="inlineStr">
        <is>
          <t>UK</t>
        </is>
      </c>
      <c r="D51" s="77" t="inlineStr">
        <is>
          <t>Additional UK sample</t>
        </is>
      </c>
      <c r="E51" s="77" t="inlineStr">
        <is>
          <t>UK – additional</t>
        </is>
      </c>
      <c r="F51" s="77" t="n">
        <v>2027</v>
      </c>
      <c r="G51" s="77" t="n">
        <v>325</v>
      </c>
      <c r="H51" s="77" t="inlineStr">
        <is>
          <t>Complete</t>
        </is>
      </c>
      <c r="I51" s="77">
        <f>COUNTIFS('EL scheme register'!$A$7:$A$610,$A51,'EL scheme register'!$C$7:$C$610,"University-wide",'EL scheme register'!$AJ$7:$AJ$610,"Yes")</f>
        <v/>
      </c>
      <c r="J51" s="77">
        <f>COUNTIFS('EL scheme register'!$A$7:$A$610,$A51,'EL scheme register'!$C$7:$C$610,"Cross-faculty",'EL scheme register'!$AJ$7:$AJ$610,"Yes")</f>
        <v/>
      </c>
      <c r="K51" s="77">
        <f>COUNTIFS('EL scheme register'!$A$7:$A$610,$A51,'EL scheme register'!$C$7:$C$610,"Faculty/school",'EL scheme register'!$AJ$7:$AJ$610,"Yes")</f>
        <v/>
      </c>
      <c r="L51" s="77">
        <f>COUNTIFS('EL scheme register'!$A$7:$A$610,$A51,'EL scheme register'!$C$7:$C$610,"Programme/course",'EL scheme register'!$AJ$7:$AJ$610,"Yes")</f>
        <v/>
      </c>
      <c r="M51" s="77">
        <f>COUNTIFS('EL scheme register'!$A$7:$A$610,$A51,'EL scheme register'!$C$7:$C$610,"Unclear",'EL scheme register'!$AJ$7:$AJ$610,"Yes")</f>
        <v/>
      </c>
      <c r="N51" s="77">
        <f>SUM(I51:M51)</f>
        <v/>
      </c>
      <c r="O51" s="77">
        <f>COUNTIFS('EL scheme register'!$A$7:$A$610,$A51,'EL scheme register'!$AF$7:$AF$610,"Potentially relevant; evidence incomplete",'EL scheme register'!$AI$7:$AI$610,"Yes")</f>
        <v/>
      </c>
      <c r="P51" s="77">
        <f>COUNTIFS('EL scheme register'!$A$7:$A$610,$A51,'EL scheme register'!$AF$7:$AF$610,"Outside strict definition")</f>
        <v/>
      </c>
      <c r="Q51" s="77">
        <f>COUNTIF('EL exclusions &amp; gaps'!$B$7:$B$5000,$A51)</f>
        <v/>
      </c>
      <c r="R51" s="77" t="inlineStr">
        <is>
          <t>Not evidenced</t>
        </is>
      </c>
      <c r="S51" s="77" t="inlineStr">
        <is>
          <t>Not evidenced</t>
        </is>
      </c>
      <c r="T51" s="77" t="inlineStr"/>
      <c r="U51" s="77" t="inlineStr"/>
      <c r="V51" s="77" t="inlineStr">
        <is>
          <t>Unclear</t>
        </is>
      </c>
      <c r="W51" s="77" t="inlineStr">
        <is>
          <t>Heriot-Watt University (reduced-depth review, all six areas queried). No qualifying scheme was verified through the documented search; five programme-level leads remain evidence-incomplete. - Engineering: staff publication describes a Year 4 multidisciplinary final year project to an industrial client's specification (S1); B39VS System Project is a team project demonstrated to industry staff (2022/23 only) (S2). - Business: MSc International Business Management ends with a 'company consultancy project' (S3); the page does not say whether it is group-based or whether the company is external, and the course listing shows only a Dissertation. EBS lists a Consultancy Bootcamp with no detail. - Textiles and Design: Design for Textiles Year 3 offers a 'collaborative industry project' as an alternative to placement (S4); Fashion Branding and Promotion cites live projects with named brands (S5). Team format and standard coverage are unstated. - Central: Global Innovation Challenge is founder-led (excluded); micro-placements excluded. - Science, social sciences/languages: only individual dissertations and placements found. None has 2025/26 or 2026/27 dated delivery evidence.</t>
        </is>
      </c>
      <c r="X51" s="77" t="inlineStr">
        <is>
          <t>Group format, external-client coverage and current-year delivery unresolved for S1-S5. Architecture/built environment, GRID team challenges and Curriculum Explorer module detail not researched (reduced depth). Further departmental instances likely.</t>
        </is>
      </c>
    </row>
    <row r="52">
      <c r="A52" s="77" t="inlineStr">
        <is>
          <t>UK12</t>
        </is>
      </c>
      <c r="B52" s="79" t="inlineStr">
        <is>
          <t>East Anglia</t>
        </is>
      </c>
      <c r="C52" s="77" t="inlineStr">
        <is>
          <t>UK</t>
        </is>
      </c>
      <c r="D52" s="77" t="inlineStr">
        <is>
          <t>Additional UK sample</t>
        </is>
      </c>
      <c r="E52" s="77" t="inlineStr">
        <is>
          <t>UK – additional</t>
        </is>
      </c>
      <c r="F52" s="77" t="n">
        <v>2027</v>
      </c>
      <c r="G52" s="77" t="n">
        <v>381</v>
      </c>
      <c r="H52" s="77" t="inlineStr">
        <is>
          <t>Complete</t>
        </is>
      </c>
      <c r="I52" s="77">
        <f>COUNTIFS('EL scheme register'!$A$7:$A$610,$A52,'EL scheme register'!$C$7:$C$610,"University-wide",'EL scheme register'!$AJ$7:$AJ$610,"Yes")</f>
        <v/>
      </c>
      <c r="J52" s="77">
        <f>COUNTIFS('EL scheme register'!$A$7:$A$610,$A52,'EL scheme register'!$C$7:$C$610,"Cross-faculty",'EL scheme register'!$AJ$7:$AJ$610,"Yes")</f>
        <v/>
      </c>
      <c r="K52" s="77">
        <f>COUNTIFS('EL scheme register'!$A$7:$A$610,$A52,'EL scheme register'!$C$7:$C$610,"Faculty/school",'EL scheme register'!$AJ$7:$AJ$610,"Yes")</f>
        <v/>
      </c>
      <c r="L52" s="77">
        <f>COUNTIFS('EL scheme register'!$A$7:$A$610,$A52,'EL scheme register'!$C$7:$C$610,"Programme/course",'EL scheme register'!$AJ$7:$AJ$610,"Yes")</f>
        <v/>
      </c>
      <c r="M52" s="77">
        <f>COUNTIFS('EL scheme register'!$A$7:$A$610,$A52,'EL scheme register'!$C$7:$C$610,"Unclear",'EL scheme register'!$AJ$7:$AJ$610,"Yes")</f>
        <v/>
      </c>
      <c r="N52" s="77">
        <f>SUM(I52:M52)</f>
        <v/>
      </c>
      <c r="O52" s="77">
        <f>COUNTIFS('EL scheme register'!$A$7:$A$610,$A52,'EL scheme register'!$AF$7:$AF$610,"Potentially relevant; evidence incomplete",'EL scheme register'!$AI$7:$AI$610,"Yes")</f>
        <v/>
      </c>
      <c r="P52" s="77">
        <f>COUNTIFS('EL scheme register'!$A$7:$A$610,$A52,'EL scheme register'!$AF$7:$AF$610,"Outside strict definition")</f>
        <v/>
      </c>
      <c r="Q52" s="77">
        <f>COUNTIF('EL exclusions &amp; gaps'!$B$7:$B$5000,$A52)</f>
        <v/>
      </c>
      <c r="R52" s="77" t="inlineStr">
        <is>
          <t>Not evidenced</t>
        </is>
      </c>
      <c r="S52" s="77" t="inlineStr">
        <is>
          <t>Not evidenced</t>
        </is>
      </c>
      <c r="T52" s="77" t="inlineStr">
        <is>
          <t>Executive (Part-Time) MBA: group consultancy project with an external client [Programme/course]; MEng final-year Engineering Group Project (industry client brief) [Programme/course]</t>
        </is>
      </c>
      <c r="U52" s="77" t="inlineStr">
        <is>
          <t>Business/management: 1; Engineering/computing: 1</t>
        </is>
      </c>
      <c r="V52" s="77" t="inlineStr">
        <is>
          <t>Several distributed routes</t>
        </is>
      </c>
      <c r="W52" s="77" t="inlineStr">
        <is>
          <t>UEA's documented provision is distributed across schools rather than set by a central framework. CareerCentral invites employers to set 'live briefs' for group projects inside course modules, but names no modules or cohorts, so it is an umbrella only. The firmest routes are programme-embedded. The Executive MBA runs a group-based consultancy project of about three months in which an external client chooses the topic and receives a report and presentation (2026/27 page). The MEng engineering degrees (Mechanical, Energy, Electrical and Electronic) end with a team project that is typically based on a real industry-client brief, with a site visit and a presentation to professional engineers. These are compulsory within those programmes, not institution-wide. Weaker or incomplete routes: MComp Computing group projects (industry problem or internal research group); an Economics consulting project option with an external organisation (team format unknown); MA Media, Communication and Global Development live projects with named charities and media bodies (group working not shown); Business Management live marketing briefs for Adnams and the East Anglian Zoological Society (course-page word</t>
        </is>
      </c>
      <c r="X52" s="77" t="inlineStr">
        <is>
          <t>WebFetch returned HTTP 405 for all uea.ac.uk pages; page text was instead retrieved by direct HTTPS download (curl) on 2026-10-13 and quoted for S2, S3, S5, S7, S8, S12 and the 'other' pages. Remaining sources (S1, S4, S6, S9, S10, S11) are still search summaries. Module codes/credits, team format (Economics, MA Media, NBS MSc options), and client names missing for most routes. School of Education and Natural Sciences schools (biology, chemistry, maths) only generally queried. Further departmental instances likely.</t>
        </is>
      </c>
    </row>
    <row r="53">
      <c r="A53" s="77" t="inlineStr">
        <is>
          <t>UK13</t>
        </is>
      </c>
      <c r="B53" s="79" t="inlineStr">
        <is>
          <t>Dundee</t>
        </is>
      </c>
      <c r="C53" s="77" t="inlineStr">
        <is>
          <t>UK</t>
        </is>
      </c>
      <c r="D53" s="77" t="inlineStr">
        <is>
          <t>Additional UK sample</t>
        </is>
      </c>
      <c r="E53" s="77" t="inlineStr">
        <is>
          <t>UK – additional</t>
        </is>
      </c>
      <c r="F53" s="77" t="n">
        <v>2027</v>
      </c>
      <c r="G53" s="77" t="n">
        <v>447</v>
      </c>
      <c r="H53" s="77" t="inlineStr">
        <is>
          <t>Complete</t>
        </is>
      </c>
      <c r="I53" s="77">
        <f>COUNTIFS('EL scheme register'!$A$7:$A$610,$A53,'EL scheme register'!$C$7:$C$610,"University-wide",'EL scheme register'!$AJ$7:$AJ$610,"Yes")</f>
        <v/>
      </c>
      <c r="J53" s="77">
        <f>COUNTIFS('EL scheme register'!$A$7:$A$610,$A53,'EL scheme register'!$C$7:$C$610,"Cross-faculty",'EL scheme register'!$AJ$7:$AJ$610,"Yes")</f>
        <v/>
      </c>
      <c r="K53" s="77">
        <f>COUNTIFS('EL scheme register'!$A$7:$A$610,$A53,'EL scheme register'!$C$7:$C$610,"Faculty/school",'EL scheme register'!$AJ$7:$AJ$610,"Yes")</f>
        <v/>
      </c>
      <c r="L53" s="77">
        <f>COUNTIFS('EL scheme register'!$A$7:$A$610,$A53,'EL scheme register'!$C$7:$C$610,"Programme/course",'EL scheme register'!$AJ$7:$AJ$610,"Yes")</f>
        <v/>
      </c>
      <c r="M53" s="77">
        <f>COUNTIFS('EL scheme register'!$A$7:$A$610,$A53,'EL scheme register'!$C$7:$C$610,"Unclear",'EL scheme register'!$AJ$7:$AJ$610,"Yes")</f>
        <v/>
      </c>
      <c r="N53" s="77">
        <f>SUM(I53:M53)</f>
        <v/>
      </c>
      <c r="O53" s="77">
        <f>COUNTIFS('EL scheme register'!$A$7:$A$610,$A53,'EL scheme register'!$AF$7:$AF$610,"Potentially relevant; evidence incomplete",'EL scheme register'!$AI$7:$AI$610,"Yes")</f>
        <v/>
      </c>
      <c r="P53" s="77">
        <f>COUNTIFS('EL scheme register'!$A$7:$A$610,$A53,'EL scheme register'!$AF$7:$AF$610,"Outside strict definition")</f>
        <v/>
      </c>
      <c r="Q53" s="77">
        <f>COUNTIF('EL exclusions &amp; gaps'!$B$7:$B$5000,$A53)</f>
        <v/>
      </c>
      <c r="R53" s="77" t="inlineStr">
        <is>
          <t>Not evidenced</t>
        </is>
      </c>
      <c r="S53" s="77" t="inlineStr">
        <is>
          <t>Not evidenced</t>
        </is>
      </c>
      <c r="T53" s="77" t="inlineStr"/>
      <c r="U53" s="77" t="inlineStr"/>
      <c r="V53" s="77" t="inlineStr">
        <is>
          <t>Several distributed routes</t>
        </is>
      </c>
      <c r="W53" s="77" t="inlineStr">
        <is>
          <t>Dundee shows several distributed, programme-level client-project routes rather than an institution-wide scheme. In computing, CS32002 Industrial Team Project has student teams build software proposed by an industry client (module page: 'for an industrial client'; group portfolio, presentation, peer review). In mechanical engineering, ME32003 Engineering Design II includes a 10-week group task working directly with a local industry partner. DJCAD's Going Live (DJ52027) has students collaborate on a live brief from an industry partner, and Research Through Design (DJ53010) has a team address a brief set by an external problem holder (partner type unclear). In Dundee Business School, Marketing Research Project (BU40025) uses group consulting teams but clients may be University departments, so employer connection is unclear; other consultancy modules are individual reports. The Careers Employer Team offers MSc live projects for up to five students reporting individually. The Venture competition is enterprise-based and excluded. All module pages are undated and none was corroborated for 2025/26, so current delivery is unconfirmed (a Nov 2025 news feature does confirm business-school emp</t>
        </is>
      </c>
      <c r="X53" s="77" t="inlineStr">
        <is>
          <t>Module pages undated; no 2025/26 corroboration for any scheme. Compulsory status per programme not checked. Not tested: BE32001 biomedical engineering, Graphic Design/Illustration live briefs, DJ31015 collaborative briefs, Architecture studios, further departmental instances likely. Search used about 13 searches plus about 9 WebFetch page opens (all succeeded; no curl needed). Science/health/law minimal.</t>
        </is>
      </c>
    </row>
    <row r="54">
      <c r="A54" s="77" t="inlineStr">
        <is>
          <t>UK14</t>
        </is>
      </c>
      <c r="B54" s="79" t="inlineStr">
        <is>
          <t>Swansea</t>
        </is>
      </c>
      <c r="C54" s="77" t="inlineStr">
        <is>
          <t>UK</t>
        </is>
      </c>
      <c r="D54" s="77" t="inlineStr">
        <is>
          <t>Additional UK sample</t>
        </is>
      </c>
      <c r="E54" s="77" t="inlineStr">
        <is>
          <t>UK – additional</t>
        </is>
      </c>
      <c r="F54" s="77" t="n">
        <v>2027</v>
      </c>
      <c r="G54" s="77" t="n">
        <v>322</v>
      </c>
      <c r="H54" s="77" t="inlineStr">
        <is>
          <t>Complete</t>
        </is>
      </c>
      <c r="I54" s="77">
        <f>COUNTIFS('EL scheme register'!$A$7:$A$610,$A54,'EL scheme register'!$C$7:$C$610,"University-wide",'EL scheme register'!$AJ$7:$AJ$610,"Yes")</f>
        <v/>
      </c>
      <c r="J54" s="77">
        <f>COUNTIFS('EL scheme register'!$A$7:$A$610,$A54,'EL scheme register'!$C$7:$C$610,"Cross-faculty",'EL scheme register'!$AJ$7:$AJ$610,"Yes")</f>
        <v/>
      </c>
      <c r="K54" s="77">
        <f>COUNTIFS('EL scheme register'!$A$7:$A$610,$A54,'EL scheme register'!$C$7:$C$610,"Faculty/school",'EL scheme register'!$AJ$7:$AJ$610,"Yes")</f>
        <v/>
      </c>
      <c r="L54" s="77">
        <f>COUNTIFS('EL scheme register'!$A$7:$A$610,$A54,'EL scheme register'!$C$7:$C$610,"Programme/course",'EL scheme register'!$AJ$7:$AJ$610,"Yes")</f>
        <v/>
      </c>
      <c r="M54" s="77">
        <f>COUNTIFS('EL scheme register'!$A$7:$A$610,$A54,'EL scheme register'!$C$7:$C$610,"Unclear",'EL scheme register'!$AJ$7:$AJ$610,"Yes")</f>
        <v/>
      </c>
      <c r="N54" s="77">
        <f>SUM(I54:M54)</f>
        <v/>
      </c>
      <c r="O54" s="77">
        <f>COUNTIFS('EL scheme register'!$A$7:$A$610,$A54,'EL scheme register'!$AF$7:$AF$610,"Potentially relevant; evidence incomplete",'EL scheme register'!$AI$7:$AI$610,"Yes")</f>
        <v/>
      </c>
      <c r="P54" s="77">
        <f>COUNTIFS('EL scheme register'!$A$7:$A$610,$A54,'EL scheme register'!$AF$7:$AF$610,"Outside strict definition")</f>
        <v/>
      </c>
      <c r="Q54" s="77">
        <f>COUNTIF('EL exclusions &amp; gaps'!$B$7:$B$5000,$A54)</f>
        <v/>
      </c>
      <c r="R54" s="77" t="inlineStr">
        <is>
          <t>Not evidenced</t>
        </is>
      </c>
      <c r="S54" s="77" t="inlineStr">
        <is>
          <t>Not evidenced</t>
        </is>
      </c>
      <c r="T54" s="77" t="inlineStr">
        <is>
          <t>Civil Engineering MEng Level 7 group design exercise (Probably EG-M360 / EG-M390 Integrated Industrial Project - Preliminary / Technical Design (20 credits each); link to the 'year-long group design exercise' inferred from titles, not stated) [Programme/course]</t>
        </is>
      </c>
      <c r="U54" s="77" t="inlineStr">
        <is>
          <t>Engineering/computing: 1</t>
        </is>
      </c>
      <c r="V54" s="77" t="inlineStr">
        <is>
          <t>Isolated departmental provision</t>
        </is>
      </c>
      <c r="W54" s="77" t="inlineStr">
        <is>
          <t>Swansea University (reduced-depth review, all six areas queried). - Strongest route: Civil Engineering MEng (Level 7) 'year-long group design exercise' where students 'select from full design projects currently being carried out in industry' (course page text, 2026/27 module listing, with Integrated Industrial Project modules EG-M360/EG-M390). Meets A/B/C on the page wording; module mapping, firms' assessment role and named partners are not stated. BEng Level 6 design project uses a task set by industry engineers, but group working is not evidenced. - Business: BSc Economics and Business advertises a Business Consultancy Project on a 'live client real-world challenge', but group format, credits and status are not stated and it is not in the module tables. BSc Marketing offers a consultancy-project dissertation alternative (client unclear). MSc Project Management mentions live project challenges and partner dissertations (Tata Steel, Siemens, NHS) without separating routes. - Central/other: an extracurricular hackathon for Swansea City FC; Law Clinic casework is a near-miss (advice to the public, not a client project). Awards, Discovery volunteering and GO Wales are excluded. Provis</t>
        </is>
      </c>
      <c r="X54" s="77" t="inlineStr">
        <is>
          <t>Group format unverified for S2-S5; MBA 'Research in Action' client project uncited; other engineering disciplines, Computer Science group projects and wider Science, HSS and Health not explored beyond one query each; Formula Student unsourced. Further departmental instances likely.</t>
        </is>
      </c>
    </row>
    <row r="55">
      <c r="A55" s="77" t="inlineStr">
        <is>
          <t>UK15</t>
        </is>
      </c>
      <c r="B55" s="79" t="inlineStr">
        <is>
          <t>Essex</t>
        </is>
      </c>
      <c r="C55" s="77" t="inlineStr">
        <is>
          <t>UK</t>
        </is>
      </c>
      <c r="D55" s="77" t="inlineStr">
        <is>
          <t>Additional UK sample</t>
        </is>
      </c>
      <c r="E55" s="77" t="inlineStr">
        <is>
          <t>UK – additional</t>
        </is>
      </c>
      <c r="F55" s="77" t="n">
        <v>2027</v>
      </c>
      <c r="G55" s="77" t="n">
        <v>438</v>
      </c>
      <c r="H55" s="77" t="inlineStr">
        <is>
          <t>Complete</t>
        </is>
      </c>
      <c r="I55" s="77">
        <f>COUNTIFS('EL scheme register'!$A$7:$A$610,$A55,'EL scheme register'!$C$7:$C$610,"University-wide",'EL scheme register'!$AJ$7:$AJ$610,"Yes")</f>
        <v/>
      </c>
      <c r="J55" s="77">
        <f>COUNTIFS('EL scheme register'!$A$7:$A$610,$A55,'EL scheme register'!$C$7:$C$610,"Cross-faculty",'EL scheme register'!$AJ$7:$AJ$610,"Yes")</f>
        <v/>
      </c>
      <c r="K55" s="77">
        <f>COUNTIFS('EL scheme register'!$A$7:$A$610,$A55,'EL scheme register'!$C$7:$C$610,"Faculty/school",'EL scheme register'!$AJ$7:$AJ$610,"Yes")</f>
        <v/>
      </c>
      <c r="L55" s="77">
        <f>COUNTIFS('EL scheme register'!$A$7:$A$610,$A55,'EL scheme register'!$C$7:$C$610,"Programme/course",'EL scheme register'!$AJ$7:$AJ$610,"Yes")</f>
        <v/>
      </c>
      <c r="M55" s="77">
        <f>COUNTIFS('EL scheme register'!$A$7:$A$610,$A55,'EL scheme register'!$C$7:$C$610,"Unclear",'EL scheme register'!$AJ$7:$AJ$610,"Yes")</f>
        <v/>
      </c>
      <c r="N55" s="77">
        <f>SUM(I55:M55)</f>
        <v/>
      </c>
      <c r="O55" s="77">
        <f>COUNTIFS('EL scheme register'!$A$7:$A$610,$A55,'EL scheme register'!$AF$7:$AF$610,"Potentially relevant; evidence incomplete",'EL scheme register'!$AI$7:$AI$610,"Yes")</f>
        <v/>
      </c>
      <c r="P55" s="77">
        <f>COUNTIFS('EL scheme register'!$A$7:$A$610,$A55,'EL scheme register'!$AF$7:$AF$610,"Outside strict definition")</f>
        <v/>
      </c>
      <c r="Q55" s="77">
        <f>COUNTIF('EL exclusions &amp; gaps'!$B$7:$B$5000,$A55)</f>
        <v/>
      </c>
      <c r="R55" s="77" t="inlineStr">
        <is>
          <t>Not evidenced</t>
        </is>
      </c>
      <c r="S55" s="77" t="inlineStr">
        <is>
          <t>Not evidenced</t>
        </is>
      </c>
      <c r="T55" s="77" t="inlineStr">
        <is>
          <t>Business Law Clinic (Essex Law School) [Faculty/school]</t>
        </is>
      </c>
      <c r="U55" s="77" t="inlineStr">
        <is>
          <t>Other (law, health, design, architecture…): 1</t>
        </is>
      </c>
      <c r="V55" s="77" t="inlineStr">
        <is>
          <t>Several distributed routes</t>
        </is>
      </c>
      <c r="W55" s="77" t="inlineStr">
        <is>
          <t>Provision found so far at Essex is led by iTeams, an extracurricular programme run by Essex Startups in which multidisciplinary student teams tackle challenges set by external businesses, mentored by industry experts, and present a report and pitch to a panel. It is selective (limited places, application), not credit-bearing as evidenced, and the latest evidenced edition is February 2025 (7 weeks, three businesses, six teams); a bespoke Cyber Innovate to Elevate variant connecting MSc/PhD students with SMEs ran to February 2026 but its team structure and outputs are not confirmed. Within Essex Business School, the Marketing Management module has students undertake a consultancy project for a real-world business, but whether this is group-based and how clients participate is not established; the MBA consultancy project is individual. Computer Science has a team project module without external clients and an individual capstone that can use company briefs. The Industry and Placements team promotes employer-led project briefs and live-project work-based learning (cited on Science and Health degree pages) but specific modules were not identified. The Big Essex Award is an employability</t>
        </is>
      </c>
      <c r="X55" s="77" t="inlineStr">
        <is>
          <t>Further departmental instances likely (Health, Nursing, Economics, Art History not searched in depth). iTeams 2025/26 not confirmed; Marketing Management group/client status unknown; Business Law Clinic credit and partner coverage unclear; Human Rights Clinic partner role unclear; WBL project modules unidentified. Reduced-depth review.</t>
        </is>
      </c>
    </row>
    <row r="56">
      <c r="A56" s="77" t="inlineStr">
        <is>
          <t>UK16</t>
        </is>
      </c>
      <c r="B56" s="79" t="inlineStr">
        <is>
          <t>Kent</t>
        </is>
      </c>
      <c r="C56" s="77" t="inlineStr">
        <is>
          <t>UK</t>
        </is>
      </c>
      <c r="D56" s="77" t="inlineStr">
        <is>
          <t>Additional UK sample</t>
        </is>
      </c>
      <c r="E56" s="77" t="inlineStr">
        <is>
          <t>UK – additional</t>
        </is>
      </c>
      <c r="F56" s="77" t="n">
        <v>2027</v>
      </c>
      <c r="G56" s="77" t="n">
        <v>415</v>
      </c>
      <c r="H56" s="77" t="inlineStr">
        <is>
          <t>Complete</t>
        </is>
      </c>
      <c r="I56" s="77">
        <f>COUNTIFS('EL scheme register'!$A$7:$A$610,$A56,'EL scheme register'!$C$7:$C$610,"University-wide",'EL scheme register'!$AJ$7:$AJ$610,"Yes")</f>
        <v/>
      </c>
      <c r="J56" s="77">
        <f>COUNTIFS('EL scheme register'!$A$7:$A$610,$A56,'EL scheme register'!$C$7:$C$610,"Cross-faculty",'EL scheme register'!$AJ$7:$AJ$610,"Yes")</f>
        <v/>
      </c>
      <c r="K56" s="77">
        <f>COUNTIFS('EL scheme register'!$A$7:$A$610,$A56,'EL scheme register'!$C$7:$C$610,"Faculty/school",'EL scheme register'!$AJ$7:$AJ$610,"Yes")</f>
        <v/>
      </c>
      <c r="L56" s="77">
        <f>COUNTIFS('EL scheme register'!$A$7:$A$610,$A56,'EL scheme register'!$C$7:$C$610,"Programme/course",'EL scheme register'!$AJ$7:$AJ$610,"Yes")</f>
        <v/>
      </c>
      <c r="M56" s="77">
        <f>COUNTIFS('EL scheme register'!$A$7:$A$610,$A56,'EL scheme register'!$C$7:$C$610,"Unclear",'EL scheme register'!$AJ$7:$AJ$610,"Yes")</f>
        <v/>
      </c>
      <c r="N56" s="77">
        <f>SUM(I56:M56)</f>
        <v/>
      </c>
      <c r="O56" s="77">
        <f>COUNTIFS('EL scheme register'!$A$7:$A$610,$A56,'EL scheme register'!$AF$7:$AF$610,"Potentially relevant; evidence incomplete",'EL scheme register'!$AI$7:$AI$610,"Yes")</f>
        <v/>
      </c>
      <c r="P56" s="77">
        <f>COUNTIFS('EL scheme register'!$A$7:$A$610,$A56,'EL scheme register'!$AF$7:$AF$610,"Outside strict definition")</f>
        <v/>
      </c>
      <c r="Q56" s="77">
        <f>COUNTIF('EL exclusions &amp; gaps'!$B$7:$B$5000,$A56)</f>
        <v/>
      </c>
      <c r="R56" s="77" t="inlineStr">
        <is>
          <t>Not evidenced</t>
        </is>
      </c>
      <c r="S56" s="77" t="inlineStr">
        <is>
          <t>Not evidenced</t>
        </is>
      </c>
      <c r="T56" s="77" t="inlineStr">
        <is>
          <t>KBS Challenge (BUSB6514) [Faculty/school]</t>
        </is>
      </c>
      <c r="U56" s="77" t="inlineStr">
        <is>
          <t>Business/management: 1</t>
        </is>
      </c>
      <c r="V56" s="77" t="inlineStr">
        <is>
          <t>Several distributed routes</t>
        </is>
      </c>
      <c r="W56" s="77" t="inlineStr">
        <is>
          <t>Kent's strongest verified route is the KBS Challenge (BUSB6514): a Level 6, 20-credit Kent Business School module where groups consult for real businesses. In 2026, 106 students in 15 teams worked on 10 live projects over eight weeks for Port of Dover, Macknade, Barretts Kent and Enterprise Mobility, presenting recommendations back to the organisations; assessment is a group report and presentation plus individual blog. It meets all three criteria with 2026/27 evidence, but only KBS students are evidently eligible and it is not shown to be compulsory. Other leads are weaker. i-Teams (Careers and Employability Service, multi-disciplinary teams, sponsor challenges, mentor, Grand Final) fits the criteria and is open beyond business students, but the latest evidenced cohort is 2023 and no current delivery was found. The Business Analytics Challenge (BUSB7032) and MSc Strategic Project Management Challenge are consultancy-style team modules whose client role is unclear. IT consultancy (KITC) modules involve external clients but are individually assessed and not running. Engineering and physics group projects show no confirmed external client; Law Clinic is casework. The legacy Employabi</t>
        </is>
      </c>
      <c r="X56" s="77" t="inlineStr">
        <is>
          <t>Compulsory status of KBS Challenge and its eligibility threshold; i-Teams current delivery; client role in BUSB7032 and Strategic Project Management Challenge; MSc International Business live consultancy; engineering/computing and Digital Arts projects with industry advisers (2019 pages only); further departmental instances likely. Reduced-depth: 11 searches, 12 fetches.</t>
        </is>
      </c>
    </row>
    <row r="57">
      <c r="A57" s="77" t="inlineStr">
        <is>
          <t>UK17</t>
        </is>
      </c>
      <c r="B57" s="79" t="inlineStr">
        <is>
          <t>Brunel</t>
        </is>
      </c>
      <c r="C57" s="77" t="inlineStr">
        <is>
          <t>UK</t>
        </is>
      </c>
      <c r="D57" s="77" t="inlineStr">
        <is>
          <t>Additional UK sample</t>
        </is>
      </c>
      <c r="E57" s="77" t="inlineStr">
        <is>
          <t>UK – additional</t>
        </is>
      </c>
      <c r="F57" s="77" t="n">
        <v>2027</v>
      </c>
      <c r="G57" s="77" t="n">
        <v>353</v>
      </c>
      <c r="H57" s="77" t="inlineStr">
        <is>
          <t>Complete</t>
        </is>
      </c>
      <c r="I57" s="77">
        <f>COUNTIFS('EL scheme register'!$A$7:$A$610,$A57,'EL scheme register'!$C$7:$C$610,"University-wide",'EL scheme register'!$AJ$7:$AJ$610,"Yes")</f>
        <v/>
      </c>
      <c r="J57" s="77">
        <f>COUNTIFS('EL scheme register'!$A$7:$A$610,$A57,'EL scheme register'!$C$7:$C$610,"Cross-faculty",'EL scheme register'!$AJ$7:$AJ$610,"Yes")</f>
        <v/>
      </c>
      <c r="K57" s="77">
        <f>COUNTIFS('EL scheme register'!$A$7:$A$610,$A57,'EL scheme register'!$C$7:$C$610,"Faculty/school",'EL scheme register'!$AJ$7:$AJ$610,"Yes")</f>
        <v/>
      </c>
      <c r="L57" s="77">
        <f>COUNTIFS('EL scheme register'!$A$7:$A$610,$A57,'EL scheme register'!$C$7:$C$610,"Programme/course",'EL scheme register'!$AJ$7:$AJ$610,"Yes")</f>
        <v/>
      </c>
      <c r="M57" s="77">
        <f>COUNTIFS('EL scheme register'!$A$7:$A$610,$A57,'EL scheme register'!$C$7:$C$610,"Unclear",'EL scheme register'!$AJ$7:$AJ$610,"Yes")</f>
        <v/>
      </c>
      <c r="N57" s="77">
        <f>SUM(I57:M57)</f>
        <v/>
      </c>
      <c r="O57" s="77">
        <f>COUNTIFS('EL scheme register'!$A$7:$A$610,$A57,'EL scheme register'!$AF$7:$AF$610,"Potentially relevant; evidence incomplete",'EL scheme register'!$AI$7:$AI$610,"Yes")</f>
        <v/>
      </c>
      <c r="P57" s="77">
        <f>COUNTIFS('EL scheme register'!$A$7:$A$610,$A57,'EL scheme register'!$AF$7:$AF$610,"Outside strict definition")</f>
        <v/>
      </c>
      <c r="Q57" s="77">
        <f>COUNTIF('EL exclusions &amp; gaps'!$B$7:$B$5000,$A57)</f>
        <v/>
      </c>
      <c r="R57" s="77" t="inlineStr">
        <is>
          <t>Not evidenced</t>
        </is>
      </c>
      <c r="S57" s="77" t="inlineStr">
        <is>
          <t>Not evidenced</t>
        </is>
      </c>
      <c r="T57" s="77" t="inlineStr"/>
      <c r="U57" s="77" t="inlineStr"/>
      <c r="V57" s="77" t="inlineStr">
        <is>
          <t>Several distributed routes</t>
        </is>
      </c>
      <c r="W57" s="77" t="inlineStr">
        <is>
          <t>Brunel's clearest employer-linked route is Brunel Business School's Co-Innovate: SMEs write a project brief, a contract is issued on matching, work runs over the academic year and ends in a final report; it can be the 30-credit final-year project (BSc Business Management with Entrepreneurship). The page states projects can be done "either as an individual or in a small team", so group working is Unclear, the pages are undated, and 2025/26 delivery is unverified. Other leads: Design+ (businesses work with students on Final Year Projects since 2004; Brompton Bikes, Hornby, BT, JLR named; group/individual not stated), Leadership for Change (Year 3, students with a community organisation; compulsory/optional status inconsistent), MSc Project Management live consultancy (no clients named), Global Challenges BASc 8-week placement or group project (page not retrievable) and the Feb 2025 Enterprise Mobility Challenge (detail truncated). Engineering, computing, science and law searches found group projects without external clients. No route is verified as meeting all three criteria with current delivery; provision is distributed and programme-level.</t>
        </is>
      </c>
      <c r="X57" s="77" t="inlineStr">
        <is>
          <t>No dated 2025/26 evidence for any route; Co-Innovate team vs individual not separable; Design+ group status unknown; Global Challenges and Enterprise Mobility Challenge pages truncated; MSc PM client detail missing; further departmental capstones likely; reduced-depth search.</t>
        </is>
      </c>
    </row>
    <row r="58">
      <c r="A58" s="77" t="inlineStr">
        <is>
          <t>UK18</t>
        </is>
      </c>
      <c r="B58" s="79" t="inlineStr">
        <is>
          <t>Aston</t>
        </is>
      </c>
      <c r="C58" s="77" t="inlineStr">
        <is>
          <t>UK</t>
        </is>
      </c>
      <c r="D58" s="77" t="inlineStr">
        <is>
          <t>Additional UK sample</t>
        </is>
      </c>
      <c r="E58" s="77" t="inlineStr">
        <is>
          <t>UK – additional</t>
        </is>
      </c>
      <c r="F58" s="77" t="n">
        <v>2027</v>
      </c>
      <c r="G58" s="77" t="n">
        <v>416</v>
      </c>
      <c r="H58" s="77" t="inlineStr">
        <is>
          <t>Complete</t>
        </is>
      </c>
      <c r="I58" s="77">
        <f>COUNTIFS('EL scheme register'!$A$7:$A$610,$A58,'EL scheme register'!$C$7:$C$610,"University-wide",'EL scheme register'!$AJ$7:$AJ$610,"Yes")</f>
        <v/>
      </c>
      <c r="J58" s="77">
        <f>COUNTIFS('EL scheme register'!$A$7:$A$610,$A58,'EL scheme register'!$C$7:$C$610,"Cross-faculty",'EL scheme register'!$AJ$7:$AJ$610,"Yes")</f>
        <v/>
      </c>
      <c r="K58" s="77">
        <f>COUNTIFS('EL scheme register'!$A$7:$A$610,$A58,'EL scheme register'!$C$7:$C$610,"Faculty/school",'EL scheme register'!$AJ$7:$AJ$610,"Yes")</f>
        <v/>
      </c>
      <c r="L58" s="77">
        <f>COUNTIFS('EL scheme register'!$A$7:$A$610,$A58,'EL scheme register'!$C$7:$C$610,"Programme/course",'EL scheme register'!$AJ$7:$AJ$610,"Yes")</f>
        <v/>
      </c>
      <c r="M58" s="77">
        <f>COUNTIFS('EL scheme register'!$A$7:$A$610,$A58,'EL scheme register'!$C$7:$C$610,"Unclear",'EL scheme register'!$AJ$7:$AJ$610,"Yes")</f>
        <v/>
      </c>
      <c r="N58" s="77">
        <f>SUM(I58:M58)</f>
        <v/>
      </c>
      <c r="O58" s="77">
        <f>COUNTIFS('EL scheme register'!$A$7:$A$610,$A58,'EL scheme register'!$AF$7:$AF$610,"Potentially relevant; evidence incomplete",'EL scheme register'!$AI$7:$AI$610,"Yes")</f>
        <v/>
      </c>
      <c r="P58" s="77">
        <f>COUNTIFS('EL scheme register'!$A$7:$A$610,$A58,'EL scheme register'!$AF$7:$AF$610,"Outside strict definition")</f>
        <v/>
      </c>
      <c r="Q58" s="77">
        <f>COUNTIF('EL exclusions &amp; gaps'!$B$7:$B$5000,$A58)</f>
        <v/>
      </c>
      <c r="R58" s="77" t="inlineStr">
        <is>
          <t>Not evidenced</t>
        </is>
      </c>
      <c r="S58" s="77" t="inlineStr">
        <is>
          <t>Not evidenced</t>
        </is>
      </c>
      <c r="T58" s="77" t="inlineStr"/>
      <c r="U58" s="77" t="inlineStr"/>
      <c r="V58" s="77" t="inlineStr">
        <is>
          <t>Several distributed routes</t>
        </is>
      </c>
      <c r="W58" s="77" t="inlineStr">
        <is>
          <t>Aston provision found is distributed and mostly Business School based. The Aston Business Clinic puts student teams (ABC Originals, 8 weeks, Masters; ABC for Placement, 20-30 weeks, undergraduates) in front of external businesses and charities with a coach, and meets all three criteria on page text, but it is optional, credit is unstated and the page is undated, so current delivery is unconfirmed. The Aston London Interdisciplinary Collaborative Project ends in two assessed business challenges set by external organisations with multi-disciplinary teams, but level, credit, output and partners are unstated. BSc Business Enterprise and Innovation has core 30-credit consultancy projects whose client is 'live or simulated'. The legacy Aston Global Advantage row was reassessed: it is a strand of postgraduate taught programmes (not MBA or MRes) listing team challenges and live briefs as possible activities, so it is an umbrella lead and not verified as a qualifying route, and is not university-wide. Industry Clubs, MBA consultancy, Design Factory and postgraduate Business Projects are leads without module-level evidence. No dated 2025/26 or 2026/27 evidence was found for any route. No qua</t>
        </is>
      </c>
      <c r="X58" s="77" t="inlineStr">
        <is>
          <t>Reduced-depth review (about 8 searches plus 9 fetches). No dated current-year evidence; credit and eligibility of Aston Business Clinic unclear; Aston London module detail; Industry Club module links and the CEPS student-led enterprise not identified; AGA stream-two page requires login (not retrievable); no law, health or science team-client modules found; further departmental instances likely. Retrieval was WebFetch (fetch-tool summaries, not verbatim page text) and WebSearch extracts.</t>
        </is>
      </c>
    </row>
    <row r="59">
      <c r="A59" s="77" t="inlineStr">
        <is>
          <t>UK19</t>
        </is>
      </c>
      <c r="B59" s="79" t="inlineStr">
        <is>
          <t>Stirling</t>
        </is>
      </c>
      <c r="C59" s="77" t="inlineStr">
        <is>
          <t>UK</t>
        </is>
      </c>
      <c r="D59" s="77" t="inlineStr">
        <is>
          <t>Additional UK sample</t>
        </is>
      </c>
      <c r="E59" s="77" t="inlineStr">
        <is>
          <t>UK – additional</t>
        </is>
      </c>
      <c r="F59" s="77" t="n">
        <v>2027</v>
      </c>
      <c r="G59" s="77" t="n">
        <v>560</v>
      </c>
      <c r="H59" s="77" t="inlineStr">
        <is>
          <t>Complete</t>
        </is>
      </c>
      <c r="I59" s="77">
        <f>COUNTIFS('EL scheme register'!$A$7:$A$610,$A59,'EL scheme register'!$C$7:$C$610,"University-wide",'EL scheme register'!$AJ$7:$AJ$610,"Yes")</f>
        <v/>
      </c>
      <c r="J59" s="77">
        <f>COUNTIFS('EL scheme register'!$A$7:$A$610,$A59,'EL scheme register'!$C$7:$C$610,"Cross-faculty",'EL scheme register'!$AJ$7:$AJ$610,"Yes")</f>
        <v/>
      </c>
      <c r="K59" s="77">
        <f>COUNTIFS('EL scheme register'!$A$7:$A$610,$A59,'EL scheme register'!$C$7:$C$610,"Faculty/school",'EL scheme register'!$AJ$7:$AJ$610,"Yes")</f>
        <v/>
      </c>
      <c r="L59" s="77">
        <f>COUNTIFS('EL scheme register'!$A$7:$A$610,$A59,'EL scheme register'!$C$7:$C$610,"Programme/course",'EL scheme register'!$AJ$7:$AJ$610,"Yes")</f>
        <v/>
      </c>
      <c r="M59" s="77">
        <f>COUNTIFS('EL scheme register'!$A$7:$A$610,$A59,'EL scheme register'!$C$7:$C$610,"Unclear",'EL scheme register'!$AJ$7:$AJ$610,"Yes")</f>
        <v/>
      </c>
      <c r="N59" s="77">
        <f>SUM(I59:M59)</f>
        <v/>
      </c>
      <c r="O59" s="77">
        <f>COUNTIFS('EL scheme register'!$A$7:$A$610,$A59,'EL scheme register'!$AF$7:$AF$610,"Potentially relevant; evidence incomplete",'EL scheme register'!$AI$7:$AI$610,"Yes")</f>
        <v/>
      </c>
      <c r="P59" s="77">
        <f>COUNTIFS('EL scheme register'!$A$7:$A$610,$A59,'EL scheme register'!$AF$7:$AF$610,"Outside strict definition")</f>
        <v/>
      </c>
      <c r="Q59" s="77">
        <f>COUNTIF('EL exclusions &amp; gaps'!$B$7:$B$5000,$A59)</f>
        <v/>
      </c>
      <c r="R59" s="77" t="inlineStr">
        <is>
          <t>Not evidenced</t>
        </is>
      </c>
      <c r="S59" s="77" t="inlineStr">
        <is>
          <t>Not evidenced</t>
        </is>
      </c>
      <c r="T59" s="77" t="inlineStr"/>
      <c r="U59" s="77" t="inlineStr"/>
      <c r="V59" s="77" t="inlineStr">
        <is>
          <t>Isolated departmental provision</t>
        </is>
      </c>
      <c r="W59" s="77" t="inlineStr">
        <is>
          <t>Stirling (UK19), reduced-depth review. Provision is concentrated in the Management School's postgraduate taught programmes. The clearest routes are the MSc Marketing Consultancy Project (described as a core module for over twenty years) and the MSc Digital Marketing and Brand Management project: in both, 'each group has a client organisation that sets a real-world task', and groups present solutions to the client over the summer. Past clients include Stirling Albion FC, Snowsports Scotland, National Wallace Monument and EASA Training Ltd, spanning private, public and third-sector bodies. A wider summer consultancy elective on seven Masters programmes (MBA, Business Analytics, etc.) matches students to host businesses, charities or public bodies with a university supervisor and client mentor, but the employer page says projects may be done by 'an individual or group', so group working is unclear. MANP005 Business Consulting (20 credits, 2026/7 listing) refers to an external client but shows no assessment or group detail. Careers lists 21 employer-facing placement schemes (arts, law, sport, computing, life sciences etc.); the pages examined are individual or placement-style and are n</t>
        </is>
      </c>
      <c r="X59" s="77" t="inlineStr">
        <is>
          <t>Reduced-depth. No dated 2025/26-2026/27 corroboration for S1-S3. Marketing module code, credit and assessment unknown. 21 Careers placement schemes only indexed. Group vs individual split in summer consultancy elective unresolved. Natural Sciences 'Projects with business' page returned 404. Retrieval: WebFetch page text (fetch tool returns a model-generated summary/quotes rather than raw page); searches via WebSearch.</t>
        </is>
      </c>
    </row>
    <row r="60">
      <c r="A60" s="77" t="inlineStr">
        <is>
          <t>UK20</t>
        </is>
      </c>
      <c r="B60" s="79" t="inlineStr">
        <is>
          <t>SOAS</t>
        </is>
      </c>
      <c r="C60" s="77" t="inlineStr">
        <is>
          <t>UK</t>
        </is>
      </c>
      <c r="D60" s="77" t="inlineStr">
        <is>
          <t>Additional UK sample</t>
        </is>
      </c>
      <c r="E60" s="77" t="inlineStr">
        <is>
          <t>UK – additional</t>
        </is>
      </c>
      <c r="F60" s="77" t="n">
        <v>2027</v>
      </c>
      <c r="G60" s="77" t="n">
        <v>458</v>
      </c>
      <c r="H60" s="77" t="inlineStr">
        <is>
          <t>Complete</t>
        </is>
      </c>
      <c r="I60" s="77">
        <f>COUNTIFS('EL scheme register'!$A$7:$A$610,$A60,'EL scheme register'!$C$7:$C$610,"University-wide",'EL scheme register'!$AJ$7:$AJ$610,"Yes")</f>
        <v/>
      </c>
      <c r="J60" s="77">
        <f>COUNTIFS('EL scheme register'!$A$7:$A$610,$A60,'EL scheme register'!$C$7:$C$610,"Cross-faculty",'EL scheme register'!$AJ$7:$AJ$610,"Yes")</f>
        <v/>
      </c>
      <c r="K60" s="77">
        <f>COUNTIFS('EL scheme register'!$A$7:$A$610,$A60,'EL scheme register'!$C$7:$C$610,"Faculty/school",'EL scheme register'!$AJ$7:$AJ$610,"Yes")</f>
        <v/>
      </c>
      <c r="L60" s="77">
        <f>COUNTIFS('EL scheme register'!$A$7:$A$610,$A60,'EL scheme register'!$C$7:$C$610,"Programme/course",'EL scheme register'!$AJ$7:$AJ$610,"Yes")</f>
        <v/>
      </c>
      <c r="M60" s="77">
        <f>COUNTIFS('EL scheme register'!$A$7:$A$610,$A60,'EL scheme register'!$C$7:$C$610,"Unclear",'EL scheme register'!$AJ$7:$AJ$610,"Yes")</f>
        <v/>
      </c>
      <c r="N60" s="77">
        <f>SUM(I60:M60)</f>
        <v/>
      </c>
      <c r="O60" s="77">
        <f>COUNTIFS('EL scheme register'!$A$7:$A$610,$A60,'EL scheme register'!$AF$7:$AF$610,"Potentially relevant; evidence incomplete",'EL scheme register'!$AI$7:$AI$610,"Yes")</f>
        <v/>
      </c>
      <c r="P60" s="77">
        <f>COUNTIFS('EL scheme register'!$A$7:$A$610,$A60,'EL scheme register'!$AF$7:$AF$610,"Outside strict definition")</f>
        <v/>
      </c>
      <c r="Q60" s="77">
        <f>COUNTIF('EL exclusions &amp; gaps'!$B$7:$B$5000,$A60)</f>
        <v/>
      </c>
      <c r="R60" s="77" t="inlineStr">
        <is>
          <t>Not evidenced</t>
        </is>
      </c>
      <c r="S60" s="77" t="inlineStr">
        <is>
          <t>Not evidenced</t>
        </is>
      </c>
      <c r="T60" s="77" t="inlineStr"/>
      <c r="U60" s="77" t="inlineStr"/>
      <c r="V60" s="77" t="inlineStr">
        <is>
          <t>Isolated departmental provision</t>
        </is>
      </c>
      <c r="W60" s="77" t="inlineStr">
        <is>
          <t>Reduced-depth review (about 10 searches plus page fetches). The strongest route is the SOAS Virtual Industry Project (legacy row), a Careers/Practera two-week extracurricular scheme open to all second- and final-year undergraduates (100 places a year). Assigned teams work remotely on one employer brief per team (startups, SMEs and NGOs, about 15 clients in the March 2025 news item) and submit a final report with recommendations. It meets project, group and employer criteria, but the pages are undated apart from the 2025 news story, so current delivery is unconfirmed, and it is only 25 hours long. Curricular routes are thin. The MSc Finance / International Business optional 30-credit Practical Industry Project embeds a Practera experience with groups of 5-6 on a client brief, but client identity is unverified and the source page could not be opened (HTTP 403), so evidence is a search extract. The optional International Development Placement puts teams of 2-9 with development partner organisations for 40 hours (capped at 75), but no project output is evidenced. SOAS Careers also advertises an employer-facing Student Consultancy Project with no team or cohort evidence. Law clinics, in</t>
        </is>
      </c>
      <c r="X60" s="77" t="inlineStr">
        <is>
          <t>Current 2025/26-2026/27 delivery of the Virtual Industry Project, Practical Industry Project and International Development Placement unverified; MSc Finance page returned 403 to WebFetch and curl; client identities for the MSc module unknown; other Practera-style or departmental projects (e.g. MSc International Marketing, BSc Management, Law, Economics) not researched in reduced-depth mode; Student Consultancy Project team structure unknown.</t>
        </is>
      </c>
    </row>
    <row r="61">
      <c r="A61" s="77" t="inlineStr">
        <is>
          <t>UK21</t>
        </is>
      </c>
      <c r="B61" s="79" t="inlineStr">
        <is>
          <t>Birkbeck</t>
        </is>
      </c>
      <c r="C61" s="77" t="inlineStr">
        <is>
          <t>UK</t>
        </is>
      </c>
      <c r="D61" s="77" t="inlineStr">
        <is>
          <t>Additional UK sample</t>
        </is>
      </c>
      <c r="E61" s="77" t="inlineStr">
        <is>
          <t>UK – additional</t>
        </is>
      </c>
      <c r="F61" s="77" t="n">
        <v>2027</v>
      </c>
      <c r="G61" s="77" t="n">
        <v>354</v>
      </c>
      <c r="H61" s="77" t="inlineStr">
        <is>
          <t>Complete</t>
        </is>
      </c>
      <c r="I61" s="77">
        <f>COUNTIFS('EL scheme register'!$A$7:$A$610,$A61,'EL scheme register'!$C$7:$C$610,"University-wide",'EL scheme register'!$AJ$7:$AJ$610,"Yes")</f>
        <v/>
      </c>
      <c r="J61" s="77">
        <f>COUNTIFS('EL scheme register'!$A$7:$A$610,$A61,'EL scheme register'!$C$7:$C$610,"Cross-faculty",'EL scheme register'!$AJ$7:$AJ$610,"Yes")</f>
        <v/>
      </c>
      <c r="K61" s="77">
        <f>COUNTIFS('EL scheme register'!$A$7:$A$610,$A61,'EL scheme register'!$C$7:$C$610,"Faculty/school",'EL scheme register'!$AJ$7:$AJ$610,"Yes")</f>
        <v/>
      </c>
      <c r="L61" s="77">
        <f>COUNTIFS('EL scheme register'!$A$7:$A$610,$A61,'EL scheme register'!$C$7:$C$610,"Programme/course",'EL scheme register'!$AJ$7:$AJ$610,"Yes")</f>
        <v/>
      </c>
      <c r="M61" s="77">
        <f>COUNTIFS('EL scheme register'!$A$7:$A$610,$A61,'EL scheme register'!$C$7:$C$610,"Unclear",'EL scheme register'!$AJ$7:$AJ$610,"Yes")</f>
        <v/>
      </c>
      <c r="N61" s="77">
        <f>SUM(I61:M61)</f>
        <v/>
      </c>
      <c r="O61" s="77">
        <f>COUNTIFS('EL scheme register'!$A$7:$A$610,$A61,'EL scheme register'!$AF$7:$AF$610,"Potentially relevant; evidence incomplete",'EL scheme register'!$AI$7:$AI$610,"Yes")</f>
        <v/>
      </c>
      <c r="P61" s="77">
        <f>COUNTIFS('EL scheme register'!$A$7:$A$610,$A61,'EL scheme register'!$AF$7:$AF$610,"Outside strict definition")</f>
        <v/>
      </c>
      <c r="Q61" s="77">
        <f>COUNTIF('EL exclusions &amp; gaps'!$B$7:$B$5000,$A61)</f>
        <v/>
      </c>
      <c r="R61" s="77" t="inlineStr">
        <is>
          <t>Not evidenced</t>
        </is>
      </c>
      <c r="S61" s="77" t="inlineStr">
        <is>
          <t>Not evidenced</t>
        </is>
      </c>
      <c r="T61" s="77" t="inlineStr">
        <is>
          <t>The Consultancy Challenge (MSc Management Consultancy and Organisational Change) (BUOB063D7) [Programme/course]</t>
        </is>
      </c>
      <c r="U61" s="77" t="inlineStr">
        <is>
          <t>Business/management: 1</t>
        </is>
      </c>
      <c r="V61" s="77" t="inlineStr">
        <is>
          <t>Isolated departmental provision</t>
        </is>
      </c>
      <c r="W61" s="77" t="inlineStr">
        <is>
          <t>Birkbeck's one verified route meeting all three criteria is The Consultancy Challenge (BUOB063D7), a 60-credit final-project option on the MSc Management Consultancy and Organisational Change. In partnership with PA Consulting, students are assembled into teams to work on a real, live problem for a PA client over about 12 weeks, with a PA consultant mentoring each team. The programme page names Defra and the RSPCA as clients; a 2023 blog says two large UK charities. Assessment is mainly group-based (group status presentations 35%, group report 35%, individual reflective essay 30%). It is an alternative to an individual research project, selective with limited places, and open only to students on that one MSc. The 2025-26 programme specification lists it as a core option. Other provision is weaker. The central micro-placement module (CASC002H5) is an individual student-sourced placement. The PG Cert Applied Data Science project mentions a work-based project but group working and employer role are unclear. Applied Software Engineering has a group programming project with no external client evidenced. Pioneer is enterprise support, and law clinics are casework placements. No instituti</t>
        </is>
      </c>
      <c r="X61" s="77" t="inlineStr">
        <is>
          <t>Not verified: team sizes/number of Consultancy Challenge teams and 2025/26 client names (client names on undated pages); group status and employer role of the PG Cert Applied Data Science project; whether other BEI MSc programmes or UG business modules have live-client group projects; Birkbeck Business School UG modules not specifically queried. Reduced-depth review (about 10 searches); further departmental instances possible.</t>
        </is>
      </c>
    </row>
    <row r="62">
      <c r="A62" s="77" t="inlineStr">
        <is>
          <t>UK22</t>
        </is>
      </c>
      <c r="B62" s="79" t="inlineStr">
        <is>
          <t>Royal Holloway</t>
        </is>
      </c>
      <c r="C62" s="77" t="inlineStr">
        <is>
          <t>UK</t>
        </is>
      </c>
      <c r="D62" s="77" t="inlineStr">
        <is>
          <t>Additional UK sample</t>
        </is>
      </c>
      <c r="E62" s="77" t="inlineStr">
        <is>
          <t>UK – additional</t>
        </is>
      </c>
      <c r="F62" s="77" t="n">
        <v>2027</v>
      </c>
      <c r="G62" s="77" t="n">
        <v>485</v>
      </c>
      <c r="H62" s="77" t="inlineStr">
        <is>
          <t>Complete</t>
        </is>
      </c>
      <c r="I62" s="77">
        <f>COUNTIFS('EL scheme register'!$A$7:$A$610,$A62,'EL scheme register'!$C$7:$C$610,"University-wide",'EL scheme register'!$AJ$7:$AJ$610,"Yes")</f>
        <v/>
      </c>
      <c r="J62" s="77">
        <f>COUNTIFS('EL scheme register'!$A$7:$A$610,$A62,'EL scheme register'!$C$7:$C$610,"Cross-faculty",'EL scheme register'!$AJ$7:$AJ$610,"Yes")</f>
        <v/>
      </c>
      <c r="K62" s="77">
        <f>COUNTIFS('EL scheme register'!$A$7:$A$610,$A62,'EL scheme register'!$C$7:$C$610,"Faculty/school",'EL scheme register'!$AJ$7:$AJ$610,"Yes")</f>
        <v/>
      </c>
      <c r="L62" s="77">
        <f>COUNTIFS('EL scheme register'!$A$7:$A$610,$A62,'EL scheme register'!$C$7:$C$610,"Programme/course",'EL scheme register'!$AJ$7:$AJ$610,"Yes")</f>
        <v/>
      </c>
      <c r="M62" s="77">
        <f>COUNTIFS('EL scheme register'!$A$7:$A$610,$A62,'EL scheme register'!$C$7:$C$610,"Unclear",'EL scheme register'!$AJ$7:$AJ$610,"Yes")</f>
        <v/>
      </c>
      <c r="N62" s="77">
        <f>SUM(I62:M62)</f>
        <v/>
      </c>
      <c r="O62" s="77">
        <f>COUNTIFS('EL scheme register'!$A$7:$A$610,$A62,'EL scheme register'!$AF$7:$AF$610,"Potentially relevant; evidence incomplete",'EL scheme register'!$AI$7:$AI$610,"Yes")</f>
        <v/>
      </c>
      <c r="P62" s="77">
        <f>COUNTIFS('EL scheme register'!$A$7:$A$610,$A62,'EL scheme register'!$AF$7:$AF$610,"Outside strict definition")</f>
        <v/>
      </c>
      <c r="Q62" s="77">
        <f>COUNTIF('EL exclusions &amp; gaps'!$B$7:$B$5000,$A62)</f>
        <v/>
      </c>
      <c r="R62" s="77" t="inlineStr">
        <is>
          <t>Not evidenced</t>
        </is>
      </c>
      <c r="S62" s="77" t="inlineStr">
        <is>
          <t>Not evidenced</t>
        </is>
      </c>
      <c r="T62" s="77" t="inlineStr"/>
      <c r="U62" s="77" t="inlineStr"/>
      <c r="V62" s="77" t="inlineStr">
        <is>
          <t>Isolated departmental provision</t>
        </is>
      </c>
      <c r="W62" s="77" t="inlineStr">
        <is>
          <t>No scheme fully meeting all three criteria was verified through the documented search. The strongest lead is CS4825 MSci Team Project, a mandatory 60-credit final-year module on the Software Engineering MSci in which teams operate as a company on projects 'for real clients' (2025/26 programme specification). Group and project criteria are met, but sources do not say whether clients are external organisations or the department's in-house company CodeGroovers, and the programme outcome says 'realistic client', so employer connection is Unclear. In the School of Business and Management, MN5802 Consultancy in the Digital Era (mandatory, MSc Digital Business, 15 credits) is described in a search extract as team consultancy for a client, and MN5621 Digital Marketing Consultancy has a client-prescribed project with findings presented to the client; for both, client type, group basis (MN5621) and current delivery are unconfirmed. Other consulting capstones (AI for Business, Business Analytics) are individual. No central, university-wide employer-project route was found; the Careers Service offers placements and events, and the Volunteer Awards (legacy row) recognise individual volunteering</t>
        </is>
      </c>
      <c r="X62" s="77" t="inlineStr">
        <is>
          <t>Client identity for CS4825 and for MN5802/MN5621; MN5621 group basis; current delivery for the two business modules; CS2815 and Year 3 Geography/CIMA/Dragon's Den activities; Law, Psychology, Media, Health not exhaustively searched (reduced-depth mode, 11 searches); several PDFs read via local text extraction; search results note many Royal Holloway pages are several years old.</t>
        </is>
      </c>
    </row>
    <row r="63">
      <c r="A63" s="77" t="inlineStr">
        <is>
          <t>UK23</t>
        </is>
      </c>
      <c r="B63" s="79" t="inlineStr">
        <is>
          <t>City St George’s</t>
        </is>
      </c>
      <c r="C63" s="77" t="inlineStr">
        <is>
          <t>UK</t>
        </is>
      </c>
      <c r="D63" s="77" t="inlineStr">
        <is>
          <t>Additional UK sample</t>
        </is>
      </c>
      <c r="E63" s="77" t="inlineStr">
        <is>
          <t>UK – additional</t>
        </is>
      </c>
      <c r="F63" s="77" t="n">
        <v>2027</v>
      </c>
      <c r="G63" s="77" t="n">
        <v>361</v>
      </c>
      <c r="H63" s="77" t="inlineStr">
        <is>
          <t>Complete</t>
        </is>
      </c>
      <c r="I63" s="77">
        <f>COUNTIFS('EL scheme register'!$A$7:$A$610,$A63,'EL scheme register'!$C$7:$C$610,"University-wide",'EL scheme register'!$AJ$7:$AJ$610,"Yes")</f>
        <v/>
      </c>
      <c r="J63" s="77">
        <f>COUNTIFS('EL scheme register'!$A$7:$A$610,$A63,'EL scheme register'!$C$7:$C$610,"Cross-faculty",'EL scheme register'!$AJ$7:$AJ$610,"Yes")</f>
        <v/>
      </c>
      <c r="K63" s="77">
        <f>COUNTIFS('EL scheme register'!$A$7:$A$610,$A63,'EL scheme register'!$C$7:$C$610,"Faculty/school",'EL scheme register'!$AJ$7:$AJ$610,"Yes")</f>
        <v/>
      </c>
      <c r="L63" s="77">
        <f>COUNTIFS('EL scheme register'!$A$7:$A$610,$A63,'EL scheme register'!$C$7:$C$610,"Programme/course",'EL scheme register'!$AJ$7:$AJ$610,"Yes")</f>
        <v/>
      </c>
      <c r="M63" s="77">
        <f>COUNTIFS('EL scheme register'!$A$7:$A$610,$A63,'EL scheme register'!$C$7:$C$610,"Unclear",'EL scheme register'!$AJ$7:$AJ$610,"Yes")</f>
        <v/>
      </c>
      <c r="N63" s="77">
        <f>SUM(I63:M63)</f>
        <v/>
      </c>
      <c r="O63" s="77">
        <f>COUNTIFS('EL scheme register'!$A$7:$A$610,$A63,'EL scheme register'!$AF$7:$AF$610,"Potentially relevant; evidence incomplete",'EL scheme register'!$AI$7:$AI$610,"Yes")</f>
        <v/>
      </c>
      <c r="P63" s="77">
        <f>COUNTIFS('EL scheme register'!$A$7:$A$610,$A63,'EL scheme register'!$AF$7:$AF$610,"Outside strict definition")</f>
        <v/>
      </c>
      <c r="Q63" s="77">
        <f>COUNTIF('EL exclusions &amp; gaps'!$B$7:$B$5000,$A63)</f>
        <v/>
      </c>
      <c r="R63" s="77" t="inlineStr">
        <is>
          <t>Not evidenced</t>
        </is>
      </c>
      <c r="S63" s="77" t="inlineStr">
        <is>
          <t>Not evidenced</t>
        </is>
      </c>
      <c r="T63" s="77" t="inlineStr">
        <is>
          <t>Hewlett Packard Enterprise: Technology Consulting [Programme/course]; Sustainability and Climate Change (interdisciplinary module) [Programme/course]</t>
        </is>
      </c>
      <c r="U63" s="77" t="inlineStr">
        <is>
          <t>Engineering/computing: 1; Central provision: 1; Other (law, health, design, architecture…): 1</t>
        </is>
      </c>
      <c r="V63" s="77" t="inlineStr">
        <is>
          <t>Several distributed routes</t>
        </is>
      </c>
      <c r="W63" s="77" t="inlineStr">
        <is>
          <t>City St George's has no single institution-wide route in the documented search. Several employer-linked group routes were found, mostly in final-year or master's modules. Central route. Industry Led Projects is a credit-bearing third-year undergraduate module family, run through the Corporate Relations &amp; Employability Unit, for Bayes, City Law School, Policy &amp; Global Affairs and Communication &amp; Creativity. Degree pages describe small multi-disciplinary groups choosing one of five sector streams and working on briefs set by employers, who pay nothing. The central page also allows individual work, and no dated 2025/26 or 2026/27 evidence was found. Other routes. The 15-credit Hewlett Packard Enterprise: Technology Consulting module (computing and data science MSci, Year 3) has groups solving an assigned SME's technical challenge with HPE mentors. It is listed on 2026/27 course pages. The Sustainability and Climate Change module, launched in 2025 and first offered to law students, has teams on external-partner challenges, with 2026 award news. In Bayes, the MSc Consulting Challenge (teams of five, May-August) and the MBA Strategy Project involve live clients but rest on undated pages.</t>
        </is>
      </c>
      <c r="X63" s="77" t="inlineStr">
        <is>
          <t>Pages were not opened: WebFetch returned 403 and curl met a Cloudflare challenge on citystgeorges.ac.uk, so all sources are search-summary paraphrase and no verbatim quotes were obtained. Needed next: dated 2025/26 or 2026/27 evidence for Industry Led Projects and Bayes consulting routes; module specs (BM3003 Applied Industry Business Project, PO3100); compulsory vs optional status; named partners; St George's legacy health programmes (nursing, midwifery, physician associate, radiography) and School of Health &amp; Medical Sciences were not probed beyond one query; further departmental instances likely.</t>
        </is>
      </c>
    </row>
    <row r="64">
      <c r="A64" s="77" t="inlineStr">
        <is>
          <t>UK24</t>
        </is>
      </c>
      <c r="B64" s="79" t="inlineStr">
        <is>
          <t>Oxford Brookes</t>
        </is>
      </c>
      <c r="C64" s="77" t="inlineStr">
        <is>
          <t>UK</t>
        </is>
      </c>
      <c r="D64" s="77" t="inlineStr">
        <is>
          <t>Additional UK sample</t>
        </is>
      </c>
      <c r="E64" s="77" t="inlineStr">
        <is>
          <t>UK – additional</t>
        </is>
      </c>
      <c r="F64" s="77" t="n">
        <v>2027</v>
      </c>
      <c r="G64" s="77" t="n">
        <v>411</v>
      </c>
      <c r="H64" s="77" t="inlineStr">
        <is>
          <t>Complete</t>
        </is>
      </c>
      <c r="I64" s="77">
        <f>COUNTIFS('EL scheme register'!$A$7:$A$610,$A64,'EL scheme register'!$C$7:$C$610,"University-wide",'EL scheme register'!$AJ$7:$AJ$610,"Yes")</f>
        <v/>
      </c>
      <c r="J64" s="77">
        <f>COUNTIFS('EL scheme register'!$A$7:$A$610,$A64,'EL scheme register'!$C$7:$C$610,"Cross-faculty",'EL scheme register'!$AJ$7:$AJ$610,"Yes")</f>
        <v/>
      </c>
      <c r="K64" s="77">
        <f>COUNTIFS('EL scheme register'!$A$7:$A$610,$A64,'EL scheme register'!$C$7:$C$610,"Faculty/school",'EL scheme register'!$AJ$7:$AJ$610,"Yes")</f>
        <v/>
      </c>
      <c r="L64" s="77">
        <f>COUNTIFS('EL scheme register'!$A$7:$A$610,$A64,'EL scheme register'!$C$7:$C$610,"Programme/course",'EL scheme register'!$AJ$7:$AJ$610,"Yes")</f>
        <v/>
      </c>
      <c r="M64" s="77">
        <f>COUNTIFS('EL scheme register'!$A$7:$A$610,$A64,'EL scheme register'!$C$7:$C$610,"Unclear",'EL scheme register'!$AJ$7:$AJ$610,"Yes")</f>
        <v/>
      </c>
      <c r="N64" s="77">
        <f>SUM(I64:M64)</f>
        <v/>
      </c>
      <c r="O64" s="77">
        <f>COUNTIFS('EL scheme register'!$A$7:$A$610,$A64,'EL scheme register'!$AF$7:$AF$610,"Potentially relevant; evidence incomplete",'EL scheme register'!$AI$7:$AI$610,"Yes")</f>
        <v/>
      </c>
      <c r="P64" s="77">
        <f>COUNTIFS('EL scheme register'!$A$7:$A$610,$A64,'EL scheme register'!$AF$7:$AF$610,"Outside strict definition")</f>
        <v/>
      </c>
      <c r="Q64" s="77">
        <f>COUNTIF('EL exclusions &amp; gaps'!$B$7:$B$5000,$A64)</f>
        <v/>
      </c>
      <c r="R64" s="77" t="inlineStr">
        <is>
          <t>Not evidenced</t>
        </is>
      </c>
      <c r="S64" s="77" t="inlineStr">
        <is>
          <t>Not evidenced</t>
        </is>
      </c>
      <c r="T64" s="77" t="inlineStr">
        <is>
          <t>Business Challenge Week (also called Impact Challenge Week) [Faculty/school]</t>
        </is>
      </c>
      <c r="U64" s="77" t="inlineStr">
        <is>
          <t>Business/management: 1</t>
        </is>
      </c>
      <c r="V64" s="77" t="inlineStr">
        <is>
          <t>Isolated departmental provision</t>
        </is>
      </c>
      <c r="W64" s="77" t="inlineStr">
        <is>
          <t>Oxford Brookes has no university-wide employer project scheme found in this reduced-depth review; qualifying provision sits mainly in Oxford Brookes Business School. Qualifying routes. Business Challenge Week (also named Impact Challenge Week) is an intensive week in which teams of master's students tackle problems set by external organisations of any size, brief and receive feedback from the partners, and pitch to business judges; the partner page gives 8-12 June 2026 and a 2024 edition reportedly involved 45 students. The Summer Student Consultancy Scheme places teams of 2-3 business/accounting/marketing undergraduates with an organisation brief for four weeks (40-80 hours), with a client supervisor, university mentor, final report and showcase; the page evidences the 2027 round. Both appear extracurricular or co-curricular with no credit stated. Embedded routes with incomplete evidence. The Global MBA compulsory Client Project and the optional MSc Management Group Consultancy Project put cross-cultural teams on a real problem in a client organisation, but outputs, credit and client role are undocumented. The compulsory Year 2 Live Client Strategic Project on BA Business and Mana</t>
        </is>
      </c>
      <c r="X64" s="77" t="inlineStr">
        <is>
          <t>Module handbooks not accessed (credits, group size, client roles for MBA Client Project, MSc Management Group Consultancy Project, BA Live Client Strategic Project). Business Challenge Week 2024 news page returned 404 so 2024 figures rest on a search summary; 2026 edition outcome unverified. Summer scheme 2026 round unverified (2027 page only). Health (nursing, allied health), design, planning, and further departmental capstones were not individually researched; further instances likely. Retrieval for page text was WebFetch with a fetch-model summary, not raw HTML.</t>
        </is>
      </c>
    </row>
    <row r="65">
      <c r="A65" s="77" t="inlineStr">
        <is>
          <t>UK25</t>
        </is>
      </c>
      <c r="B65" s="79" t="inlineStr">
        <is>
          <t>Northumbria</t>
        </is>
      </c>
      <c r="C65" s="77" t="inlineStr">
        <is>
          <t>UK</t>
        </is>
      </c>
      <c r="D65" s="77" t="inlineStr">
        <is>
          <t>Additional UK sample</t>
        </is>
      </c>
      <c r="E65" s="77" t="inlineStr">
        <is>
          <t>UK – additional</t>
        </is>
      </c>
      <c r="F65" s="77" t="n">
        <v>2027</v>
      </c>
      <c r="G65" s="77" t="n">
        <v>528</v>
      </c>
      <c r="H65" s="77" t="inlineStr">
        <is>
          <t>Complete</t>
        </is>
      </c>
      <c r="I65" s="77">
        <f>COUNTIFS('EL scheme register'!$A$7:$A$610,$A65,'EL scheme register'!$C$7:$C$610,"University-wide",'EL scheme register'!$AJ$7:$AJ$610,"Yes")</f>
        <v/>
      </c>
      <c r="J65" s="77">
        <f>COUNTIFS('EL scheme register'!$A$7:$A$610,$A65,'EL scheme register'!$C$7:$C$610,"Cross-faculty",'EL scheme register'!$AJ$7:$AJ$610,"Yes")</f>
        <v/>
      </c>
      <c r="K65" s="77">
        <f>COUNTIFS('EL scheme register'!$A$7:$A$610,$A65,'EL scheme register'!$C$7:$C$610,"Faculty/school",'EL scheme register'!$AJ$7:$AJ$610,"Yes")</f>
        <v/>
      </c>
      <c r="L65" s="77">
        <f>COUNTIFS('EL scheme register'!$A$7:$A$610,$A65,'EL scheme register'!$C$7:$C$610,"Programme/course",'EL scheme register'!$AJ$7:$AJ$610,"Yes")</f>
        <v/>
      </c>
      <c r="M65" s="77">
        <f>COUNTIFS('EL scheme register'!$A$7:$A$610,$A65,'EL scheme register'!$C$7:$C$610,"Unclear",'EL scheme register'!$AJ$7:$AJ$610,"Yes")</f>
        <v/>
      </c>
      <c r="N65" s="77">
        <f>SUM(I65:M65)</f>
        <v/>
      </c>
      <c r="O65" s="77">
        <f>COUNTIFS('EL scheme register'!$A$7:$A$610,$A65,'EL scheme register'!$AF$7:$AF$610,"Potentially relevant; evidence incomplete",'EL scheme register'!$AI$7:$AI$610,"Yes")</f>
        <v/>
      </c>
      <c r="P65" s="77">
        <f>COUNTIFS('EL scheme register'!$A$7:$A$610,$A65,'EL scheme register'!$AF$7:$AF$610,"Outside strict definition")</f>
        <v/>
      </c>
      <c r="Q65" s="77">
        <f>COUNTIF('EL exclusions &amp; gaps'!$B$7:$B$5000,$A65)</f>
        <v/>
      </c>
      <c r="R65" s="77" t="inlineStr">
        <is>
          <t>Not evidenced</t>
        </is>
      </c>
      <c r="S65" s="77" t="inlineStr">
        <is>
          <t>Not evidenced</t>
        </is>
      </c>
      <c r="T65" s="77" t="inlineStr">
        <is>
          <t>NX9626 Undergraduate Consultancy Project (Business Clinic) (NX9626) [Faculty/school]; NX0479 Business Clinic PG Group Consultancy Project (also NX0477 NBS Masters Consultancy Project) (NX0479 (NX0477 on MSc International Finance and Investment)) [Faculty/school]; Advanced Practice Semester via Engineering and Environment Live Projects Hub (KB7056 (Mechanical Eng.), KA7057 (Construction PM with BIM) and equivalents) [Faculty/school]</t>
        </is>
      </c>
      <c r="U65" s="77" t="inlineStr">
        <is>
          <t>Business/management: 2; Engineering/computing: 1; Science: 1</t>
        </is>
      </c>
      <c r="V65" s="77" t="inlineStr">
        <is>
          <t>Several distributed routes</t>
        </is>
      </c>
      <c r="W65" s="77" t="inlineStr">
        <is>
          <t>Northumbria runs employer-linked group projects through faculty-hosted routes rather than one institution-wide scheme. The strongest is the Newcastle Business School Business Clinic: NX9626 (final-year UG, self-selected groups of typically four working 'on behalf of an external organisation') and NX0479/NX0477 (PG Advanced Practice group consultancy for a host organisation). A July 2026 release documents a four-student team advising a parish church; the Clinic reports over 950 projects and 3,820+ students since 2013, mostly pro bono for SMEs, charities and larger firms. The Faculty of Engineering and Environment Live Projects Hub procures 12-week industry projects (around 100 businesses) which Advanced Practice Masters students deliver in small teams in the 60-credit Advanced Practice Semester (e.g. KB7056, 2026 listing). Computing offers KV5037 Computing Consultancy Project and 12-week undergraduate live projects, but group basis and compulsory status are unclear. The central experiential-learning page claims about 700 students per year complete a live project or clinic module (2021/22 audit) and the Projects page lists Film Live Briefs, Sport Outreach, Student Law Office and Buil</t>
        </is>
      </c>
      <c r="X65" s="77" t="inlineStr">
        <is>
          <t>Compulsory/optional status for NX9626, KV5037 and Advanced Practice Semester modules; Live Projects Hub page last reviewed 2023; NX0477 and London campus clinic only from search summaries; Film Live Briefs, Sport Event Management, design live-brief modules and the Computing school's 'every undergraduate' live-project claim not verified at module level; no module-level evidence found for Applied Sciences, Geography/Environmental Sciences or Social Sciences; further departmental instances likely. Reduced-depth mode: 10 searches, 9 page fetches.</t>
        </is>
      </c>
    </row>
    <row r="66">
      <c r="A66" s="77" t="inlineStr">
        <is>
          <t>UK26</t>
        </is>
      </c>
      <c r="B66" s="79" t="inlineStr">
        <is>
          <t>Portsmouth</t>
        </is>
      </c>
      <c r="C66" s="77" t="inlineStr">
        <is>
          <t>UK</t>
        </is>
      </c>
      <c r="D66" s="77" t="inlineStr">
        <is>
          <t>Additional UK sample</t>
        </is>
      </c>
      <c r="E66" s="77" t="inlineStr">
        <is>
          <t>UK – additional</t>
        </is>
      </c>
      <c r="F66" s="77" t="n">
        <v>2027</v>
      </c>
      <c r="G66" s="77" t="n">
        <v>662</v>
      </c>
      <c r="H66" s="77" t="inlineStr">
        <is>
          <t>Complete</t>
        </is>
      </c>
      <c r="I66" s="77">
        <f>COUNTIFS('EL scheme register'!$A$7:$A$610,$A66,'EL scheme register'!$C$7:$C$610,"University-wide",'EL scheme register'!$AJ$7:$AJ$610,"Yes")</f>
        <v/>
      </c>
      <c r="J66" s="77">
        <f>COUNTIFS('EL scheme register'!$A$7:$A$610,$A66,'EL scheme register'!$C$7:$C$610,"Cross-faculty",'EL scheme register'!$AJ$7:$AJ$610,"Yes")</f>
        <v/>
      </c>
      <c r="K66" s="77">
        <f>COUNTIFS('EL scheme register'!$A$7:$A$610,$A66,'EL scheme register'!$C$7:$C$610,"Faculty/school",'EL scheme register'!$AJ$7:$AJ$610,"Yes")</f>
        <v/>
      </c>
      <c r="L66" s="77">
        <f>COUNTIFS('EL scheme register'!$A$7:$A$610,$A66,'EL scheme register'!$C$7:$C$610,"Programme/course",'EL scheme register'!$AJ$7:$AJ$610,"Yes")</f>
        <v/>
      </c>
      <c r="M66" s="77">
        <f>COUNTIFS('EL scheme register'!$A$7:$A$610,$A66,'EL scheme register'!$C$7:$C$610,"Unclear",'EL scheme register'!$AJ$7:$AJ$610,"Yes")</f>
        <v/>
      </c>
      <c r="N66" s="77">
        <f>SUM(I66:M66)</f>
        <v/>
      </c>
      <c r="O66" s="77">
        <f>COUNTIFS('EL scheme register'!$A$7:$A$610,$A66,'EL scheme register'!$AF$7:$AF$610,"Potentially relevant; evidence incomplete",'EL scheme register'!$AI$7:$AI$610,"Yes")</f>
        <v/>
      </c>
      <c r="P66" s="77">
        <f>COUNTIFS('EL scheme register'!$A$7:$A$610,$A66,'EL scheme register'!$AF$7:$AF$610,"Outside strict definition")</f>
        <v/>
      </c>
      <c r="Q66" s="77">
        <f>COUNTIF('EL exclusions &amp; gaps'!$B$7:$B$5000,$A66)</f>
        <v/>
      </c>
      <c r="R66" s="77" t="inlineStr">
        <is>
          <t>Not evidenced</t>
        </is>
      </c>
      <c r="S66" s="77" t="inlineStr">
        <is>
          <t>Not evidenced</t>
        </is>
      </c>
      <c r="T66" s="77" t="inlineStr">
        <is>
          <t>Business Consultancy Project (BCP) [Faculty/school]</t>
        </is>
      </c>
      <c r="U66" s="77" t="inlineStr">
        <is>
          <t>Business/management: 1</t>
        </is>
      </c>
      <c r="V66" s="77" t="inlineStr">
        <is>
          <t>Several distributed routes</t>
        </is>
      </c>
      <c r="W66" s="77" t="inlineStr">
        <is>
          <t>Portsmouth has a clear, long-established flagship route in the Business School: the 20-credit Business Consultancy Project, where final-year undergraduate teams of 3-4 spend about ten weeks on a live challenge for a local SME or public/third-sector organisation, producing a consultancy report and a presentation with Q&amp;A to the client. Past clients named on the course page include Santander, Inovolt and Express FM, and the client page says applications for 2026 projects had closed, which supports current delivery. A separate Global MBA route runs 10-week team projects (June-September) for local SMEs, but its cohort dates and module are not evidenced. In computing, Computer Science lists a core 30-credit Industrial Team Project with an external client and an optional 20-credit Complex Problem Solving module using an industry partner's brief, though the pages are for September 2027 entry and give no duration, assessment or named partners. Law in Action has teams presenting to community organisations but the client role is unclear. Leads for the Architecture Project Office (extracurricular), Accounting Clinic, Marketing Consultancy Project and Creative Computing live briefs were not ve</t>
        </is>
      </c>
      <c r="X66" s="77" t="inlineStr">
        <is>
          <t>Business Consultancy Project module code, courses offering it and enrolment numbers not found. MBA route and the two Computer Science modules lack dated 2025/26-2026/27 corroboration (course pages show September 2027 entry). Architecture Project Office, Accounting Clinic, Marketing Consultancy Project and Creative Computing live-brief modules unverified. Health faculties (nursing, dentistry etc.) not searched in reduced-depth mode. Further departmental instances likely.</t>
        </is>
      </c>
    </row>
    <row r="67">
      <c r="A67" s="77" t="inlineStr">
        <is>
          <t>UK27</t>
        </is>
      </c>
      <c r="B67" s="79" t="inlineStr">
        <is>
          <t>Coventry</t>
        </is>
      </c>
      <c r="C67" s="77" t="inlineStr">
        <is>
          <t>UK</t>
        </is>
      </c>
      <c r="D67" s="77" t="inlineStr">
        <is>
          <t>Additional UK sample</t>
        </is>
      </c>
      <c r="E67" s="77" t="inlineStr">
        <is>
          <t>UK – additional</t>
        </is>
      </c>
      <c r="F67" s="77" t="n">
        <v>2027</v>
      </c>
      <c r="G67" s="77" t="n">
        <v>581</v>
      </c>
      <c r="H67" s="77" t="inlineStr">
        <is>
          <t>Complete</t>
        </is>
      </c>
      <c r="I67" s="77">
        <f>COUNTIFS('EL scheme register'!$A$7:$A$610,$A67,'EL scheme register'!$C$7:$C$610,"University-wide",'EL scheme register'!$AJ$7:$AJ$610,"Yes")</f>
        <v/>
      </c>
      <c r="J67" s="77">
        <f>COUNTIFS('EL scheme register'!$A$7:$A$610,$A67,'EL scheme register'!$C$7:$C$610,"Cross-faculty",'EL scheme register'!$AJ$7:$AJ$610,"Yes")</f>
        <v/>
      </c>
      <c r="K67" s="77">
        <f>COUNTIFS('EL scheme register'!$A$7:$A$610,$A67,'EL scheme register'!$C$7:$C$610,"Faculty/school",'EL scheme register'!$AJ$7:$AJ$610,"Yes")</f>
        <v/>
      </c>
      <c r="L67" s="77">
        <f>COUNTIFS('EL scheme register'!$A$7:$A$610,$A67,'EL scheme register'!$C$7:$C$610,"Programme/course",'EL scheme register'!$AJ$7:$AJ$610,"Yes")</f>
        <v/>
      </c>
      <c r="M67" s="77">
        <f>COUNTIFS('EL scheme register'!$A$7:$A$610,$A67,'EL scheme register'!$C$7:$C$610,"Unclear",'EL scheme register'!$AJ$7:$AJ$610,"Yes")</f>
        <v/>
      </c>
      <c r="N67" s="77">
        <f>SUM(I67:M67)</f>
        <v/>
      </c>
      <c r="O67" s="77">
        <f>COUNTIFS('EL scheme register'!$A$7:$A$610,$A67,'EL scheme register'!$AF$7:$AF$610,"Potentially relevant; evidence incomplete",'EL scheme register'!$AI$7:$AI$610,"Yes")</f>
        <v/>
      </c>
      <c r="P67" s="77">
        <f>COUNTIFS('EL scheme register'!$A$7:$A$610,$A67,'EL scheme register'!$AF$7:$AF$610,"Outside strict definition")</f>
        <v/>
      </c>
      <c r="Q67" s="77">
        <f>COUNTIF('EL exclusions &amp; gaps'!$B$7:$B$5000,$A67)</f>
        <v/>
      </c>
      <c r="R67" s="77" t="inlineStr">
        <is>
          <t>Not evidenced</t>
        </is>
      </c>
      <c r="S67" s="77" t="inlineStr">
        <is>
          <t>Not evidenced</t>
        </is>
      </c>
      <c r="T67" s="77" t="inlineStr">
        <is>
          <t>Industrial Group Project (MEng/BEng Mechanical Engineering) [Programme/course]</t>
        </is>
      </c>
      <c r="U67" s="77" t="inlineStr">
        <is>
          <t>Engineering/computing: 1</t>
        </is>
      </c>
      <c r="V67" s="77" t="inlineStr">
        <is>
          <t>Isolated departmental provision</t>
        </is>
      </c>
      <c r="W67" s="77" t="inlineStr">
        <is>
          <t>Reduced-depth review (about 12 searches plus page fetches). The strongest verified provision is in engineering: 60-credit Industrial Group Projects in MEng/BEng Computer Systems Engineering (compulsory in the MEng additional year; projects from industry collaborators or research groups, presented to academic staff and industry professionals) and Mechanical Engineering (groups define and solve a problem with industry collaborators and present to an industry client). Neither page states that every project has an external client, and the Computer Systems page mixes in internal research-group projects, so employer connection is rated Unclear for that route; the Mechanical page's course listing is for 2026-27 entry. In business, the Postgraduate Consultancy Project gives genuine company-set briefs but is individual (excluded); the Group Consulting Project at Coventry University London is a team format but an undated employer-facing offer with no credit or cohort evidence. Media, design and business-degree pages refer to real clients or live briefs, but group basis, client role and standard-ness are unevidenced. No university-wide or central route qualifies: Global Opportunities and Glob</t>
        </is>
      </c>
      <c r="X67" s="77" t="inlineStr">
        <is>
          <t>Not researched in depth: Manufacturing Engineering IGP Initiation/Execution (search summary only); Interactive Media Integrative Project; MA Product Design Innovation live briefs; Business Analytics and Marketing consultancy options; health and nursing; Coventry Law School beyond clinic; module specifications/handbooks (not fetched); Computer Science/Software Engineering group projects (no client evidence). Further departmental instances likely. WebFetch returned model-summarised extracts, not raw page text. Search results show 'Coventry Business School' and 'College of Business and Law' naming variants.</t>
        </is>
      </c>
    </row>
    <row r="68">
      <c r="A68" s="77" t="inlineStr">
        <is>
          <t>UK28</t>
        </is>
      </c>
      <c r="B68" s="79" t="inlineStr">
        <is>
          <t>Nottingham Trent</t>
        </is>
      </c>
      <c r="C68" s="77" t="inlineStr">
        <is>
          <t>UK</t>
        </is>
      </c>
      <c r="D68" s="77" t="inlineStr">
        <is>
          <t>Additional UK sample</t>
        </is>
      </c>
      <c r="E68" s="77" t="inlineStr">
        <is>
          <t>UK – additional</t>
        </is>
      </c>
      <c r="F68" s="77" t="n">
        <v>2027</v>
      </c>
      <c r="G68" s="77" t="n">
        <v>639</v>
      </c>
      <c r="H68" s="77" t="inlineStr">
        <is>
          <t>Complete</t>
        </is>
      </c>
      <c r="I68" s="77">
        <f>COUNTIFS('EL scheme register'!$A$7:$A$610,$A68,'EL scheme register'!$C$7:$C$610,"University-wide",'EL scheme register'!$AJ$7:$AJ$610,"Yes")</f>
        <v/>
      </c>
      <c r="J68" s="77">
        <f>COUNTIFS('EL scheme register'!$A$7:$A$610,$A68,'EL scheme register'!$C$7:$C$610,"Cross-faculty",'EL scheme register'!$AJ$7:$AJ$610,"Yes")</f>
        <v/>
      </c>
      <c r="K68" s="77">
        <f>COUNTIFS('EL scheme register'!$A$7:$A$610,$A68,'EL scheme register'!$C$7:$C$610,"Faculty/school",'EL scheme register'!$AJ$7:$AJ$610,"Yes")</f>
        <v/>
      </c>
      <c r="L68" s="77">
        <f>COUNTIFS('EL scheme register'!$A$7:$A$610,$A68,'EL scheme register'!$C$7:$C$610,"Programme/course",'EL scheme register'!$AJ$7:$AJ$610,"Yes")</f>
        <v/>
      </c>
      <c r="M68" s="77">
        <f>COUNTIFS('EL scheme register'!$A$7:$A$610,$A68,'EL scheme register'!$C$7:$C$610,"Unclear",'EL scheme register'!$AJ$7:$AJ$610,"Yes")</f>
        <v/>
      </c>
      <c r="N68" s="77">
        <f>SUM(I68:M68)</f>
        <v/>
      </c>
      <c r="O68" s="77">
        <f>COUNTIFS('EL scheme register'!$A$7:$A$610,$A68,'EL scheme register'!$AF$7:$AF$610,"Potentially relevant; evidence incomplete",'EL scheme register'!$AI$7:$AI$610,"Yes")</f>
        <v/>
      </c>
      <c r="P68" s="77">
        <f>COUNTIFS('EL scheme register'!$A$7:$A$610,$A68,'EL scheme register'!$AF$7:$AF$610,"Outside strict definition")</f>
        <v/>
      </c>
      <c r="Q68" s="77">
        <f>COUNTIF('EL exclusions &amp; gaps'!$B$7:$B$5000,$A68)</f>
        <v/>
      </c>
      <c r="R68" s="77" t="inlineStr">
        <is>
          <t>Not evidenced</t>
        </is>
      </c>
      <c r="S68" s="77" t="inlineStr">
        <is>
          <t>Not evidenced</t>
        </is>
      </c>
      <c r="T68" s="77" t="inlineStr">
        <is>
          <t>Postgraduate Consultancy Projects (Consultancy Experience Project) [Faculty/school]; Community Engaged Learning (CEL) [Cross-faculty]</t>
        </is>
      </c>
      <c r="U68" s="77" t="inlineStr">
        <is>
          <t>Business/management: 1; Central provision: 1; Arts/humanities/social sciences: 1</t>
        </is>
      </c>
      <c r="V68" s="77" t="inlineStr">
        <is>
          <t>Several distributed routes</t>
        </is>
      </c>
      <c r="W68" s="77" t="inlineStr">
        <is>
          <t>Nottingham Trent University has distributed employer-linked group provision, strongest in Nottingham Business School (NBS). - Business: NBS postgraduate consultancy projects put MSc/MBA teams with external clients (businesses, a primary school, charities), with client meetings, a final presentation with Q&amp;A and, for MSc, a 3,000-4,000 word report (current: Nov 2025 case news). NBSBright pairs final-year undergraduates with business challenges over about seven weeks, with 2026 dates (21 Sept-mid Nov 2026); team working is not stated in the extract. A core undergraduate module text describes teams addressing a live brief set by a real organisation (undated). - Central: Community Engaged Learning assigns student groups (a team of five in Sociology) to community partners on course-linked projects, with a 2026/27 timetable. Grads4Nottm is an extracurricular two-week employer-hosted group challenge; latest evidence is 2024. - Design: Product Design BA live group briefs with named industry clients; Co Lab cross-disciplinary projects set by charities or industry partners (both undated). - Engineering: Year 1 Design Challenge 'set by industry' in groups; external involvement unclear. Compul</t>
        </is>
      </c>
      <c r="X68" s="77" t="inlineStr">
        <is>
          <t>Direct page access blocked (403 / Cloudflare challenge), so no 'page text' retrieval. Science, Law, health, Computing and humanities live-brief modules not evidenced; further departmental instances likely. Credits, module codes and compulsory status mostly unresolved. Grads4Nottm has no 2025/26 evidence.</t>
        </is>
      </c>
    </row>
    <row r="69">
      <c r="A69" s="77" t="inlineStr">
        <is>
          <t>UK29</t>
        </is>
      </c>
      <c r="B69" s="79" t="inlineStr">
        <is>
          <t>Manchester Metropolitan</t>
        </is>
      </c>
      <c r="C69" s="77" t="inlineStr">
        <is>
          <t>UK</t>
        </is>
      </c>
      <c r="D69" s="77" t="inlineStr">
        <is>
          <t>Additional UK sample</t>
        </is>
      </c>
      <c r="E69" s="77" t="inlineStr">
        <is>
          <t>UK – additional</t>
        </is>
      </c>
      <c r="F69" s="77" t="n">
        <v>2027</v>
      </c>
      <c r="G69" s="77" t="n">
        <v>600</v>
      </c>
      <c r="H69" s="77" t="inlineStr">
        <is>
          <t>Complete</t>
        </is>
      </c>
      <c r="I69" s="77">
        <f>COUNTIFS('EL scheme register'!$A$7:$A$610,$A69,'EL scheme register'!$C$7:$C$610,"University-wide",'EL scheme register'!$AJ$7:$AJ$610,"Yes")</f>
        <v/>
      </c>
      <c r="J69" s="77">
        <f>COUNTIFS('EL scheme register'!$A$7:$A$610,$A69,'EL scheme register'!$C$7:$C$610,"Cross-faculty",'EL scheme register'!$AJ$7:$AJ$610,"Yes")</f>
        <v/>
      </c>
      <c r="K69" s="77">
        <f>COUNTIFS('EL scheme register'!$A$7:$A$610,$A69,'EL scheme register'!$C$7:$C$610,"Faculty/school",'EL scheme register'!$AJ$7:$AJ$610,"Yes")</f>
        <v/>
      </c>
      <c r="L69" s="77">
        <f>COUNTIFS('EL scheme register'!$A$7:$A$610,$A69,'EL scheme register'!$C$7:$C$610,"Programme/course",'EL scheme register'!$AJ$7:$AJ$610,"Yes")</f>
        <v/>
      </c>
      <c r="M69" s="77">
        <f>COUNTIFS('EL scheme register'!$A$7:$A$610,$A69,'EL scheme register'!$C$7:$C$610,"Unclear",'EL scheme register'!$AJ$7:$AJ$610,"Yes")</f>
        <v/>
      </c>
      <c r="N69" s="77">
        <f>SUM(I69:M69)</f>
        <v/>
      </c>
      <c r="O69" s="77">
        <f>COUNTIFS('EL scheme register'!$A$7:$A$610,$A69,'EL scheme register'!$AF$7:$AF$610,"Potentially relevant; evidence incomplete",'EL scheme register'!$AI$7:$AI$610,"Yes")</f>
        <v/>
      </c>
      <c r="P69" s="77">
        <f>COUNTIFS('EL scheme register'!$A$7:$A$610,$A69,'EL scheme register'!$AF$7:$AF$610,"Outside strict definition")</f>
        <v/>
      </c>
      <c r="Q69" s="77">
        <f>COUNTIF('EL exclusions &amp; gaps'!$B$7:$B$5000,$A69)</f>
        <v/>
      </c>
      <c r="R69" s="77" t="inlineStr">
        <is>
          <t>Not evidenced</t>
        </is>
      </c>
      <c r="S69" s="77" t="inlineStr">
        <is>
          <t>Not evidenced</t>
        </is>
      </c>
      <c r="T69" s="77" t="inlineStr"/>
      <c r="U69" s="77" t="inlineStr"/>
      <c r="V69" s="77" t="inlineStr">
        <is>
          <t>Several distributed routes</t>
        </is>
      </c>
      <c r="W69" s="77" t="inlineStr">
        <is>
          <t>Reduced-depth review (about 11 searches plus page fetches). Manchester Met advertises live-project learning in several places, but no route could be verified as meeting group, project and external-client criteria together with current delivery. The strongest lead is Engaging the Humanities, a 15-credit Level 5 unit compulsory since 2023/24 for History, Politics, IR and Philosophy students, in which interdisciplinary groups work on live briefs co-developed with DEFRA, the National Archives and Manchester Histories (164 students in 2024). External coverage per cohort is unclear because internal teams also co-develop briefs, and 2025/26 delivery is undated. Central routes: the Student projects and consultancy service (organisations commission staff-supervised student projects, reported as report/presentation) and Rise project challenges (problems posed by city advocates) involve external bodies, but team structure is not stated. Rise itself is a co-curricular points framework and is not counted. The Faculty of Health and Education WIL offer allows live briefs individually or in small groups (not separable). Engineering lists a core Year 2 Group Project and employer-set live projects b</t>
        </is>
      </c>
      <c r="X69" s="77" t="inlineStr">
        <is>
          <t>Unit specifications for Engineering Group Project, MSc Management/MBA live client projects, Art and Design live briefs, Law clinics not retrieved. The Innovate blog and department collaborative-projects page were not openable (403/404); Engaging the Humanities evidence is search extract only. Rise project-challenge listings, team structure and dates not obtained. Further departmental instances likely.</t>
        </is>
      </c>
    </row>
    <row r="70">
      <c r="A70" s="77" t="inlineStr">
        <is>
          <t>UK30</t>
        </is>
      </c>
      <c r="B70" s="79" t="inlineStr">
        <is>
          <t>Plymouth</t>
        </is>
      </c>
      <c r="C70" s="77" t="inlineStr">
        <is>
          <t>UK</t>
        </is>
      </c>
      <c r="D70" s="77" t="inlineStr">
        <is>
          <t>Additional UK sample</t>
        </is>
      </c>
      <c r="E70" s="77" t="inlineStr">
        <is>
          <t>UK – additional</t>
        </is>
      </c>
      <c r="F70" s="77" t="n">
        <v>2027</v>
      </c>
      <c r="G70" s="77" t="n">
        <v>691</v>
      </c>
      <c r="H70" s="77" t="inlineStr">
        <is>
          <t>Complete</t>
        </is>
      </c>
      <c r="I70" s="77">
        <f>COUNTIFS('EL scheme register'!$A$7:$A$610,$A70,'EL scheme register'!$C$7:$C$610,"University-wide",'EL scheme register'!$AJ$7:$AJ$610,"Yes")</f>
        <v/>
      </c>
      <c r="J70" s="77">
        <f>COUNTIFS('EL scheme register'!$A$7:$A$610,$A70,'EL scheme register'!$C$7:$C$610,"Cross-faculty",'EL scheme register'!$AJ$7:$AJ$610,"Yes")</f>
        <v/>
      </c>
      <c r="K70" s="77">
        <f>COUNTIFS('EL scheme register'!$A$7:$A$610,$A70,'EL scheme register'!$C$7:$C$610,"Faculty/school",'EL scheme register'!$AJ$7:$AJ$610,"Yes")</f>
        <v/>
      </c>
      <c r="L70" s="77">
        <f>COUNTIFS('EL scheme register'!$A$7:$A$610,$A70,'EL scheme register'!$C$7:$C$610,"Programme/course",'EL scheme register'!$AJ$7:$AJ$610,"Yes")</f>
        <v/>
      </c>
      <c r="M70" s="77">
        <f>COUNTIFS('EL scheme register'!$A$7:$A$610,$A70,'EL scheme register'!$C$7:$C$610,"Unclear",'EL scheme register'!$AJ$7:$AJ$610,"Yes")</f>
        <v/>
      </c>
      <c r="N70" s="77">
        <f>SUM(I70:M70)</f>
        <v/>
      </c>
      <c r="O70" s="77">
        <f>COUNTIFS('EL scheme register'!$A$7:$A$610,$A70,'EL scheme register'!$AF$7:$AF$610,"Potentially relevant; evidence incomplete",'EL scheme register'!$AI$7:$AI$610,"Yes")</f>
        <v/>
      </c>
      <c r="P70" s="77">
        <f>COUNTIFS('EL scheme register'!$A$7:$A$610,$A70,'EL scheme register'!$AF$7:$AF$610,"Outside strict definition")</f>
        <v/>
      </c>
      <c r="Q70" s="77">
        <f>COUNTIF('EL exclusions &amp; gaps'!$B$7:$B$5000,$A70)</f>
        <v/>
      </c>
      <c r="R70" s="77" t="inlineStr">
        <is>
          <t>Not evidenced</t>
        </is>
      </c>
      <c r="S70" s="77" t="inlineStr">
        <is>
          <t>Not evidenced</t>
        </is>
      </c>
      <c r="T70" s="77" t="inlineStr"/>
      <c r="U70" s="77" t="inlineStr"/>
      <c r="V70" s="77" t="inlineStr">
        <is>
          <t>Several distributed routes</t>
        </is>
      </c>
      <c r="W70" s="77" t="inlineStr">
        <is>
          <t>Plymouth shows distributed, programme-level provision rather than an institution-wide scheme. The clearest route is the core 30-credit MBA module Leading Change, People and Projects: teams spend 10-14 weeks on a real organisational brief and present to the client organisation. Architecture runs live design-build projects for external clients (Dartington Hall Trust; a primary school) with student groups, though the page is undated. Photography (Year 1 core MEDI423) has teams tackle a live brief from a creative-industry client, and Creative Media has core external-partner modules, but deliverables are unspecified. Inspiring Futures, the Faculty of Arts, Humanities and Business knowledge-exchange scheme, hosts named businesses and charities, but group versus individual routes cannot be separated. Business Management with Foundation Year BUSM3004 (team, real business or community project) and MEng PROJ500 (team prototype, problems from industry, commerce or research) lack evidence of an external organisation's role. Careers-run BOOST and Challenge Connect events could not be confirmed. Delivery years are mostly undated, so current status is unclear for most routes. No science, social s</t>
        </is>
      </c>
      <c r="X70" s="77" t="inlineStr">
        <is>
          <t>Most pages undated (only BUSM3004 corroborated by 2026-27 fee tables); module handbooks and assessment details not opened; BOOST/Challenge Connect, Year 2 Business Challenge, STO6005, STO312 (partner-delivered) unverified; further departmental instances likely (design, media, engineering, nursing/health); reduced-depth mode with about 10 searches plus page fetches.</t>
        </is>
      </c>
    </row>
    <row r="71">
      <c r="A71" s="77" t="inlineStr">
        <is>
          <t>US01</t>
        </is>
      </c>
      <c r="B71" s="79" t="inlineStr">
        <is>
          <t>Massachusetts Institute of Technology</t>
        </is>
      </c>
      <c r="C71" s="77" t="inlineStr">
        <is>
          <t>US</t>
        </is>
      </c>
      <c r="D71" s="77" t="inlineStr">
        <is>
          <t>US sample</t>
        </is>
      </c>
      <c r="E71" s="77" t="inlineStr">
        <is>
          <t>US</t>
        </is>
      </c>
      <c r="F71" s="77" t="n">
        <v>2027</v>
      </c>
      <c r="G71" s="77" t="n">
        <v>1</v>
      </c>
      <c r="H71" s="77" t="inlineStr">
        <is>
          <t>Complete</t>
        </is>
      </c>
      <c r="I71" s="77">
        <f>COUNTIFS('EL scheme register'!$A$7:$A$610,$A71,'EL scheme register'!$C$7:$C$610,"University-wide",'EL scheme register'!$AJ$7:$AJ$610,"Yes")</f>
        <v/>
      </c>
      <c r="J71" s="77">
        <f>COUNTIFS('EL scheme register'!$A$7:$A$610,$A71,'EL scheme register'!$C$7:$C$610,"Cross-faculty",'EL scheme register'!$AJ$7:$AJ$610,"Yes")</f>
        <v/>
      </c>
      <c r="K71" s="77">
        <f>COUNTIFS('EL scheme register'!$A$7:$A$610,$A71,'EL scheme register'!$C$7:$C$610,"Faculty/school",'EL scheme register'!$AJ$7:$AJ$610,"Yes")</f>
        <v/>
      </c>
      <c r="L71" s="77">
        <f>COUNTIFS('EL scheme register'!$A$7:$A$610,$A71,'EL scheme register'!$C$7:$C$610,"Programme/course",'EL scheme register'!$AJ$7:$AJ$610,"Yes")</f>
        <v/>
      </c>
      <c r="M71" s="77">
        <f>COUNTIFS('EL scheme register'!$A$7:$A$610,$A71,'EL scheme register'!$C$7:$C$610,"Unclear",'EL scheme register'!$AJ$7:$AJ$610,"Yes")</f>
        <v/>
      </c>
      <c r="N71" s="77">
        <f>SUM(I71:M71)</f>
        <v/>
      </c>
      <c r="O71" s="77">
        <f>COUNTIFS('EL scheme register'!$A$7:$A$610,$A71,'EL scheme register'!$AF$7:$AF$610,"Potentially relevant; evidence incomplete",'EL scheme register'!$AI$7:$AI$610,"Yes")</f>
        <v/>
      </c>
      <c r="P71" s="77">
        <f>COUNTIFS('EL scheme register'!$A$7:$A$610,$A71,'EL scheme register'!$AF$7:$AF$610,"Outside strict definition")</f>
        <v/>
      </c>
      <c r="Q71" s="77">
        <f>COUNTIF('EL exclusions &amp; gaps'!$B$7:$B$5000,$A71)</f>
        <v/>
      </c>
      <c r="R71" s="77" t="inlineStr">
        <is>
          <t>Not evidenced</t>
        </is>
      </c>
      <c r="S71" s="77" t="inlineStr">
        <is>
          <t>Not evidenced</t>
        </is>
      </c>
      <c r="T71" s="77" t="inlineStr">
        <is>
          <t>MIT Sloan Action Learning Labs (Multiple labs (e.g. Asia/ASEAN Lab, GO-Lab, Finance Lab, Sustainable Business Lab, Work Lab 15.679)) [Faculty/school]</t>
        </is>
      </c>
      <c r="U71" s="77" t="inlineStr">
        <is>
          <t>Business/management: 1</t>
        </is>
      </c>
      <c r="V71" s="77" t="inlineStr">
        <is>
          <t>Several distributed routes</t>
        </is>
      </c>
      <c r="W71" s="77" t="inlineStr">
        <is>
          <t>MIT's employer-linked group project provision is concentrated in graduate professional programmes, with no institute-wide scheme verified. The clearest route is MIT Sloan Action Learning: four-person teams with a faculty mentor tackle a host organisation's real problem and deliver options and recommendations; hosts name an executive sponsor and contact and fund travel, and Sloan reports work with over 2,700 organisations. Further Sloan routes are the MBA-core OP Team Project (teams of six, live company case, all first-year MBAs) and the Master of Business Analytics capstone (38 external sponsors in 2025, mostly student pairs, sponsors provide a staff mentor and data). Engineering-side master's routes are the Supply Chain Management capstone (10-month sponsor-defined projects) and the SDM spring project (industry, government and non-profit partners), and D-Lab and DUSP offer partner/client semester projects. Undergraduate options are thin: NEET is team- and project-based with industry sponsorship but no employer-set group project was evidenced, and UROP is individual research. Most records rest on undated pages, so current delivery is confirmed only for Action Learning (Work Lab, sp</t>
        </is>
      </c>
      <c r="X71" s="77" t="inlineStr">
        <is>
          <t>Session limit stopped further fetches: SCM page not opened by WebFetch (summary only); undergraduate departmental capstones (1.013, 16.82, 6.UAP etc.), Gordon Engineering Leadership, UPOP, MISTI, Media Lab and Architecture not researched; science area had only one query; further departmental instances likely. Credit, compulsory status and dated delivery missing for S2-S7. WebFetch summaries (small model) rather than verbatim quotes.</t>
        </is>
      </c>
    </row>
    <row r="72">
      <c r="A72" s="77" t="inlineStr">
        <is>
          <t>US02</t>
        </is>
      </c>
      <c r="B72" s="79" t="inlineStr">
        <is>
          <t>Harvard</t>
        </is>
      </c>
      <c r="C72" s="77" t="inlineStr">
        <is>
          <t>US</t>
        </is>
      </c>
      <c r="D72" s="77" t="inlineStr">
        <is>
          <t>US sample</t>
        </is>
      </c>
      <c r="E72" s="77" t="inlineStr">
        <is>
          <t>US</t>
        </is>
      </c>
      <c r="F72" s="77" t="n">
        <v>2027</v>
      </c>
      <c r="G72" s="77" t="n">
        <v>5</v>
      </c>
      <c r="H72" s="77" t="inlineStr">
        <is>
          <t>Complete</t>
        </is>
      </c>
      <c r="I72" s="77">
        <f>COUNTIFS('EL scheme register'!$A$7:$A$610,$A72,'EL scheme register'!$C$7:$C$610,"University-wide",'EL scheme register'!$AJ$7:$AJ$610,"Yes")</f>
        <v/>
      </c>
      <c r="J72" s="77">
        <f>COUNTIFS('EL scheme register'!$A$7:$A$610,$A72,'EL scheme register'!$C$7:$C$610,"Cross-faculty",'EL scheme register'!$AJ$7:$AJ$610,"Yes")</f>
        <v/>
      </c>
      <c r="K72" s="77">
        <f>COUNTIFS('EL scheme register'!$A$7:$A$610,$A72,'EL scheme register'!$C$7:$C$610,"Faculty/school",'EL scheme register'!$AJ$7:$AJ$610,"Yes")</f>
        <v/>
      </c>
      <c r="L72" s="77">
        <f>COUNTIFS('EL scheme register'!$A$7:$A$610,$A72,'EL scheme register'!$C$7:$C$610,"Programme/course",'EL scheme register'!$AJ$7:$AJ$610,"Yes")</f>
        <v/>
      </c>
      <c r="M72" s="77">
        <f>COUNTIFS('EL scheme register'!$A$7:$A$610,$A72,'EL scheme register'!$C$7:$C$610,"Unclear",'EL scheme register'!$AJ$7:$AJ$610,"Yes")</f>
        <v/>
      </c>
      <c r="N72" s="77">
        <f>SUM(I72:M72)</f>
        <v/>
      </c>
      <c r="O72" s="77">
        <f>COUNTIFS('EL scheme register'!$A$7:$A$610,$A72,'EL scheme register'!$AF$7:$AF$610,"Potentially relevant; evidence incomplete",'EL scheme register'!$AI$7:$AI$610,"Yes")</f>
        <v/>
      </c>
      <c r="P72" s="77">
        <f>COUNTIFS('EL scheme register'!$A$7:$A$610,$A72,'EL scheme register'!$AF$7:$AF$610,"Outside strict definition")</f>
        <v/>
      </c>
      <c r="Q72" s="77">
        <f>COUNTIF('EL exclusions &amp; gaps'!$B$7:$B$5000,$A72)</f>
        <v/>
      </c>
      <c r="R72" s="77" t="inlineStr">
        <is>
          <t>Not evidenced</t>
        </is>
      </c>
      <c r="S72" s="77" t="inlineStr">
        <is>
          <t>Not evidenced</t>
        </is>
      </c>
      <c r="T72" s="77" t="inlineStr">
        <is>
          <t>FIELD Global Capstone (CAP), formerly FIELD Global Immersion (CAP) [Programme/course]; Computational Science and Engineering Capstone Project (APCOMP 297R) (APCOMP 297R) [Programme/course]</t>
        </is>
      </c>
      <c r="U72" s="77" t="inlineStr">
        <is>
          <t>Business/management: 1; Engineering/computing: 1</t>
        </is>
      </c>
      <c r="V72" s="77" t="inlineStr">
        <is>
          <t>Several distributed routes</t>
        </is>
      </c>
      <c r="W72" s="77" t="inlineStr">
        <is>
          <t>Harvard's verified employer-linked group provision sits in separate professional-school and programme routes rather than a central scheme. The strongest is the HBS FIELD Global Capstone: a required first-year MBA course in which teams of six work with a partner company abroad to design a new product or service for local consumers (immersion 11-18 May 2026). The SEAS/IACS Computational Science and Engineering Capstone (APCOMP 297R) puts groups of 3-4 on real-world projects for partner organizations, with a Fall 2026 section listed and named past partners such as Biogen, Spotify and Unspace; whether it is compulsory is unknown. The Harvard Law School Dispute Systems Design Clinic fits all three criteria (teams of 2-3, weekly client meetings, final report) but is undated, so current delivery is unclear. The Kennedy School Policy Analysis Exercise is a compulsory MPP capstone for public or nonprofit clients, but sources conflict on whether students work alone or in small groups. The legacy lead, the Mindich Program in Engaged Scholarship, offers about 60 community-engaged undergraduate courses a year, but its pages do not show group projects with partner organizations, so it is recorde</t>
        </is>
      </c>
      <c r="X72" s="77" t="inlineStr">
        <is>
          <t>Reduced-depth review (about 14 searches plus page fetches). Several Harvard pages returned 403/404 to WebFetch (iacs.seas capstone, designfair, HBS handbook), so some evidence is search-index text. Not covered: Mindich course-level projects (GOV 1022 etc.), Harvard Innovation Labs, HGSE, HSPH, Harvard Medical School, GSD studios, Harvard Law SPOs/other clinics, Harvard Extension, further SEAS and FAS undergraduate courses; further departmental instances likely.</t>
        </is>
      </c>
    </row>
    <row r="73">
      <c r="A73" s="77" t="inlineStr">
        <is>
          <t>US03</t>
        </is>
      </c>
      <c r="B73" s="79" t="inlineStr">
        <is>
          <t>Stanford</t>
        </is>
      </c>
      <c r="C73" s="77" t="inlineStr">
        <is>
          <t>US</t>
        </is>
      </c>
      <c r="D73" s="77" t="inlineStr">
        <is>
          <t>US sample</t>
        </is>
      </c>
      <c r="E73" s="77" t="inlineStr">
        <is>
          <t>US</t>
        </is>
      </c>
      <c r="F73" s="77" t="n">
        <v>2027</v>
      </c>
      <c r="G73" s="77" t="n">
        <v>2</v>
      </c>
      <c r="H73" s="77" t="inlineStr">
        <is>
          <t>Not started</t>
        </is>
      </c>
      <c r="I73" s="77">
        <f>COUNTIFS('EL scheme register'!$A$7:$A$610,$A73,'EL scheme register'!$C$7:$C$610,"University-wide",'EL scheme register'!$AJ$7:$AJ$610,"Yes")</f>
        <v/>
      </c>
      <c r="J73" s="77">
        <f>COUNTIFS('EL scheme register'!$A$7:$A$610,$A73,'EL scheme register'!$C$7:$C$610,"Cross-faculty",'EL scheme register'!$AJ$7:$AJ$610,"Yes")</f>
        <v/>
      </c>
      <c r="K73" s="77">
        <f>COUNTIFS('EL scheme register'!$A$7:$A$610,$A73,'EL scheme register'!$C$7:$C$610,"Faculty/school",'EL scheme register'!$AJ$7:$AJ$610,"Yes")</f>
        <v/>
      </c>
      <c r="L73" s="77">
        <f>COUNTIFS('EL scheme register'!$A$7:$A$610,$A73,'EL scheme register'!$C$7:$C$610,"Programme/course",'EL scheme register'!$AJ$7:$AJ$610,"Yes")</f>
        <v/>
      </c>
      <c r="M73" s="77">
        <f>COUNTIFS('EL scheme register'!$A$7:$A$610,$A73,'EL scheme register'!$C$7:$C$610,"Unclear",'EL scheme register'!$AJ$7:$AJ$610,"Yes")</f>
        <v/>
      </c>
      <c r="N73" s="77">
        <f>SUM(I73:M73)</f>
        <v/>
      </c>
      <c r="O73" s="77">
        <f>COUNTIFS('EL scheme register'!$A$7:$A$610,$A73,'EL scheme register'!$AF$7:$AF$610,"Potentially relevant; evidence incomplete",'EL scheme register'!$AI$7:$AI$610,"Yes")</f>
        <v/>
      </c>
      <c r="P73" s="77">
        <f>COUNTIFS('EL scheme register'!$A$7:$A$610,$A73,'EL scheme register'!$AF$7:$AF$610,"Outside strict definition")</f>
        <v/>
      </c>
      <c r="Q73" s="77">
        <f>COUNTIF('EL exclusions &amp; gaps'!$B$7:$B$5000,$A73)</f>
        <v/>
      </c>
      <c r="R73" s="77" t="inlineStr">
        <is>
          <t>Not reviewed</t>
        </is>
      </c>
      <c r="S73" s="77" t="inlineStr">
        <is>
          <t>Not reviewed</t>
        </is>
      </c>
      <c r="T73" s="77" t="inlineStr"/>
      <c r="U73" s="77" t="inlineStr"/>
      <c r="V73" s="77" t="inlineStr">
        <is>
          <t>Not reviewed</t>
        </is>
      </c>
      <c r="W73" s="77" t="inlineStr"/>
      <c r="X73" s="77" t="inlineStr"/>
    </row>
    <row r="74">
      <c r="A74" s="77" t="inlineStr">
        <is>
          <t>US04</t>
        </is>
      </c>
      <c r="B74" s="79" t="inlineStr">
        <is>
          <t>California Institute of Technology</t>
        </is>
      </c>
      <c r="C74" s="77" t="inlineStr">
        <is>
          <t>US</t>
        </is>
      </c>
      <c r="D74" s="77" t="inlineStr">
        <is>
          <t>US sample</t>
        </is>
      </c>
      <c r="E74" s="77" t="inlineStr">
        <is>
          <t>US</t>
        </is>
      </c>
      <c r="F74" s="77" t="n">
        <v>2027</v>
      </c>
      <c r="G74" s="77" t="n">
        <v>7</v>
      </c>
      <c r="H74" s="77" t="inlineStr">
        <is>
          <t>Not started</t>
        </is>
      </c>
      <c r="I74" s="77">
        <f>COUNTIFS('EL scheme register'!$A$7:$A$610,$A74,'EL scheme register'!$C$7:$C$610,"University-wide",'EL scheme register'!$AJ$7:$AJ$610,"Yes")</f>
        <v/>
      </c>
      <c r="J74" s="77">
        <f>COUNTIFS('EL scheme register'!$A$7:$A$610,$A74,'EL scheme register'!$C$7:$C$610,"Cross-faculty",'EL scheme register'!$AJ$7:$AJ$610,"Yes")</f>
        <v/>
      </c>
      <c r="K74" s="77">
        <f>COUNTIFS('EL scheme register'!$A$7:$A$610,$A74,'EL scheme register'!$C$7:$C$610,"Faculty/school",'EL scheme register'!$AJ$7:$AJ$610,"Yes")</f>
        <v/>
      </c>
      <c r="L74" s="77">
        <f>COUNTIFS('EL scheme register'!$A$7:$A$610,$A74,'EL scheme register'!$C$7:$C$610,"Programme/course",'EL scheme register'!$AJ$7:$AJ$610,"Yes")</f>
        <v/>
      </c>
      <c r="M74" s="77">
        <f>COUNTIFS('EL scheme register'!$A$7:$A$610,$A74,'EL scheme register'!$C$7:$C$610,"Unclear",'EL scheme register'!$AJ$7:$AJ$610,"Yes")</f>
        <v/>
      </c>
      <c r="N74" s="77">
        <f>SUM(I74:M74)</f>
        <v/>
      </c>
      <c r="O74" s="77">
        <f>COUNTIFS('EL scheme register'!$A$7:$A$610,$A74,'EL scheme register'!$AF$7:$AF$610,"Potentially relevant; evidence incomplete",'EL scheme register'!$AI$7:$AI$610,"Yes")</f>
        <v/>
      </c>
      <c r="P74" s="77">
        <f>COUNTIFS('EL scheme register'!$A$7:$A$610,$A74,'EL scheme register'!$AF$7:$AF$610,"Outside strict definition")</f>
        <v/>
      </c>
      <c r="Q74" s="77">
        <f>COUNTIF('EL exclusions &amp; gaps'!$B$7:$B$5000,$A74)</f>
        <v/>
      </c>
      <c r="R74" s="77" t="inlineStr">
        <is>
          <t>Not reviewed</t>
        </is>
      </c>
      <c r="S74" s="77" t="inlineStr">
        <is>
          <t>Not reviewed</t>
        </is>
      </c>
      <c r="T74" s="77" t="inlineStr"/>
      <c r="U74" s="77" t="inlineStr"/>
      <c r="V74" s="77" t="inlineStr">
        <is>
          <t>Not reviewed</t>
        </is>
      </c>
      <c r="W74" s="77" t="inlineStr"/>
      <c r="X74" s="77" t="inlineStr"/>
    </row>
    <row r="75">
      <c r="A75" s="77" t="inlineStr">
        <is>
          <t>US05</t>
        </is>
      </c>
      <c r="B75" s="79" t="inlineStr">
        <is>
          <t>California Berkeley</t>
        </is>
      </c>
      <c r="C75" s="77" t="inlineStr">
        <is>
          <t>US</t>
        </is>
      </c>
      <c r="D75" s="77" t="inlineStr">
        <is>
          <t>US sample</t>
        </is>
      </c>
      <c r="E75" s="77" t="inlineStr">
        <is>
          <t>US</t>
        </is>
      </c>
      <c r="F75" s="77" t="n">
        <v>2027</v>
      </c>
      <c r="G75" s="77" t="n">
        <v>20</v>
      </c>
      <c r="H75" s="77" t="inlineStr">
        <is>
          <t>Partial</t>
        </is>
      </c>
      <c r="I75" s="77">
        <f>COUNTIFS('EL scheme register'!$A$7:$A$610,$A75,'EL scheme register'!$C$7:$C$610,"University-wide",'EL scheme register'!$AJ$7:$AJ$610,"Yes")</f>
        <v/>
      </c>
      <c r="J75" s="77">
        <f>COUNTIFS('EL scheme register'!$A$7:$A$610,$A75,'EL scheme register'!$C$7:$C$610,"Cross-faculty",'EL scheme register'!$AJ$7:$AJ$610,"Yes")</f>
        <v/>
      </c>
      <c r="K75" s="77">
        <f>COUNTIFS('EL scheme register'!$A$7:$A$610,$A75,'EL scheme register'!$C$7:$C$610,"Faculty/school",'EL scheme register'!$AJ$7:$AJ$610,"Yes")</f>
        <v/>
      </c>
      <c r="L75" s="77">
        <f>COUNTIFS('EL scheme register'!$A$7:$A$610,$A75,'EL scheme register'!$C$7:$C$610,"Programme/course",'EL scheme register'!$AJ$7:$AJ$610,"Yes")</f>
        <v/>
      </c>
      <c r="M75" s="77">
        <f>COUNTIFS('EL scheme register'!$A$7:$A$610,$A75,'EL scheme register'!$C$7:$C$610,"Unclear",'EL scheme register'!$AJ$7:$AJ$610,"Yes")</f>
        <v/>
      </c>
      <c r="N75" s="77">
        <f>SUM(I75:M75)</f>
        <v/>
      </c>
      <c r="O75" s="77">
        <f>COUNTIFS('EL scheme register'!$A$7:$A$610,$A75,'EL scheme register'!$AF$7:$AF$610,"Potentially relevant; evidence incomplete",'EL scheme register'!$AI$7:$AI$610,"Yes")</f>
        <v/>
      </c>
      <c r="P75" s="77">
        <f>COUNTIFS('EL scheme register'!$A$7:$A$610,$A75,'EL scheme register'!$AF$7:$AF$610,"Outside strict definition")</f>
        <v/>
      </c>
      <c r="Q75" s="77">
        <f>COUNTIF('EL exclusions &amp; gaps'!$B$7:$B$5000,$A75)</f>
        <v/>
      </c>
      <c r="R75" s="77" t="inlineStr">
        <is>
          <t>Not evidenced</t>
        </is>
      </c>
      <c r="S75" s="77" t="inlineStr">
        <is>
          <t>Not evidenced</t>
        </is>
      </c>
      <c r="T75" s="77" t="inlineStr"/>
      <c r="U75" s="77" t="inlineStr"/>
      <c r="V75" s="77" t="inlineStr">
        <is>
          <t>Several distributed routes</t>
        </is>
      </c>
      <c r="W75" s="77" t="inlineStr">
        <is>
          <t>Berkeley's documented employer-linked group project routes are distributed across graduate schools rather than institution-wide. The Goldman School's Introduction to Policy Analysis (S1) places teams of four to six first-year MPP students with public-sector agencies and NGOs, producing a report and presentation (Spring 2027 call open). Engineering's MEng Capstone (S2) runs nine-month teams of three to five on industry-proposed projects, but the page also describes faculty-involved projects, so external sponsorship across all teams is unproven. Data Science Discovery (S3) offers mentor-set projects with teams of 1-5, partly academic mentors, so group and employer criteria are unclear. Haas offers Social Sector Solutions (nonprofit client teams of 5-7), Haas@Work (firm challenges) and Startup Lab, all MBA or graduate-led with weak current-year evidence. The legacy Berkeley Discovery framework is a platform, not a scheme. No undergraduate curricular route meeting all three criteria was verified; participation is optional or programme-specific, with no institution-wide route found. No participation numbers were located.</t>
        </is>
      </c>
      <c r="X75" s="77" t="inlineStr">
        <is>
          <t>Undergraduate humanities/social science and EECS/Data Science routes not searched (limit). Current-year evidence absent for most Haas routes. Compulsory status of IPA and MEng capstone unconfirmed. Further departmental capstones likely exist. | PARTIAL REVIEW — remaining: Session search limit hit after about 12 searches/fetches. Not run: a humanities/social-science undergraduate query and an EECS/Data Science undergraduate industry-project query; also Fung Fellowship, Deep Tech Innovation Lab, MSSE capstone and Haas IBD need opening; current-year (2025/26-2026/27) evidence for S1, S2, S4-S6 still needed.</t>
        </is>
      </c>
    </row>
    <row r="76">
      <c r="A76" s="77" t="inlineStr">
        <is>
          <t>US06</t>
        </is>
      </c>
      <c r="B76" s="79" t="inlineStr">
        <is>
          <t>Chicago</t>
        </is>
      </c>
      <c r="C76" s="77" t="inlineStr">
        <is>
          <t>US</t>
        </is>
      </c>
      <c r="D76" s="77" t="inlineStr">
        <is>
          <t>US sample</t>
        </is>
      </c>
      <c r="E76" s="77" t="inlineStr">
        <is>
          <t>US</t>
        </is>
      </c>
      <c r="F76" s="77" t="n">
        <v>2027</v>
      </c>
      <c r="G76" s="77" t="n">
        <v>24</v>
      </c>
      <c r="H76" s="77" t="inlineStr">
        <is>
          <t>Not started</t>
        </is>
      </c>
      <c r="I76" s="77">
        <f>COUNTIFS('EL scheme register'!$A$7:$A$610,$A76,'EL scheme register'!$C$7:$C$610,"University-wide",'EL scheme register'!$AJ$7:$AJ$610,"Yes")</f>
        <v/>
      </c>
      <c r="J76" s="77">
        <f>COUNTIFS('EL scheme register'!$A$7:$A$610,$A76,'EL scheme register'!$C$7:$C$610,"Cross-faculty",'EL scheme register'!$AJ$7:$AJ$610,"Yes")</f>
        <v/>
      </c>
      <c r="K76" s="77">
        <f>COUNTIFS('EL scheme register'!$A$7:$A$610,$A76,'EL scheme register'!$C$7:$C$610,"Faculty/school",'EL scheme register'!$AJ$7:$AJ$610,"Yes")</f>
        <v/>
      </c>
      <c r="L76" s="77">
        <f>COUNTIFS('EL scheme register'!$A$7:$A$610,$A76,'EL scheme register'!$C$7:$C$610,"Programme/course",'EL scheme register'!$AJ$7:$AJ$610,"Yes")</f>
        <v/>
      </c>
      <c r="M76" s="77">
        <f>COUNTIFS('EL scheme register'!$A$7:$A$610,$A76,'EL scheme register'!$C$7:$C$610,"Unclear",'EL scheme register'!$AJ$7:$AJ$610,"Yes")</f>
        <v/>
      </c>
      <c r="N76" s="77">
        <f>SUM(I76:M76)</f>
        <v/>
      </c>
      <c r="O76" s="77">
        <f>COUNTIFS('EL scheme register'!$A$7:$A$610,$A76,'EL scheme register'!$AF$7:$AF$610,"Potentially relevant; evidence incomplete",'EL scheme register'!$AI$7:$AI$610,"Yes")</f>
        <v/>
      </c>
      <c r="P76" s="77">
        <f>COUNTIFS('EL scheme register'!$A$7:$A$610,$A76,'EL scheme register'!$AF$7:$AF$610,"Outside strict definition")</f>
        <v/>
      </c>
      <c r="Q76" s="77">
        <f>COUNTIF('EL exclusions &amp; gaps'!$B$7:$B$5000,$A76)</f>
        <v/>
      </c>
      <c r="R76" s="77" t="inlineStr">
        <is>
          <t>Not reviewed</t>
        </is>
      </c>
      <c r="S76" s="77" t="inlineStr">
        <is>
          <t>Not reviewed</t>
        </is>
      </c>
      <c r="T76" s="77" t="inlineStr"/>
      <c r="U76" s="77" t="inlineStr"/>
      <c r="V76" s="77" t="inlineStr">
        <is>
          <t>Not reviewed</t>
        </is>
      </c>
      <c r="W76" s="77" t="inlineStr"/>
      <c r="X76" s="77" t="inlineStr"/>
    </row>
    <row r="77">
      <c r="A77" s="77" t="inlineStr">
        <is>
          <t>US07</t>
        </is>
      </c>
      <c r="B77" s="79" t="inlineStr">
        <is>
          <t>Pennsylvania</t>
        </is>
      </c>
      <c r="C77" s="77" t="inlineStr">
        <is>
          <t>US</t>
        </is>
      </c>
      <c r="D77" s="77" t="inlineStr">
        <is>
          <t>US sample</t>
        </is>
      </c>
      <c r="E77" s="77" t="inlineStr">
        <is>
          <t>US</t>
        </is>
      </c>
      <c r="F77" s="77" t="n">
        <v>2027</v>
      </c>
      <c r="G77" s="77" t="n">
        <v>15</v>
      </c>
      <c r="H77" s="77" t="inlineStr">
        <is>
          <t>Not started</t>
        </is>
      </c>
      <c r="I77" s="77">
        <f>COUNTIFS('EL scheme register'!$A$7:$A$610,$A77,'EL scheme register'!$C$7:$C$610,"University-wide",'EL scheme register'!$AJ$7:$AJ$610,"Yes")</f>
        <v/>
      </c>
      <c r="J77" s="77">
        <f>COUNTIFS('EL scheme register'!$A$7:$A$610,$A77,'EL scheme register'!$C$7:$C$610,"Cross-faculty",'EL scheme register'!$AJ$7:$AJ$610,"Yes")</f>
        <v/>
      </c>
      <c r="K77" s="77">
        <f>COUNTIFS('EL scheme register'!$A$7:$A$610,$A77,'EL scheme register'!$C$7:$C$610,"Faculty/school",'EL scheme register'!$AJ$7:$AJ$610,"Yes")</f>
        <v/>
      </c>
      <c r="L77" s="77">
        <f>COUNTIFS('EL scheme register'!$A$7:$A$610,$A77,'EL scheme register'!$C$7:$C$610,"Programme/course",'EL scheme register'!$AJ$7:$AJ$610,"Yes")</f>
        <v/>
      </c>
      <c r="M77" s="77">
        <f>COUNTIFS('EL scheme register'!$A$7:$A$610,$A77,'EL scheme register'!$C$7:$C$610,"Unclear",'EL scheme register'!$AJ$7:$AJ$610,"Yes")</f>
        <v/>
      </c>
      <c r="N77" s="77">
        <f>SUM(I77:M77)</f>
        <v/>
      </c>
      <c r="O77" s="77">
        <f>COUNTIFS('EL scheme register'!$A$7:$A$610,$A77,'EL scheme register'!$AF$7:$AF$610,"Potentially relevant; evidence incomplete",'EL scheme register'!$AI$7:$AI$610,"Yes")</f>
        <v/>
      </c>
      <c r="P77" s="77">
        <f>COUNTIFS('EL scheme register'!$A$7:$A$610,$A77,'EL scheme register'!$AF$7:$AF$610,"Outside strict definition")</f>
        <v/>
      </c>
      <c r="Q77" s="77">
        <f>COUNTIF('EL exclusions &amp; gaps'!$B$7:$B$5000,$A77)</f>
        <v/>
      </c>
      <c r="R77" s="77" t="inlineStr">
        <is>
          <t>Not reviewed</t>
        </is>
      </c>
      <c r="S77" s="77" t="inlineStr">
        <is>
          <t>Not reviewed</t>
        </is>
      </c>
      <c r="T77" s="77" t="inlineStr"/>
      <c r="U77" s="77" t="inlineStr"/>
      <c r="V77" s="77" t="inlineStr">
        <is>
          <t>Not reviewed</t>
        </is>
      </c>
      <c r="W77" s="77" t="inlineStr"/>
      <c r="X77" s="77" t="inlineStr"/>
    </row>
    <row r="78">
      <c r="A78" s="77" t="inlineStr">
        <is>
          <t>US08</t>
        </is>
      </c>
      <c r="B78" s="79" t="inlineStr">
        <is>
          <t>Cornell</t>
        </is>
      </c>
      <c r="C78" s="77" t="inlineStr">
        <is>
          <t>US</t>
        </is>
      </c>
      <c r="D78" s="77" t="inlineStr">
        <is>
          <t>US sample</t>
        </is>
      </c>
      <c r="E78" s="77" t="inlineStr">
        <is>
          <t>US</t>
        </is>
      </c>
      <c r="F78" s="77" t="n">
        <v>2027</v>
      </c>
      <c r="G78" s="77" t="n">
        <v>16</v>
      </c>
      <c r="H78" s="77" t="inlineStr">
        <is>
          <t>Not started</t>
        </is>
      </c>
      <c r="I78" s="77">
        <f>COUNTIFS('EL scheme register'!$A$7:$A$610,$A78,'EL scheme register'!$C$7:$C$610,"University-wide",'EL scheme register'!$AJ$7:$AJ$610,"Yes")</f>
        <v/>
      </c>
      <c r="J78" s="77">
        <f>COUNTIFS('EL scheme register'!$A$7:$A$610,$A78,'EL scheme register'!$C$7:$C$610,"Cross-faculty",'EL scheme register'!$AJ$7:$AJ$610,"Yes")</f>
        <v/>
      </c>
      <c r="K78" s="77">
        <f>COUNTIFS('EL scheme register'!$A$7:$A$610,$A78,'EL scheme register'!$C$7:$C$610,"Faculty/school",'EL scheme register'!$AJ$7:$AJ$610,"Yes")</f>
        <v/>
      </c>
      <c r="L78" s="77">
        <f>COUNTIFS('EL scheme register'!$A$7:$A$610,$A78,'EL scheme register'!$C$7:$C$610,"Programme/course",'EL scheme register'!$AJ$7:$AJ$610,"Yes")</f>
        <v/>
      </c>
      <c r="M78" s="77">
        <f>COUNTIFS('EL scheme register'!$A$7:$A$610,$A78,'EL scheme register'!$C$7:$C$610,"Unclear",'EL scheme register'!$AJ$7:$AJ$610,"Yes")</f>
        <v/>
      </c>
      <c r="N78" s="77">
        <f>SUM(I78:M78)</f>
        <v/>
      </c>
      <c r="O78" s="77">
        <f>COUNTIFS('EL scheme register'!$A$7:$A$610,$A78,'EL scheme register'!$AF$7:$AF$610,"Potentially relevant; evidence incomplete",'EL scheme register'!$AI$7:$AI$610,"Yes")</f>
        <v/>
      </c>
      <c r="P78" s="77">
        <f>COUNTIFS('EL scheme register'!$A$7:$A$610,$A78,'EL scheme register'!$AF$7:$AF$610,"Outside strict definition")</f>
        <v/>
      </c>
      <c r="Q78" s="77">
        <f>COUNTIF('EL exclusions &amp; gaps'!$B$7:$B$5000,$A78)</f>
        <v/>
      </c>
      <c r="R78" s="77" t="inlineStr">
        <is>
          <t>Not reviewed</t>
        </is>
      </c>
      <c r="S78" s="77" t="inlineStr">
        <is>
          <t>Not reviewed</t>
        </is>
      </c>
      <c r="T78" s="77" t="inlineStr"/>
      <c r="U78" s="77" t="inlineStr"/>
      <c r="V78" s="77" t="inlineStr">
        <is>
          <t>Not reviewed</t>
        </is>
      </c>
      <c r="W78" s="77" t="inlineStr"/>
      <c r="X78" s="77" t="inlineStr"/>
    </row>
    <row r="79">
      <c r="A79" s="77" t="inlineStr">
        <is>
          <t>US09</t>
        </is>
      </c>
      <c r="B79" s="79" t="inlineStr">
        <is>
          <t>Yale</t>
        </is>
      </c>
      <c r="C79" s="77" t="inlineStr">
        <is>
          <t>US</t>
        </is>
      </c>
      <c r="D79" s="77" t="inlineStr">
        <is>
          <t>US sample</t>
        </is>
      </c>
      <c r="E79" s="77" t="inlineStr">
        <is>
          <t>US</t>
        </is>
      </c>
      <c r="F79" s="77" t="n">
        <v>2027</v>
      </c>
      <c r="G79" s="77" t="n">
        <v>16</v>
      </c>
      <c r="H79" s="77" t="inlineStr">
        <is>
          <t>Not started</t>
        </is>
      </c>
      <c r="I79" s="77">
        <f>COUNTIFS('EL scheme register'!$A$7:$A$610,$A79,'EL scheme register'!$C$7:$C$610,"University-wide",'EL scheme register'!$AJ$7:$AJ$610,"Yes")</f>
        <v/>
      </c>
      <c r="J79" s="77">
        <f>COUNTIFS('EL scheme register'!$A$7:$A$610,$A79,'EL scheme register'!$C$7:$C$610,"Cross-faculty",'EL scheme register'!$AJ$7:$AJ$610,"Yes")</f>
        <v/>
      </c>
      <c r="K79" s="77">
        <f>COUNTIFS('EL scheme register'!$A$7:$A$610,$A79,'EL scheme register'!$C$7:$C$610,"Faculty/school",'EL scheme register'!$AJ$7:$AJ$610,"Yes")</f>
        <v/>
      </c>
      <c r="L79" s="77">
        <f>COUNTIFS('EL scheme register'!$A$7:$A$610,$A79,'EL scheme register'!$C$7:$C$610,"Programme/course",'EL scheme register'!$AJ$7:$AJ$610,"Yes")</f>
        <v/>
      </c>
      <c r="M79" s="77">
        <f>COUNTIFS('EL scheme register'!$A$7:$A$610,$A79,'EL scheme register'!$C$7:$C$610,"Unclear",'EL scheme register'!$AJ$7:$AJ$610,"Yes")</f>
        <v/>
      </c>
      <c r="N79" s="77">
        <f>SUM(I79:M79)</f>
        <v/>
      </c>
      <c r="O79" s="77">
        <f>COUNTIFS('EL scheme register'!$A$7:$A$610,$A79,'EL scheme register'!$AF$7:$AF$610,"Potentially relevant; evidence incomplete",'EL scheme register'!$AI$7:$AI$610,"Yes")</f>
        <v/>
      </c>
      <c r="P79" s="77">
        <f>COUNTIFS('EL scheme register'!$A$7:$A$610,$A79,'EL scheme register'!$AF$7:$AF$610,"Outside strict definition")</f>
        <v/>
      </c>
      <c r="Q79" s="77">
        <f>COUNTIF('EL exclusions &amp; gaps'!$B$7:$B$5000,$A79)</f>
        <v/>
      </c>
      <c r="R79" s="77" t="inlineStr">
        <is>
          <t>Not reviewed</t>
        </is>
      </c>
      <c r="S79" s="77" t="inlineStr">
        <is>
          <t>Not reviewed</t>
        </is>
      </c>
      <c r="T79" s="77" t="inlineStr"/>
      <c r="U79" s="77" t="inlineStr"/>
      <c r="V79" s="77" t="inlineStr">
        <is>
          <t>Not reviewed</t>
        </is>
      </c>
      <c r="W79" s="77" t="inlineStr"/>
      <c r="X79" s="77" t="inlineStr"/>
    </row>
    <row r="80">
      <c r="A80" s="77" t="inlineStr">
        <is>
          <t>US10</t>
        </is>
      </c>
      <c r="B80" s="79" t="inlineStr">
        <is>
          <t>Princeton</t>
        </is>
      </c>
      <c r="C80" s="77" t="inlineStr">
        <is>
          <t>US</t>
        </is>
      </c>
      <c r="D80" s="77" t="inlineStr">
        <is>
          <t>US sample</t>
        </is>
      </c>
      <c r="E80" s="77" t="inlineStr">
        <is>
          <t>US</t>
        </is>
      </c>
      <c r="F80" s="77" t="n">
        <v>2027</v>
      </c>
      <c r="G80" s="77" t="n">
        <v>27</v>
      </c>
      <c r="H80" s="77" t="inlineStr">
        <is>
          <t>Not started</t>
        </is>
      </c>
      <c r="I80" s="77">
        <f>COUNTIFS('EL scheme register'!$A$7:$A$610,$A80,'EL scheme register'!$C$7:$C$610,"University-wide",'EL scheme register'!$AJ$7:$AJ$610,"Yes")</f>
        <v/>
      </c>
      <c r="J80" s="77">
        <f>COUNTIFS('EL scheme register'!$A$7:$A$610,$A80,'EL scheme register'!$C$7:$C$610,"Cross-faculty",'EL scheme register'!$AJ$7:$AJ$610,"Yes")</f>
        <v/>
      </c>
      <c r="K80" s="77">
        <f>COUNTIFS('EL scheme register'!$A$7:$A$610,$A80,'EL scheme register'!$C$7:$C$610,"Faculty/school",'EL scheme register'!$AJ$7:$AJ$610,"Yes")</f>
        <v/>
      </c>
      <c r="L80" s="77">
        <f>COUNTIFS('EL scheme register'!$A$7:$A$610,$A80,'EL scheme register'!$C$7:$C$610,"Programme/course",'EL scheme register'!$AJ$7:$AJ$610,"Yes")</f>
        <v/>
      </c>
      <c r="M80" s="77">
        <f>COUNTIFS('EL scheme register'!$A$7:$A$610,$A80,'EL scheme register'!$C$7:$C$610,"Unclear",'EL scheme register'!$AJ$7:$AJ$610,"Yes")</f>
        <v/>
      </c>
      <c r="N80" s="77">
        <f>SUM(I80:M80)</f>
        <v/>
      </c>
      <c r="O80" s="77">
        <f>COUNTIFS('EL scheme register'!$A$7:$A$610,$A80,'EL scheme register'!$AF$7:$AF$610,"Potentially relevant; evidence incomplete",'EL scheme register'!$AI$7:$AI$610,"Yes")</f>
        <v/>
      </c>
      <c r="P80" s="77">
        <f>COUNTIFS('EL scheme register'!$A$7:$A$610,$A80,'EL scheme register'!$AF$7:$AF$610,"Outside strict definition")</f>
        <v/>
      </c>
      <c r="Q80" s="77">
        <f>COUNTIF('EL exclusions &amp; gaps'!$B$7:$B$5000,$A80)</f>
        <v/>
      </c>
      <c r="R80" s="77" t="inlineStr">
        <is>
          <t>Not reviewed</t>
        </is>
      </c>
      <c r="S80" s="77" t="inlineStr">
        <is>
          <t>Not reviewed</t>
        </is>
      </c>
      <c r="T80" s="77" t="inlineStr"/>
      <c r="U80" s="77" t="inlineStr"/>
      <c r="V80" s="77" t="inlineStr">
        <is>
          <t>Not reviewed</t>
        </is>
      </c>
      <c r="W80" s="77" t="inlineStr"/>
      <c r="X80" s="77" t="inlineStr"/>
    </row>
    <row r="81">
      <c r="A81" s="77" t="inlineStr">
        <is>
          <t>US11</t>
        </is>
      </c>
      <c r="B81" s="79" t="inlineStr">
        <is>
          <t>Columbia</t>
        </is>
      </c>
      <c r="C81" s="77" t="inlineStr">
        <is>
          <t>US</t>
        </is>
      </c>
      <c r="D81" s="77" t="inlineStr">
        <is>
          <t>US sample</t>
        </is>
      </c>
      <c r="E81" s="77" t="inlineStr">
        <is>
          <t>US</t>
        </is>
      </c>
      <c r="F81" s="77" t="n">
        <v>2027</v>
      </c>
      <c r="G81" s="77" t="n">
        <v>43</v>
      </c>
      <c r="H81" s="77" t="inlineStr">
        <is>
          <t>Not started</t>
        </is>
      </c>
      <c r="I81" s="77">
        <f>COUNTIFS('EL scheme register'!$A$7:$A$610,$A81,'EL scheme register'!$C$7:$C$610,"University-wide",'EL scheme register'!$AJ$7:$AJ$610,"Yes")</f>
        <v/>
      </c>
      <c r="J81" s="77">
        <f>COUNTIFS('EL scheme register'!$A$7:$A$610,$A81,'EL scheme register'!$C$7:$C$610,"Cross-faculty",'EL scheme register'!$AJ$7:$AJ$610,"Yes")</f>
        <v/>
      </c>
      <c r="K81" s="77">
        <f>COUNTIFS('EL scheme register'!$A$7:$A$610,$A81,'EL scheme register'!$C$7:$C$610,"Faculty/school",'EL scheme register'!$AJ$7:$AJ$610,"Yes")</f>
        <v/>
      </c>
      <c r="L81" s="77">
        <f>COUNTIFS('EL scheme register'!$A$7:$A$610,$A81,'EL scheme register'!$C$7:$C$610,"Programme/course",'EL scheme register'!$AJ$7:$AJ$610,"Yes")</f>
        <v/>
      </c>
      <c r="M81" s="77">
        <f>COUNTIFS('EL scheme register'!$A$7:$A$610,$A81,'EL scheme register'!$C$7:$C$610,"Unclear",'EL scheme register'!$AJ$7:$AJ$610,"Yes")</f>
        <v/>
      </c>
      <c r="N81" s="77">
        <f>SUM(I81:M81)</f>
        <v/>
      </c>
      <c r="O81" s="77">
        <f>COUNTIFS('EL scheme register'!$A$7:$A$610,$A81,'EL scheme register'!$AF$7:$AF$610,"Potentially relevant; evidence incomplete",'EL scheme register'!$AI$7:$AI$610,"Yes")</f>
        <v/>
      </c>
      <c r="P81" s="77">
        <f>COUNTIFS('EL scheme register'!$A$7:$A$610,$A81,'EL scheme register'!$AF$7:$AF$610,"Outside strict definition")</f>
        <v/>
      </c>
      <c r="Q81" s="77">
        <f>COUNTIF('EL exclusions &amp; gaps'!$B$7:$B$5000,$A81)</f>
        <v/>
      </c>
      <c r="R81" s="77" t="inlineStr">
        <is>
          <t>Not reviewed</t>
        </is>
      </c>
      <c r="S81" s="77" t="inlineStr">
        <is>
          <t>Not reviewed</t>
        </is>
      </c>
      <c r="T81" s="77" t="inlineStr"/>
      <c r="U81" s="77" t="inlineStr"/>
      <c r="V81" s="77" t="inlineStr">
        <is>
          <t>Not reviewed</t>
        </is>
      </c>
      <c r="W81" s="77" t="inlineStr"/>
      <c r="X81" s="77" t="inlineStr"/>
    </row>
    <row r="82">
      <c r="A82" s="77" t="inlineStr">
        <is>
          <t>US12</t>
        </is>
      </c>
      <c r="B82" s="79" t="inlineStr">
        <is>
          <t>Johns Hopkins</t>
        </is>
      </c>
      <c r="C82" s="77" t="inlineStr">
        <is>
          <t>US</t>
        </is>
      </c>
      <c r="D82" s="77" t="inlineStr">
        <is>
          <t>US sample</t>
        </is>
      </c>
      <c r="E82" s="77" t="inlineStr">
        <is>
          <t>US</t>
        </is>
      </c>
      <c r="F82" s="77" t="n">
        <v>2027</v>
      </c>
      <c r="G82" s="77" t="n">
        <v>20</v>
      </c>
      <c r="H82" s="77" t="inlineStr">
        <is>
          <t>Not started</t>
        </is>
      </c>
      <c r="I82" s="77">
        <f>COUNTIFS('EL scheme register'!$A$7:$A$610,$A82,'EL scheme register'!$C$7:$C$610,"University-wide",'EL scheme register'!$AJ$7:$AJ$610,"Yes")</f>
        <v/>
      </c>
      <c r="J82" s="77">
        <f>COUNTIFS('EL scheme register'!$A$7:$A$610,$A82,'EL scheme register'!$C$7:$C$610,"Cross-faculty",'EL scheme register'!$AJ$7:$AJ$610,"Yes")</f>
        <v/>
      </c>
      <c r="K82" s="77">
        <f>COUNTIFS('EL scheme register'!$A$7:$A$610,$A82,'EL scheme register'!$C$7:$C$610,"Faculty/school",'EL scheme register'!$AJ$7:$AJ$610,"Yes")</f>
        <v/>
      </c>
      <c r="L82" s="77">
        <f>COUNTIFS('EL scheme register'!$A$7:$A$610,$A82,'EL scheme register'!$C$7:$C$610,"Programme/course",'EL scheme register'!$AJ$7:$AJ$610,"Yes")</f>
        <v/>
      </c>
      <c r="M82" s="77">
        <f>COUNTIFS('EL scheme register'!$A$7:$A$610,$A82,'EL scheme register'!$C$7:$C$610,"Unclear",'EL scheme register'!$AJ$7:$AJ$610,"Yes")</f>
        <v/>
      </c>
      <c r="N82" s="77">
        <f>SUM(I82:M82)</f>
        <v/>
      </c>
      <c r="O82" s="77">
        <f>COUNTIFS('EL scheme register'!$A$7:$A$610,$A82,'EL scheme register'!$AF$7:$AF$610,"Potentially relevant; evidence incomplete",'EL scheme register'!$AI$7:$AI$610,"Yes")</f>
        <v/>
      </c>
      <c r="P82" s="77">
        <f>COUNTIFS('EL scheme register'!$A$7:$A$610,$A82,'EL scheme register'!$AF$7:$AF$610,"Outside strict definition")</f>
        <v/>
      </c>
      <c r="Q82" s="77">
        <f>COUNTIF('EL exclusions &amp; gaps'!$B$7:$B$5000,$A82)</f>
        <v/>
      </c>
      <c r="R82" s="77" t="inlineStr">
        <is>
          <t>Not reviewed</t>
        </is>
      </c>
      <c r="S82" s="77" t="inlineStr">
        <is>
          <t>Not reviewed</t>
        </is>
      </c>
      <c r="T82" s="77" t="inlineStr"/>
      <c r="U82" s="77" t="inlineStr"/>
      <c r="V82" s="77" t="inlineStr">
        <is>
          <t>Not reviewed</t>
        </is>
      </c>
      <c r="W82" s="77" t="inlineStr"/>
      <c r="X82" s="77" t="inlineStr"/>
    </row>
    <row r="83">
      <c r="A83" s="77" t="inlineStr">
        <is>
          <t>US13</t>
        </is>
      </c>
      <c r="B83" s="79" t="inlineStr">
        <is>
          <t>Michigan Ann Arbor</t>
        </is>
      </c>
      <c r="C83" s="77" t="inlineStr">
        <is>
          <t>US</t>
        </is>
      </c>
      <c r="D83" s="77" t="inlineStr">
        <is>
          <t>US sample</t>
        </is>
      </c>
      <c r="E83" s="77" t="inlineStr">
        <is>
          <t>US</t>
        </is>
      </c>
      <c r="F83" s="77" t="n">
        <v>2027</v>
      </c>
      <c r="G83" s="77" t="n">
        <v>51</v>
      </c>
      <c r="H83" s="77" t="inlineStr">
        <is>
          <t>Not started</t>
        </is>
      </c>
      <c r="I83" s="77">
        <f>COUNTIFS('EL scheme register'!$A$7:$A$610,$A83,'EL scheme register'!$C$7:$C$610,"University-wide",'EL scheme register'!$AJ$7:$AJ$610,"Yes")</f>
        <v/>
      </c>
      <c r="J83" s="77">
        <f>COUNTIFS('EL scheme register'!$A$7:$A$610,$A83,'EL scheme register'!$C$7:$C$610,"Cross-faculty",'EL scheme register'!$AJ$7:$AJ$610,"Yes")</f>
        <v/>
      </c>
      <c r="K83" s="77">
        <f>COUNTIFS('EL scheme register'!$A$7:$A$610,$A83,'EL scheme register'!$C$7:$C$610,"Faculty/school",'EL scheme register'!$AJ$7:$AJ$610,"Yes")</f>
        <v/>
      </c>
      <c r="L83" s="77">
        <f>COUNTIFS('EL scheme register'!$A$7:$A$610,$A83,'EL scheme register'!$C$7:$C$610,"Programme/course",'EL scheme register'!$AJ$7:$AJ$610,"Yes")</f>
        <v/>
      </c>
      <c r="M83" s="77">
        <f>COUNTIFS('EL scheme register'!$A$7:$A$610,$A83,'EL scheme register'!$C$7:$C$610,"Unclear",'EL scheme register'!$AJ$7:$AJ$610,"Yes")</f>
        <v/>
      </c>
      <c r="N83" s="77">
        <f>SUM(I83:M83)</f>
        <v/>
      </c>
      <c r="O83" s="77">
        <f>COUNTIFS('EL scheme register'!$A$7:$A$610,$A83,'EL scheme register'!$AF$7:$AF$610,"Potentially relevant; evidence incomplete",'EL scheme register'!$AI$7:$AI$610,"Yes")</f>
        <v/>
      </c>
      <c r="P83" s="77">
        <f>COUNTIFS('EL scheme register'!$A$7:$A$610,$A83,'EL scheme register'!$AF$7:$AF$610,"Outside strict definition")</f>
        <v/>
      </c>
      <c r="Q83" s="77">
        <f>COUNTIF('EL exclusions &amp; gaps'!$B$7:$B$5000,$A83)</f>
        <v/>
      </c>
      <c r="R83" s="77" t="inlineStr">
        <is>
          <t>Not reviewed</t>
        </is>
      </c>
      <c r="S83" s="77" t="inlineStr">
        <is>
          <t>Not reviewed</t>
        </is>
      </c>
      <c r="T83" s="77" t="inlineStr"/>
      <c r="U83" s="77" t="inlineStr"/>
      <c r="V83" s="77" t="inlineStr">
        <is>
          <t>Not reviewed</t>
        </is>
      </c>
      <c r="W83" s="77" t="inlineStr"/>
      <c r="X83" s="77" t="inlineStr"/>
    </row>
    <row r="84">
      <c r="A84" s="77" t="inlineStr">
        <is>
          <t>US14</t>
        </is>
      </c>
      <c r="B84" s="79" t="inlineStr">
        <is>
          <t>California Los Angeles</t>
        </is>
      </c>
      <c r="C84" s="77" t="inlineStr">
        <is>
          <t>US</t>
        </is>
      </c>
      <c r="D84" s="77" t="inlineStr">
        <is>
          <t>US sample</t>
        </is>
      </c>
      <c r="E84" s="77" t="inlineStr">
        <is>
          <t>US</t>
        </is>
      </c>
      <c r="F84" s="77" t="n">
        <v>2027</v>
      </c>
      <c r="G84" s="77" t="n">
        <v>49</v>
      </c>
      <c r="H84" s="77" t="inlineStr">
        <is>
          <t>Not started</t>
        </is>
      </c>
      <c r="I84" s="77">
        <f>COUNTIFS('EL scheme register'!$A$7:$A$610,$A84,'EL scheme register'!$C$7:$C$610,"University-wide",'EL scheme register'!$AJ$7:$AJ$610,"Yes")</f>
        <v/>
      </c>
      <c r="J84" s="77">
        <f>COUNTIFS('EL scheme register'!$A$7:$A$610,$A84,'EL scheme register'!$C$7:$C$610,"Cross-faculty",'EL scheme register'!$AJ$7:$AJ$610,"Yes")</f>
        <v/>
      </c>
      <c r="K84" s="77">
        <f>COUNTIFS('EL scheme register'!$A$7:$A$610,$A84,'EL scheme register'!$C$7:$C$610,"Faculty/school",'EL scheme register'!$AJ$7:$AJ$610,"Yes")</f>
        <v/>
      </c>
      <c r="L84" s="77">
        <f>COUNTIFS('EL scheme register'!$A$7:$A$610,$A84,'EL scheme register'!$C$7:$C$610,"Programme/course",'EL scheme register'!$AJ$7:$AJ$610,"Yes")</f>
        <v/>
      </c>
      <c r="M84" s="77">
        <f>COUNTIFS('EL scheme register'!$A$7:$A$610,$A84,'EL scheme register'!$C$7:$C$610,"Unclear",'EL scheme register'!$AJ$7:$AJ$610,"Yes")</f>
        <v/>
      </c>
      <c r="N84" s="77">
        <f>SUM(I84:M84)</f>
        <v/>
      </c>
      <c r="O84" s="77">
        <f>COUNTIFS('EL scheme register'!$A$7:$A$610,$A84,'EL scheme register'!$AF$7:$AF$610,"Potentially relevant; evidence incomplete",'EL scheme register'!$AI$7:$AI$610,"Yes")</f>
        <v/>
      </c>
      <c r="P84" s="77">
        <f>COUNTIFS('EL scheme register'!$A$7:$A$610,$A84,'EL scheme register'!$AF$7:$AF$610,"Outside strict definition")</f>
        <v/>
      </c>
      <c r="Q84" s="77">
        <f>COUNTIF('EL exclusions &amp; gaps'!$B$7:$B$5000,$A84)</f>
        <v/>
      </c>
      <c r="R84" s="77" t="inlineStr">
        <is>
          <t>Not reviewed</t>
        </is>
      </c>
      <c r="S84" s="77" t="inlineStr">
        <is>
          <t>Not reviewed</t>
        </is>
      </c>
      <c r="T84" s="77" t="inlineStr"/>
      <c r="U84" s="77" t="inlineStr"/>
      <c r="V84" s="77" t="inlineStr">
        <is>
          <t>Not reviewed</t>
        </is>
      </c>
      <c r="W84" s="77" t="inlineStr"/>
      <c r="X84" s="77" t="inlineStr"/>
    </row>
    <row r="85">
      <c r="A85" s="77" t="inlineStr">
        <is>
          <t>US15</t>
        </is>
      </c>
      <c r="B85" s="79" t="inlineStr">
        <is>
          <t>Duke</t>
        </is>
      </c>
      <c r="C85" s="77" t="inlineStr">
        <is>
          <t>US</t>
        </is>
      </c>
      <c r="D85" s="77" t="inlineStr">
        <is>
          <t>US sample</t>
        </is>
      </c>
      <c r="E85" s="77" t="inlineStr">
        <is>
          <t>US</t>
        </is>
      </c>
      <c r="F85" s="77" t="n">
        <v>2027</v>
      </c>
      <c r="G85" s="77" t="n">
        <v>70</v>
      </c>
      <c r="H85" s="77" t="inlineStr">
        <is>
          <t>Not started</t>
        </is>
      </c>
      <c r="I85" s="77">
        <f>COUNTIFS('EL scheme register'!$A$7:$A$610,$A85,'EL scheme register'!$C$7:$C$610,"University-wide",'EL scheme register'!$AJ$7:$AJ$610,"Yes")</f>
        <v/>
      </c>
      <c r="J85" s="77">
        <f>COUNTIFS('EL scheme register'!$A$7:$A$610,$A85,'EL scheme register'!$C$7:$C$610,"Cross-faculty",'EL scheme register'!$AJ$7:$AJ$610,"Yes")</f>
        <v/>
      </c>
      <c r="K85" s="77">
        <f>COUNTIFS('EL scheme register'!$A$7:$A$610,$A85,'EL scheme register'!$C$7:$C$610,"Faculty/school",'EL scheme register'!$AJ$7:$AJ$610,"Yes")</f>
        <v/>
      </c>
      <c r="L85" s="77">
        <f>COUNTIFS('EL scheme register'!$A$7:$A$610,$A85,'EL scheme register'!$C$7:$C$610,"Programme/course",'EL scheme register'!$AJ$7:$AJ$610,"Yes")</f>
        <v/>
      </c>
      <c r="M85" s="77">
        <f>COUNTIFS('EL scheme register'!$A$7:$A$610,$A85,'EL scheme register'!$C$7:$C$610,"Unclear",'EL scheme register'!$AJ$7:$AJ$610,"Yes")</f>
        <v/>
      </c>
      <c r="N85" s="77">
        <f>SUM(I85:M85)</f>
        <v/>
      </c>
      <c r="O85" s="77">
        <f>COUNTIFS('EL scheme register'!$A$7:$A$610,$A85,'EL scheme register'!$AF$7:$AF$610,"Potentially relevant; evidence incomplete",'EL scheme register'!$AI$7:$AI$610,"Yes")</f>
        <v/>
      </c>
      <c r="P85" s="77">
        <f>COUNTIFS('EL scheme register'!$A$7:$A$610,$A85,'EL scheme register'!$AF$7:$AF$610,"Outside strict definition")</f>
        <v/>
      </c>
      <c r="Q85" s="77">
        <f>COUNTIF('EL exclusions &amp; gaps'!$B$7:$B$5000,$A85)</f>
        <v/>
      </c>
      <c r="R85" s="77" t="inlineStr">
        <is>
          <t>Not reviewed</t>
        </is>
      </c>
      <c r="S85" s="77" t="inlineStr">
        <is>
          <t>Not reviewed</t>
        </is>
      </c>
      <c r="T85" s="77" t="inlineStr"/>
      <c r="U85" s="77" t="inlineStr"/>
      <c r="V85" s="77" t="inlineStr">
        <is>
          <t>Not reviewed</t>
        </is>
      </c>
      <c r="W85" s="77" t="inlineStr"/>
      <c r="X85" s="77" t="inlineStr"/>
    </row>
    <row r="86">
      <c r="A86" s="77" t="inlineStr">
        <is>
          <t>US16</t>
        </is>
      </c>
      <c r="B86" s="79" t="inlineStr">
        <is>
          <t>New York University</t>
        </is>
      </c>
      <c r="C86" s="77" t="inlineStr">
        <is>
          <t>US</t>
        </is>
      </c>
      <c r="D86" s="77" t="inlineStr">
        <is>
          <t>US sample</t>
        </is>
      </c>
      <c r="E86" s="77" t="inlineStr">
        <is>
          <t>US</t>
        </is>
      </c>
      <c r="F86" s="77" t="n">
        <v>2027</v>
      </c>
      <c r="G86" s="77" t="n">
        <v>58</v>
      </c>
      <c r="H86" s="77" t="inlineStr">
        <is>
          <t>Not started</t>
        </is>
      </c>
      <c r="I86" s="77">
        <f>COUNTIFS('EL scheme register'!$A$7:$A$610,$A86,'EL scheme register'!$C$7:$C$610,"University-wide",'EL scheme register'!$AJ$7:$AJ$610,"Yes")</f>
        <v/>
      </c>
      <c r="J86" s="77">
        <f>COUNTIFS('EL scheme register'!$A$7:$A$610,$A86,'EL scheme register'!$C$7:$C$610,"Cross-faculty",'EL scheme register'!$AJ$7:$AJ$610,"Yes")</f>
        <v/>
      </c>
      <c r="K86" s="77">
        <f>COUNTIFS('EL scheme register'!$A$7:$A$610,$A86,'EL scheme register'!$C$7:$C$610,"Faculty/school",'EL scheme register'!$AJ$7:$AJ$610,"Yes")</f>
        <v/>
      </c>
      <c r="L86" s="77">
        <f>COUNTIFS('EL scheme register'!$A$7:$A$610,$A86,'EL scheme register'!$C$7:$C$610,"Programme/course",'EL scheme register'!$AJ$7:$AJ$610,"Yes")</f>
        <v/>
      </c>
      <c r="M86" s="77">
        <f>COUNTIFS('EL scheme register'!$A$7:$A$610,$A86,'EL scheme register'!$C$7:$C$610,"Unclear",'EL scheme register'!$AJ$7:$AJ$610,"Yes")</f>
        <v/>
      </c>
      <c r="N86" s="77">
        <f>SUM(I86:M86)</f>
        <v/>
      </c>
      <c r="O86" s="77">
        <f>COUNTIFS('EL scheme register'!$A$7:$A$610,$A86,'EL scheme register'!$AF$7:$AF$610,"Potentially relevant; evidence incomplete",'EL scheme register'!$AI$7:$AI$610,"Yes")</f>
        <v/>
      </c>
      <c r="P86" s="77">
        <f>COUNTIFS('EL scheme register'!$A$7:$A$610,$A86,'EL scheme register'!$AF$7:$AF$610,"Outside strict definition")</f>
        <v/>
      </c>
      <c r="Q86" s="77">
        <f>COUNTIF('EL exclusions &amp; gaps'!$B$7:$B$5000,$A86)</f>
        <v/>
      </c>
      <c r="R86" s="77" t="inlineStr">
        <is>
          <t>Not reviewed</t>
        </is>
      </c>
      <c r="S86" s="77" t="inlineStr">
        <is>
          <t>Not reviewed</t>
        </is>
      </c>
      <c r="T86" s="77" t="inlineStr"/>
      <c r="U86" s="77" t="inlineStr"/>
      <c r="V86" s="77" t="inlineStr">
        <is>
          <t>Not reviewed</t>
        </is>
      </c>
      <c r="W86" s="77" t="inlineStr"/>
      <c r="X86" s="77" t="inlineStr"/>
    </row>
    <row r="87">
      <c r="A87" s="77" t="inlineStr">
        <is>
          <t>US17</t>
        </is>
      </c>
      <c r="B87" s="79" t="inlineStr">
        <is>
          <t>Northwestern</t>
        </is>
      </c>
      <c r="C87" s="77" t="inlineStr">
        <is>
          <t>US</t>
        </is>
      </c>
      <c r="D87" s="77" t="inlineStr">
        <is>
          <t>US sample</t>
        </is>
      </c>
      <c r="E87" s="77" t="inlineStr">
        <is>
          <t>US</t>
        </is>
      </c>
      <c r="F87" s="77" t="n">
        <v>2027</v>
      </c>
      <c r="G87" s="77" t="n">
        <v>45</v>
      </c>
      <c r="H87" s="77" t="inlineStr">
        <is>
          <t>Not started</t>
        </is>
      </c>
      <c r="I87" s="77">
        <f>COUNTIFS('EL scheme register'!$A$7:$A$610,$A87,'EL scheme register'!$C$7:$C$610,"University-wide",'EL scheme register'!$AJ$7:$AJ$610,"Yes")</f>
        <v/>
      </c>
      <c r="J87" s="77">
        <f>COUNTIFS('EL scheme register'!$A$7:$A$610,$A87,'EL scheme register'!$C$7:$C$610,"Cross-faculty",'EL scheme register'!$AJ$7:$AJ$610,"Yes")</f>
        <v/>
      </c>
      <c r="K87" s="77">
        <f>COUNTIFS('EL scheme register'!$A$7:$A$610,$A87,'EL scheme register'!$C$7:$C$610,"Faculty/school",'EL scheme register'!$AJ$7:$AJ$610,"Yes")</f>
        <v/>
      </c>
      <c r="L87" s="77">
        <f>COUNTIFS('EL scheme register'!$A$7:$A$610,$A87,'EL scheme register'!$C$7:$C$610,"Programme/course",'EL scheme register'!$AJ$7:$AJ$610,"Yes")</f>
        <v/>
      </c>
      <c r="M87" s="77">
        <f>COUNTIFS('EL scheme register'!$A$7:$A$610,$A87,'EL scheme register'!$C$7:$C$610,"Unclear",'EL scheme register'!$AJ$7:$AJ$610,"Yes")</f>
        <v/>
      </c>
      <c r="N87" s="77">
        <f>SUM(I87:M87)</f>
        <v/>
      </c>
      <c r="O87" s="77">
        <f>COUNTIFS('EL scheme register'!$A$7:$A$610,$A87,'EL scheme register'!$AF$7:$AF$610,"Potentially relevant; evidence incomplete",'EL scheme register'!$AI$7:$AI$610,"Yes")</f>
        <v/>
      </c>
      <c r="P87" s="77">
        <f>COUNTIFS('EL scheme register'!$A$7:$A$610,$A87,'EL scheme register'!$AF$7:$AF$610,"Outside strict definition")</f>
        <v/>
      </c>
      <c r="Q87" s="77">
        <f>COUNTIF('EL exclusions &amp; gaps'!$B$7:$B$5000,$A87)</f>
        <v/>
      </c>
      <c r="R87" s="77" t="inlineStr">
        <is>
          <t>Not reviewed</t>
        </is>
      </c>
      <c r="S87" s="77" t="inlineStr">
        <is>
          <t>Not reviewed</t>
        </is>
      </c>
      <c r="T87" s="77" t="inlineStr"/>
      <c r="U87" s="77" t="inlineStr"/>
      <c r="V87" s="77" t="inlineStr">
        <is>
          <t>Not reviewed</t>
        </is>
      </c>
      <c r="W87" s="77" t="inlineStr"/>
      <c r="X87" s="77" t="inlineStr"/>
    </row>
    <row r="88">
      <c r="A88" s="77" t="inlineStr">
        <is>
          <t>US18</t>
        </is>
      </c>
      <c r="B88" s="79" t="inlineStr">
        <is>
          <t>Carnegie Mellon</t>
        </is>
      </c>
      <c r="C88" s="77" t="inlineStr">
        <is>
          <t>US</t>
        </is>
      </c>
      <c r="D88" s="77" t="inlineStr">
        <is>
          <t>US sample</t>
        </is>
      </c>
      <c r="E88" s="77" t="inlineStr">
        <is>
          <t>US</t>
        </is>
      </c>
      <c r="F88" s="77" t="n">
        <v>2027</v>
      </c>
      <c r="G88" s="77" t="n">
        <v>55</v>
      </c>
      <c r="H88" s="77" t="inlineStr">
        <is>
          <t>Not started</t>
        </is>
      </c>
      <c r="I88" s="77">
        <f>COUNTIFS('EL scheme register'!$A$7:$A$610,$A88,'EL scheme register'!$C$7:$C$610,"University-wide",'EL scheme register'!$AJ$7:$AJ$610,"Yes")</f>
        <v/>
      </c>
      <c r="J88" s="77">
        <f>COUNTIFS('EL scheme register'!$A$7:$A$610,$A88,'EL scheme register'!$C$7:$C$610,"Cross-faculty",'EL scheme register'!$AJ$7:$AJ$610,"Yes")</f>
        <v/>
      </c>
      <c r="K88" s="77">
        <f>COUNTIFS('EL scheme register'!$A$7:$A$610,$A88,'EL scheme register'!$C$7:$C$610,"Faculty/school",'EL scheme register'!$AJ$7:$AJ$610,"Yes")</f>
        <v/>
      </c>
      <c r="L88" s="77">
        <f>COUNTIFS('EL scheme register'!$A$7:$A$610,$A88,'EL scheme register'!$C$7:$C$610,"Programme/course",'EL scheme register'!$AJ$7:$AJ$610,"Yes")</f>
        <v/>
      </c>
      <c r="M88" s="77">
        <f>COUNTIFS('EL scheme register'!$A$7:$A$610,$A88,'EL scheme register'!$C$7:$C$610,"Unclear",'EL scheme register'!$AJ$7:$AJ$610,"Yes")</f>
        <v/>
      </c>
      <c r="N88" s="77">
        <f>SUM(I88:M88)</f>
        <v/>
      </c>
      <c r="O88" s="77">
        <f>COUNTIFS('EL scheme register'!$A$7:$A$610,$A88,'EL scheme register'!$AF$7:$AF$610,"Potentially relevant; evidence incomplete",'EL scheme register'!$AI$7:$AI$610,"Yes")</f>
        <v/>
      </c>
      <c r="P88" s="77">
        <f>COUNTIFS('EL scheme register'!$A$7:$A$610,$A88,'EL scheme register'!$AF$7:$AF$610,"Outside strict definition")</f>
        <v/>
      </c>
      <c r="Q88" s="77">
        <f>COUNTIF('EL exclusions &amp; gaps'!$B$7:$B$5000,$A88)</f>
        <v/>
      </c>
      <c r="R88" s="77" t="inlineStr">
        <is>
          <t>Not reviewed</t>
        </is>
      </c>
      <c r="S88" s="77" t="inlineStr">
        <is>
          <t>Not reviewed</t>
        </is>
      </c>
      <c r="T88" s="77" t="inlineStr"/>
      <c r="U88" s="77" t="inlineStr"/>
      <c r="V88" s="77" t="inlineStr">
        <is>
          <t>Not reviewed</t>
        </is>
      </c>
      <c r="W88" s="77" t="inlineStr"/>
      <c r="X88" s="77" t="inlineStr"/>
    </row>
    <row r="89">
      <c r="A89" s="77" t="inlineStr">
        <is>
          <t>US19</t>
        </is>
      </c>
      <c r="B89" s="79" t="inlineStr">
        <is>
          <t>Southern California</t>
        </is>
      </c>
      <c r="C89" s="77" t="inlineStr">
        <is>
          <t>US</t>
        </is>
      </c>
      <c r="D89" s="77" t="inlineStr">
        <is>
          <t>US sample</t>
        </is>
      </c>
      <c r="E89" s="77" t="inlineStr">
        <is>
          <t>US</t>
        </is>
      </c>
      <c r="F89" s="77" t="n">
        <v>2027</v>
      </c>
      <c r="G89" s="77" t="n">
        <v>153</v>
      </c>
      <c r="H89" s="77" t="inlineStr">
        <is>
          <t>Not started</t>
        </is>
      </c>
      <c r="I89" s="77">
        <f>COUNTIFS('EL scheme register'!$A$7:$A$610,$A89,'EL scheme register'!$C$7:$C$610,"University-wide",'EL scheme register'!$AJ$7:$AJ$610,"Yes")</f>
        <v/>
      </c>
      <c r="J89" s="77">
        <f>COUNTIFS('EL scheme register'!$A$7:$A$610,$A89,'EL scheme register'!$C$7:$C$610,"Cross-faculty",'EL scheme register'!$AJ$7:$AJ$610,"Yes")</f>
        <v/>
      </c>
      <c r="K89" s="77">
        <f>COUNTIFS('EL scheme register'!$A$7:$A$610,$A89,'EL scheme register'!$C$7:$C$610,"Faculty/school",'EL scheme register'!$AJ$7:$AJ$610,"Yes")</f>
        <v/>
      </c>
      <c r="L89" s="77">
        <f>COUNTIFS('EL scheme register'!$A$7:$A$610,$A89,'EL scheme register'!$C$7:$C$610,"Programme/course",'EL scheme register'!$AJ$7:$AJ$610,"Yes")</f>
        <v/>
      </c>
      <c r="M89" s="77">
        <f>COUNTIFS('EL scheme register'!$A$7:$A$610,$A89,'EL scheme register'!$C$7:$C$610,"Unclear",'EL scheme register'!$AJ$7:$AJ$610,"Yes")</f>
        <v/>
      </c>
      <c r="N89" s="77">
        <f>SUM(I89:M89)</f>
        <v/>
      </c>
      <c r="O89" s="77">
        <f>COUNTIFS('EL scheme register'!$A$7:$A$610,$A89,'EL scheme register'!$AF$7:$AF$610,"Potentially relevant; evidence incomplete",'EL scheme register'!$AI$7:$AI$610,"Yes")</f>
        <v/>
      </c>
      <c r="P89" s="77">
        <f>COUNTIFS('EL scheme register'!$A$7:$A$610,$A89,'EL scheme register'!$AF$7:$AF$610,"Outside strict definition")</f>
        <v/>
      </c>
      <c r="Q89" s="77">
        <f>COUNTIF('EL exclusions &amp; gaps'!$B$7:$B$5000,$A89)</f>
        <v/>
      </c>
      <c r="R89" s="77" t="inlineStr">
        <is>
          <t>Not reviewed</t>
        </is>
      </c>
      <c r="S89" s="77" t="inlineStr">
        <is>
          <t>Not reviewed</t>
        </is>
      </c>
      <c r="T89" s="77" t="inlineStr"/>
      <c r="U89" s="77" t="inlineStr"/>
      <c r="V89" s="77" t="inlineStr">
        <is>
          <t>Not reviewed</t>
        </is>
      </c>
      <c r="W89" s="77" t="inlineStr"/>
      <c r="X89" s="77" t="inlineStr"/>
    </row>
    <row r="90">
      <c r="A90" s="77" t="inlineStr">
        <is>
          <t>US20</t>
        </is>
      </c>
      <c r="B90" s="79" t="inlineStr">
        <is>
          <t>Texas Austin</t>
        </is>
      </c>
      <c r="C90" s="77" t="inlineStr">
        <is>
          <t>US</t>
        </is>
      </c>
      <c r="D90" s="77" t="inlineStr">
        <is>
          <t>US sample</t>
        </is>
      </c>
      <c r="E90" s="77" t="inlineStr">
        <is>
          <t>US</t>
        </is>
      </c>
      <c r="F90" s="77" t="n">
        <v>2027</v>
      </c>
      <c r="G90" s="77" t="n">
        <v>72</v>
      </c>
      <c r="H90" s="77" t="inlineStr">
        <is>
          <t>Not started</t>
        </is>
      </c>
      <c r="I90" s="77">
        <f>COUNTIFS('EL scheme register'!$A$7:$A$610,$A90,'EL scheme register'!$C$7:$C$610,"University-wide",'EL scheme register'!$AJ$7:$AJ$610,"Yes")</f>
        <v/>
      </c>
      <c r="J90" s="77">
        <f>COUNTIFS('EL scheme register'!$A$7:$A$610,$A90,'EL scheme register'!$C$7:$C$610,"Cross-faculty",'EL scheme register'!$AJ$7:$AJ$610,"Yes")</f>
        <v/>
      </c>
      <c r="K90" s="77">
        <f>COUNTIFS('EL scheme register'!$A$7:$A$610,$A90,'EL scheme register'!$C$7:$C$610,"Faculty/school",'EL scheme register'!$AJ$7:$AJ$610,"Yes")</f>
        <v/>
      </c>
      <c r="L90" s="77">
        <f>COUNTIFS('EL scheme register'!$A$7:$A$610,$A90,'EL scheme register'!$C$7:$C$610,"Programme/course",'EL scheme register'!$AJ$7:$AJ$610,"Yes")</f>
        <v/>
      </c>
      <c r="M90" s="77">
        <f>COUNTIFS('EL scheme register'!$A$7:$A$610,$A90,'EL scheme register'!$C$7:$C$610,"Unclear",'EL scheme register'!$AJ$7:$AJ$610,"Yes")</f>
        <v/>
      </c>
      <c r="N90" s="77">
        <f>SUM(I90:M90)</f>
        <v/>
      </c>
      <c r="O90" s="77">
        <f>COUNTIFS('EL scheme register'!$A$7:$A$610,$A90,'EL scheme register'!$AF$7:$AF$610,"Potentially relevant; evidence incomplete",'EL scheme register'!$AI$7:$AI$610,"Yes")</f>
        <v/>
      </c>
      <c r="P90" s="77">
        <f>COUNTIFS('EL scheme register'!$A$7:$A$610,$A90,'EL scheme register'!$AF$7:$AF$610,"Outside strict definition")</f>
        <v/>
      </c>
      <c r="Q90" s="77">
        <f>COUNTIF('EL exclusions &amp; gaps'!$B$7:$B$5000,$A90)</f>
        <v/>
      </c>
      <c r="R90" s="77" t="inlineStr">
        <is>
          <t>Not reviewed</t>
        </is>
      </c>
      <c r="S90" s="77" t="inlineStr">
        <is>
          <t>Not reviewed</t>
        </is>
      </c>
      <c r="T90" s="77" t="inlineStr"/>
      <c r="U90" s="77" t="inlineStr"/>
      <c r="V90" s="77" t="inlineStr">
        <is>
          <t>Not reviewed</t>
        </is>
      </c>
      <c r="W90" s="77" t="inlineStr"/>
      <c r="X90" s="77" t="inlineStr"/>
    </row>
    <row r="91">
      <c r="A91" s="77" t="inlineStr">
        <is>
          <t>US21</t>
        </is>
      </c>
      <c r="B91" s="79" t="inlineStr">
        <is>
          <t>California San Diego</t>
        </is>
      </c>
      <c r="C91" s="77" t="inlineStr">
        <is>
          <t>US</t>
        </is>
      </c>
      <c r="D91" s="77" t="inlineStr">
        <is>
          <t>US sample</t>
        </is>
      </c>
      <c r="E91" s="77" t="inlineStr">
        <is>
          <t>US</t>
        </is>
      </c>
      <c r="F91" s="77" t="n">
        <v>2027</v>
      </c>
      <c r="G91" s="77" t="n">
        <v>81</v>
      </c>
      <c r="H91" s="77" t="inlineStr">
        <is>
          <t>Not started</t>
        </is>
      </c>
      <c r="I91" s="77">
        <f>COUNTIFS('EL scheme register'!$A$7:$A$610,$A91,'EL scheme register'!$C$7:$C$610,"University-wide",'EL scheme register'!$AJ$7:$AJ$610,"Yes")</f>
        <v/>
      </c>
      <c r="J91" s="77">
        <f>COUNTIFS('EL scheme register'!$A$7:$A$610,$A91,'EL scheme register'!$C$7:$C$610,"Cross-faculty",'EL scheme register'!$AJ$7:$AJ$610,"Yes")</f>
        <v/>
      </c>
      <c r="K91" s="77">
        <f>COUNTIFS('EL scheme register'!$A$7:$A$610,$A91,'EL scheme register'!$C$7:$C$610,"Faculty/school",'EL scheme register'!$AJ$7:$AJ$610,"Yes")</f>
        <v/>
      </c>
      <c r="L91" s="77">
        <f>COUNTIFS('EL scheme register'!$A$7:$A$610,$A91,'EL scheme register'!$C$7:$C$610,"Programme/course",'EL scheme register'!$AJ$7:$AJ$610,"Yes")</f>
        <v/>
      </c>
      <c r="M91" s="77">
        <f>COUNTIFS('EL scheme register'!$A$7:$A$610,$A91,'EL scheme register'!$C$7:$C$610,"Unclear",'EL scheme register'!$AJ$7:$AJ$610,"Yes")</f>
        <v/>
      </c>
      <c r="N91" s="77">
        <f>SUM(I91:M91)</f>
        <v/>
      </c>
      <c r="O91" s="77">
        <f>COUNTIFS('EL scheme register'!$A$7:$A$610,$A91,'EL scheme register'!$AF$7:$AF$610,"Potentially relevant; evidence incomplete",'EL scheme register'!$AI$7:$AI$610,"Yes")</f>
        <v/>
      </c>
      <c r="P91" s="77">
        <f>COUNTIFS('EL scheme register'!$A$7:$A$610,$A91,'EL scheme register'!$AF$7:$AF$610,"Outside strict definition")</f>
        <v/>
      </c>
      <c r="Q91" s="77">
        <f>COUNTIF('EL exclusions &amp; gaps'!$B$7:$B$5000,$A91)</f>
        <v/>
      </c>
      <c r="R91" s="77" t="inlineStr">
        <is>
          <t>Not reviewed</t>
        </is>
      </c>
      <c r="S91" s="77" t="inlineStr">
        <is>
          <t>Not reviewed</t>
        </is>
      </c>
      <c r="T91" s="77" t="inlineStr"/>
      <c r="U91" s="77" t="inlineStr"/>
      <c r="V91" s="77" t="inlineStr">
        <is>
          <t>Not reviewed</t>
        </is>
      </c>
      <c r="W91" s="77" t="inlineStr"/>
      <c r="X91" s="77" t="inlineStr"/>
    </row>
    <row r="92">
      <c r="A92" s="77" t="inlineStr">
        <is>
          <t>US22</t>
        </is>
      </c>
      <c r="B92" s="79" t="inlineStr">
        <is>
          <t>Brown</t>
        </is>
      </c>
      <c r="C92" s="77" t="inlineStr">
        <is>
          <t>US</t>
        </is>
      </c>
      <c r="D92" s="77" t="inlineStr">
        <is>
          <t>US sample</t>
        </is>
      </c>
      <c r="E92" s="77" t="inlineStr">
        <is>
          <t>US</t>
        </is>
      </c>
      <c r="F92" s="77" t="n">
        <v>2027</v>
      </c>
      <c r="G92" s="77" t="n">
        <v>66</v>
      </c>
      <c r="H92" s="77" t="inlineStr">
        <is>
          <t>Not started</t>
        </is>
      </c>
      <c r="I92" s="77">
        <f>COUNTIFS('EL scheme register'!$A$7:$A$610,$A92,'EL scheme register'!$C$7:$C$610,"University-wide",'EL scheme register'!$AJ$7:$AJ$610,"Yes")</f>
        <v/>
      </c>
      <c r="J92" s="77">
        <f>COUNTIFS('EL scheme register'!$A$7:$A$610,$A92,'EL scheme register'!$C$7:$C$610,"Cross-faculty",'EL scheme register'!$AJ$7:$AJ$610,"Yes")</f>
        <v/>
      </c>
      <c r="K92" s="77">
        <f>COUNTIFS('EL scheme register'!$A$7:$A$610,$A92,'EL scheme register'!$C$7:$C$610,"Faculty/school",'EL scheme register'!$AJ$7:$AJ$610,"Yes")</f>
        <v/>
      </c>
      <c r="L92" s="77">
        <f>COUNTIFS('EL scheme register'!$A$7:$A$610,$A92,'EL scheme register'!$C$7:$C$610,"Programme/course",'EL scheme register'!$AJ$7:$AJ$610,"Yes")</f>
        <v/>
      </c>
      <c r="M92" s="77">
        <f>COUNTIFS('EL scheme register'!$A$7:$A$610,$A92,'EL scheme register'!$C$7:$C$610,"Unclear",'EL scheme register'!$AJ$7:$AJ$610,"Yes")</f>
        <v/>
      </c>
      <c r="N92" s="77">
        <f>SUM(I92:M92)</f>
        <v/>
      </c>
      <c r="O92" s="77">
        <f>COUNTIFS('EL scheme register'!$A$7:$A$610,$A92,'EL scheme register'!$AF$7:$AF$610,"Potentially relevant; evidence incomplete",'EL scheme register'!$AI$7:$AI$610,"Yes")</f>
        <v/>
      </c>
      <c r="P92" s="77">
        <f>COUNTIFS('EL scheme register'!$A$7:$A$610,$A92,'EL scheme register'!$AF$7:$AF$610,"Outside strict definition")</f>
        <v/>
      </c>
      <c r="Q92" s="77">
        <f>COUNTIF('EL exclusions &amp; gaps'!$B$7:$B$5000,$A92)</f>
        <v/>
      </c>
      <c r="R92" s="77" t="inlineStr">
        <is>
          <t>Not reviewed</t>
        </is>
      </c>
      <c r="S92" s="77" t="inlineStr">
        <is>
          <t>Not reviewed</t>
        </is>
      </c>
      <c r="T92" s="77" t="inlineStr"/>
      <c r="U92" s="77" t="inlineStr"/>
      <c r="V92" s="77" t="inlineStr">
        <is>
          <t>Not reviewed</t>
        </is>
      </c>
      <c r="W92" s="77" t="inlineStr"/>
      <c r="X92" s="77" t="inlineStr"/>
    </row>
    <row r="93">
      <c r="A93" s="77" t="inlineStr">
        <is>
          <t>US23</t>
        </is>
      </c>
      <c r="B93" s="79" t="inlineStr">
        <is>
          <t>Illinois Urbana-Champaign</t>
        </is>
      </c>
      <c r="C93" s="77" t="inlineStr">
        <is>
          <t>US</t>
        </is>
      </c>
      <c r="D93" s="77" t="inlineStr">
        <is>
          <t>US sample</t>
        </is>
      </c>
      <c r="E93" s="77" t="inlineStr">
        <is>
          <t>US</t>
        </is>
      </c>
      <c r="F93" s="77" t="n">
        <v>2027</v>
      </c>
      <c r="G93" s="77" t="n">
        <v>74</v>
      </c>
      <c r="H93" s="77" t="inlineStr">
        <is>
          <t>Not started</t>
        </is>
      </c>
      <c r="I93" s="77">
        <f>COUNTIFS('EL scheme register'!$A$7:$A$610,$A93,'EL scheme register'!$C$7:$C$610,"University-wide",'EL scheme register'!$AJ$7:$AJ$610,"Yes")</f>
        <v/>
      </c>
      <c r="J93" s="77">
        <f>COUNTIFS('EL scheme register'!$A$7:$A$610,$A93,'EL scheme register'!$C$7:$C$610,"Cross-faculty",'EL scheme register'!$AJ$7:$AJ$610,"Yes")</f>
        <v/>
      </c>
      <c r="K93" s="77">
        <f>COUNTIFS('EL scheme register'!$A$7:$A$610,$A93,'EL scheme register'!$C$7:$C$610,"Faculty/school",'EL scheme register'!$AJ$7:$AJ$610,"Yes")</f>
        <v/>
      </c>
      <c r="L93" s="77">
        <f>COUNTIFS('EL scheme register'!$A$7:$A$610,$A93,'EL scheme register'!$C$7:$C$610,"Programme/course",'EL scheme register'!$AJ$7:$AJ$610,"Yes")</f>
        <v/>
      </c>
      <c r="M93" s="77">
        <f>COUNTIFS('EL scheme register'!$A$7:$A$610,$A93,'EL scheme register'!$C$7:$C$610,"Unclear",'EL scheme register'!$AJ$7:$AJ$610,"Yes")</f>
        <v/>
      </c>
      <c r="N93" s="77">
        <f>SUM(I93:M93)</f>
        <v/>
      </c>
      <c r="O93" s="77">
        <f>COUNTIFS('EL scheme register'!$A$7:$A$610,$A93,'EL scheme register'!$AF$7:$AF$610,"Potentially relevant; evidence incomplete",'EL scheme register'!$AI$7:$AI$610,"Yes")</f>
        <v/>
      </c>
      <c r="P93" s="77">
        <f>COUNTIFS('EL scheme register'!$A$7:$A$610,$A93,'EL scheme register'!$AF$7:$AF$610,"Outside strict definition")</f>
        <v/>
      </c>
      <c r="Q93" s="77">
        <f>COUNTIF('EL exclusions &amp; gaps'!$B$7:$B$5000,$A93)</f>
        <v/>
      </c>
      <c r="R93" s="77" t="inlineStr">
        <is>
          <t>Not reviewed</t>
        </is>
      </c>
      <c r="S93" s="77" t="inlineStr">
        <is>
          <t>Not reviewed</t>
        </is>
      </c>
      <c r="T93" s="77" t="inlineStr"/>
      <c r="U93" s="77" t="inlineStr"/>
      <c r="V93" s="77" t="inlineStr">
        <is>
          <t>Not reviewed</t>
        </is>
      </c>
      <c r="W93" s="77" t="inlineStr"/>
      <c r="X93" s="77" t="inlineStr"/>
    </row>
    <row r="94">
      <c r="A94" s="77" t="inlineStr">
        <is>
          <t>US24</t>
        </is>
      </c>
      <c r="B94" s="79" t="inlineStr">
        <is>
          <t>Georgia Institute of Technology</t>
        </is>
      </c>
      <c r="C94" s="77" t="inlineStr">
        <is>
          <t>US</t>
        </is>
      </c>
      <c r="D94" s="77" t="inlineStr">
        <is>
          <t>US sample</t>
        </is>
      </c>
      <c r="E94" s="77" t="inlineStr">
        <is>
          <t>US</t>
        </is>
      </c>
      <c r="F94" s="77" t="n">
        <v>2027</v>
      </c>
      <c r="G94" s="77" t="n">
        <v>142</v>
      </c>
      <c r="H94" s="77" t="inlineStr">
        <is>
          <t>Not started</t>
        </is>
      </c>
      <c r="I94" s="77">
        <f>COUNTIFS('EL scheme register'!$A$7:$A$610,$A94,'EL scheme register'!$C$7:$C$610,"University-wide",'EL scheme register'!$AJ$7:$AJ$610,"Yes")</f>
        <v/>
      </c>
      <c r="J94" s="77">
        <f>COUNTIFS('EL scheme register'!$A$7:$A$610,$A94,'EL scheme register'!$C$7:$C$610,"Cross-faculty",'EL scheme register'!$AJ$7:$AJ$610,"Yes")</f>
        <v/>
      </c>
      <c r="K94" s="77">
        <f>COUNTIFS('EL scheme register'!$A$7:$A$610,$A94,'EL scheme register'!$C$7:$C$610,"Faculty/school",'EL scheme register'!$AJ$7:$AJ$610,"Yes")</f>
        <v/>
      </c>
      <c r="L94" s="77">
        <f>COUNTIFS('EL scheme register'!$A$7:$A$610,$A94,'EL scheme register'!$C$7:$C$610,"Programme/course",'EL scheme register'!$AJ$7:$AJ$610,"Yes")</f>
        <v/>
      </c>
      <c r="M94" s="77">
        <f>COUNTIFS('EL scheme register'!$A$7:$A$610,$A94,'EL scheme register'!$C$7:$C$610,"Unclear",'EL scheme register'!$AJ$7:$AJ$610,"Yes")</f>
        <v/>
      </c>
      <c r="N94" s="77">
        <f>SUM(I94:M94)</f>
        <v/>
      </c>
      <c r="O94" s="77">
        <f>COUNTIFS('EL scheme register'!$A$7:$A$610,$A94,'EL scheme register'!$AF$7:$AF$610,"Potentially relevant; evidence incomplete",'EL scheme register'!$AI$7:$AI$610,"Yes")</f>
        <v/>
      </c>
      <c r="P94" s="77">
        <f>COUNTIFS('EL scheme register'!$A$7:$A$610,$A94,'EL scheme register'!$AF$7:$AF$610,"Outside strict definition")</f>
        <v/>
      </c>
      <c r="Q94" s="77">
        <f>COUNTIF('EL exclusions &amp; gaps'!$B$7:$B$5000,$A94)</f>
        <v/>
      </c>
      <c r="R94" s="77" t="inlineStr">
        <is>
          <t>Not reviewed</t>
        </is>
      </c>
      <c r="S94" s="77" t="inlineStr">
        <is>
          <t>Not reviewed</t>
        </is>
      </c>
      <c r="T94" s="77" t="inlineStr"/>
      <c r="U94" s="77" t="inlineStr"/>
      <c r="V94" s="77" t="inlineStr">
        <is>
          <t>Not reviewed</t>
        </is>
      </c>
      <c r="W94" s="77" t="inlineStr"/>
      <c r="X94" s="77" t="inlineStr"/>
    </row>
    <row r="95">
      <c r="A95" s="77" t="inlineStr">
        <is>
          <t>US25</t>
        </is>
      </c>
      <c r="B95" s="79" t="inlineStr">
        <is>
          <t>Purdue</t>
        </is>
      </c>
      <c r="C95" s="77" t="inlineStr">
        <is>
          <t>US</t>
        </is>
      </c>
      <c r="D95" s="77" t="inlineStr">
        <is>
          <t>US sample</t>
        </is>
      </c>
      <c r="E95" s="77" t="inlineStr">
        <is>
          <t>US</t>
        </is>
      </c>
      <c r="F95" s="77" t="n">
        <v>2027</v>
      </c>
      <c r="G95" s="77" t="n">
        <v>100</v>
      </c>
      <c r="H95" s="77" t="inlineStr">
        <is>
          <t>Not started</t>
        </is>
      </c>
      <c r="I95" s="77">
        <f>COUNTIFS('EL scheme register'!$A$7:$A$610,$A95,'EL scheme register'!$C$7:$C$610,"University-wide",'EL scheme register'!$AJ$7:$AJ$610,"Yes")</f>
        <v/>
      </c>
      <c r="J95" s="77">
        <f>COUNTIFS('EL scheme register'!$A$7:$A$610,$A95,'EL scheme register'!$C$7:$C$610,"Cross-faculty",'EL scheme register'!$AJ$7:$AJ$610,"Yes")</f>
        <v/>
      </c>
      <c r="K95" s="77">
        <f>COUNTIFS('EL scheme register'!$A$7:$A$610,$A95,'EL scheme register'!$C$7:$C$610,"Faculty/school",'EL scheme register'!$AJ$7:$AJ$610,"Yes")</f>
        <v/>
      </c>
      <c r="L95" s="77">
        <f>COUNTIFS('EL scheme register'!$A$7:$A$610,$A95,'EL scheme register'!$C$7:$C$610,"Programme/course",'EL scheme register'!$AJ$7:$AJ$610,"Yes")</f>
        <v/>
      </c>
      <c r="M95" s="77">
        <f>COUNTIFS('EL scheme register'!$A$7:$A$610,$A95,'EL scheme register'!$C$7:$C$610,"Unclear",'EL scheme register'!$AJ$7:$AJ$610,"Yes")</f>
        <v/>
      </c>
      <c r="N95" s="77">
        <f>SUM(I95:M95)</f>
        <v/>
      </c>
      <c r="O95" s="77">
        <f>COUNTIFS('EL scheme register'!$A$7:$A$610,$A95,'EL scheme register'!$AF$7:$AF$610,"Potentially relevant; evidence incomplete",'EL scheme register'!$AI$7:$AI$610,"Yes")</f>
        <v/>
      </c>
      <c r="P95" s="77">
        <f>COUNTIFS('EL scheme register'!$A$7:$A$610,$A95,'EL scheme register'!$AF$7:$AF$610,"Outside strict definition")</f>
        <v/>
      </c>
      <c r="Q95" s="77">
        <f>COUNTIF('EL exclusions &amp; gaps'!$B$7:$B$5000,$A95)</f>
        <v/>
      </c>
      <c r="R95" s="77" t="inlineStr">
        <is>
          <t>Not reviewed</t>
        </is>
      </c>
      <c r="S95" s="77" t="inlineStr">
        <is>
          <t>Not reviewed</t>
        </is>
      </c>
      <c r="T95" s="77" t="inlineStr"/>
      <c r="U95" s="77" t="inlineStr"/>
      <c r="V95" s="77" t="inlineStr">
        <is>
          <t>Not reviewed</t>
        </is>
      </c>
      <c r="W95" s="77" t="inlineStr"/>
      <c r="X95" s="77" t="inlineStr"/>
    </row>
    <row r="96">
      <c r="A96" s="77" t="inlineStr">
        <is>
          <t>US26</t>
        </is>
      </c>
      <c r="B96" s="79" t="inlineStr">
        <is>
          <t>Wisconsin Madison</t>
        </is>
      </c>
      <c r="C96" s="77" t="inlineStr">
        <is>
          <t>US</t>
        </is>
      </c>
      <c r="D96" s="77" t="inlineStr">
        <is>
          <t>US sample</t>
        </is>
      </c>
      <c r="E96" s="77" t="inlineStr">
        <is>
          <t>US</t>
        </is>
      </c>
      <c r="F96" s="77" t="n">
        <v>2027</v>
      </c>
      <c r="G96" s="77" t="n">
        <v>131</v>
      </c>
      <c r="H96" s="77" t="inlineStr">
        <is>
          <t>Not started</t>
        </is>
      </c>
      <c r="I96" s="77">
        <f>COUNTIFS('EL scheme register'!$A$7:$A$610,$A96,'EL scheme register'!$C$7:$C$610,"University-wide",'EL scheme register'!$AJ$7:$AJ$610,"Yes")</f>
        <v/>
      </c>
      <c r="J96" s="77">
        <f>COUNTIFS('EL scheme register'!$A$7:$A$610,$A96,'EL scheme register'!$C$7:$C$610,"Cross-faculty",'EL scheme register'!$AJ$7:$AJ$610,"Yes")</f>
        <v/>
      </c>
      <c r="K96" s="77">
        <f>COUNTIFS('EL scheme register'!$A$7:$A$610,$A96,'EL scheme register'!$C$7:$C$610,"Faculty/school",'EL scheme register'!$AJ$7:$AJ$610,"Yes")</f>
        <v/>
      </c>
      <c r="L96" s="77">
        <f>COUNTIFS('EL scheme register'!$A$7:$A$610,$A96,'EL scheme register'!$C$7:$C$610,"Programme/course",'EL scheme register'!$AJ$7:$AJ$610,"Yes")</f>
        <v/>
      </c>
      <c r="M96" s="77">
        <f>COUNTIFS('EL scheme register'!$A$7:$A$610,$A96,'EL scheme register'!$C$7:$C$610,"Unclear",'EL scheme register'!$AJ$7:$AJ$610,"Yes")</f>
        <v/>
      </c>
      <c r="N96" s="77">
        <f>SUM(I96:M96)</f>
        <v/>
      </c>
      <c r="O96" s="77">
        <f>COUNTIFS('EL scheme register'!$A$7:$A$610,$A96,'EL scheme register'!$AF$7:$AF$610,"Potentially relevant; evidence incomplete",'EL scheme register'!$AI$7:$AI$610,"Yes")</f>
        <v/>
      </c>
      <c r="P96" s="77">
        <f>COUNTIFS('EL scheme register'!$A$7:$A$610,$A96,'EL scheme register'!$AF$7:$AF$610,"Outside strict definition")</f>
        <v/>
      </c>
      <c r="Q96" s="77">
        <f>COUNTIF('EL exclusions &amp; gaps'!$B$7:$B$5000,$A96)</f>
        <v/>
      </c>
      <c r="R96" s="77" t="inlineStr">
        <is>
          <t>Not reviewed</t>
        </is>
      </c>
      <c r="S96" s="77" t="inlineStr">
        <is>
          <t>Not reviewed</t>
        </is>
      </c>
      <c r="T96" s="77" t="inlineStr"/>
      <c r="U96" s="77" t="inlineStr"/>
      <c r="V96" s="77" t="inlineStr">
        <is>
          <t>Not reviewed</t>
        </is>
      </c>
      <c r="W96" s="77" t="inlineStr"/>
      <c r="X96" s="77" t="inlineStr"/>
    </row>
    <row r="97">
      <c r="A97" s="77" t="inlineStr">
        <is>
          <t>US27</t>
        </is>
      </c>
      <c r="B97" s="79" t="inlineStr">
        <is>
          <t>Washington</t>
        </is>
      </c>
      <c r="C97" s="77" t="inlineStr">
        <is>
          <t>US</t>
        </is>
      </c>
      <c r="D97" s="77" t="inlineStr">
        <is>
          <t>US sample</t>
        </is>
      </c>
      <c r="E97" s="77" t="inlineStr">
        <is>
          <t>US</t>
        </is>
      </c>
      <c r="F97" s="77" t="n">
        <v>2027</v>
      </c>
      <c r="G97" s="77" t="n">
        <v>92</v>
      </c>
      <c r="H97" s="77" t="inlineStr">
        <is>
          <t>Not started</t>
        </is>
      </c>
      <c r="I97" s="77">
        <f>COUNTIFS('EL scheme register'!$A$7:$A$610,$A97,'EL scheme register'!$C$7:$C$610,"University-wide",'EL scheme register'!$AJ$7:$AJ$610,"Yes")</f>
        <v/>
      </c>
      <c r="J97" s="77">
        <f>COUNTIFS('EL scheme register'!$A$7:$A$610,$A97,'EL scheme register'!$C$7:$C$610,"Cross-faculty",'EL scheme register'!$AJ$7:$AJ$610,"Yes")</f>
        <v/>
      </c>
      <c r="K97" s="77">
        <f>COUNTIFS('EL scheme register'!$A$7:$A$610,$A97,'EL scheme register'!$C$7:$C$610,"Faculty/school",'EL scheme register'!$AJ$7:$AJ$610,"Yes")</f>
        <v/>
      </c>
      <c r="L97" s="77">
        <f>COUNTIFS('EL scheme register'!$A$7:$A$610,$A97,'EL scheme register'!$C$7:$C$610,"Programme/course",'EL scheme register'!$AJ$7:$AJ$610,"Yes")</f>
        <v/>
      </c>
      <c r="M97" s="77">
        <f>COUNTIFS('EL scheme register'!$A$7:$A$610,$A97,'EL scheme register'!$C$7:$C$610,"Unclear",'EL scheme register'!$AJ$7:$AJ$610,"Yes")</f>
        <v/>
      </c>
      <c r="N97" s="77">
        <f>SUM(I97:M97)</f>
        <v/>
      </c>
      <c r="O97" s="77">
        <f>COUNTIFS('EL scheme register'!$A$7:$A$610,$A97,'EL scheme register'!$AF$7:$AF$610,"Potentially relevant; evidence incomplete",'EL scheme register'!$AI$7:$AI$610,"Yes")</f>
        <v/>
      </c>
      <c r="P97" s="77">
        <f>COUNTIFS('EL scheme register'!$A$7:$A$610,$A97,'EL scheme register'!$AF$7:$AF$610,"Outside strict definition")</f>
        <v/>
      </c>
      <c r="Q97" s="77">
        <f>COUNTIF('EL exclusions &amp; gaps'!$B$7:$B$5000,$A97)</f>
        <v/>
      </c>
      <c r="R97" s="77" t="inlineStr">
        <is>
          <t>Not reviewed</t>
        </is>
      </c>
      <c r="S97" s="77" t="inlineStr">
        <is>
          <t>Not reviewed</t>
        </is>
      </c>
      <c r="T97" s="77" t="inlineStr"/>
      <c r="U97" s="77" t="inlineStr"/>
      <c r="V97" s="77" t="inlineStr">
        <is>
          <t>Not reviewed</t>
        </is>
      </c>
      <c r="W97" s="77" t="inlineStr"/>
      <c r="X97" s="77" t="inlineStr"/>
    </row>
    <row r="98">
      <c r="A98" s="77" t="inlineStr">
        <is>
          <t>US28</t>
        </is>
      </c>
      <c r="B98" s="79" t="inlineStr">
        <is>
          <t>Boston University</t>
        </is>
      </c>
      <c r="C98" s="77" t="inlineStr">
        <is>
          <t>US</t>
        </is>
      </c>
      <c r="D98" s="77" t="inlineStr">
        <is>
          <t>US sample</t>
        </is>
      </c>
      <c r="E98" s="77" t="inlineStr">
        <is>
          <t>US</t>
        </is>
      </c>
      <c r="F98" s="77" t="n">
        <v>2027</v>
      </c>
      <c r="G98" s="77" t="n">
        <v>94</v>
      </c>
      <c r="H98" s="77" t="inlineStr">
        <is>
          <t>Not started</t>
        </is>
      </c>
      <c r="I98" s="77">
        <f>COUNTIFS('EL scheme register'!$A$7:$A$610,$A98,'EL scheme register'!$C$7:$C$610,"University-wide",'EL scheme register'!$AJ$7:$AJ$610,"Yes")</f>
        <v/>
      </c>
      <c r="J98" s="77">
        <f>COUNTIFS('EL scheme register'!$A$7:$A$610,$A98,'EL scheme register'!$C$7:$C$610,"Cross-faculty",'EL scheme register'!$AJ$7:$AJ$610,"Yes")</f>
        <v/>
      </c>
      <c r="K98" s="77">
        <f>COUNTIFS('EL scheme register'!$A$7:$A$610,$A98,'EL scheme register'!$C$7:$C$610,"Faculty/school",'EL scheme register'!$AJ$7:$AJ$610,"Yes")</f>
        <v/>
      </c>
      <c r="L98" s="77">
        <f>COUNTIFS('EL scheme register'!$A$7:$A$610,$A98,'EL scheme register'!$C$7:$C$610,"Programme/course",'EL scheme register'!$AJ$7:$AJ$610,"Yes")</f>
        <v/>
      </c>
      <c r="M98" s="77">
        <f>COUNTIFS('EL scheme register'!$A$7:$A$610,$A98,'EL scheme register'!$C$7:$C$610,"Unclear",'EL scheme register'!$AJ$7:$AJ$610,"Yes")</f>
        <v/>
      </c>
      <c r="N98" s="77">
        <f>SUM(I98:M98)</f>
        <v/>
      </c>
      <c r="O98" s="77">
        <f>COUNTIFS('EL scheme register'!$A$7:$A$610,$A98,'EL scheme register'!$AF$7:$AF$610,"Potentially relevant; evidence incomplete",'EL scheme register'!$AI$7:$AI$610,"Yes")</f>
        <v/>
      </c>
      <c r="P98" s="77">
        <f>COUNTIFS('EL scheme register'!$A$7:$A$610,$A98,'EL scheme register'!$AF$7:$AF$610,"Outside strict definition")</f>
        <v/>
      </c>
      <c r="Q98" s="77">
        <f>COUNTIF('EL exclusions &amp; gaps'!$B$7:$B$5000,$A98)</f>
        <v/>
      </c>
      <c r="R98" s="77" t="inlineStr">
        <is>
          <t>Not reviewed</t>
        </is>
      </c>
      <c r="S98" s="77" t="inlineStr">
        <is>
          <t>Not reviewed</t>
        </is>
      </c>
      <c r="T98" s="77" t="inlineStr"/>
      <c r="U98" s="77" t="inlineStr"/>
      <c r="V98" s="77" t="inlineStr">
        <is>
          <t>Not reviewed</t>
        </is>
      </c>
      <c r="W98" s="77" t="inlineStr"/>
      <c r="X98" s="77" t="inlineStr"/>
    </row>
    <row r="99">
      <c r="A99" s="77" t="inlineStr">
        <is>
          <t>US29</t>
        </is>
      </c>
      <c r="B99" s="79" t="inlineStr">
        <is>
          <t>Pennsylvania State</t>
        </is>
      </c>
      <c r="C99" s="77" t="inlineStr">
        <is>
          <t>US</t>
        </is>
      </c>
      <c r="D99" s="77" t="inlineStr">
        <is>
          <t>US sample</t>
        </is>
      </c>
      <c r="E99" s="77" t="inlineStr">
        <is>
          <t>US</t>
        </is>
      </c>
      <c r="F99" s="77" t="n">
        <v>2027</v>
      </c>
      <c r="G99" s="77" t="n">
        <v>92</v>
      </c>
      <c r="H99" s="77" t="inlineStr">
        <is>
          <t>Not started</t>
        </is>
      </c>
      <c r="I99" s="77">
        <f>COUNTIFS('EL scheme register'!$A$7:$A$610,$A99,'EL scheme register'!$C$7:$C$610,"University-wide",'EL scheme register'!$AJ$7:$AJ$610,"Yes")</f>
        <v/>
      </c>
      <c r="J99" s="77">
        <f>COUNTIFS('EL scheme register'!$A$7:$A$610,$A99,'EL scheme register'!$C$7:$C$610,"Cross-faculty",'EL scheme register'!$AJ$7:$AJ$610,"Yes")</f>
        <v/>
      </c>
      <c r="K99" s="77">
        <f>COUNTIFS('EL scheme register'!$A$7:$A$610,$A99,'EL scheme register'!$C$7:$C$610,"Faculty/school",'EL scheme register'!$AJ$7:$AJ$610,"Yes")</f>
        <v/>
      </c>
      <c r="L99" s="77">
        <f>COUNTIFS('EL scheme register'!$A$7:$A$610,$A99,'EL scheme register'!$C$7:$C$610,"Programme/course",'EL scheme register'!$AJ$7:$AJ$610,"Yes")</f>
        <v/>
      </c>
      <c r="M99" s="77">
        <f>COUNTIFS('EL scheme register'!$A$7:$A$610,$A99,'EL scheme register'!$C$7:$C$610,"Unclear",'EL scheme register'!$AJ$7:$AJ$610,"Yes")</f>
        <v/>
      </c>
      <c r="N99" s="77">
        <f>SUM(I99:M99)</f>
        <v/>
      </c>
      <c r="O99" s="77">
        <f>COUNTIFS('EL scheme register'!$A$7:$A$610,$A99,'EL scheme register'!$AF$7:$AF$610,"Potentially relevant; evidence incomplete",'EL scheme register'!$AI$7:$AI$610,"Yes")</f>
        <v/>
      </c>
      <c r="P99" s="77">
        <f>COUNTIFS('EL scheme register'!$A$7:$A$610,$A99,'EL scheme register'!$AF$7:$AF$610,"Outside strict definition")</f>
        <v/>
      </c>
      <c r="Q99" s="77">
        <f>COUNTIF('EL exclusions &amp; gaps'!$B$7:$B$5000,$A99)</f>
        <v/>
      </c>
      <c r="R99" s="77" t="inlineStr">
        <is>
          <t>Not reviewed</t>
        </is>
      </c>
      <c r="S99" s="77" t="inlineStr">
        <is>
          <t>Not reviewed</t>
        </is>
      </c>
      <c r="T99" s="77" t="inlineStr"/>
      <c r="U99" s="77" t="inlineStr"/>
      <c r="V99" s="77" t="inlineStr">
        <is>
          <t>Not reviewed</t>
        </is>
      </c>
      <c r="W99" s="77" t="inlineStr"/>
      <c r="X99" s="77" t="inlineStr"/>
    </row>
    <row r="100">
      <c r="A100" s="77" t="inlineStr">
        <is>
          <t>US30</t>
        </is>
      </c>
      <c r="B100" s="79" t="inlineStr">
        <is>
          <t>Ohio State</t>
        </is>
      </c>
      <c r="C100" s="77" t="inlineStr">
        <is>
          <t>US</t>
        </is>
      </c>
      <c r="D100" s="77" t="inlineStr">
        <is>
          <t>US sample</t>
        </is>
      </c>
      <c r="E100" s="77" t="inlineStr">
        <is>
          <t>US</t>
        </is>
      </c>
      <c r="F100" s="77" t="n">
        <v>2027</v>
      </c>
      <c r="G100" s="77" t="n">
        <v>201</v>
      </c>
      <c r="H100" s="77" t="inlineStr">
        <is>
          <t>Not started</t>
        </is>
      </c>
      <c r="I100" s="77">
        <f>COUNTIFS('EL scheme register'!$A$7:$A$610,$A100,'EL scheme register'!$C$7:$C$610,"University-wide",'EL scheme register'!$AJ$7:$AJ$610,"Yes")</f>
        <v/>
      </c>
      <c r="J100" s="77">
        <f>COUNTIFS('EL scheme register'!$A$7:$A$610,$A100,'EL scheme register'!$C$7:$C$610,"Cross-faculty",'EL scheme register'!$AJ$7:$AJ$610,"Yes")</f>
        <v/>
      </c>
      <c r="K100" s="77">
        <f>COUNTIFS('EL scheme register'!$A$7:$A$610,$A100,'EL scheme register'!$C$7:$C$610,"Faculty/school",'EL scheme register'!$AJ$7:$AJ$610,"Yes")</f>
        <v/>
      </c>
      <c r="L100" s="77">
        <f>COUNTIFS('EL scheme register'!$A$7:$A$610,$A100,'EL scheme register'!$C$7:$C$610,"Programme/course",'EL scheme register'!$AJ$7:$AJ$610,"Yes")</f>
        <v/>
      </c>
      <c r="M100" s="77">
        <f>COUNTIFS('EL scheme register'!$A$7:$A$610,$A100,'EL scheme register'!$C$7:$C$610,"Unclear",'EL scheme register'!$AJ$7:$AJ$610,"Yes")</f>
        <v/>
      </c>
      <c r="N100" s="77">
        <f>SUM(I100:M100)</f>
        <v/>
      </c>
      <c r="O100" s="77">
        <f>COUNTIFS('EL scheme register'!$A$7:$A$610,$A100,'EL scheme register'!$AF$7:$AF$610,"Potentially relevant; evidence incomplete",'EL scheme register'!$AI$7:$AI$610,"Yes")</f>
        <v/>
      </c>
      <c r="P100" s="77">
        <f>COUNTIFS('EL scheme register'!$A$7:$A$610,$A100,'EL scheme register'!$AF$7:$AF$610,"Outside strict definition")</f>
        <v/>
      </c>
      <c r="Q100" s="77">
        <f>COUNTIF('EL exclusions &amp; gaps'!$B$7:$B$5000,$A100)</f>
        <v/>
      </c>
      <c r="R100" s="77" t="inlineStr">
        <is>
          <t>Not reviewed</t>
        </is>
      </c>
      <c r="S100" s="77" t="inlineStr">
        <is>
          <t>Not reviewed</t>
        </is>
      </c>
      <c r="T100" s="77" t="inlineStr"/>
      <c r="U100" s="77" t="inlineStr"/>
      <c r="V100" s="77" t="inlineStr">
        <is>
          <t>Not reviewed</t>
        </is>
      </c>
      <c r="W100" s="77" t="inlineStr"/>
      <c r="X100" s="77" t="inlineStr"/>
    </row>
    <row r="101">
      <c r="A101" s="77" t="inlineStr">
        <is>
          <t>EU01</t>
        </is>
      </c>
      <c r="B101" s="79" t="inlineStr">
        <is>
          <t>PSL</t>
        </is>
      </c>
      <c r="C101" s="77" t="inlineStr">
        <is>
          <t>France</t>
        </is>
      </c>
      <c r="D101" s="77" t="inlineStr">
        <is>
          <t>EU sample</t>
        </is>
      </c>
      <c r="E101" s="77" t="inlineStr">
        <is>
          <t>EU</t>
        </is>
      </c>
      <c r="F101" s="77" t="n">
        <v>2027</v>
      </c>
      <c r="G101" s="77" t="n">
        <v>34</v>
      </c>
      <c r="H101" s="77" t="inlineStr">
        <is>
          <t>Not started</t>
        </is>
      </c>
      <c r="I101" s="77">
        <f>COUNTIFS('EL scheme register'!$A$7:$A$610,$A101,'EL scheme register'!$C$7:$C$610,"University-wide",'EL scheme register'!$AJ$7:$AJ$610,"Yes")</f>
        <v/>
      </c>
      <c r="J101" s="77">
        <f>COUNTIFS('EL scheme register'!$A$7:$A$610,$A101,'EL scheme register'!$C$7:$C$610,"Cross-faculty",'EL scheme register'!$AJ$7:$AJ$610,"Yes")</f>
        <v/>
      </c>
      <c r="K101" s="77">
        <f>COUNTIFS('EL scheme register'!$A$7:$A$610,$A101,'EL scheme register'!$C$7:$C$610,"Faculty/school",'EL scheme register'!$AJ$7:$AJ$610,"Yes")</f>
        <v/>
      </c>
      <c r="L101" s="77">
        <f>COUNTIFS('EL scheme register'!$A$7:$A$610,$A101,'EL scheme register'!$C$7:$C$610,"Programme/course",'EL scheme register'!$AJ$7:$AJ$610,"Yes")</f>
        <v/>
      </c>
      <c r="M101" s="77">
        <f>COUNTIFS('EL scheme register'!$A$7:$A$610,$A101,'EL scheme register'!$C$7:$C$610,"Unclear",'EL scheme register'!$AJ$7:$AJ$610,"Yes")</f>
        <v/>
      </c>
      <c r="N101" s="77">
        <f>SUM(I101:M101)</f>
        <v/>
      </c>
      <c r="O101" s="77">
        <f>COUNTIFS('EL scheme register'!$A$7:$A$610,$A101,'EL scheme register'!$AF$7:$AF$610,"Potentially relevant; evidence incomplete",'EL scheme register'!$AI$7:$AI$610,"Yes")</f>
        <v/>
      </c>
      <c r="P101" s="77">
        <f>COUNTIFS('EL scheme register'!$A$7:$A$610,$A101,'EL scheme register'!$AF$7:$AF$610,"Outside strict definition")</f>
        <v/>
      </c>
      <c r="Q101" s="77">
        <f>COUNTIF('EL exclusions &amp; gaps'!$B$7:$B$5000,$A101)</f>
        <v/>
      </c>
      <c r="R101" s="77" t="inlineStr">
        <is>
          <t>Not reviewed</t>
        </is>
      </c>
      <c r="S101" s="77" t="inlineStr">
        <is>
          <t>Not reviewed</t>
        </is>
      </c>
      <c r="T101" s="77" t="inlineStr"/>
      <c r="U101" s="77" t="inlineStr"/>
      <c r="V101" s="77" t="inlineStr">
        <is>
          <t>Not reviewed</t>
        </is>
      </c>
      <c r="W101" s="77" t="inlineStr"/>
      <c r="X101" s="77" t="inlineStr"/>
    </row>
    <row r="102">
      <c r="A102" s="77" t="inlineStr">
        <is>
          <t>EU02</t>
        </is>
      </c>
      <c r="B102" s="79" t="inlineStr">
        <is>
          <t>Paris-Saclay</t>
        </is>
      </c>
      <c r="C102" s="77" t="inlineStr">
        <is>
          <t>France</t>
        </is>
      </c>
      <c r="D102" s="77" t="inlineStr">
        <is>
          <t>EU sample</t>
        </is>
      </c>
      <c r="E102" s="77" t="inlineStr">
        <is>
          <t>EU</t>
        </is>
      </c>
      <c r="F102" s="77" t="n">
        <v>2027</v>
      </c>
      <c r="G102" s="77" t="n">
        <v>76</v>
      </c>
      <c r="H102" s="77" t="inlineStr">
        <is>
          <t>Not started</t>
        </is>
      </c>
      <c r="I102" s="77">
        <f>COUNTIFS('EL scheme register'!$A$7:$A$610,$A102,'EL scheme register'!$C$7:$C$610,"University-wide",'EL scheme register'!$AJ$7:$AJ$610,"Yes")</f>
        <v/>
      </c>
      <c r="J102" s="77">
        <f>COUNTIFS('EL scheme register'!$A$7:$A$610,$A102,'EL scheme register'!$C$7:$C$610,"Cross-faculty",'EL scheme register'!$AJ$7:$AJ$610,"Yes")</f>
        <v/>
      </c>
      <c r="K102" s="77">
        <f>COUNTIFS('EL scheme register'!$A$7:$A$610,$A102,'EL scheme register'!$C$7:$C$610,"Faculty/school",'EL scheme register'!$AJ$7:$AJ$610,"Yes")</f>
        <v/>
      </c>
      <c r="L102" s="77">
        <f>COUNTIFS('EL scheme register'!$A$7:$A$610,$A102,'EL scheme register'!$C$7:$C$610,"Programme/course",'EL scheme register'!$AJ$7:$AJ$610,"Yes")</f>
        <v/>
      </c>
      <c r="M102" s="77">
        <f>COUNTIFS('EL scheme register'!$A$7:$A$610,$A102,'EL scheme register'!$C$7:$C$610,"Unclear",'EL scheme register'!$AJ$7:$AJ$610,"Yes")</f>
        <v/>
      </c>
      <c r="N102" s="77">
        <f>SUM(I102:M102)</f>
        <v/>
      </c>
      <c r="O102" s="77">
        <f>COUNTIFS('EL scheme register'!$A$7:$A$610,$A102,'EL scheme register'!$AF$7:$AF$610,"Potentially relevant; evidence incomplete",'EL scheme register'!$AI$7:$AI$610,"Yes")</f>
        <v/>
      </c>
      <c r="P102" s="77">
        <f>COUNTIFS('EL scheme register'!$A$7:$A$610,$A102,'EL scheme register'!$AF$7:$AF$610,"Outside strict definition")</f>
        <v/>
      </c>
      <c r="Q102" s="77">
        <f>COUNTIF('EL exclusions &amp; gaps'!$B$7:$B$5000,$A102)</f>
        <v/>
      </c>
      <c r="R102" s="77" t="inlineStr">
        <is>
          <t>Not reviewed</t>
        </is>
      </c>
      <c r="S102" s="77" t="inlineStr">
        <is>
          <t>Not reviewed</t>
        </is>
      </c>
      <c r="T102" s="77" t="inlineStr"/>
      <c r="U102" s="77" t="inlineStr"/>
      <c r="V102" s="77" t="inlineStr">
        <is>
          <t>Not reviewed</t>
        </is>
      </c>
      <c r="W102" s="77" t="inlineStr"/>
      <c r="X102" s="77" t="inlineStr"/>
    </row>
    <row r="103">
      <c r="A103" s="77" t="inlineStr">
        <is>
          <t>EU03</t>
        </is>
      </c>
      <c r="B103" s="79" t="inlineStr">
        <is>
          <t>Sorbonne University</t>
        </is>
      </c>
      <c r="C103" s="77" t="inlineStr">
        <is>
          <t>France</t>
        </is>
      </c>
      <c r="D103" s="77" t="inlineStr">
        <is>
          <t>EU sample</t>
        </is>
      </c>
      <c r="E103" s="77" t="inlineStr">
        <is>
          <t>EU</t>
        </is>
      </c>
      <c r="F103" s="77" t="n">
        <v>2027</v>
      </c>
      <c r="G103" s="77" t="n">
        <v>73</v>
      </c>
      <c r="H103" s="77" t="inlineStr">
        <is>
          <t>Not started</t>
        </is>
      </c>
      <c r="I103" s="77">
        <f>COUNTIFS('EL scheme register'!$A$7:$A$610,$A103,'EL scheme register'!$C$7:$C$610,"University-wide",'EL scheme register'!$AJ$7:$AJ$610,"Yes")</f>
        <v/>
      </c>
      <c r="J103" s="77">
        <f>COUNTIFS('EL scheme register'!$A$7:$A$610,$A103,'EL scheme register'!$C$7:$C$610,"Cross-faculty",'EL scheme register'!$AJ$7:$AJ$610,"Yes")</f>
        <v/>
      </c>
      <c r="K103" s="77">
        <f>COUNTIFS('EL scheme register'!$A$7:$A$610,$A103,'EL scheme register'!$C$7:$C$610,"Faculty/school",'EL scheme register'!$AJ$7:$AJ$610,"Yes")</f>
        <v/>
      </c>
      <c r="L103" s="77">
        <f>COUNTIFS('EL scheme register'!$A$7:$A$610,$A103,'EL scheme register'!$C$7:$C$610,"Programme/course",'EL scheme register'!$AJ$7:$AJ$610,"Yes")</f>
        <v/>
      </c>
      <c r="M103" s="77">
        <f>COUNTIFS('EL scheme register'!$A$7:$A$610,$A103,'EL scheme register'!$C$7:$C$610,"Unclear",'EL scheme register'!$AJ$7:$AJ$610,"Yes")</f>
        <v/>
      </c>
      <c r="N103" s="77">
        <f>SUM(I103:M103)</f>
        <v/>
      </c>
      <c r="O103" s="77">
        <f>COUNTIFS('EL scheme register'!$A$7:$A$610,$A103,'EL scheme register'!$AF$7:$AF$610,"Potentially relevant; evidence incomplete",'EL scheme register'!$AI$7:$AI$610,"Yes")</f>
        <v/>
      </c>
      <c r="P103" s="77">
        <f>COUNTIFS('EL scheme register'!$A$7:$A$610,$A103,'EL scheme register'!$AF$7:$AF$610,"Outside strict definition")</f>
        <v/>
      </c>
      <c r="Q103" s="77">
        <f>COUNTIF('EL exclusions &amp; gaps'!$B$7:$B$5000,$A103)</f>
        <v/>
      </c>
      <c r="R103" s="77" t="inlineStr">
        <is>
          <t>Not reviewed</t>
        </is>
      </c>
      <c r="S103" s="77" t="inlineStr">
        <is>
          <t>Not reviewed</t>
        </is>
      </c>
      <c r="T103" s="77" t="inlineStr"/>
      <c r="U103" s="77" t="inlineStr"/>
      <c r="V103" s="77" t="inlineStr">
        <is>
          <t>Not reviewed</t>
        </is>
      </c>
      <c r="W103" s="77" t="inlineStr"/>
      <c r="X103" s="77" t="inlineStr"/>
    </row>
    <row r="104">
      <c r="A104" s="77" t="inlineStr">
        <is>
          <t>EU04</t>
        </is>
      </c>
      <c r="B104" s="79" t="inlineStr">
        <is>
          <t>Institut Polytechnique de Paris</t>
        </is>
      </c>
      <c r="C104" s="77" t="inlineStr">
        <is>
          <t>France</t>
        </is>
      </c>
      <c r="D104" s="77" t="inlineStr">
        <is>
          <t>EU sample</t>
        </is>
      </c>
      <c r="E104" s="77" t="inlineStr">
        <is>
          <t>EU</t>
        </is>
      </c>
      <c r="F104" s="77" t="n">
        <v>2027</v>
      </c>
      <c r="G104" s="77" t="n">
        <v>43</v>
      </c>
      <c r="H104" s="77" t="inlineStr">
        <is>
          <t>Not started</t>
        </is>
      </c>
      <c r="I104" s="77">
        <f>COUNTIFS('EL scheme register'!$A$7:$A$610,$A104,'EL scheme register'!$C$7:$C$610,"University-wide",'EL scheme register'!$AJ$7:$AJ$610,"Yes")</f>
        <v/>
      </c>
      <c r="J104" s="77">
        <f>COUNTIFS('EL scheme register'!$A$7:$A$610,$A104,'EL scheme register'!$C$7:$C$610,"Cross-faculty",'EL scheme register'!$AJ$7:$AJ$610,"Yes")</f>
        <v/>
      </c>
      <c r="K104" s="77">
        <f>COUNTIFS('EL scheme register'!$A$7:$A$610,$A104,'EL scheme register'!$C$7:$C$610,"Faculty/school",'EL scheme register'!$AJ$7:$AJ$610,"Yes")</f>
        <v/>
      </c>
      <c r="L104" s="77">
        <f>COUNTIFS('EL scheme register'!$A$7:$A$610,$A104,'EL scheme register'!$C$7:$C$610,"Programme/course",'EL scheme register'!$AJ$7:$AJ$610,"Yes")</f>
        <v/>
      </c>
      <c r="M104" s="77">
        <f>COUNTIFS('EL scheme register'!$A$7:$A$610,$A104,'EL scheme register'!$C$7:$C$610,"Unclear",'EL scheme register'!$AJ$7:$AJ$610,"Yes")</f>
        <v/>
      </c>
      <c r="N104" s="77">
        <f>SUM(I104:M104)</f>
        <v/>
      </c>
      <c r="O104" s="77">
        <f>COUNTIFS('EL scheme register'!$A$7:$A$610,$A104,'EL scheme register'!$AF$7:$AF$610,"Potentially relevant; evidence incomplete",'EL scheme register'!$AI$7:$AI$610,"Yes")</f>
        <v/>
      </c>
      <c r="P104" s="77">
        <f>COUNTIFS('EL scheme register'!$A$7:$A$610,$A104,'EL scheme register'!$AF$7:$AF$610,"Outside strict definition")</f>
        <v/>
      </c>
      <c r="Q104" s="77">
        <f>COUNTIF('EL exclusions &amp; gaps'!$B$7:$B$5000,$A104)</f>
        <v/>
      </c>
      <c r="R104" s="77" t="inlineStr">
        <is>
          <t>Not reviewed</t>
        </is>
      </c>
      <c r="S104" s="77" t="inlineStr">
        <is>
          <t>Not reviewed</t>
        </is>
      </c>
      <c r="T104" s="77" t="inlineStr"/>
      <c r="U104" s="77" t="inlineStr"/>
      <c r="V104" s="77" t="inlineStr">
        <is>
          <t>Not reviewed</t>
        </is>
      </c>
      <c r="W104" s="77" t="inlineStr"/>
      <c r="X104" s="77" t="inlineStr"/>
    </row>
    <row r="105">
      <c r="A105" s="77" t="inlineStr">
        <is>
          <t>EU05</t>
        </is>
      </c>
      <c r="B105" s="79" t="inlineStr">
        <is>
          <t>Sciences Po</t>
        </is>
      </c>
      <c r="C105" s="77" t="inlineStr">
        <is>
          <t>France</t>
        </is>
      </c>
      <c r="D105" s="77" t="inlineStr">
        <is>
          <t>EU sample</t>
        </is>
      </c>
      <c r="E105" s="77" t="inlineStr">
        <is>
          <t>EU</t>
        </is>
      </c>
      <c r="F105" s="77" t="n">
        <v>2027</v>
      </c>
      <c r="G105" s="77" t="n">
        <v>354</v>
      </c>
      <c r="H105" s="77" t="inlineStr">
        <is>
          <t>Not started</t>
        </is>
      </c>
      <c r="I105" s="77">
        <f>COUNTIFS('EL scheme register'!$A$7:$A$610,$A105,'EL scheme register'!$C$7:$C$610,"University-wide",'EL scheme register'!$AJ$7:$AJ$610,"Yes")</f>
        <v/>
      </c>
      <c r="J105" s="77">
        <f>COUNTIFS('EL scheme register'!$A$7:$A$610,$A105,'EL scheme register'!$C$7:$C$610,"Cross-faculty",'EL scheme register'!$AJ$7:$AJ$610,"Yes")</f>
        <v/>
      </c>
      <c r="K105" s="77">
        <f>COUNTIFS('EL scheme register'!$A$7:$A$610,$A105,'EL scheme register'!$C$7:$C$610,"Faculty/school",'EL scheme register'!$AJ$7:$AJ$610,"Yes")</f>
        <v/>
      </c>
      <c r="L105" s="77">
        <f>COUNTIFS('EL scheme register'!$A$7:$A$610,$A105,'EL scheme register'!$C$7:$C$610,"Programme/course",'EL scheme register'!$AJ$7:$AJ$610,"Yes")</f>
        <v/>
      </c>
      <c r="M105" s="77">
        <f>COUNTIFS('EL scheme register'!$A$7:$A$610,$A105,'EL scheme register'!$C$7:$C$610,"Unclear",'EL scheme register'!$AJ$7:$AJ$610,"Yes")</f>
        <v/>
      </c>
      <c r="N105" s="77">
        <f>SUM(I105:M105)</f>
        <v/>
      </c>
      <c r="O105" s="77">
        <f>COUNTIFS('EL scheme register'!$A$7:$A$610,$A105,'EL scheme register'!$AF$7:$AF$610,"Potentially relevant; evidence incomplete",'EL scheme register'!$AI$7:$AI$610,"Yes")</f>
        <v/>
      </c>
      <c r="P105" s="77">
        <f>COUNTIFS('EL scheme register'!$A$7:$A$610,$A105,'EL scheme register'!$AF$7:$AF$610,"Outside strict definition")</f>
        <v/>
      </c>
      <c r="Q105" s="77">
        <f>COUNTIF('EL exclusions &amp; gaps'!$B$7:$B$5000,$A105)</f>
        <v/>
      </c>
      <c r="R105" s="77" t="inlineStr">
        <is>
          <t>Not reviewed</t>
        </is>
      </c>
      <c r="S105" s="77" t="inlineStr">
        <is>
          <t>Not reviewed</t>
        </is>
      </c>
      <c r="T105" s="77" t="inlineStr"/>
      <c r="U105" s="77" t="inlineStr"/>
      <c r="V105" s="77" t="inlineStr">
        <is>
          <t>Not reviewed</t>
        </is>
      </c>
      <c r="W105" s="77" t="inlineStr"/>
      <c r="X105" s="77" t="inlineStr"/>
    </row>
    <row r="106">
      <c r="A106" s="77" t="inlineStr">
        <is>
          <t>EU06</t>
        </is>
      </c>
      <c r="B106" s="79" t="inlineStr">
        <is>
          <t>Technical University of Munich</t>
        </is>
      </c>
      <c r="C106" s="77" t="inlineStr">
        <is>
          <t>Germany</t>
        </is>
      </c>
      <c r="D106" s="77" t="inlineStr">
        <is>
          <t>EU sample</t>
        </is>
      </c>
      <c r="E106" s="77" t="inlineStr">
        <is>
          <t>EU</t>
        </is>
      </c>
      <c r="F106" s="77" t="n">
        <v>2027</v>
      </c>
      <c r="G106" s="77" t="n">
        <v>25</v>
      </c>
      <c r="H106" s="77" t="inlineStr">
        <is>
          <t>Not started</t>
        </is>
      </c>
      <c r="I106" s="77">
        <f>COUNTIFS('EL scheme register'!$A$7:$A$610,$A106,'EL scheme register'!$C$7:$C$610,"University-wide",'EL scheme register'!$AJ$7:$AJ$610,"Yes")</f>
        <v/>
      </c>
      <c r="J106" s="77">
        <f>COUNTIFS('EL scheme register'!$A$7:$A$610,$A106,'EL scheme register'!$C$7:$C$610,"Cross-faculty",'EL scheme register'!$AJ$7:$AJ$610,"Yes")</f>
        <v/>
      </c>
      <c r="K106" s="77">
        <f>COUNTIFS('EL scheme register'!$A$7:$A$610,$A106,'EL scheme register'!$C$7:$C$610,"Faculty/school",'EL scheme register'!$AJ$7:$AJ$610,"Yes")</f>
        <v/>
      </c>
      <c r="L106" s="77">
        <f>COUNTIFS('EL scheme register'!$A$7:$A$610,$A106,'EL scheme register'!$C$7:$C$610,"Programme/course",'EL scheme register'!$AJ$7:$AJ$610,"Yes")</f>
        <v/>
      </c>
      <c r="M106" s="77">
        <f>COUNTIFS('EL scheme register'!$A$7:$A$610,$A106,'EL scheme register'!$C$7:$C$610,"Unclear",'EL scheme register'!$AJ$7:$AJ$610,"Yes")</f>
        <v/>
      </c>
      <c r="N106" s="77">
        <f>SUM(I106:M106)</f>
        <v/>
      </c>
      <c r="O106" s="77">
        <f>COUNTIFS('EL scheme register'!$A$7:$A$610,$A106,'EL scheme register'!$AF$7:$AF$610,"Potentially relevant; evidence incomplete",'EL scheme register'!$AI$7:$AI$610,"Yes")</f>
        <v/>
      </c>
      <c r="P106" s="77">
        <f>COUNTIFS('EL scheme register'!$A$7:$A$610,$A106,'EL scheme register'!$AF$7:$AF$610,"Outside strict definition")</f>
        <v/>
      </c>
      <c r="Q106" s="77">
        <f>COUNTIF('EL exclusions &amp; gaps'!$B$7:$B$5000,$A106)</f>
        <v/>
      </c>
      <c r="R106" s="77" t="inlineStr">
        <is>
          <t>Not reviewed</t>
        </is>
      </c>
      <c r="S106" s="77" t="inlineStr">
        <is>
          <t>Not reviewed</t>
        </is>
      </c>
      <c r="T106" s="77" t="inlineStr"/>
      <c r="U106" s="77" t="inlineStr"/>
      <c r="V106" s="77" t="inlineStr">
        <is>
          <t>Not reviewed</t>
        </is>
      </c>
      <c r="W106" s="77" t="inlineStr"/>
      <c r="X106" s="77" t="inlineStr"/>
    </row>
    <row r="107">
      <c r="A107" s="77" t="inlineStr">
        <is>
          <t>EU07</t>
        </is>
      </c>
      <c r="B107" s="79" t="inlineStr">
        <is>
          <t>LMU Munich</t>
        </is>
      </c>
      <c r="C107" s="77" t="inlineStr">
        <is>
          <t>Germany</t>
        </is>
      </c>
      <c r="D107" s="77" t="inlineStr">
        <is>
          <t>EU sample</t>
        </is>
      </c>
      <c r="E107" s="77" t="inlineStr">
        <is>
          <t>EU</t>
        </is>
      </c>
      <c r="F107" s="77" t="n">
        <v>2027</v>
      </c>
      <c r="G107" s="77" t="n">
        <v>61</v>
      </c>
      <c r="H107" s="77" t="inlineStr">
        <is>
          <t>Not started</t>
        </is>
      </c>
      <c r="I107" s="77">
        <f>COUNTIFS('EL scheme register'!$A$7:$A$610,$A107,'EL scheme register'!$C$7:$C$610,"University-wide",'EL scheme register'!$AJ$7:$AJ$610,"Yes")</f>
        <v/>
      </c>
      <c r="J107" s="77">
        <f>COUNTIFS('EL scheme register'!$A$7:$A$610,$A107,'EL scheme register'!$C$7:$C$610,"Cross-faculty",'EL scheme register'!$AJ$7:$AJ$610,"Yes")</f>
        <v/>
      </c>
      <c r="K107" s="77">
        <f>COUNTIFS('EL scheme register'!$A$7:$A$610,$A107,'EL scheme register'!$C$7:$C$610,"Faculty/school",'EL scheme register'!$AJ$7:$AJ$610,"Yes")</f>
        <v/>
      </c>
      <c r="L107" s="77">
        <f>COUNTIFS('EL scheme register'!$A$7:$A$610,$A107,'EL scheme register'!$C$7:$C$610,"Programme/course",'EL scheme register'!$AJ$7:$AJ$610,"Yes")</f>
        <v/>
      </c>
      <c r="M107" s="77">
        <f>COUNTIFS('EL scheme register'!$A$7:$A$610,$A107,'EL scheme register'!$C$7:$C$610,"Unclear",'EL scheme register'!$AJ$7:$AJ$610,"Yes")</f>
        <v/>
      </c>
      <c r="N107" s="77">
        <f>SUM(I107:M107)</f>
        <v/>
      </c>
      <c r="O107" s="77">
        <f>COUNTIFS('EL scheme register'!$A$7:$A$610,$A107,'EL scheme register'!$AF$7:$AF$610,"Potentially relevant; evidence incomplete",'EL scheme register'!$AI$7:$AI$610,"Yes")</f>
        <v/>
      </c>
      <c r="P107" s="77">
        <f>COUNTIFS('EL scheme register'!$A$7:$A$610,$A107,'EL scheme register'!$AF$7:$AF$610,"Outside strict definition")</f>
        <v/>
      </c>
      <c r="Q107" s="77">
        <f>COUNTIF('EL exclusions &amp; gaps'!$B$7:$B$5000,$A107)</f>
        <v/>
      </c>
      <c r="R107" s="77" t="inlineStr">
        <is>
          <t>Not reviewed</t>
        </is>
      </c>
      <c r="S107" s="77" t="inlineStr">
        <is>
          <t>Not reviewed</t>
        </is>
      </c>
      <c r="T107" s="77" t="inlineStr"/>
      <c r="U107" s="77" t="inlineStr"/>
      <c r="V107" s="77" t="inlineStr">
        <is>
          <t>Not reviewed</t>
        </is>
      </c>
      <c r="W107" s="77" t="inlineStr"/>
      <c r="X107" s="77" t="inlineStr"/>
    </row>
    <row r="108">
      <c r="A108" s="77" t="inlineStr">
        <is>
          <t>EU08</t>
        </is>
      </c>
      <c r="B108" s="79" t="inlineStr">
        <is>
          <t>Heidelberg</t>
        </is>
      </c>
      <c r="C108" s="77" t="inlineStr">
        <is>
          <t>Germany</t>
        </is>
      </c>
      <c r="D108" s="77" t="inlineStr">
        <is>
          <t>EU sample</t>
        </is>
      </c>
      <c r="E108" s="77" t="inlineStr">
        <is>
          <t>EU</t>
        </is>
      </c>
      <c r="F108" s="77" t="n">
        <v>2027</v>
      </c>
      <c r="G108" s="77" t="n">
        <v>86</v>
      </c>
      <c r="H108" s="77" t="inlineStr">
        <is>
          <t>Not started</t>
        </is>
      </c>
      <c r="I108" s="77">
        <f>COUNTIFS('EL scheme register'!$A$7:$A$610,$A108,'EL scheme register'!$C$7:$C$610,"University-wide",'EL scheme register'!$AJ$7:$AJ$610,"Yes")</f>
        <v/>
      </c>
      <c r="J108" s="77">
        <f>COUNTIFS('EL scheme register'!$A$7:$A$610,$A108,'EL scheme register'!$C$7:$C$610,"Cross-faculty",'EL scheme register'!$AJ$7:$AJ$610,"Yes")</f>
        <v/>
      </c>
      <c r="K108" s="77">
        <f>COUNTIFS('EL scheme register'!$A$7:$A$610,$A108,'EL scheme register'!$C$7:$C$610,"Faculty/school",'EL scheme register'!$AJ$7:$AJ$610,"Yes")</f>
        <v/>
      </c>
      <c r="L108" s="77">
        <f>COUNTIFS('EL scheme register'!$A$7:$A$610,$A108,'EL scheme register'!$C$7:$C$610,"Programme/course",'EL scheme register'!$AJ$7:$AJ$610,"Yes")</f>
        <v/>
      </c>
      <c r="M108" s="77">
        <f>COUNTIFS('EL scheme register'!$A$7:$A$610,$A108,'EL scheme register'!$C$7:$C$610,"Unclear",'EL scheme register'!$AJ$7:$AJ$610,"Yes")</f>
        <v/>
      </c>
      <c r="N108" s="77">
        <f>SUM(I108:M108)</f>
        <v/>
      </c>
      <c r="O108" s="77">
        <f>COUNTIFS('EL scheme register'!$A$7:$A$610,$A108,'EL scheme register'!$AF$7:$AF$610,"Potentially relevant; evidence incomplete",'EL scheme register'!$AI$7:$AI$610,"Yes")</f>
        <v/>
      </c>
      <c r="P108" s="77">
        <f>COUNTIFS('EL scheme register'!$A$7:$A$610,$A108,'EL scheme register'!$AF$7:$AF$610,"Outside strict definition")</f>
        <v/>
      </c>
      <c r="Q108" s="77">
        <f>COUNTIF('EL exclusions &amp; gaps'!$B$7:$B$5000,$A108)</f>
        <v/>
      </c>
      <c r="R108" s="77" t="inlineStr">
        <is>
          <t>Not reviewed</t>
        </is>
      </c>
      <c r="S108" s="77" t="inlineStr">
        <is>
          <t>Not reviewed</t>
        </is>
      </c>
      <c r="T108" s="77" t="inlineStr"/>
      <c r="U108" s="77" t="inlineStr"/>
      <c r="V108" s="77" t="inlineStr">
        <is>
          <t>Not reviewed</t>
        </is>
      </c>
      <c r="W108" s="77" t="inlineStr"/>
      <c r="X108" s="77" t="inlineStr"/>
    </row>
    <row r="109">
      <c r="A109" s="77" t="inlineStr">
        <is>
          <t>EU09</t>
        </is>
      </c>
      <c r="B109" s="79" t="inlineStr">
        <is>
          <t>RWTH Aachen</t>
        </is>
      </c>
      <c r="C109" s="77" t="inlineStr">
        <is>
          <t>Germany</t>
        </is>
      </c>
      <c r="D109" s="77" t="inlineStr">
        <is>
          <t>EU sample</t>
        </is>
      </c>
      <c r="E109" s="77" t="inlineStr">
        <is>
          <t>EU</t>
        </is>
      </c>
      <c r="F109" s="77" t="n">
        <v>2027</v>
      </c>
      <c r="G109" s="77" t="n">
        <v>104</v>
      </c>
      <c r="H109" s="77" t="inlineStr">
        <is>
          <t>Not started</t>
        </is>
      </c>
      <c r="I109" s="77">
        <f>COUNTIFS('EL scheme register'!$A$7:$A$610,$A109,'EL scheme register'!$C$7:$C$610,"University-wide",'EL scheme register'!$AJ$7:$AJ$610,"Yes")</f>
        <v/>
      </c>
      <c r="J109" s="77">
        <f>COUNTIFS('EL scheme register'!$A$7:$A$610,$A109,'EL scheme register'!$C$7:$C$610,"Cross-faculty",'EL scheme register'!$AJ$7:$AJ$610,"Yes")</f>
        <v/>
      </c>
      <c r="K109" s="77">
        <f>COUNTIFS('EL scheme register'!$A$7:$A$610,$A109,'EL scheme register'!$C$7:$C$610,"Faculty/school",'EL scheme register'!$AJ$7:$AJ$610,"Yes")</f>
        <v/>
      </c>
      <c r="L109" s="77">
        <f>COUNTIFS('EL scheme register'!$A$7:$A$610,$A109,'EL scheme register'!$C$7:$C$610,"Programme/course",'EL scheme register'!$AJ$7:$AJ$610,"Yes")</f>
        <v/>
      </c>
      <c r="M109" s="77">
        <f>COUNTIFS('EL scheme register'!$A$7:$A$610,$A109,'EL scheme register'!$C$7:$C$610,"Unclear",'EL scheme register'!$AJ$7:$AJ$610,"Yes")</f>
        <v/>
      </c>
      <c r="N109" s="77">
        <f>SUM(I109:M109)</f>
        <v/>
      </c>
      <c r="O109" s="77">
        <f>COUNTIFS('EL scheme register'!$A$7:$A$610,$A109,'EL scheme register'!$AF$7:$AF$610,"Potentially relevant; evidence incomplete",'EL scheme register'!$AI$7:$AI$610,"Yes")</f>
        <v/>
      </c>
      <c r="P109" s="77">
        <f>COUNTIFS('EL scheme register'!$A$7:$A$610,$A109,'EL scheme register'!$AF$7:$AF$610,"Outside strict definition")</f>
        <v/>
      </c>
      <c r="Q109" s="77">
        <f>COUNTIF('EL exclusions &amp; gaps'!$B$7:$B$5000,$A109)</f>
        <v/>
      </c>
      <c r="R109" s="77" t="inlineStr">
        <is>
          <t>Not reviewed</t>
        </is>
      </c>
      <c r="S109" s="77" t="inlineStr">
        <is>
          <t>Not reviewed</t>
        </is>
      </c>
      <c r="T109" s="77" t="inlineStr"/>
      <c r="U109" s="77" t="inlineStr"/>
      <c r="V109" s="77" t="inlineStr">
        <is>
          <t>Not reviewed</t>
        </is>
      </c>
      <c r="W109" s="77" t="inlineStr"/>
      <c r="X109" s="77" t="inlineStr"/>
    </row>
    <row r="110">
      <c r="A110" s="77" t="inlineStr">
        <is>
          <t>EU10</t>
        </is>
      </c>
      <c r="B110" s="79" t="inlineStr">
        <is>
          <t>Karlsruhe Institute of Technology</t>
        </is>
      </c>
      <c r="C110" s="77" t="inlineStr">
        <is>
          <t>Germany</t>
        </is>
      </c>
      <c r="D110" s="77" t="inlineStr">
        <is>
          <t>EU sample</t>
        </is>
      </c>
      <c r="E110" s="77" t="inlineStr">
        <is>
          <t>EU</t>
        </is>
      </c>
      <c r="F110" s="77" t="n">
        <v>2027</v>
      </c>
      <c r="G110" s="77" t="n">
        <v>110</v>
      </c>
      <c r="H110" s="77" t="inlineStr">
        <is>
          <t>Not started</t>
        </is>
      </c>
      <c r="I110" s="77">
        <f>COUNTIFS('EL scheme register'!$A$7:$A$610,$A110,'EL scheme register'!$C$7:$C$610,"University-wide",'EL scheme register'!$AJ$7:$AJ$610,"Yes")</f>
        <v/>
      </c>
      <c r="J110" s="77">
        <f>COUNTIFS('EL scheme register'!$A$7:$A$610,$A110,'EL scheme register'!$C$7:$C$610,"Cross-faculty",'EL scheme register'!$AJ$7:$AJ$610,"Yes")</f>
        <v/>
      </c>
      <c r="K110" s="77">
        <f>COUNTIFS('EL scheme register'!$A$7:$A$610,$A110,'EL scheme register'!$C$7:$C$610,"Faculty/school",'EL scheme register'!$AJ$7:$AJ$610,"Yes")</f>
        <v/>
      </c>
      <c r="L110" s="77">
        <f>COUNTIFS('EL scheme register'!$A$7:$A$610,$A110,'EL scheme register'!$C$7:$C$610,"Programme/course",'EL scheme register'!$AJ$7:$AJ$610,"Yes")</f>
        <v/>
      </c>
      <c r="M110" s="77">
        <f>COUNTIFS('EL scheme register'!$A$7:$A$610,$A110,'EL scheme register'!$C$7:$C$610,"Unclear",'EL scheme register'!$AJ$7:$AJ$610,"Yes")</f>
        <v/>
      </c>
      <c r="N110" s="77">
        <f>SUM(I110:M110)</f>
        <v/>
      </c>
      <c r="O110" s="77">
        <f>COUNTIFS('EL scheme register'!$A$7:$A$610,$A110,'EL scheme register'!$AF$7:$AF$610,"Potentially relevant; evidence incomplete",'EL scheme register'!$AI$7:$AI$610,"Yes")</f>
        <v/>
      </c>
      <c r="P110" s="77">
        <f>COUNTIFS('EL scheme register'!$A$7:$A$610,$A110,'EL scheme register'!$AF$7:$AF$610,"Outside strict definition")</f>
        <v/>
      </c>
      <c r="Q110" s="77">
        <f>COUNTIF('EL exclusions &amp; gaps'!$B$7:$B$5000,$A110)</f>
        <v/>
      </c>
      <c r="R110" s="77" t="inlineStr">
        <is>
          <t>Not reviewed</t>
        </is>
      </c>
      <c r="S110" s="77" t="inlineStr">
        <is>
          <t>Not reviewed</t>
        </is>
      </c>
      <c r="T110" s="77" t="inlineStr"/>
      <c r="U110" s="77" t="inlineStr"/>
      <c r="V110" s="77" t="inlineStr">
        <is>
          <t>Not reviewed</t>
        </is>
      </c>
      <c r="W110" s="77" t="inlineStr"/>
      <c r="X110" s="77" t="inlineStr"/>
    </row>
    <row r="111">
      <c r="A111" s="77" t="inlineStr">
        <is>
          <t>EU11</t>
        </is>
      </c>
      <c r="B111" s="79" t="inlineStr">
        <is>
          <t>Humboldt Berlin</t>
        </is>
      </c>
      <c r="C111" s="77" t="inlineStr">
        <is>
          <t>Germany</t>
        </is>
      </c>
      <c r="D111" s="77" t="inlineStr">
        <is>
          <t>EU sample</t>
        </is>
      </c>
      <c r="E111" s="77" t="inlineStr">
        <is>
          <t>EU</t>
        </is>
      </c>
      <c r="F111" s="77" t="n">
        <v>2027</v>
      </c>
      <c r="G111" s="77" t="n">
        <v>140</v>
      </c>
      <c r="H111" s="77" t="inlineStr">
        <is>
          <t>Not started</t>
        </is>
      </c>
      <c r="I111" s="77">
        <f>COUNTIFS('EL scheme register'!$A$7:$A$610,$A111,'EL scheme register'!$C$7:$C$610,"University-wide",'EL scheme register'!$AJ$7:$AJ$610,"Yes")</f>
        <v/>
      </c>
      <c r="J111" s="77">
        <f>COUNTIFS('EL scheme register'!$A$7:$A$610,$A111,'EL scheme register'!$C$7:$C$610,"Cross-faculty",'EL scheme register'!$AJ$7:$AJ$610,"Yes")</f>
        <v/>
      </c>
      <c r="K111" s="77">
        <f>COUNTIFS('EL scheme register'!$A$7:$A$610,$A111,'EL scheme register'!$C$7:$C$610,"Faculty/school",'EL scheme register'!$AJ$7:$AJ$610,"Yes")</f>
        <v/>
      </c>
      <c r="L111" s="77">
        <f>COUNTIFS('EL scheme register'!$A$7:$A$610,$A111,'EL scheme register'!$C$7:$C$610,"Programme/course",'EL scheme register'!$AJ$7:$AJ$610,"Yes")</f>
        <v/>
      </c>
      <c r="M111" s="77">
        <f>COUNTIFS('EL scheme register'!$A$7:$A$610,$A111,'EL scheme register'!$C$7:$C$610,"Unclear",'EL scheme register'!$AJ$7:$AJ$610,"Yes")</f>
        <v/>
      </c>
      <c r="N111" s="77">
        <f>SUM(I111:M111)</f>
        <v/>
      </c>
      <c r="O111" s="77">
        <f>COUNTIFS('EL scheme register'!$A$7:$A$610,$A111,'EL scheme register'!$AF$7:$AF$610,"Potentially relevant; evidence incomplete",'EL scheme register'!$AI$7:$AI$610,"Yes")</f>
        <v/>
      </c>
      <c r="P111" s="77">
        <f>COUNTIFS('EL scheme register'!$A$7:$A$610,$A111,'EL scheme register'!$AF$7:$AF$610,"Outside strict definition")</f>
        <v/>
      </c>
      <c r="Q111" s="77">
        <f>COUNTIF('EL exclusions &amp; gaps'!$B$7:$B$5000,$A111)</f>
        <v/>
      </c>
      <c r="R111" s="77" t="inlineStr">
        <is>
          <t>Not reviewed</t>
        </is>
      </c>
      <c r="S111" s="77" t="inlineStr">
        <is>
          <t>Not reviewed</t>
        </is>
      </c>
      <c r="T111" s="77" t="inlineStr"/>
      <c r="U111" s="77" t="inlineStr"/>
      <c r="V111" s="77" t="inlineStr">
        <is>
          <t>Not reviewed</t>
        </is>
      </c>
      <c r="W111" s="77" t="inlineStr"/>
      <c r="X111" s="77" t="inlineStr"/>
    </row>
    <row r="112">
      <c r="A112" s="77" t="inlineStr">
        <is>
          <t>EU12</t>
        </is>
      </c>
      <c r="B112" s="79" t="inlineStr">
        <is>
          <t>Delft University of Technology</t>
        </is>
      </c>
      <c r="C112" s="77" t="inlineStr">
        <is>
          <t>Netherlands</t>
        </is>
      </c>
      <c r="D112" s="77" t="inlineStr">
        <is>
          <t>EU sample</t>
        </is>
      </c>
      <c r="E112" s="77" t="inlineStr">
        <is>
          <t>EU</t>
        </is>
      </c>
      <c r="F112" s="77" t="n">
        <v>2027</v>
      </c>
      <c r="G112" s="77" t="n">
        <v>48</v>
      </c>
      <c r="H112" s="77" t="inlineStr">
        <is>
          <t>Not started</t>
        </is>
      </c>
      <c r="I112" s="77">
        <f>COUNTIFS('EL scheme register'!$A$7:$A$610,$A112,'EL scheme register'!$C$7:$C$610,"University-wide",'EL scheme register'!$AJ$7:$AJ$610,"Yes")</f>
        <v/>
      </c>
      <c r="J112" s="77">
        <f>COUNTIFS('EL scheme register'!$A$7:$A$610,$A112,'EL scheme register'!$C$7:$C$610,"Cross-faculty",'EL scheme register'!$AJ$7:$AJ$610,"Yes")</f>
        <v/>
      </c>
      <c r="K112" s="77">
        <f>COUNTIFS('EL scheme register'!$A$7:$A$610,$A112,'EL scheme register'!$C$7:$C$610,"Faculty/school",'EL scheme register'!$AJ$7:$AJ$610,"Yes")</f>
        <v/>
      </c>
      <c r="L112" s="77">
        <f>COUNTIFS('EL scheme register'!$A$7:$A$610,$A112,'EL scheme register'!$C$7:$C$610,"Programme/course",'EL scheme register'!$AJ$7:$AJ$610,"Yes")</f>
        <v/>
      </c>
      <c r="M112" s="77">
        <f>COUNTIFS('EL scheme register'!$A$7:$A$610,$A112,'EL scheme register'!$C$7:$C$610,"Unclear",'EL scheme register'!$AJ$7:$AJ$610,"Yes")</f>
        <v/>
      </c>
      <c r="N112" s="77">
        <f>SUM(I112:M112)</f>
        <v/>
      </c>
      <c r="O112" s="77">
        <f>COUNTIFS('EL scheme register'!$A$7:$A$610,$A112,'EL scheme register'!$AF$7:$AF$610,"Potentially relevant; evidence incomplete",'EL scheme register'!$AI$7:$AI$610,"Yes")</f>
        <v/>
      </c>
      <c r="P112" s="77">
        <f>COUNTIFS('EL scheme register'!$A$7:$A$610,$A112,'EL scheme register'!$AF$7:$AF$610,"Outside strict definition")</f>
        <v/>
      </c>
      <c r="Q112" s="77">
        <f>COUNTIF('EL exclusions &amp; gaps'!$B$7:$B$5000,$A112)</f>
        <v/>
      </c>
      <c r="R112" s="77" t="inlineStr">
        <is>
          <t>Not reviewed</t>
        </is>
      </c>
      <c r="S112" s="77" t="inlineStr">
        <is>
          <t>Not reviewed</t>
        </is>
      </c>
      <c r="T112" s="77" t="inlineStr"/>
      <c r="U112" s="77" t="inlineStr"/>
      <c r="V112" s="77" t="inlineStr">
        <is>
          <t>Not reviewed</t>
        </is>
      </c>
      <c r="W112" s="77" t="inlineStr"/>
      <c r="X112" s="77" t="inlineStr"/>
    </row>
    <row r="113">
      <c r="A113" s="77" t="inlineStr">
        <is>
          <t>EU13</t>
        </is>
      </c>
      <c r="B113" s="79" t="inlineStr">
        <is>
          <t>Amsterdam</t>
        </is>
      </c>
      <c r="C113" s="77" t="inlineStr">
        <is>
          <t>Netherlands</t>
        </is>
      </c>
      <c r="D113" s="77" t="inlineStr">
        <is>
          <t>EU sample</t>
        </is>
      </c>
      <c r="E113" s="77" t="inlineStr">
        <is>
          <t>EU</t>
        </is>
      </c>
      <c r="F113" s="77" t="n">
        <v>2027</v>
      </c>
      <c r="G113" s="77" t="n">
        <v>60</v>
      </c>
      <c r="H113" s="77" t="inlineStr">
        <is>
          <t>Not started</t>
        </is>
      </c>
      <c r="I113" s="77">
        <f>COUNTIFS('EL scheme register'!$A$7:$A$610,$A113,'EL scheme register'!$C$7:$C$610,"University-wide",'EL scheme register'!$AJ$7:$AJ$610,"Yes")</f>
        <v/>
      </c>
      <c r="J113" s="77">
        <f>COUNTIFS('EL scheme register'!$A$7:$A$610,$A113,'EL scheme register'!$C$7:$C$610,"Cross-faculty",'EL scheme register'!$AJ$7:$AJ$610,"Yes")</f>
        <v/>
      </c>
      <c r="K113" s="77">
        <f>COUNTIFS('EL scheme register'!$A$7:$A$610,$A113,'EL scheme register'!$C$7:$C$610,"Faculty/school",'EL scheme register'!$AJ$7:$AJ$610,"Yes")</f>
        <v/>
      </c>
      <c r="L113" s="77">
        <f>COUNTIFS('EL scheme register'!$A$7:$A$610,$A113,'EL scheme register'!$C$7:$C$610,"Programme/course",'EL scheme register'!$AJ$7:$AJ$610,"Yes")</f>
        <v/>
      </c>
      <c r="M113" s="77">
        <f>COUNTIFS('EL scheme register'!$A$7:$A$610,$A113,'EL scheme register'!$C$7:$C$610,"Unclear",'EL scheme register'!$AJ$7:$AJ$610,"Yes")</f>
        <v/>
      </c>
      <c r="N113" s="77">
        <f>SUM(I113:M113)</f>
        <v/>
      </c>
      <c r="O113" s="77">
        <f>COUNTIFS('EL scheme register'!$A$7:$A$610,$A113,'EL scheme register'!$AF$7:$AF$610,"Potentially relevant; evidence incomplete",'EL scheme register'!$AI$7:$AI$610,"Yes")</f>
        <v/>
      </c>
      <c r="P113" s="77">
        <f>COUNTIFS('EL scheme register'!$A$7:$A$610,$A113,'EL scheme register'!$AF$7:$AF$610,"Outside strict definition")</f>
        <v/>
      </c>
      <c r="Q113" s="77">
        <f>COUNTIF('EL exclusions &amp; gaps'!$B$7:$B$5000,$A113)</f>
        <v/>
      </c>
      <c r="R113" s="77" t="inlineStr">
        <is>
          <t>Not reviewed</t>
        </is>
      </c>
      <c r="S113" s="77" t="inlineStr">
        <is>
          <t>Not reviewed</t>
        </is>
      </c>
      <c r="T113" s="77" t="inlineStr"/>
      <c r="U113" s="77" t="inlineStr"/>
      <c r="V113" s="77" t="inlineStr">
        <is>
          <t>Not reviewed</t>
        </is>
      </c>
      <c r="W113" s="77" t="inlineStr"/>
      <c r="X113" s="77" t="inlineStr"/>
    </row>
    <row r="114">
      <c r="A114" s="77" t="inlineStr">
        <is>
          <t>EU14</t>
        </is>
      </c>
      <c r="B114" s="79" t="inlineStr">
        <is>
          <t>Utrecht</t>
        </is>
      </c>
      <c r="C114" s="77" t="inlineStr">
        <is>
          <t>Netherlands</t>
        </is>
      </c>
      <c r="D114" s="77" t="inlineStr">
        <is>
          <t>EU sample</t>
        </is>
      </c>
      <c r="E114" s="77" t="inlineStr">
        <is>
          <t>EU</t>
        </is>
      </c>
      <c r="F114" s="77" t="n">
        <v>2027</v>
      </c>
      <c r="G114" s="77" t="n">
        <v>113</v>
      </c>
      <c r="H114" s="77" t="inlineStr">
        <is>
          <t>Not started</t>
        </is>
      </c>
      <c r="I114" s="77">
        <f>COUNTIFS('EL scheme register'!$A$7:$A$610,$A114,'EL scheme register'!$C$7:$C$610,"University-wide",'EL scheme register'!$AJ$7:$AJ$610,"Yes")</f>
        <v/>
      </c>
      <c r="J114" s="77">
        <f>COUNTIFS('EL scheme register'!$A$7:$A$610,$A114,'EL scheme register'!$C$7:$C$610,"Cross-faculty",'EL scheme register'!$AJ$7:$AJ$610,"Yes")</f>
        <v/>
      </c>
      <c r="K114" s="77">
        <f>COUNTIFS('EL scheme register'!$A$7:$A$610,$A114,'EL scheme register'!$C$7:$C$610,"Faculty/school",'EL scheme register'!$AJ$7:$AJ$610,"Yes")</f>
        <v/>
      </c>
      <c r="L114" s="77">
        <f>COUNTIFS('EL scheme register'!$A$7:$A$610,$A114,'EL scheme register'!$C$7:$C$610,"Programme/course",'EL scheme register'!$AJ$7:$AJ$610,"Yes")</f>
        <v/>
      </c>
      <c r="M114" s="77">
        <f>COUNTIFS('EL scheme register'!$A$7:$A$610,$A114,'EL scheme register'!$C$7:$C$610,"Unclear",'EL scheme register'!$AJ$7:$AJ$610,"Yes")</f>
        <v/>
      </c>
      <c r="N114" s="77">
        <f>SUM(I114:M114)</f>
        <v/>
      </c>
      <c r="O114" s="77">
        <f>COUNTIFS('EL scheme register'!$A$7:$A$610,$A114,'EL scheme register'!$AF$7:$AF$610,"Potentially relevant; evidence incomplete",'EL scheme register'!$AI$7:$AI$610,"Yes")</f>
        <v/>
      </c>
      <c r="P114" s="77">
        <f>COUNTIFS('EL scheme register'!$A$7:$A$610,$A114,'EL scheme register'!$AF$7:$AF$610,"Outside strict definition")</f>
        <v/>
      </c>
      <c r="Q114" s="77">
        <f>COUNTIF('EL exclusions &amp; gaps'!$B$7:$B$5000,$A114)</f>
        <v/>
      </c>
      <c r="R114" s="77" t="inlineStr">
        <is>
          <t>Not reviewed</t>
        </is>
      </c>
      <c r="S114" s="77" t="inlineStr">
        <is>
          <t>Not reviewed</t>
        </is>
      </c>
      <c r="T114" s="77" t="inlineStr"/>
      <c r="U114" s="77" t="inlineStr"/>
      <c r="V114" s="77" t="inlineStr">
        <is>
          <t>Not reviewed</t>
        </is>
      </c>
      <c r="W114" s="77" t="inlineStr"/>
      <c r="X114" s="77" t="inlineStr"/>
    </row>
    <row r="115">
      <c r="A115" s="77" t="inlineStr">
        <is>
          <t>EU15</t>
        </is>
      </c>
      <c r="B115" s="79" t="inlineStr">
        <is>
          <t>Leiden</t>
        </is>
      </c>
      <c r="C115" s="77" t="inlineStr">
        <is>
          <t>Netherlands</t>
        </is>
      </c>
      <c r="D115" s="77" t="inlineStr">
        <is>
          <t>EU sample</t>
        </is>
      </c>
      <c r="E115" s="77" t="inlineStr">
        <is>
          <t>EU</t>
        </is>
      </c>
      <c r="F115" s="77" t="n">
        <v>2027</v>
      </c>
      <c r="G115" s="77" t="n">
        <v>119</v>
      </c>
      <c r="H115" s="77" t="inlineStr">
        <is>
          <t>Not started</t>
        </is>
      </c>
      <c r="I115" s="77">
        <f>COUNTIFS('EL scheme register'!$A$7:$A$610,$A115,'EL scheme register'!$C$7:$C$610,"University-wide",'EL scheme register'!$AJ$7:$AJ$610,"Yes")</f>
        <v/>
      </c>
      <c r="J115" s="77">
        <f>COUNTIFS('EL scheme register'!$A$7:$A$610,$A115,'EL scheme register'!$C$7:$C$610,"Cross-faculty",'EL scheme register'!$AJ$7:$AJ$610,"Yes")</f>
        <v/>
      </c>
      <c r="K115" s="77">
        <f>COUNTIFS('EL scheme register'!$A$7:$A$610,$A115,'EL scheme register'!$C$7:$C$610,"Faculty/school",'EL scheme register'!$AJ$7:$AJ$610,"Yes")</f>
        <v/>
      </c>
      <c r="L115" s="77">
        <f>COUNTIFS('EL scheme register'!$A$7:$A$610,$A115,'EL scheme register'!$C$7:$C$610,"Programme/course",'EL scheme register'!$AJ$7:$AJ$610,"Yes")</f>
        <v/>
      </c>
      <c r="M115" s="77">
        <f>COUNTIFS('EL scheme register'!$A$7:$A$610,$A115,'EL scheme register'!$C$7:$C$610,"Unclear",'EL scheme register'!$AJ$7:$AJ$610,"Yes")</f>
        <v/>
      </c>
      <c r="N115" s="77">
        <f>SUM(I115:M115)</f>
        <v/>
      </c>
      <c r="O115" s="77">
        <f>COUNTIFS('EL scheme register'!$A$7:$A$610,$A115,'EL scheme register'!$AF$7:$AF$610,"Potentially relevant; evidence incomplete",'EL scheme register'!$AI$7:$AI$610,"Yes")</f>
        <v/>
      </c>
      <c r="P115" s="77">
        <f>COUNTIFS('EL scheme register'!$A$7:$A$610,$A115,'EL scheme register'!$AF$7:$AF$610,"Outside strict definition")</f>
        <v/>
      </c>
      <c r="Q115" s="77">
        <f>COUNTIF('EL exclusions &amp; gaps'!$B$7:$B$5000,$A115)</f>
        <v/>
      </c>
      <c r="R115" s="77" t="inlineStr">
        <is>
          <t>Not reviewed</t>
        </is>
      </c>
      <c r="S115" s="77" t="inlineStr">
        <is>
          <t>Not reviewed</t>
        </is>
      </c>
      <c r="T115" s="77" t="inlineStr"/>
      <c r="U115" s="77" t="inlineStr"/>
      <c r="V115" s="77" t="inlineStr">
        <is>
          <t>Not reviewed</t>
        </is>
      </c>
      <c r="W115" s="77" t="inlineStr"/>
      <c r="X115" s="77" t="inlineStr"/>
    </row>
    <row r="116">
      <c r="A116" s="77" t="inlineStr">
        <is>
          <t>EU16</t>
        </is>
      </c>
      <c r="B116" s="79" t="inlineStr">
        <is>
          <t>Wageningen</t>
        </is>
      </c>
      <c r="C116" s="77" t="inlineStr">
        <is>
          <t>Netherlands</t>
        </is>
      </c>
      <c r="D116" s="77" t="inlineStr">
        <is>
          <t>EU sample</t>
        </is>
      </c>
      <c r="E116" s="77" t="inlineStr">
        <is>
          <t>EU</t>
        </is>
      </c>
      <c r="F116" s="77" t="n">
        <v>2027</v>
      </c>
      <c r="G116" s="77" t="n">
        <v>154</v>
      </c>
      <c r="H116" s="77" t="inlineStr">
        <is>
          <t>Not started</t>
        </is>
      </c>
      <c r="I116" s="77">
        <f>COUNTIFS('EL scheme register'!$A$7:$A$610,$A116,'EL scheme register'!$C$7:$C$610,"University-wide",'EL scheme register'!$AJ$7:$AJ$610,"Yes")</f>
        <v/>
      </c>
      <c r="J116" s="77">
        <f>COUNTIFS('EL scheme register'!$A$7:$A$610,$A116,'EL scheme register'!$C$7:$C$610,"Cross-faculty",'EL scheme register'!$AJ$7:$AJ$610,"Yes")</f>
        <v/>
      </c>
      <c r="K116" s="77">
        <f>COUNTIFS('EL scheme register'!$A$7:$A$610,$A116,'EL scheme register'!$C$7:$C$610,"Faculty/school",'EL scheme register'!$AJ$7:$AJ$610,"Yes")</f>
        <v/>
      </c>
      <c r="L116" s="77">
        <f>COUNTIFS('EL scheme register'!$A$7:$A$610,$A116,'EL scheme register'!$C$7:$C$610,"Programme/course",'EL scheme register'!$AJ$7:$AJ$610,"Yes")</f>
        <v/>
      </c>
      <c r="M116" s="77">
        <f>COUNTIFS('EL scheme register'!$A$7:$A$610,$A116,'EL scheme register'!$C$7:$C$610,"Unclear",'EL scheme register'!$AJ$7:$AJ$610,"Yes")</f>
        <v/>
      </c>
      <c r="N116" s="77">
        <f>SUM(I116:M116)</f>
        <v/>
      </c>
      <c r="O116" s="77">
        <f>COUNTIFS('EL scheme register'!$A$7:$A$610,$A116,'EL scheme register'!$AF$7:$AF$610,"Potentially relevant; evidence incomplete",'EL scheme register'!$AI$7:$AI$610,"Yes")</f>
        <v/>
      </c>
      <c r="P116" s="77">
        <f>COUNTIFS('EL scheme register'!$A$7:$A$610,$A116,'EL scheme register'!$AF$7:$AF$610,"Outside strict definition")</f>
        <v/>
      </c>
      <c r="Q116" s="77">
        <f>COUNTIF('EL exclusions &amp; gaps'!$B$7:$B$5000,$A116)</f>
        <v/>
      </c>
      <c r="R116" s="77" t="inlineStr">
        <is>
          <t>Not reviewed</t>
        </is>
      </c>
      <c r="S116" s="77" t="inlineStr">
        <is>
          <t>Not reviewed</t>
        </is>
      </c>
      <c r="T116" s="77" t="inlineStr"/>
      <c r="U116" s="77" t="inlineStr"/>
      <c r="V116" s="77" t="inlineStr">
        <is>
          <t>Not reviewed</t>
        </is>
      </c>
      <c r="W116" s="77" t="inlineStr"/>
      <c r="X116" s="77" t="inlineStr"/>
    </row>
    <row r="117">
      <c r="A117" s="77" t="inlineStr">
        <is>
          <t>EU17</t>
        </is>
      </c>
      <c r="B117" s="79" t="inlineStr">
        <is>
          <t>KU Leuven</t>
        </is>
      </c>
      <c r="C117" s="77" t="inlineStr">
        <is>
          <t>Belgium</t>
        </is>
      </c>
      <c r="D117" s="77" t="inlineStr">
        <is>
          <t>EU sample</t>
        </is>
      </c>
      <c r="E117" s="77" t="inlineStr">
        <is>
          <t>EU</t>
        </is>
      </c>
      <c r="F117" s="77" t="n">
        <v>2027</v>
      </c>
      <c r="G117" s="77" t="n">
        <v>59</v>
      </c>
      <c r="H117" s="77" t="inlineStr">
        <is>
          <t>Not started</t>
        </is>
      </c>
      <c r="I117" s="77">
        <f>COUNTIFS('EL scheme register'!$A$7:$A$610,$A117,'EL scheme register'!$C$7:$C$610,"University-wide",'EL scheme register'!$AJ$7:$AJ$610,"Yes")</f>
        <v/>
      </c>
      <c r="J117" s="77">
        <f>COUNTIFS('EL scheme register'!$A$7:$A$610,$A117,'EL scheme register'!$C$7:$C$610,"Cross-faculty",'EL scheme register'!$AJ$7:$AJ$610,"Yes")</f>
        <v/>
      </c>
      <c r="K117" s="77">
        <f>COUNTIFS('EL scheme register'!$A$7:$A$610,$A117,'EL scheme register'!$C$7:$C$610,"Faculty/school",'EL scheme register'!$AJ$7:$AJ$610,"Yes")</f>
        <v/>
      </c>
      <c r="L117" s="77">
        <f>COUNTIFS('EL scheme register'!$A$7:$A$610,$A117,'EL scheme register'!$C$7:$C$610,"Programme/course",'EL scheme register'!$AJ$7:$AJ$610,"Yes")</f>
        <v/>
      </c>
      <c r="M117" s="77">
        <f>COUNTIFS('EL scheme register'!$A$7:$A$610,$A117,'EL scheme register'!$C$7:$C$610,"Unclear",'EL scheme register'!$AJ$7:$AJ$610,"Yes")</f>
        <v/>
      </c>
      <c r="N117" s="77">
        <f>SUM(I117:M117)</f>
        <v/>
      </c>
      <c r="O117" s="77">
        <f>COUNTIFS('EL scheme register'!$A$7:$A$610,$A117,'EL scheme register'!$AF$7:$AF$610,"Potentially relevant; evidence incomplete",'EL scheme register'!$AI$7:$AI$610,"Yes")</f>
        <v/>
      </c>
      <c r="P117" s="77">
        <f>COUNTIFS('EL scheme register'!$A$7:$A$610,$A117,'EL scheme register'!$AF$7:$AF$610,"Outside strict definition")</f>
        <v/>
      </c>
      <c r="Q117" s="77">
        <f>COUNTIF('EL exclusions &amp; gaps'!$B$7:$B$5000,$A117)</f>
        <v/>
      </c>
      <c r="R117" s="77" t="inlineStr">
        <is>
          <t>Not reviewed</t>
        </is>
      </c>
      <c r="S117" s="77" t="inlineStr">
        <is>
          <t>Not reviewed</t>
        </is>
      </c>
      <c r="T117" s="77" t="inlineStr"/>
      <c r="U117" s="77" t="inlineStr"/>
      <c r="V117" s="77" t="inlineStr">
        <is>
          <t>Not reviewed</t>
        </is>
      </c>
      <c r="W117" s="77" t="inlineStr"/>
      <c r="X117" s="77" t="inlineStr"/>
    </row>
    <row r="118">
      <c r="A118" s="77" t="inlineStr">
        <is>
          <t>EU18</t>
        </is>
      </c>
      <c r="B118" s="79" t="inlineStr">
        <is>
          <t>Ghent</t>
        </is>
      </c>
      <c r="C118" s="77" t="inlineStr">
        <is>
          <t>Belgium</t>
        </is>
      </c>
      <c r="D118" s="77" t="inlineStr">
        <is>
          <t>EU sample</t>
        </is>
      </c>
      <c r="E118" s="77" t="inlineStr">
        <is>
          <t>EU</t>
        </is>
      </c>
      <c r="F118" s="77" t="n">
        <v>2027</v>
      </c>
      <c r="G118" s="77" t="n">
        <v>150</v>
      </c>
      <c r="H118" s="77" t="inlineStr">
        <is>
          <t>Not started</t>
        </is>
      </c>
      <c r="I118" s="77">
        <f>COUNTIFS('EL scheme register'!$A$7:$A$610,$A118,'EL scheme register'!$C$7:$C$610,"University-wide",'EL scheme register'!$AJ$7:$AJ$610,"Yes")</f>
        <v/>
      </c>
      <c r="J118" s="77">
        <f>COUNTIFS('EL scheme register'!$A$7:$A$610,$A118,'EL scheme register'!$C$7:$C$610,"Cross-faculty",'EL scheme register'!$AJ$7:$AJ$610,"Yes")</f>
        <v/>
      </c>
      <c r="K118" s="77">
        <f>COUNTIFS('EL scheme register'!$A$7:$A$610,$A118,'EL scheme register'!$C$7:$C$610,"Faculty/school",'EL scheme register'!$AJ$7:$AJ$610,"Yes")</f>
        <v/>
      </c>
      <c r="L118" s="77">
        <f>COUNTIFS('EL scheme register'!$A$7:$A$610,$A118,'EL scheme register'!$C$7:$C$610,"Programme/course",'EL scheme register'!$AJ$7:$AJ$610,"Yes")</f>
        <v/>
      </c>
      <c r="M118" s="77">
        <f>COUNTIFS('EL scheme register'!$A$7:$A$610,$A118,'EL scheme register'!$C$7:$C$610,"Unclear",'EL scheme register'!$AJ$7:$AJ$610,"Yes")</f>
        <v/>
      </c>
      <c r="N118" s="77">
        <f>SUM(I118:M118)</f>
        <v/>
      </c>
      <c r="O118" s="77">
        <f>COUNTIFS('EL scheme register'!$A$7:$A$610,$A118,'EL scheme register'!$AF$7:$AF$610,"Potentially relevant; evidence incomplete",'EL scheme register'!$AI$7:$AI$610,"Yes")</f>
        <v/>
      </c>
      <c r="P118" s="77">
        <f>COUNTIFS('EL scheme register'!$A$7:$A$610,$A118,'EL scheme register'!$AF$7:$AF$610,"Outside strict definition")</f>
        <v/>
      </c>
      <c r="Q118" s="77">
        <f>COUNTIF('EL exclusions &amp; gaps'!$B$7:$B$5000,$A118)</f>
        <v/>
      </c>
      <c r="R118" s="77" t="inlineStr">
        <is>
          <t>Not reviewed</t>
        </is>
      </c>
      <c r="S118" s="77" t="inlineStr">
        <is>
          <t>Not reviewed</t>
        </is>
      </c>
      <c r="T118" s="77" t="inlineStr"/>
      <c r="U118" s="77" t="inlineStr"/>
      <c r="V118" s="77" t="inlineStr">
        <is>
          <t>Not reviewed</t>
        </is>
      </c>
      <c r="W118" s="77" t="inlineStr"/>
      <c r="X118" s="77" t="inlineStr"/>
    </row>
    <row r="119">
      <c r="A119" s="77" t="inlineStr">
        <is>
          <t>EU19</t>
        </is>
      </c>
      <c r="B119" s="79" t="inlineStr">
        <is>
          <t>Trinity College Dublin</t>
        </is>
      </c>
      <c r="C119" s="77" t="inlineStr">
        <is>
          <t>Ireland</t>
        </is>
      </c>
      <c r="D119" s="77" t="inlineStr">
        <is>
          <t>EU sample</t>
        </is>
      </c>
      <c r="E119" s="77" t="inlineStr">
        <is>
          <t>EU</t>
        </is>
      </c>
      <c r="F119" s="77" t="n">
        <v>2027</v>
      </c>
      <c r="G119" s="77" t="n">
        <v>75</v>
      </c>
      <c r="H119" s="77" t="inlineStr">
        <is>
          <t>Not started</t>
        </is>
      </c>
      <c r="I119" s="77">
        <f>COUNTIFS('EL scheme register'!$A$7:$A$610,$A119,'EL scheme register'!$C$7:$C$610,"University-wide",'EL scheme register'!$AJ$7:$AJ$610,"Yes")</f>
        <v/>
      </c>
      <c r="J119" s="77">
        <f>COUNTIFS('EL scheme register'!$A$7:$A$610,$A119,'EL scheme register'!$C$7:$C$610,"Cross-faculty",'EL scheme register'!$AJ$7:$AJ$610,"Yes")</f>
        <v/>
      </c>
      <c r="K119" s="77">
        <f>COUNTIFS('EL scheme register'!$A$7:$A$610,$A119,'EL scheme register'!$C$7:$C$610,"Faculty/school",'EL scheme register'!$AJ$7:$AJ$610,"Yes")</f>
        <v/>
      </c>
      <c r="L119" s="77">
        <f>COUNTIFS('EL scheme register'!$A$7:$A$610,$A119,'EL scheme register'!$C$7:$C$610,"Programme/course",'EL scheme register'!$AJ$7:$AJ$610,"Yes")</f>
        <v/>
      </c>
      <c r="M119" s="77">
        <f>COUNTIFS('EL scheme register'!$A$7:$A$610,$A119,'EL scheme register'!$C$7:$C$610,"Unclear",'EL scheme register'!$AJ$7:$AJ$610,"Yes")</f>
        <v/>
      </c>
      <c r="N119" s="77">
        <f>SUM(I119:M119)</f>
        <v/>
      </c>
      <c r="O119" s="77">
        <f>COUNTIFS('EL scheme register'!$A$7:$A$610,$A119,'EL scheme register'!$AF$7:$AF$610,"Potentially relevant; evidence incomplete",'EL scheme register'!$AI$7:$AI$610,"Yes")</f>
        <v/>
      </c>
      <c r="P119" s="77">
        <f>COUNTIFS('EL scheme register'!$A$7:$A$610,$A119,'EL scheme register'!$AF$7:$AF$610,"Outside strict definition")</f>
        <v/>
      </c>
      <c r="Q119" s="77">
        <f>COUNTIF('EL exclusions &amp; gaps'!$B$7:$B$5000,$A119)</f>
        <v/>
      </c>
      <c r="R119" s="77" t="inlineStr">
        <is>
          <t>Not reviewed</t>
        </is>
      </c>
      <c r="S119" s="77" t="inlineStr">
        <is>
          <t>Not reviewed</t>
        </is>
      </c>
      <c r="T119" s="77" t="inlineStr"/>
      <c r="U119" s="77" t="inlineStr"/>
      <c r="V119" s="77" t="inlineStr">
        <is>
          <t>Not reviewed</t>
        </is>
      </c>
      <c r="W119" s="77" t="inlineStr"/>
      <c r="X119" s="77" t="inlineStr"/>
    </row>
    <row r="120">
      <c r="A120" s="77" t="inlineStr">
        <is>
          <t>EU20</t>
        </is>
      </c>
      <c r="B120" s="79" t="inlineStr">
        <is>
          <t>University College Dublin</t>
        </is>
      </c>
      <c r="C120" s="77" t="inlineStr">
        <is>
          <t>Ireland</t>
        </is>
      </c>
      <c r="D120" s="77" t="inlineStr">
        <is>
          <t>EU sample</t>
        </is>
      </c>
      <c r="E120" s="77" t="inlineStr">
        <is>
          <t>EU</t>
        </is>
      </c>
      <c r="F120" s="77" t="n">
        <v>2027</v>
      </c>
      <c r="G120" s="77" t="n">
        <v>100</v>
      </c>
      <c r="H120" s="77" t="inlineStr">
        <is>
          <t>Not started</t>
        </is>
      </c>
      <c r="I120" s="77">
        <f>COUNTIFS('EL scheme register'!$A$7:$A$610,$A120,'EL scheme register'!$C$7:$C$610,"University-wide",'EL scheme register'!$AJ$7:$AJ$610,"Yes")</f>
        <v/>
      </c>
      <c r="J120" s="77">
        <f>COUNTIFS('EL scheme register'!$A$7:$A$610,$A120,'EL scheme register'!$C$7:$C$610,"Cross-faculty",'EL scheme register'!$AJ$7:$AJ$610,"Yes")</f>
        <v/>
      </c>
      <c r="K120" s="77">
        <f>COUNTIFS('EL scheme register'!$A$7:$A$610,$A120,'EL scheme register'!$C$7:$C$610,"Faculty/school",'EL scheme register'!$AJ$7:$AJ$610,"Yes")</f>
        <v/>
      </c>
      <c r="L120" s="77">
        <f>COUNTIFS('EL scheme register'!$A$7:$A$610,$A120,'EL scheme register'!$C$7:$C$610,"Programme/course",'EL scheme register'!$AJ$7:$AJ$610,"Yes")</f>
        <v/>
      </c>
      <c r="M120" s="77">
        <f>COUNTIFS('EL scheme register'!$A$7:$A$610,$A120,'EL scheme register'!$C$7:$C$610,"Unclear",'EL scheme register'!$AJ$7:$AJ$610,"Yes")</f>
        <v/>
      </c>
      <c r="N120" s="77">
        <f>SUM(I120:M120)</f>
        <v/>
      </c>
      <c r="O120" s="77">
        <f>COUNTIFS('EL scheme register'!$A$7:$A$610,$A120,'EL scheme register'!$AF$7:$AF$610,"Potentially relevant; evidence incomplete",'EL scheme register'!$AI$7:$AI$610,"Yes")</f>
        <v/>
      </c>
      <c r="P120" s="77">
        <f>COUNTIFS('EL scheme register'!$A$7:$A$610,$A120,'EL scheme register'!$AF$7:$AF$610,"Outside strict definition")</f>
        <v/>
      </c>
      <c r="Q120" s="77">
        <f>COUNTIF('EL exclusions &amp; gaps'!$B$7:$B$5000,$A120)</f>
        <v/>
      </c>
      <c r="R120" s="77" t="inlineStr">
        <is>
          <t>Not reviewed</t>
        </is>
      </c>
      <c r="S120" s="77" t="inlineStr">
        <is>
          <t>Not reviewed</t>
        </is>
      </c>
      <c r="T120" s="77" t="inlineStr"/>
      <c r="U120" s="77" t="inlineStr"/>
      <c r="V120" s="77" t="inlineStr">
        <is>
          <t>Not reviewed</t>
        </is>
      </c>
      <c r="W120" s="77" t="inlineStr"/>
      <c r="X120" s="77" t="inlineStr"/>
    </row>
    <row r="121">
      <c r="A121" s="77" t="inlineStr">
        <is>
          <t>EU21</t>
        </is>
      </c>
      <c r="B121" s="79" t="inlineStr">
        <is>
          <t>Copenhagen</t>
        </is>
      </c>
      <c r="C121" s="77" t="inlineStr">
        <is>
          <t>Denmark</t>
        </is>
      </c>
      <c r="D121" s="77" t="inlineStr">
        <is>
          <t>EU sample</t>
        </is>
      </c>
      <c r="E121" s="77" t="inlineStr">
        <is>
          <t>EU</t>
        </is>
      </c>
      <c r="F121" s="77" t="n">
        <v>2027</v>
      </c>
      <c r="G121" s="77" t="n">
        <v>90</v>
      </c>
      <c r="H121" s="77" t="inlineStr">
        <is>
          <t>Not started</t>
        </is>
      </c>
      <c r="I121" s="77">
        <f>COUNTIFS('EL scheme register'!$A$7:$A$610,$A121,'EL scheme register'!$C$7:$C$610,"University-wide",'EL scheme register'!$AJ$7:$AJ$610,"Yes")</f>
        <v/>
      </c>
      <c r="J121" s="77">
        <f>COUNTIFS('EL scheme register'!$A$7:$A$610,$A121,'EL scheme register'!$C$7:$C$610,"Cross-faculty",'EL scheme register'!$AJ$7:$AJ$610,"Yes")</f>
        <v/>
      </c>
      <c r="K121" s="77">
        <f>COUNTIFS('EL scheme register'!$A$7:$A$610,$A121,'EL scheme register'!$C$7:$C$610,"Faculty/school",'EL scheme register'!$AJ$7:$AJ$610,"Yes")</f>
        <v/>
      </c>
      <c r="L121" s="77">
        <f>COUNTIFS('EL scheme register'!$A$7:$A$610,$A121,'EL scheme register'!$C$7:$C$610,"Programme/course",'EL scheme register'!$AJ$7:$AJ$610,"Yes")</f>
        <v/>
      </c>
      <c r="M121" s="77">
        <f>COUNTIFS('EL scheme register'!$A$7:$A$610,$A121,'EL scheme register'!$C$7:$C$610,"Unclear",'EL scheme register'!$AJ$7:$AJ$610,"Yes")</f>
        <v/>
      </c>
      <c r="N121" s="77">
        <f>SUM(I121:M121)</f>
        <v/>
      </c>
      <c r="O121" s="77">
        <f>COUNTIFS('EL scheme register'!$A$7:$A$610,$A121,'EL scheme register'!$AF$7:$AF$610,"Potentially relevant; evidence incomplete",'EL scheme register'!$AI$7:$AI$610,"Yes")</f>
        <v/>
      </c>
      <c r="P121" s="77">
        <f>COUNTIFS('EL scheme register'!$A$7:$A$610,$A121,'EL scheme register'!$AF$7:$AF$610,"Outside strict definition")</f>
        <v/>
      </c>
      <c r="Q121" s="77">
        <f>COUNTIF('EL exclusions &amp; gaps'!$B$7:$B$5000,$A121)</f>
        <v/>
      </c>
      <c r="R121" s="77" t="inlineStr">
        <is>
          <t>Not reviewed</t>
        </is>
      </c>
      <c r="S121" s="77" t="inlineStr">
        <is>
          <t>Not reviewed</t>
        </is>
      </c>
      <c r="T121" s="77" t="inlineStr"/>
      <c r="U121" s="77" t="inlineStr"/>
      <c r="V121" s="77" t="inlineStr">
        <is>
          <t>Not reviewed</t>
        </is>
      </c>
      <c r="W121" s="77" t="inlineStr"/>
      <c r="X121" s="77" t="inlineStr"/>
    </row>
    <row r="122">
      <c r="A122" s="77" t="inlineStr">
        <is>
          <t>EU22</t>
        </is>
      </c>
      <c r="B122" s="79" t="inlineStr">
        <is>
          <t>Aarhus</t>
        </is>
      </c>
      <c r="C122" s="77" t="inlineStr">
        <is>
          <t>Denmark</t>
        </is>
      </c>
      <c r="D122" s="77" t="inlineStr">
        <is>
          <t>EU sample</t>
        </is>
      </c>
      <c r="E122" s="77" t="inlineStr">
        <is>
          <t>EU</t>
        </is>
      </c>
      <c r="F122" s="77" t="n">
        <v>2027</v>
      </c>
      <c r="G122" s="77" t="n">
        <v>128</v>
      </c>
      <c r="H122" s="77" t="inlineStr">
        <is>
          <t>Not started</t>
        </is>
      </c>
      <c r="I122" s="77">
        <f>COUNTIFS('EL scheme register'!$A$7:$A$610,$A122,'EL scheme register'!$C$7:$C$610,"University-wide",'EL scheme register'!$AJ$7:$AJ$610,"Yes")</f>
        <v/>
      </c>
      <c r="J122" s="77">
        <f>COUNTIFS('EL scheme register'!$A$7:$A$610,$A122,'EL scheme register'!$C$7:$C$610,"Cross-faculty",'EL scheme register'!$AJ$7:$AJ$610,"Yes")</f>
        <v/>
      </c>
      <c r="K122" s="77">
        <f>COUNTIFS('EL scheme register'!$A$7:$A$610,$A122,'EL scheme register'!$C$7:$C$610,"Faculty/school",'EL scheme register'!$AJ$7:$AJ$610,"Yes")</f>
        <v/>
      </c>
      <c r="L122" s="77">
        <f>COUNTIFS('EL scheme register'!$A$7:$A$610,$A122,'EL scheme register'!$C$7:$C$610,"Programme/course",'EL scheme register'!$AJ$7:$AJ$610,"Yes")</f>
        <v/>
      </c>
      <c r="M122" s="77">
        <f>COUNTIFS('EL scheme register'!$A$7:$A$610,$A122,'EL scheme register'!$C$7:$C$610,"Unclear",'EL scheme register'!$AJ$7:$AJ$610,"Yes")</f>
        <v/>
      </c>
      <c r="N122" s="77">
        <f>SUM(I122:M122)</f>
        <v/>
      </c>
      <c r="O122" s="77">
        <f>COUNTIFS('EL scheme register'!$A$7:$A$610,$A122,'EL scheme register'!$AF$7:$AF$610,"Potentially relevant; evidence incomplete",'EL scheme register'!$AI$7:$AI$610,"Yes")</f>
        <v/>
      </c>
      <c r="P122" s="77">
        <f>COUNTIFS('EL scheme register'!$A$7:$A$610,$A122,'EL scheme register'!$AF$7:$AF$610,"Outside strict definition")</f>
        <v/>
      </c>
      <c r="Q122" s="77">
        <f>COUNTIF('EL exclusions &amp; gaps'!$B$7:$B$5000,$A122)</f>
        <v/>
      </c>
      <c r="R122" s="77" t="inlineStr">
        <is>
          <t>Not reviewed</t>
        </is>
      </c>
      <c r="S122" s="77" t="inlineStr">
        <is>
          <t>Not reviewed</t>
        </is>
      </c>
      <c r="T122" s="77" t="inlineStr"/>
      <c r="U122" s="77" t="inlineStr"/>
      <c r="V122" s="77" t="inlineStr">
        <is>
          <t>Not reviewed</t>
        </is>
      </c>
      <c r="W122" s="77" t="inlineStr"/>
      <c r="X122" s="77" t="inlineStr"/>
    </row>
    <row r="123">
      <c r="A123" s="77" t="inlineStr">
        <is>
          <t>EU23</t>
        </is>
      </c>
      <c r="B123" s="79" t="inlineStr">
        <is>
          <t>Lund</t>
        </is>
      </c>
      <c r="C123" s="77" t="inlineStr">
        <is>
          <t>Sweden</t>
        </is>
      </c>
      <c r="D123" s="77" t="inlineStr">
        <is>
          <t>EU sample</t>
        </is>
      </c>
      <c r="E123" s="77" t="inlineStr">
        <is>
          <t>EU</t>
        </is>
      </c>
      <c r="F123" s="77" t="n">
        <v>2027</v>
      </c>
      <c r="G123" s="77" t="n">
        <v>71</v>
      </c>
      <c r="H123" s="77" t="inlineStr">
        <is>
          <t>Not started</t>
        </is>
      </c>
      <c r="I123" s="77">
        <f>COUNTIFS('EL scheme register'!$A$7:$A$610,$A123,'EL scheme register'!$C$7:$C$610,"University-wide",'EL scheme register'!$AJ$7:$AJ$610,"Yes")</f>
        <v/>
      </c>
      <c r="J123" s="77">
        <f>COUNTIFS('EL scheme register'!$A$7:$A$610,$A123,'EL scheme register'!$C$7:$C$610,"Cross-faculty",'EL scheme register'!$AJ$7:$AJ$610,"Yes")</f>
        <v/>
      </c>
      <c r="K123" s="77">
        <f>COUNTIFS('EL scheme register'!$A$7:$A$610,$A123,'EL scheme register'!$C$7:$C$610,"Faculty/school",'EL scheme register'!$AJ$7:$AJ$610,"Yes")</f>
        <v/>
      </c>
      <c r="L123" s="77">
        <f>COUNTIFS('EL scheme register'!$A$7:$A$610,$A123,'EL scheme register'!$C$7:$C$610,"Programme/course",'EL scheme register'!$AJ$7:$AJ$610,"Yes")</f>
        <v/>
      </c>
      <c r="M123" s="77">
        <f>COUNTIFS('EL scheme register'!$A$7:$A$610,$A123,'EL scheme register'!$C$7:$C$610,"Unclear",'EL scheme register'!$AJ$7:$AJ$610,"Yes")</f>
        <v/>
      </c>
      <c r="N123" s="77">
        <f>SUM(I123:M123)</f>
        <v/>
      </c>
      <c r="O123" s="77">
        <f>COUNTIFS('EL scheme register'!$A$7:$A$610,$A123,'EL scheme register'!$AF$7:$AF$610,"Potentially relevant; evidence incomplete",'EL scheme register'!$AI$7:$AI$610,"Yes")</f>
        <v/>
      </c>
      <c r="P123" s="77">
        <f>COUNTIFS('EL scheme register'!$A$7:$A$610,$A123,'EL scheme register'!$AF$7:$AF$610,"Outside strict definition")</f>
        <v/>
      </c>
      <c r="Q123" s="77">
        <f>COUNTIF('EL exclusions &amp; gaps'!$B$7:$B$5000,$A123)</f>
        <v/>
      </c>
      <c r="R123" s="77" t="inlineStr">
        <is>
          <t>Not reviewed</t>
        </is>
      </c>
      <c r="S123" s="77" t="inlineStr">
        <is>
          <t>Not reviewed</t>
        </is>
      </c>
      <c r="T123" s="77" t="inlineStr"/>
      <c r="U123" s="77" t="inlineStr"/>
      <c r="V123" s="77" t="inlineStr">
        <is>
          <t>Not reviewed</t>
        </is>
      </c>
      <c r="W123" s="77" t="inlineStr"/>
      <c r="X123" s="77" t="inlineStr"/>
    </row>
    <row r="124">
      <c r="A124" s="77" t="inlineStr">
        <is>
          <t>EU24</t>
        </is>
      </c>
      <c r="B124" s="79" t="inlineStr">
        <is>
          <t>KTH Royal Institute of Technology</t>
        </is>
      </c>
      <c r="C124" s="77" t="inlineStr">
        <is>
          <t>Sweden</t>
        </is>
      </c>
      <c r="D124" s="77" t="inlineStr">
        <is>
          <t>EU sample</t>
        </is>
      </c>
      <c r="E124" s="77" t="inlineStr">
        <is>
          <t>EU</t>
        </is>
      </c>
      <c r="F124" s="77" t="n">
        <v>2027</v>
      </c>
      <c r="G124" s="77" t="n">
        <v>82</v>
      </c>
      <c r="H124" s="77" t="inlineStr">
        <is>
          <t>Not started</t>
        </is>
      </c>
      <c r="I124" s="77">
        <f>COUNTIFS('EL scheme register'!$A$7:$A$610,$A124,'EL scheme register'!$C$7:$C$610,"University-wide",'EL scheme register'!$AJ$7:$AJ$610,"Yes")</f>
        <v/>
      </c>
      <c r="J124" s="77">
        <f>COUNTIFS('EL scheme register'!$A$7:$A$610,$A124,'EL scheme register'!$C$7:$C$610,"Cross-faculty",'EL scheme register'!$AJ$7:$AJ$610,"Yes")</f>
        <v/>
      </c>
      <c r="K124" s="77">
        <f>COUNTIFS('EL scheme register'!$A$7:$A$610,$A124,'EL scheme register'!$C$7:$C$610,"Faculty/school",'EL scheme register'!$AJ$7:$AJ$610,"Yes")</f>
        <v/>
      </c>
      <c r="L124" s="77">
        <f>COUNTIFS('EL scheme register'!$A$7:$A$610,$A124,'EL scheme register'!$C$7:$C$610,"Programme/course",'EL scheme register'!$AJ$7:$AJ$610,"Yes")</f>
        <v/>
      </c>
      <c r="M124" s="77">
        <f>COUNTIFS('EL scheme register'!$A$7:$A$610,$A124,'EL scheme register'!$C$7:$C$610,"Unclear",'EL scheme register'!$AJ$7:$AJ$610,"Yes")</f>
        <v/>
      </c>
      <c r="N124" s="77">
        <f>SUM(I124:M124)</f>
        <v/>
      </c>
      <c r="O124" s="77">
        <f>COUNTIFS('EL scheme register'!$A$7:$A$610,$A124,'EL scheme register'!$AF$7:$AF$610,"Potentially relevant; evidence incomplete",'EL scheme register'!$AI$7:$AI$610,"Yes")</f>
        <v/>
      </c>
      <c r="P124" s="77">
        <f>COUNTIFS('EL scheme register'!$A$7:$A$610,$A124,'EL scheme register'!$AF$7:$AF$610,"Outside strict definition")</f>
        <v/>
      </c>
      <c r="Q124" s="77">
        <f>COUNTIF('EL exclusions &amp; gaps'!$B$7:$B$5000,$A124)</f>
        <v/>
      </c>
      <c r="R124" s="77" t="inlineStr">
        <is>
          <t>Not reviewed</t>
        </is>
      </c>
      <c r="S124" s="77" t="inlineStr">
        <is>
          <t>Not reviewed</t>
        </is>
      </c>
      <c r="T124" s="77" t="inlineStr"/>
      <c r="U124" s="77" t="inlineStr"/>
      <c r="V124" s="77" t="inlineStr">
        <is>
          <t>Not reviewed</t>
        </is>
      </c>
      <c r="W124" s="77" t="inlineStr"/>
      <c r="X124" s="77" t="inlineStr"/>
    </row>
    <row r="125">
      <c r="A125" s="77" t="inlineStr">
        <is>
          <t>EU25</t>
        </is>
      </c>
      <c r="B125" s="79" t="inlineStr">
        <is>
          <t>Uppsala</t>
        </is>
      </c>
      <c r="C125" s="77" t="inlineStr">
        <is>
          <t>Sweden</t>
        </is>
      </c>
      <c r="D125" s="77" t="inlineStr">
        <is>
          <t>EU sample</t>
        </is>
      </c>
      <c r="E125" s="77" t="inlineStr">
        <is>
          <t>EU</t>
        </is>
      </c>
      <c r="F125" s="77" t="n">
        <v>2027</v>
      </c>
      <c r="G125" s="77" t="n">
        <v>87</v>
      </c>
      <c r="H125" s="77" t="inlineStr">
        <is>
          <t>Not started</t>
        </is>
      </c>
      <c r="I125" s="77">
        <f>COUNTIFS('EL scheme register'!$A$7:$A$610,$A125,'EL scheme register'!$C$7:$C$610,"University-wide",'EL scheme register'!$AJ$7:$AJ$610,"Yes")</f>
        <v/>
      </c>
      <c r="J125" s="77">
        <f>COUNTIFS('EL scheme register'!$A$7:$A$610,$A125,'EL scheme register'!$C$7:$C$610,"Cross-faculty",'EL scheme register'!$AJ$7:$AJ$610,"Yes")</f>
        <v/>
      </c>
      <c r="K125" s="77">
        <f>COUNTIFS('EL scheme register'!$A$7:$A$610,$A125,'EL scheme register'!$C$7:$C$610,"Faculty/school",'EL scheme register'!$AJ$7:$AJ$610,"Yes")</f>
        <v/>
      </c>
      <c r="L125" s="77">
        <f>COUNTIFS('EL scheme register'!$A$7:$A$610,$A125,'EL scheme register'!$C$7:$C$610,"Programme/course",'EL scheme register'!$AJ$7:$AJ$610,"Yes")</f>
        <v/>
      </c>
      <c r="M125" s="77">
        <f>COUNTIFS('EL scheme register'!$A$7:$A$610,$A125,'EL scheme register'!$C$7:$C$610,"Unclear",'EL scheme register'!$AJ$7:$AJ$610,"Yes")</f>
        <v/>
      </c>
      <c r="N125" s="77">
        <f>SUM(I125:M125)</f>
        <v/>
      </c>
      <c r="O125" s="77">
        <f>COUNTIFS('EL scheme register'!$A$7:$A$610,$A125,'EL scheme register'!$AF$7:$AF$610,"Potentially relevant; evidence incomplete",'EL scheme register'!$AI$7:$AI$610,"Yes")</f>
        <v/>
      </c>
      <c r="P125" s="77">
        <f>COUNTIFS('EL scheme register'!$A$7:$A$610,$A125,'EL scheme register'!$AF$7:$AF$610,"Outside strict definition")</f>
        <v/>
      </c>
      <c r="Q125" s="77">
        <f>COUNTIF('EL exclusions &amp; gaps'!$B$7:$B$5000,$A125)</f>
        <v/>
      </c>
      <c r="R125" s="77" t="inlineStr">
        <is>
          <t>Not reviewed</t>
        </is>
      </c>
      <c r="S125" s="77" t="inlineStr">
        <is>
          <t>Not reviewed</t>
        </is>
      </c>
      <c r="T125" s="77" t="inlineStr"/>
      <c r="U125" s="77" t="inlineStr"/>
      <c r="V125" s="77" t="inlineStr">
        <is>
          <t>Not reviewed</t>
        </is>
      </c>
      <c r="W125" s="77" t="inlineStr"/>
      <c r="X125" s="77" t="inlineStr"/>
    </row>
    <row r="126">
      <c r="A126" s="77" t="inlineStr">
        <is>
          <t>EU26</t>
        </is>
      </c>
      <c r="B126" s="79" t="inlineStr">
        <is>
          <t>Aalto</t>
        </is>
      </c>
      <c r="C126" s="77" t="inlineStr">
        <is>
          <t>Finland</t>
        </is>
      </c>
      <c r="D126" s="77" t="inlineStr">
        <is>
          <t>EU sample</t>
        </is>
      </c>
      <c r="E126" s="77" t="inlineStr">
        <is>
          <t>EU</t>
        </is>
      </c>
      <c r="F126" s="77" t="n">
        <v>2027</v>
      </c>
      <c r="G126" s="77" t="n">
        <v>126</v>
      </c>
      <c r="H126" s="77" t="inlineStr">
        <is>
          <t>Not started</t>
        </is>
      </c>
      <c r="I126" s="77">
        <f>COUNTIFS('EL scheme register'!$A$7:$A$610,$A126,'EL scheme register'!$C$7:$C$610,"University-wide",'EL scheme register'!$AJ$7:$AJ$610,"Yes")</f>
        <v/>
      </c>
      <c r="J126" s="77">
        <f>COUNTIFS('EL scheme register'!$A$7:$A$610,$A126,'EL scheme register'!$C$7:$C$610,"Cross-faculty",'EL scheme register'!$AJ$7:$AJ$610,"Yes")</f>
        <v/>
      </c>
      <c r="K126" s="77">
        <f>COUNTIFS('EL scheme register'!$A$7:$A$610,$A126,'EL scheme register'!$C$7:$C$610,"Faculty/school",'EL scheme register'!$AJ$7:$AJ$610,"Yes")</f>
        <v/>
      </c>
      <c r="L126" s="77">
        <f>COUNTIFS('EL scheme register'!$A$7:$A$610,$A126,'EL scheme register'!$C$7:$C$610,"Programme/course",'EL scheme register'!$AJ$7:$AJ$610,"Yes")</f>
        <v/>
      </c>
      <c r="M126" s="77">
        <f>COUNTIFS('EL scheme register'!$A$7:$A$610,$A126,'EL scheme register'!$C$7:$C$610,"Unclear",'EL scheme register'!$AJ$7:$AJ$610,"Yes")</f>
        <v/>
      </c>
      <c r="N126" s="77">
        <f>SUM(I126:M126)</f>
        <v/>
      </c>
      <c r="O126" s="77">
        <f>COUNTIFS('EL scheme register'!$A$7:$A$610,$A126,'EL scheme register'!$AF$7:$AF$610,"Potentially relevant; evidence incomplete",'EL scheme register'!$AI$7:$AI$610,"Yes")</f>
        <v/>
      </c>
      <c r="P126" s="77">
        <f>COUNTIFS('EL scheme register'!$A$7:$A$610,$A126,'EL scheme register'!$AF$7:$AF$610,"Outside strict definition")</f>
        <v/>
      </c>
      <c r="Q126" s="77">
        <f>COUNTIF('EL exclusions &amp; gaps'!$B$7:$B$5000,$A126)</f>
        <v/>
      </c>
      <c r="R126" s="77" t="inlineStr">
        <is>
          <t>Not reviewed</t>
        </is>
      </c>
      <c r="S126" s="77" t="inlineStr">
        <is>
          <t>Not reviewed</t>
        </is>
      </c>
      <c r="T126" s="77" t="inlineStr"/>
      <c r="U126" s="77" t="inlineStr"/>
      <c r="V126" s="77" t="inlineStr">
        <is>
          <t>Not reviewed</t>
        </is>
      </c>
      <c r="W126" s="77" t="inlineStr"/>
      <c r="X126" s="77" t="inlineStr"/>
    </row>
    <row r="127">
      <c r="A127" s="77" t="inlineStr">
        <is>
          <t>EU27</t>
        </is>
      </c>
      <c r="B127" s="79" t="inlineStr">
        <is>
          <t>Helsinki</t>
        </is>
      </c>
      <c r="C127" s="77" t="inlineStr">
        <is>
          <t>Finland</t>
        </is>
      </c>
      <c r="D127" s="77" t="inlineStr">
        <is>
          <t>EU sample</t>
        </is>
      </c>
      <c r="E127" s="77" t="inlineStr">
        <is>
          <t>EU</t>
        </is>
      </c>
      <c r="F127" s="77" t="n">
        <v>2027</v>
      </c>
      <c r="G127" s="77" t="n">
        <v>123</v>
      </c>
      <c r="H127" s="77" t="inlineStr">
        <is>
          <t>Not started</t>
        </is>
      </c>
      <c r="I127" s="77">
        <f>COUNTIFS('EL scheme register'!$A$7:$A$610,$A127,'EL scheme register'!$C$7:$C$610,"University-wide",'EL scheme register'!$AJ$7:$AJ$610,"Yes")</f>
        <v/>
      </c>
      <c r="J127" s="77">
        <f>COUNTIFS('EL scheme register'!$A$7:$A$610,$A127,'EL scheme register'!$C$7:$C$610,"Cross-faculty",'EL scheme register'!$AJ$7:$AJ$610,"Yes")</f>
        <v/>
      </c>
      <c r="K127" s="77">
        <f>COUNTIFS('EL scheme register'!$A$7:$A$610,$A127,'EL scheme register'!$C$7:$C$610,"Faculty/school",'EL scheme register'!$AJ$7:$AJ$610,"Yes")</f>
        <v/>
      </c>
      <c r="L127" s="77">
        <f>COUNTIFS('EL scheme register'!$A$7:$A$610,$A127,'EL scheme register'!$C$7:$C$610,"Programme/course",'EL scheme register'!$AJ$7:$AJ$610,"Yes")</f>
        <v/>
      </c>
      <c r="M127" s="77">
        <f>COUNTIFS('EL scheme register'!$A$7:$A$610,$A127,'EL scheme register'!$C$7:$C$610,"Unclear",'EL scheme register'!$AJ$7:$AJ$610,"Yes")</f>
        <v/>
      </c>
      <c r="N127" s="77">
        <f>SUM(I127:M127)</f>
        <v/>
      </c>
      <c r="O127" s="77">
        <f>COUNTIFS('EL scheme register'!$A$7:$A$610,$A127,'EL scheme register'!$AF$7:$AF$610,"Potentially relevant; evidence incomplete",'EL scheme register'!$AI$7:$AI$610,"Yes")</f>
        <v/>
      </c>
      <c r="P127" s="77">
        <f>COUNTIFS('EL scheme register'!$A$7:$A$610,$A127,'EL scheme register'!$AF$7:$AF$610,"Outside strict definition")</f>
        <v/>
      </c>
      <c r="Q127" s="77">
        <f>COUNTIF('EL exclusions &amp; gaps'!$B$7:$B$5000,$A127)</f>
        <v/>
      </c>
      <c r="R127" s="77" t="inlineStr">
        <is>
          <t>Not reviewed</t>
        </is>
      </c>
      <c r="S127" s="77" t="inlineStr">
        <is>
          <t>Not reviewed</t>
        </is>
      </c>
      <c r="T127" s="77" t="inlineStr"/>
      <c r="U127" s="77" t="inlineStr"/>
      <c r="V127" s="77" t="inlineStr">
        <is>
          <t>Not reviewed</t>
        </is>
      </c>
      <c r="W127" s="77" t="inlineStr"/>
      <c r="X127" s="77" t="inlineStr"/>
    </row>
    <row r="128">
      <c r="A128" s="77" t="inlineStr">
        <is>
          <t>EU28</t>
        </is>
      </c>
      <c r="B128" s="79" t="inlineStr">
        <is>
          <t>Barcelona</t>
        </is>
      </c>
      <c r="C128" s="77" t="inlineStr">
        <is>
          <t>Spain</t>
        </is>
      </c>
      <c r="D128" s="77" t="inlineStr">
        <is>
          <t>EU sample</t>
        </is>
      </c>
      <c r="E128" s="77" t="inlineStr">
        <is>
          <t>EU</t>
        </is>
      </c>
      <c r="F128" s="77" t="n">
        <v>2027</v>
      </c>
      <c r="G128" s="77" t="n">
        <v>165</v>
      </c>
      <c r="H128" s="77" t="inlineStr">
        <is>
          <t>Not started</t>
        </is>
      </c>
      <c r="I128" s="77">
        <f>COUNTIFS('EL scheme register'!$A$7:$A$610,$A128,'EL scheme register'!$C$7:$C$610,"University-wide",'EL scheme register'!$AJ$7:$AJ$610,"Yes")</f>
        <v/>
      </c>
      <c r="J128" s="77">
        <f>COUNTIFS('EL scheme register'!$A$7:$A$610,$A128,'EL scheme register'!$C$7:$C$610,"Cross-faculty",'EL scheme register'!$AJ$7:$AJ$610,"Yes")</f>
        <v/>
      </c>
      <c r="K128" s="77">
        <f>COUNTIFS('EL scheme register'!$A$7:$A$610,$A128,'EL scheme register'!$C$7:$C$610,"Faculty/school",'EL scheme register'!$AJ$7:$AJ$610,"Yes")</f>
        <v/>
      </c>
      <c r="L128" s="77">
        <f>COUNTIFS('EL scheme register'!$A$7:$A$610,$A128,'EL scheme register'!$C$7:$C$610,"Programme/course",'EL scheme register'!$AJ$7:$AJ$610,"Yes")</f>
        <v/>
      </c>
      <c r="M128" s="77">
        <f>COUNTIFS('EL scheme register'!$A$7:$A$610,$A128,'EL scheme register'!$C$7:$C$610,"Unclear",'EL scheme register'!$AJ$7:$AJ$610,"Yes")</f>
        <v/>
      </c>
      <c r="N128" s="77">
        <f>SUM(I128:M128)</f>
        <v/>
      </c>
      <c r="O128" s="77">
        <f>COUNTIFS('EL scheme register'!$A$7:$A$610,$A128,'EL scheme register'!$AF$7:$AF$610,"Potentially relevant; evidence incomplete",'EL scheme register'!$AI$7:$AI$610,"Yes")</f>
        <v/>
      </c>
      <c r="P128" s="77">
        <f>COUNTIFS('EL scheme register'!$A$7:$A$610,$A128,'EL scheme register'!$AF$7:$AF$610,"Outside strict definition")</f>
        <v/>
      </c>
      <c r="Q128" s="77">
        <f>COUNTIF('EL exclusions &amp; gaps'!$B$7:$B$5000,$A128)</f>
        <v/>
      </c>
      <c r="R128" s="77" t="inlineStr">
        <is>
          <t>Not reviewed</t>
        </is>
      </c>
      <c r="S128" s="77" t="inlineStr">
        <is>
          <t>Not reviewed</t>
        </is>
      </c>
      <c r="T128" s="77" t="inlineStr"/>
      <c r="U128" s="77" t="inlineStr"/>
      <c r="V128" s="77" t="inlineStr">
        <is>
          <t>Not reviewed</t>
        </is>
      </c>
      <c r="W128" s="77" t="inlineStr"/>
      <c r="X128" s="77" t="inlineStr"/>
    </row>
    <row r="129">
      <c r="A129" s="77" t="inlineStr">
        <is>
          <t>EU29</t>
        </is>
      </c>
      <c r="B129" s="79" t="inlineStr">
        <is>
          <t>Pompeu Fabra</t>
        </is>
      </c>
      <c r="C129" s="77" t="inlineStr">
        <is>
          <t>Spain</t>
        </is>
      </c>
      <c r="D129" s="77" t="inlineStr">
        <is>
          <t>EU sample</t>
        </is>
      </c>
      <c r="E129" s="77" t="inlineStr">
        <is>
          <t>EU</t>
        </is>
      </c>
      <c r="F129" s="77" t="n">
        <v>2027</v>
      </c>
      <c r="G129" s="77" t="n">
        <v>263</v>
      </c>
      <c r="H129" s="77" t="inlineStr">
        <is>
          <t>Not started</t>
        </is>
      </c>
      <c r="I129" s="77">
        <f>COUNTIFS('EL scheme register'!$A$7:$A$610,$A129,'EL scheme register'!$C$7:$C$610,"University-wide",'EL scheme register'!$AJ$7:$AJ$610,"Yes")</f>
        <v/>
      </c>
      <c r="J129" s="77">
        <f>COUNTIFS('EL scheme register'!$A$7:$A$610,$A129,'EL scheme register'!$C$7:$C$610,"Cross-faculty",'EL scheme register'!$AJ$7:$AJ$610,"Yes")</f>
        <v/>
      </c>
      <c r="K129" s="77">
        <f>COUNTIFS('EL scheme register'!$A$7:$A$610,$A129,'EL scheme register'!$C$7:$C$610,"Faculty/school",'EL scheme register'!$AJ$7:$AJ$610,"Yes")</f>
        <v/>
      </c>
      <c r="L129" s="77">
        <f>COUNTIFS('EL scheme register'!$A$7:$A$610,$A129,'EL scheme register'!$C$7:$C$610,"Programme/course",'EL scheme register'!$AJ$7:$AJ$610,"Yes")</f>
        <v/>
      </c>
      <c r="M129" s="77">
        <f>COUNTIFS('EL scheme register'!$A$7:$A$610,$A129,'EL scheme register'!$C$7:$C$610,"Unclear",'EL scheme register'!$AJ$7:$AJ$610,"Yes")</f>
        <v/>
      </c>
      <c r="N129" s="77">
        <f>SUM(I129:M129)</f>
        <v/>
      </c>
      <c r="O129" s="77">
        <f>COUNTIFS('EL scheme register'!$A$7:$A$610,$A129,'EL scheme register'!$AF$7:$AF$610,"Potentially relevant; evidence incomplete",'EL scheme register'!$AI$7:$AI$610,"Yes")</f>
        <v/>
      </c>
      <c r="P129" s="77">
        <f>COUNTIFS('EL scheme register'!$A$7:$A$610,$A129,'EL scheme register'!$AF$7:$AF$610,"Outside strict definition")</f>
        <v/>
      </c>
      <c r="Q129" s="77">
        <f>COUNTIF('EL exclusions &amp; gaps'!$B$7:$B$5000,$A129)</f>
        <v/>
      </c>
      <c r="R129" s="77" t="inlineStr">
        <is>
          <t>Not reviewed</t>
        </is>
      </c>
      <c r="S129" s="77" t="inlineStr">
        <is>
          <t>Not reviewed</t>
        </is>
      </c>
      <c r="T129" s="77" t="inlineStr"/>
      <c r="U129" s="77" t="inlineStr"/>
      <c r="V129" s="77" t="inlineStr">
        <is>
          <t>Not reviewed</t>
        </is>
      </c>
      <c r="W129" s="77" t="inlineStr"/>
      <c r="X129" s="77" t="inlineStr"/>
    </row>
    <row r="130">
      <c r="A130" s="77" t="inlineStr">
        <is>
          <t>EU30</t>
        </is>
      </c>
      <c r="B130" s="79" t="inlineStr">
        <is>
          <t>Politecnico di Milano</t>
        </is>
      </c>
      <c r="C130" s="77" t="inlineStr">
        <is>
          <t>Italy</t>
        </is>
      </c>
      <c r="D130" s="77" t="inlineStr">
        <is>
          <t>EU sample</t>
        </is>
      </c>
      <c r="E130" s="77" t="inlineStr">
        <is>
          <t>EU</t>
        </is>
      </c>
      <c r="F130" s="77" t="n">
        <v>2027</v>
      </c>
      <c r="G130" s="77" t="n">
        <v>87</v>
      </c>
      <c r="H130" s="77" t="inlineStr">
        <is>
          <t>Not started</t>
        </is>
      </c>
      <c r="I130" s="77">
        <f>COUNTIFS('EL scheme register'!$A$7:$A$610,$A130,'EL scheme register'!$C$7:$C$610,"University-wide",'EL scheme register'!$AJ$7:$AJ$610,"Yes")</f>
        <v/>
      </c>
      <c r="J130" s="77">
        <f>COUNTIFS('EL scheme register'!$A$7:$A$610,$A130,'EL scheme register'!$C$7:$C$610,"Cross-faculty",'EL scheme register'!$AJ$7:$AJ$610,"Yes")</f>
        <v/>
      </c>
      <c r="K130" s="77">
        <f>COUNTIFS('EL scheme register'!$A$7:$A$610,$A130,'EL scheme register'!$C$7:$C$610,"Faculty/school",'EL scheme register'!$AJ$7:$AJ$610,"Yes")</f>
        <v/>
      </c>
      <c r="L130" s="77">
        <f>COUNTIFS('EL scheme register'!$A$7:$A$610,$A130,'EL scheme register'!$C$7:$C$610,"Programme/course",'EL scheme register'!$AJ$7:$AJ$610,"Yes")</f>
        <v/>
      </c>
      <c r="M130" s="77">
        <f>COUNTIFS('EL scheme register'!$A$7:$A$610,$A130,'EL scheme register'!$C$7:$C$610,"Unclear",'EL scheme register'!$AJ$7:$AJ$610,"Yes")</f>
        <v/>
      </c>
      <c r="N130" s="77">
        <f>SUM(I130:M130)</f>
        <v/>
      </c>
      <c r="O130" s="77">
        <f>COUNTIFS('EL scheme register'!$A$7:$A$610,$A130,'EL scheme register'!$AF$7:$AF$610,"Potentially relevant; evidence incomplete",'EL scheme register'!$AI$7:$AI$610,"Yes")</f>
        <v/>
      </c>
      <c r="P130" s="77">
        <f>COUNTIFS('EL scheme register'!$A$7:$A$610,$A130,'EL scheme register'!$AF$7:$AF$610,"Outside strict definition")</f>
        <v/>
      </c>
      <c r="Q130" s="77">
        <f>COUNTIF('EL exclusions &amp; gaps'!$B$7:$B$5000,$A130)</f>
        <v/>
      </c>
      <c r="R130" s="77" t="inlineStr">
        <is>
          <t>Not reviewed</t>
        </is>
      </c>
      <c r="S130" s="77" t="inlineStr">
        <is>
          <t>Not reviewed</t>
        </is>
      </c>
      <c r="T130" s="77" t="inlineStr"/>
      <c r="U130" s="77" t="inlineStr"/>
      <c r="V130" s="77" t="inlineStr">
        <is>
          <t>Not reviewed</t>
        </is>
      </c>
      <c r="W130" s="77" t="inlineStr"/>
      <c r="X130" s="77" t="inlineStr"/>
    </row>
  </sheetData>
  <conditionalFormatting sqref="N7:N130">
    <cfRule type="expression" priority="1" dxfId="4">
      <formula>N7&gt;0</formula>
    </cfRule>
  </conditionalFormatting>
  <conditionalFormatting sqref="H7:H130">
    <cfRule type="expression" priority="2" dxfId="5">
      <formula>H7="Partial"</formula>
    </cfRule>
    <cfRule type="expression" priority="3" dxfId="6">
      <formula>H7="Not started"</formula>
    </cfRule>
  </conditionalFormatting>
  <dataValidations count="1">
    <dataValidation sqref="H7:H130" showDropDown="0" showInputMessage="0" showErrorMessage="0" allowBlank="1" type="list">
      <formula1>"Complete,Partial,Not started"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AS61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7" customWidth="1" min="3" max="3"/>
    <col width="12" customWidth="1" min="4" max="4"/>
    <col width="12" customWidth="1" min="5" max="5"/>
    <col width="11" customWidth="1" min="6" max="6"/>
    <col width="34" customWidth="1" min="7" max="7"/>
    <col width="26" customWidth="1" min="8" max="8"/>
    <col width="16" customWidth="1" min="9" max="9"/>
    <col width="70" customWidth="1" min="10" max="10"/>
    <col width="26" customWidth="1" min="11" max="11"/>
    <col width="34" customWidth="1" min="12" max="12"/>
    <col width="20" customWidth="1" min="13" max="13"/>
    <col width="14" customWidth="1" min="14" max="14"/>
    <col width="14" customWidth="1" min="15" max="15"/>
    <col width="30" customWidth="1" min="16" max="16"/>
    <col width="20" customWidth="1" min="17" max="17"/>
    <col width="13" customWidth="1" min="18" max="18"/>
    <col width="32" customWidth="1" min="19" max="19"/>
    <col width="16" customWidth="1" min="20" max="20"/>
    <col width="18" customWidth="1" min="21" max="21"/>
    <col width="11" customWidth="1" min="22" max="22"/>
    <col width="40" customWidth="1" min="23" max="23"/>
    <col width="11" customWidth="1" min="24" max="24"/>
    <col width="40" customWidth="1" min="25" max="25"/>
    <col width="12" customWidth="1" min="26" max="26"/>
    <col width="46" customWidth="1" min="27" max="27"/>
    <col width="17" customWidth="1" min="28" max="28"/>
    <col width="30" customWidth="1" min="29" max="29"/>
    <col width="30" customWidth="1" min="30" max="30"/>
    <col width="28" customWidth="1" min="31" max="31"/>
    <col width="22" customWidth="1" min="32" max="32"/>
    <col width="20" customWidth="1" min="33" max="33"/>
    <col width="12" customWidth="1" min="34" max="34"/>
    <col width="12" customWidth="1" min="35" max="35"/>
    <col width="13" customWidth="1" min="36" max="36"/>
    <col width="30" customWidth="1" min="37" max="37"/>
    <col width="24" customWidth="1" min="38" max="38"/>
    <col width="40" customWidth="1" min="39" max="39"/>
    <col width="24" customWidth="1" min="40" max="40"/>
    <col width="12" customWidth="1" min="41" max="41"/>
    <col width="18" customWidth="1" min="42" max="42"/>
    <col width="14" customWidth="1" min="43" max="43"/>
    <col width="14" customWidth="1" min="44" max="44"/>
    <col width="24" customWidth="1" min="45" max="45"/>
  </cols>
  <sheetData>
    <row r="2">
      <c r="A2" s="78" t="inlineStr">
        <is>
          <t>Experiential learning: scheme register (strict three-criterion test)</t>
        </is>
      </c>
    </row>
    <row r="3">
      <c r="A3" s="71" t="inlineStr">
        <is>
          <t>One row per distinct scheme or materially different participation route. Criteria A/B/C are three-state: Yes = explicit evidence; No = evidence shows not met; Unclear = insufficient evidence.</t>
        </is>
      </c>
    </row>
    <row r="4">
      <c r="A4" s="71" t="inlineStr">
        <is>
          <t>Column C = academic reach (controlled). Column AF is calculated from A/B/C. Column AJ = counted scheme (not an umbrella), meets all three and current delivery confirmed. Evidence retrieved via search-index extracts (see EL method &amp; QC).</t>
        </is>
      </c>
    </row>
    <row r="6">
      <c r="A6" s="75" t="inlineStr">
        <is>
          <t>Institution ID</t>
        </is>
      </c>
      <c r="B6" s="75" t="inlineStr">
        <is>
          <t>Institution</t>
        </is>
      </c>
      <c r="C6" s="75" t="inlineStr">
        <is>
          <t>Academic reach</t>
        </is>
      </c>
      <c r="D6" s="75" t="inlineStr">
        <is>
          <t>Scheme ID</t>
        </is>
      </c>
      <c r="E6" s="75" t="inlineStr">
        <is>
          <t>Parent ID</t>
        </is>
      </c>
      <c r="F6" s="75" t="inlineStr">
        <is>
          <t>Umbrella with counted children?</t>
        </is>
      </c>
      <c r="G6" s="75" t="inlineStr">
        <is>
          <t>Official scheme name</t>
        </is>
      </c>
      <c r="H6" s="75" t="inlineStr">
        <is>
          <t>English name / translation</t>
        </is>
      </c>
      <c r="I6" s="75" t="inlineStr">
        <is>
          <t>Module / subject code</t>
        </is>
      </c>
      <c r="J6" s="75" t="inlineStr">
        <is>
          <t>What students actually do</t>
        </is>
      </c>
      <c r="K6" s="75" t="inlineStr">
        <is>
          <t>Administrative host</t>
        </is>
      </c>
      <c r="L6" s="75" t="inlineStr">
        <is>
          <t>Eligible faculties / programmes</t>
        </is>
      </c>
      <c r="M6" s="75" t="inlineStr">
        <is>
          <t>Faculty areas</t>
        </is>
      </c>
      <c r="N6" s="75" t="inlineStr">
        <is>
          <t>Student level</t>
        </is>
      </c>
      <c r="O6" s="75" t="inlineStr">
        <is>
          <t>Year of study</t>
        </is>
      </c>
      <c r="P6" s="75" t="inlineStr">
        <is>
          <t>Eligibility restrictions</t>
        </is>
      </c>
      <c r="Q6" s="75" t="inlineStr">
        <is>
          <t>Participation requirement</t>
        </is>
      </c>
      <c r="R6" s="75" t="inlineStr">
        <is>
          <t>Curricular status</t>
        </is>
      </c>
      <c r="S6" s="75" t="inlineStr">
        <is>
          <t>Credit and assessment</t>
        </is>
      </c>
      <c r="T6" s="75" t="inlineStr">
        <is>
          <t>Duration</t>
        </is>
      </c>
      <c r="U6" s="75" t="inlineStr">
        <is>
          <t>Delivery format</t>
        </is>
      </c>
      <c r="V6" s="75" t="inlineStr">
        <is>
          <t>A. Project-based</t>
        </is>
      </c>
      <c r="W6" s="75" t="inlineStr">
        <is>
          <t>A. Evidence</t>
        </is>
      </c>
      <c r="X6" s="75" t="inlineStr">
        <is>
          <t>B. Group working</t>
        </is>
      </c>
      <c r="Y6" s="75" t="inlineStr">
        <is>
          <t>B. Evidence</t>
        </is>
      </c>
      <c r="Z6" s="75" t="inlineStr">
        <is>
          <t>C. Employer / external organisation</t>
        </is>
      </c>
      <c r="AA6" s="75" t="inlineStr">
        <is>
          <t>C. Evidence: how the organisation participates</t>
        </is>
      </c>
      <c r="AB6" s="75" t="inlineStr">
        <is>
          <t>External partner type</t>
        </is>
      </c>
      <c r="AC6" s="75" t="inlineStr">
        <is>
          <t>Partner role</t>
        </is>
      </c>
      <c r="AD6" s="75" t="inlineStr">
        <is>
          <t>Named partners (evidenced)</t>
        </is>
      </c>
      <c r="AE6" s="75" t="inlineStr">
        <is>
          <t>Student deliverable</t>
        </is>
      </c>
      <c r="AF6" s="75" t="inlineStr">
        <is>
          <t>Qualification classification</t>
        </is>
      </c>
      <c r="AG6" s="75" t="inlineStr">
        <is>
          <t>Operating status</t>
        </is>
      </c>
      <c r="AH6" s="75" t="inlineStr">
        <is>
          <t>Latest evidenced delivery year</t>
        </is>
      </c>
      <c r="AI6" s="75" t="inlineStr">
        <is>
          <t>Counts as distinct scheme</t>
        </is>
      </c>
      <c r="AJ6" s="75" t="inlineStr">
        <is>
          <t>Current &amp; meets all three (counted)</t>
        </is>
      </c>
      <c r="AK6" s="75" t="inlineStr">
        <is>
          <t>Published participation data</t>
        </is>
      </c>
      <c r="AL6" s="75" t="inlineStr">
        <is>
          <t>Source IDs (see EL sources)</t>
        </is>
      </c>
      <c r="AM6" s="75" t="inlineStr">
        <is>
          <t>Unresolved points</t>
        </is>
      </c>
      <c r="AN6" s="75" t="inlineStr">
        <is>
          <t>Legacy row reassessed</t>
        </is>
      </c>
      <c r="AO6" s="75" t="inlineStr">
        <is>
          <t>Country</t>
        </is>
      </c>
      <c r="AP6" s="75" t="inlineStr">
        <is>
          <t>Region group</t>
        </is>
      </c>
      <c r="AQ6" s="75" t="inlineStr">
        <is>
          <t>Duration band</t>
        </is>
      </c>
      <c r="AR6" s="75" t="inlineStr">
        <is>
          <t>External partner coverage</t>
        </is>
      </c>
      <c r="AS6" s="75" t="inlineStr">
        <is>
          <t>Not counted because</t>
        </is>
      </c>
    </row>
    <row r="7">
      <c r="A7" s="77" t="inlineStr">
        <is>
          <t>AU01</t>
        </is>
      </c>
      <c r="B7" s="77" t="inlineStr">
        <is>
          <t>UNSW Sydney</t>
        </is>
      </c>
      <c r="C7" s="77" t="inlineStr">
        <is>
          <t>Cross-faculty</t>
        </is>
      </c>
      <c r="D7" s="77" t="inlineStr">
        <is>
          <t>AU01-S01</t>
        </is>
      </c>
      <c r="E7" s="77" t="inlineStr"/>
      <c r="F7" s="77" t="inlineStr">
        <is>
          <t>No</t>
        </is>
      </c>
      <c r="G7" s="79" t="inlineStr">
        <is>
          <t>CDEV3000 / CDEV6000 Practice of Work</t>
        </is>
      </c>
      <c r="H7" s="77" t="inlineStr">
        <is>
          <t>Practice of Work (undergraduate / postgraduate)</t>
        </is>
      </c>
      <c r="I7" s="77" t="inlineStr">
        <is>
          <t>CDEV3000 (UG) / CDEV6000 (PG)</t>
        </is>
      </c>
      <c r="J7" s="77" t="inlineStr">
        <is>
          <t>Central Experiential Learning course in which students from different degrees work in interdisciplinary teams with an external project partner (industry, community or government) on a co-designed project brief, supervised by an academic. Students meet partner representatives during class time to discuss and iterate ideas. Example deliverable listed: a slide deck communicating research, proposed solution, proof of concept and anticipated impact (Commonwealth Bank of Australia project).</t>
        </is>
      </c>
      <c r="K7" s="77" t="inlineStr">
        <is>
          <t>UNSW Employability / Experiential Learning (central)</t>
        </is>
      </c>
      <c r="L7" s="77" t="inlineStr">
        <is>
          <t>Undergraduate and postgraduate versions open to students in listed degrees ('All faculties' / 'Some degrees'; some Engineering degrees for approved projects only)</t>
        </is>
      </c>
      <c r="M7" s="77" t="inlineStr">
        <is>
          <t>Central provision</t>
        </is>
      </c>
      <c r="N7" s="77" t="inlineStr">
        <is>
          <t>Mixed</t>
        </is>
      </c>
      <c r="O7" s="77" t="inlineStr"/>
      <c r="P7" s="77" t="inlineStr">
        <is>
          <t>Degree-dependent; page says eligibility is not checked at enrolment and students must confirm with their faculty or adviser.</t>
        </is>
      </c>
      <c r="Q7" s="77" t="inlineStr">
        <is>
          <t>Optional/elective</t>
        </is>
      </c>
      <c r="R7" s="77" t="inlineStr">
        <is>
          <t>Curricular</t>
        </is>
      </c>
      <c r="S7" s="77" t="inlineStr">
        <is>
          <t>6 UOC</t>
        </is>
      </c>
      <c r="T7" s="77" t="inlineStr">
        <is>
          <t>Summer Term 2027: 11 Jan-4 Feb 2027 (4-week intensive); Term 1 2027: 15 Feb-23 Apr 2027 (10 weeks)</t>
        </is>
      </c>
      <c r="U7" s="77" t="inlineStr">
        <is>
          <t>In-person, UNSW CBD, Kensington and Parramatta</t>
        </is>
      </c>
      <c r="V7" s="77" t="inlineStr">
        <is>
          <t>Yes</t>
        </is>
      </c>
      <c r="W7" s="77" t="inlineStr">
        <is>
          <t>Partners provide a real-world project brief; deliverables vary by project, e.g. slide deck with research, proposed solution, proof of concept [1].</t>
        </is>
      </c>
      <c r="X7" s="77" t="inlineStr">
        <is>
          <t>Yes</t>
        </is>
      </c>
      <c r="Y7" s="77" t="inlineStr">
        <is>
          <t>'interdisciplinary teams' work with the project partner and an academic supervisor [1].</t>
        </is>
      </c>
      <c r="Z7" s="77" t="inlineStr">
        <is>
          <t>Yes</t>
        </is>
      </c>
      <c r="AA7" s="77" t="inlineStr">
        <is>
          <t>Course 'centres on engaging with external partners' (industry, community, government), who provide the brief and meet teams periodically in class [1].</t>
        </is>
      </c>
      <c r="AB7" s="77" t="inlineStr">
        <is>
          <t>Mixed</t>
        </is>
      </c>
      <c r="AC7" s="77" t="inlineStr">
        <is>
          <t>Provides brief; meets team in class to discuss and iterate; receives deliverable</t>
        </is>
      </c>
      <c r="AD7" s="77" t="inlineStr">
        <is>
          <t>Commonwealth Bank of Australia (project example on page, 2027 listings)</t>
        </is>
      </c>
      <c r="AE7" s="77" t="inlineStr">
        <is>
          <t>Project-specific, e.g. slide deck with research, proposed solution, proof of concept and impact</t>
        </is>
      </c>
      <c r="AF7" s="77">
        <f>IF(OR(V7="No",X7="No",Z7="No"),"Outside strict definition",IF(AND(V7="Yes",X7="Yes",Z7="Yes"),"Meets all three","Potentially relevant; evidence incomplete"))</f>
        <v/>
      </c>
      <c r="AG7" s="77" t="inlineStr">
        <is>
          <t>Current delivery confirmed</t>
        </is>
      </c>
      <c r="AH7" s="77" t="inlineStr">
        <is>
          <t>2027 (Summer Term and Term 1 2027 listed)</t>
        </is>
      </c>
      <c r="AI7" s="77" t="inlineStr">
        <is>
          <t>Yes</t>
        </is>
      </c>
      <c r="AJ7" s="77">
        <f>IF(AND(AI7="Yes",AF7="Meets all three",AG7="Current delivery confirmed"),"Yes","No")</f>
        <v/>
      </c>
      <c r="AK7" s="77" t="inlineStr"/>
      <c r="AL7" s="77" t="inlineStr">
        <is>
          <t>AU01-S01-R1</t>
        </is>
      </c>
      <c r="AM7" s="77" t="inlineStr">
        <is>
          <t>Exact eligibility mapping by degree (table cells ambiguous); numbers of students/teams; the Business School's separate interdisciplinary WIL courses may be related offerings.</t>
        </is>
      </c>
      <c r="AN7" s="77" t="inlineStr"/>
      <c r="AO7" s="77" t="inlineStr">
        <is>
          <t>Australia</t>
        </is>
      </c>
      <c r="AP7" s="77" t="inlineStr">
        <is>
          <t>Australia</t>
        </is>
      </c>
      <c r="AQ7" s="77" t="inlineStr">
        <is>
          <t>~1 term/semester (10-week T1) and 1-4 weeks (summer intensive)</t>
        </is>
      </c>
      <c r="AR7" s="77" t="inlineStr">
        <is>
          <t>All/standard</t>
        </is>
      </c>
      <c r="AS7" s="77" t="inlineStr"/>
    </row>
    <row r="8">
      <c r="A8" s="77" t="inlineStr">
        <is>
          <t>AU01</t>
        </is>
      </c>
      <c r="B8" s="77" t="inlineStr">
        <is>
          <t>UNSW Sydney</t>
        </is>
      </c>
      <c r="C8" s="77" t="inlineStr">
        <is>
          <t>Faculty/school</t>
        </is>
      </c>
      <c r="D8" s="77" t="inlineStr">
        <is>
          <t>AU01-S02</t>
        </is>
      </c>
      <c r="E8" s="77" t="inlineStr"/>
      <c r="F8" s="77" t="inlineStr">
        <is>
          <t>No</t>
        </is>
      </c>
      <c r="G8" s="79" t="inlineStr">
        <is>
          <t>CSE Industry Capstone Program (Capstone Project courses)</t>
        </is>
      </c>
      <c r="H8" s="77" t="inlineStr">
        <is>
          <t>School of Computer Science and Engineering Industry Capstone Projects</t>
        </is>
      </c>
      <c r="I8" s="77" t="inlineStr">
        <is>
          <t>Capstone project courses (COMP3900/COMP9900 per 2018-21 handbook/outlines; current codes not verified)</t>
        </is>
      </c>
      <c r="J8" s="77" t="inlineStr">
        <is>
          <t>Client-proposed software/system projects for teams of 6 students, guided by mentors and supervised by the external client/project owner, who give ongoing feedback. Scope: software or system design, proof-of-concept/prototype, model/algorithm implementation. Client retains IP.</t>
        </is>
      </c>
      <c r="K8" s="77" t="inlineStr">
        <is>
          <t>School of Computer Science and Engineering (Engineering faculty)</t>
        </is>
      </c>
      <c r="L8" s="77" t="inlineStr">
        <is>
          <t>CSE capstone students (Computer Science, Software Engineering, AI, etc.)</t>
        </is>
      </c>
      <c r="M8" s="77" t="inlineStr">
        <is>
          <t>Engineering/computing</t>
        </is>
      </c>
      <c r="N8" s="77" t="inlineStr">
        <is>
          <t>Mixed</t>
        </is>
      </c>
      <c r="O8" s="77" t="inlineStr"/>
      <c r="P8" s="77" t="inlineStr">
        <is>
          <t>Not stated in sources opened</t>
        </is>
      </c>
      <c r="Q8" s="77" t="inlineStr">
        <is>
          <t>Unclear</t>
        </is>
      </c>
      <c r="R8" s="77" t="inlineStr">
        <is>
          <t>Curricular</t>
        </is>
      </c>
      <c r="S8" s="77" t="inlineStr">
        <is>
          <t>Capstone is described as 'a core, project-based course'; credit not stated in flyer (6 UOC in 2018 handbook entry).</t>
        </is>
      </c>
      <c r="T8" s="77" t="inlineStr">
        <is>
          <t>One 10-week term; offered Feb-May, Jun-Aug and Sep-Nov</t>
        </is>
      </c>
      <c r="U8" s="77" t="inlineStr">
        <is>
          <t>Team software project with mentor and client</t>
        </is>
      </c>
      <c r="V8" s="77" t="inlineStr">
        <is>
          <t>Yes</t>
        </is>
      </c>
      <c r="W8" s="77" t="inlineStr">
        <is>
          <t>Projects 'focus on software/system design, PoC/prototype development, and/or model/algorithm implementation' [1].</t>
        </is>
      </c>
      <c r="X8" s="77" t="inlineStr">
        <is>
          <t>Yes</t>
        </is>
      </c>
      <c r="Y8" s="77" t="inlineStr">
        <is>
          <t>'Teams of 6 students, guided by experienced mentors and supervised by you (the project client/owner)' [1].</t>
        </is>
      </c>
      <c r="Z8" s="77" t="inlineStr">
        <is>
          <t>Yes</t>
        </is>
      </c>
      <c r="AA8" s="77" t="inlineStr">
        <is>
          <t>External clients submit project proposals, supervise teams and give ongoing feedback; flyer addressed to industry and pitches talent assessment [1].</t>
        </is>
      </c>
      <c r="AB8" s="77" t="inlineStr">
        <is>
          <t>Unclear</t>
        </is>
      </c>
      <c r="AC8" s="77" t="inlineStr">
        <is>
          <t>Proposes project, supervises team, provides ongoing feedback; retains IP</t>
        </is>
      </c>
      <c r="AD8" s="77" t="inlineStr"/>
      <c r="AE8" s="77" t="inlineStr">
        <is>
          <t>Software application / prototype / model</t>
        </is>
      </c>
      <c r="AF8" s="77">
        <f>IF(OR(V8="No",X8="No",Z8="No"),"Outside strict definition",IF(AND(V8="Yes",X8="Yes",Z8="Yes"),"Meets all three","Potentially relevant; evidence incomplete"))</f>
        <v/>
      </c>
      <c r="AG8" s="77" t="inlineStr">
        <is>
          <t>Current delivery confirmed</t>
        </is>
      </c>
      <c r="AH8" s="77" t="inlineStr">
        <is>
          <t>2026 (flyer dated Aug 2026 in URL; terms through Sep-Nov)</t>
        </is>
      </c>
      <c r="AI8" s="77" t="inlineStr">
        <is>
          <t>Yes</t>
        </is>
      </c>
      <c r="AJ8" s="77">
        <f>IF(AND(AI8="Yes",AF8="Meets all three",AG8="Current delivery confirmed"),"Yes","No")</f>
        <v/>
      </c>
      <c r="AK8" s="77" t="inlineStr"/>
      <c r="AL8" s="77" t="inlineStr">
        <is>
          <t>AU01-S02-R1</t>
        </is>
      </c>
      <c r="AM8" s="77" t="inlineStr">
        <is>
          <t>Current course codes, whether all capstone teams have external clients or only the industry stream, compulsory status for specific degrees, sector of clients. Flyer is a recruitment document for clients, not a course page.</t>
        </is>
      </c>
      <c r="AN8" s="77" t="inlineStr"/>
      <c r="AO8" s="77" t="inlineStr">
        <is>
          <t>Australia</t>
        </is>
      </c>
      <c r="AP8" s="77" t="inlineStr">
        <is>
          <t>Australia</t>
        </is>
      </c>
      <c r="AQ8" s="77" t="inlineStr">
        <is>
          <t>~1 term/semester</t>
        </is>
      </c>
      <c r="AR8" s="77" t="inlineStr">
        <is>
          <t>All/standard</t>
        </is>
      </c>
      <c r="AS8" s="77" t="inlineStr"/>
    </row>
    <row r="9">
      <c r="A9" s="77" t="inlineStr">
        <is>
          <t>AU01</t>
        </is>
      </c>
      <c r="B9" s="77" t="inlineStr">
        <is>
          <t>UNSW Sydney</t>
        </is>
      </c>
      <c r="C9" s="77" t="inlineStr">
        <is>
          <t>Faculty/school</t>
        </is>
      </c>
      <c r="D9" s="77" t="inlineStr">
        <is>
          <t>AU01-S03</t>
        </is>
      </c>
      <c r="E9" s="77" t="inlineStr"/>
      <c r="F9" s="77" t="inlineStr">
        <is>
          <t>No</t>
        </is>
      </c>
      <c r="G9" s="79" t="inlineStr">
        <is>
          <t>SCIF3000 Science Industry Project</t>
        </is>
      </c>
      <c r="H9" s="77" t="inlineStr">
        <is>
          <t>Science Industry Project</t>
        </is>
      </c>
      <c r="I9" s="77" t="inlineStr">
        <is>
          <t>SCIF3000</t>
        </is>
      </c>
      <c r="J9" s="77" t="inlineStr">
        <is>
          <t>Multidisciplinary science teams tackle a live, real-world science project offered by an external organisation (industry, government or not-for-profit), with an academic supervisor and an industry mentor, producing solutions and recommendations for the organisation.</t>
        </is>
      </c>
      <c r="K9" s="77" t="inlineStr">
        <is>
          <t>UNSW Science (Science Education Team)</t>
        </is>
      </c>
      <c r="L9" s="77" t="inlineStr">
        <is>
          <t>Students completing a science program or major relevant to the advertised project</t>
        </is>
      </c>
      <c r="M9" s="77" t="inlineStr">
        <is>
          <t>Science</t>
        </is>
      </c>
      <c r="N9" s="77" t="inlineStr">
        <is>
          <t>Undergraduate</t>
        </is>
      </c>
      <c r="O9" s="77" t="inlineStr"/>
      <c r="P9" s="77" t="inlineStr">
        <is>
          <t>WAM 65 or above; at least 60 UOC completed; relevant science program or major</t>
        </is>
      </c>
      <c r="Q9" s="77" t="inlineStr">
        <is>
          <t>Selective/competitive</t>
        </is>
      </c>
      <c r="R9" s="77" t="inlineStr">
        <is>
          <t>Curricular</t>
        </is>
      </c>
      <c r="S9" s="77" t="inlineStr">
        <is>
          <t>6 UOC science or free elective credit</t>
        </is>
      </c>
      <c r="T9" s="77" t="inlineStr">
        <is>
          <t>10 weeks (per search summary of partner material); weekly 3-hour workshops</t>
        </is>
      </c>
      <c r="U9" s="77" t="inlineStr">
        <is>
          <t>On campus or remote teams</t>
        </is>
      </c>
      <c r="V9" s="77" t="inlineStr">
        <is>
          <t>Yes</t>
        </is>
      </c>
      <c r="W9" s="77" t="inlineStr">
        <is>
          <t>Students tackle 'a live, real-world science project' and develop 'solutions and recommendations' for the organisation [1].</t>
        </is>
      </c>
      <c r="X9" s="77" t="inlineStr">
        <is>
          <t>Yes</t>
        </is>
      </c>
      <c r="Y9" s="77" t="inlineStr">
        <is>
          <t>'work collaboratively in multidisciplinary science teams' [1].</t>
        </is>
      </c>
      <c r="Z9" s="77" t="inlineStr">
        <is>
          <t>Yes</t>
        </is>
      </c>
      <c r="AA9" s="77" t="inlineStr">
        <is>
          <t>Project offered by external organisation from industry, government or not-for-profit; guidance from industry mentors [1].</t>
        </is>
      </c>
      <c r="AB9" s="77" t="inlineStr">
        <is>
          <t>Mixed</t>
        </is>
      </c>
      <c r="AC9" s="77" t="inlineStr">
        <is>
          <t>Offers live project; industry mentor; receives solutions/recommendations</t>
        </is>
      </c>
      <c r="AD9" s="77" t="inlineStr"/>
      <c r="AE9" s="77" t="inlineStr">
        <is>
          <t>Solutions and recommendations for the partner organisation</t>
        </is>
      </c>
      <c r="AF9" s="77">
        <f>IF(OR(V9="No",X9="No",Z9="No"),"Outside strict definition",IF(AND(V9="Yes",X9="Yes",Z9="Yes"),"Meets all three","Potentially relevant; evidence incomplete"))</f>
        <v/>
      </c>
      <c r="AG9" s="77" t="inlineStr">
        <is>
          <t>Current status unclear</t>
        </is>
      </c>
      <c r="AH9" s="77" t="inlineStr">
        <is>
          <t>2025 (partner brochure seen only in search summary; student notice 2023)</t>
        </is>
      </c>
      <c r="AI9" s="77" t="inlineStr">
        <is>
          <t>Yes</t>
        </is>
      </c>
      <c r="AJ9" s="77">
        <f>IF(AND(AI9="Yes",AF9="Meets all three",AG9="Current delivery confirmed"),"Yes","No")</f>
        <v/>
      </c>
      <c r="AK9" s="77" t="inlineStr"/>
      <c r="AL9" s="77" t="inlineStr">
        <is>
          <t>AU01-S03-R1; AU01-S03-R2</t>
        </is>
      </c>
      <c r="AM9" s="77" t="inlineStr">
        <is>
          <t>Page is undated and states 'partners and projects change year-on-year'; no 2025/26 or 2026/27 term listing opened. Team size not stated on the page (search summary says 4-5).</t>
        </is>
      </c>
      <c r="AN9" s="77" t="inlineStr"/>
      <c r="AO9" s="77" t="inlineStr">
        <is>
          <t>Australia</t>
        </is>
      </c>
      <c r="AP9" s="77" t="inlineStr">
        <is>
          <t>Australia</t>
        </is>
      </c>
      <c r="AQ9" s="77" t="inlineStr">
        <is>
          <t>~1 term/semester</t>
        </is>
      </c>
      <c r="AR9" s="77" t="inlineStr">
        <is>
          <t>All/standard</t>
        </is>
      </c>
      <c r="AS9" s="77" t="inlineStr"/>
    </row>
    <row r="10">
      <c r="A10" s="77" t="inlineStr">
        <is>
          <t>AU01</t>
        </is>
      </c>
      <c r="B10" s="77" t="inlineStr">
        <is>
          <t>UNSW Sydney</t>
        </is>
      </c>
      <c r="C10" s="77" t="inlineStr">
        <is>
          <t>Faculty/school</t>
        </is>
      </c>
      <c r="D10" s="77" t="inlineStr">
        <is>
          <t>AU01-S04</t>
        </is>
      </c>
      <c r="E10" s="77" t="inlineStr"/>
      <c r="F10" s="77" t="inlineStr">
        <is>
          <t>No</t>
        </is>
      </c>
      <c r="G10" s="79" t="inlineStr">
        <is>
          <t>Industry Consulting Project (COMM2233)</t>
        </is>
      </c>
      <c r="H10" s="77" t="inlineStr">
        <is>
          <t>Industry Consulting Project</t>
        </is>
      </c>
      <c r="I10" s="77" t="inlineStr">
        <is>
          <t>COMM2233</t>
        </is>
      </c>
      <c r="J10" s="77" t="inlineStr">
        <is>
          <t>Business School Work Integrated Learning elective: students work in small teams at a host organisation with an industry mentor and pitch a solution to senior members of the organisation.</t>
        </is>
      </c>
      <c r="K10" s="77" t="inlineStr">
        <is>
          <t>UNSW Business School, Career Accelerator</t>
        </is>
      </c>
      <c r="L10" s="77" t="inlineStr">
        <is>
          <t>Undergraduate students enrolled in UNSW Business School</t>
        </is>
      </c>
      <c r="M10" s="77" t="inlineStr">
        <is>
          <t>Business/management</t>
        </is>
      </c>
      <c r="N10" s="77" t="inlineStr">
        <is>
          <t>Undergraduate</t>
        </is>
      </c>
      <c r="O10" s="77" t="inlineStr"/>
      <c r="P10" s="77" t="inlineStr">
        <is>
          <t>48 UOC completed; room in degree; Career Accelerator: Essentials or COMM1999 completed</t>
        </is>
      </c>
      <c r="Q10" s="77" t="inlineStr">
        <is>
          <t>Optional/elective</t>
        </is>
      </c>
      <c r="R10" s="77" t="inlineStr">
        <is>
          <t>Curricular</t>
        </is>
      </c>
      <c r="S10" s="77" t="inlineStr">
        <is>
          <t>6 UOC</t>
        </is>
      </c>
      <c r="T10" s="77" t="inlineStr">
        <is>
          <t>One term (Terms 1, 2 or 3); length not stated on page</t>
        </is>
      </c>
      <c r="U10" s="77" t="inlineStr">
        <is>
          <t>In person at host organisation</t>
        </is>
      </c>
      <c r="V10" s="77" t="inlineStr">
        <is>
          <t>Yes</t>
        </is>
      </c>
      <c r="W10" s="77" t="inlineStr">
        <is>
          <t>Teams 'tackle a project' and pitch a solution to senior members of the host [1].</t>
        </is>
      </c>
      <c r="X10" s="77" t="inlineStr">
        <is>
          <t>Yes</t>
        </is>
      </c>
      <c r="Y10" s="77" t="inlineStr">
        <is>
          <t>'you'll work in small teams' (team size not stated) [1].</t>
        </is>
      </c>
      <c r="Z10" s="77" t="inlineStr">
        <is>
          <t>Yes</t>
        </is>
      </c>
      <c r="AA10" s="77" t="inlineStr">
        <is>
          <t>Host organisation and industry mentor; pitch to senior staff of host [1].</t>
        </is>
      </c>
      <c r="AB10" s="77" t="inlineStr">
        <is>
          <t>Unclear</t>
        </is>
      </c>
      <c r="AC10" s="77" t="inlineStr">
        <is>
          <t>Host; industry mentor; audience for pitch</t>
        </is>
      </c>
      <c r="AD10" s="77" t="inlineStr"/>
      <c r="AE10" s="77" t="inlineStr">
        <is>
          <t>Solution pitch to host organisation</t>
        </is>
      </c>
      <c r="AF10" s="77">
        <f>IF(OR(V10="No",X10="No",Z10="No"),"Outside strict definition",IF(AND(V10="Yes",X10="Yes",Z10="Yes"),"Meets all three","Potentially relevant; evidence incomplete"))</f>
        <v/>
      </c>
      <c r="AG10" s="77" t="inlineStr">
        <is>
          <t>Current status unclear</t>
        </is>
      </c>
      <c r="AH10" s="77" t="inlineStr">
        <is>
          <t>2024 (Term 3 2024 testimonials; 2024 partner assets)</t>
        </is>
      </c>
      <c r="AI10" s="77" t="inlineStr">
        <is>
          <t>Yes</t>
        </is>
      </c>
      <c r="AJ10" s="77">
        <f>IF(AND(AI10="Yes",AF10="Meets all three",AG10="Current delivery confirmed"),"Yes","No")</f>
        <v/>
      </c>
      <c r="AK10" s="77" t="inlineStr"/>
      <c r="AL10" s="77" t="inlineStr">
        <is>
          <t>AU01-S04-R1</t>
        </is>
      </c>
      <c r="AM10" s="77" t="inlineStr">
        <is>
          <t>No 2025/26 or 2026/27 dated delivery evidence; host sector types; team size.</t>
        </is>
      </c>
      <c r="AN10" s="77" t="inlineStr"/>
      <c r="AO10" s="77" t="inlineStr">
        <is>
          <t>Australia</t>
        </is>
      </c>
      <c r="AP10" s="77" t="inlineStr">
        <is>
          <t>Australia</t>
        </is>
      </c>
      <c r="AQ10" s="77" t="inlineStr">
        <is>
          <t>~1 term/semester</t>
        </is>
      </c>
      <c r="AR10" s="77" t="inlineStr">
        <is>
          <t>All/standard</t>
        </is>
      </c>
      <c r="AS10" s="77" t="inlineStr"/>
    </row>
    <row r="11">
      <c r="A11" s="77" t="inlineStr">
        <is>
          <t>AU01</t>
        </is>
      </c>
      <c r="B11" s="77" t="inlineStr">
        <is>
          <t>UNSW Sydney</t>
        </is>
      </c>
      <c r="C11" s="77" t="inlineStr">
        <is>
          <t>Faculty/school</t>
        </is>
      </c>
      <c r="D11" s="77" t="inlineStr">
        <is>
          <t>AU01-S05</t>
        </is>
      </c>
      <c r="E11" s="77" t="inlineStr"/>
      <c r="F11" s="77" t="inlineStr">
        <is>
          <t>No</t>
        </is>
      </c>
      <c r="G11" s="79" t="inlineStr">
        <is>
          <t>Business Experience Projects (Global Scope Business Project Program)</t>
        </is>
      </c>
      <c r="H11" s="77" t="inlineStr">
        <is>
          <t>Business Experience Projects</t>
        </is>
      </c>
      <c r="I11" s="77" t="inlineStr"/>
      <c r="J11" s="77" t="inlineStr">
        <is>
          <t>Short virtual consulting-style projects: a small team of UNSW Business School students addresses a business challenge defined by an industry partner and develops recommendations, with partner feedback.</t>
        </is>
      </c>
      <c r="K11" s="77" t="inlineStr">
        <is>
          <t>UNSW Business School, Career Accelerator</t>
        </is>
      </c>
      <c r="L11" s="77" t="inlineStr">
        <is>
          <t>UNSW Business School undergraduate and postgraduate students</t>
        </is>
      </c>
      <c r="M11" s="77" t="inlineStr">
        <is>
          <t>Business/management</t>
        </is>
      </c>
      <c r="N11" s="77" t="inlineStr">
        <is>
          <t>Mixed</t>
        </is>
      </c>
      <c r="O11" s="77" t="inlineStr"/>
      <c r="P11" s="77" t="inlineStr">
        <is>
          <t>Enrolled at UNSW Business School; completed Career Accelerator: Essentials</t>
        </is>
      </c>
      <c r="Q11" s="77" t="inlineStr">
        <is>
          <t>Optional/elective</t>
        </is>
      </c>
      <c r="R11" s="77" t="inlineStr">
        <is>
          <t>Extracurricular</t>
        </is>
      </c>
      <c r="S11" s="77" t="inlineStr">
        <is>
          <t>Not stated (appears non-credit)</t>
        </is>
      </c>
      <c r="T11" s="77" t="inlineStr">
        <is>
          <t>Approximately 25 hours over 2 weeks</t>
        </is>
      </c>
      <c r="U11" s="77" t="inlineStr">
        <is>
          <t>Virtual</t>
        </is>
      </c>
      <c r="V11" s="77" t="inlineStr">
        <is>
          <t>Yes</t>
        </is>
      </c>
      <c r="W11" s="77" t="inlineStr">
        <is>
          <t>Teams 'develop informed recommendations for an industry partner' on a defined challenge [1].</t>
        </is>
      </c>
      <c r="X11" s="77" t="inlineStr">
        <is>
          <t>Yes</t>
        </is>
      </c>
      <c r="Y11" s="77" t="inlineStr">
        <is>
          <t>'a small team of UNSW students' [1].</t>
        </is>
      </c>
      <c r="Z11" s="77" t="inlineStr">
        <is>
          <t>Yes</t>
        </is>
      </c>
      <c r="AA11" s="77" t="inlineStr">
        <is>
          <t>Industry partner defines the business challenge and gives professional insights and feedback [1].</t>
        </is>
      </c>
      <c r="AB11" s="77" t="inlineStr">
        <is>
          <t>Business/commercial</t>
        </is>
      </c>
      <c r="AC11" s="77" t="inlineStr">
        <is>
          <t>Defines challenge; feedback</t>
        </is>
      </c>
      <c r="AD11" s="77" t="inlineStr"/>
      <c r="AE11" s="77" t="inlineStr">
        <is>
          <t>Recommendations to industry partner</t>
        </is>
      </c>
      <c r="AF11" s="77">
        <f>IF(OR(V11="No",X11="No",Z11="No"),"Outside strict definition",IF(AND(V11="Yes",X11="Yes",Z11="Yes"),"Meets all three","Potentially relevant; evidence incomplete"))</f>
        <v/>
      </c>
      <c r="AG11" s="77" t="inlineStr">
        <is>
          <t>Current status unclear</t>
        </is>
      </c>
      <c r="AH11" s="77" t="inlineStr"/>
      <c r="AI11" s="77" t="inlineStr">
        <is>
          <t>Yes</t>
        </is>
      </c>
      <c r="AJ11" s="77">
        <f>IF(AND(AI11="Yes",AF11="Meets all three",AG11="Current delivery confirmed"),"Yes","No")</f>
        <v/>
      </c>
      <c r="AK11" s="77" t="inlineStr"/>
      <c r="AL11" s="77" t="inlineStr">
        <is>
          <t>AU01-S05-R1</t>
        </is>
      </c>
      <c r="AM11" s="77" t="inlineStr">
        <is>
          <t>No dates on page ('Visit myCareer Manager for key dates'); partner sectors; 'industry partner' wording only; credit status. Very short format.</t>
        </is>
      </c>
      <c r="AN11" s="77" t="inlineStr"/>
      <c r="AO11" s="77" t="inlineStr">
        <is>
          <t>Australia</t>
        </is>
      </c>
      <c r="AP11" s="77" t="inlineStr">
        <is>
          <t>Australia</t>
        </is>
      </c>
      <c r="AQ11" s="77" t="inlineStr">
        <is>
          <t>1-4 weeks</t>
        </is>
      </c>
      <c r="AR11" s="77" t="inlineStr">
        <is>
          <t>All/standard</t>
        </is>
      </c>
      <c r="AS11" s="77" t="inlineStr"/>
    </row>
    <row r="12">
      <c r="A12" s="77" t="inlineStr">
        <is>
          <t>AU02</t>
        </is>
      </c>
      <c r="B12" s="77" t="inlineStr">
        <is>
          <t>Melbourne</t>
        </is>
      </c>
      <c r="C12" s="77" t="inlineStr">
        <is>
          <t>Cross-faculty</t>
        </is>
      </c>
      <c r="D12" s="77" t="inlineStr">
        <is>
          <t>AU02-S01</t>
        </is>
      </c>
      <c r="E12" s="77" t="inlineStr"/>
      <c r="F12" s="77" t="inlineStr">
        <is>
          <t>No</t>
        </is>
      </c>
      <c r="G12" s="79" t="inlineStr">
        <is>
          <t>Industry Project</t>
        </is>
      </c>
      <c r="H12" s="77" t="inlineStr">
        <is>
          <t>Industry Project (Faculty of Arts)</t>
        </is>
      </c>
      <c r="I12" s="77" t="inlineStr">
        <is>
          <t>ARTS30001</t>
        </is>
      </c>
      <c r="J12" s="77" t="inlineStr">
        <is>
          <t>Final-year Arts subject in which students work in a small consulting team on a real project identified by an external industry partner. Projects run mainly on campus under a faculty academic supervisor; hosts meet students at the start of semester, receive a check-in around week six and attend in-person final presentations. Past outputs include marketing strategies, advertising materials, website design, program appraisals and event proposals.</t>
        </is>
      </c>
      <c r="K12" s="77" t="inlineStr">
        <is>
          <t>Faculty of Arts (Experiential Learning team)</t>
        </is>
      </c>
      <c r="L12" s="77" t="inlineStr">
        <is>
          <t>Bachelor of Arts students; also available as a breadth option for approved courses (courses not listed in the extract).</t>
        </is>
      </c>
      <c r="M12" s="77" t="inlineStr">
        <is>
          <t>Arts/humanities/social sciences</t>
        </is>
      </c>
      <c r="N12" s="77" t="inlineStr">
        <is>
          <t>Undergraduate</t>
        </is>
      </c>
      <c r="O12" s="77" t="inlineStr">
        <is>
          <t>Level 3 (final year)</t>
        </is>
      </c>
      <c r="P12" s="77" t="inlineStr">
        <is>
          <t>2018 handbook prerequisite: completion of 150 points of the Bachelor of Arts (not verified for 2026). Self-enrolment via study plan.</t>
        </is>
      </c>
      <c r="Q12" s="77" t="inlineStr">
        <is>
          <t>Optional/elective</t>
        </is>
      </c>
      <c r="R12" s="77" t="inlineStr">
        <is>
          <t>Curricular</t>
        </is>
      </c>
      <c r="S12" s="77" t="inlineStr">
        <is>
          <t>12.5 points. 2020 handbook assessment: 10-minute presentation (20%), 1,500-word project summary (40%), 1,500-word project proposal (40%); 80% seminar attendance hurdle. 2026 assessment not retrieved.</t>
        </is>
      </c>
      <c r="T12" s="77" t="inlineStr">
        <is>
          <t>One semester (Semester 2)</t>
        </is>
      </c>
      <c r="U12" s="77" t="inlineStr">
        <is>
          <t>On campus (Parkville), seminars plus team project</t>
        </is>
      </c>
      <c r="V12" s="77" t="inlineStr">
        <is>
          <t>Yes</t>
        </is>
      </c>
      <c r="W12" s="77" t="inlineStr">
        <is>
          <t>Students 'collaborate on a real project for an actual industry partner'; outputs include marketing strategies, website design, program appraisals and event proposals [1][2].</t>
        </is>
      </c>
      <c r="X12" s="77" t="inlineStr">
        <is>
          <t>Yes</t>
        </is>
      </c>
      <c r="Y12" s="77" t="inlineStr">
        <is>
          <t>'as part of a small consulting team' [1]; host collaborates 'with a small team of our students' [2].</t>
        </is>
      </c>
      <c r="Z12" s="77" t="inlineStr">
        <is>
          <t>Yes</t>
        </is>
      </c>
      <c r="AA12" s="77" t="inlineStr">
        <is>
          <t>Partner identifies the project, meets students at start of semester, receives a check-in about six weeks later and attends in-person presentations at semester's end [2].</t>
        </is>
      </c>
      <c r="AB12" s="77" t="inlineStr">
        <is>
          <t>Unclear</t>
        </is>
      </c>
      <c r="AC12" s="77" t="inlineStr">
        <is>
          <t>Sets project/brief; meets team; receives final presentation. Academic supervises.</t>
        </is>
      </c>
      <c r="AD12" s="77" t="inlineStr"/>
      <c r="AE12" s="77" t="inlineStr">
        <is>
          <t>Project outputs for partner (e.g. strategy, materials, appraisal) plus presentation; assessed proposal and summary.</t>
        </is>
      </c>
      <c r="AF12" s="77">
        <f>IF(OR(V12="No",X12="No",Z12="No"),"Outside strict definition",IF(AND(V12="Yes",X12="Yes",Z12="Yes"),"Meets all three","Potentially relevant; evidence incomplete"))</f>
        <v/>
      </c>
      <c r="AG12" s="77" t="inlineStr">
        <is>
          <t>Current delivery confirmed</t>
        </is>
      </c>
      <c r="AH12" s="77" t="inlineStr">
        <is>
          <t>2026</t>
        </is>
      </c>
      <c r="AI12" s="77" t="inlineStr">
        <is>
          <t>Yes</t>
        </is>
      </c>
      <c r="AJ12" s="77">
        <f>IF(AND(AI12="Yes",AF12="Meets all three",AG12="Current delivery confirmed"),"Yes","No")</f>
        <v/>
      </c>
      <c r="AK12" s="77" t="inlineStr"/>
      <c r="AL12" s="77" t="inlineStr">
        <is>
          <t>AU02-S01-R1; AU02-S01-R2; AU02-S01-R3; AU02-S01-R4; AU02-S01-R5</t>
        </is>
      </c>
      <c r="AM12" s="77" t="inlineStr">
        <is>
          <t>Partner sector mix not evidenced (pages say 'international and domestic partners'). 2026 assessment and prerequisite tabs not indexed. Subject code appears as ART300001 on one faculty page (typo).</t>
        </is>
      </c>
      <c r="AN12" s="77" t="inlineStr"/>
      <c r="AO12" s="77" t="inlineStr">
        <is>
          <t>Australia</t>
        </is>
      </c>
      <c r="AP12" s="77" t="inlineStr">
        <is>
          <t>Australia</t>
        </is>
      </c>
      <c r="AQ12" s="77" t="inlineStr">
        <is>
          <t>Unclear</t>
        </is>
      </c>
      <c r="AR12" s="77" t="inlineStr">
        <is>
          <t>Unclear</t>
        </is>
      </c>
      <c r="AS12" s="77" t="inlineStr"/>
    </row>
    <row r="13">
      <c r="A13" s="77" t="inlineStr">
        <is>
          <t>AU02</t>
        </is>
      </c>
      <c r="B13" s="77" t="inlineStr">
        <is>
          <t>Melbourne</t>
        </is>
      </c>
      <c r="C13" s="77" t="inlineStr">
        <is>
          <t>Unclear</t>
        </is>
      </c>
      <c r="D13" s="77" t="inlineStr">
        <is>
          <t>AU02-S02</t>
        </is>
      </c>
      <c r="E13" s="77" t="inlineStr"/>
      <c r="F13" s="77" t="inlineStr">
        <is>
          <t>No</t>
        </is>
      </c>
      <c r="G13" s="79" t="inlineStr">
        <is>
          <t>Interdisciplinary Industry Project 2 (and Interdisciplinary Industry Project 1)</t>
        </is>
      </c>
      <c r="H13" s="77" t="inlineStr">
        <is>
          <t>Interdisciplinary Industry Project</t>
        </is>
      </c>
      <c r="I13" s="77" t="inlineStr">
        <is>
          <t>ARTS90027 (25 pts); ARTS90026 (12.5 pts, not available in 2026)</t>
        </is>
      </c>
      <c r="J13" s="77" t="inlineStr">
        <is>
          <t>Graduate coursework subjects in which selected students undertake a project with an industry partner under academic and industry supervision. Students may work individually, in small teams, or a combination, depending on the project.</t>
        </is>
      </c>
      <c r="K13" s="77" t="inlineStr">
        <is>
          <t>Faculty of Arts</t>
        </is>
      </c>
      <c r="L13" s="77" t="inlineStr">
        <is>
          <t>Graduate coursework students selected by application; 2024 entry lists no formal prerequisites. Whether open beyond Arts graduate programs is not stated in extracts.</t>
        </is>
      </c>
      <c r="M13" s="77" t="inlineStr">
        <is>
          <t>Arts/humanities/social sciences</t>
        </is>
      </c>
      <c r="N13" s="77" t="inlineStr">
        <is>
          <t>Postgraduate taught</t>
        </is>
      </c>
      <c r="O13" s="77" t="inlineStr">
        <is>
          <t>Graduate coursework</t>
        </is>
      </c>
      <c r="P13" s="77" t="inlineStr">
        <is>
          <t>Selection by subject coordinator(s) via application tailored to industry partner prerequisites; further criteria may be requested by the industry partner.</t>
        </is>
      </c>
      <c r="Q13" s="77" t="inlineStr">
        <is>
          <t>Selective/competitive</t>
        </is>
      </c>
      <c r="R13" s="77" t="inlineStr">
        <is>
          <t>Curricular</t>
        </is>
      </c>
      <c r="S13" s="77" t="inlineStr">
        <is>
          <t>ARTS90027 25 points (2021 handbook); ARTS90026 12.5 points. Assessment not retrieved.</t>
        </is>
      </c>
      <c r="T13" s="77" t="inlineStr">
        <is>
          <t>One semester (ARTS90027 Semester 2 2026, 27 July-25 October 2026 per 2026 listing)</t>
        </is>
      </c>
      <c r="U13" s="77" t="inlineStr">
        <is>
          <t>On campus (Parkville) with partner</t>
        </is>
      </c>
      <c r="V13" s="77" t="inlineStr">
        <is>
          <t>Yes</t>
        </is>
      </c>
      <c r="W13" s="77" t="inlineStr">
        <is>
          <t>Students undertake an industry project under academic and industry supervision [1].</t>
        </is>
      </c>
      <c r="X13" s="77" t="inlineStr">
        <is>
          <t>Unclear</t>
        </is>
      </c>
      <c r="Y13" s="77" t="inlineStr">
        <is>
          <t>Handbook: students 'work individually, in smaller teams or a combination of the two modes' [1] - individual and team routes cannot be separated from the evidence.</t>
        </is>
      </c>
      <c r="Z13" s="77" t="inlineStr">
        <is>
          <t>Yes</t>
        </is>
      </c>
      <c r="AA13" s="77" t="inlineStr">
        <is>
          <t>Industry partner co-supervises ('under academic and industry supervision') and can set additional eligibility criteria [1][2].</t>
        </is>
      </c>
      <c r="AB13" s="77" t="inlineStr">
        <is>
          <t>Unclear</t>
        </is>
      </c>
      <c r="AC13" s="77" t="inlineStr">
        <is>
          <t>Co-supervision; sets project-specific requirements.</t>
        </is>
      </c>
      <c r="AD13" s="77" t="inlineStr"/>
      <c r="AE13" s="77" t="inlineStr">
        <is>
          <t>Not specified in extracts.</t>
        </is>
      </c>
      <c r="AF13" s="77">
        <f>IF(OR(V13="No",X13="No",Z13="No"),"Outside strict definition",IF(AND(V13="Yes",X13="Yes",Z13="Yes"),"Meets all three","Potentially relevant; evidence incomplete"))</f>
        <v/>
      </c>
      <c r="AG13" s="77" t="inlineStr">
        <is>
          <t>Current delivery confirmed</t>
        </is>
      </c>
      <c r="AH13" s="77" t="inlineStr">
        <is>
          <t>2026</t>
        </is>
      </c>
      <c r="AI13" s="77" t="inlineStr">
        <is>
          <t>Yes</t>
        </is>
      </c>
      <c r="AJ13" s="77">
        <f>IF(AND(AI13="Yes",AF13="Meets all three",AG13="Current delivery confirmed"),"Yes","No")</f>
        <v/>
      </c>
      <c r="AK13" s="77" t="inlineStr"/>
      <c r="AL13" s="77" t="inlineStr">
        <is>
          <t>AU02-S02-R1; AU02-S02-R2; AU02-S02-R3; AU02-S02-R4</t>
        </is>
      </c>
      <c r="AM13" s="77" t="inlineStr">
        <is>
          <t>Team vs individual split; eligibility across faculties; 2026 delivery evidence comes from a search extract attributing Semester 2 2026 dates and coordinator Kristian Camilleri to the 2026 handbook listing - attribution to a specific URL was imprecise.</t>
        </is>
      </c>
      <c r="AN13" s="77" t="inlineStr"/>
      <c r="AO13" s="77" t="inlineStr">
        <is>
          <t>Australia</t>
        </is>
      </c>
      <c r="AP13" s="77" t="inlineStr">
        <is>
          <t>Australia</t>
        </is>
      </c>
      <c r="AQ13" s="77" t="inlineStr">
        <is>
          <t>Unclear</t>
        </is>
      </c>
      <c r="AR13" s="77" t="inlineStr">
        <is>
          <t>Unclear</t>
        </is>
      </c>
      <c r="AS13" s="77" t="inlineStr"/>
    </row>
    <row r="14">
      <c r="A14" s="77" t="inlineStr">
        <is>
          <t>AU02</t>
        </is>
      </c>
      <c r="B14" s="77" t="inlineStr">
        <is>
          <t>Melbourne</t>
        </is>
      </c>
      <c r="C14" s="77" t="inlineStr">
        <is>
          <t>Faculty/school</t>
        </is>
      </c>
      <c r="D14" s="77" t="inlineStr">
        <is>
          <t>AU02-S03</t>
        </is>
      </c>
      <c r="E14" s="77" t="inlineStr"/>
      <c r="F14" s="77" t="inlineStr">
        <is>
          <t>Yes</t>
        </is>
      </c>
      <c r="G14" s="79" t="inlineStr">
        <is>
          <t>Capstone Projects (School of Computing and Information Systems industry projects)</t>
        </is>
      </c>
      <c r="H14" s="77" t="inlineStr">
        <is>
          <t>CIS Capstone Projects</t>
        </is>
      </c>
      <c r="I14" s="77" t="inlineStr">
        <is>
          <t>COMP90082; SWEN90017/SWEN90018; COMP30022; MAST90106/MAST90107 (listed here but assessed under S5b)</t>
        </is>
      </c>
      <c r="J14" s="77" t="inlineStr">
        <is>
          <t>Partner-facing CIS page through which industry partners submit project proposals for capstone subjects run in Semesters 1 and 2, ending in a final presentation. Covers the Master of IT Software Project, Masters Advanced Software Project, and a Data Science entry (MAST90106/7).</t>
        </is>
      </c>
      <c r="K14" s="77" t="inlineStr">
        <is>
          <t>Faculty of Engineering and IT - School of Computing and Information Systems</t>
        </is>
      </c>
      <c r="L14" s="77" t="inlineStr">
        <is>
          <t>See child routes.</t>
        </is>
      </c>
      <c r="M14" s="77" t="inlineStr">
        <is>
          <t>Engineering/computing</t>
        </is>
      </c>
      <c r="N14" s="77" t="inlineStr">
        <is>
          <t>Mixed</t>
        </is>
      </c>
      <c r="O14" s="77" t="inlineStr"/>
      <c r="P14" s="77" t="inlineStr">
        <is>
          <t>See child routes.</t>
        </is>
      </c>
      <c r="Q14" s="77" t="inlineStr">
        <is>
          <t>Compulsory within specified programmes</t>
        </is>
      </c>
      <c r="R14" s="77" t="inlineStr">
        <is>
          <t>Curricular</t>
        </is>
      </c>
      <c r="S14" s="77" t="inlineStr">
        <is>
          <t>See child routes.</t>
        </is>
      </c>
      <c r="T14" s="77" t="inlineStr">
        <is>
          <t>Semester or year-long</t>
        </is>
      </c>
      <c r="U14" s="77" t="inlineStr">
        <is>
          <t>On campus</t>
        </is>
      </c>
      <c r="V14" s="77" t="inlineStr">
        <is>
          <t>Yes</t>
        </is>
      </c>
      <c r="W14" s="77" t="inlineStr">
        <is>
          <t>See children.</t>
        </is>
      </c>
      <c r="X14" s="77" t="inlineStr">
        <is>
          <t>Yes</t>
        </is>
      </c>
      <c r="Y14" s="77" t="inlineStr">
        <is>
          <t>See children.</t>
        </is>
      </c>
      <c r="Z14" s="77" t="inlineStr">
        <is>
          <t>Yes</t>
        </is>
      </c>
      <c r="AA14" s="77" t="inlineStr">
        <is>
          <t>Industry partners submit project proposals [1].</t>
        </is>
      </c>
      <c r="AB14" s="77" t="inlineStr">
        <is>
          <t>Mixed</t>
        </is>
      </c>
      <c r="AC14" s="77" t="inlineStr">
        <is>
          <t>Proposes projects; acts as client.</t>
        </is>
      </c>
      <c r="AD14" s="77" t="inlineStr"/>
      <c r="AE14" s="77" t="inlineStr">
        <is>
          <t>Software/data products and final presentation.</t>
        </is>
      </c>
      <c r="AF14" s="77">
        <f>IF(OR(V14="No",X14="No",Z14="No"),"Outside strict definition",IF(AND(V14="Yes",X14="Yes",Z14="Yes"),"Meets all three","Potentially relevant; evidence incomplete"))</f>
        <v/>
      </c>
      <c r="AG14" s="77" t="inlineStr">
        <is>
          <t>Current delivery confirmed</t>
        </is>
      </c>
      <c r="AH14" s="77" t="inlineStr">
        <is>
          <t>2026</t>
        </is>
      </c>
      <c r="AI14" s="77" t="inlineStr">
        <is>
          <t>No</t>
        </is>
      </c>
      <c r="AJ14" s="77">
        <f>IF(AND(AI14="Yes",AF14="Meets all three",AG14="Current delivery confirmed"),"Yes","No")</f>
        <v/>
      </c>
      <c r="AK14" s="77" t="inlineStr"/>
      <c r="AL14" s="77" t="inlineStr">
        <is>
          <t>AU02-S03-R1</t>
        </is>
      </c>
      <c r="AM14" s="77" t="inlineStr">
        <is>
          <t>Umbrella; not counted separately. MAST90106/7 appears on both this page and the Science industry projects page - recorded once under S5b.</t>
        </is>
      </c>
      <c r="AN14" s="77" t="inlineStr"/>
      <c r="AO14" s="77" t="inlineStr">
        <is>
          <t>Australia</t>
        </is>
      </c>
      <c r="AP14" s="77" t="inlineStr">
        <is>
          <t>Australia</t>
        </is>
      </c>
      <c r="AQ14" s="77" t="inlineStr">
        <is>
          <t>Unclear</t>
        </is>
      </c>
      <c r="AR14" s="77" t="inlineStr">
        <is>
          <t>Unclear</t>
        </is>
      </c>
      <c r="AS14" s="77" t="inlineStr">
        <is>
          <t>No (umbrella; children counted)</t>
        </is>
      </c>
    </row>
    <row r="15">
      <c r="A15" s="77" t="inlineStr">
        <is>
          <t>AU02</t>
        </is>
      </c>
      <c r="B15" s="77" t="inlineStr">
        <is>
          <t>Melbourne</t>
        </is>
      </c>
      <c r="C15" s="77" t="inlineStr">
        <is>
          <t>Programme/course</t>
        </is>
      </c>
      <c r="D15" s="77" t="inlineStr">
        <is>
          <t>AU02-S04</t>
        </is>
      </c>
      <c r="E15" s="77" t="inlineStr">
        <is>
          <t>AU02-S03</t>
        </is>
      </c>
      <c r="F15" s="77" t="inlineStr">
        <is>
          <t>No</t>
        </is>
      </c>
      <c r="G15" s="79" t="inlineStr">
        <is>
          <t>Software Project</t>
        </is>
      </c>
      <c r="H15" s="77" t="inlineStr">
        <is>
          <t>Software Project (Master of IT capstone)</t>
        </is>
      </c>
      <c r="I15" s="77" t="inlineStr">
        <is>
          <t>COMP90082</t>
        </is>
      </c>
      <c r="J15" s="77" t="inlineStr">
        <is>
          <t>Master of Information Technology capstone in which small teams conceive, analyse, design, implement, test and maintain a software product for a group of stakeholders; CIS describes the clients as industry clients with real-world software projects.</t>
        </is>
      </c>
      <c r="K15" s="77" t="inlineStr">
        <is>
          <t>School of Computing and Information Systems</t>
        </is>
      </c>
      <c r="L15" s="77" t="inlineStr">
        <is>
          <t>Master of Information Technology</t>
        </is>
      </c>
      <c r="M15" s="77" t="inlineStr">
        <is>
          <t>Engineering/computing</t>
        </is>
      </c>
      <c r="N15" s="77" t="inlineStr">
        <is>
          <t>Postgraduate taught</t>
        </is>
      </c>
      <c r="O15" s="77" t="inlineStr">
        <is>
          <t>Final semester(s) - no more than 75 points short of completion</t>
        </is>
      </c>
      <c r="P15" s="77" t="inlineStr">
        <is>
          <t>Prerequisite SWEN90016 Software Processes and Management; within 75 points of degree completion (2026).</t>
        </is>
      </c>
      <c r="Q15" s="77" t="inlineStr">
        <is>
          <t>Compulsory within specified programmes</t>
        </is>
      </c>
      <c r="R15" s="77" t="inlineStr">
        <is>
          <t>Curricular</t>
        </is>
      </c>
      <c r="S15" s="77" t="inlineStr">
        <is>
          <t>25 points. Team artefacts 40%, final product 20%, individual contribution/professional skills 40% (hurdle 20/40).</t>
        </is>
      </c>
      <c r="T15" s="77" t="inlineStr">
        <is>
          <t>One semester (offered Semesters 1 and 2)</t>
        </is>
      </c>
      <c r="U15" s="77" t="inlineStr">
        <is>
          <t>On campus (Parkville); lectures and weekly supervisory meetings</t>
        </is>
      </c>
      <c r="V15" s="77" t="inlineStr">
        <is>
          <t>Yes</t>
        </is>
      </c>
      <c r="W15" s="77" t="inlineStr">
        <is>
          <t>Teams build a software product for stakeholders [2]; 'real-world software development projects' [1].</t>
        </is>
      </c>
      <c r="X15" s="77" t="inlineStr">
        <is>
          <t>Yes</t>
        </is>
      </c>
      <c r="Y15" s="77" t="inlineStr">
        <is>
          <t>'Students work in small teams to conceive, analyse, design, implement, test, and maintain a software product' [2].</t>
        </is>
      </c>
      <c r="Z15" s="77" t="inlineStr">
        <is>
          <t>Yes</t>
        </is>
      </c>
      <c r="AA15" s="77" t="inlineStr">
        <is>
          <t>CIS states industry clients engage with MIT students on real-world software projects [1]; handbook learning outcomes include working with stakeholders [2].</t>
        </is>
      </c>
      <c r="AB15" s="77" t="inlineStr">
        <is>
          <t>Unclear</t>
        </is>
      </c>
      <c r="AC15" s="77" t="inlineStr">
        <is>
          <t>Client/stakeholder for the software product.</t>
        </is>
      </c>
      <c r="AD15" s="77" t="inlineStr"/>
      <c r="AE15" s="77" t="inlineStr">
        <is>
          <t>Working software product and team artefacts.</t>
        </is>
      </c>
      <c r="AF15" s="77">
        <f>IF(OR(V15="No",X15="No",Z15="No"),"Outside strict definition",IF(AND(V15="Yes",X15="Yes",Z15="Yes"),"Meets all three","Potentially relevant; evidence incomplete"))</f>
        <v/>
      </c>
      <c r="AG15" s="77" t="inlineStr">
        <is>
          <t>Current delivery confirmed</t>
        </is>
      </c>
      <c r="AH15" s="77" t="inlineStr">
        <is>
          <t>2026</t>
        </is>
      </c>
      <c r="AI15" s="77" t="inlineStr">
        <is>
          <t>Yes</t>
        </is>
      </c>
      <c r="AJ15" s="77">
        <f>IF(AND(AI15="Yes",AF15="Meets all three",AG15="Current delivery confirmed"),"Yes","No")</f>
        <v/>
      </c>
      <c r="AK15" s="77" t="inlineStr"/>
      <c r="AL15" s="77" t="inlineStr">
        <is>
          <t>AU02-S04-R1; AU02-S04-R2</t>
        </is>
      </c>
      <c r="AM15" s="77" t="inlineStr">
        <is>
          <t>Proportion of projects with external (vs internal university) clients not stated; CIS page undated.</t>
        </is>
      </c>
      <c r="AN15" s="77" t="inlineStr"/>
      <c r="AO15" s="77" t="inlineStr">
        <is>
          <t>Australia</t>
        </is>
      </c>
      <c r="AP15" s="77" t="inlineStr">
        <is>
          <t>Australia</t>
        </is>
      </c>
      <c r="AQ15" s="77" t="inlineStr">
        <is>
          <t>Unclear</t>
        </is>
      </c>
      <c r="AR15" s="77" t="inlineStr">
        <is>
          <t>Unclear</t>
        </is>
      </c>
      <c r="AS15" s="77" t="inlineStr"/>
    </row>
    <row r="16">
      <c r="A16" s="77" t="inlineStr">
        <is>
          <t>AU02</t>
        </is>
      </c>
      <c r="B16" s="77" t="inlineStr">
        <is>
          <t>Melbourne</t>
        </is>
      </c>
      <c r="C16" s="77" t="inlineStr">
        <is>
          <t>Programme/course</t>
        </is>
      </c>
      <c r="D16" s="77" t="inlineStr">
        <is>
          <t>AU02-S05</t>
        </is>
      </c>
      <c r="E16" s="77" t="inlineStr">
        <is>
          <t>AU02-S03</t>
        </is>
      </c>
      <c r="F16" s="77" t="inlineStr">
        <is>
          <t>No</t>
        </is>
      </c>
      <c r="G16" s="79" t="inlineStr">
        <is>
          <t>Masters Advanced Software Project Part 1 / Part 2</t>
        </is>
      </c>
      <c r="H16" s="77" t="inlineStr">
        <is>
          <t>Masters Advanced Software Project</t>
        </is>
      </c>
      <c r="I16" s="77" t="inlineStr">
        <is>
          <t>SWEN90017 / SWEN90018</t>
        </is>
      </c>
      <c r="J16" s="77" t="inlineStr">
        <is>
          <t>Two-semester Master of Software Engineering capstone where large teams develop a non-trivial software system for an external client using agile methods, from requirements to delivery.</t>
        </is>
      </c>
      <c r="K16" s="77" t="inlineStr">
        <is>
          <t>School of Computing and Information Systems</t>
        </is>
      </c>
      <c r="L16" s="77" t="inlineStr">
        <is>
          <t>Master of Software Engineering</t>
        </is>
      </c>
      <c r="M16" s="77" t="inlineStr">
        <is>
          <t>Engineering/computing</t>
        </is>
      </c>
      <c r="N16" s="77" t="inlineStr">
        <is>
          <t>Postgraduate taught</t>
        </is>
      </c>
      <c r="O16" s="77" t="inlineStr">
        <is>
          <t>Final year</t>
        </is>
      </c>
      <c r="P16" s="77" t="inlineStr">
        <is>
          <t>Prerequisites SWEN90006, SWEN90014, SWEN90009, ENGR90051 (2026).</t>
        </is>
      </c>
      <c r="Q16" s="77" t="inlineStr">
        <is>
          <t>Compulsory within specified programmes</t>
        </is>
      </c>
      <c r="R16" s="77" t="inlineStr">
        <is>
          <t>Curricular</t>
        </is>
      </c>
      <c r="S16" s="77" t="inlineStr">
        <is>
          <t>25 points across two parts. 2024: individual contribution, individual communication, individual research report, team progress component (individual hurdles).</t>
        </is>
      </c>
      <c r="T16" s="77" t="inlineStr">
        <is>
          <t>Two consecutive study periods</t>
        </is>
      </c>
      <c r="U16" s="77" t="inlineStr">
        <is>
          <t>On campus (Parkville)</t>
        </is>
      </c>
      <c r="V16" s="77" t="inlineStr">
        <is>
          <t>Yes</t>
        </is>
      </c>
      <c r="W16" s="77" t="inlineStr">
        <is>
          <t>'develop a non-trivial software system' [1].</t>
        </is>
      </c>
      <c r="X16" s="77" t="inlineStr">
        <is>
          <t>Yes</t>
        </is>
      </c>
      <c r="Y16" s="77" t="inlineStr">
        <is>
          <t>'Students will work in large teams' [1].</t>
        </is>
      </c>
      <c r="Z16" s="77" t="inlineStr">
        <is>
          <t>Yes</t>
        </is>
      </c>
      <c r="AA16" s="77" t="inlineStr">
        <is>
          <t>Built 'for an external client' [1]; CIS invites industry partners to submit proposals [2].</t>
        </is>
      </c>
      <c r="AB16" s="77" t="inlineStr">
        <is>
          <t>Mixed</t>
        </is>
      </c>
      <c r="AC16" s="77" t="inlineStr">
        <is>
          <t>External client supplying the system requirements.</t>
        </is>
      </c>
      <c r="AD16" s="77" t="inlineStr">
        <is>
          <t>Royal Melbourne Hospital, Big Issue, NDIS, Grok Learning - named on an unofficial third-party page (cis-projects.carrd.co), year not given; not verified on official source.</t>
        </is>
      </c>
      <c r="AE16" s="77" t="inlineStr">
        <is>
          <t>Software system delivered to client.</t>
        </is>
      </c>
      <c r="AF16" s="77">
        <f>IF(OR(V16="No",X16="No",Z16="No"),"Outside strict definition",IF(AND(V16="Yes",X16="Yes",Z16="Yes"),"Meets all three","Potentially relevant; evidence incomplete"))</f>
        <v/>
      </c>
      <c r="AG16" s="77" t="inlineStr">
        <is>
          <t>Current delivery confirmed</t>
        </is>
      </c>
      <c r="AH16" s="77" t="inlineStr">
        <is>
          <t>2026</t>
        </is>
      </c>
      <c r="AI16" s="77" t="inlineStr">
        <is>
          <t>Yes</t>
        </is>
      </c>
      <c r="AJ16" s="77">
        <f>IF(AND(AI16="Yes",AF16="Meets all three",AG16="Current delivery confirmed"),"Yes","No")</f>
        <v/>
      </c>
      <c r="AK16" s="77" t="inlineStr"/>
      <c r="AL16" s="77" t="inlineStr">
        <is>
          <t>AU02-S05-R1; AU02-S05-R2; AU02-S05-R3; AU02-S05-R4</t>
        </is>
      </c>
      <c r="AM16" s="77" t="inlineStr">
        <is>
          <t>Partner names only from unofficial page.</t>
        </is>
      </c>
      <c r="AN16" s="77" t="inlineStr"/>
      <c r="AO16" s="77" t="inlineStr">
        <is>
          <t>Australia</t>
        </is>
      </c>
      <c r="AP16" s="77" t="inlineStr">
        <is>
          <t>Australia</t>
        </is>
      </c>
      <c r="AQ16" s="77" t="inlineStr">
        <is>
          <t>Unclear</t>
        </is>
      </c>
      <c r="AR16" s="77" t="inlineStr">
        <is>
          <t>Unclear</t>
        </is>
      </c>
      <c r="AS16" s="77" t="inlineStr"/>
    </row>
    <row r="17">
      <c r="A17" s="77" t="inlineStr">
        <is>
          <t>AU02</t>
        </is>
      </c>
      <c r="B17" s="77" t="inlineStr">
        <is>
          <t>Melbourne</t>
        </is>
      </c>
      <c r="C17" s="77" t="inlineStr">
        <is>
          <t>Programme/course</t>
        </is>
      </c>
      <c r="D17" s="77" t="inlineStr">
        <is>
          <t>AU02-S06</t>
        </is>
      </c>
      <c r="E17" s="77" t="inlineStr">
        <is>
          <t>AU02-S03</t>
        </is>
      </c>
      <c r="F17" s="77" t="inlineStr">
        <is>
          <t>No</t>
        </is>
      </c>
      <c r="G17" s="79" t="inlineStr">
        <is>
          <t>IT Project</t>
        </is>
      </c>
      <c r="H17" s="77" t="inlineStr">
        <is>
          <t>IT Project (BSc capstone)</t>
        </is>
      </c>
      <c r="I17" s="77" t="inlineStr">
        <is>
          <t>COMP30022</t>
        </is>
      </c>
      <c r="J17" s="77" t="inlineStr">
        <is>
          <t>Capstone for the BSc Informatics and Computing and Software Systems majors: teams of about five analyse, design, implement and test a non-trivial client-facing IT system for a real-world problem under staff supervision.</t>
        </is>
      </c>
      <c r="K17" s="77" t="inlineStr">
        <is>
          <t>School of Computing and Information Systems</t>
        </is>
      </c>
      <c r="L17" s="77" t="inlineStr">
        <is>
          <t>BSc majors: Informatics; Computing and Software Systems</t>
        </is>
      </c>
      <c r="M17" s="77" t="inlineStr">
        <is>
          <t>Engineering/computing; Science</t>
        </is>
      </c>
      <c r="N17" s="77" t="inlineStr">
        <is>
          <t>Undergraduate</t>
        </is>
      </c>
      <c r="O17" s="77" t="inlineStr">
        <is>
          <t>Level 3</t>
        </is>
      </c>
      <c r="P17" s="77" t="inlineStr">
        <is>
          <t>Major prerequisites (not retrieved).</t>
        </is>
      </c>
      <c r="Q17" s="77" t="inlineStr">
        <is>
          <t>Compulsory within specified programmes</t>
        </is>
      </c>
      <c r="R17" s="77" t="inlineStr">
        <is>
          <t>Curricular</t>
        </is>
      </c>
      <c r="S17" s="77" t="inlineStr">
        <is>
          <t>12.5 points. 2024: team project management 50%, final product release 30%, individual contribution 20%.</t>
        </is>
      </c>
      <c r="T17" s="77" t="inlineStr">
        <is>
          <t>One semester</t>
        </is>
      </c>
      <c r="U17" s="77" t="inlineStr">
        <is>
          <t>On campus (Parkville)</t>
        </is>
      </c>
      <c r="V17" s="77" t="inlineStr">
        <is>
          <t>Yes</t>
        </is>
      </c>
      <c r="W17" s="77" t="inlineStr">
        <is>
          <t>Teams build a non-trivial IT system for a real-world problem [1].</t>
        </is>
      </c>
      <c r="X17" s="77" t="inlineStr">
        <is>
          <t>Yes</t>
        </is>
      </c>
      <c r="Y17" s="77" t="inlineStr">
        <is>
          <t>Small teams (~5 students); group project hurdle [1][2].</t>
        </is>
      </c>
      <c r="Z17" s="77" t="inlineStr">
        <is>
          <t>Unclear</t>
        </is>
      </c>
      <c r="AA17" s="77" t="inlineStr">
        <is>
          <t>Learning outcomes refer to communicating with clients [1], but no evidence the clients are external organisations; one 2020 student repo indicates the client was masters students from another subject (internal).</t>
        </is>
      </c>
      <c r="AB17" s="77" t="inlineStr">
        <is>
          <t>Unclear</t>
        </is>
      </c>
      <c r="AC17" s="77" t="inlineStr">
        <is>
          <t>Client (identity unverified)</t>
        </is>
      </c>
      <c r="AD17" s="77" t="inlineStr"/>
      <c r="AE17" s="77" t="inlineStr">
        <is>
          <t>IT system release</t>
        </is>
      </c>
      <c r="AF17" s="77">
        <f>IF(OR(V17="No",X17="No",Z17="No"),"Outside strict definition",IF(AND(V17="Yes",X17="Yes",Z17="Yes"),"Meets all three","Potentially relevant; evidence incomplete"))</f>
        <v/>
      </c>
      <c r="AG17" s="77" t="inlineStr">
        <is>
          <t>Current delivery confirmed</t>
        </is>
      </c>
      <c r="AH17" s="77" t="inlineStr">
        <is>
          <t>2026</t>
        </is>
      </c>
      <c r="AI17" s="77" t="inlineStr">
        <is>
          <t>Yes</t>
        </is>
      </c>
      <c r="AJ17" s="77">
        <f>IF(AND(AI17="Yes",AF17="Meets all three",AG17="Current delivery confirmed"),"Yes","No")</f>
        <v/>
      </c>
      <c r="AK17" s="77" t="inlineStr"/>
      <c r="AL17" s="77" t="inlineStr">
        <is>
          <t>AU02-S06-R1; AU02-S06-R2</t>
        </is>
      </c>
      <c r="AM17" s="77" t="inlineStr">
        <is>
          <t>Whether clients are external organisations; COMP30022 is not listed on the CIS industry capstone page extract.</t>
        </is>
      </c>
      <c r="AN17" s="77" t="inlineStr"/>
      <c r="AO17" s="77" t="inlineStr">
        <is>
          <t>Australia</t>
        </is>
      </c>
      <c r="AP17" s="77" t="inlineStr">
        <is>
          <t>Australia</t>
        </is>
      </c>
      <c r="AQ17" s="77" t="inlineStr">
        <is>
          <t>Unclear</t>
        </is>
      </c>
      <c r="AR17" s="77" t="inlineStr">
        <is>
          <t>Unclear</t>
        </is>
      </c>
      <c r="AS17" s="77" t="inlineStr"/>
    </row>
    <row r="18">
      <c r="A18" s="77" t="inlineStr">
        <is>
          <t>AU02</t>
        </is>
      </c>
      <c r="B18" s="77" t="inlineStr">
        <is>
          <t>Melbourne</t>
        </is>
      </c>
      <c r="C18" s="77" t="inlineStr">
        <is>
          <t>Programme/course</t>
        </is>
      </c>
      <c r="D18" s="77" t="inlineStr">
        <is>
          <t>AU02-S07</t>
        </is>
      </c>
      <c r="E18" s="77" t="inlineStr"/>
      <c r="F18" s="77" t="inlineStr">
        <is>
          <t>Yes</t>
        </is>
      </c>
      <c r="G18" s="79" t="inlineStr">
        <is>
          <t>Engineering Capstone Project Part 1 / Part 2</t>
        </is>
      </c>
      <c r="H18" s="77" t="inlineStr">
        <is>
          <t>Master of Engineering Capstone Project</t>
        </is>
      </c>
      <c r="I18" s="77" t="inlineStr">
        <is>
          <t>ENGR90037 / ENGR90038</t>
        </is>
      </c>
      <c r="J18" s="77" t="inlineStr">
        <is>
          <t>Group-based capstone for Master of Engineering students (12.5 points each part, 400 hours total). Each project is supervised by academic staff and, 'where appropriate', an industry partner - so only a subset of projects is industry-connected.</t>
        </is>
      </c>
      <c r="K18" s="77" t="inlineStr">
        <is>
          <t>Faculty of Engineering and IT</t>
        </is>
      </c>
      <c r="L18" s="77" t="inlineStr">
        <is>
          <t>Master of Engineering specialisations (discipline-specific variants also exist, e.g. BMEN90018 Biomedical Engineering Capstone).</t>
        </is>
      </c>
      <c r="M18" s="77" t="inlineStr">
        <is>
          <t>Engineering/computing</t>
        </is>
      </c>
      <c r="N18" s="77" t="inlineStr">
        <is>
          <t>Postgraduate taught</t>
        </is>
      </c>
      <c r="O18" s="77" t="inlineStr">
        <is>
          <t>Final year</t>
        </is>
      </c>
      <c r="P18" s="77" t="inlineStr">
        <is>
          <t>Not retrieved.</t>
        </is>
      </c>
      <c r="Q18" s="77" t="inlineStr">
        <is>
          <t>Compulsory within specified programmes</t>
        </is>
      </c>
      <c r="R18" s="77" t="inlineStr">
        <is>
          <t>Curricular</t>
        </is>
      </c>
      <c r="S18" s="77" t="inlineStr">
        <is>
          <t>12.5 + 12.5 points; 200 hours per part</t>
        </is>
      </c>
      <c r="T18" s="77" t="inlineStr">
        <is>
          <t>Two semesters</t>
        </is>
      </c>
      <c r="U18" s="77" t="inlineStr">
        <is>
          <t>On campus (Parkville)</t>
        </is>
      </c>
      <c r="V18" s="77" t="inlineStr">
        <is>
          <t>Yes</t>
        </is>
      </c>
      <c r="W18" s="77" t="inlineStr">
        <is>
          <t>Capstone projects [1].</t>
        </is>
      </c>
      <c r="X18" s="77" t="inlineStr">
        <is>
          <t>Yes</t>
        </is>
      </c>
      <c r="Y18" s="77" t="inlineStr">
        <is>
          <t>'Projects are group-based' [1].</t>
        </is>
      </c>
      <c r="Z18" s="77" t="inlineStr">
        <is>
          <t>Unclear</t>
        </is>
      </c>
      <c r="AA18" s="77" t="inlineStr">
        <is>
          <t>Industry partner supervises only 'where appropriate' [1]; not all projects are industry-connected. See S4a for documented industry route.</t>
        </is>
      </c>
      <c r="AB18" s="77" t="inlineStr">
        <is>
          <t>Business/commercial</t>
        </is>
      </c>
      <c r="AC18" s="77" t="inlineStr">
        <is>
          <t>Optional co-supervision</t>
        </is>
      </c>
      <c r="AD18" s="77" t="inlineStr"/>
      <c r="AE18" s="77" t="inlineStr">
        <is>
          <t>Not specified</t>
        </is>
      </c>
      <c r="AF18" s="77">
        <f>IF(OR(V18="No",X18="No",Z18="No"),"Outside strict definition",IF(AND(V18="Yes",X18="Yes",Z18="Yes"),"Meets all three","Potentially relevant; evidence incomplete"))</f>
        <v/>
      </c>
      <c r="AG18" s="77" t="inlineStr">
        <is>
          <t>Current delivery confirmed</t>
        </is>
      </c>
      <c r="AH18" s="77" t="inlineStr">
        <is>
          <t>2026</t>
        </is>
      </c>
      <c r="AI18" s="77" t="inlineStr">
        <is>
          <t>No</t>
        </is>
      </c>
      <c r="AJ18" s="77">
        <f>IF(AND(AI18="Yes",AF18="Meets all three",AG18="Current delivery confirmed"),"Yes","No")</f>
        <v/>
      </c>
      <c r="AK18" s="77" t="inlineStr"/>
      <c r="AL18" s="77" t="inlineStr">
        <is>
          <t>AU02-S07-R1; AU02-S07-R2</t>
        </is>
      </c>
      <c r="AM18" s="77" t="inlineStr">
        <is>
          <t>Share of capstone projects with an industry partner; discipline-level industry routes beyond Electrical not searched (Mechanical, Civil, Chemical, Biomedical).</t>
        </is>
      </c>
      <c r="AN18" s="77" t="inlineStr"/>
      <c r="AO18" s="77" t="inlineStr">
        <is>
          <t>Australia</t>
        </is>
      </c>
      <c r="AP18" s="77" t="inlineStr">
        <is>
          <t>Australia</t>
        </is>
      </c>
      <c r="AQ18" s="77" t="inlineStr">
        <is>
          <t>Unclear</t>
        </is>
      </c>
      <c r="AR18" s="77" t="inlineStr">
        <is>
          <t>Unclear</t>
        </is>
      </c>
      <c r="AS18" s="77" t="inlineStr">
        <is>
          <t>No (umbrella; children counted)</t>
        </is>
      </c>
    </row>
    <row r="19">
      <c r="A19" s="77" t="inlineStr">
        <is>
          <t>AU02</t>
        </is>
      </c>
      <c r="B19" s="77" t="inlineStr">
        <is>
          <t>Melbourne</t>
        </is>
      </c>
      <c r="C19" s="77" t="inlineStr">
        <is>
          <t>Programme/course</t>
        </is>
      </c>
      <c r="D19" s="77" t="inlineStr">
        <is>
          <t>AU02-S08</t>
        </is>
      </c>
      <c r="E19" s="77" t="inlineStr">
        <is>
          <t>AU02-S07</t>
        </is>
      </c>
      <c r="F19" s="77" t="inlineStr">
        <is>
          <t>No</t>
        </is>
      </c>
      <c r="G19" s="79" t="inlineStr">
        <is>
          <t>Electrical and Electronic Engineering industry-based capstone projects</t>
        </is>
      </c>
      <c r="H19" s="77" t="inlineStr">
        <is>
          <t>Student industry projects (Electrical &amp; Electronic Engineering)</t>
        </is>
      </c>
      <c r="I19" s="77" t="inlineStr">
        <is>
          <t>Engineering capstone (ENGR90037/38 or EEE capstone variant - code not confirmed)</t>
        </is>
      </c>
      <c r="J19" s="77" t="inlineStr">
        <is>
          <t>Industry-based capstone projects in Electrical and Electronic Engineering run in small teams under joint industry and academic supervision; project IP is assigned to the industry partner by agreement at project start. Partner-facing page covers proposal process, supervision, assessment and EHS.</t>
        </is>
      </c>
      <c r="K19" s="77" t="inlineStr">
        <is>
          <t>Department of Electrical and Electronic Engineering</t>
        </is>
      </c>
      <c r="L19" s="77" t="inlineStr">
        <is>
          <t>Master of Engineering (Electrical/related) capstone students</t>
        </is>
      </c>
      <c r="M19" s="77" t="inlineStr">
        <is>
          <t>Engineering/computing</t>
        </is>
      </c>
      <c r="N19" s="77" t="inlineStr">
        <is>
          <t>Postgraduate taught</t>
        </is>
      </c>
      <c r="O19" s="77" t="inlineStr">
        <is>
          <t>Final year</t>
        </is>
      </c>
      <c r="P19" s="77" t="inlineStr"/>
      <c r="Q19" s="77" t="inlineStr">
        <is>
          <t>Optional/elective</t>
        </is>
      </c>
      <c r="R19" s="77" t="inlineStr">
        <is>
          <t>Curricular</t>
        </is>
      </c>
      <c r="S19" s="77" t="inlineStr">
        <is>
          <t>Within capstone (see S4)</t>
        </is>
      </c>
      <c r="T19" s="77" t="inlineStr">
        <is>
          <t>Capstone duration (two semesters per S4)</t>
        </is>
      </c>
      <c r="U19" s="77" t="inlineStr">
        <is>
          <t>Not specified</t>
        </is>
      </c>
      <c r="V19" s="77" t="inlineStr">
        <is>
          <t>Yes</t>
        </is>
      </c>
      <c r="W19" s="77" t="inlineStr">
        <is>
          <t>Industry-based capstone projects with proposals and IP agreement [1].</t>
        </is>
      </c>
      <c r="X19" s="77" t="inlineStr">
        <is>
          <t>Yes</t>
        </is>
      </c>
      <c r="Y19" s="77" t="inlineStr">
        <is>
          <t>'run in small teams' [1].</t>
        </is>
      </c>
      <c r="Z19" s="77" t="inlineStr">
        <is>
          <t>Yes</t>
        </is>
      </c>
      <c r="AA19" s="77" t="inlineStr">
        <is>
          <t>Industry supervisor co-supervises; partner proposes the project and receives IP [1].</t>
        </is>
      </c>
      <c r="AB19" s="77" t="inlineStr">
        <is>
          <t>Business/commercial</t>
        </is>
      </c>
      <c r="AC19" s="77" t="inlineStr">
        <is>
          <t>Proposes project, supervises, owns IP.</t>
        </is>
      </c>
      <c r="AD19" s="77" t="inlineStr"/>
      <c r="AE19" s="77" t="inlineStr">
        <is>
          <t>Not specified</t>
        </is>
      </c>
      <c r="AF19" s="77">
        <f>IF(OR(V19="No",X19="No",Z19="No"),"Outside strict definition",IF(AND(V19="Yes",X19="Yes",Z19="Yes"),"Meets all three","Potentially relevant; evidence incomplete"))</f>
        <v/>
      </c>
      <c r="AG19" s="77" t="inlineStr">
        <is>
          <t>Current status unclear</t>
        </is>
      </c>
      <c r="AH19" s="77" t="inlineStr">
        <is>
          <t>undated</t>
        </is>
      </c>
      <c r="AI19" s="77" t="inlineStr">
        <is>
          <t>Yes</t>
        </is>
      </c>
      <c r="AJ19" s="77">
        <f>IF(AND(AI19="Yes",AF19="Meets all three",AG19="Current delivery confirmed"),"Yes","No")</f>
        <v/>
      </c>
      <c r="AK19" s="77" t="inlineStr"/>
      <c r="AL19" s="77" t="inlineStr">
        <is>
          <t>AU02-S08-R1</t>
        </is>
      </c>
      <c r="AM19" s="77" t="inlineStr">
        <is>
          <t>Page undated; participation route (optional vs allocated) not stated - marked Optional/elective as projects are a subset of capstone topics.</t>
        </is>
      </c>
      <c r="AN19" s="77" t="inlineStr"/>
      <c r="AO19" s="77" t="inlineStr">
        <is>
          <t>Australia</t>
        </is>
      </c>
      <c r="AP19" s="77" t="inlineStr">
        <is>
          <t>Australia</t>
        </is>
      </c>
      <c r="AQ19" s="77" t="inlineStr">
        <is>
          <t>Unclear</t>
        </is>
      </c>
      <c r="AR19" s="77" t="inlineStr">
        <is>
          <t>Unclear</t>
        </is>
      </c>
      <c r="AS19" s="77" t="inlineStr"/>
    </row>
    <row r="20">
      <c r="A20" s="77" t="inlineStr">
        <is>
          <t>AU02</t>
        </is>
      </c>
      <c r="B20" s="77" t="inlineStr">
        <is>
          <t>Melbourne</t>
        </is>
      </c>
      <c r="C20" s="77" t="inlineStr">
        <is>
          <t>Programme/course</t>
        </is>
      </c>
      <c r="D20" s="77" t="inlineStr">
        <is>
          <t>AU02-S09</t>
        </is>
      </c>
      <c r="E20" s="77" t="inlineStr"/>
      <c r="F20" s="77" t="inlineStr">
        <is>
          <t>Yes</t>
        </is>
      </c>
      <c r="G20" s="79" t="inlineStr">
        <is>
          <t>Industry projects for graduate students (Faculty of Science)</t>
        </is>
      </c>
      <c r="H20" s="77" t="inlineStr">
        <is>
          <t>Science graduate capstone Industry Projects</t>
        </is>
      </c>
      <c r="I20" s="77" t="inlineStr">
        <is>
          <t>SCIE90015; MAST90106/MAST90107; Environmental Science Industry Project Pt1/Pt2 (EVSC); Climate Science (code not found)</t>
        </is>
      </c>
      <c r="J20" s="77" t="inlineStr">
        <is>
          <t>Students in the Master of Biotechnology, Data Science, Environmental Science or Climate Science complete a capstone Industry Project: a team of 3-5 students, with an academic supervisor, delivers solutions to a participating organisation's real-world challenge set out in a partner-submitted brief.</t>
        </is>
      </c>
      <c r="K20" s="77" t="inlineStr">
        <is>
          <t>Faculty of Science</t>
        </is>
      </c>
      <c r="L20" s="77" t="inlineStr">
        <is>
          <t>Master of Biotechnology; Master of Data Science; Master of Environmental Science; Master of Climate Science</t>
        </is>
      </c>
      <c r="M20" s="77" t="inlineStr">
        <is>
          <t>Science</t>
        </is>
      </c>
      <c r="N20" s="77" t="inlineStr">
        <is>
          <t>Postgraduate taught</t>
        </is>
      </c>
      <c r="O20" s="77" t="inlineStr">
        <is>
          <t>Final year</t>
        </is>
      </c>
      <c r="P20" s="77" t="inlineStr">
        <is>
          <t>Programme students; alternatives (research projects) for high-achieving students in some programmes.</t>
        </is>
      </c>
      <c r="Q20" s="77" t="inlineStr">
        <is>
          <t>Compulsory within specified programmes</t>
        </is>
      </c>
      <c r="R20" s="77" t="inlineStr">
        <is>
          <t>Curricular</t>
        </is>
      </c>
      <c r="S20" s="77" t="inlineStr">
        <is>
          <t>See children</t>
        </is>
      </c>
      <c r="T20" s="77" t="inlineStr">
        <is>
          <t>Typically year-long</t>
        </is>
      </c>
      <c r="U20" s="77" t="inlineStr">
        <is>
          <t>On campus</t>
        </is>
      </c>
      <c r="V20" s="77" t="inlineStr">
        <is>
          <t>Yes</t>
        </is>
      </c>
      <c r="W20" s="77" t="inlineStr">
        <is>
          <t>Partners submit a project brief; example topics include new biomaterials for a medical device [1].</t>
        </is>
      </c>
      <c r="X20" s="77" t="inlineStr">
        <is>
          <t>Yes</t>
        </is>
      </c>
      <c r="Y20" s="77" t="inlineStr">
        <is>
          <t>'a dedicated team of 3-5 students are assigned to each project' [1].</t>
        </is>
      </c>
      <c r="Z20" s="77" t="inlineStr">
        <is>
          <t>Yes</t>
        </is>
      </c>
      <c r="AA20" s="77" t="inlineStr">
        <is>
          <t>Participating organisations submit briefs and receive solutions [1].</t>
        </is>
      </c>
      <c r="AB20" s="77" t="inlineStr">
        <is>
          <t>Unclear</t>
        </is>
      </c>
      <c r="AC20" s="77" t="inlineStr">
        <is>
          <t>Brief-setter / client</t>
        </is>
      </c>
      <c r="AD20" s="77" t="inlineStr"/>
      <c r="AE20" s="77" t="inlineStr">
        <is>
          <t>Solutions/reports to partner</t>
        </is>
      </c>
      <c r="AF20" s="77">
        <f>IF(OR(V20="No",X20="No",Z20="No"),"Outside strict definition",IF(AND(V20="Yes",X20="Yes",Z20="Yes"),"Meets all three","Potentially relevant; evidence incomplete"))</f>
        <v/>
      </c>
      <c r="AG20" s="77" t="inlineStr">
        <is>
          <t>Current delivery confirmed</t>
        </is>
      </c>
      <c r="AH20" s="77" t="inlineStr">
        <is>
          <t>2026</t>
        </is>
      </c>
      <c r="AI20" s="77" t="inlineStr">
        <is>
          <t>No</t>
        </is>
      </c>
      <c r="AJ20" s="77">
        <f>IF(AND(AI20="Yes",AF20="Meets all three",AG20="Current delivery confirmed"),"Yes","No")</f>
        <v/>
      </c>
      <c r="AK20" s="77" t="inlineStr"/>
      <c r="AL20" s="77" t="inlineStr">
        <is>
          <t>AU02-S09-R1</t>
        </is>
      </c>
      <c r="AM20" s="77" t="inlineStr">
        <is>
          <t>Umbrella; not counted separately. Climate Science subject code not found.</t>
        </is>
      </c>
      <c r="AN20" s="77" t="inlineStr"/>
      <c r="AO20" s="77" t="inlineStr">
        <is>
          <t>Australia</t>
        </is>
      </c>
      <c r="AP20" s="77" t="inlineStr">
        <is>
          <t>Australia</t>
        </is>
      </c>
      <c r="AQ20" s="77" t="inlineStr">
        <is>
          <t>Unclear</t>
        </is>
      </c>
      <c r="AR20" s="77" t="inlineStr">
        <is>
          <t>Unclear</t>
        </is>
      </c>
      <c r="AS20" s="77" t="inlineStr">
        <is>
          <t>No (umbrella; children counted)</t>
        </is>
      </c>
    </row>
    <row r="21">
      <c r="A21" s="77" t="inlineStr">
        <is>
          <t>AU02</t>
        </is>
      </c>
      <c r="B21" s="77" t="inlineStr">
        <is>
          <t>Melbourne</t>
        </is>
      </c>
      <c r="C21" s="77" t="inlineStr">
        <is>
          <t>Programme/course</t>
        </is>
      </c>
      <c r="D21" s="77" t="inlineStr">
        <is>
          <t>AU02-S10</t>
        </is>
      </c>
      <c r="E21" s="77" t="inlineStr">
        <is>
          <t>AU02-S09</t>
        </is>
      </c>
      <c r="F21" s="77" t="inlineStr">
        <is>
          <t>No</t>
        </is>
      </c>
      <c r="G21" s="79" t="inlineStr">
        <is>
          <t>Industry Project in Biotechnology</t>
        </is>
      </c>
      <c r="H21" s="77" t="inlineStr">
        <is>
          <t>Industry Project in Biotechnology</t>
        </is>
      </c>
      <c r="I21" s="77" t="inlineStr">
        <is>
          <t>SCIE90015</t>
        </is>
      </c>
      <c r="J21" s="77" t="inlineStr">
        <is>
          <t>Year-long Master of Biotechnology capstone: students assigned to syndicate groups address a practical challenge identified by industry (e.g. biomaterials for a medical device, regulatory landscapes for new drugs).</t>
        </is>
      </c>
      <c r="K21" s="77" t="inlineStr">
        <is>
          <t>Faculty of Science</t>
        </is>
      </c>
      <c r="L21" s="77" t="inlineStr">
        <is>
          <t>Master of Biotechnology</t>
        </is>
      </c>
      <c r="M21" s="77" t="inlineStr">
        <is>
          <t>Science</t>
        </is>
      </c>
      <c r="N21" s="77" t="inlineStr">
        <is>
          <t>Postgraduate taught</t>
        </is>
      </c>
      <c r="O21" s="77" t="inlineStr">
        <is>
          <t>Final year</t>
        </is>
      </c>
      <c r="P21" s="77" t="inlineStr">
        <is>
          <t>Prerequisite SKIL90004.</t>
        </is>
      </c>
      <c r="Q21" s="77" t="inlineStr">
        <is>
          <t>Compulsory within specified programmes</t>
        </is>
      </c>
      <c r="R21" s="77" t="inlineStr">
        <is>
          <t>Curricular</t>
        </is>
      </c>
      <c r="S21" s="77" t="inlineStr">
        <is>
          <t>25 points</t>
        </is>
      </c>
      <c r="T21" s="77" t="inlineStr">
        <is>
          <t>Year long</t>
        </is>
      </c>
      <c r="U21" s="77" t="inlineStr">
        <is>
          <t>On campus (Parkville)</t>
        </is>
      </c>
      <c r="V21" s="77" t="inlineStr">
        <is>
          <t>Yes</t>
        </is>
      </c>
      <c r="W21" s="77" t="inlineStr">
        <is>
          <t>'practical industry challenge/issue' [1].</t>
        </is>
      </c>
      <c r="X21" s="77" t="inlineStr">
        <is>
          <t>Yes</t>
        </is>
      </c>
      <c r="Y21" s="77" t="inlineStr">
        <is>
          <t>'assigned to syndicate groups' [1]; teams of 3-5 [2].</t>
        </is>
      </c>
      <c r="Z21" s="77" t="inlineStr">
        <is>
          <t>Yes</t>
        </is>
      </c>
      <c r="AA21" s="77" t="inlineStr">
        <is>
          <t>Challenge 'identified by industry' [1]; partners submit brief [2].</t>
        </is>
      </c>
      <c r="AB21" s="77" t="inlineStr">
        <is>
          <t>Unclear</t>
        </is>
      </c>
      <c r="AC21" s="77" t="inlineStr">
        <is>
          <t>Sets challenge/brief</t>
        </is>
      </c>
      <c r="AD21" s="77" t="inlineStr"/>
      <c r="AE21" s="77" t="inlineStr">
        <is>
          <t>Not specified</t>
        </is>
      </c>
      <c r="AF21" s="77">
        <f>IF(OR(V21="No",X21="No",Z21="No"),"Outside strict definition",IF(AND(V21="Yes",X21="Yes",Z21="Yes"),"Meets all three","Potentially relevant; evidence incomplete"))</f>
        <v/>
      </c>
      <c r="AG21" s="77" t="inlineStr">
        <is>
          <t>Current status unclear</t>
        </is>
      </c>
      <c r="AH21" s="77" t="inlineStr">
        <is>
          <t>undated (current handbook page; 2026 MC-SCIBIT course structure page appeared in results but no extract obtained)</t>
        </is>
      </c>
      <c r="AI21" s="77" t="inlineStr">
        <is>
          <t>Yes</t>
        </is>
      </c>
      <c r="AJ21" s="77">
        <f>IF(AND(AI21="Yes",AF21="Meets all three",AG21="Current delivery confirmed"),"Yes","No")</f>
        <v/>
      </c>
      <c r="AK21" s="77" t="inlineStr"/>
      <c r="AL21" s="77" t="inlineStr">
        <is>
          <t>AU02-S10-R1; AU02-S10-R2</t>
        </is>
      </c>
      <c r="AM21" s="77" t="inlineStr">
        <is>
          <t>Direct 2026 extract not obtained; search index flagged handbook overview as cached ~4.6 years ago.</t>
        </is>
      </c>
      <c r="AN21" s="77" t="inlineStr"/>
      <c r="AO21" s="77" t="inlineStr">
        <is>
          <t>Australia</t>
        </is>
      </c>
      <c r="AP21" s="77" t="inlineStr">
        <is>
          <t>Australia</t>
        </is>
      </c>
      <c r="AQ21" s="77" t="inlineStr">
        <is>
          <t>Unclear</t>
        </is>
      </c>
      <c r="AR21" s="77" t="inlineStr">
        <is>
          <t>Unclear</t>
        </is>
      </c>
      <c r="AS21" s="77" t="inlineStr"/>
    </row>
    <row r="22">
      <c r="A22" s="77" t="inlineStr">
        <is>
          <t>AU02</t>
        </is>
      </c>
      <c r="B22" s="77" t="inlineStr">
        <is>
          <t>Melbourne</t>
        </is>
      </c>
      <c r="C22" s="77" t="inlineStr">
        <is>
          <t>Programme/course</t>
        </is>
      </c>
      <c r="D22" s="77" t="inlineStr">
        <is>
          <t>AU02-S11</t>
        </is>
      </c>
      <c r="E22" s="77" t="inlineStr">
        <is>
          <t>AU02-S09</t>
        </is>
      </c>
      <c r="F22" s="77" t="inlineStr">
        <is>
          <t>No</t>
        </is>
      </c>
      <c r="G22" s="79" t="inlineStr">
        <is>
          <t>Data Science Project Part 1 / Part 2</t>
        </is>
      </c>
      <c r="H22" s="77" t="inlineStr">
        <is>
          <t>Master of Data Science capstone Industry Project</t>
        </is>
      </c>
      <c r="I22" s="77" t="inlineStr">
        <is>
          <t>MAST90106 / MAST90107</t>
        </is>
      </c>
      <c r="J22" s="77" t="inlineStr">
        <is>
          <t>Year-long Master of Data Science capstone in which student teams work under general staff guidance on an industry partner's data science problem, producing a group project report and oral presentation; individual contribution tracked via diaries.</t>
        </is>
      </c>
      <c r="K22" s="77" t="inlineStr">
        <is>
          <t>Faculty of Science (School of Mathematics and Statistics); also listed on CIS capstone page</t>
        </is>
      </c>
      <c r="L22" s="77" t="inlineStr">
        <is>
          <t>Master of Data Science</t>
        </is>
      </c>
      <c r="M22" s="77" t="inlineStr">
        <is>
          <t>Science; Engineering/computing</t>
        </is>
      </c>
      <c r="N22" s="77" t="inlineStr">
        <is>
          <t>Postgraduate taught</t>
        </is>
      </c>
      <c r="O22" s="77" t="inlineStr">
        <is>
          <t>Final year</t>
        </is>
      </c>
      <c r="P22" s="77" t="inlineStr">
        <is>
          <t>Students choose Capstone Project or Research Pathway Project (WAM 80+ for the individual research alternative).</t>
        </is>
      </c>
      <c r="Q22" s="77" t="inlineStr">
        <is>
          <t>Compulsory within specified programmes</t>
        </is>
      </c>
      <c r="R22" s="77" t="inlineStr">
        <is>
          <t>Curricular</t>
        </is>
      </c>
      <c r="S22" s="77" t="inlineStr">
        <is>
          <t>12.5 + 12.5 points; group report and oral presentation (Part 2).</t>
        </is>
      </c>
      <c r="T22" s="77" t="inlineStr">
        <is>
          <t>Year long, commencing Semester 1</t>
        </is>
      </c>
      <c r="U22" s="77" t="inlineStr">
        <is>
          <t>On campus</t>
        </is>
      </c>
      <c r="V22" s="77" t="inlineStr">
        <is>
          <t>Yes</t>
        </is>
      </c>
      <c r="W22" s="77" t="inlineStr">
        <is>
          <t>Capstone industry project delivering solutions to real-world challenges [2]; group report and presentation [1].</t>
        </is>
      </c>
      <c r="X22" s="77" t="inlineStr">
        <is>
          <t>Yes</t>
        </is>
      </c>
      <c r="Y22" s="77" t="inlineStr">
        <is>
          <t>'students work in teams under only general guidance from staff members' [1].</t>
        </is>
      </c>
      <c r="Z22" s="77" t="inlineStr">
        <is>
          <t>Yes</t>
        </is>
      </c>
      <c r="AA22" s="77" t="inlineStr">
        <is>
          <t>Participating organisations submit briefs and receive solutions [2]; listed on CIS industry capstone page [3].</t>
        </is>
      </c>
      <c r="AB22" s="77" t="inlineStr">
        <is>
          <t>Unclear</t>
        </is>
      </c>
      <c r="AC22" s="77" t="inlineStr">
        <is>
          <t>Brief-setter / client</t>
        </is>
      </c>
      <c r="AD22" s="77" t="inlineStr"/>
      <c r="AE22" s="77" t="inlineStr">
        <is>
          <t>Group project report and oral presentation</t>
        </is>
      </c>
      <c r="AF22" s="77">
        <f>IF(OR(V22="No",X22="No",Z22="No"),"Outside strict definition",IF(AND(V22="Yes",X22="Yes",Z22="Yes"),"Meets all three","Potentially relevant; evidence incomplete"))</f>
        <v/>
      </c>
      <c r="AG22" s="77" t="inlineStr">
        <is>
          <t>Current delivery confirmed</t>
        </is>
      </c>
      <c r="AH22" s="77" t="inlineStr">
        <is>
          <t>2026</t>
        </is>
      </c>
      <c r="AI22" s="77" t="inlineStr">
        <is>
          <t>Yes</t>
        </is>
      </c>
      <c r="AJ22" s="77">
        <f>IF(AND(AI22="Yes",AF22="Meets all three",AG22="Current delivery confirmed"),"Yes","No")</f>
        <v/>
      </c>
      <c r="AK22" s="77" t="inlineStr"/>
      <c r="AL22" s="77" t="inlineStr">
        <is>
          <t>AU02-S11-R1; AU02-S11-R2; AU02-S11-R3; AU02-S11-R4</t>
        </is>
      </c>
      <c r="AM22" s="77" t="inlineStr">
        <is>
          <t>Not every capstone team necessarily has an external partner (handbook extract silent).</t>
        </is>
      </c>
      <c r="AN22" s="77" t="inlineStr"/>
      <c r="AO22" s="77" t="inlineStr">
        <is>
          <t>Australia</t>
        </is>
      </c>
      <c r="AP22" s="77" t="inlineStr">
        <is>
          <t>Australia</t>
        </is>
      </c>
      <c r="AQ22" s="77" t="inlineStr">
        <is>
          <t>Unclear</t>
        </is>
      </c>
      <c r="AR22" s="77" t="inlineStr">
        <is>
          <t>Unclear</t>
        </is>
      </c>
      <c r="AS22" s="77" t="inlineStr"/>
    </row>
    <row r="23">
      <c r="A23" s="77" t="inlineStr">
        <is>
          <t>AU02</t>
        </is>
      </c>
      <c r="B23" s="77" t="inlineStr">
        <is>
          <t>Melbourne</t>
        </is>
      </c>
      <c r="C23" s="77" t="inlineStr">
        <is>
          <t>Programme/course</t>
        </is>
      </c>
      <c r="D23" s="77" t="inlineStr">
        <is>
          <t>AU02-S12</t>
        </is>
      </c>
      <c r="E23" s="77" t="inlineStr">
        <is>
          <t>AU02-S09</t>
        </is>
      </c>
      <c r="F23" s="77" t="inlineStr">
        <is>
          <t>No</t>
        </is>
      </c>
      <c r="G23" s="79" t="inlineStr">
        <is>
          <t>Industry Project in Environmental Science Pt1 &amp; Pt2</t>
        </is>
      </c>
      <c r="H23" s="77" t="inlineStr">
        <is>
          <t>Master of Environmental Science Industry Project</t>
        </is>
      </c>
      <c r="I23" s="77" t="inlineStr">
        <is>
          <t>EVSC code not retrieved (taken with EVSC90019 Graduate Seminar)</t>
        </is>
      </c>
      <c r="J23" s="77" t="inlineStr">
        <is>
          <t>Second-year capstone of the Master of Environmental Science: year-long industry project for an assigned industry client, including time at the client's workplace. Outstanding students may substitute a research project (EVSC90034/35).</t>
        </is>
      </c>
      <c r="K23" s="77" t="inlineStr">
        <is>
          <t>Faculty of Science</t>
        </is>
      </c>
      <c r="L23" s="77" t="inlineStr">
        <is>
          <t>Master of Environmental Science</t>
        </is>
      </c>
      <c r="M23" s="77" t="inlineStr">
        <is>
          <t>Science</t>
        </is>
      </c>
      <c r="N23" s="77" t="inlineStr">
        <is>
          <t>Postgraduate taught</t>
        </is>
      </c>
      <c r="O23" s="77" t="inlineStr">
        <is>
          <t>Second year</t>
        </is>
      </c>
      <c r="P23" s="77" t="inlineStr"/>
      <c r="Q23" s="77" t="inlineStr">
        <is>
          <t>Compulsory within specified programmes</t>
        </is>
      </c>
      <c r="R23" s="77" t="inlineStr">
        <is>
          <t>Curricular</t>
        </is>
      </c>
      <c r="S23" s="77" t="inlineStr">
        <is>
          <t>Not retrieved</t>
        </is>
      </c>
      <c r="T23" s="77" t="inlineStr">
        <is>
          <t>Year long</t>
        </is>
      </c>
      <c r="U23" s="77" t="inlineStr">
        <is>
          <t>Campus and client workplace</t>
        </is>
      </c>
      <c r="V23" s="77" t="inlineStr">
        <is>
          <t>Yes</t>
        </is>
      </c>
      <c r="W23" s="77" t="inlineStr">
        <is>
          <t>'industry-based project' capstone [1].</t>
        </is>
      </c>
      <c r="X23" s="77" t="inlineStr">
        <is>
          <t>Unclear</t>
        </is>
      </c>
      <c r="Y23" s="77" t="inlineStr">
        <is>
          <t>Faculty umbrella page says all four programmes use teams of 3-5 [2], but the Study Melbourne course page describes an individual client placement; subject page not retrieved.</t>
        </is>
      </c>
      <c r="Z23" s="77" t="inlineStr">
        <is>
          <t>Yes</t>
        </is>
      </c>
      <c r="AA23" s="77" t="inlineStr">
        <is>
          <t>Assigned industry client; students spend time at client's workplace [1][2].</t>
        </is>
      </c>
      <c r="AB23" s="77" t="inlineStr">
        <is>
          <t>Unclear</t>
        </is>
      </c>
      <c r="AC23" s="77" t="inlineStr">
        <is>
          <t>Client and host workplace</t>
        </is>
      </c>
      <c r="AD23" s="77" t="inlineStr"/>
      <c r="AE23" s="77" t="inlineStr">
        <is>
          <t>Not specified</t>
        </is>
      </c>
      <c r="AF23" s="77">
        <f>IF(OR(V23="No",X23="No",Z23="No"),"Outside strict definition",IF(AND(V23="Yes",X23="Yes",Z23="Yes"),"Meets all three","Potentially relevant; evidence incomplete"))</f>
        <v/>
      </c>
      <c r="AG23" s="77" t="inlineStr">
        <is>
          <t>Current delivery confirmed</t>
        </is>
      </c>
      <c r="AH23" s="77" t="inlineStr">
        <is>
          <t>2026</t>
        </is>
      </c>
      <c r="AI23" s="77" t="inlineStr">
        <is>
          <t>Yes</t>
        </is>
      </c>
      <c r="AJ23" s="77">
        <f>IF(AND(AI23="Yes",AF23="Meets all three",AG23="Current delivery confirmed"),"Yes","No")</f>
        <v/>
      </c>
      <c r="AK23" s="77" t="inlineStr"/>
      <c r="AL23" s="77" t="inlineStr">
        <is>
          <t>AU02-S12-R1; AU02-S12-R2</t>
        </is>
      </c>
      <c r="AM23" s="77" t="inlineStr">
        <is>
          <t>Team vs individual format conflicting between sources; subject code.</t>
        </is>
      </c>
      <c r="AN23" s="77" t="inlineStr"/>
      <c r="AO23" s="77" t="inlineStr">
        <is>
          <t>Australia</t>
        </is>
      </c>
      <c r="AP23" s="77" t="inlineStr">
        <is>
          <t>Australia</t>
        </is>
      </c>
      <c r="AQ23" s="77" t="inlineStr">
        <is>
          <t>Unclear</t>
        </is>
      </c>
      <c r="AR23" s="77" t="inlineStr">
        <is>
          <t>Unclear</t>
        </is>
      </c>
      <c r="AS23" s="77" t="inlineStr"/>
    </row>
    <row r="24">
      <c r="A24" s="77" t="inlineStr">
        <is>
          <t>AU02</t>
        </is>
      </c>
      <c r="B24" s="77" t="inlineStr">
        <is>
          <t>Melbourne</t>
        </is>
      </c>
      <c r="C24" s="77" t="inlineStr">
        <is>
          <t>Faculty/school</t>
        </is>
      </c>
      <c r="D24" s="77" t="inlineStr">
        <is>
          <t>AU02-S13</t>
        </is>
      </c>
      <c r="E24" s="77" t="inlineStr"/>
      <c r="F24" s="77" t="inlineStr">
        <is>
          <t>No</t>
        </is>
      </c>
      <c r="G24" s="79" t="inlineStr">
        <is>
          <t>Management Consulting</t>
        </is>
      </c>
      <c r="H24" s="77" t="inlineStr">
        <is>
          <t>Management Consulting</t>
        </is>
      </c>
      <c r="I24" s="77" t="inlineStr">
        <is>
          <t>MGMT30012</t>
        </is>
      </c>
      <c r="J24" s="77" t="inlineStr">
        <is>
          <t>Level-3 capstone in which cross-disciplinary student teams are assigned to a client organisation and address its business problems at individual, organisational and industry levels, supported by consulting-tools workshops; assessed through team progress notes, presentation and report.</t>
        </is>
      </c>
      <c r="K24" s="77" t="inlineStr">
        <is>
          <t>Faculty of Business and Economics (Department of Management and Marketing)</t>
        </is>
      </c>
      <c r="L24" s="77" t="inlineStr">
        <is>
          <t>Undergraduates with 150 points incl. MGMT20001 (earlier) / 150 points + coordinator permission (from S2 2024); listed in 2026 BCom Management major.</t>
        </is>
      </c>
      <c r="M24" s="77" t="inlineStr">
        <is>
          <t>Business/management</t>
        </is>
      </c>
      <c r="N24" s="77" t="inlineStr">
        <is>
          <t>Undergraduate</t>
        </is>
      </c>
      <c r="O24" s="77" t="inlineStr">
        <is>
          <t>Level 3</t>
        </is>
      </c>
      <c r="P24" s="77" t="inlineStr">
        <is>
          <t>Quota (60 in 2024), selection by application, coordinator permission.</t>
        </is>
      </c>
      <c r="Q24" s="77" t="inlineStr">
        <is>
          <t>Selective/competitive</t>
        </is>
      </c>
      <c r="R24" s="77" t="inlineStr">
        <is>
          <t>Curricular</t>
        </is>
      </c>
      <c r="S24" s="77" t="inlineStr">
        <is>
          <t>12.5 points. 2023: workshop participation hurdle, team progress notes, team presentation, team report, reflective essay, peer evaluation.</t>
        </is>
      </c>
      <c r="T24" s="77" t="inlineStr">
        <is>
          <t>One semester (Semesters 1 and 2)</t>
        </is>
      </c>
      <c r="U24" s="77" t="inlineStr">
        <is>
          <t>On campus (Parkville)</t>
        </is>
      </c>
      <c r="V24" s="77" t="inlineStr">
        <is>
          <t>Yes</t>
        </is>
      </c>
      <c r="W24" s="77" t="inlineStr">
        <is>
          <t>Address client's business problems e.g. process improvement, go-to-market strategy [1].</t>
        </is>
      </c>
      <c r="X24" s="77" t="inlineStr">
        <is>
          <t>Yes</t>
        </is>
      </c>
      <c r="Y24" s="77" t="inlineStr">
        <is>
          <t>'Working in cross-disciplinary teams' [1]; team presentation/report [2].</t>
        </is>
      </c>
      <c r="Z24" s="77" t="inlineStr">
        <is>
          <t>Yes</t>
        </is>
      </c>
      <c r="AA24" s="77" t="inlineStr">
        <is>
          <t>'students will be assigned to a client organisation' [1].</t>
        </is>
      </c>
      <c r="AB24" s="77" t="inlineStr">
        <is>
          <t>Unclear</t>
        </is>
      </c>
      <c r="AC24" s="77" t="inlineStr">
        <is>
          <t>Client organisation</t>
        </is>
      </c>
      <c r="AD24" s="77" t="inlineStr"/>
      <c r="AE24" s="77" t="inlineStr">
        <is>
          <t>Team report and presentation to client</t>
        </is>
      </c>
      <c r="AF24" s="77">
        <f>IF(OR(V24="No",X24="No",Z24="No"),"Outside strict definition",IF(AND(V24="Yes",X24="Yes",Z24="Yes"),"Meets all three","Potentially relevant; evidence incomplete"))</f>
        <v/>
      </c>
      <c r="AG24" s="77" t="inlineStr">
        <is>
          <t>Current delivery confirmed</t>
        </is>
      </c>
      <c r="AH24" s="77" t="inlineStr">
        <is>
          <t>2026</t>
        </is>
      </c>
      <c r="AI24" s="77" t="inlineStr">
        <is>
          <t>Yes</t>
        </is>
      </c>
      <c r="AJ24" s="77">
        <f>IF(AND(AI24="Yes",AF24="Meets all three",AG24="Current delivery confirmed"),"Yes","No")</f>
        <v/>
      </c>
      <c r="AK24" s="77" t="inlineStr">
        <is>
          <t>Quota 60 students (2024 handbook) - a cap, not enrolment.</t>
        </is>
      </c>
      <c r="AL24" s="77" t="inlineStr">
        <is>
          <t>AU02-S13-R1; AU02-S13-R2; AU02-S13-R3; AU02-S13-R4</t>
        </is>
      </c>
      <c r="AM24" s="77" t="inlineStr">
        <is>
          <t>2026 status rests on current (unyeared) handbook page plus listing in 2026 BCom Management major structure; 2026 assessment not retrieved. May overlap with FBE Industry Projects (S7).</t>
        </is>
      </c>
      <c r="AN24" s="77" t="inlineStr"/>
      <c r="AO24" s="77" t="inlineStr">
        <is>
          <t>Australia</t>
        </is>
      </c>
      <c r="AP24" s="77" t="inlineStr">
        <is>
          <t>Australia</t>
        </is>
      </c>
      <c r="AQ24" s="77" t="inlineStr">
        <is>
          <t>Unclear</t>
        </is>
      </c>
      <c r="AR24" s="77" t="inlineStr">
        <is>
          <t>Unclear</t>
        </is>
      </c>
      <c r="AS24" s="77" t="inlineStr"/>
    </row>
    <row r="25">
      <c r="A25" s="77" t="inlineStr">
        <is>
          <t>AU02</t>
        </is>
      </c>
      <c r="B25" s="77" t="inlineStr">
        <is>
          <t>Melbourne</t>
        </is>
      </c>
      <c r="C25" s="77" t="inlineStr">
        <is>
          <t>Faculty/school</t>
        </is>
      </c>
      <c r="D25" s="77" t="inlineStr">
        <is>
          <t>AU02-S14</t>
        </is>
      </c>
      <c r="E25" s="77" t="inlineStr"/>
      <c r="F25" s="77" t="inlineStr">
        <is>
          <t>No</t>
        </is>
      </c>
      <c r="G25" s="79" t="inlineStr">
        <is>
          <t>Industry Projects (FBE partner offer)</t>
        </is>
      </c>
      <c r="H25" s="77" t="inlineStr">
        <is>
          <t>FBE for-credit Industry Projects</t>
        </is>
      </c>
      <c r="I25" s="77" t="inlineStr">
        <is>
          <t>Not named</t>
        </is>
      </c>
      <c r="J25" s="77" t="inlineStr">
        <is>
          <t>Partner-facing FBE offer connecting organisations with groups of 5-30 students who analyse the organisation's business challenge and deliver implementable recommendations; projects are embedded in undergraduate or postgraduate programs for credit. Example: a banking partner had students assess a new electronic financial product.</t>
        </is>
      </c>
      <c r="K25" s="77" t="inlineStr">
        <is>
          <t>Faculty of Business and Economics - industry programs team</t>
        </is>
      </c>
      <c r="L25" s="77" t="inlineStr">
        <is>
          <t>Not specified (FBE UG/PG programs)</t>
        </is>
      </c>
      <c r="M25" s="77" t="inlineStr">
        <is>
          <t>Business/management</t>
        </is>
      </c>
      <c r="N25" s="77" t="inlineStr">
        <is>
          <t>Mixed</t>
        </is>
      </c>
      <c r="O25" s="77" t="inlineStr"/>
      <c r="P25" s="77" t="inlineStr">
        <is>
          <t>Not specified</t>
        </is>
      </c>
      <c r="Q25" s="77" t="inlineStr">
        <is>
          <t>Unclear</t>
        </is>
      </c>
      <c r="R25" s="77" t="inlineStr">
        <is>
          <t>Curricular</t>
        </is>
      </c>
      <c r="S25" s="77" t="inlineStr">
        <is>
          <t>For credit (subjects not named)</t>
        </is>
      </c>
      <c r="T25" s="77" t="inlineStr">
        <is>
          <t>Not specified</t>
        </is>
      </c>
      <c r="U25" s="77" t="inlineStr">
        <is>
          <t>Not specified</t>
        </is>
      </c>
      <c r="V25" s="77" t="inlineStr">
        <is>
          <t>Yes</t>
        </is>
      </c>
      <c r="W25" s="77" t="inlineStr">
        <is>
          <t>Analyse business challenge, deliver recommendations; scope from market scans to reimagining part of a business [1].</t>
        </is>
      </c>
      <c r="X25" s="77" t="inlineStr">
        <is>
          <t>Yes</t>
        </is>
      </c>
      <c r="Y25" s="77" t="inlineStr">
        <is>
          <t>'groups of 5-30 talented students' [1].</t>
        </is>
      </c>
      <c r="Z25" s="77" t="inlineStr">
        <is>
          <t>Yes</t>
        </is>
      </c>
      <c r="AA25" s="77" t="inlineStr">
        <is>
          <t>Organisation supplies the business challenge and receives recommendations [1].</t>
        </is>
      </c>
      <c r="AB25" s="77" t="inlineStr">
        <is>
          <t>Business/commercial</t>
        </is>
      </c>
      <c r="AC25" s="77" t="inlineStr">
        <is>
          <t>Supplies challenge; receives recommendations</t>
        </is>
      </c>
      <c r="AD25" s="77" t="inlineStr">
        <is>
          <t>Unnamed banking partner (case study, undated)</t>
        </is>
      </c>
      <c r="AE25" s="77" t="inlineStr">
        <is>
          <t>Practical recommendations</t>
        </is>
      </c>
      <c r="AF25" s="77">
        <f>IF(OR(V25="No",X25="No",Z25="No"),"Outside strict definition",IF(AND(V25="Yes",X25="Yes",Z25="Yes"),"Meets all three","Potentially relevant; evidence incomplete"))</f>
        <v/>
      </c>
      <c r="AG25" s="77" t="inlineStr">
        <is>
          <t>Current status unclear</t>
        </is>
      </c>
      <c r="AH25" s="77" t="inlineStr">
        <is>
          <t>undated</t>
        </is>
      </c>
      <c r="AI25" s="77" t="inlineStr">
        <is>
          <t>Yes</t>
        </is>
      </c>
      <c r="AJ25" s="77">
        <f>IF(AND(AI25="Yes",AF25="Meets all three",AG25="Current delivery confirmed"),"Yes","No")</f>
        <v/>
      </c>
      <c r="AK25" s="77" t="inlineStr"/>
      <c r="AL25" s="77" t="inlineStr">
        <is>
          <t>AU02-S14-R1</t>
        </is>
      </c>
      <c r="AM25" s="77" t="inlineStr">
        <is>
          <t>Underlying subjects not named - likely overlaps with S6 (MGMT30012) and/or S10; should not be counted as an additional distinct route unless further subjects are identified.</t>
        </is>
      </c>
      <c r="AN25" s="77" t="inlineStr"/>
      <c r="AO25" s="77" t="inlineStr">
        <is>
          <t>Australia</t>
        </is>
      </c>
      <c r="AP25" s="77" t="inlineStr">
        <is>
          <t>Australia</t>
        </is>
      </c>
      <c r="AQ25" s="77" t="inlineStr">
        <is>
          <t>Unclear</t>
        </is>
      </c>
      <c r="AR25" s="77" t="inlineStr">
        <is>
          <t>Unclear</t>
        </is>
      </c>
      <c r="AS25" s="77" t="inlineStr"/>
    </row>
    <row r="26">
      <c r="A26" s="77" t="inlineStr">
        <is>
          <t>AU02</t>
        </is>
      </c>
      <c r="B26" s="77" t="inlineStr">
        <is>
          <t>Melbourne</t>
        </is>
      </c>
      <c r="C26" s="77" t="inlineStr">
        <is>
          <t>Faculty/school</t>
        </is>
      </c>
      <c r="D26" s="77" t="inlineStr">
        <is>
          <t>AU02-S15</t>
        </is>
      </c>
      <c r="E26" s="77" t="inlineStr"/>
      <c r="F26" s="77" t="inlineStr">
        <is>
          <t>No</t>
        </is>
      </c>
      <c r="G26" s="79" t="inlineStr">
        <is>
          <t>Business Innovation Challenge</t>
        </is>
      </c>
      <c r="H26" s="77" t="inlineStr">
        <is>
          <t>Business Innovation Challenge</t>
        </is>
      </c>
      <c r="I26" s="77" t="inlineStr"/>
      <c r="J26" s="77" t="inlineStr">
        <is>
          <t>Two-day in-person design-thinking challenge, run three times a year, in which small cross-disciplinary FBE student teams tackle a challenge set by a real organisation and pitch to a judging panel ($2000 prize). Completion leads to an invitation to the 'Innovation' Melbourne Plus credential.</t>
        </is>
      </c>
      <c r="K26" s="77" t="inlineStr">
        <is>
          <t>Faculty of Business and Economics / Melbourne Business School careers</t>
        </is>
      </c>
      <c r="L26" s="77" t="inlineStr">
        <is>
          <t>Students enrolled in the Faculty of Business and Economics</t>
        </is>
      </c>
      <c r="M26" s="77" t="inlineStr">
        <is>
          <t>Business/management</t>
        </is>
      </c>
      <c r="N26" s="77" t="inlineStr">
        <is>
          <t>Mixed</t>
        </is>
      </c>
      <c r="O26" s="77" t="inlineStr">
        <is>
          <t>Any</t>
        </is>
      </c>
      <c r="P26" s="77" t="inlineStr">
        <is>
          <t>FBE enrolment; not previously completed; available full two days on campus; application.</t>
        </is>
      </c>
      <c r="Q26" s="77" t="inlineStr">
        <is>
          <t>Selective/competitive</t>
        </is>
      </c>
      <c r="R26" s="77" t="inlineStr">
        <is>
          <t>Extracurricular</t>
        </is>
      </c>
      <c r="S26" s="77" t="inlineStr">
        <is>
          <t>None (Melbourne Plus credential reflection)</t>
        </is>
      </c>
      <c r="T26" s="77" t="inlineStr">
        <is>
          <t>2 days</t>
        </is>
      </c>
      <c r="U26" s="77" t="inlineStr">
        <is>
          <t>In person on campus</t>
        </is>
      </c>
      <c r="V26" s="77" t="inlineStr">
        <is>
          <t>Yes</t>
        </is>
      </c>
      <c r="W26" s="77" t="inlineStr">
        <is>
          <t>Team solution to a real organisation's business challenge, pitched to a panel [1]. Note very short (2-day) format.</t>
        </is>
      </c>
      <c r="X26" s="77" t="inlineStr">
        <is>
          <t>Yes</t>
        </is>
      </c>
      <c r="Y26" s="77" t="inlineStr">
        <is>
          <t>'small cross-disciplinary teams' [1].</t>
        </is>
      </c>
      <c r="Z26" s="77" t="inlineStr">
        <is>
          <t>Yes</t>
        </is>
      </c>
      <c r="AA26" s="77" t="inlineStr">
        <is>
          <t>Challenge 'set by a real organisation' [1]; whether the organisation sits on the judging panel not stated.</t>
        </is>
      </c>
      <c r="AB26" s="77" t="inlineStr">
        <is>
          <t>Unclear</t>
        </is>
      </c>
      <c r="AC26" s="77" t="inlineStr">
        <is>
          <t>Sets live challenge</t>
        </is>
      </c>
      <c r="AD26" s="77" t="inlineStr"/>
      <c r="AE26" s="77" t="inlineStr">
        <is>
          <t>Pitch to judging panel</t>
        </is>
      </c>
      <c r="AF26" s="77">
        <f>IF(OR(V26="No",X26="No",Z26="No"),"Outside strict definition",IF(AND(V26="Yes",X26="Yes",Z26="Yes"),"Meets all three","Potentially relevant; evidence incomplete"))</f>
        <v/>
      </c>
      <c r="AG26" s="77" t="inlineStr">
        <is>
          <t>Current delivery confirmed</t>
        </is>
      </c>
      <c r="AH26" s="77" t="inlineStr">
        <is>
          <t>2026</t>
        </is>
      </c>
      <c r="AI26" s="77" t="inlineStr">
        <is>
          <t>Yes</t>
        </is>
      </c>
      <c r="AJ26" s="77">
        <f>IF(AND(AI26="Yes",AF26="Meets all three",AG26="Current delivery confirmed"),"Yes","No")</f>
        <v/>
      </c>
      <c r="AK26" s="77" t="inlineStr"/>
      <c r="AL26" s="77" t="inlineStr">
        <is>
          <t>AU02-S15-R1; AU02-S15-R2</t>
        </is>
      </c>
      <c r="AM26" s="77" t="inlineStr">
        <is>
          <t>Whether a 2-day challenge meets 'substantive project'; whether partner judges. Possibly successor of the Business Innovation Lab (see exclusions).</t>
        </is>
      </c>
      <c r="AN26" s="77" t="inlineStr"/>
      <c r="AO26" s="77" t="inlineStr">
        <is>
          <t>Australia</t>
        </is>
      </c>
      <c r="AP26" s="77" t="inlineStr">
        <is>
          <t>Australia</t>
        </is>
      </c>
      <c r="AQ26" s="77" t="inlineStr">
        <is>
          <t>Unclear</t>
        </is>
      </c>
      <c r="AR26" s="77" t="inlineStr">
        <is>
          <t>Unclear</t>
        </is>
      </c>
      <c r="AS26" s="77" t="inlineStr"/>
    </row>
    <row r="27">
      <c r="A27" s="77" t="inlineStr">
        <is>
          <t>AU02</t>
        </is>
      </c>
      <c r="B27" s="77" t="inlineStr">
        <is>
          <t>Melbourne</t>
        </is>
      </c>
      <c r="C27" s="77" t="inlineStr">
        <is>
          <t>Faculty/school</t>
        </is>
      </c>
      <c r="D27" s="77" t="inlineStr">
        <is>
          <t>AU02-S16</t>
        </is>
      </c>
      <c r="E27" s="77" t="inlineStr"/>
      <c r="F27" s="77" t="inlineStr">
        <is>
          <t>No</t>
        </is>
      </c>
      <c r="G27" s="79" t="inlineStr">
        <is>
          <t>Virtual Industry Projects</t>
        </is>
      </c>
      <c r="H27" s="77" t="inlineStr">
        <is>
          <t>Virtual Industry Projects (with Practera)</t>
        </is>
      </c>
      <c r="I27" s="77" t="inlineStr"/>
      <c r="J27" s="77" t="inlineStr">
        <is>
          <t>Two-week online consulting project (minimum 25 hours) run with Practera in Winter and Summer breaks: small diverse teams act as consultants solving a real business problem for a client, receiving client feedback and presenting a solution. Practera handles client matching.</t>
        </is>
      </c>
      <c r="K27" s="77" t="inlineStr">
        <is>
          <t>Faculty of Business and Economics careers, delivered via Practera</t>
        </is>
      </c>
      <c r="L27" s="77" t="inlineStr">
        <is>
          <t>Students enrolled in the Faculty of Business and Economics</t>
        </is>
      </c>
      <c r="M27" s="77" t="inlineStr">
        <is>
          <t>Business/management</t>
        </is>
      </c>
      <c r="N27" s="77" t="inlineStr">
        <is>
          <t>Mixed</t>
        </is>
      </c>
      <c r="O27" s="77" t="inlineStr">
        <is>
          <t>Any</t>
        </is>
      </c>
      <c r="P27" s="77" t="inlineStr">
        <is>
          <t>FBE enrolment; not completed in past 12 months; 25 hours availability; application.</t>
        </is>
      </c>
      <c r="Q27" s="77" t="inlineStr">
        <is>
          <t>Selective/competitive</t>
        </is>
      </c>
      <c r="R27" s="77" t="inlineStr">
        <is>
          <t>Extracurricular</t>
        </is>
      </c>
      <c r="S27" s="77" t="inlineStr">
        <is>
          <t>None (Melbourne Plus 'Innovation' credential)</t>
        </is>
      </c>
      <c r="T27" s="77" t="inlineStr">
        <is>
          <t>2 weeks, min. 25 hours</t>
        </is>
      </c>
      <c r="U27" s="77" t="inlineStr">
        <is>
          <t>Online</t>
        </is>
      </c>
      <c r="V27" s="77" t="inlineStr">
        <is>
          <t>Yes</t>
        </is>
      </c>
      <c r="W27" s="77" t="inlineStr">
        <is>
          <t>Solve a real-world business problem for a client, develop and present solution [1].</t>
        </is>
      </c>
      <c r="X27" s="77" t="inlineStr">
        <is>
          <t>Yes</t>
        </is>
      </c>
      <c r="Y27" s="77" t="inlineStr">
        <is>
          <t>'collaborate in a small, diverse team' [1].</t>
        </is>
      </c>
      <c r="Z27" s="77" t="inlineStr">
        <is>
          <t>Yes</t>
        </is>
      </c>
      <c r="AA27" s="77" t="inlineStr">
        <is>
          <t>Live client provides problem and gives feedback throughout [1]; not a simulation per extract.</t>
        </is>
      </c>
      <c r="AB27" s="77" t="inlineStr">
        <is>
          <t>Unclear</t>
        </is>
      </c>
      <c r="AC27" s="77" t="inlineStr">
        <is>
          <t>Client: supplies problem, gives feedback, receives solution</t>
        </is>
      </c>
      <c r="AD27" s="77" t="inlineStr"/>
      <c r="AE27" s="77" t="inlineStr">
        <is>
          <t>Presented solution to client</t>
        </is>
      </c>
      <c r="AF27" s="77">
        <f>IF(OR(V27="No",X27="No",Z27="No"),"Outside strict definition",IF(AND(V27="Yes",X27="Yes",Z27="Yes"),"Meets all three","Potentially relevant; evidence incomplete"))</f>
        <v/>
      </c>
      <c r="AG27" s="77" t="inlineStr">
        <is>
          <t>Current delivery confirmed</t>
        </is>
      </c>
      <c r="AH27" s="77" t="inlineStr">
        <is>
          <t>2026</t>
        </is>
      </c>
      <c r="AI27" s="77" t="inlineStr">
        <is>
          <t>Yes</t>
        </is>
      </c>
      <c r="AJ27" s="77">
        <f>IF(AND(AI27="Yes",AF27="Meets all three",AG27="Current delivery confirmed"),"Yes","No")</f>
        <v/>
      </c>
      <c r="AK27" s="77" t="inlineStr"/>
      <c r="AL27" s="77" t="inlineStr">
        <is>
          <t>AU02-S16-R1; AU02-S16-R2</t>
        </is>
      </c>
      <c r="AM27" s="77" t="inlineStr">
        <is>
          <t>Short duration (25 hours) - substantive threshold; client identities not published.</t>
        </is>
      </c>
      <c r="AN27" s="77" t="inlineStr"/>
      <c r="AO27" s="77" t="inlineStr">
        <is>
          <t>Australia</t>
        </is>
      </c>
      <c r="AP27" s="77" t="inlineStr">
        <is>
          <t>Australia</t>
        </is>
      </c>
      <c r="AQ27" s="77" t="inlineStr">
        <is>
          <t>Unclear</t>
        </is>
      </c>
      <c r="AR27" s="77" t="inlineStr">
        <is>
          <t>Unclear</t>
        </is>
      </c>
      <c r="AS27" s="77" t="inlineStr"/>
    </row>
    <row r="28">
      <c r="A28" s="77" t="inlineStr">
        <is>
          <t>AU02</t>
        </is>
      </c>
      <c r="B28" s="77" t="inlineStr">
        <is>
          <t>Melbourne</t>
        </is>
      </c>
      <c r="C28" s="77" t="inlineStr">
        <is>
          <t>Unclear</t>
        </is>
      </c>
      <c r="D28" s="77" t="inlineStr">
        <is>
          <t>AU02-S17</t>
        </is>
      </c>
      <c r="E28" s="77" t="inlineStr"/>
      <c r="F28" s="77" t="inlineStr">
        <is>
          <t>No</t>
        </is>
      </c>
      <c r="G28" s="79" t="inlineStr">
        <is>
          <t>Group Project</t>
        </is>
      </c>
      <c r="H28" s="77" t="inlineStr">
        <is>
          <t>Group Project (graduate management)</t>
        </is>
      </c>
      <c r="I28" s="77" t="inlineStr">
        <is>
          <t>MGMT90129</t>
        </is>
      </c>
      <c r="J28" s="77" t="inlineStr">
        <is>
          <t>Graduate coursework subject: a group research project undertaken for an external organisation, with a project proposal in week 1, mid-semester update and group presentation.</t>
        </is>
      </c>
      <c r="K28" s="77" t="inlineStr">
        <is>
          <t>Faculty of Business and Economics (graduate management)</t>
        </is>
      </c>
      <c r="L28" s="77" t="inlineStr">
        <is>
          <t>Not retrieved</t>
        </is>
      </c>
      <c r="M28" s="77" t="inlineStr">
        <is>
          <t>Business/management</t>
        </is>
      </c>
      <c r="N28" s="77" t="inlineStr">
        <is>
          <t>Postgraduate taught</t>
        </is>
      </c>
      <c r="O28" s="77" t="inlineStr"/>
      <c r="P28" s="77" t="inlineStr"/>
      <c r="Q28" s="77" t="inlineStr">
        <is>
          <t>Unclear</t>
        </is>
      </c>
      <c r="R28" s="77" t="inlineStr">
        <is>
          <t>Curricular</t>
        </is>
      </c>
      <c r="S28" s="77" t="inlineStr">
        <is>
          <t>2024: proposal week 1, group presentation 15% (same mark for group), mid-semester update.</t>
        </is>
      </c>
      <c r="T28" s="77" t="inlineStr">
        <is>
          <t>One teaching period</t>
        </is>
      </c>
      <c r="U28" s="77" t="inlineStr">
        <is>
          <t>Not retrieved</t>
        </is>
      </c>
      <c r="V28" s="77" t="inlineStr">
        <is>
          <t>Yes</t>
        </is>
      </c>
      <c r="W28" s="77" t="inlineStr">
        <is>
          <t>'group research project' [1].</t>
        </is>
      </c>
      <c r="X28" s="77" t="inlineStr">
        <is>
          <t>Yes</t>
        </is>
      </c>
      <c r="Y28" s="77" t="inlineStr">
        <is>
          <t>'The Group Project is a group research project' [1].</t>
        </is>
      </c>
      <c r="Z28" s="77" t="inlineStr">
        <is>
          <t>Yes</t>
        </is>
      </c>
      <c r="AA28" s="77" t="inlineStr">
        <is>
          <t>'undertaken for an external organisation' [1].</t>
        </is>
      </c>
      <c r="AB28" s="77" t="inlineStr">
        <is>
          <t>Unclear</t>
        </is>
      </c>
      <c r="AC28" s="77" t="inlineStr">
        <is>
          <t>Commissioning organisation</t>
        </is>
      </c>
      <c r="AD28" s="77" t="inlineStr"/>
      <c r="AE28" s="77" t="inlineStr">
        <is>
          <t>Research output and group presentation</t>
        </is>
      </c>
      <c r="AF28" s="77">
        <f>IF(OR(V28="No",X28="No",Z28="No"),"Outside strict definition",IF(AND(V28="Yes",X28="Yes",Z28="Yes"),"Meets all three","Potentially relevant; evidence incomplete"))</f>
        <v/>
      </c>
      <c r="AG28" s="77" t="inlineStr">
        <is>
          <t>Current status unclear</t>
        </is>
      </c>
      <c r="AH28" s="77" t="inlineStr">
        <is>
          <t>2024</t>
        </is>
      </c>
      <c r="AI28" s="77" t="inlineStr">
        <is>
          <t>Yes</t>
        </is>
      </c>
      <c r="AJ28" s="77">
        <f>IF(AND(AI28="Yes",AF28="Meets all three",AG28="Current delivery confirmed"),"Yes","No")</f>
        <v/>
      </c>
      <c r="AK28" s="77" t="inlineStr"/>
      <c r="AL28" s="77" t="inlineStr">
        <is>
          <t>AU02-S17-R1</t>
        </is>
      </c>
      <c r="AM28" s="77" t="inlineStr">
        <is>
          <t>No 2025/26 offering evidenced.</t>
        </is>
      </c>
      <c r="AN28" s="77" t="inlineStr"/>
      <c r="AO28" s="77" t="inlineStr">
        <is>
          <t>Australia</t>
        </is>
      </c>
      <c r="AP28" s="77" t="inlineStr">
        <is>
          <t>Australia</t>
        </is>
      </c>
      <c r="AQ28" s="77" t="inlineStr">
        <is>
          <t>Unclear</t>
        </is>
      </c>
      <c r="AR28" s="77" t="inlineStr">
        <is>
          <t>Unclear</t>
        </is>
      </c>
      <c r="AS28" s="77" t="inlineStr"/>
    </row>
    <row r="29">
      <c r="A29" s="77" t="inlineStr">
        <is>
          <t>AU02</t>
        </is>
      </c>
      <c r="B29" s="77" t="inlineStr">
        <is>
          <t>Melbourne</t>
        </is>
      </c>
      <c r="C29" s="77" t="inlineStr">
        <is>
          <t>Programme/course</t>
        </is>
      </c>
      <c r="D29" s="77" t="inlineStr">
        <is>
          <t>AU02-S18</t>
        </is>
      </c>
      <c r="E29" s="77" t="inlineStr"/>
      <c r="F29" s="77" t="inlineStr">
        <is>
          <t>No</t>
        </is>
      </c>
      <c r="G29" s="79" t="inlineStr">
        <is>
          <t>Analytics Lab (Master of Business Analytics)</t>
        </is>
      </c>
      <c r="H29" s="77" t="inlineStr">
        <is>
          <t>MBS Analytics Lab</t>
        </is>
      </c>
      <c r="I29" s="77" t="inlineStr"/>
      <c r="J29" s="77" t="inlineStr">
        <is>
          <t>Five-week project within the Melbourne Business School Master of Business Analytics in which students work within an organisation on practical data analytics challenges (e.g. REA Group Off-Market Rental Analysis Project).</t>
        </is>
      </c>
      <c r="K29" s="77" t="inlineStr">
        <is>
          <t>Melbourne Business School - Centre for Business Analytics</t>
        </is>
      </c>
      <c r="L29" s="77" t="inlineStr">
        <is>
          <t>Master of Business Analytics</t>
        </is>
      </c>
      <c r="M29" s="77" t="inlineStr">
        <is>
          <t>Business/management</t>
        </is>
      </c>
      <c r="N29" s="77" t="inlineStr">
        <is>
          <t>Postgraduate taught</t>
        </is>
      </c>
      <c r="O29" s="77" t="inlineStr"/>
      <c r="P29" s="77" t="inlineStr"/>
      <c r="Q29" s="77" t="inlineStr">
        <is>
          <t>Compulsory within specified programmes</t>
        </is>
      </c>
      <c r="R29" s="77" t="inlineStr">
        <is>
          <t>Curricular</t>
        </is>
      </c>
      <c r="S29" s="77" t="inlineStr">
        <is>
          <t>Not retrieved</t>
        </is>
      </c>
      <c r="T29" s="77" t="inlineStr">
        <is>
          <t>5 weeks</t>
        </is>
      </c>
      <c r="U29" s="77" t="inlineStr">
        <is>
          <t>In organisation</t>
        </is>
      </c>
      <c r="V29" s="77" t="inlineStr">
        <is>
          <t>Yes</t>
        </is>
      </c>
      <c r="W29" s="77" t="inlineStr">
        <is>
          <t>Analytics project with insights delivered to partner [1].</t>
        </is>
      </c>
      <c r="X29" s="77" t="inlineStr">
        <is>
          <t>Unclear</t>
        </is>
      </c>
      <c r="Y29" s="77" t="inlineStr">
        <is>
          <t>Team format not stated in extracts.</t>
        </is>
      </c>
      <c r="Z29" s="77" t="inlineStr">
        <is>
          <t>Yes</t>
        </is>
      </c>
      <c r="AA29" s="77" t="inlineStr">
        <is>
          <t>Hosted inside partner organisations; REA Group host for past two years [1]; brochure lists EY, Suncorp, Downer, L'Oreal Australia [2].</t>
        </is>
      </c>
      <c r="AB29" s="77" t="inlineStr">
        <is>
          <t>Business/commercial</t>
        </is>
      </c>
      <c r="AC29" s="77" t="inlineStr">
        <is>
          <t>Host and problem owner</t>
        </is>
      </c>
      <c r="AD29" s="77" t="inlineStr">
        <is>
          <t>REA Group (centre page, years not given); EY, Suncorp, Downer, L'Oreal Australia (brochure, undated)</t>
        </is>
      </c>
      <c r="AE29" s="77" t="inlineStr">
        <is>
          <t>Analytics insights for partner</t>
        </is>
      </c>
      <c r="AF29" s="77">
        <f>IF(OR(V29="No",X29="No",Z29="No"),"Outside strict definition",IF(AND(V29="Yes",X29="Yes",Z29="Yes"),"Meets all three","Potentially relevant; evidence incomplete"))</f>
        <v/>
      </c>
      <c r="AG29" s="77" t="inlineStr">
        <is>
          <t>Current status unclear</t>
        </is>
      </c>
      <c r="AH29" s="77" t="inlineStr">
        <is>
          <t>undated</t>
        </is>
      </c>
      <c r="AI29" s="77" t="inlineStr">
        <is>
          <t>Yes</t>
        </is>
      </c>
      <c r="AJ29" s="77">
        <f>IF(AND(AI29="Yes",AF29="Meets all three",AG29="Current delivery confirmed"),"Yes","No")</f>
        <v/>
      </c>
      <c r="AK29" s="77" t="inlineStr"/>
      <c r="AL29" s="77" t="inlineStr">
        <is>
          <t>AU02-S18-R1; AU02-S18-R2</t>
        </is>
      </c>
      <c r="AM29" s="77" t="inlineStr">
        <is>
          <t>Group format; currency (centre transitioning to Institute for Digital Innovation &amp; AI); 'compulsory' inferred from programme description only.</t>
        </is>
      </c>
      <c r="AN29" s="77" t="inlineStr"/>
      <c r="AO29" s="77" t="inlineStr">
        <is>
          <t>Australia</t>
        </is>
      </c>
      <c r="AP29" s="77" t="inlineStr">
        <is>
          <t>Australia</t>
        </is>
      </c>
      <c r="AQ29" s="77" t="inlineStr">
        <is>
          <t>Unclear</t>
        </is>
      </c>
      <c r="AR29" s="77" t="inlineStr">
        <is>
          <t>Unclear</t>
        </is>
      </c>
      <c r="AS29" s="77" t="inlineStr"/>
    </row>
    <row r="30">
      <c r="A30" s="77" t="inlineStr">
        <is>
          <t>AU02</t>
        </is>
      </c>
      <c r="B30" s="77" t="inlineStr">
        <is>
          <t>Melbourne</t>
        </is>
      </c>
      <c r="C30" s="77" t="inlineStr">
        <is>
          <t>Cross-faculty</t>
        </is>
      </c>
      <c r="D30" s="77" t="inlineStr">
        <is>
          <t>AU02-S19</t>
        </is>
      </c>
      <c r="E30" s="77" t="inlineStr"/>
      <c r="F30" s="77" t="inlineStr">
        <is>
          <t>No</t>
        </is>
      </c>
      <c r="G30" s="79" t="inlineStr">
        <is>
          <t>Creating Innovative Professionals (IPP Spark)</t>
        </is>
      </c>
      <c r="H30" s="77" t="inlineStr">
        <is>
          <t>Creating Innovative Professionals</t>
        </is>
      </c>
      <c r="I30" s="77" t="inlineStr">
        <is>
          <t>ENGR90039</t>
        </is>
      </c>
      <c r="J30" s="77" t="inlineStr">
        <is>
          <t>Innovation Practice Program core subject: multidisciplinary teams of 4-6 graduate students work for 12 weeks on an innovation challenge set by a sponsoring industry organisation, with an independent mentor and/or sponsor representative; sponsors require confidentiality of proprietary information.</t>
        </is>
      </c>
      <c r="K30" s="77" t="inlineStr">
        <is>
          <t>Faculty of Engineering and IT - Innovation Practice Program</t>
        </is>
      </c>
      <c r="L30" s="77" t="inlineStr">
        <is>
          <t>Specified masters in engineering, IT, information systems, biomedical science, digital infrastructure; Master of Engineering (excl. 'with Business'); approved programs in FBE and the School of Design.</t>
        </is>
      </c>
      <c r="M30" s="77" t="inlineStr">
        <is>
          <t>Engineering/computing; Business/management; Other (law, health, design, architecture…)</t>
        </is>
      </c>
      <c r="N30" s="77" t="inlineStr">
        <is>
          <t>Postgraduate taught</t>
        </is>
      </c>
      <c r="O30" s="77" t="inlineStr"/>
      <c r="P30" s="77" t="inlineStr">
        <is>
          <t>Application only, variable quota; no self-enrolment.</t>
        </is>
      </c>
      <c r="Q30" s="77" t="inlineStr">
        <is>
          <t>Selective/competitive</t>
        </is>
      </c>
      <c r="R30" s="77" t="inlineStr">
        <is>
          <t>Curricular</t>
        </is>
      </c>
      <c r="S30" s="77" t="inlineStr">
        <is>
          <t>12.5 points</t>
        </is>
      </c>
      <c r="T30" s="77" t="inlineStr">
        <is>
          <t>12 weeks (Semester 2 in 2026)</t>
        </is>
      </c>
      <c r="U30" s="77" t="inlineStr">
        <is>
          <t>On campus (Parkville)</t>
        </is>
      </c>
      <c r="V30" s="77" t="inlineStr">
        <is>
          <t>Yes</t>
        </is>
      </c>
      <c r="W30" s="77" t="inlineStr">
        <is>
          <t>Innovation challenge set by industry organisation [1].</t>
        </is>
      </c>
      <c r="X30" s="77" t="inlineStr">
        <is>
          <t>Yes</t>
        </is>
      </c>
      <c r="Y30" s="77" t="inlineStr">
        <is>
          <t>'multidisciplinary teams' [1]; teams of four to six [2].</t>
        </is>
      </c>
      <c r="Z30" s="77" t="inlineStr">
        <is>
          <t>Yes</t>
        </is>
      </c>
      <c r="AA30" s="77" t="inlineStr">
        <is>
          <t>Industry sponsor sets challenge; sponsor may mentor team; confidentiality of sponsor's proprietary information [1][2]. IPP reports 300+ projects with 130+ industry sponsors over six years [3].</t>
        </is>
      </c>
      <c r="AB30" s="77" t="inlineStr">
        <is>
          <t>Business/commercial</t>
        </is>
      </c>
      <c r="AC30" s="77" t="inlineStr">
        <is>
          <t>Sponsor sets challenge, may mentor</t>
        </is>
      </c>
      <c r="AD30" s="77" t="inlineStr"/>
      <c r="AE30" s="77" t="inlineStr">
        <is>
          <t>Innovation proposal/concept (not detailed)</t>
        </is>
      </c>
      <c r="AF30" s="77">
        <f>IF(OR(V30="No",X30="No",Z30="No"),"Outside strict definition",IF(AND(V30="Yes",X30="Yes",Z30="Yes"),"Meets all three","Potentially relevant; evidence incomplete"))</f>
        <v/>
      </c>
      <c r="AG30" s="77" t="inlineStr">
        <is>
          <t>Current delivery confirmed</t>
        </is>
      </c>
      <c r="AH30" s="77" t="inlineStr">
        <is>
          <t>2026</t>
        </is>
      </c>
      <c r="AI30" s="77" t="inlineStr">
        <is>
          <t>Yes</t>
        </is>
      </c>
      <c r="AJ30" s="77">
        <f>IF(AND(AI30="Yes",AF30="Meets all three",AG30="Current delivery confirmed"),"Yes","No")</f>
        <v/>
      </c>
      <c r="AK30" s="77" t="inlineStr">
        <is>
          <t>IPP cumulative: &gt;300 innovation projects, &gt;130 industry sponsors in six years (undated award announcement; covers all IPP streams).</t>
        </is>
      </c>
      <c r="AL30" s="77" t="inlineStr">
        <is>
          <t>AU02-S19-R1; AU02-S19-R2; AU02-S19-R3; AU02-S19-R4</t>
        </is>
      </c>
      <c r="AM30" s="77" t="inlineStr">
        <is>
          <t>MBS careers page states CIP not running in 2026 for MBS students - conflicts with 2026 handbook. Partner_type assumed commercial from 'industry sponsors'.</t>
        </is>
      </c>
      <c r="AN30" s="77" t="inlineStr"/>
      <c r="AO30" s="77" t="inlineStr">
        <is>
          <t>Australia</t>
        </is>
      </c>
      <c r="AP30" s="77" t="inlineStr">
        <is>
          <t>Australia</t>
        </is>
      </c>
      <c r="AQ30" s="77" t="inlineStr">
        <is>
          <t>Unclear</t>
        </is>
      </c>
      <c r="AR30" s="77" t="inlineStr">
        <is>
          <t>Unclear</t>
        </is>
      </c>
      <c r="AS30" s="77" t="inlineStr"/>
    </row>
    <row r="31">
      <c r="A31" s="77" t="inlineStr">
        <is>
          <t>AU02</t>
        </is>
      </c>
      <c r="B31" s="77" t="inlineStr">
        <is>
          <t>Melbourne</t>
        </is>
      </c>
      <c r="C31" s="77" t="inlineStr">
        <is>
          <t>University-wide</t>
        </is>
      </c>
      <c r="D31" s="77" t="inlineStr">
        <is>
          <t>AU02-S20</t>
        </is>
      </c>
      <c r="E31" s="77" t="inlineStr"/>
      <c r="F31" s="77" t="inlineStr">
        <is>
          <t>No</t>
        </is>
      </c>
      <c r="G31" s="79" t="inlineStr">
        <is>
          <t>Ignite (Opportunity Lab / O-Lab)</t>
        </is>
      </c>
      <c r="H31" s="77" t="inlineStr">
        <is>
          <t>IPP Ignite / O-Lab sponsor projects</t>
        </is>
      </c>
      <c r="I31" s="77" t="inlineStr"/>
      <c r="J31" s="77" t="inlineStr">
        <is>
          <t>IPP stream developing early-stage concepts through prototyping and testing: each project has a team of three postgraduate students, a specialist from the sponsor organisation and O-Lab innovation mentors; ~36 person-weeks over 3-6 months, with sponsor-funded internships and space at Melbourne Connect.</t>
        </is>
      </c>
      <c r="K31" s="77" t="inlineStr">
        <is>
          <t>Faculty of Engineering and IT - Innovation Practice Program</t>
        </is>
      </c>
      <c r="L31" s="77" t="inlineStr">
        <is>
          <t>Postgraduate students across the University (technical or human-centred design skills sought).</t>
        </is>
      </c>
      <c r="M31" s="77" t="inlineStr">
        <is>
          <t>Central provision; Engineering/computing</t>
        </is>
      </c>
      <c r="N31" s="77" t="inlineStr">
        <is>
          <t>Postgraduate taught</t>
        </is>
      </c>
      <c r="O31" s="77" t="inlineStr"/>
      <c r="P31" s="77" t="inlineStr">
        <is>
          <t>Selection; postgraduates only.</t>
        </is>
      </c>
      <c r="Q31" s="77" t="inlineStr">
        <is>
          <t>Selective/competitive</t>
        </is>
      </c>
      <c r="R31" s="77" t="inlineStr">
        <is>
          <t>Extracurricular</t>
        </is>
      </c>
      <c r="S31" s="77" t="inlineStr">
        <is>
          <t>None evidenced; funded internship</t>
        </is>
      </c>
      <c r="T31" s="77" t="inlineStr">
        <is>
          <t>3-6 months (~36 person-weeks)</t>
        </is>
      </c>
      <c r="U31" s="77" t="inlineStr">
        <is>
          <t>Melbourne Connect</t>
        </is>
      </c>
      <c r="V31" s="77" t="inlineStr">
        <is>
          <t>Yes</t>
        </is>
      </c>
      <c r="W31" s="77" t="inlineStr">
        <is>
          <t>Prototype and test sponsor concept [1].</t>
        </is>
      </c>
      <c r="X31" s="77" t="inlineStr">
        <is>
          <t>Yes</t>
        </is>
      </c>
      <c r="Y31" s="77" t="inlineStr">
        <is>
          <t>'a team of three postgraduate students' [1].</t>
        </is>
      </c>
      <c r="Z31" s="77" t="inlineStr">
        <is>
          <t>Yes</t>
        </is>
      </c>
      <c r="AA31" s="77" t="inlineStr">
        <is>
          <t>Sponsor organisation specialist on team; sponsor funds internships [1].</t>
        </is>
      </c>
      <c r="AB31" s="77" t="inlineStr">
        <is>
          <t>Unclear</t>
        </is>
      </c>
      <c r="AC31" s="77" t="inlineStr">
        <is>
          <t>Sponsor, team member, funder</t>
        </is>
      </c>
      <c r="AD31" s="77" t="inlineStr"/>
      <c r="AE31" s="77" t="inlineStr">
        <is>
          <t>Prototype/tested concept</t>
        </is>
      </c>
      <c r="AF31" s="77">
        <f>IF(OR(V31="No",X31="No",Z31="No"),"Outside strict definition",IF(AND(V31="Yes",X31="Yes",Z31="Yes"),"Meets all three","Potentially relevant; evidence incomplete"))</f>
        <v/>
      </c>
      <c r="AG31" s="77" t="inlineStr">
        <is>
          <t>Current status unclear</t>
        </is>
      </c>
      <c r="AH31" s="77" t="inlineStr">
        <is>
          <t>2021-22 (aim of 20 projects)</t>
        </is>
      </c>
      <c r="AI31" s="77" t="inlineStr">
        <is>
          <t>Yes</t>
        </is>
      </c>
      <c r="AJ31" s="77">
        <f>IF(AND(AI31="Yes",AF31="Meets all three",AG31="Current delivery confirmed"),"Yes","No")</f>
        <v/>
      </c>
      <c r="AK31" s="77" t="inlineStr">
        <is>
          <t>Target of at least 20 projects for 2021-2022 (a target, not actual).</t>
        </is>
      </c>
      <c r="AL31" s="77" t="inlineStr">
        <is>
          <t>AU02-S20-R1; AU02-S20-R2</t>
        </is>
      </c>
      <c r="AM31" s="77" t="inlineStr">
        <is>
          <t>No 2025/26 evidence. Paid internship format - borderline with placement category, but team project structure documented.</t>
        </is>
      </c>
      <c r="AN31" s="77" t="inlineStr"/>
      <c r="AO31" s="77" t="inlineStr">
        <is>
          <t>Australia</t>
        </is>
      </c>
      <c r="AP31" s="77" t="inlineStr">
        <is>
          <t>Australia</t>
        </is>
      </c>
      <c r="AQ31" s="77" t="inlineStr">
        <is>
          <t>Unclear</t>
        </is>
      </c>
      <c r="AR31" s="77" t="inlineStr">
        <is>
          <t>Unclear</t>
        </is>
      </c>
      <c r="AS31" s="77" t="inlineStr"/>
    </row>
    <row r="32">
      <c r="A32" s="77" t="inlineStr">
        <is>
          <t>AU02</t>
        </is>
      </c>
      <c r="B32" s="77" t="inlineStr">
        <is>
          <t>Melbourne</t>
        </is>
      </c>
      <c r="C32" s="77" t="inlineStr">
        <is>
          <t>Cross-faculty</t>
        </is>
      </c>
      <c r="D32" s="77" t="inlineStr">
        <is>
          <t>AU02-S21</t>
        </is>
      </c>
      <c r="E32" s="77" t="inlineStr"/>
      <c r="F32" s="77" t="inlineStr">
        <is>
          <t>No</t>
        </is>
      </c>
      <c r="G32" s="79" t="inlineStr">
        <is>
          <t>SCOUT (Students Consulting on University Translation)</t>
        </is>
      </c>
      <c r="H32" s="77" t="inlineStr">
        <is>
          <t>SCOUT</t>
        </is>
      </c>
      <c r="I32" s="77" t="inlineStr"/>
      <c r="J32" s="77" t="inlineStr">
        <is>
          <t>Work-integrated learning initiative run by The Advanced Genomics Collaboration (TAGC) since Semester 2 2024: a multidisciplinary student consulting cohort works on an innovation project, each student with a discipline role. In Semester 1 2026 the team (architecture, science, engineering, IT, business) worked with CAS Energy on a smart greenhouse/living lab concept (architectural concepts, digital twin, dashboards); a new team continues in Semester 2 2026.</t>
        </is>
      </c>
      <c r="K32" s="77" t="inlineStr">
        <is>
          <t>The Advanced Genomics Collaboration (TAGC), University of Melbourne</t>
        </is>
      </c>
      <c r="L32" s="77" t="inlineStr">
        <is>
          <t>S1 2025 cohort: Science; MDHS (Master of Genomics and Health); Engineering and IT; Business and Economics; Arts.</t>
        </is>
      </c>
      <c r="M32" s="77" t="inlineStr">
        <is>
          <t>Central provision; Science; Engineering/computing; Business/management; Arts/humanities/social sciences; Other (law, health, design, architecture…)</t>
        </is>
      </c>
      <c r="N32" s="77" t="inlineStr">
        <is>
          <t>Unclear</t>
        </is>
      </c>
      <c r="O32" s="77" t="inlineStr"/>
      <c r="P32" s="77" t="inlineStr">
        <is>
          <t>Application; faculty list per cohort.</t>
        </is>
      </c>
      <c r="Q32" s="77" t="inlineStr">
        <is>
          <t>Selective/competitive</t>
        </is>
      </c>
      <c r="R32" s="77" t="inlineStr">
        <is>
          <t>Extracurricular</t>
        </is>
      </c>
      <c r="S32" s="77" t="inlineStr">
        <is>
          <t>Not evidenced (described as internship/WIL initiative)</t>
        </is>
      </c>
      <c r="T32" s="77" t="inlineStr">
        <is>
          <t>One semester per cohort</t>
        </is>
      </c>
      <c r="U32" s="77" t="inlineStr">
        <is>
          <t>Not specified</t>
        </is>
      </c>
      <c r="V32" s="77" t="inlineStr">
        <is>
          <t>Yes</t>
        </is>
      </c>
      <c r="W32" s="77" t="inlineStr">
        <is>
          <t>Designed integrated greenhouse solution; digital twin, data architecture, dashboards [1].</t>
        </is>
      </c>
      <c r="X32" s="77" t="inlineStr">
        <is>
          <t>Yes</t>
        </is>
      </c>
      <c r="Y32" s="77" t="inlineStr">
        <is>
          <t>'multidisciplinary consulting cohort'; 'working in multidisciplinary teams' [1][2].</t>
        </is>
      </c>
      <c r="Z32" s="77" t="inlineStr">
        <is>
          <t>Yes</t>
        </is>
      </c>
      <c r="AA32" s="77" t="inlineStr">
        <is>
          <t>2026 project partnered with CAS Energy [1]. Earlier cohorts supported TAGC Innovation Projects (TAGC is a University-industry collaboration - for those cohorts the client may be internal/joint).</t>
        </is>
      </c>
      <c r="AB32" s="77" t="inlineStr">
        <is>
          <t>Business/commercial</t>
        </is>
      </c>
      <c r="AC32" s="77" t="inlineStr">
        <is>
          <t>Industry partner for project (CAS Energy, 2026)</t>
        </is>
      </c>
      <c r="AD32" s="77" t="inlineStr">
        <is>
          <t>CAS Energy (Semester 1 2026)</t>
        </is>
      </c>
      <c r="AE32" s="77" t="inlineStr">
        <is>
          <t>Concept designs, digital tools, project narrative for partners</t>
        </is>
      </c>
      <c r="AF32" s="77">
        <f>IF(OR(V32="No",X32="No",Z32="No"),"Outside strict definition",IF(AND(V32="Yes",X32="Yes",Z32="Yes"),"Meets all three","Potentially relevant; evidence incomplete"))</f>
        <v/>
      </c>
      <c r="AG32" s="77" t="inlineStr">
        <is>
          <t>Current delivery confirmed</t>
        </is>
      </c>
      <c r="AH32" s="77" t="inlineStr">
        <is>
          <t>2026</t>
        </is>
      </c>
      <c r="AI32" s="77" t="inlineStr">
        <is>
          <t>Yes</t>
        </is>
      </c>
      <c r="AJ32" s="77">
        <f>IF(AND(AI32="Yes",AF32="Meets all three",AG32="Current delivery confirmed"),"Yes","No")</f>
        <v/>
      </c>
      <c r="AK32" s="77" t="inlineStr"/>
      <c r="AL32" s="77" t="inlineStr">
        <is>
          <t>AU02-S21-R1; AU02-S21-R2</t>
        </is>
      </c>
      <c r="AM32" s="77" t="inlineStr">
        <is>
          <t>Student level, credit, cohort size; whether non-2026 projects had external clients.</t>
        </is>
      </c>
      <c r="AN32" s="77" t="inlineStr"/>
      <c r="AO32" s="77" t="inlineStr">
        <is>
          <t>Australia</t>
        </is>
      </c>
      <c r="AP32" s="77" t="inlineStr">
        <is>
          <t>Australia</t>
        </is>
      </c>
      <c r="AQ32" s="77" t="inlineStr">
        <is>
          <t>Unclear</t>
        </is>
      </c>
      <c r="AR32" s="77" t="inlineStr">
        <is>
          <t>Unclear</t>
        </is>
      </c>
      <c r="AS32" s="77" t="inlineStr"/>
    </row>
    <row r="33">
      <c r="A33" s="77" t="inlineStr">
        <is>
          <t>AU02</t>
        </is>
      </c>
      <c r="B33" s="77" t="inlineStr">
        <is>
          <t>Melbourne</t>
        </is>
      </c>
      <c r="C33" s="77" t="inlineStr">
        <is>
          <t>Programme/course</t>
        </is>
      </c>
      <c r="D33" s="77" t="inlineStr">
        <is>
          <t>AU02-S22</t>
        </is>
      </c>
      <c r="E33" s="77" t="inlineStr"/>
      <c r="F33" s="77" t="inlineStr">
        <is>
          <t>No</t>
        </is>
      </c>
      <c r="G33" s="79" t="inlineStr">
        <is>
          <t>Indigenous Legal Advocacy Clinic</t>
        </is>
      </c>
      <c r="H33" s="77" t="inlineStr">
        <is>
          <t>Indigenous Legal Advocacy Clinic</t>
        </is>
      </c>
      <c r="I33" s="77" t="inlineStr">
        <is>
          <t>LAWS90209</t>
        </is>
      </c>
      <c r="J33" s="77" t="inlineStr">
        <is>
          <t>JD clinical subject: students work with an Indigenous organisation/Aboriginal legal service on a law or justice issue identified by the partner, producing a major project (e.g. legislative submissions, amicus briefs, law and policy analysis) from a partner-supplied research brief; 12 days clinical work.</t>
        </is>
      </c>
      <c r="K33" s="77" t="inlineStr">
        <is>
          <t>Melbourne Law School - MLS Clinics</t>
        </is>
      </c>
      <c r="L33" s="77" t="inlineStr">
        <is>
          <t>Juris Doctor</t>
        </is>
      </c>
      <c r="M33" s="77" t="inlineStr">
        <is>
          <t>Other (law, health, design, architecture…)</t>
        </is>
      </c>
      <c r="N33" s="77" t="inlineStr">
        <is>
          <t>Postgraduate taught</t>
        </is>
      </c>
      <c r="O33" s="77" t="inlineStr"/>
      <c r="P33" s="77" t="inlineStr">
        <is>
          <t>Not retrieved</t>
        </is>
      </c>
      <c r="Q33" s="77" t="inlineStr">
        <is>
          <t>Optional/elective</t>
        </is>
      </c>
      <c r="R33" s="77" t="inlineStr">
        <is>
          <t>Curricular</t>
        </is>
      </c>
      <c r="S33" s="77" t="inlineStr">
        <is>
          <t>12.5 points</t>
        </is>
      </c>
      <c r="T33" s="77" t="inlineStr">
        <is>
          <t>Semester 1</t>
        </is>
      </c>
      <c r="U33" s="77" t="inlineStr">
        <is>
          <t>On campus (Parkville) with partner</t>
        </is>
      </c>
      <c r="V33" s="77" t="inlineStr">
        <is>
          <t>Yes</t>
        </is>
      </c>
      <c r="W33" s="77" t="inlineStr">
        <is>
          <t>Major project from partner research brief [1][2].</t>
        </is>
      </c>
      <c r="X33" s="77" t="inlineStr">
        <is>
          <t>Unclear</t>
        </is>
      </c>
      <c r="Y33" s="77" t="inlineStr">
        <is>
          <t>2021 and faculty clinic page: 'work in small groups' [1]; 2024/2025 handbook entries drop small-group wording [2].</t>
        </is>
      </c>
      <c r="Z33" s="77" t="inlineStr">
        <is>
          <t>Yes</t>
        </is>
      </c>
      <c r="AA33" s="77" t="inlineStr">
        <is>
          <t>Partner identifies the issue and supplies the research brief [1][2].</t>
        </is>
      </c>
      <c r="AB33" s="77" t="inlineStr">
        <is>
          <t>Charity/community</t>
        </is>
      </c>
      <c r="AC33" s="77" t="inlineStr">
        <is>
          <t>Supplies brief; receives work</t>
        </is>
      </c>
      <c r="AD33" s="77" t="inlineStr"/>
      <c r="AE33" s="77" t="inlineStr">
        <is>
          <t>Submissions, amicus briefs, law/policy analysis</t>
        </is>
      </c>
      <c r="AF33" s="77">
        <f>IF(OR(V33="No",X33="No",Z33="No"),"Outside strict definition",IF(AND(V33="Yes",X33="Yes",Z33="Yes"),"Meets all three","Potentially relevant; evidence incomplete"))</f>
        <v/>
      </c>
      <c r="AG33" s="77" t="inlineStr">
        <is>
          <t>Current delivery confirmed</t>
        </is>
      </c>
      <c r="AH33" s="77" t="inlineStr">
        <is>
          <t>2025</t>
        </is>
      </c>
      <c r="AI33" s="77" t="inlineStr">
        <is>
          <t>Yes</t>
        </is>
      </c>
      <c r="AJ33" s="77">
        <f>IF(AND(AI33="Yes",AF33="Meets all three",AG33="Current delivery confirmed"),"Yes","No")</f>
        <v/>
      </c>
      <c r="AK33" s="77" t="inlineStr"/>
      <c r="AL33" s="77" t="inlineStr">
        <is>
          <t>AU02-S22-R1; AU02-S22-R2</t>
        </is>
      </c>
      <c r="AM33" s="77" t="inlineStr">
        <is>
          <t>Whether current version is group-based; 2026 entry not retrieved.</t>
        </is>
      </c>
      <c r="AN33" s="77" t="inlineStr"/>
      <c r="AO33" s="77" t="inlineStr">
        <is>
          <t>Australia</t>
        </is>
      </c>
      <c r="AP33" s="77" t="inlineStr">
        <is>
          <t>Australia</t>
        </is>
      </c>
      <c r="AQ33" s="77" t="inlineStr">
        <is>
          <t>Unclear</t>
        </is>
      </c>
      <c r="AR33" s="77" t="inlineStr">
        <is>
          <t>Unclear</t>
        </is>
      </c>
      <c r="AS33" s="77" t="inlineStr"/>
    </row>
    <row r="34">
      <c r="A34" s="77" t="inlineStr">
        <is>
          <t>AU02</t>
        </is>
      </c>
      <c r="B34" s="77" t="inlineStr">
        <is>
          <t>Melbourne</t>
        </is>
      </c>
      <c r="C34" s="77" t="inlineStr">
        <is>
          <t>Programme/course</t>
        </is>
      </c>
      <c r="D34" s="77" t="inlineStr">
        <is>
          <t>AU02-S23</t>
        </is>
      </c>
      <c r="E34" s="77" t="inlineStr"/>
      <c r="F34" s="77" t="inlineStr">
        <is>
          <t>No</t>
        </is>
      </c>
      <c r="G34" s="79" t="inlineStr">
        <is>
          <t>Industry Partner project Studio</t>
        </is>
      </c>
      <c r="H34" s="77" t="inlineStr">
        <is>
          <t>Industry Partner Project Studio</t>
        </is>
      </c>
      <c r="I34" s="77" t="inlineStr">
        <is>
          <t>ABPL30044</t>
        </is>
      </c>
      <c r="J34" s="77" t="inlineStr">
        <is>
          <t>Construction/property capstone studio (formerly Project Planning Studio): student teams translate a design proposal for a project selected from industry into construction and project management plans, taking roles such as tenderers preparing a development proposal against client requirements.</t>
        </is>
      </c>
      <c r="K34" s="77" t="inlineStr">
        <is>
          <t>Faculty of Architecture, Building and Planning (Melbourne School of Design)</t>
        </is>
      </c>
      <c r="L34" s="77" t="inlineStr">
        <is>
          <t>Bachelor of Design (Construction major) - inferred from studylib/construction major results; not verified</t>
        </is>
      </c>
      <c r="M34" s="77" t="inlineStr">
        <is>
          <t>Other (law, health, design, architecture…)</t>
        </is>
      </c>
      <c r="N34" s="77" t="inlineStr">
        <is>
          <t>Undergraduate</t>
        </is>
      </c>
      <c r="O34" s="77" t="inlineStr">
        <is>
          <t>Level 3</t>
        </is>
      </c>
      <c r="P34" s="77" t="inlineStr"/>
      <c r="Q34" s="77" t="inlineStr">
        <is>
          <t>Unclear</t>
        </is>
      </c>
      <c r="R34" s="77" t="inlineStr">
        <is>
          <t>Curricular</t>
        </is>
      </c>
      <c r="S34" s="77" t="inlineStr">
        <is>
          <t>12.5 points</t>
        </is>
      </c>
      <c r="T34" s="77" t="inlineStr">
        <is>
          <t>Semester 2</t>
        </is>
      </c>
      <c r="U34" s="77" t="inlineStr">
        <is>
          <t>On campus studio</t>
        </is>
      </c>
      <c r="V34" s="77" t="inlineStr">
        <is>
          <t>Yes</t>
        </is>
      </c>
      <c r="W34" s="77" t="inlineStr">
        <is>
          <t>Operational construction/project management plans [1].</t>
        </is>
      </c>
      <c r="X34" s="77" t="inlineStr">
        <is>
          <t>Yes</t>
        </is>
      </c>
      <c r="Y34" s="77" t="inlineStr">
        <is>
          <t>'Teams work on projects selected from industry' [1].</t>
        </is>
      </c>
      <c r="Z34" s="77" t="inlineStr">
        <is>
          <t>Unclear</t>
        </is>
      </c>
      <c r="AA34" s="77" t="inlineStr">
        <is>
          <t>Projects 'selected from industry'; no evidence that the industry partner briefs, supervises or receives outputs.</t>
        </is>
      </c>
      <c r="AB34" s="77" t="inlineStr">
        <is>
          <t>Unclear</t>
        </is>
      </c>
      <c r="AC34" s="77" t="inlineStr"/>
      <c r="AD34" s="77" t="inlineStr"/>
      <c r="AE34" s="77" t="inlineStr">
        <is>
          <t>Project development proposal and operational plans</t>
        </is>
      </c>
      <c r="AF34" s="77">
        <f>IF(OR(V34="No",X34="No",Z34="No"),"Outside strict definition",IF(AND(V34="Yes",X34="Yes",Z34="Yes"),"Meets all three","Potentially relevant; evidence incomplete"))</f>
        <v/>
      </c>
      <c r="AG34" s="77" t="inlineStr">
        <is>
          <t>Current status unclear</t>
        </is>
      </c>
      <c r="AH34" s="77" t="inlineStr">
        <is>
          <t>2019 (handbook); listed in 2026 fees document (0.125 EFTSL) - no description</t>
        </is>
      </c>
      <c r="AI34" s="77" t="inlineStr">
        <is>
          <t>Yes</t>
        </is>
      </c>
      <c r="AJ34" s="77">
        <f>IF(AND(AI34="Yes",AF34="Meets all three",AG34="Current delivery confirmed"),"Yes","No")</f>
        <v/>
      </c>
      <c r="AK34" s="77" t="inlineStr"/>
      <c r="AL34" s="77" t="inlineStr">
        <is>
          <t>AU02-S23-R1; AU02-S23-R2</t>
        </is>
      </c>
      <c r="AM34" s="77" t="inlineStr">
        <is>
          <t>Partner participation; current handbook content.</t>
        </is>
      </c>
      <c r="AN34" s="77" t="inlineStr"/>
      <c r="AO34" s="77" t="inlineStr">
        <is>
          <t>Australia</t>
        </is>
      </c>
      <c r="AP34" s="77" t="inlineStr">
        <is>
          <t>Australia</t>
        </is>
      </c>
      <c r="AQ34" s="77" t="inlineStr">
        <is>
          <t>Unclear</t>
        </is>
      </c>
      <c r="AR34" s="77" t="inlineStr">
        <is>
          <t>Unclear</t>
        </is>
      </c>
      <c r="AS34" s="77" t="inlineStr"/>
    </row>
    <row r="35">
      <c r="A35" s="77" t="inlineStr">
        <is>
          <t>AU03</t>
        </is>
      </c>
      <c r="B35" s="77" t="inlineStr">
        <is>
          <t>Sydney</t>
        </is>
      </c>
      <c r="C35" s="77" t="inlineStr">
        <is>
          <t>University-wide</t>
        </is>
      </c>
      <c r="D35" s="77" t="inlineStr">
        <is>
          <t>AU03-S01</t>
        </is>
      </c>
      <c r="E35" s="77" t="inlineStr"/>
      <c r="F35" s="77" t="inlineStr">
        <is>
          <t>Yes</t>
        </is>
      </c>
      <c r="G35" s="79" t="inlineStr">
        <is>
          <t>Industry and Community Project Units (ICPUs)</t>
        </is>
      </c>
      <c r="H35" s="77" t="inlineStr">
        <is>
          <t>Industry and Community Project Units</t>
        </is>
      </c>
      <c r="I35" s="77" t="inlineStr"/>
      <c r="J35" s="77" t="inlineStr">
        <is>
          <t>University-wide framework (run through the DVC/PVC Education portfolio) of semester-long or intensive credit-bearing units in which interdisciplinary student teams receive a real-world brief from an industry, community or government partner, define the problem and propose solutions. Delivered at 3000 level (6 cp, undergraduate) and 4000 level (12 cp via two linked A/B shell units). Students enrol through faculty 'shell' units (e.g. FASS3333, FINC3400, ACCT3400, BANK3400, GOVT3898, ENGG3800, SCPU3001; BUSS4905, FASS4902, SCPU4001/4002, FMHU4001, ARCH4108) and then register for a specific partner project.</t>
        </is>
      </c>
      <c r="K35" s="77" t="inlineStr">
        <is>
          <t>Pro-Vice-Chancellor (Education) portfolio (pvceducation.enquiries@sydney.edu.au) with faculty shell units</t>
        </is>
      </c>
      <c r="L35" s="77" t="inlineStr">
        <is>
          <t>Students from all faculties via faculty shell units offered in their course</t>
        </is>
      </c>
      <c r="M35" s="77" t="inlineStr">
        <is>
          <t>Central provision; Business/management; Engineering/computing; Science; Arts/humanities/social sciences; Other (law, health, design, architecture…)</t>
        </is>
      </c>
      <c r="N35" s="77" t="inlineStr">
        <is>
          <t>Undergraduate</t>
        </is>
      </c>
      <c r="O35" s="77" t="inlineStr">
        <is>
          <t>3000 level and 4000 level (senior years)</t>
        </is>
      </c>
      <c r="P35" s="77" t="inlineStr">
        <is>
          <t>Must be undergraduate; shell unit must be available in the student's course; places limited; signed Deed Poll required</t>
        </is>
      </c>
      <c r="Q35" s="77" t="inlineStr">
        <is>
          <t>Optional/elective</t>
        </is>
      </c>
      <c r="R35" s="77" t="inlineStr">
        <is>
          <t>Curricular</t>
        </is>
      </c>
      <c r="S35" s="77" t="inlineStr">
        <is>
          <t>6 cp (3000 level) or 12 cp (4000 level, Projects A+B)</t>
        </is>
      </c>
      <c r="T35" s="77" t="inlineStr">
        <is>
          <t>Semester-long or intensive</t>
        </is>
      </c>
      <c r="U35" s="77" t="inlineStr">
        <is>
          <t>On campus, interdisciplinary teams with project supervisor</t>
        </is>
      </c>
      <c r="V35" s="77" t="inlineStr">
        <is>
          <t>Yes</t>
        </is>
      </c>
      <c r="W35" s="77" t="inlineStr">
        <is>
          <t>Students are given a brief of a real-world problem from a partner and propose solutions [1][2].</t>
        </is>
      </c>
      <c r="X35" s="77" t="inlineStr">
        <is>
          <t>Yes</t>
        </is>
      </c>
      <c r="Y35" s="77" t="inlineStr">
        <is>
          <t>Students 'must work in interdisciplinary teams' [2]; supervisors allocate groups [3].</t>
        </is>
      </c>
      <c r="Z35" s="77" t="inlineStr">
        <is>
          <t>Yes</t>
        </is>
      </c>
      <c r="AA35" s="77" t="inlineStr">
        <is>
          <t>Partners supply the brief, can give feedback and receive the recommended solutions [2][4].</t>
        </is>
      </c>
      <c r="AB35" s="77" t="inlineStr">
        <is>
          <t>Mixed</t>
        </is>
      </c>
      <c r="AC35" s="77" t="inlineStr">
        <is>
          <t>Set real-world brief; give feedback; receive presentations/recommendations</t>
        </is>
      </c>
      <c r="AD35" s="77" t="inlineStr">
        <is>
          <t>Westpac, Accenture, AGL, NSW Farmers Association, NSW Public Service Commission, Thales, NSW Health (teaching@sydney article, undated)</t>
        </is>
      </c>
      <c r="AE35" s="77" t="inlineStr">
        <is>
          <t>Recommendations/solutions presented to partner</t>
        </is>
      </c>
      <c r="AF35" s="77">
        <f>IF(OR(V35="No",X35="No",Z35="No"),"Outside strict definition",IF(AND(V35="Yes",X35="Yes",Z35="Yes"),"Meets all three","Potentially relevant; evidence incomplete"))</f>
        <v/>
      </c>
      <c r="AG35" s="77" t="inlineStr">
        <is>
          <t>Current delivery confirmed</t>
        </is>
      </c>
      <c r="AH35" s="77" t="inlineStr">
        <is>
          <t>2026/27</t>
        </is>
      </c>
      <c r="AI35" s="77" t="inlineStr">
        <is>
          <t>No</t>
        </is>
      </c>
      <c r="AJ35" s="77">
        <f>IF(AND(AI35="Yes",AF35="Meets all three",AG35="Current delivery confirmed"),"Yes","No")</f>
        <v/>
      </c>
      <c r="AK35" s="77" t="inlineStr">
        <is>
          <t>Partner-facing page: more than 85 business, government and community organisations have worked with the University (cumulative, undated) [4].</t>
        </is>
      </c>
      <c r="AL35" s="77" t="inlineStr">
        <is>
          <t>AU03-S01-R1; AU03-S01-R2; AU03-S01-R3; AU03-S01-R4</t>
        </is>
      </c>
      <c r="AM35" s="77" t="inlineStr">
        <is>
          <t>Total student enrolments per year not published in results.</t>
        </is>
      </c>
      <c r="AN35" s="77" t="inlineStr">
        <is>
          <t>Industry and Community Project Units</t>
        </is>
      </c>
      <c r="AO35" s="77" t="inlineStr">
        <is>
          <t>Australia</t>
        </is>
      </c>
      <c r="AP35" s="77" t="inlineStr">
        <is>
          <t>Australia</t>
        </is>
      </c>
      <c r="AQ35" s="77" t="inlineStr">
        <is>
          <t>~1 term/semester</t>
        </is>
      </c>
      <c r="AR35" s="77" t="inlineStr">
        <is>
          <t>All/standard</t>
        </is>
      </c>
      <c r="AS35" s="77" t="inlineStr">
        <is>
          <t>No (umbrella; children counted)</t>
        </is>
      </c>
    </row>
    <row r="36">
      <c r="A36" s="77" t="inlineStr">
        <is>
          <t>AU03</t>
        </is>
      </c>
      <c r="B36" s="77" t="inlineStr">
        <is>
          <t>Sydney</t>
        </is>
      </c>
      <c r="C36" s="77" t="inlineStr">
        <is>
          <t>University-wide</t>
        </is>
      </c>
      <c r="D36" s="77" t="inlineStr">
        <is>
          <t>AU03-S02</t>
        </is>
      </c>
      <c r="E36" s="77" t="inlineStr">
        <is>
          <t>AU03-S01</t>
        </is>
      </c>
      <c r="F36" s="77" t="inlineStr">
        <is>
          <t>No</t>
        </is>
      </c>
      <c r="G36" s="79" t="inlineStr">
        <is>
          <t>Industry and Community Project (3000 level ICPU)</t>
        </is>
      </c>
      <c r="H36" s="77" t="inlineStr">
        <is>
          <t>Industry and Community Project (3000 level)</t>
        </is>
      </c>
      <c r="I36" s="77" t="inlineStr">
        <is>
          <t>Faculty shell units incl. FASS3333, FINC3400, ACCT3400, BANK3400, GOVT3898, ENGG3800/ENGG3801, SCPU3001</t>
        </is>
      </c>
      <c r="J36" s="77" t="inlineStr">
        <is>
          <t>6 cp senior undergraduate unit: students enrol in their faculty's shell unit, register for a partner project (e.g. City of Sydney, Westpac, Insurance Council of Australia on the 3000-level partners page), and are allocated by project supervisors into interdisciplinary groups that research a partner-set real business/community challenge and present ideas and solutions to the partner.</t>
        </is>
      </c>
      <c r="K36" s="77" t="inlineStr">
        <is>
          <t>PVC Education portfolio; faculty shell units</t>
        </is>
      </c>
      <c r="L36" s="77" t="inlineStr">
        <is>
          <t>Any undergraduate whose course includes a 3000-level ICPU shell unit (Arts &amp; Social Sciences, Business, Engineering, Science, etc.)</t>
        </is>
      </c>
      <c r="M36" s="77" t="inlineStr">
        <is>
          <t>Central provision; Business/management; Engineering/computing; Science; Arts/humanities/social sciences; Other (law, health, design, architecture…)</t>
        </is>
      </c>
      <c r="N36" s="77" t="inlineStr">
        <is>
          <t>Undergraduate</t>
        </is>
      </c>
      <c r="O36" s="77" t="inlineStr">
        <is>
          <t>3000 level (typically third year)</t>
        </is>
      </c>
      <c r="P36" s="77" t="inlineStr">
        <is>
          <t>Must be an undergraduate; shell unit must be offered in your course and handbook criteria met; places limited; ENGG3801 requires departmental permission; from 2026 SCPU3001 is mainly for Science double-major students; signed and witnessed Deed Poll required. Law: combined-law students use partner-degree shell unit; LLB/JD final/penultimate-year students with 48 cp core law can take an Interdisciplinary Project (Law page, fetched 2026-10-13).</t>
        </is>
      </c>
      <c r="Q36" s="77" t="inlineStr">
        <is>
          <t>Optional/elective</t>
        </is>
      </c>
      <c r="R36" s="77" t="inlineStr">
        <is>
          <t>Curricular</t>
        </is>
      </c>
      <c r="S36" s="77" t="inlineStr">
        <is>
          <t>6 credit points</t>
        </is>
      </c>
      <c r="T36" s="77" t="inlineStr">
        <is>
          <t>Semester or intensive session (Jan-Feb intensive offered); 120-150 hours effort cited for intensive</t>
        </is>
      </c>
      <c r="U36" s="77" t="inlineStr">
        <is>
          <t>On campus; interdisciplinary groups with project supervisor</t>
        </is>
      </c>
      <c r="V36" s="77" t="inlineStr">
        <is>
          <t>Yes</t>
        </is>
      </c>
      <c r="W36" s="77" t="inlineStr">
        <is>
          <t>Partners set a real business challenge [3]; students present ideas and solutions (FASS3333) [5].</t>
        </is>
      </c>
      <c r="X36" s="77" t="inlineStr">
        <is>
          <t>Yes</t>
        </is>
      </c>
      <c r="Y36" s="77" t="inlineStr">
        <is>
          <t>'Project supervisors will allocate the groups to ensure an interdisciplinary mix of students' [3]; groups of five within cohort of 45-60 in one listing [4].</t>
        </is>
      </c>
      <c r="Z36" s="77" t="inlineStr">
        <is>
          <t>Yes</t>
        </is>
      </c>
      <c r="AA36" s="77" t="inlineStr">
        <is>
          <t>External partners set the challenge; FASS3333 students present ideas and solutions to the industry partner [3][5]; projects 'run in collaboration with partners outside of the University' [1].</t>
        </is>
      </c>
      <c r="AB36" s="77" t="inlineStr">
        <is>
          <t>Mixed</t>
        </is>
      </c>
      <c r="AC36" s="77" t="inlineStr">
        <is>
          <t>Sets brief, receives presentation, may give feedback</t>
        </is>
      </c>
      <c r="AD36" s="77" t="inlineStr">
        <is>
          <t>City of Sydney, Westpac, Insurance Council of Australia (3000-level projects page, listing for 2027 sessions)</t>
        </is>
      </c>
      <c r="AE36" s="77" t="inlineStr">
        <is>
          <t>Recommendations / solution presentation to partner</t>
        </is>
      </c>
      <c r="AF36" s="77">
        <f>IF(OR(V36="No",X36="No",Z36="No"),"Outside strict definition",IF(AND(V36="Yes",X36="Yes",Z36="Yes"),"Meets all three","Potentially relevant; evidence incomplete"))</f>
        <v/>
      </c>
      <c r="AG36" s="77" t="inlineStr">
        <is>
          <t>Current delivery confirmed</t>
        </is>
      </c>
      <c r="AH36" s="77" t="inlineStr">
        <is>
          <t>2026/27 (project registration windows: intensive opens 30 Nov 2026; Semester 1 2027 window 11 Jan-21 Feb 2027)</t>
        </is>
      </c>
      <c r="AI36" s="77" t="inlineStr">
        <is>
          <t>Yes</t>
        </is>
      </c>
      <c r="AJ36" s="77">
        <f>IF(AND(AI36="Yes",AF36="Meets all three",AG36="Current delivery confirmed"),"Yes","No")</f>
        <v/>
      </c>
      <c r="AK36" s="77" t="inlineStr"/>
      <c r="AL36" s="77" t="inlineStr">
        <is>
          <t>AU03-S02-R1; AU03-S02-R2; AU03-S02-R3; AU03-S02-R4; AU03-S02-R5; AU03-S02-R6</t>
        </is>
      </c>
      <c r="AM36" s="77" t="inlineStr">
        <is>
          <t>Exact assessment weighting and number of students/projects per session not retrieved.</t>
        </is>
      </c>
      <c r="AN36" s="77" t="inlineStr"/>
      <c r="AO36" s="77" t="inlineStr">
        <is>
          <t>Australia</t>
        </is>
      </c>
      <c r="AP36" s="77" t="inlineStr">
        <is>
          <t>Australia</t>
        </is>
      </c>
      <c r="AQ36" s="77" t="inlineStr">
        <is>
          <t>~1 term/semester</t>
        </is>
      </c>
      <c r="AR36" s="77" t="inlineStr">
        <is>
          <t>All/standard</t>
        </is>
      </c>
      <c r="AS36" s="77" t="inlineStr"/>
    </row>
    <row r="37">
      <c r="A37" s="77" t="inlineStr">
        <is>
          <t>AU03</t>
        </is>
      </c>
      <c r="B37" s="77" t="inlineStr">
        <is>
          <t>Sydney</t>
        </is>
      </c>
      <c r="C37" s="77" t="inlineStr">
        <is>
          <t>Cross-faculty</t>
        </is>
      </c>
      <c r="D37" s="77" t="inlineStr">
        <is>
          <t>AU03-S03</t>
        </is>
      </c>
      <c r="E37" s="77" t="inlineStr">
        <is>
          <t>AU03-S01</t>
        </is>
      </c>
      <c r="F37" s="77" t="inlineStr">
        <is>
          <t>No</t>
        </is>
      </c>
      <c r="G37" s="79" t="inlineStr">
        <is>
          <t>Advanced Industry and Community Project A and B (4000 level ICPU)</t>
        </is>
      </c>
      <c r="H37" s="77" t="inlineStr">
        <is>
          <t>Advanced Industry and Community Project (4000 level)</t>
        </is>
      </c>
      <c r="I37" s="77" t="inlineStr">
        <is>
          <t>Shell units incl. BUSS4905, FASS4902, SCPU4001/SCPU4002, FMHU4001, ARCH4108</t>
        </is>
      </c>
      <c r="J37" s="77" t="inlineStr">
        <is>
          <t>12 cp advanced project taken as two co-requisite 6 cp faculty shell units (Project A in a June-July intensive, Project B in Semester 2). Interdisciplinary teams address a complex real-world problem identified by an industry, community or government organisation, using systems thinking and self-directed research to produce final recommendations. 2026 Semester 2 projects listed: AMP (climate transition planning for financial services) and PTW Architects (sustainable urban environments).</t>
        </is>
      </c>
      <c r="K37" s="77" t="inlineStr">
        <is>
          <t>PVC Education portfolio; faculty shell units</t>
        </is>
      </c>
      <c r="L37" s="77" t="inlineStr">
        <is>
          <t>Students in courses offering a 4000-level shell unit (Business, Arts &amp; Social Sciences, Science, Medicine &amp; Health, Architecture evidenced)</t>
        </is>
      </c>
      <c r="M37" s="77" t="inlineStr">
        <is>
          <t>Central provision; Business/management; Science; Arts/humanities/social sciences; Other (law, health, design, architecture…)</t>
        </is>
      </c>
      <c r="N37" s="77" t="inlineStr">
        <is>
          <t>Undergraduate</t>
        </is>
      </c>
      <c r="O37" s="77" t="inlineStr">
        <is>
          <t>4000 level (final/honours-level year)</t>
        </is>
      </c>
      <c r="P37" s="77" t="inlineStr">
        <is>
          <t>4000-level page (fetched): projects available to students enrolled in a Bachelor of Advanced Studies; accessed via shell units offered by Architecture/Design/Planning, Business, Arts &amp; Social Sciences, Medicine &amp; Health and Science.</t>
        </is>
      </c>
      <c r="Q37" s="77" t="inlineStr">
        <is>
          <t>Optional/elective</t>
        </is>
      </c>
      <c r="R37" s="77" t="inlineStr">
        <is>
          <t>Curricular</t>
        </is>
      </c>
      <c r="S37" s="77" t="inlineStr">
        <is>
          <t>12 credit points (2 x 6 cp shell units, A and B)</t>
        </is>
      </c>
      <c r="T37" s="77" t="inlineStr">
        <is>
          <t>Project A June-July intensive + Project B Semester 2 (3 Aug - 8 Nov 2026)</t>
        </is>
      </c>
      <c r="U37" s="77" t="inlineStr">
        <is>
          <t>Interdisciplinary teams; intensive + semester</t>
        </is>
      </c>
      <c r="V37" s="77" t="inlineStr">
        <is>
          <t>Yes</t>
        </is>
      </c>
      <c r="W37" s="77" t="inlineStr">
        <is>
          <t>Teams work on a complex real-world problem identified by partner organisations and produce final recommendations [1][2].</t>
        </is>
      </c>
      <c r="X37" s="77" t="inlineStr">
        <is>
          <t>Yes</t>
        </is>
      </c>
      <c r="Y37" s="77" t="inlineStr">
        <is>
          <t>ARCH4108 describes teams working on the problem [2]; SCPU4001 students work in teams in collaboration with a major industry partner [3]. WebFetch of 4000-level page (2026-10-13): "Project teams, comprised of around five 4000 level students from multiple disciplines"; "students will interact with multiple industry and community partners who will set the project scope"; teams present final report to a panel of external partners.</t>
        </is>
      </c>
      <c r="Z37" s="77" t="inlineStr">
        <is>
          <t>Yes</t>
        </is>
      </c>
      <c r="AA37" s="77" t="inlineStr">
        <is>
          <t>Problem identified by industry, community and government organisations [2]; SCPU4001 run in collaboration with a major industry partner [3]; 2026 projects with AMP and PTW Architects [1]. Page text: partners set project scope and receive final report presentation.</t>
        </is>
      </c>
      <c r="AB37" s="77" t="inlineStr">
        <is>
          <t>Mixed</t>
        </is>
      </c>
      <c r="AC37" s="77" t="inlineStr">
        <is>
          <t>Identifies the problem/brief; collaborates on the project</t>
        </is>
      </c>
      <c r="AD37" s="77" t="inlineStr">
        <is>
          <t>AMP; PTW Architects (Semester 2 2026)</t>
        </is>
      </c>
      <c r="AE37" s="77" t="inlineStr">
        <is>
          <t>Final recommendations</t>
        </is>
      </c>
      <c r="AF37" s="77">
        <f>IF(OR(V37="No",X37="No",Z37="No"),"Outside strict definition",IF(AND(V37="Yes",X37="Yes",Z37="Yes"),"Meets all three","Potentially relevant; evidence incomplete"))</f>
        <v/>
      </c>
      <c r="AG37" s="77" t="inlineStr">
        <is>
          <t>Current delivery confirmed</t>
        </is>
      </c>
      <c r="AH37" s="77" t="inlineStr">
        <is>
          <t>2026 and 2027 (project dates listed for Jan 2027-Nov 2027)</t>
        </is>
      </c>
      <c r="AI37" s="77" t="inlineStr">
        <is>
          <t>Yes</t>
        </is>
      </c>
      <c r="AJ37" s="77">
        <f>IF(AND(AI37="Yes",AF37="Meets all three",AG37="Current delivery confirmed"),"Yes","No")</f>
        <v/>
      </c>
      <c r="AK37" s="77" t="inlineStr"/>
      <c r="AL37" s="77" t="inlineStr">
        <is>
          <t>AU03-S03-R1; AU03-S03-R2; AU03-S03-R3; AU03-S03-R4; AU03-S03-R5</t>
        </is>
      </c>
      <c r="AM37" s="77" t="inlineStr">
        <is>
          <t>AMP 2026 project uses public disclosures as a case study; extent of direct partner engagement there not stated. Reach Cross-faculty (five areas named).</t>
        </is>
      </c>
      <c r="AN37" s="77" t="inlineStr"/>
      <c r="AO37" s="77" t="inlineStr">
        <is>
          <t>Australia</t>
        </is>
      </c>
      <c r="AP37" s="77" t="inlineStr">
        <is>
          <t>Australia</t>
        </is>
      </c>
      <c r="AQ37" s="77" t="inlineStr">
        <is>
          <t>&gt;1 term</t>
        </is>
      </c>
      <c r="AR37" s="77" t="inlineStr">
        <is>
          <t>All/standard</t>
        </is>
      </c>
      <c r="AS37" s="77" t="inlineStr"/>
    </row>
    <row r="38">
      <c r="A38" s="77" t="inlineStr">
        <is>
          <t>AU03</t>
        </is>
      </c>
      <c r="B38" s="77" t="inlineStr">
        <is>
          <t>Sydney</t>
        </is>
      </c>
      <c r="C38" s="77" t="inlineStr">
        <is>
          <t>Faculty/school</t>
        </is>
      </c>
      <c r="D38" s="77" t="inlineStr">
        <is>
          <t>AU03-S04</t>
        </is>
      </c>
      <c r="E38" s="77" t="inlineStr"/>
      <c r="F38" s="77" t="inlineStr">
        <is>
          <t>No</t>
        </is>
      </c>
      <c r="G38" s="79" t="inlineStr">
        <is>
          <t>Business Consulting Practicum (Undergraduate)</t>
        </is>
      </c>
      <c r="H38" s="77" t="inlineStr">
        <is>
          <t>Business Consulting Practicum</t>
        </is>
      </c>
      <c r="I38" s="77" t="inlineStr">
        <is>
          <t>BWIL1300</t>
        </is>
      </c>
      <c r="J38" s="77" t="inlineStr">
        <is>
          <t>Business School elective in which students form a student consultancy with classmates and work through the semester on a live project for a sponsor organisation (corporate, SME, not-for-profit or government), scoping deliverables with the sponsor and delivering a written report.</t>
        </is>
      </c>
      <c r="K38" s="77" t="inlineStr">
        <is>
          <t>University of Sydney Business School (Business placements, projects and study tours)</t>
        </is>
      </c>
      <c r="L38" s="77" t="inlineStr">
        <is>
          <t>Business School degrees incl. Bachelor of Commerce and combined degrees</t>
        </is>
      </c>
      <c r="M38" s="77" t="inlineStr">
        <is>
          <t>Business/management</t>
        </is>
      </c>
      <c r="N38" s="77" t="inlineStr">
        <is>
          <t>Undergraduate</t>
        </is>
      </c>
      <c r="O38" s="77" t="inlineStr">
        <is>
          <t>After at least 24 cp of business units</t>
        </is>
      </c>
      <c r="P38" s="77" t="inlineStr">
        <is>
          <t>Enrolled in specified Business School degree; 24 cp of UG business units completed; 6 cp free elective space; does not count to major/minor; minimum enrolment needed.</t>
        </is>
      </c>
      <c r="Q38" s="77" t="inlineStr">
        <is>
          <t>Optional/elective</t>
        </is>
      </c>
      <c r="R38" s="77" t="inlineStr">
        <is>
          <t>Curricular</t>
        </is>
      </c>
      <c r="S38" s="77" t="inlineStr">
        <is>
          <t>6 credit points</t>
        </is>
      </c>
      <c r="T38" s="77" t="inlineStr">
        <is>
          <t>One semester</t>
        </is>
      </c>
      <c r="U38" s="77" t="inlineStr">
        <is>
          <t>On campus (Camperdown/Darlington)</t>
        </is>
      </c>
      <c r="V38" s="77" t="inlineStr">
        <is>
          <t>Yes</t>
        </is>
      </c>
      <c r="W38" s="77" t="inlineStr">
        <is>
          <t>Live industry project; scope and deliverables set with the sponsor; ends in a written report to the sponsor [1][2].</t>
        </is>
      </c>
      <c r="X38" s="77" t="inlineStr">
        <is>
          <t>Yes</t>
        </is>
      </c>
      <c r="Y38" s="77" t="inlineStr">
        <is>
          <t>Students 'form a student consultancy with your classmates' [1].</t>
        </is>
      </c>
      <c r="Z38" s="77" t="inlineStr">
        <is>
          <t>Yes</t>
        </is>
      </c>
      <c r="AA38" s="77" t="inlineStr">
        <is>
          <t>Sponsor organisation provides the project, agrees scope/deliverables and receives the written report [2].</t>
        </is>
      </c>
      <c r="AB38" s="77" t="inlineStr">
        <is>
          <t>Mixed</t>
        </is>
      </c>
      <c r="AC38" s="77" t="inlineStr">
        <is>
          <t>Sponsor/client: scopes deliverables, receives report</t>
        </is>
      </c>
      <c r="AD38" s="77" t="inlineStr"/>
      <c r="AE38" s="77" t="inlineStr">
        <is>
          <t>Written consulting report to sponsor</t>
        </is>
      </c>
      <c r="AF38" s="77">
        <f>IF(OR(V38="No",X38="No",Z38="No"),"Outside strict definition",IF(AND(V38="Yes",X38="Yes",Z38="Yes"),"Meets all three","Potentially relevant; evidence incomplete"))</f>
        <v/>
      </c>
      <c r="AG38" s="77" t="inlineStr">
        <is>
          <t>Current delivery confirmed</t>
        </is>
      </c>
      <c r="AH38" s="77" t="inlineStr">
        <is>
          <t>2026 (Semester 2 2026 offering)</t>
        </is>
      </c>
      <c r="AI38" s="77" t="inlineStr">
        <is>
          <t>Yes</t>
        </is>
      </c>
      <c r="AJ38" s="77">
        <f>IF(AND(AI38="Yes",AF38="Meets all three",AG38="Current delivery confirmed"),"Yes","No")</f>
        <v/>
      </c>
      <c r="AK38" s="77" t="inlineStr"/>
      <c r="AL38" s="77" t="inlineStr">
        <is>
          <t>AU03-S04-R1; AU03-S04-R2; AU03-S04-R3</t>
        </is>
      </c>
      <c r="AM38" s="77" t="inlineStr">
        <is>
          <t>Sponsor/report details are evidenced on the BWIL6300 unit page and shared programme page; BWIL1300's own unit page extract gave only the 2026 session.</t>
        </is>
      </c>
      <c r="AN38" s="77" t="inlineStr"/>
      <c r="AO38" s="77" t="inlineStr">
        <is>
          <t>Australia</t>
        </is>
      </c>
      <c r="AP38" s="77" t="inlineStr">
        <is>
          <t>Australia</t>
        </is>
      </c>
      <c r="AQ38" s="77" t="inlineStr">
        <is>
          <t>~1 term/semester</t>
        </is>
      </c>
      <c r="AR38" s="77" t="inlineStr">
        <is>
          <t>All/standard</t>
        </is>
      </c>
      <c r="AS38" s="77" t="inlineStr"/>
    </row>
    <row r="39">
      <c r="A39" s="77" t="inlineStr">
        <is>
          <t>AU03</t>
        </is>
      </c>
      <c r="B39" s="77" t="inlineStr">
        <is>
          <t>Sydney</t>
        </is>
      </c>
      <c r="C39" s="77" t="inlineStr">
        <is>
          <t>Faculty/school</t>
        </is>
      </c>
      <c r="D39" s="77" t="inlineStr">
        <is>
          <t>AU03-S05</t>
        </is>
      </c>
      <c r="E39" s="77" t="inlineStr"/>
      <c r="F39" s="77" t="inlineStr">
        <is>
          <t>No</t>
        </is>
      </c>
      <c r="G39" s="79" t="inlineStr">
        <is>
          <t>Business Consulting Practicum (Postgraduate)</t>
        </is>
      </c>
      <c r="H39" s="77" t="inlineStr">
        <is>
          <t>Business Consulting Practicum</t>
        </is>
      </c>
      <c r="I39" s="77" t="inlineStr">
        <is>
          <t>BWIL6300</t>
        </is>
      </c>
      <c r="J39" s="77" t="inlineStr">
        <is>
          <t>Postgraduate version: student consultancy teams of classmates work for a semester with a sponsor (corporate, SME, not-for-profit or government), examining the sponsor's current activities, challenges and aspirations and delivering a written report.</t>
        </is>
      </c>
      <c r="K39" s="77" t="inlineStr">
        <is>
          <t>University of Sydney Business School</t>
        </is>
      </c>
      <c r="L39" s="77" t="inlineStr">
        <is>
          <t>Specified Business School master's degrees (e.g. Master of Commerce, Master of Professional Accounting)</t>
        </is>
      </c>
      <c r="M39" s="77" t="inlineStr">
        <is>
          <t>Business/management</t>
        </is>
      </c>
      <c r="N39" s="77" t="inlineStr">
        <is>
          <t>Postgraduate taught</t>
        </is>
      </c>
      <c r="O39" s="77" t="inlineStr">
        <is>
          <t>Any (no minimum credit points)</t>
        </is>
      </c>
      <c r="P39" s="77" t="inlineStr">
        <is>
          <t>Enrolled in specified Business School PG degree; minimum enrolment needed.</t>
        </is>
      </c>
      <c r="Q39" s="77" t="inlineStr">
        <is>
          <t>Optional/elective</t>
        </is>
      </c>
      <c r="R39" s="77" t="inlineStr">
        <is>
          <t>Curricular</t>
        </is>
      </c>
      <c r="S39" s="77" t="inlineStr">
        <is>
          <t>6 credit points</t>
        </is>
      </c>
      <c r="T39" s="77" t="inlineStr">
        <is>
          <t>One semester</t>
        </is>
      </c>
      <c r="U39" s="77" t="inlineStr">
        <is>
          <t>On campus; Semester 1 and Semester 2 2026</t>
        </is>
      </c>
      <c r="V39" s="77" t="inlineStr">
        <is>
          <t>Yes</t>
        </is>
      </c>
      <c r="W39" s="77" t="inlineStr">
        <is>
          <t>Sponsor project; scope/deliverables set with sponsor; written report [1].</t>
        </is>
      </c>
      <c r="X39" s="77" t="inlineStr">
        <is>
          <t>Yes</t>
        </is>
      </c>
      <c r="Y39" s="77" t="inlineStr">
        <is>
          <t>Students form a student consultancy with classmates [2].</t>
        </is>
      </c>
      <c r="Z39" s="77" t="inlineStr">
        <is>
          <t>Yes</t>
        </is>
      </c>
      <c r="AA39" s="77" t="inlineStr">
        <is>
          <t>Sponsor organisation supplies project, co-scopes deliverables, receives written report [1].</t>
        </is>
      </c>
      <c r="AB39" s="77" t="inlineStr">
        <is>
          <t>Mixed</t>
        </is>
      </c>
      <c r="AC39" s="77" t="inlineStr">
        <is>
          <t>Sponsor/client</t>
        </is>
      </c>
      <c r="AD39" s="77" t="inlineStr"/>
      <c r="AE39" s="77" t="inlineStr">
        <is>
          <t>Written report to sponsor</t>
        </is>
      </c>
      <c r="AF39" s="77">
        <f>IF(OR(V39="No",X39="No",Z39="No"),"Outside strict definition",IF(AND(V39="Yes",X39="Yes",Z39="Yes"),"Meets all three","Potentially relevant; evidence incomplete"))</f>
        <v/>
      </c>
      <c r="AG39" s="77" t="inlineStr">
        <is>
          <t>Current delivery confirmed</t>
        </is>
      </c>
      <c r="AH39" s="77" t="inlineStr">
        <is>
          <t>2026 (Semester 1 and 2 2026 offerings)</t>
        </is>
      </c>
      <c r="AI39" s="77" t="inlineStr">
        <is>
          <t>Yes</t>
        </is>
      </c>
      <c r="AJ39" s="77">
        <f>IF(AND(AI39="Yes",AF39="Meets all three",AG39="Current delivery confirmed"),"Yes","No")</f>
        <v/>
      </c>
      <c r="AK39" s="77" t="inlineStr"/>
      <c r="AL39" s="77" t="inlineStr">
        <is>
          <t>AU03-S05-R1; AU03-S05-R2</t>
        </is>
      </c>
      <c r="AM39" s="77" t="inlineStr"/>
      <c r="AN39" s="77" t="inlineStr"/>
      <c r="AO39" s="77" t="inlineStr">
        <is>
          <t>Australia</t>
        </is>
      </c>
      <c r="AP39" s="77" t="inlineStr">
        <is>
          <t>Australia</t>
        </is>
      </c>
      <c r="AQ39" s="77" t="inlineStr">
        <is>
          <t>~1 term/semester</t>
        </is>
      </c>
      <c r="AR39" s="77" t="inlineStr">
        <is>
          <t>All/standard</t>
        </is>
      </c>
      <c r="AS39" s="77" t="inlineStr"/>
    </row>
    <row r="40">
      <c r="A40" s="77" t="inlineStr">
        <is>
          <t>AU03</t>
        </is>
      </c>
      <c r="B40" s="77" t="inlineStr">
        <is>
          <t>Sydney</t>
        </is>
      </c>
      <c r="C40" s="77" t="inlineStr">
        <is>
          <t>Programme/course</t>
        </is>
      </c>
      <c r="D40" s="77" t="inlineStr">
        <is>
          <t>AU03-S06</t>
        </is>
      </c>
      <c r="E40" s="77" t="inlineStr"/>
      <c r="F40" s="77" t="inlineStr">
        <is>
          <t>No</t>
        </is>
      </c>
      <c r="G40" s="79" t="inlineStr">
        <is>
          <t>MMGT Business Project</t>
        </is>
      </c>
      <c r="H40" s="77" t="inlineStr">
        <is>
          <t>Master of Management Business Project</t>
        </is>
      </c>
      <c r="I40" s="77" t="inlineStr">
        <is>
          <t>MMGT6101</t>
        </is>
      </c>
      <c r="J40" s="77" t="inlineStr">
        <is>
          <t>12 cp field-experience unit in the Master of Management: groups of four or five partner with a real organisation for ten weeks to research and recommend solutions to a business problem identified with the partner, with a consulting mentor; assessed by scoping document, business project report (45%), presentation (25%) and thought-leadership piece/learning portfolio (30%).</t>
        </is>
      </c>
      <c r="K40" s="77" t="inlineStr">
        <is>
          <t>University of Sydney Business School</t>
        </is>
      </c>
      <c r="L40" s="77" t="inlineStr">
        <is>
          <t>Master of Management (and CEMS variant)</t>
        </is>
      </c>
      <c r="M40" s="77" t="inlineStr">
        <is>
          <t>Business/management</t>
        </is>
      </c>
      <c r="N40" s="77" t="inlineStr">
        <is>
          <t>Postgraduate taught</t>
        </is>
      </c>
      <c r="O40" s="77" t="inlineStr">
        <is>
          <t>After 24 cp of core units (2016 handbook)</t>
        </is>
      </c>
      <c r="P40" s="77" t="inlineStr">
        <is>
          <t>Department permission; 24 cp core units completed (archived 2016 handbook)</t>
        </is>
      </c>
      <c r="Q40" s="77" t="inlineStr">
        <is>
          <t>Unclear</t>
        </is>
      </c>
      <c r="R40" s="77" t="inlineStr">
        <is>
          <t>Curricular</t>
        </is>
      </c>
      <c r="S40" s="77" t="inlineStr">
        <is>
          <t>12 cp; report 45%, presentation 25%, thought leadership + portfolio 30%</t>
        </is>
      </c>
      <c r="T40" s="77" t="inlineStr">
        <is>
          <t>Ten weeks</t>
        </is>
      </c>
      <c r="U40" s="77" t="inlineStr">
        <is>
          <t>Field experience, no formal classes</t>
        </is>
      </c>
      <c r="V40" s="77" t="inlineStr">
        <is>
          <t>Yes</t>
        </is>
      </c>
      <c r="W40" s="77" t="inlineStr">
        <is>
          <t>Research and recommend solutions to a business problem; project report and presentation [1].</t>
        </is>
      </c>
      <c r="X40" s="77" t="inlineStr">
        <is>
          <t>Yes</t>
        </is>
      </c>
      <c r="Y40" s="77" t="inlineStr">
        <is>
          <t>'small groups of four or five' [1].</t>
        </is>
      </c>
      <c r="Z40" s="77" t="inlineStr">
        <is>
          <t>Yes</t>
        </is>
      </c>
      <c r="AA40" s="77" t="inlineStr">
        <is>
          <t>Groups partner with a real (host) organisation that identifies the business problem; projects range from NGOs/community groups to multinational corporations [1].</t>
        </is>
      </c>
      <c r="AB40" s="77" t="inlineStr">
        <is>
          <t>Mixed</t>
        </is>
      </c>
      <c r="AC40" s="77" t="inlineStr">
        <is>
          <t>Host organisation; identifies problem; receives recommendations</t>
        </is>
      </c>
      <c r="AD40" s="77" t="inlineStr"/>
      <c r="AE40" s="77" t="inlineStr">
        <is>
          <t>Business project report and presentation</t>
        </is>
      </c>
      <c r="AF40" s="77">
        <f>IF(OR(V40="No",X40="No",Z40="No"),"Outside strict definition",IF(AND(V40="Yes",X40="Yes",Z40="Yes"),"Meets all three","Potentially relevant; evidence incomplete"))</f>
        <v/>
      </c>
      <c r="AG40" s="77" t="inlineStr">
        <is>
          <t>Current status unclear</t>
        </is>
      </c>
      <c r="AH40" s="77" t="inlineStr">
        <is>
          <t>Unclear (unit page undated in extract; detailed description from un-yeared/archived handbooks)</t>
        </is>
      </c>
      <c r="AI40" s="77" t="inlineStr">
        <is>
          <t>Yes</t>
        </is>
      </c>
      <c r="AJ40" s="77">
        <f>IF(AND(AI40="Yes",AF40="Meets all three",AG40="Current delivery confirmed"),"Yes","No")</f>
        <v/>
      </c>
      <c r="AK40" s="77" t="inlineStr"/>
      <c r="AL40" s="77" t="inlineStr">
        <is>
          <t>AU03-S06-R1; AU03-S06-R2; AU03-S06-R3</t>
        </is>
      </c>
      <c r="AM40" s="77" t="inlineStr">
        <is>
          <t>No dated 2025/26-2026/27 corroboration retrieved (round-2 ruling); compulsory vs elective status in the MMgt not confirmed.</t>
        </is>
      </c>
      <c r="AN40" s="77" t="inlineStr"/>
      <c r="AO40" s="77" t="inlineStr">
        <is>
          <t>Australia</t>
        </is>
      </c>
      <c r="AP40" s="77" t="inlineStr">
        <is>
          <t>Australia</t>
        </is>
      </c>
      <c r="AQ40" s="77" t="inlineStr">
        <is>
          <t>~1 term/semester</t>
        </is>
      </c>
      <c r="AR40" s="77" t="inlineStr">
        <is>
          <t>All/standard</t>
        </is>
      </c>
      <c r="AS40" s="77" t="inlineStr"/>
    </row>
    <row r="41">
      <c r="A41" s="77" t="inlineStr">
        <is>
          <t>AU03</t>
        </is>
      </c>
      <c r="B41" s="77" t="inlineStr">
        <is>
          <t>Sydney</t>
        </is>
      </c>
      <c r="C41" s="77" t="inlineStr">
        <is>
          <t>Programme/course</t>
        </is>
      </c>
      <c r="D41" s="77" t="inlineStr">
        <is>
          <t>AU03-S07</t>
        </is>
      </c>
      <c r="E41" s="77" t="inlineStr"/>
      <c r="F41" s="77" t="inlineStr">
        <is>
          <t>No</t>
        </is>
      </c>
      <c r="G41" s="79" t="inlineStr">
        <is>
          <t>Strategy, Innovation and Management Capstone</t>
        </is>
      </c>
      <c r="H41" s="77" t="inlineStr"/>
      <c r="I41" s="77" t="inlineStr">
        <is>
          <t>SIEN6600</t>
        </is>
      </c>
      <c r="J41" s="77" t="inlineStr">
        <is>
          <t>6 cp capstone in the Master of Commerce Strategy, Innovation and Management specialisation in which theories and concepts are tested in real-life business projects offered by participating partner organisations.</t>
        </is>
      </c>
      <c r="K41" s="77" t="inlineStr">
        <is>
          <t>Business School, Discipline of Strategy, Innovation and Entrepreneurship</t>
        </is>
      </c>
      <c r="L41" s="77" t="inlineStr">
        <is>
          <t>Master of Commerce (SIM specialisation)</t>
        </is>
      </c>
      <c r="M41" s="77" t="inlineStr">
        <is>
          <t>Business/management</t>
        </is>
      </c>
      <c r="N41" s="77" t="inlineStr">
        <is>
          <t>Postgraduate taught</t>
        </is>
      </c>
      <c r="O41" s="77" t="inlineStr">
        <is>
          <t>Final (capstone)</t>
        </is>
      </c>
      <c r="P41" s="77" t="inlineStr">
        <is>
          <t>Not retrieved</t>
        </is>
      </c>
      <c r="Q41" s="77" t="inlineStr">
        <is>
          <t>Unclear</t>
        </is>
      </c>
      <c r="R41" s="77" t="inlineStr">
        <is>
          <t>Curricular</t>
        </is>
      </c>
      <c r="S41" s="77" t="inlineStr">
        <is>
          <t>6 credit points</t>
        </is>
      </c>
      <c r="T41" s="77" t="inlineStr">
        <is>
          <t>One semester</t>
        </is>
      </c>
      <c r="U41" s="77" t="inlineStr">
        <is>
          <t>On campus, Semester 1 and Semester 2 2026</t>
        </is>
      </c>
      <c r="V41" s="77" t="inlineStr">
        <is>
          <t>Yes</t>
        </is>
      </c>
      <c r="W41" s="77" t="inlineStr">
        <is>
          <t>Real-life business projects [1].</t>
        </is>
      </c>
      <c r="X41" s="77" t="inlineStr">
        <is>
          <t>Yes</t>
        </is>
      </c>
      <c r="Y41" s="77" t="inlineStr">
        <is>
          <t>WebFetch of unit page (2026-10-13): LO4 "Practice organisational and time management skills while collaborating on group projects and interacting with business partners." [2]</t>
        </is>
      </c>
      <c r="Z41" s="77" t="inlineStr">
        <is>
          <t>Yes</t>
        </is>
      </c>
      <c r="AA41" s="77" t="inlineStr">
        <is>
          <t>Projects 'offered by participating partner organisations' [1].</t>
        </is>
      </c>
      <c r="AB41" s="77" t="inlineStr">
        <is>
          <t>Unclear</t>
        </is>
      </c>
      <c r="AC41" s="77" t="inlineStr">
        <is>
          <t>Offers the project</t>
        </is>
      </c>
      <c r="AD41" s="77" t="inlineStr"/>
      <c r="AE41" s="77" t="inlineStr">
        <is>
          <t>Not retrieved</t>
        </is>
      </c>
      <c r="AF41" s="77">
        <f>IF(OR(V41="No",X41="No",Z41="No"),"Outside strict definition",IF(AND(V41="Yes",X41="Yes",Z41="Yes"),"Meets all three","Potentially relevant; evidence incomplete"))</f>
        <v/>
      </c>
      <c r="AG41" s="77" t="inlineStr">
        <is>
          <t>Current delivery confirmed</t>
        </is>
      </c>
      <c r="AH41" s="77" t="inlineStr">
        <is>
          <t>2026</t>
        </is>
      </c>
      <c r="AI41" s="77" t="inlineStr">
        <is>
          <t>Yes</t>
        </is>
      </c>
      <c r="AJ41" s="77">
        <f>IF(AND(AI41="Yes",AF41="Meets all three",AG41="Current delivery confirmed"),"Yes","No")</f>
        <v/>
      </c>
      <c r="AK41" s="77" t="inlineStr"/>
      <c r="AL41" s="77" t="inlineStr">
        <is>
          <t>AU03-S07-R1; AU03-S07-R2</t>
        </is>
      </c>
      <c r="AM41" s="77" t="inlineStr">
        <is>
          <t>Named partners, deliverable and compulsory status not retrieved (assessment details only in unit outline). Group projects with business partners per learning outcome; whether every project is a team project with an external partner not explicit.</t>
        </is>
      </c>
      <c r="AN41" s="77" t="inlineStr"/>
      <c r="AO41" s="77" t="inlineStr">
        <is>
          <t>Australia</t>
        </is>
      </c>
      <c r="AP41" s="77" t="inlineStr">
        <is>
          <t>Australia</t>
        </is>
      </c>
      <c r="AQ41" s="77" t="inlineStr">
        <is>
          <t>~1 term/semester</t>
        </is>
      </c>
      <c r="AR41" s="77" t="inlineStr">
        <is>
          <t>All/standard</t>
        </is>
      </c>
      <c r="AS41" s="77" t="inlineStr"/>
    </row>
    <row r="42">
      <c r="A42" s="77" t="inlineStr">
        <is>
          <t>AU03</t>
        </is>
      </c>
      <c r="B42" s="77" t="inlineStr">
        <is>
          <t>Sydney</t>
        </is>
      </c>
      <c r="C42" s="77" t="inlineStr">
        <is>
          <t>Programme/course</t>
        </is>
      </c>
      <c r="D42" s="77" t="inlineStr">
        <is>
          <t>AU03-S08</t>
        </is>
      </c>
      <c r="E42" s="77" t="inlineStr"/>
      <c r="F42" s="77" t="inlineStr">
        <is>
          <t>No</t>
        </is>
      </c>
      <c r="G42" s="79" t="inlineStr">
        <is>
          <t>Master of Commerce Business Information Systems (BIS) capstone</t>
        </is>
      </c>
      <c r="H42" s="77" t="inlineStr"/>
      <c r="I42" s="77" t="inlineStr">
        <is>
          <t>Not identified</t>
        </is>
      </c>
      <c r="J42" s="77" t="inlineStr">
        <is>
          <t>BIS capstone unit in the Master of Commerce in which students work with industry partners (e.g. Prezzee, 2024) on real business cases over 13 weeks with mid-term deliverables and a final report and presentation.</t>
        </is>
      </c>
      <c r="K42" s="77" t="inlineStr">
        <is>
          <t>Business School, Discipline of Business Information Systems</t>
        </is>
      </c>
      <c r="L42" s="77" t="inlineStr">
        <is>
          <t>Master of Commerce (BIS)</t>
        </is>
      </c>
      <c r="M42" s="77" t="inlineStr">
        <is>
          <t>Business/management</t>
        </is>
      </c>
      <c r="N42" s="77" t="inlineStr">
        <is>
          <t>Postgraduate taught</t>
        </is>
      </c>
      <c r="O42" s="77" t="inlineStr">
        <is>
          <t>Capstone</t>
        </is>
      </c>
      <c r="P42" s="77" t="inlineStr">
        <is>
          <t>Not retrieved</t>
        </is>
      </c>
      <c r="Q42" s="77" t="inlineStr">
        <is>
          <t>Unclear</t>
        </is>
      </c>
      <c r="R42" s="77" t="inlineStr">
        <is>
          <t>Curricular</t>
        </is>
      </c>
      <c r="S42" s="77" t="inlineStr">
        <is>
          <t>Not retrieved</t>
        </is>
      </c>
      <c r="T42" s="77" t="inlineStr">
        <is>
          <t>13 weeks</t>
        </is>
      </c>
      <c r="U42" s="77" t="inlineStr"/>
      <c r="V42" s="77" t="inlineStr">
        <is>
          <t>Yes</t>
        </is>
      </c>
      <c r="W42" s="77" t="inlineStr">
        <is>
          <t>Real business cases with mid-term deliverables, final report and presentation [1].</t>
        </is>
      </c>
      <c r="X42" s="77" t="inlineStr">
        <is>
          <t>Unclear</t>
        </is>
      </c>
      <c r="Y42" s="77" t="inlineStr">
        <is>
          <t>Team format not explicit in retrieved summary.</t>
        </is>
      </c>
      <c r="Z42" s="77" t="inlineStr">
        <is>
          <t>Yes</t>
        </is>
      </c>
      <c r="AA42" s="77" t="inlineStr">
        <is>
          <t>Students work with industry partner Prezzee as a real client [1].</t>
        </is>
      </c>
      <c r="AB42" s="77" t="inlineStr">
        <is>
          <t>Business/commercial</t>
        </is>
      </c>
      <c r="AC42" s="77" t="inlineStr">
        <is>
          <t>Industry partner/client</t>
        </is>
      </c>
      <c r="AD42" s="77" t="inlineStr">
        <is>
          <t>Prezzee (2024)</t>
        </is>
      </c>
      <c r="AE42" s="77" t="inlineStr">
        <is>
          <t>Final report and presentation</t>
        </is>
      </c>
      <c r="AF42" s="77">
        <f>IF(OR(V42="No",X42="No",Z42="No"),"Outside strict definition",IF(AND(V42="Yes",X42="Yes",Z42="Yes"),"Meets all three","Potentially relevant; evidence incomplete"))</f>
        <v/>
      </c>
      <c r="AG42" s="77" t="inlineStr">
        <is>
          <t>Current status unclear</t>
        </is>
      </c>
      <c r="AH42" s="77" t="inlineStr">
        <is>
          <t>2024</t>
        </is>
      </c>
      <c r="AI42" s="77" t="inlineStr">
        <is>
          <t>Yes</t>
        </is>
      </c>
      <c r="AJ42" s="77">
        <f>IF(AND(AI42="Yes",AF42="Meets all three",AG42="Current delivery confirmed"),"Yes","No")</f>
        <v/>
      </c>
      <c r="AK42" s="77" t="inlineStr"/>
      <c r="AL42" s="77" t="inlineStr">
        <is>
          <t>AU03-S08-R1</t>
        </is>
      </c>
      <c r="AM42" s="77" t="inlineStr">
        <is>
          <t>Unit code, group format, whether all projects have industry partners, and 2025/26 delivery not retrieved.</t>
        </is>
      </c>
      <c r="AN42" s="77" t="inlineStr"/>
      <c r="AO42" s="77" t="inlineStr">
        <is>
          <t>Australia</t>
        </is>
      </c>
      <c r="AP42" s="77" t="inlineStr">
        <is>
          <t>Australia</t>
        </is>
      </c>
      <c r="AQ42" s="77" t="inlineStr">
        <is>
          <t>~1 term/semester</t>
        </is>
      </c>
      <c r="AR42" s="77" t="inlineStr">
        <is>
          <t>Unclear</t>
        </is>
      </c>
      <c r="AS42" s="77" t="inlineStr"/>
    </row>
    <row r="43">
      <c r="A43" s="77" t="inlineStr">
        <is>
          <t>AU03</t>
        </is>
      </c>
      <c r="B43" s="77" t="inlineStr">
        <is>
          <t>Sydney</t>
        </is>
      </c>
      <c r="C43" s="77" t="inlineStr">
        <is>
          <t>Programme/course</t>
        </is>
      </c>
      <c r="D43" s="77" t="inlineStr">
        <is>
          <t>AU03-S09</t>
        </is>
      </c>
      <c r="E43" s="77" t="inlineStr"/>
      <c r="F43" s="77" t="inlineStr">
        <is>
          <t>No</t>
        </is>
      </c>
      <c r="G43" s="79" t="inlineStr">
        <is>
          <t>Computer Science Project</t>
        </is>
      </c>
      <c r="H43" s="77" t="inlineStr"/>
      <c r="I43" s="77" t="inlineStr">
        <is>
          <t>COMP3888 (advanced alternative COMP3988)</t>
        </is>
      </c>
      <c r="J43" s="77" t="inlineStr">
        <is>
          <t>Third-year computer science capstone: students work in groups for an external client under academic supervision, building a substantial software system across the full development cycle using XP, and working with the client to discover needs and demonstrate the delivered results meet them.</t>
        </is>
      </c>
      <c r="K43" s="77" t="inlineStr">
        <is>
          <t>School of Computer Science, Faculty of Engineering</t>
        </is>
      </c>
      <c r="L43" s="77" t="inlineStr">
        <is>
          <t>Computer Science major (BSc, BAdvComputing, etc.)</t>
        </is>
      </c>
      <c r="M43" s="77" t="inlineStr">
        <is>
          <t>Engineering/computing</t>
        </is>
      </c>
      <c r="N43" s="77" t="inlineStr">
        <is>
          <t>Undergraduate</t>
        </is>
      </c>
      <c r="O43" s="77" t="inlineStr">
        <is>
          <t>Third year</t>
        </is>
      </c>
      <c r="P43" s="77" t="inlineStr">
        <is>
          <t>Core for Computer Science major; may be replaced by COMP3988</t>
        </is>
      </c>
      <c r="Q43" s="77" t="inlineStr">
        <is>
          <t>Compulsory within specified programmes</t>
        </is>
      </c>
      <c r="R43" s="77" t="inlineStr">
        <is>
          <t>Curricular</t>
        </is>
      </c>
      <c r="S43" s="77" t="inlineStr">
        <is>
          <t>6 credit points</t>
        </is>
      </c>
      <c r="T43" s="77" t="inlineStr">
        <is>
          <t>Semester 2</t>
        </is>
      </c>
      <c r="U43" s="77" t="inlineStr">
        <is>
          <t>On campus (Camperdown/Darlington)</t>
        </is>
      </c>
      <c r="V43" s="77" t="inlineStr">
        <is>
          <t>Yes</t>
        </is>
      </c>
      <c r="W43" s="77" t="inlineStr">
        <is>
          <t>Substantial software system built across the full development cycle [1].</t>
        </is>
      </c>
      <c r="X43" s="77" t="inlineStr">
        <is>
          <t>Yes</t>
        </is>
      </c>
      <c r="Y43" s="77" t="inlineStr">
        <is>
          <t>'students work in groups' [1].</t>
        </is>
      </c>
      <c r="Z43" s="77" t="inlineStr">
        <is>
          <t>Yes</t>
        </is>
      </c>
      <c r="AA43" s="77" t="inlineStr">
        <is>
          <t>Groups work 'for an external client'; outcome on working with clients to discover their needs [1]; partner-facing page invites partners to provide a project scope and expected deliverables for a twelve-week CS capstone [2].</t>
        </is>
      </c>
      <c r="AB43" s="77" t="inlineStr">
        <is>
          <t>Unclear</t>
        </is>
      </c>
      <c r="AC43" s="77" t="inlineStr">
        <is>
          <t>Client: provides project scope/requirements, receives software</t>
        </is>
      </c>
      <c r="AD43" s="77" t="inlineStr"/>
      <c r="AE43" s="77" t="inlineStr">
        <is>
          <t>Software system</t>
        </is>
      </c>
      <c r="AF43" s="77">
        <f>IF(OR(V43="No",X43="No",Z43="No"),"Outside strict definition",IF(AND(V43="Yes",X43="Yes",Z43="Yes"),"Meets all three","Potentially relevant; evidence incomplete"))</f>
        <v/>
      </c>
      <c r="AG43" s="77" t="inlineStr">
        <is>
          <t>Current delivery confirmed</t>
        </is>
      </c>
      <c r="AH43" s="77" t="inlineStr">
        <is>
          <t>2026 (Semester 2 2026)</t>
        </is>
      </c>
      <c r="AI43" s="77" t="inlineStr">
        <is>
          <t>Yes</t>
        </is>
      </c>
      <c r="AJ43" s="77">
        <f>IF(AND(AI43="Yes",AF43="Meets all three",AG43="Current delivery confirmed"),"Yes","No")</f>
        <v/>
      </c>
      <c r="AK43" s="77" t="inlineStr"/>
      <c r="AL43" s="77" t="inlineStr">
        <is>
          <t>AU03-S09-R1; AU03-S09-R2</t>
        </is>
      </c>
      <c r="AM43" s="77" t="inlineStr">
        <is>
          <t>Partner sector mix and whether internal (university) clients are also used; COMP3988 format not checked.</t>
        </is>
      </c>
      <c r="AN43" s="77" t="inlineStr"/>
      <c r="AO43" s="77" t="inlineStr">
        <is>
          <t>Australia</t>
        </is>
      </c>
      <c r="AP43" s="77" t="inlineStr">
        <is>
          <t>Australia</t>
        </is>
      </c>
      <c r="AQ43" s="77" t="inlineStr">
        <is>
          <t>~1 term/semester</t>
        </is>
      </c>
      <c r="AR43" s="77" t="inlineStr">
        <is>
          <t>All/standard</t>
        </is>
      </c>
      <c r="AS43" s="77" t="inlineStr"/>
    </row>
    <row r="44">
      <c r="A44" s="77" t="inlineStr">
        <is>
          <t>AU03</t>
        </is>
      </c>
      <c r="B44" s="77" t="inlineStr">
        <is>
          <t>Sydney</t>
        </is>
      </c>
      <c r="C44" s="77" t="inlineStr">
        <is>
          <t>Faculty/school</t>
        </is>
      </c>
      <c r="D44" s="77" t="inlineStr">
        <is>
          <t>AU03-S10</t>
        </is>
      </c>
      <c r="E44" s="77" t="inlineStr"/>
      <c r="F44" s="77" t="inlineStr">
        <is>
          <t>No</t>
        </is>
      </c>
      <c r="G44" s="79" t="inlineStr">
        <is>
          <t>Jacaranda Flame Consulting (JFC)</t>
        </is>
      </c>
      <c r="H44" s="77" t="inlineStr"/>
      <c r="I44" s="77" t="inlineStr"/>
      <c r="J44" s="77" t="inlineStr">
        <is>
          <t>Faculty of Engineering extracurricular consulting programme: teams of 4-5 engineering students from all disciplines work full-time over the winter (6 weeks) or summer (9 weeks) break on problems submitted by commercial engineering companies and government organisations, meeting the client to set needs and deliverables, holding progress meetings and presenting outcomes for client sign-off. A 2023 collaboration with UTS (Optik) formed joint consulting teams.</t>
        </is>
      </c>
      <c r="K44" s="77" t="inlineStr">
        <is>
          <t>Faculty of Engineering</t>
        </is>
      </c>
      <c r="L44" s="77" t="inlineStr">
        <is>
          <t>Engineering undergraduates (3rd/4th year) and Master of Professional Engineering</t>
        </is>
      </c>
      <c r="M44" s="77" t="inlineStr">
        <is>
          <t>Engineering/computing</t>
        </is>
      </c>
      <c r="N44" s="77" t="inlineStr">
        <is>
          <t>Mixed</t>
        </is>
      </c>
      <c r="O44" s="77" t="inlineStr">
        <is>
          <t>Third and fourth year UG; MPE</t>
        </is>
      </c>
      <c r="P44" s="77" t="inlineStr">
        <is>
          <t>Engineering students; selection implied ('eligible students')</t>
        </is>
      </c>
      <c r="Q44" s="77" t="inlineStr">
        <is>
          <t>Selective/competitive</t>
        </is>
      </c>
      <c r="R44" s="77" t="inlineStr">
        <is>
          <t>Extracurricular</t>
        </is>
      </c>
      <c r="S44" s="77" t="inlineStr">
        <is>
          <t>Unpaid; no credit evidenced</t>
        </is>
      </c>
      <c r="T44" s="77" t="inlineStr">
        <is>
          <t>6 weeks full time (winter) or 9 weeks full time (summer), twice a year</t>
        </is>
      </c>
      <c r="U44" s="77" t="inlineStr">
        <is>
          <t>Full-time team consulting</t>
        </is>
      </c>
      <c r="V44" s="77" t="inlineStr">
        <is>
          <t>Yes</t>
        </is>
      </c>
      <c r="W44" s="77" t="inlineStr">
        <is>
          <t>Client problem with agreed deliverables; outcomes presented for client sign-off [1].</t>
        </is>
      </c>
      <c r="X44" s="77" t="inlineStr">
        <is>
          <t>Yes</t>
        </is>
      </c>
      <c r="Y44" s="77" t="inlineStr">
        <is>
          <t>'project teams of 4 to 5 students' [1].</t>
        </is>
      </c>
      <c r="Z44" s="77" t="inlineStr">
        <is>
          <t>Yes</t>
        </is>
      </c>
      <c r="AA44" s="77" t="inlineStr">
        <is>
          <t>Problems submitted by commercial engineering companies and government organisations; clients meet teams, attend progress meetings and sign off outcomes [1].</t>
        </is>
      </c>
      <c r="AB44" s="77" t="inlineStr">
        <is>
          <t>Mixed</t>
        </is>
      </c>
      <c r="AC44" s="77" t="inlineStr">
        <is>
          <t>Submits problem; client meetings; signs off outcomes</t>
        </is>
      </c>
      <c r="AD44" s="77" t="inlineStr">
        <is>
          <t>Ampol, Transport for NSW, Laing O'Rourke, Robert Bird Group, IPWEA, Marrickville Golf Course, Vinsi Partners (undated page)</t>
        </is>
      </c>
      <c r="AE44" s="77" t="inlineStr">
        <is>
          <t>Consulting outcomes presented for client sign-off</t>
        </is>
      </c>
      <c r="AF44" s="77">
        <f>IF(OR(V44="No",X44="No",Z44="No"),"Outside strict definition",IF(AND(V44="Yes",X44="Yes",Z44="Yes"),"Meets all three","Potentially relevant; evidence incomplete"))</f>
        <v/>
      </c>
      <c r="AG44" s="77" t="inlineStr">
        <is>
          <t>Current status unclear</t>
        </is>
      </c>
      <c r="AH44" s="77" t="inlineStr">
        <is>
          <t>2023 (UTS collaboration announcement)</t>
        </is>
      </c>
      <c r="AI44" s="77" t="inlineStr">
        <is>
          <t>Yes</t>
        </is>
      </c>
      <c r="AJ44" s="77">
        <f>IF(AND(AI44="Yes",AF44="Meets all three",AG44="Current delivery confirmed"),"Yes","No")</f>
        <v/>
      </c>
      <c r="AK44" s="77" t="inlineStr"/>
      <c r="AL44" s="77" t="inlineStr">
        <is>
          <t>AU03-S10-R1; AU03-S10-R2</t>
        </is>
      </c>
      <c r="AM44" s="77" t="inlineStr">
        <is>
          <t>No dated 2025/26 round found; page directs students to engineering.jfc@sydney.edu.au. Duration band approximate (6-9 weeks full time).</t>
        </is>
      </c>
      <c r="AN44" s="77" t="inlineStr"/>
      <c r="AO44" s="77" t="inlineStr">
        <is>
          <t>Australia</t>
        </is>
      </c>
      <c r="AP44" s="77" t="inlineStr">
        <is>
          <t>Australia</t>
        </is>
      </c>
      <c r="AQ44" s="77" t="inlineStr">
        <is>
          <t>~1 term/semester</t>
        </is>
      </c>
      <c r="AR44" s="77" t="inlineStr">
        <is>
          <t>All/standard</t>
        </is>
      </c>
      <c r="AS44" s="77" t="inlineStr"/>
    </row>
    <row r="45">
      <c r="A45" s="77" t="inlineStr">
        <is>
          <t>AU04</t>
        </is>
      </c>
      <c r="B45" s="77" t="inlineStr">
        <is>
          <t>Australian National University</t>
        </is>
      </c>
      <c r="C45" s="77" t="inlineStr">
        <is>
          <t>Programme/course</t>
        </is>
      </c>
      <c r="D45" s="77" t="inlineStr">
        <is>
          <t>AU04-S01</t>
        </is>
      </c>
      <c r="E45" s="77" t="inlineStr"/>
      <c r="F45" s="77" t="inlineStr">
        <is>
          <t>No</t>
        </is>
      </c>
      <c r="G45" s="79" t="inlineStr">
        <is>
          <t>TechLauncher</t>
        </is>
      </c>
      <c r="H45" s="77" t="inlineStr">
        <is>
          <t>TechLauncher</t>
        </is>
      </c>
      <c r="I45" s="77" t="inlineStr">
        <is>
          <t>COMP3500 / COMP4500 (and postgraduate equivalents; COMP4500 page lists 2027-28 offerings)</t>
        </is>
      </c>
      <c r="J45" s="77" t="inlineStr">
        <is>
          <t>Computing students work in teams of 4-7 for two consecutive semesters (about 8 hours/week) on a project for a host organisation from industry, government, community or ANU; hosts meet the team at least 1 hour per week. Examples: FireApp with Accenture; Ginan-UI for Geoscience Australia (Semester 2 2025 showcase).</t>
        </is>
      </c>
      <c r="K45" s="77" t="inlineStr">
        <is>
          <t>School of Computing, College of Systems and Society</t>
        </is>
      </c>
      <c r="L45" s="77" t="inlineStr">
        <is>
          <t>ANU Computing students (software engineering/computing programs)</t>
        </is>
      </c>
      <c r="M45" s="77" t="inlineStr">
        <is>
          <t>Engineering/computing</t>
        </is>
      </c>
      <c r="N45" s="77" t="inlineStr">
        <is>
          <t>Mixed</t>
        </is>
      </c>
      <c r="O45" s="77" t="inlineStr"/>
      <c r="P45" s="77" t="inlineStr">
        <is>
          <t>Enrolment requires project group membership and, for some programs, prior COMP2120 or COMP3500 (COMP4500 page).</t>
        </is>
      </c>
      <c r="Q45" s="77" t="inlineStr">
        <is>
          <t>Compulsory within specified programmes</t>
        </is>
      </c>
      <c r="R45" s="77" t="inlineStr">
        <is>
          <t>Curricular</t>
        </is>
      </c>
      <c r="S45" s="77" t="inlineStr">
        <is>
          <t>6 units per semester; course 'must be completed twice, in consecutive semesters' (COMP4500).</t>
        </is>
      </c>
      <c r="T45" s="77" t="inlineStr">
        <is>
          <t>2 consecutive semesters</t>
        </is>
      </c>
      <c r="U45" s="77" t="inlineStr">
        <is>
          <t>Team project with host organisation, showcase</t>
        </is>
      </c>
      <c r="V45" s="77" t="inlineStr">
        <is>
          <t>Yes</t>
        </is>
      </c>
      <c r="W45" s="77" t="inlineStr">
        <is>
          <t>Software product delivered for an industry, government or university customer [2]; showcase of projects [1].</t>
        </is>
      </c>
      <c r="X45" s="77" t="inlineStr">
        <is>
          <t>Yes</t>
        </is>
      </c>
      <c r="Y45" s="77" t="inlineStr">
        <is>
          <t>'working in teams of 4-7' [1]; students 'lead small teams' [2].</t>
        </is>
      </c>
      <c r="Z45" s="77" t="inlineStr">
        <is>
          <t>Yes</t>
        </is>
      </c>
      <c r="AA45" s="77" t="inlineStr">
        <is>
          <t>Hosts propose projects (Semester 2 2026 proposals due 15 July 2026), commit at least 1 hour/week to support the team [1]; customer is 'industry, government or university based' [2]; hosts may also be internal to ANU, so a share of projects is internal.</t>
        </is>
      </c>
      <c r="AB45" s="77" t="inlineStr">
        <is>
          <t>Mixed</t>
        </is>
      </c>
      <c r="AC45" s="77" t="inlineStr">
        <is>
          <t>Host/client: proposes project, meets team weekly, supports with resources</t>
        </is>
      </c>
      <c r="AD45" s="77" t="inlineStr">
        <is>
          <t>Accenture; Geoscience Australia (news/search extracts, Semester 2 2025)</t>
        </is>
      </c>
      <c r="AE45" s="77" t="inlineStr">
        <is>
          <t>Software product / prototype shown at TechLauncher showcase</t>
        </is>
      </c>
      <c r="AF45" s="77">
        <f>IF(OR(V45="No",X45="No",Z45="No"),"Outside strict definition",IF(AND(V45="Yes",X45="Yes",Z45="Yes"),"Meets all three","Potentially relevant; evidence incomplete"))</f>
        <v/>
      </c>
      <c r="AG45" s="77" t="inlineStr">
        <is>
          <t>Current delivery confirmed</t>
        </is>
      </c>
      <c r="AH45" s="77" t="inlineStr">
        <is>
          <t>2026/27 (Semester 2 2026 host timeline; students start 17 Aug 2026)</t>
        </is>
      </c>
      <c r="AI45" s="77" t="inlineStr">
        <is>
          <t>Yes</t>
        </is>
      </c>
      <c r="AJ45" s="77">
        <f>IF(AND(AI45="Yes",AF45="Meets all three",AG45="Current delivery confirmed"),"Yes","No")</f>
        <v/>
      </c>
      <c r="AK45" s="77" t="inlineStr"/>
      <c r="AL45" s="77" t="inlineStr">
        <is>
          <t>AU04-S01-R1; AU04-S01-R2; AU04-S01-R3</t>
        </is>
      </c>
      <c r="AM45" s="77" t="inlineStr">
        <is>
          <t>Share of internal ANU hosts; whether compulsory in specific degrees (not verified from regulations); the COMP4500 page says 'must be completed twice' but compulsory status not stated.</t>
        </is>
      </c>
      <c r="AN45" s="77" t="inlineStr"/>
      <c r="AO45" s="77" t="inlineStr">
        <is>
          <t>Australia</t>
        </is>
      </c>
      <c r="AP45" s="77" t="inlineStr">
        <is>
          <t>Australia</t>
        </is>
      </c>
      <c r="AQ45" s="77" t="inlineStr">
        <is>
          <t>&gt;1 term</t>
        </is>
      </c>
      <c r="AR45" s="77" t="inlineStr">
        <is>
          <t>All/standard</t>
        </is>
      </c>
      <c r="AS45" s="77" t="inlineStr"/>
    </row>
    <row r="46">
      <c r="A46" s="77" t="inlineStr">
        <is>
          <t>AU04</t>
        </is>
      </c>
      <c r="B46" s="77" t="inlineStr">
        <is>
          <t>Australian National University</t>
        </is>
      </c>
      <c r="C46" s="77" t="inlineStr">
        <is>
          <t>Programme/course</t>
        </is>
      </c>
      <c r="D46" s="77" t="inlineStr">
        <is>
          <t>AU04-S02</t>
        </is>
      </c>
      <c r="E46" s="77" t="inlineStr"/>
      <c r="F46" s="77" t="inlineStr">
        <is>
          <t>No</t>
        </is>
      </c>
      <c r="G46" s="79" t="inlineStr">
        <is>
          <t>Capstone Design Project (Engineering Capstone)</t>
        </is>
      </c>
      <c r="H46" s="77" t="inlineStr">
        <is>
          <t>Capstone Design Project (Engineering Capstone)</t>
        </is>
      </c>
      <c r="I46" s="77" t="inlineStr">
        <is>
          <t>ENGN4300</t>
        </is>
      </c>
      <c r="J46" s="77" t="inlineStr">
        <is>
          <t>Year-long (two-semester) final-year engineering course in which transdisciplinary teams of typically 4-6 scope and deliver a real-world project in consultation with a project host (external organisations or internal ANU units), with host audits, mid-project presentation and a public showcase.</t>
        </is>
      </c>
      <c r="K46" s="77" t="inlineStr">
        <is>
          <t>School of Engineering, College of Systems and Society</t>
        </is>
      </c>
      <c r="L46" s="77" t="inlineStr">
        <is>
          <t>Engineering students (prerequisite ENGN3300 plus 18 units of ENGN3000/4000)</t>
        </is>
      </c>
      <c r="M46" s="77" t="inlineStr">
        <is>
          <t>Engineering/computing</t>
        </is>
      </c>
      <c r="N46" s="77" t="inlineStr">
        <is>
          <t>Undergraduate</t>
        </is>
      </c>
      <c r="O46" s="77" t="inlineStr">
        <is>
          <t>4th year</t>
        </is>
      </c>
      <c r="P46" s="77" t="inlineStr">
        <is>
          <t>Prerequisites ENGN3300 + 18 units of ENGN3000/4000 courses; incompatible with ENGN4221.</t>
        </is>
      </c>
      <c r="Q46" s="77" t="inlineStr">
        <is>
          <t>Compulsory within specified programmes</t>
        </is>
      </c>
      <c r="R46" s="77" t="inlineStr">
        <is>
          <t>Curricular</t>
        </is>
      </c>
      <c r="S46" s="77" t="inlineStr">
        <is>
          <t>6 to 12 units across two consecutive semesters; Design Project 70%, Presentation 10%, Reflections 20%.</t>
        </is>
      </c>
      <c r="T46" s="77" t="inlineStr">
        <is>
          <t>Two consecutive semesters (about 12 weeks per semester)</t>
        </is>
      </c>
      <c r="U46" s="77" t="inlineStr">
        <is>
          <t>Team project, host audits, showcase</t>
        </is>
      </c>
      <c r="V46" s="77" t="inlineStr">
        <is>
          <t>Yes</t>
        </is>
      </c>
      <c r="W46" s="77" t="inlineStr">
        <is>
          <t>'deliver value on a real-world project'; Concept of Operations, design, prototype, poster and video pitch [1][2].</t>
        </is>
      </c>
      <c r="X46" s="77" t="inlineStr">
        <is>
          <t>Yes</t>
        </is>
      </c>
      <c r="Y46" s="77" t="inlineStr">
        <is>
          <t>'Project teams will be formed during a Team Formation event'; 'Teams typically consist of 4-6 members' [1][2].</t>
        </is>
      </c>
      <c r="Z46" s="77" t="inlineStr">
        <is>
          <t>Yes</t>
        </is>
      </c>
      <c r="AA46" s="77" t="inlineStr">
        <is>
          <t>Hosts propose a brief, sign a Project Agreement with ANU, meet the team at least weekly/fortnightly, give feedback through the audit process and attend the showcase [2]; hosts may be 'external to the ANU' or 'internal to the ANU' [2]; industry hosts per [3].</t>
        </is>
      </c>
      <c r="AB46" s="77" t="inlineStr">
        <is>
          <t>Mixed</t>
        </is>
      </c>
      <c r="AC46" s="77" t="inlineStr">
        <is>
          <t>Host: proposes brief, signs agreement, meets team, gives audit feedback, attends showcase</t>
        </is>
      </c>
      <c r="AD46" s="77" t="inlineStr"/>
      <c r="AE46" s="77" t="inlineStr">
        <is>
          <t>Engineering design/prototype, ConOps, showcase poster and video</t>
        </is>
      </c>
      <c r="AF46" s="77">
        <f>IF(OR(V46="No",X46="No",Z46="No"),"Outside strict definition",IF(AND(V46="Yes",X46="Yes",Z46="Yes"),"Meets all three","Potentially relevant; evidence incomplete"))</f>
        <v/>
      </c>
      <c r="AG46" s="77" t="inlineStr">
        <is>
          <t>Current delivery confirmed</t>
        </is>
      </c>
      <c r="AH46" s="77" t="inlineStr">
        <is>
          <t>2025 (host guide Semester 1 2025; 2025 showcase); 2027 offerings listed</t>
        </is>
      </c>
      <c r="AI46" s="77" t="inlineStr">
        <is>
          <t>Yes</t>
        </is>
      </c>
      <c r="AJ46" s="77">
        <f>IF(AND(AI46="Yes",AF46="Meets all three",AG46="Current delivery confirmed"),"Yes","No")</f>
        <v/>
      </c>
      <c r="AK46" s="77" t="inlineStr"/>
      <c r="AL46" s="77" t="inlineStr">
        <is>
          <t>AU04-S02-R1; AU04-S02-R2; AU04-S02-R3</t>
        </is>
      </c>
      <c r="AM46" s="77" t="inlineStr">
        <is>
          <t>Share of internal ANU hosts; compulsory status not stated on course page (course is described elsewhere as the engineering capstone); search extract of the 2025 showcase news was not opened.</t>
        </is>
      </c>
      <c r="AN46" s="77" t="inlineStr"/>
      <c r="AO46" s="77" t="inlineStr">
        <is>
          <t>Australia</t>
        </is>
      </c>
      <c r="AP46" s="77" t="inlineStr">
        <is>
          <t>Australia</t>
        </is>
      </c>
      <c r="AQ46" s="77" t="inlineStr">
        <is>
          <t>&gt;1 term</t>
        </is>
      </c>
      <c r="AR46" s="77" t="inlineStr">
        <is>
          <t>All/standard</t>
        </is>
      </c>
      <c r="AS46" s="77" t="inlineStr"/>
    </row>
    <row r="47">
      <c r="A47" s="77" t="inlineStr">
        <is>
          <t>AU04</t>
        </is>
      </c>
      <c r="B47" s="77" t="inlineStr">
        <is>
          <t>Australian National University</t>
        </is>
      </c>
      <c r="C47" s="77" t="inlineStr">
        <is>
          <t>Cross-faculty</t>
        </is>
      </c>
      <c r="D47" s="77" t="inlineStr">
        <is>
          <t>AU04-S03</t>
        </is>
      </c>
      <c r="E47" s="77" t="inlineStr"/>
      <c r="F47" s="77" t="inlineStr">
        <is>
          <t>No</t>
        </is>
      </c>
      <c r="G47" s="79" t="inlineStr">
        <is>
          <t>Special Industry Project (CBEA3001 undergraduate / WILC6001 postgraduate)</t>
        </is>
      </c>
      <c r="H47" s="77" t="inlineStr">
        <is>
          <t>Special Industry Project (CBEA3001 undergraduate / WILC6001 postgraduate)</t>
        </is>
      </c>
      <c r="I47" s="77" t="inlineStr">
        <is>
          <t>CBEA3001; WILC6001</t>
        </is>
      </c>
      <c r="J47" s="77" t="inlineStr">
        <is>
          <t>Semester-long work-integrated learning course in which student teams act as consultants on a business case supplied by a live client, mentored by Scyne Advisory consultants, with master classes; final report and pitch to a panel from the client organisation.</t>
        </is>
      </c>
      <c r="K47" s="77" t="inlineStr">
        <is>
          <t>College of Business and Economics</t>
        </is>
      </c>
      <c r="L47" s="77" t="inlineStr">
        <is>
          <t>Current ANU undergraduates (72+ units) and eligible postgraduates (24+ units); PG teams are cross-disciplinary from across the university</t>
        </is>
      </c>
      <c r="M47" s="77" t="inlineStr">
        <is>
          <t>Business/management</t>
        </is>
      </c>
      <c r="N47" s="77" t="inlineStr">
        <is>
          <t>Mixed</t>
        </is>
      </c>
      <c r="O47" s="77" t="inlineStr"/>
      <c r="P47" s="77" t="inlineStr">
        <is>
          <t>Undergraduate: min 72 units completed; postgraduate: min 24 units.</t>
        </is>
      </c>
      <c r="Q47" s="77" t="inlineStr">
        <is>
          <t>Optional/elective</t>
        </is>
      </c>
      <c r="R47" s="77" t="inlineStr">
        <is>
          <t>Curricular</t>
        </is>
      </c>
      <c r="S47" s="77" t="inlineStr">
        <is>
          <t>6 units</t>
        </is>
      </c>
      <c r="T47" s="77" t="inlineStr">
        <is>
          <t>One semester</t>
        </is>
      </c>
      <c r="U47" s="77" t="inlineStr">
        <is>
          <t>Team consultancy, weekly master classes, mentoring</t>
        </is>
      </c>
      <c r="V47" s="77" t="inlineStr">
        <is>
          <t>Yes</t>
        </is>
      </c>
      <c r="W47" s="77" t="inlineStr">
        <is>
          <t>Teams 'devise the best solution to a business case'; final report and pitch [1][3].</t>
        </is>
      </c>
      <c r="X47" s="77" t="inlineStr">
        <is>
          <t>Yes</t>
        </is>
      </c>
      <c r="Y47" s="77" t="inlineStr">
        <is>
          <t>'working in teams to devise the best solution to a business case' [1]; PG students 'form small cross-disciplinary teams' (search extract).</t>
        </is>
      </c>
      <c r="Z47" s="77" t="inlineStr">
        <is>
          <t>Yes</t>
        </is>
      </c>
      <c r="AA47" s="77" t="inlineStr">
        <is>
          <t>Teams 'work closely with the client who provides the business case' [1]; clients listed by semester [2]; pitch to executives/representatives of the client. Semester 1 2026 client was the ANU International and Future Students Division (internal), Semester 2 2026 client AIPM (external) per search extract; past clients mostly external [2].</t>
        </is>
      </c>
      <c r="AB47" s="77" t="inlineStr">
        <is>
          <t>Mixed</t>
        </is>
      </c>
      <c r="AC47" s="77" t="inlineStr">
        <is>
          <t>Client: supplies business case, works with team, receives pitch</t>
        </is>
      </c>
      <c r="AD47" s="77" t="inlineStr">
        <is>
          <t>Semester 2 2026: Australian Institute of Project Management (search extract); 2025 ActewAGL; 2024 Aspen Medical; 2023 NDIS Quality &amp; Safeguards Commission, National Museum of Australia; 2022 CSIRO [2]</t>
        </is>
      </c>
      <c r="AE47" s="77" t="inlineStr">
        <is>
          <t>Final report and client pitch</t>
        </is>
      </c>
      <c r="AF47" s="77">
        <f>IF(OR(V47="No",X47="No",Z47="No"),"Outside strict definition",IF(AND(V47="Yes",X47="Yes",Z47="Yes"),"Meets all three","Potentially relevant; evidence incomplete"))</f>
        <v/>
      </c>
      <c r="AG47" s="77" t="inlineStr">
        <is>
          <t>Current delivery confirmed</t>
        </is>
      </c>
      <c r="AH47" s="77" t="inlineStr">
        <is>
          <t>2026 (Semesters 1 and 2)</t>
        </is>
      </c>
      <c r="AI47" s="77" t="inlineStr">
        <is>
          <t>Yes</t>
        </is>
      </c>
      <c r="AJ47" s="77">
        <f>IF(AND(AI47="Yes",AF47="Meets all three",AG47="Current delivery confirmed"),"Yes","No")</f>
        <v/>
      </c>
      <c r="AK47" s="77" t="inlineStr"/>
      <c r="AL47" s="77" t="inlineStr">
        <is>
          <t>AU04-S03-R1; AU04-S03-R2; AU04-S03-R3</t>
        </is>
      </c>
      <c r="AM47" s="77" t="inlineStr">
        <is>
          <t>Team size not stated; Semester 2 2026 client AIPM taken from a search extract, not from the fetched clients page; one 2026 client was internal to ANU.</t>
        </is>
      </c>
      <c r="AN47" s="77" t="inlineStr"/>
      <c r="AO47" s="77" t="inlineStr">
        <is>
          <t>Australia</t>
        </is>
      </c>
      <c r="AP47" s="77" t="inlineStr">
        <is>
          <t>Australia</t>
        </is>
      </c>
      <c r="AQ47" s="77" t="inlineStr">
        <is>
          <t>~1 term/semester</t>
        </is>
      </c>
      <c r="AR47" s="77" t="inlineStr">
        <is>
          <t>All/standard</t>
        </is>
      </c>
      <c r="AS47" s="77" t="inlineStr"/>
    </row>
    <row r="48">
      <c r="A48" s="77" t="inlineStr">
        <is>
          <t>AU04</t>
        </is>
      </c>
      <c r="B48" s="77" t="inlineStr">
        <is>
          <t>Australian National University</t>
        </is>
      </c>
      <c r="C48" s="77" t="inlineStr">
        <is>
          <t>Programme/course</t>
        </is>
      </c>
      <c r="D48" s="77" t="inlineStr">
        <is>
          <t>AU04-S04</t>
        </is>
      </c>
      <c r="E48" s="77" t="inlineStr"/>
      <c r="F48" s="77" t="inlineStr">
        <is>
          <t>No</t>
        </is>
      </c>
      <c r="G48" s="79" t="inlineStr">
        <is>
          <t>Group Project (Master of Engineering)</t>
        </is>
      </c>
      <c r="H48" s="77" t="inlineStr">
        <is>
          <t>Group Project (Master of Engineering)</t>
        </is>
      </c>
      <c r="I48" s="77" t="inlineStr">
        <is>
          <t>ENGN8170</t>
        </is>
      </c>
      <c r="J48" s="77" t="inlineStr">
        <is>
          <t>Graduate engineering group project in which small multi-disciplinary teams receive a client-drafted problem statement requiring engineering expertise.</t>
        </is>
      </c>
      <c r="K48" s="77" t="inlineStr">
        <is>
          <t>School of Engineering</t>
        </is>
      </c>
      <c r="L48" s="77" t="inlineStr">
        <is>
          <t>Master of Engineering in Electrical Engineering (enrolment requires ENGN8100 and ENGN6250 or ENGN8260)</t>
        </is>
      </c>
      <c r="M48" s="77" t="inlineStr">
        <is>
          <t>Engineering/computing</t>
        </is>
      </c>
      <c r="N48" s="77" t="inlineStr">
        <is>
          <t>Postgraduate taught</t>
        </is>
      </c>
      <c r="O48" s="77" t="inlineStr"/>
      <c r="P48" s="77" t="inlineStr"/>
      <c r="Q48" s="77" t="inlineStr">
        <is>
          <t>Unclear</t>
        </is>
      </c>
      <c r="R48" s="77" t="inlineStr">
        <is>
          <t>Curricular</t>
        </is>
      </c>
      <c r="S48" s="77" t="inlineStr">
        <is>
          <t>12 units</t>
        </is>
      </c>
      <c r="T48" s="77" t="inlineStr">
        <is>
          <t>Unclear</t>
        </is>
      </c>
      <c r="U48" s="77" t="inlineStr"/>
      <c r="V48" s="77" t="inlineStr">
        <is>
          <t>Yes</t>
        </is>
      </c>
      <c r="W48" s="77" t="inlineStr">
        <is>
          <t>Teams work on a client-drafted problem statement [1].</t>
        </is>
      </c>
      <c r="X48" s="77" t="inlineStr">
        <is>
          <t>Yes</t>
        </is>
      </c>
      <c r="Y48" s="77" t="inlineStr">
        <is>
          <t>'collaborate with peers in a small-group setting'; 'multi-disciplinary team' [1].</t>
        </is>
      </c>
      <c r="Z48" s="77" t="inlineStr">
        <is>
          <t>Unclear</t>
        </is>
      </c>
      <c r="AA48" s="77" t="inlineStr">
        <is>
          <t>'Project teams receive a client-drafted problem statement' [1]; client identity (external vs internal) and role beyond drafting not stated.</t>
        </is>
      </c>
      <c r="AB48" s="77" t="inlineStr">
        <is>
          <t>Unclear</t>
        </is>
      </c>
      <c r="AC48" s="77" t="inlineStr">
        <is>
          <t>Client drafts problem statement</t>
        </is>
      </c>
      <c r="AD48" s="77" t="inlineStr"/>
      <c r="AE48" s="77" t="inlineStr"/>
      <c r="AF48" s="77">
        <f>IF(OR(V48="No",X48="No",Z48="No"),"Outside strict definition",IF(AND(V48="Yes",X48="Yes",Z48="Yes"),"Meets all three","Potentially relevant; evidence incomplete"))</f>
        <v/>
      </c>
      <c r="AG48" s="77" t="inlineStr">
        <is>
          <t>Announced/forthcoming</t>
        </is>
      </c>
      <c r="AH48" s="77" t="inlineStr">
        <is>
          <t>2027 (offerings listed)</t>
        </is>
      </c>
      <c r="AI48" s="77" t="inlineStr">
        <is>
          <t>Yes</t>
        </is>
      </c>
      <c r="AJ48" s="77">
        <f>IF(AND(AI48="Yes",AF48="Meets all three",AG48="Current delivery confirmed"),"Yes","No")</f>
        <v/>
      </c>
      <c r="AK48" s="77" t="inlineStr"/>
      <c r="AL48" s="77" t="inlineStr">
        <is>
          <t>AU04-S04-R1</t>
        </is>
      </c>
      <c r="AM48" s="77" t="inlineStr">
        <is>
          <t>Who the clients are, whether external, team size, compulsory status, 2025/26 delivery.</t>
        </is>
      </c>
      <c r="AN48" s="77" t="inlineStr"/>
      <c r="AO48" s="77" t="inlineStr">
        <is>
          <t>Australia</t>
        </is>
      </c>
      <c r="AP48" s="77" t="inlineStr">
        <is>
          <t>Australia</t>
        </is>
      </c>
      <c r="AQ48" s="77" t="inlineStr">
        <is>
          <t>Unclear</t>
        </is>
      </c>
      <c r="AR48" s="77" t="inlineStr">
        <is>
          <t>Unclear</t>
        </is>
      </c>
      <c r="AS48" s="77" t="inlineStr"/>
    </row>
    <row r="49">
      <c r="A49" s="77" t="inlineStr">
        <is>
          <t>AU04</t>
        </is>
      </c>
      <c r="B49" s="77" t="inlineStr">
        <is>
          <t>Australian National University</t>
        </is>
      </c>
      <c r="C49" s="77" t="inlineStr">
        <is>
          <t>University-wide</t>
        </is>
      </c>
      <c r="D49" s="77" t="inlineStr">
        <is>
          <t>AU04-S05</t>
        </is>
      </c>
      <c r="E49" s="77" t="inlineStr"/>
      <c r="F49" s="77" t="inlineStr">
        <is>
          <t>No</t>
        </is>
      </c>
      <c r="G49" s="79" t="inlineStr">
        <is>
          <t>SoCIETIE Initiative</t>
        </is>
      </c>
      <c r="H49" s="77" t="inlineStr">
        <is>
          <t>SoCIETIE Initiative</t>
        </is>
      </c>
      <c r="I49" s="77" t="inlineStr">
        <is>
          <t>AATD3001 (UG); AATD6001 (PG)</t>
        </is>
      </c>
      <c r="J49" s="77" t="inlineStr">
        <is>
          <t>Online/in-person course open to students from any degree; workshops (KNoTs) 'include real-world projects with campus and community partners'; all students complete a collaborative project with a partner as the work-integrated learning component, assessed by workshop activities and individual learning portfolio. Replaced the Vice-Chancellor's courses from 2025.</t>
        </is>
      </c>
      <c r="K49" s="77" t="inlineStr">
        <is>
          <t>College of Arts and Social Sciences / SoCIETIE (McCusker Institute)</t>
        </is>
      </c>
      <c r="L49" s="77" t="inlineStr">
        <is>
          <t>Students from any degree</t>
        </is>
      </c>
      <c r="M49" s="77" t="inlineStr">
        <is>
          <t>Central provision; Arts/humanities/social sciences</t>
        </is>
      </c>
      <c r="N49" s="77" t="inlineStr">
        <is>
          <t>Mixed</t>
        </is>
      </c>
      <c r="O49" s="77" t="inlineStr"/>
      <c r="P49" s="77" t="inlineStr">
        <is>
          <t>UG: 72 units completed; permission code via Expression of Interest and induction.</t>
        </is>
      </c>
      <c r="Q49" s="77" t="inlineStr">
        <is>
          <t>Optional/elective</t>
        </is>
      </c>
      <c r="R49" s="77" t="inlineStr">
        <is>
          <t>Curricular</t>
        </is>
      </c>
      <c r="S49" s="77" t="inlineStr">
        <is>
          <t>6 units; workshop activities 50%, learning portfolio 50%</t>
        </is>
      </c>
      <c r="T49" s="77" t="inlineStr">
        <is>
          <t>One session (summer/autumn/winter/spring/semester)</t>
        </is>
      </c>
      <c r="U49" s="77" t="inlineStr">
        <is>
          <t>Workshops plus partner project</t>
        </is>
      </c>
      <c r="V49" s="77" t="inlineStr">
        <is>
          <t>Yes</t>
        </is>
      </c>
      <c r="W49" s="77" t="inlineStr">
        <is>
          <t>'All students will complete a collaborative project with a partner' [1].</t>
        </is>
      </c>
      <c r="X49" s="77" t="inlineStr">
        <is>
          <t>Unclear</t>
        </is>
      </c>
      <c r="Y49" s="77" t="inlineStr">
        <is>
          <t>Workload includes 'group work directly related to KNoTs'; 'collaborative project' but portfolio assessed individually and team vs individual project not specified [1].</t>
        </is>
      </c>
      <c r="Z49" s="77" t="inlineStr">
        <is>
          <t>Unclear</t>
        </is>
      </c>
      <c r="AA49" s="77" t="inlineStr">
        <is>
          <t>Partners are 'campus and community partners' [1]; campus (internal) share and external organisation role not separated.</t>
        </is>
      </c>
      <c r="AB49" s="77" t="inlineStr">
        <is>
          <t>Unclear</t>
        </is>
      </c>
      <c r="AC49" s="77" t="inlineStr">
        <is>
          <t>Campus and community partners</t>
        </is>
      </c>
      <c r="AD49" s="77" t="inlineStr"/>
      <c r="AE49" s="77" t="inlineStr"/>
      <c r="AF49" s="77">
        <f>IF(OR(V49="No",X49="No",Z49="No"),"Outside strict definition",IF(AND(V49="Yes",X49="Yes",Z49="Yes"),"Meets all three","Potentially relevant; evidence incomplete"))</f>
        <v/>
      </c>
      <c r="AG49" s="77" t="inlineStr">
        <is>
          <t>Current delivery confirmed</t>
        </is>
      </c>
      <c r="AH49" s="77" t="inlineStr">
        <is>
          <t>2026 (offerings Winter, Semester 2, Spring 2026 per search extract)</t>
        </is>
      </c>
      <c r="AI49" s="77" t="inlineStr">
        <is>
          <t>Yes</t>
        </is>
      </c>
      <c r="AJ49" s="77">
        <f>IF(AND(AI49="Yes",AF49="Meets all three",AG49="Current delivery confirmed"),"Yes","No")</f>
        <v/>
      </c>
      <c r="AK49" s="77" t="inlineStr"/>
      <c r="AL49" s="77" t="inlineStr">
        <is>
          <t>AU04-S05-R1; AU04-S05-R2</t>
        </is>
      </c>
      <c r="AM49" s="77" t="inlineStr">
        <is>
          <t>Whether projects are team-based and whether partners are external; legacy row classed this as a curriculum framework.</t>
        </is>
      </c>
      <c r="AN49" s="77" t="inlineStr">
        <is>
          <t>SoCIETIE courses</t>
        </is>
      </c>
      <c r="AO49" s="77" t="inlineStr">
        <is>
          <t>Australia</t>
        </is>
      </c>
      <c r="AP49" s="77" t="inlineStr">
        <is>
          <t>Australia</t>
        </is>
      </c>
      <c r="AQ49" s="77" t="inlineStr">
        <is>
          <t>Unclear</t>
        </is>
      </c>
      <c r="AR49" s="77" t="inlineStr">
        <is>
          <t>Unclear</t>
        </is>
      </c>
      <c r="AS49" s="77" t="inlineStr"/>
    </row>
    <row r="50">
      <c r="A50" s="77" t="inlineStr">
        <is>
          <t>AU04</t>
        </is>
      </c>
      <c r="B50" s="77" t="inlineStr">
        <is>
          <t>Australian National University</t>
        </is>
      </c>
      <c r="C50" s="77" t="inlineStr">
        <is>
          <t>Programme/course</t>
        </is>
      </c>
      <c r="D50" s="77" t="inlineStr">
        <is>
          <t>AU04-S06</t>
        </is>
      </c>
      <c r="E50" s="77" t="inlineStr"/>
      <c r="F50" s="77" t="inlineStr">
        <is>
          <t>No</t>
        </is>
      </c>
      <c r="G50" s="79" t="inlineStr">
        <is>
          <t>Applied Policy Project</t>
        </is>
      </c>
      <c r="H50" s="77" t="inlineStr">
        <is>
          <t>Applied Policy Project</t>
        </is>
      </c>
      <c r="I50" s="77" t="inlineStr">
        <is>
          <t>CRWF7000</t>
        </is>
      </c>
      <c r="J50" s="77" t="inlineStr">
        <is>
          <t>Crawford School course in which students undertake a client-initiated applied research project for government departments, think tanks, peak bodies or advocacy groups, producing a research report for the client; individual or group basis depending on topic and demand.</t>
        </is>
      </c>
      <c r="K50" s="77" t="inlineStr">
        <is>
          <t>Crawford School of Public Policy</t>
        </is>
      </c>
      <c r="L50" s="77" t="inlineStr">
        <is>
          <t>Crawford postgraduate coursework programs</t>
        </is>
      </c>
      <c r="M50" s="77" t="inlineStr">
        <is>
          <t>Arts/humanities/social sciences</t>
        </is>
      </c>
      <c r="N50" s="77" t="inlineStr">
        <is>
          <t>Postgraduate taught</t>
        </is>
      </c>
      <c r="O50" s="77" t="inlineStr"/>
      <c r="P50" s="77" t="inlineStr"/>
      <c r="Q50" s="77" t="inlineStr">
        <is>
          <t>Unclear</t>
        </is>
      </c>
      <c r="R50" s="77" t="inlineStr">
        <is>
          <t>Curricular</t>
        </is>
      </c>
      <c r="S50" s="77" t="inlineStr">
        <is>
          <t>6 units, 130 hours</t>
        </is>
      </c>
      <c r="T50" s="77" t="inlineStr">
        <is>
          <t>One semester</t>
        </is>
      </c>
      <c r="U50" s="77" t="inlineStr"/>
      <c r="V50" s="77" t="inlineStr">
        <is>
          <t>Yes</t>
        </is>
      </c>
      <c r="W50" s="77" t="inlineStr">
        <is>
          <t>Research report for client (search extract of 2021 page).</t>
        </is>
      </c>
      <c r="X50" s="77" t="inlineStr">
        <is>
          <t>Unclear</t>
        </is>
      </c>
      <c r="Y50" s="77" t="inlineStr">
        <is>
          <t>'individual or group basis, subject to topic suitability and demand'; routes not separable.</t>
        </is>
      </c>
      <c r="Z50" s="77" t="inlineStr">
        <is>
          <t>Yes</t>
        </is>
      </c>
      <c r="AA50" s="77" t="inlineStr">
        <is>
          <t>Clients (government, think tanks, peak bodies) initiate projects, meet students and receive report (2021 page).</t>
        </is>
      </c>
      <c r="AB50" s="77" t="inlineStr">
        <is>
          <t>Public sector</t>
        </is>
      </c>
      <c r="AC50" s="77" t="inlineStr">
        <is>
          <t>Client initiates project, receives report</t>
        </is>
      </c>
      <c r="AD50" s="77" t="inlineStr"/>
      <c r="AE50" s="77" t="inlineStr"/>
      <c r="AF50" s="77">
        <f>IF(OR(V50="No",X50="No",Z50="No"),"Outside strict definition",IF(AND(V50="Yes",X50="Yes",Z50="Yes"),"Meets all three","Potentially relevant; evidence incomplete"))</f>
        <v/>
      </c>
      <c r="AG50" s="77" t="inlineStr">
        <is>
          <t>Current status unclear</t>
        </is>
      </c>
      <c r="AH50" s="77" t="inlineStr">
        <is>
          <t>2021</t>
        </is>
      </c>
      <c r="AI50" s="77" t="inlineStr">
        <is>
          <t>Yes</t>
        </is>
      </c>
      <c r="AJ50" s="77">
        <f>IF(AND(AI50="Yes",AF50="Meets all three",AG50="Current delivery confirmed"),"Yes","No")</f>
        <v/>
      </c>
      <c r="AK50" s="77" t="inlineStr"/>
      <c r="AL50" s="77" t="inlineStr">
        <is>
          <t>AU04-S06-R1</t>
        </is>
      </c>
      <c r="AM50" s="77" t="inlineStr">
        <is>
          <t>Current delivery, team share. Direct page fetch failed (404); evidence is a search extract of the 2021 handbook page.</t>
        </is>
      </c>
      <c r="AN50" s="77" t="inlineStr"/>
      <c r="AO50" s="77" t="inlineStr">
        <is>
          <t>Australia</t>
        </is>
      </c>
      <c r="AP50" s="77" t="inlineStr">
        <is>
          <t>Australia</t>
        </is>
      </c>
      <c r="AQ50" s="77" t="inlineStr">
        <is>
          <t>~1 term/semester</t>
        </is>
      </c>
      <c r="AR50" s="77" t="inlineStr">
        <is>
          <t>All/standard</t>
        </is>
      </c>
      <c r="AS50" s="77" t="inlineStr"/>
    </row>
    <row r="51">
      <c r="A51" s="77" t="inlineStr">
        <is>
          <t>AU05</t>
        </is>
      </c>
      <c r="B51" s="77" t="inlineStr">
        <is>
          <t>Monash</t>
        </is>
      </c>
      <c r="C51" s="77" t="inlineStr">
        <is>
          <t>University-wide</t>
        </is>
      </c>
      <c r="D51" s="77" t="inlineStr">
        <is>
          <t>AU05-S01</t>
        </is>
      </c>
      <c r="E51" s="77" t="inlineStr"/>
      <c r="F51" s="77" t="inlineStr">
        <is>
          <t>No</t>
        </is>
      </c>
      <c r="G51" s="79" t="inlineStr">
        <is>
          <t>Monash Innovation Guarantee (MIG)</t>
        </is>
      </c>
      <c r="H51" s="77" t="inlineStr">
        <is>
          <t>Monash Innovation Guarantee (undergraduate)</t>
        </is>
      </c>
      <c r="I51" s="77" t="inlineStr">
        <is>
          <t>MON2750 (year 2); MON3750 (year 3+)</t>
        </is>
      </c>
      <c r="J51" s="77" t="inlineStr">
        <is>
          <t>Three-week intensive in-person summer unit. Students are matched into small teams, each taking a challenge set by an industry partner organisation (commercial or social enterprise, government or UN agency, start-up) and delivering a purpose-driven solution. Partners have three touch points, one per week.</t>
        </is>
      </c>
      <c r="K51" s="77" t="inlineStr">
        <is>
          <t>Flagship Rich Educational Experiences (Monash central)</t>
        </is>
      </c>
      <c r="L51" s="77" t="inlineStr">
        <is>
          <t>Undergraduates from eligible degrees with 6 credit points of elective space; FAQ says open to any degree (sources differ)</t>
        </is>
      </c>
      <c r="M51" s="77" t="inlineStr">
        <is>
          <t>Central provision</t>
        </is>
      </c>
      <c r="N51" s="77" t="inlineStr">
        <is>
          <t>Undergraduate</t>
        </is>
      </c>
      <c r="O51" s="77" t="inlineStr">
        <is>
          <t>Year 2 (MON2750); year 3+ (MON3750)</t>
        </is>
      </c>
      <c r="P51" s="77" t="inlineStr">
        <is>
          <t>Needs 6 credit points of elective space and an eligible degree; no application or interview; preferences expressed then matched to a challenge.</t>
        </is>
      </c>
      <c r="Q51" s="77" t="inlineStr">
        <is>
          <t>Optional/elective</t>
        </is>
      </c>
      <c r="R51" s="77" t="inlineStr">
        <is>
          <t>Curricular</t>
        </is>
      </c>
      <c r="S51" s="77" t="inlineStr">
        <is>
          <t>6 credit points; in-semester assessment 100%; 144 hours workload</t>
        </is>
      </c>
      <c r="T51" s="77" t="inlineStr">
        <is>
          <t>3 weeks (January/February)</t>
        </is>
      </c>
      <c r="U51" s="77" t="inlineStr">
        <is>
          <t>In-person intensive; small teams</t>
        </is>
      </c>
      <c r="V51" s="77" t="inlineStr">
        <is>
          <t>Yes</t>
        </is>
      </c>
      <c r="W51" s="77" t="inlineStr">
        <is>
          <t>Teams deliver a solution to a defined real-world challenge [1][2].</t>
        </is>
      </c>
      <c r="X51" s="77" t="inlineStr">
        <is>
          <t>Yes</t>
        </is>
      </c>
      <c r="Y51" s="77" t="inlineStr">
        <is>
          <t>'Students work in a small team to deliver a purpose-driven solution'; matched into teams by interests and skills [1][2].</t>
        </is>
      </c>
      <c r="Z51" s="77" t="inlineStr">
        <is>
          <t>Yes</t>
        </is>
      </c>
      <c r="AA51" s="77" t="inlineStr">
        <is>
          <t>Challenge is set by an industry partner organisation; partners attend three weekly touch points [1][2]. Partner example: Microsoft (student testimonial).</t>
        </is>
      </c>
      <c r="AB51" s="77" t="inlineStr">
        <is>
          <t>Mixed</t>
        </is>
      </c>
      <c r="AC51" s="77" t="inlineStr">
        <is>
          <t>Sets challenge; attends weekly touch points (c. 1.5 hours/week)</t>
        </is>
      </c>
      <c r="AD51" s="77" t="inlineStr">
        <is>
          <t>Microsoft (testimonial, undated); 'one of 50 leading industry partners'</t>
        </is>
      </c>
      <c r="AE51" s="77" t="inlineStr">
        <is>
          <t>Team solution to partner challenge</t>
        </is>
      </c>
      <c r="AF51" s="77">
        <f>IF(OR(V51="No",X51="No",Z51="No"),"Outside strict definition",IF(AND(V51="Yes",X51="Yes",Z51="Yes"),"Meets all three","Potentially relevant; evidence incomplete"))</f>
        <v/>
      </c>
      <c r="AG51" s="77" t="inlineStr">
        <is>
          <t>Current delivery confirmed</t>
        </is>
      </c>
      <c r="AH51" s="77" t="inlineStr">
        <is>
          <t>Summer B 2026 listing</t>
        </is>
      </c>
      <c r="AI51" s="77" t="inlineStr">
        <is>
          <t>Yes</t>
        </is>
      </c>
      <c r="AJ51" s="77">
        <f>IF(AND(AI51="Yes",AF51="Meets all three",AG51="Current delivery confirmed"),"Yes","No")</f>
        <v/>
      </c>
      <c r="AK51" s="77" t="inlineStr"/>
      <c r="AL51" s="77" t="inlineStr">
        <is>
          <t>AU05-S01-R1; AU05-S01-R2; AU05-S01-R3</t>
        </is>
      </c>
      <c r="AM51" s="77" t="inlineStr">
        <is>
          <t>Eligibility wording differs between sources (eligible degree vs any degree). Deliverable format and per-year partner list not seen. Page text not opened directly (403/Cloudflare).</t>
        </is>
      </c>
      <c r="AN51" s="77" t="inlineStr">
        <is>
          <t>Monash Innovation Guarantee (MIG), MON2750</t>
        </is>
      </c>
      <c r="AO51" s="77" t="inlineStr">
        <is>
          <t>Australia</t>
        </is>
      </c>
      <c r="AP51" s="77" t="inlineStr">
        <is>
          <t>Australia</t>
        </is>
      </c>
      <c r="AQ51" s="77" t="inlineStr">
        <is>
          <t>1–4 weeks</t>
        </is>
      </c>
      <c r="AR51" s="77" t="inlineStr">
        <is>
          <t>All/standard</t>
        </is>
      </c>
      <c r="AS51" s="77" t="inlineStr"/>
    </row>
    <row r="52">
      <c r="A52" s="77" t="inlineStr">
        <is>
          <t>AU05</t>
        </is>
      </c>
      <c r="B52" s="77" t="inlineStr">
        <is>
          <t>Monash</t>
        </is>
      </c>
      <c r="C52" s="77" t="inlineStr">
        <is>
          <t>University-wide</t>
        </is>
      </c>
      <c r="D52" s="77" t="inlineStr">
        <is>
          <t>AU05-S02</t>
        </is>
      </c>
      <c r="E52" s="77" t="inlineStr"/>
      <c r="F52" s="77" t="inlineStr">
        <is>
          <t>No</t>
        </is>
      </c>
      <c r="G52" s="79" t="inlineStr">
        <is>
          <t>Monash Innovation Guarantee - Postgraduate (MIG-P)</t>
        </is>
      </c>
      <c r="H52" s="77" t="inlineStr">
        <is>
          <t>Monash Innovation Guarantee - Postgraduate</t>
        </is>
      </c>
      <c r="I52" s="77" t="inlineStr">
        <is>
          <t>MON5750</t>
        </is>
      </c>
      <c r="J52" s="77" t="inlineStr">
        <is>
          <t>Postgraduate coursework counterpart of MIG: three-week intensive winter unit (6-23 July 2026) open across faculties. Team format and partner role are inferred from the MIG model; not separately evidenced.</t>
        </is>
      </c>
      <c r="K52" s="77" t="inlineStr">
        <is>
          <t>Flagship Rich Educational Experiences</t>
        </is>
      </c>
      <c r="L52" s="77" t="inlineStr">
        <is>
          <t>Monash postgraduate coursework (Masters) students across all faculties</t>
        </is>
      </c>
      <c r="M52" s="77" t="inlineStr">
        <is>
          <t>Central provision</t>
        </is>
      </c>
      <c r="N52" s="77" t="inlineStr">
        <is>
          <t>Postgraduate taught</t>
        </is>
      </c>
      <c r="O52" s="77" t="inlineStr"/>
      <c r="P52" s="77" t="inlineStr">
        <is>
          <t>Indonesia page: eligible degree, at least 24 completed credit points, 6 elective points available (June 2025).</t>
        </is>
      </c>
      <c r="Q52" s="77" t="inlineStr">
        <is>
          <t>Optional/elective</t>
        </is>
      </c>
      <c r="R52" s="77" t="inlineStr">
        <is>
          <t>Curricular</t>
        </is>
      </c>
      <c r="S52" s="77" t="inlineStr">
        <is>
          <t>Unit-based, credit points not confirmed</t>
        </is>
      </c>
      <c r="T52" s="77" t="inlineStr">
        <is>
          <t>3 weeks (6-23 July 2026)</t>
        </is>
      </c>
      <c r="U52" s="77" t="inlineStr">
        <is>
          <t>Intensive</t>
        </is>
      </c>
      <c r="V52" s="77" t="inlineStr">
        <is>
          <t>Unclear</t>
        </is>
      </c>
      <c r="W52" s="77" t="inlineStr">
        <is>
          <t>Not separately evidenced for MIG-P [1].</t>
        </is>
      </c>
      <c r="X52" s="77" t="inlineStr">
        <is>
          <t>Unclear</t>
        </is>
      </c>
      <c r="Y52" s="77" t="inlineStr">
        <is>
          <t>Not separately evidenced [1].</t>
        </is>
      </c>
      <c r="Z52" s="77" t="inlineStr">
        <is>
          <t>Unclear</t>
        </is>
      </c>
      <c r="AA52" s="77" t="inlineStr">
        <is>
          <t>Not separately evidenced; MIG model has partner-set challenges [1].</t>
        </is>
      </c>
      <c r="AB52" s="77" t="inlineStr">
        <is>
          <t>Unclear</t>
        </is>
      </c>
      <c r="AC52" s="77" t="inlineStr"/>
      <c r="AD52" s="77" t="inlineStr"/>
      <c r="AE52" s="77" t="inlineStr"/>
      <c r="AF52" s="77">
        <f>IF(OR(V52="No",X52="No",Z52="No"),"Outside strict definition",IF(AND(V52="Yes",X52="Yes",Z52="Yes"),"Meets all three","Potentially relevant; evidence incomplete"))</f>
        <v/>
      </c>
      <c r="AG52" s="77" t="inlineStr">
        <is>
          <t>Current delivery confirmed</t>
        </is>
      </c>
      <c r="AH52" s="77" t="inlineStr">
        <is>
          <t>2026 (July 2026 schedule)</t>
        </is>
      </c>
      <c r="AI52" s="77" t="inlineStr">
        <is>
          <t>Yes</t>
        </is>
      </c>
      <c r="AJ52" s="77">
        <f>IF(AND(AI52="Yes",AF52="Meets all three",AG52="Current delivery confirmed"),"Yes","No")</f>
        <v/>
      </c>
      <c r="AK52" s="77" t="inlineStr"/>
      <c r="AL52" s="77" t="inlineStr">
        <is>
          <t>AU05-S02-R1</t>
        </is>
      </c>
      <c r="AM52" s="77" t="inlineStr">
        <is>
          <t>Need the postgraduate page text to confirm team and partner role. Possible duplicate of S1 in concept.</t>
        </is>
      </c>
      <c r="AN52" s="77" t="inlineStr"/>
      <c r="AO52" s="77" t="inlineStr">
        <is>
          <t>Australia</t>
        </is>
      </c>
      <c r="AP52" s="77" t="inlineStr">
        <is>
          <t>Australia</t>
        </is>
      </c>
      <c r="AQ52" s="77" t="inlineStr">
        <is>
          <t>1–4 weeks</t>
        </is>
      </c>
      <c r="AR52" s="77" t="inlineStr">
        <is>
          <t>Unclear</t>
        </is>
      </c>
      <c r="AS52" s="77" t="inlineStr"/>
    </row>
    <row r="53">
      <c r="A53" s="77" t="inlineStr">
        <is>
          <t>AU05</t>
        </is>
      </c>
      <c r="B53" s="77" t="inlineStr">
        <is>
          <t>Monash</t>
        </is>
      </c>
      <c r="C53" s="77" t="inlineStr">
        <is>
          <t>Faculty/school</t>
        </is>
      </c>
      <c r="D53" s="77" t="inlineStr">
        <is>
          <t>AU05-S03</t>
        </is>
      </c>
      <c r="E53" s="77" t="inlineStr"/>
      <c r="F53" s="77" t="inlineStr">
        <is>
          <t>No</t>
        </is>
      </c>
      <c r="G53" s="79" t="inlineStr">
        <is>
          <t>Industry Consulting Projects (Business School consulting project units)</t>
        </is>
      </c>
      <c r="H53" s="77" t="inlineStr">
        <is>
          <t>Industry Consulting Projects</t>
        </is>
      </c>
      <c r="I53" s="77" t="inlineStr">
        <is>
          <t>BEX3350/BEX3351 (6 CP), BEX3450 (12 CP), BEX5006 (6 CP), BEX5112 (12 CP)</t>
        </is>
      </c>
      <c r="J53" s="77" t="inlineStr">
        <is>
          <t>Credit-bearing Industry Experience units in which teams of up to 5 students from business degree specialisations work with industry partners on real business problems; projects are matched to student preferences and skills. Student-sourced projects need a brief from the host organisation.</t>
        </is>
      </c>
      <c r="K53" s="77" t="inlineStr">
        <is>
          <t>Monash Business School, Industry Experience</t>
        </is>
      </c>
      <c r="L53" s="77" t="inlineStr">
        <is>
          <t>Business and Commerce degrees (undergraduate and graduate)</t>
        </is>
      </c>
      <c r="M53" s="77" t="inlineStr">
        <is>
          <t>Business/management</t>
        </is>
      </c>
      <c r="N53" s="77" t="inlineStr">
        <is>
          <t>Mixed</t>
        </is>
      </c>
      <c r="O53" s="77" t="inlineStr">
        <is>
          <t>UG: 72 CP completed to apply, 96 CP at commencement</t>
        </is>
      </c>
      <c r="P53" s="77" t="inlineStr">
        <is>
          <t>Competitive application; elective space required; compulsory induction; one application considered.</t>
        </is>
      </c>
      <c r="Q53" s="77" t="inlineStr">
        <is>
          <t>Selective/competitive</t>
        </is>
      </c>
      <c r="R53" s="77" t="inlineStr">
        <is>
          <t>Curricular</t>
        </is>
      </c>
      <c r="S53" s="77" t="inlineStr">
        <is>
          <t>6 CP (about 20 days) or 12 CP (about 30 days)</t>
        </is>
      </c>
      <c r="T53" s="77" t="inlineStr">
        <is>
          <t>Semester-length; 20 or 30 days' workload</t>
        </is>
      </c>
      <c r="U53" s="77" t="inlineStr">
        <is>
          <t>Team consulting project</t>
        </is>
      </c>
      <c r="V53" s="77" t="inlineStr">
        <is>
          <t>Yes</t>
        </is>
      </c>
      <c r="W53" s="77" t="inlineStr">
        <is>
          <t>Teams solve real business problems for clients [1][2].</t>
        </is>
      </c>
      <c r="X53" s="77" t="inlineStr">
        <is>
          <t>Yes</t>
        </is>
      </c>
      <c r="Y53" s="77" t="inlineStr">
        <is>
          <t>Teams of up to 5 students; faculty matches students into project groups; teammates meet at induction [1][2][3].</t>
        </is>
      </c>
      <c r="Z53" s="77" t="inlineStr">
        <is>
          <t>Yes</t>
        </is>
      </c>
      <c r="AA53" s="77" t="inlineStr">
        <is>
          <t>Industry partners/host organisations supply real business problems; host organisation brief for student-sourced projects [1][2][3].</t>
        </is>
      </c>
      <c r="AB53" s="77" t="inlineStr">
        <is>
          <t>Business/commercial</t>
        </is>
      </c>
      <c r="AC53" s="77" t="inlineStr">
        <is>
          <t>Client/host organisation supplying business problem</t>
        </is>
      </c>
      <c r="AD53" s="77" t="inlineStr"/>
      <c r="AE53" s="77" t="inlineStr">
        <is>
          <t>Consulting project output for client (form not specified)</t>
        </is>
      </c>
      <c r="AF53" s="77">
        <f>IF(OR(V53="No",X53="No",Z53="No"),"Outside strict definition",IF(AND(V53="Yes",X53="Yes",Z53="Yes"),"Meets all three","Potentially relevant; evidence incomplete"))</f>
        <v/>
      </c>
      <c r="AG53" s="77" t="inlineStr">
        <is>
          <t>Current delivery confirmed</t>
        </is>
      </c>
      <c r="AH53" s="77" t="inlineStr">
        <is>
          <t>2026 round (2027 applications open Oct 2026)</t>
        </is>
      </c>
      <c r="AI53" s="77" t="inlineStr">
        <is>
          <t>Yes</t>
        </is>
      </c>
      <c r="AJ53" s="77">
        <f>IF(AND(AI53="Yes",AF53="Meets all three",AG53="Current delivery confirmed"),"Yes","No")</f>
        <v/>
      </c>
      <c r="AK53" s="77" t="inlineStr"/>
      <c r="AL53" s="77" t="inlineStr">
        <is>
          <t>AU05-S03-R1; AU05-S03-R2; AU05-S03-R3</t>
        </is>
      </c>
      <c r="AM53" s="77" t="inlineStr">
        <is>
          <t>Partner type may include non-business hosts; 'up to 5' team size seen in search summary only; deliverable and assessment not seen; participation numbers not found.</t>
        </is>
      </c>
      <c r="AN53" s="77" t="inlineStr"/>
      <c r="AO53" s="77" t="inlineStr">
        <is>
          <t>Australia</t>
        </is>
      </c>
      <c r="AP53" s="77" t="inlineStr">
        <is>
          <t>Australia</t>
        </is>
      </c>
      <c r="AQ53" s="77" t="inlineStr">
        <is>
          <t>~1 term/semester</t>
        </is>
      </c>
      <c r="AR53" s="77" t="inlineStr">
        <is>
          <t>All/standard</t>
        </is>
      </c>
      <c r="AS53" s="77" t="inlineStr"/>
    </row>
    <row r="54">
      <c r="A54" s="77" t="inlineStr">
        <is>
          <t>AU05</t>
        </is>
      </c>
      <c r="B54" s="77" t="inlineStr">
        <is>
          <t>Monash</t>
        </is>
      </c>
      <c r="C54" s="77" t="inlineStr">
        <is>
          <t>Cross-faculty</t>
        </is>
      </c>
      <c r="D54" s="77" t="inlineStr">
        <is>
          <t>AU05-S04</t>
        </is>
      </c>
      <c r="E54" s="77" t="inlineStr"/>
      <c r="F54" s="77" t="inlineStr">
        <is>
          <t>No</t>
        </is>
      </c>
      <c r="G54" s="79" t="inlineStr">
        <is>
          <t>Industry Innovation Program (IIP) - Final Year Project</t>
        </is>
      </c>
      <c r="H54" s="77" t="inlineStr">
        <is>
          <t>Industry Innovation Program final year project</t>
        </is>
      </c>
      <c r="I54" s="77" t="inlineStr">
        <is>
          <t>ENG4701/ENG4702 (also FIT4701/FIT4702)</t>
        </is>
      </c>
      <c r="J54" s="77" t="inlineStr">
        <is>
          <t>Twelve-month industry-funded final-year project in Engineering/STEM. A partner company scopes the project with Monash and appoints a mentor; an academic supervisor supports a student team at the Monash Innovation Hub. Students receive an industry-sponsored scholarship. Examples: Woodside direct air capture, Wave Consulting greywater filtration, Tasty Fresh refrigeration.</t>
        </is>
      </c>
      <c r="K54" s="77" t="inlineStr">
        <is>
          <t>Faculty of Engineering / Industry Innovation Program</t>
        </is>
      </c>
      <c r="L54" s="77" t="inlineStr">
        <is>
          <t>STEM students (Engineering, IT) in final year</t>
        </is>
      </c>
      <c r="M54" s="77" t="inlineStr">
        <is>
          <t>Engineering/computing; Science</t>
        </is>
      </c>
      <c r="N54" s="77" t="inlineStr">
        <is>
          <t>Undergraduate</t>
        </is>
      </c>
      <c r="O54" s="77" t="inlineStr"/>
      <c r="P54" s="77" t="inlineStr">
        <is>
          <t>Expression of interest via IIP portal; interviews with Monash and industry partner.</t>
        </is>
      </c>
      <c r="Q54" s="77" t="inlineStr">
        <is>
          <t>Selective/competitive</t>
        </is>
      </c>
      <c r="R54" s="77" t="inlineStr">
        <is>
          <t>Curricular</t>
        </is>
      </c>
      <c r="S54" s="77" t="inlineStr">
        <is>
          <t>Credit via ENG4701/ENG4702 (12 CP final year project); deliverables: project plan, reflective diary, final report</t>
        </is>
      </c>
      <c r="T54" s="77" t="inlineStr">
        <is>
          <t>12 months</t>
        </is>
      </c>
      <c r="U54" s="77" t="inlineStr">
        <is>
          <t>On-campus industry project</t>
        </is>
      </c>
      <c r="V54" s="77" t="inlineStr">
        <is>
          <t>Yes</t>
        </is>
      </c>
      <c r="W54" s="77" t="inlineStr">
        <is>
          <t>Scoped industry project with prototype/report deliverables [1][2].</t>
        </is>
      </c>
      <c r="X54" s="77" t="inlineStr">
        <is>
          <t>Unclear</t>
        </is>
      </c>
      <c r="Y54" s="77" t="inlineStr">
        <is>
          <t>Pages say students collaborate with other IIP students and Monash 'builds a student team', but deliverables (plan, diary, report) appear to be per student; team vs individual outputs not separated [1][2].</t>
        </is>
      </c>
      <c r="Z54" s="77" t="inlineStr">
        <is>
          <t>Yes</t>
        </is>
      </c>
      <c r="AA54" s="77" t="inlineStr">
        <is>
          <t>Partner scopes project, appoints mentor and funds scholarship; interviews include partner [1][2].</t>
        </is>
      </c>
      <c r="AB54" s="77" t="inlineStr">
        <is>
          <t>Business/commercial</t>
        </is>
      </c>
      <c r="AC54" s="77" t="inlineStr">
        <is>
          <t>Funds, scopes and mentors project</t>
        </is>
      </c>
      <c r="AD54" s="77" t="inlineStr">
        <is>
          <t>Woodside; Wave Consulting; Tasty Fresh (undated news/case pages)</t>
        </is>
      </c>
      <c r="AE54" s="77" t="inlineStr">
        <is>
          <t>Project plan, reflective diary, final report; prototype where applicable</t>
        </is>
      </c>
      <c r="AF54" s="77">
        <f>IF(OR(V54="No",X54="No",Z54="No"),"Outside strict definition",IF(AND(V54="Yes",X54="Yes",Z54="Yes"),"Meets all three","Potentially relevant; evidence incomplete"))</f>
        <v/>
      </c>
      <c r="AG54" s="77" t="inlineStr">
        <is>
          <t>Current status unclear</t>
        </is>
      </c>
      <c r="AH54" s="77" t="inlineStr">
        <is>
          <t>2025 (FYP awards page)</t>
        </is>
      </c>
      <c r="AI54" s="77" t="inlineStr">
        <is>
          <t>Yes</t>
        </is>
      </c>
      <c r="AJ54" s="77">
        <f>IF(AND(AI54="Yes",AF54="Meets all three",AG54="Current delivery confirmed"),"Yes","No")</f>
        <v/>
      </c>
      <c r="AK54" s="77" t="inlineStr"/>
      <c r="AL54" s="77" t="inlineStr">
        <is>
          <t>AU05-S04-R1; AU05-S04-R2</t>
        </is>
      </c>
      <c r="AM54" s="77" t="inlineStr">
        <is>
          <t>Team versus individual assessment; dated 2025/26 or 2026/27 cohort; 2023 info session described IIP as a pilot.</t>
        </is>
      </c>
      <c r="AN54" s="77" t="inlineStr"/>
      <c r="AO54" s="77" t="inlineStr">
        <is>
          <t>Australia</t>
        </is>
      </c>
      <c r="AP54" s="77" t="inlineStr">
        <is>
          <t>Australia</t>
        </is>
      </c>
      <c r="AQ54" s="77" t="inlineStr">
        <is>
          <t>&gt;1 term</t>
        </is>
      </c>
      <c r="AR54" s="77" t="inlineStr">
        <is>
          <t>All/standard</t>
        </is>
      </c>
      <c r="AS54" s="77" t="inlineStr"/>
    </row>
    <row r="55">
      <c r="A55" s="77" t="inlineStr">
        <is>
          <t>AU05</t>
        </is>
      </c>
      <c r="B55" s="77" t="inlineStr">
        <is>
          <t>Monash</t>
        </is>
      </c>
      <c r="C55" s="77" t="inlineStr">
        <is>
          <t>Faculty/school</t>
        </is>
      </c>
      <c r="D55" s="77" t="inlineStr">
        <is>
          <t>AU05-S05</t>
        </is>
      </c>
      <c r="E55" s="77" t="inlineStr"/>
      <c r="F55" s="77" t="inlineStr">
        <is>
          <t>No</t>
        </is>
      </c>
      <c r="G55" s="79" t="inlineStr">
        <is>
          <t>Industry Experience Studio Project (FIT5120)</t>
        </is>
      </c>
      <c r="H55" s="77" t="inlineStr">
        <is>
          <t>Industry Experience Studio Project</t>
        </is>
      </c>
      <c r="I55" s="77" t="inlineStr">
        <is>
          <t>FIT5120</t>
        </is>
      </c>
      <c r="J55" s="77" t="inlineStr">
        <is>
          <t>Capstone-style IT unit: teams of four or five students build an IT solution for a real problem with mentoring from academic staff and industry clients. Partner page says partners assign a project, mentor teams with four campus visits per semester and judge an expo. Detail comes from 2015-2019 handbooks and an undated partner page.</t>
        </is>
      </c>
      <c r="K55" s="77" t="inlineStr">
        <is>
          <t>Faculty of Information Technology</t>
        </is>
      </c>
      <c r="L55" s="77" t="inlineStr">
        <is>
          <t>Faculty of IT postgraduate coursework (FIT5120); undergraduate equivalents (FIT3047/FIT3048) seen only in 2014-2016 handbooks</t>
        </is>
      </c>
      <c r="M55" s="77" t="inlineStr">
        <is>
          <t>Engineering/computing</t>
        </is>
      </c>
      <c r="N55" s="77" t="inlineStr">
        <is>
          <t>Postgraduate taught</t>
        </is>
      </c>
      <c r="O55" s="77" t="inlineStr"/>
      <c r="P55" s="77" t="inlineStr"/>
      <c r="Q55" s="77" t="inlineStr">
        <is>
          <t>Compulsory within specified programmes</t>
        </is>
      </c>
      <c r="R55" s="77" t="inlineStr">
        <is>
          <t>Curricular</t>
        </is>
      </c>
      <c r="S55" s="77" t="inlineStr">
        <is>
          <t>12 CP; project deliverables 70-80% plus final presentation (2015 unit guide)</t>
        </is>
      </c>
      <c r="T55" s="77" t="inlineStr">
        <is>
          <t>Semester</t>
        </is>
      </c>
      <c r="U55" s="77" t="inlineStr">
        <is>
          <t>Team studio project</t>
        </is>
      </c>
      <c r="V55" s="77" t="inlineStr">
        <is>
          <t>Yes</t>
        </is>
      </c>
      <c r="W55" s="77" t="inlineStr">
        <is>
          <t>Teams build an IT solution to a real problem [1][2].</t>
        </is>
      </c>
      <c r="X55" s="77" t="inlineStr">
        <is>
          <t>Yes</t>
        </is>
      </c>
      <c r="Y55" s="77" t="inlineStr">
        <is>
          <t>Teams of four or five students [1].</t>
        </is>
      </c>
      <c r="Z55" s="77" t="inlineStr">
        <is>
          <t>Unclear</t>
        </is>
      </c>
      <c r="AA55" s="77" t="inlineStr">
        <is>
          <t>Partner page: partners assign a project, mentor and judge expo; but projects can also be 'social good' issues, so external client share is not standard-documented [2].</t>
        </is>
      </c>
      <c r="AB55" s="77" t="inlineStr">
        <is>
          <t>Mixed</t>
        </is>
      </c>
      <c r="AC55" s="77" t="inlineStr">
        <is>
          <t>Assigns project, mentors, judges expo (partner page)</t>
        </is>
      </c>
      <c r="AD55" s="77" t="inlineStr"/>
      <c r="AE55" s="77" t="inlineStr">
        <is>
          <t>IT solution and presentation</t>
        </is>
      </c>
      <c r="AF55" s="77">
        <f>IF(OR(V55="No",X55="No",Z55="No"),"Outside strict definition",IF(AND(V55="Yes",X55="Yes",Z55="Yes"),"Meets all three","Potentially relevant; evidence incomplete"))</f>
        <v/>
      </c>
      <c r="AG55" s="77" t="inlineStr">
        <is>
          <t>Current status unclear</t>
        </is>
      </c>
      <c r="AH55" s="77" t="inlineStr">
        <is>
          <t>2019 handbook</t>
        </is>
      </c>
      <c r="AI55" s="77" t="inlineStr">
        <is>
          <t>Yes</t>
        </is>
      </c>
      <c r="AJ55" s="77">
        <f>IF(AND(AI55="Yes",AF55="Meets all three",AG55="Current delivery confirmed"),"Yes","No")</f>
        <v/>
      </c>
      <c r="AK55" s="77" t="inlineStr"/>
      <c r="AL55" s="77" t="inlineStr">
        <is>
          <t>AU05-S05-R1; AU05-S05-R2</t>
        </is>
      </c>
      <c r="AM55" s="77" t="inlineStr">
        <is>
          <t>Current-year handbook and unit guide not seen; compulsoriness inferred from capstone status; client share unknown.</t>
        </is>
      </c>
      <c r="AN55" s="77" t="inlineStr"/>
      <c r="AO55" s="77" t="inlineStr">
        <is>
          <t>Australia</t>
        </is>
      </c>
      <c r="AP55" s="77" t="inlineStr">
        <is>
          <t>Australia</t>
        </is>
      </c>
      <c r="AQ55" s="77" t="inlineStr">
        <is>
          <t>~1 term/semester</t>
        </is>
      </c>
      <c r="AR55" s="77" t="inlineStr">
        <is>
          <t>Unclear</t>
        </is>
      </c>
      <c r="AS55" s="77" t="inlineStr"/>
    </row>
    <row r="56">
      <c r="A56" s="77" t="inlineStr">
        <is>
          <t>AU06</t>
        </is>
      </c>
      <c r="B56" s="77" t="inlineStr">
        <is>
          <t>Queensland</t>
        </is>
      </c>
      <c r="C56" s="77" t="inlineStr">
        <is>
          <t>University-wide</t>
        </is>
      </c>
      <c r="D56" s="77" t="inlineStr">
        <is>
          <t>AU06-S01</t>
        </is>
      </c>
      <c r="E56" s="77" t="inlineStr"/>
      <c r="F56" s="77" t="inlineStr">
        <is>
          <t>No</t>
        </is>
      </c>
      <c r="G56" s="79" t="inlineStr">
        <is>
          <t>Ventures Industry Challenge</t>
        </is>
      </c>
      <c r="H56" s="77" t="inlineStr">
        <is>
          <t>Ventures Industry Challenge</t>
        </is>
      </c>
      <c r="I56" s="77" t="inlineStr"/>
      <c r="J56" s="77" t="inlineStr">
        <is>
          <t>Annual UQ Ventures extracurricular challenge-based competition. Students from any faculty form (encouraged cross-disciplinary) teams at a launch panel, work over roughly a month on a themed real-world problem set with an annual partner, receive mentoring from industry mentors, and pitch solutions for prizes. Themes/partners vary by year: 2020 water scarcity with WaterStart (not-for-profit water innovation agency; 40+ teams); 2024 Ocean Innovation with the Port of Brisbane; 2026 sexual health and wellbeing with UQ SEXtember (a UQ initiative) and, per a Ventures page, ASHM.</t>
        </is>
      </c>
      <c r="K56" s="77" t="inlineStr">
        <is>
          <t>UQ Ventures (central entrepreneurship/innovation unit)</t>
        </is>
      </c>
      <c r="L56" s="77" t="inlineStr">
        <is>
          <t>Teams of current UQ students from any faculty, discipline or year level</t>
        </is>
      </c>
      <c r="M56" s="77" t="inlineStr">
        <is>
          <t>Central provision</t>
        </is>
      </c>
      <c r="N56" s="77" t="inlineStr">
        <is>
          <t>Mixed</t>
        </is>
      </c>
      <c r="O56" s="77" t="inlineStr">
        <is>
          <t>Any</t>
        </is>
      </c>
      <c r="P56" s="77" t="inlineStr">
        <is>
          <t>Current UQ students; register and join a team at the first panel session (26 August in 2026).</t>
        </is>
      </c>
      <c r="Q56" s="77" t="inlineStr">
        <is>
          <t>Optional/elective</t>
        </is>
      </c>
      <c r="R56" s="77" t="inlineStr">
        <is>
          <t>Extracurricular</t>
        </is>
      </c>
      <c r="S56" s="77" t="inlineStr">
        <is>
          <t>No credit; pitch competition judged against criteria provided to participants; prizes (up to $11,000 in an earlier, undated edition).</t>
        </is>
      </c>
      <c r="T56" s="77" t="inlineStr">
        <is>
          <t>Across September (approx. 4 weeks) in 2026</t>
        </is>
      </c>
      <c r="U56" s="77" t="inlineStr">
        <is>
          <t>In person workshops/panel sessions, mentoring and final pitch</t>
        </is>
      </c>
      <c r="V56" s="77" t="inlineStr">
        <is>
          <t>Yes</t>
        </is>
      </c>
      <c r="W56" s="77" t="inlineStr">
        <is>
          <t>Teams tackle a defined annual challenge theme and pitch a solution (identifiable output: solution pitch) [1][3].</t>
        </is>
      </c>
      <c r="X56" s="77" t="inlineStr">
        <is>
          <t>Yes</t>
        </is>
      </c>
      <c r="Y56" s="77" t="inlineStr">
        <is>
          <t>'Open to teams of current UQ students'; trans-disciplinary teams formed at first panel session [1][3].</t>
        </is>
      </c>
      <c r="Z56" s="77" t="inlineStr">
        <is>
          <t>Unclear</t>
        </is>
      </c>
      <c r="AA56" s="77" t="inlineStr">
        <is>
          <t>Each edition has a themed partner (WaterStart 2020 [1]; Port of Brisbane 2024 [2]) and students are 'guided by industry mentors from relevant organisations' [1]. However the 2026 lead partner (UQ SEXtember) is a university initiative (internal), the external body ASHM was mentioned only on an unspecified Ventures page, and no source shows an external organisation setting a live brief, judging pitches or receiving the outputs. Theme-sponsor plus mentoring, partly internal, so Unclear.</t>
        </is>
      </c>
      <c r="AB56" s="77" t="inlineStr">
        <is>
          <t>Mixed</t>
        </is>
      </c>
      <c r="AC56" s="77" t="inlineStr">
        <is>
          <t>Theme partner (varies by year: not-for-profit, port operator, internal UQ initiative); industry mentors; judging panel composition not evidenced</t>
        </is>
      </c>
      <c r="AD56" s="77" t="inlineStr">
        <is>
          <t>WaterStart (2020); Port of Brisbane (2024); UQ SEXtember (internal, 2026); ASHM (2026, attribution to specific page unclear)</t>
        </is>
      </c>
      <c r="AE56" s="77" t="inlineStr">
        <is>
          <t>Team solution pitch</t>
        </is>
      </c>
      <c r="AF56" s="77">
        <f>IF(OR(V56="No",X56="No",Z56="No"),"Outside strict definition",IF(AND(V56="Yes",X56="Yes",Z56="Yes"),"Meets all three","Potentially relevant; evidence incomplete"))</f>
        <v/>
      </c>
      <c r="AG56" s="77" t="inlineStr">
        <is>
          <t>Current delivery confirmed</t>
        </is>
      </c>
      <c r="AH56" s="77" t="inlineStr">
        <is>
          <t>2026</t>
        </is>
      </c>
      <c r="AI56" s="77" t="inlineStr">
        <is>
          <t>Yes</t>
        </is>
      </c>
      <c r="AJ56" s="77">
        <f>IF(AND(AI56="Yes",AF56="Meets all three",AG56="Current delivery confirmed"),"Yes","No")</f>
        <v/>
      </c>
      <c r="AK56" s="77" t="inlineStr">
        <is>
          <t>Over 40 teams (2020, inaugural edition) [1]</t>
        </is>
      </c>
      <c r="AL56" s="77" t="inlineStr">
        <is>
          <t>AU06-S01-R1; AU06-S01-R2; AU06-S01-R3</t>
        </is>
      </c>
      <c r="AM56" s="77" t="inlineStr">
        <is>
          <t>Whether external partners set the problem statements and sit on the judging panel; 2026 partner is internal UQ SEXtember; prize amounts for 2026 not published.</t>
        </is>
      </c>
      <c r="AN56" s="77" t="inlineStr">
        <is>
          <t>UQ Ventures challenges</t>
        </is>
      </c>
      <c r="AO56" s="77" t="inlineStr">
        <is>
          <t>Australia</t>
        </is>
      </c>
      <c r="AP56" s="77" t="inlineStr">
        <is>
          <t>Australia</t>
        </is>
      </c>
      <c r="AQ56" s="77" t="inlineStr">
        <is>
          <t>1–4 weeks</t>
        </is>
      </c>
      <c r="AR56" s="77" t="inlineStr">
        <is>
          <t>Unclear</t>
        </is>
      </c>
      <c r="AS56" s="77" t="inlineStr"/>
    </row>
    <row r="57">
      <c r="A57" s="77" t="inlineStr">
        <is>
          <t>AU06</t>
        </is>
      </c>
      <c r="B57" s="77" t="inlineStr">
        <is>
          <t>Queensland</t>
        </is>
      </c>
      <c r="C57" s="77" t="inlineStr">
        <is>
          <t>University-wide</t>
        </is>
      </c>
      <c r="D57" s="77" t="inlineStr">
        <is>
          <t>AU06-S02</t>
        </is>
      </c>
      <c r="E57" s="77" t="inlineStr"/>
      <c r="F57" s="77" t="inlineStr">
        <is>
          <t>No</t>
        </is>
      </c>
      <c r="G57" s="79" t="inlineStr">
        <is>
          <t>Practera SAIEP - Industry Experience Projects</t>
        </is>
      </c>
      <c r="H57" s="77" t="inlineStr">
        <is>
          <t>Practera SAIEP Industry Experience Projects</t>
        </is>
      </c>
      <c r="I57" s="77" t="inlineStr"/>
      <c r="J57" s="77" t="inlineStr">
        <is>
          <t>UQ Careers and Employability offers places on Practera's two-week virtual industry experience projects (SAIEP). Teams of international and domestic tertiary students from several Australian institutions respond to a real brief (e.g. an export brief) from an Australian or global employer in streams such as International Business, Sustainable Impact, Digital Marketing Strategy, Growth Strategy and Funding &amp; Finance, and receive direct feedback from the client on their project outcome.</t>
        </is>
      </c>
      <c r="K57" s="77" t="inlineStr">
        <is>
          <t>UQ Careers and Employability (delivered by Practera)</t>
        </is>
      </c>
      <c r="L57" s="77" t="inlineStr">
        <is>
          <t>Any currently enrolled UQ student</t>
        </is>
      </c>
      <c r="M57" s="77" t="inlineStr">
        <is>
          <t>Central provision</t>
        </is>
      </c>
      <c r="N57" s="77" t="inlineStr">
        <is>
          <t>Mixed</t>
        </is>
      </c>
      <c r="O57" s="77" t="inlineStr">
        <is>
          <t>Any</t>
        </is>
      </c>
      <c r="P57" s="77" t="inlineStr">
        <is>
          <t>Current UQ enrolment; limited places; compulsory orientation; minimum 25 hours commitment; no fee.</t>
        </is>
      </c>
      <c r="Q57" s="77" t="inlineStr">
        <is>
          <t>Selective/competitive</t>
        </is>
      </c>
      <c r="R57" s="77" t="inlineStr">
        <is>
          <t>Extracurricular</t>
        </is>
      </c>
      <c r="S57" s="77" t="inlineStr">
        <is>
          <t>No credit; certificate and LinkedIn badge</t>
        </is>
      </c>
      <c r="T57" s="77" t="inlineStr">
        <is>
          <t>Two weeks, minimum 25 hours</t>
        </is>
      </c>
      <c r="U57" s="77" t="inlineStr">
        <is>
          <t>Virtual, mixed-institution teams</t>
        </is>
      </c>
      <c r="V57" s="77" t="inlineStr">
        <is>
          <t>Yes</t>
        </is>
      </c>
      <c r="W57" s="77" t="inlineStr">
        <is>
          <t>Students respond to a project brief from an organisation (e.g. export brief) producing a project outcome on which the client gives feedback [1].</t>
        </is>
      </c>
      <c r="X57" s="77" t="inlineStr">
        <is>
          <t>Yes</t>
        </is>
      </c>
      <c r="Y57" s="77" t="inlineStr">
        <is>
          <t>'student teams across Australian institutions work on real industry projects' [1].</t>
        </is>
      </c>
      <c r="Z57" s="77" t="inlineStr">
        <is>
          <t>Yes</t>
        </is>
      </c>
      <c r="AA57" s="77" t="inlineStr">
        <is>
          <t>Australian/global employers provide the brief and give 'direct feedback from their client on their project outcome' [1]. Live client, not a simulation, per the UQ page.</t>
        </is>
      </c>
      <c r="AB57" s="77" t="inlineStr">
        <is>
          <t>Business/commercial</t>
        </is>
      </c>
      <c r="AC57" s="77" t="inlineStr">
        <is>
          <t>Supplies brief; receives outputs and gives feedback</t>
        </is>
      </c>
      <c r="AD57" s="77" t="inlineStr">
        <is>
          <t>Past clients named on UQ page (undated): Infosys, FlyFreely, Synapse Medical</t>
        </is>
      </c>
      <c r="AE57" s="77" t="inlineStr">
        <is>
          <t>Team project outcome/recommendations to client</t>
        </is>
      </c>
      <c r="AF57" s="77">
        <f>IF(OR(V57="No",X57="No",Z57="No"),"Outside strict definition",IF(AND(V57="Yes",X57="Yes",Z57="Yes"),"Meets all three","Potentially relevant; evidence incomplete"))</f>
        <v/>
      </c>
      <c r="AG57" s="77" t="inlineStr">
        <is>
          <t>Current delivery confirmed</t>
        </is>
      </c>
      <c r="AH57" s="77" t="inlineStr">
        <is>
          <t>2026/27</t>
        </is>
      </c>
      <c r="AI57" s="77" t="inlineStr">
        <is>
          <t>Yes</t>
        </is>
      </c>
      <c r="AJ57" s="77">
        <f>IF(AND(AI57="Yes",AF57="Meets all three",AG57="Current delivery confirmed"),"Yes","No")</f>
        <v/>
      </c>
      <c r="AK57" s="77" t="inlineStr"/>
      <c r="AL57" s="77" t="inlineStr">
        <is>
          <t>AU06-S02-R1</t>
        </is>
      </c>
      <c r="AM57" s="77" t="inlineStr">
        <is>
          <t>Number of UQ participants not published; brief/output format per stream not detailed; short (2-week) format.</t>
        </is>
      </c>
      <c r="AN57" s="77" t="inlineStr"/>
      <c r="AO57" s="77" t="inlineStr">
        <is>
          <t>Australia</t>
        </is>
      </c>
      <c r="AP57" s="77" t="inlineStr">
        <is>
          <t>Australia</t>
        </is>
      </c>
      <c r="AQ57" s="77" t="inlineStr">
        <is>
          <t>1–4 weeks</t>
        </is>
      </c>
      <c r="AR57" s="77" t="inlineStr">
        <is>
          <t>All/standard</t>
        </is>
      </c>
      <c r="AS57" s="77" t="inlineStr"/>
    </row>
    <row r="58">
      <c r="A58" s="77" t="inlineStr">
        <is>
          <t>AU06</t>
        </is>
      </c>
      <c r="B58" s="77" t="inlineStr">
        <is>
          <t>Queensland</t>
        </is>
      </c>
      <c r="C58" s="77" t="inlineStr">
        <is>
          <t>Faculty/school</t>
        </is>
      </c>
      <c r="D58" s="77" t="inlineStr">
        <is>
          <t>AU06-S03</t>
        </is>
      </c>
      <c r="E58" s="77" t="inlineStr"/>
      <c r="F58" s="77" t="inlineStr">
        <is>
          <t>No</t>
        </is>
      </c>
      <c r="G58" s="79" t="inlineStr">
        <is>
          <t>Industry Consulting Project (Business Industry Consultancy Project)</t>
        </is>
      </c>
      <c r="H58" s="77" t="inlineStr">
        <is>
          <t>BEL Industry Consulting Project</t>
        </is>
      </c>
      <c r="I58" s="77" t="inlineStr">
        <is>
          <t>RBUS3888; RBUS4888; RBUS7888; BSAN7215</t>
        </is>
      </c>
      <c r="J58" s="77" t="inlineStr">
        <is>
          <t>Faculty of Business, Economics and Law work-integrated learning course. Final-year students apply, are matched to project options released about four weeks before semester, and work in a project team for the semester on a professional response to a brief provided by an industry partner, meeting weekly with a UQ project mentor assigned to the group, and delivering a team report to the client.</t>
        </is>
      </c>
      <c r="K58" s="77" t="inlineStr">
        <is>
          <t>Faculty of Business, Economics and Law (BEL Employability/WIL team)</t>
        </is>
      </c>
      <c r="L58" s="77" t="inlineStr">
        <is>
          <t>BEL Faculty students eligible for RBUS3888 (UG), RBUS4888, RBUS7888 (PG) or BSAN7215 (PG business analytics)</t>
        </is>
      </c>
      <c r="M58" s="77" t="inlineStr">
        <is>
          <t>Business/management</t>
        </is>
      </c>
      <c r="N58" s="77" t="inlineStr">
        <is>
          <t>Mixed</t>
        </is>
      </c>
      <c r="O58" s="77" t="inlineStr">
        <is>
          <t>Final year</t>
        </is>
      </c>
      <c r="P58" s="77" t="inlineStr">
        <is>
          <t>Final year with an elective available; minimum GPA 4.0; application via BEL WIL form and Head of School approval.</t>
        </is>
      </c>
      <c r="Q58" s="77" t="inlineStr">
        <is>
          <t>Selective/competitive</t>
        </is>
      </c>
      <c r="R58" s="77" t="inlineStr">
        <is>
          <t>Curricular</t>
        </is>
      </c>
      <c r="S58" s="77" t="inlineStr">
        <is>
          <t>Credit-bearing elective course (units not confirmed in search)</t>
        </is>
      </c>
      <c r="T58" s="77" t="inlineStr">
        <is>
          <t>One semester</t>
        </is>
      </c>
      <c r="U58" s="77" t="inlineStr">
        <is>
          <t>Weekly team meetings with project mentor; client engagement</t>
        </is>
      </c>
      <c r="V58" s="77" t="inlineStr">
        <is>
          <t>Yes</t>
        </is>
      </c>
      <c r="W58" s="77" t="inlineStr">
        <is>
          <t>'professional response to a project brief provided by an industry partner'; final deliverable a team report for the client (2500-3000 words guide) [1].</t>
        </is>
      </c>
      <c r="X58" s="77" t="inlineStr">
        <is>
          <t>Yes</t>
        </is>
      </c>
      <c r="Y58" s="77" t="inlineStr">
        <is>
          <t>'meet weekly to work with your project team'; mentor assigned to the group; team report [1].</t>
        </is>
      </c>
      <c r="Z58" s="77" t="inlineStr">
        <is>
          <t>Yes</t>
        </is>
      </c>
      <c r="AA58" s="77" t="inlineStr">
        <is>
          <t>Industry partner provides the project brief and receives the team's client report [1]; partner-facing BEL page invites organisations to have students 'develop a tailored response to your project brief' [2].</t>
        </is>
      </c>
      <c r="AB58" s="77" t="inlineStr">
        <is>
          <t>Mixed</t>
        </is>
      </c>
      <c r="AC58" s="77" t="inlineStr">
        <is>
          <t>Supplies brief; client for team report</t>
        </is>
      </c>
      <c r="AD58" s="77" t="inlineStr">
        <is>
          <t>Cancer Council Queensland; Netball Queensland (past partners, undated) [1]</t>
        </is>
      </c>
      <c r="AE58" s="77" t="inlineStr">
        <is>
          <t>Team client report</t>
        </is>
      </c>
      <c r="AF58" s="77">
        <f>IF(OR(V58="No",X58="No",Z58="No"),"Outside strict definition",IF(AND(V58="Yes",X58="Yes",Z58="Yes"),"Meets all three","Potentially relevant; evidence incomplete"))</f>
        <v/>
      </c>
      <c r="AG58" s="77" t="inlineStr">
        <is>
          <t>Current delivery confirmed</t>
        </is>
      </c>
      <c r="AH58" s="77" t="inlineStr">
        <is>
          <t>2026/27</t>
        </is>
      </c>
      <c r="AI58" s="77" t="inlineStr">
        <is>
          <t>Yes</t>
        </is>
      </c>
      <c r="AJ58" s="77">
        <f>IF(AND(AI58="Yes",AF58="Meets all three",AG58="Current delivery confirmed"),"Yes","No")</f>
        <v/>
      </c>
      <c r="AK58" s="77" t="inlineStr"/>
      <c r="AL58" s="77" t="inlineStr">
        <is>
          <t>AU06-S03-R1; AU06-S03-R2; AU06-S03-R3</t>
        </is>
      </c>
      <c r="AM58" s="77" t="inlineStr">
        <is>
          <t>Places per semester; unit value; split of UG/PG uptake.</t>
        </is>
      </c>
      <c r="AN58" s="77" t="inlineStr"/>
      <c r="AO58" s="77" t="inlineStr">
        <is>
          <t>Australia</t>
        </is>
      </c>
      <c r="AP58" s="77" t="inlineStr">
        <is>
          <t>Australia</t>
        </is>
      </c>
      <c r="AQ58" s="77" t="inlineStr">
        <is>
          <t>~1 term/semester</t>
        </is>
      </c>
      <c r="AR58" s="77" t="inlineStr">
        <is>
          <t>All/standard</t>
        </is>
      </c>
      <c r="AS58" s="77" t="inlineStr"/>
    </row>
    <row r="59">
      <c r="A59" s="77" t="inlineStr">
        <is>
          <t>AU06</t>
        </is>
      </c>
      <c r="B59" s="77" t="inlineStr">
        <is>
          <t>Queensland</t>
        </is>
      </c>
      <c r="C59" s="77" t="inlineStr">
        <is>
          <t>Faculty/school</t>
        </is>
      </c>
      <c r="D59" s="77" t="inlineStr">
        <is>
          <t>AU06-S04</t>
        </is>
      </c>
      <c r="E59" s="77" t="inlineStr"/>
      <c r="F59" s="77" t="inlineStr">
        <is>
          <t>No</t>
        </is>
      </c>
      <c r="G59" s="79" t="inlineStr">
        <is>
          <t>Learning by Doing in a Disruptive World</t>
        </is>
      </c>
      <c r="H59" s="77" t="inlineStr">
        <is>
          <t>Learning by Doing in a Disruptive World (BEL Employability Capstone)</t>
        </is>
      </c>
      <c r="I59" s="77" t="inlineStr">
        <is>
          <t>PBEL3000</t>
        </is>
      </c>
      <c r="J59" s="77" t="inlineStr">
        <is>
          <t>Application-only BEL capstone elective first run Summer Semester 2021. Students from across Business, Economics and Law form teams of 3-5 to work on a novel, real and complex problem posed by an industry partner, on campus in an open-office workshop, guided by an academic lead, an employability specialist and the industry partner; teams pitch a solution to the partner and write an industry report on implementing it.</t>
        </is>
      </c>
      <c r="K59" s="77" t="inlineStr">
        <is>
          <t>UQ Business School, Faculty of Business, Economics and Law</t>
        </is>
      </c>
      <c r="L59" s="77" t="inlineStr">
        <is>
          <t>BEL students; listed as elective in BCom, BEcon and combined degrees (2025 program rules)</t>
        </is>
      </c>
      <c r="M59" s="77" t="inlineStr">
        <is>
          <t>Business/management</t>
        </is>
      </c>
      <c r="N59" s="77" t="inlineStr">
        <is>
          <t>Undergraduate</t>
        </is>
      </c>
      <c r="O59" s="77" t="inlineStr">
        <is>
          <t>Later years (3000-level)</t>
        </is>
      </c>
      <c r="P59" s="77" t="inlineStr">
        <is>
          <t>Entry by application only</t>
        </is>
      </c>
      <c r="Q59" s="77" t="inlineStr">
        <is>
          <t>Selective/competitive</t>
        </is>
      </c>
      <c r="R59" s="77" t="inlineStr">
        <is>
          <t>Curricular</t>
        </is>
      </c>
      <c r="S59" s="77" t="inlineStr">
        <is>
          <t>2 units; team presentation 30%, industry report 40%, individual reflections/peer contribution remainder (2024 profile)</t>
        </is>
      </c>
      <c r="T59" s="77" t="inlineStr">
        <is>
          <t>One (summer) semester; 65 contact hours</t>
        </is>
      </c>
      <c r="U59" s="77" t="inlineStr">
        <is>
          <t>In person, studio/open-office workshop</t>
        </is>
      </c>
      <c r="V59" s="77" t="inlineStr">
        <is>
          <t>Yes</t>
        </is>
      </c>
      <c r="W59" s="77" t="inlineStr">
        <is>
          <t>Real industry problem; team pitch (10 min) and final industry report (2,000-3,000 words) on putting the solution into practice [1][2].</t>
        </is>
      </c>
      <c r="X59" s="77" t="inlineStr">
        <is>
          <t>Yes</t>
        </is>
      </c>
      <c r="Y59" s="77" t="inlineStr">
        <is>
          <t>Teams of 3-5 [2]; 'students partner with other students from across the Business, Economics and Law Faculty to work with an industry partner' [1].</t>
        </is>
      </c>
      <c r="Z59" s="77" t="inlineStr">
        <is>
          <t>Yes</t>
        </is>
      </c>
      <c r="AA59" s="77" t="inlineStr">
        <is>
          <t>Industry partner poses the problem, advises teams, receives the pitch, questions the team and gives feedback [1][2]; 2022 award notice: helped four industry partners [3].</t>
        </is>
      </c>
      <c r="AB59" s="77" t="inlineStr">
        <is>
          <t>Business/commercial</t>
        </is>
      </c>
      <c r="AC59" s="77" t="inlineStr">
        <is>
          <t>Problem owner; adviser; audience/feedback on pitch</t>
        </is>
      </c>
      <c r="AD59" s="77" t="inlineStr"/>
      <c r="AE59" s="77" t="inlineStr">
        <is>
          <t>Team pitch and industry report</t>
        </is>
      </c>
      <c r="AF59" s="77">
        <f>IF(OR(V59="No",X59="No",Z59="No"),"Outside strict definition",IF(AND(V59="Yes",X59="Yes",Z59="Yes"),"Meets all three","Potentially relevant; evidence incomplete"))</f>
        <v/>
      </c>
      <c r="AG59" s="77" t="inlineStr">
        <is>
          <t>Current delivery confirmed</t>
        </is>
      </c>
      <c r="AH59" s="77" t="inlineStr">
        <is>
          <t>2025/26 (Summer Semester 2025)</t>
        </is>
      </c>
      <c r="AI59" s="77" t="inlineStr">
        <is>
          <t>Yes</t>
        </is>
      </c>
      <c r="AJ59" s="77">
        <f>IF(AND(AI59="Yes",AF59="Meets all three",AG59="Current delivery confirmed"),"Yes","No")</f>
        <v/>
      </c>
      <c r="AK59" s="77" t="inlineStr"/>
      <c r="AL59" s="77" t="inlineStr">
        <is>
          <t>AU06-S04-R1; AU06-S04-R2; AU06-S04-R3</t>
        </is>
      </c>
      <c r="AM59" s="77" t="inlineStr">
        <is>
          <t>Course page lists most recent offering as Summer Semester 2025 (Nov 2025-Feb 2026); 2026-27 offering not confirmed. Named partners not found.</t>
        </is>
      </c>
      <c r="AN59" s="77" t="inlineStr"/>
      <c r="AO59" s="77" t="inlineStr">
        <is>
          <t>Australia</t>
        </is>
      </c>
      <c r="AP59" s="77" t="inlineStr">
        <is>
          <t>Australia</t>
        </is>
      </c>
      <c r="AQ59" s="77" t="inlineStr">
        <is>
          <t>~1 term/semester</t>
        </is>
      </c>
      <c r="AR59" s="77" t="inlineStr">
        <is>
          <t>All/standard</t>
        </is>
      </c>
      <c r="AS59" s="77" t="inlineStr"/>
    </row>
    <row r="60">
      <c r="A60" s="77" t="inlineStr">
        <is>
          <t>AU06</t>
        </is>
      </c>
      <c r="B60" s="77" t="inlineStr">
        <is>
          <t>Queensland</t>
        </is>
      </c>
      <c r="C60" s="77" t="inlineStr">
        <is>
          <t>Programme/course</t>
        </is>
      </c>
      <c r="D60" s="77" t="inlineStr">
        <is>
          <t>AU06-S05</t>
        </is>
      </c>
      <c r="E60" s="77" t="inlineStr"/>
      <c r="F60" s="77" t="inlineStr">
        <is>
          <t>No</t>
        </is>
      </c>
      <c r="G60" s="79" t="inlineStr">
        <is>
          <t>Impact Academy 1: Discovering New Solutions for Complex Problems</t>
        </is>
      </c>
      <c r="H60" s="77" t="inlineStr">
        <is>
          <t>UQ MBA Impact Academy 1</t>
        </is>
      </c>
      <c r="I60" s="77" t="inlineStr">
        <is>
          <t>MGTS7820</t>
        </is>
      </c>
      <c r="J60" s="77" t="inlineStr">
        <is>
          <t>First of three optional MBA Impact Academy courses (successor to the MBA capstone/industry projects). Teams choose a project from a curated list of real, current complex problems from sponsoring organisations, use UQ's 'Humble Discovery' method including up to 100 stakeholder conversations per group, and present final findings to project sponsors. Later Impact Academy courses (MGTS7821, and a third) continue the project or allow work on the student's own venture.</t>
        </is>
      </c>
      <c r="K60" s="77" t="inlineStr">
        <is>
          <t>UQ Business School (MBA)</t>
        </is>
      </c>
      <c r="L60" s="77" t="inlineStr">
        <is>
          <t>Master of Business Administration</t>
        </is>
      </c>
      <c r="M60" s="77" t="inlineStr">
        <is>
          <t>Business/management</t>
        </is>
      </c>
      <c r="N60" s="77" t="inlineStr">
        <is>
          <t>Postgraduate taught</t>
        </is>
      </c>
      <c r="O60" s="77" t="inlineStr">
        <is>
          <t>MBA</t>
        </is>
      </c>
      <c r="P60" s="77" t="inlineStr">
        <is>
          <t>MBA students; incompatible with MGTS7818</t>
        </is>
      </c>
      <c r="Q60" s="77" t="inlineStr">
        <is>
          <t>Optional/elective</t>
        </is>
      </c>
      <c r="R60" s="77" t="inlineStr">
        <is>
          <t>Curricular</t>
        </is>
      </c>
      <c r="S60" s="77" t="inlineStr">
        <is>
          <t>Credit-bearing course; stakeholder and situation analysis 40% (2026 profile)</t>
        </is>
      </c>
      <c r="T60" s="77" t="inlineStr">
        <is>
          <t>One semester (projects typically 3-4 months)</t>
        </is>
      </c>
      <c r="U60" s="77" t="inlineStr">
        <is>
          <t>Team consulting project</t>
        </is>
      </c>
      <c r="V60" s="77" t="inlineStr">
        <is>
          <t>Yes</t>
        </is>
      </c>
      <c r="W60" s="77" t="inlineStr">
        <is>
          <t>Project on a real complex problem with stakeholder analysis and final presentation [1][2].</t>
        </is>
      </c>
      <c r="X60" s="77" t="inlineStr">
        <is>
          <t>Yes</t>
        </is>
      </c>
      <c r="Y60" s="77" t="inlineStr">
        <is>
          <t>'students work in teams on projects' [1]; each group conducts stakeholder conversations [1].</t>
        </is>
      </c>
      <c r="Z60" s="77" t="inlineStr">
        <is>
          <t>Yes</t>
        </is>
      </c>
      <c r="AA60" s="77" t="inlineStr">
        <is>
          <t>Projects come from a curated list of real problems; final presentations delivered to project sponsors (2026 offering) [1]; MBA projects delivered for 70+ industry partners incl. corporates, NFPs, government and startups, free to partners [2][3].</t>
        </is>
      </c>
      <c r="AB60" s="77" t="inlineStr">
        <is>
          <t>Mixed</t>
        </is>
      </c>
      <c r="AC60" s="77" t="inlineStr">
        <is>
          <t>Project sponsor supplying problem; receives final presentation</t>
        </is>
      </c>
      <c r="AD60" s="77" t="inlineStr">
        <is>
          <t>Past MBA project partners (undated list): Suncorp, Hatch, Anglicare, Queensland Police, Boeing Research and Technology, Unity Water; also Avcair, BenchOn, People With Purpose; CSIRO (student example) [3]</t>
        </is>
      </c>
      <c r="AE60" s="77" t="inlineStr">
        <is>
          <t>Stakeholder/situation analysis and final presentation to sponsor</t>
        </is>
      </c>
      <c r="AF60" s="77">
        <f>IF(OR(V60="No",X60="No",Z60="No"),"Outside strict definition",IF(AND(V60="Yes",X60="Yes",Z60="Yes"),"Meets all three","Potentially relevant; evidence incomplete"))</f>
        <v/>
      </c>
      <c r="AG60" s="77" t="inlineStr">
        <is>
          <t>Current delivery confirmed</t>
        </is>
      </c>
      <c r="AH60" s="77" t="inlineStr">
        <is>
          <t>2026</t>
        </is>
      </c>
      <c r="AI60" s="77" t="inlineStr">
        <is>
          <t>Yes</t>
        </is>
      </c>
      <c r="AJ60" s="77">
        <f>IF(AND(AI60="Yes",AF60="Meets all three",AG60="Current delivery confirmed"),"Yes","No")</f>
        <v/>
      </c>
      <c r="AK60" s="77" t="inlineStr">
        <is>
          <t>70+ industry partners cumulatively (MBA projects, undated) [2]</t>
        </is>
      </c>
      <c r="AL60" s="77" t="inlineStr">
        <is>
          <t>AU06-S05-R1; AU06-S05-R2; AU06-S05-R3</t>
        </is>
      </c>
      <c r="AM60" s="77" t="inlineStr">
        <is>
          <t>Whether all sponsors in the curated list are external (some may be UQ-internal or student ventures in later Impact Academy courses); partner list undated.</t>
        </is>
      </c>
      <c r="AN60" s="77" t="inlineStr"/>
      <c r="AO60" s="77" t="inlineStr">
        <is>
          <t>Australia</t>
        </is>
      </c>
      <c r="AP60" s="77" t="inlineStr">
        <is>
          <t>Australia</t>
        </is>
      </c>
      <c r="AQ60" s="77" t="inlineStr">
        <is>
          <t>~1 term/semester</t>
        </is>
      </c>
      <c r="AR60" s="77" t="inlineStr">
        <is>
          <t>All/standard</t>
        </is>
      </c>
      <c r="AS60" s="77" t="inlineStr"/>
    </row>
    <row r="61">
      <c r="A61" s="77" t="inlineStr">
        <is>
          <t>AU06</t>
        </is>
      </c>
      <c r="B61" s="77" t="inlineStr">
        <is>
          <t>Queensland</t>
        </is>
      </c>
      <c r="C61" s="77" t="inlineStr">
        <is>
          <t>Programme/course</t>
        </is>
      </c>
      <c r="D61" s="77" t="inlineStr">
        <is>
          <t>AU06-S06</t>
        </is>
      </c>
      <c r="E61" s="77" t="inlineStr"/>
      <c r="F61" s="77" t="inlineStr">
        <is>
          <t>No</t>
        </is>
      </c>
      <c r="G61" s="79" t="inlineStr">
        <is>
          <t>Industry Engagement Capstone</t>
        </is>
      </c>
      <c r="H61" s="77" t="inlineStr">
        <is>
          <t>MBA Industry Engagement Capstone</t>
        </is>
      </c>
      <c r="I61" s="77" t="inlineStr">
        <is>
          <t>MGTS7818</t>
        </is>
      </c>
      <c r="J61" s="77" t="inlineStr">
        <is>
          <t>Former MBA capstone: consultancy teams work on a strategic project for a corporate, not-for-profit or startup industry partner, meeting the client in the first two weeks, pitching a proposal for client sign-off and delivering a final client presentation and report quantifying impact; each team has an experienced mentor and faculty support.</t>
        </is>
      </c>
      <c r="K61" s="77" t="inlineStr">
        <is>
          <t>UQ Business School (MBA)</t>
        </is>
      </c>
      <c r="L61" s="77" t="inlineStr">
        <is>
          <t>Master of Business Administration</t>
        </is>
      </c>
      <c r="M61" s="77" t="inlineStr">
        <is>
          <t>Business/management</t>
        </is>
      </c>
      <c r="N61" s="77" t="inlineStr">
        <is>
          <t>Postgraduate taught</t>
        </is>
      </c>
      <c r="O61" s="77" t="inlineStr">
        <is>
          <t>MBA final stage</t>
        </is>
      </c>
      <c r="P61" s="77" t="inlineStr">
        <is>
          <t>MBA students</t>
        </is>
      </c>
      <c r="Q61" s="77" t="inlineStr">
        <is>
          <t>Unclear</t>
        </is>
      </c>
      <c r="R61" s="77" t="inlineStr">
        <is>
          <t>Curricular</t>
        </is>
      </c>
      <c r="S61" s="77" t="inlineStr">
        <is>
          <t>2 units; proposal pitch 25%, final client presentation and report 75% (2024 profile)</t>
        </is>
      </c>
      <c r="T61" s="77" t="inlineStr">
        <is>
          <t>One semester</t>
        </is>
      </c>
      <c r="U61" s="77" t="inlineStr">
        <is>
          <t>In person, Brisbane</t>
        </is>
      </c>
      <c r="V61" s="77" t="inlineStr">
        <is>
          <t>Yes</t>
        </is>
      </c>
      <c r="W61" s="77" t="inlineStr">
        <is>
          <t>Strategic consultancy project with proposal and final report/presentation [1].</t>
        </is>
      </c>
      <c r="X61" s="77" t="inlineStr">
        <is>
          <t>Yes</t>
        </is>
      </c>
      <c r="Y61" s="77" t="inlineStr">
        <is>
          <t>Consultancy teams, each with a mentor [1].</t>
        </is>
      </c>
      <c r="Z61" s="77" t="inlineStr">
        <is>
          <t>Yes</t>
        </is>
      </c>
      <c r="AA61" s="77" t="inlineStr">
        <is>
          <t>Industry partner is client: meets team within first two weeks, signs off proposal, receives final presentation and report [1].</t>
        </is>
      </c>
      <c r="AB61" s="77" t="inlineStr">
        <is>
          <t>Mixed</t>
        </is>
      </c>
      <c r="AC61" s="77" t="inlineStr">
        <is>
          <t>Client</t>
        </is>
      </c>
      <c r="AD61" s="77" t="inlineStr"/>
      <c r="AE61" s="77" t="inlineStr">
        <is>
          <t>Client report and presentation</t>
        </is>
      </c>
      <c r="AF61" s="77">
        <f>IF(OR(V61="No",X61="No",Z61="No"),"Outside strict definition",IF(AND(V61="Yes",X61="Yes",Z61="Yes"),"Meets all three","Potentially relevant; evidence incomplete"))</f>
        <v/>
      </c>
      <c r="AG61" s="77" t="inlineStr">
        <is>
          <t>Current status unclear</t>
        </is>
      </c>
      <c r="AH61" s="77" t="inlineStr">
        <is>
          <t>2024</t>
        </is>
      </c>
      <c r="AI61" s="77" t="inlineStr">
        <is>
          <t>Yes</t>
        </is>
      </c>
      <c r="AJ61" s="77">
        <f>IF(AND(AI61="Yes",AF61="Meets all three",AG61="Current delivery confirmed"),"Yes","No")</f>
        <v/>
      </c>
      <c r="AK61" s="77" t="inlineStr"/>
      <c r="AL61" s="77" t="inlineStr">
        <is>
          <t>AU06-S06-R1; AU06-S06-R2</t>
        </is>
      </c>
      <c r="AM61" s="77" t="inlineStr">
        <is>
          <t>Latest offerings found were Semester 1 and 2, 2024; MGTS7820 (Impact Academy) lists MGTS7818 as incompatible and Impact Academy is described as the former 'MBA capstone projects', suggesting replacement, but discontinuation not confirmed.</t>
        </is>
      </c>
      <c r="AN61" s="77" t="inlineStr"/>
      <c r="AO61" s="77" t="inlineStr">
        <is>
          <t>Australia</t>
        </is>
      </c>
      <c r="AP61" s="77" t="inlineStr">
        <is>
          <t>Australia</t>
        </is>
      </c>
      <c r="AQ61" s="77" t="inlineStr">
        <is>
          <t>~1 term/semester</t>
        </is>
      </c>
      <c r="AR61" s="77" t="inlineStr">
        <is>
          <t>All/standard</t>
        </is>
      </c>
      <c r="AS61" s="77" t="inlineStr"/>
    </row>
    <row r="62">
      <c r="A62" s="77" t="inlineStr">
        <is>
          <t>AU06</t>
        </is>
      </c>
      <c r="B62" s="77" t="inlineStr">
        <is>
          <t>Queensland</t>
        </is>
      </c>
      <c r="C62" s="77" t="inlineStr">
        <is>
          <t>Programme/course</t>
        </is>
      </c>
      <c r="D62" s="77" t="inlineStr">
        <is>
          <t>AU06-S07</t>
        </is>
      </c>
      <c r="E62" s="77" t="inlineStr"/>
      <c r="F62" s="77" t="inlineStr">
        <is>
          <t>No</t>
        </is>
      </c>
      <c r="G62" s="79" t="inlineStr">
        <is>
          <t>Sustainability Strategy and Leadership Capstone</t>
        </is>
      </c>
      <c r="H62" s="77" t="inlineStr">
        <is>
          <t>Sustainability Strategy and Leadership Capstone</t>
        </is>
      </c>
      <c r="I62" s="77" t="inlineStr">
        <is>
          <t>TIMS7334</t>
        </is>
      </c>
      <c r="J62" s="77" t="inlineStr">
        <is>
          <t>Capstone for Master of Business (Organisational Sustainability / Sustainability: Strategy and Leadership field) students. Teams research, critique and co-develop a sustainability strategy in collaboration with an industry partner, who presents its challenges in Week 3, gives midpoint feedback in Week 8 and attends final presentations in Week 11.</t>
        </is>
      </c>
      <c r="K62" s="77" t="inlineStr">
        <is>
          <t>UQ Business School</t>
        </is>
      </c>
      <c r="L62" s="77" t="inlineStr">
        <is>
          <t>MBus Sustainability: Strategy and Leadership field of study (prerequisite 4 units)</t>
        </is>
      </c>
      <c r="M62" s="77" t="inlineStr">
        <is>
          <t>Business/management</t>
        </is>
      </c>
      <c r="N62" s="77" t="inlineStr">
        <is>
          <t>Postgraduate taught</t>
        </is>
      </c>
      <c r="O62" s="77" t="inlineStr"/>
      <c r="P62" s="77" t="inlineStr"/>
      <c r="Q62" s="77" t="inlineStr">
        <is>
          <t>Compulsory within specified programmes</t>
        </is>
      </c>
      <c r="R62" s="77" t="inlineStr">
        <is>
          <t>Curricular</t>
        </is>
      </c>
      <c r="S62" s="77" t="inlineStr">
        <is>
          <t>Team project (report, presentation, Q&amp;A) 50%; leadership diary 20%; reflective interviews 30%</t>
        </is>
      </c>
      <c r="T62" s="77" t="inlineStr">
        <is>
          <t>One semester (Semester 2, 2026)</t>
        </is>
      </c>
      <c r="U62" s="77" t="inlineStr">
        <is>
          <t>In person, St Lucia</t>
        </is>
      </c>
      <c r="V62" s="77" t="inlineStr">
        <is>
          <t>Yes</t>
        </is>
      </c>
      <c r="W62" s="77" t="inlineStr">
        <is>
          <t>Team report and presentation developing a sustainability strategy for the partner [1].</t>
        </is>
      </c>
      <c r="X62" s="77" t="inlineStr">
        <is>
          <t>Yes</t>
        </is>
      </c>
      <c r="Y62" s="77" t="inlineStr">
        <is>
          <t>'Team or group-based' team project, 50% [1].</t>
        </is>
      </c>
      <c r="Z62" s="77" t="inlineStr">
        <is>
          <t>Yes</t>
        </is>
      </c>
      <c r="AA62" s="77" t="inlineStr">
        <is>
          <t>Industry partner presents challenges (Wk 3), gives midpoint feedback (Wk 8), attends final presentations (Wk 11) [1].</t>
        </is>
      </c>
      <c r="AB62" s="77" t="inlineStr">
        <is>
          <t>Unclear</t>
        </is>
      </c>
      <c r="AC62" s="77" t="inlineStr">
        <is>
          <t>Presents challenge; midpoint feedback; audience for final presentation</t>
        </is>
      </c>
      <c r="AD62" s="77" t="inlineStr"/>
      <c r="AE62" s="77" t="inlineStr">
        <is>
          <t>Team sustainability strategy report and presentation</t>
        </is>
      </c>
      <c r="AF62" s="77">
        <f>IF(OR(V62="No",X62="No",Z62="No"),"Outside strict definition",IF(AND(V62="Yes",X62="Yes",Z62="Yes"),"Meets all three","Potentially relevant; evidence incomplete"))</f>
        <v/>
      </c>
      <c r="AG62" s="77" t="inlineStr">
        <is>
          <t>Current delivery confirmed</t>
        </is>
      </c>
      <c r="AH62" s="77" t="inlineStr">
        <is>
          <t>2026/27 (Semester 2, 2026)</t>
        </is>
      </c>
      <c r="AI62" s="77" t="inlineStr">
        <is>
          <t>Yes</t>
        </is>
      </c>
      <c r="AJ62" s="77">
        <f>IF(AND(AI62="Yes",AF62="Meets all three",AG62="Current delivery confirmed"),"Yes","No")</f>
        <v/>
      </c>
      <c r="AK62" s="77" t="inlineStr"/>
      <c r="AL62" s="77" t="inlineStr">
        <is>
          <t>AU06-S07-R1</t>
        </is>
      </c>
      <c r="AM62" s="77" t="inlineStr">
        <is>
          <t>Partner sector not stated; compulsory status inferred from 'capstone' wording, not program rules; partners not named.</t>
        </is>
      </c>
      <c r="AN62" s="77" t="inlineStr"/>
      <c r="AO62" s="77" t="inlineStr">
        <is>
          <t>Australia</t>
        </is>
      </c>
      <c r="AP62" s="77" t="inlineStr">
        <is>
          <t>Australia</t>
        </is>
      </c>
      <c r="AQ62" s="77" t="inlineStr">
        <is>
          <t>~1 term/semester</t>
        </is>
      </c>
      <c r="AR62" s="77" t="inlineStr">
        <is>
          <t>All/standard</t>
        </is>
      </c>
      <c r="AS62" s="77" t="inlineStr"/>
    </row>
    <row r="63">
      <c r="A63" s="77" t="inlineStr">
        <is>
          <t>AU06</t>
        </is>
      </c>
      <c r="B63" s="77" t="inlineStr">
        <is>
          <t>Queensland</t>
        </is>
      </c>
      <c r="C63" s="77" t="inlineStr">
        <is>
          <t>Programme/course</t>
        </is>
      </c>
      <c r="D63" s="77" t="inlineStr">
        <is>
          <t>AU06-S08</t>
        </is>
      </c>
      <c r="E63" s="77" t="inlineStr"/>
      <c r="F63" s="77" t="inlineStr">
        <is>
          <t>No</t>
        </is>
      </c>
      <c r="G63" s="79" t="inlineStr">
        <is>
          <t>Team Project (Bachelor of Advanced Finance and Economics (Honours))</t>
        </is>
      </c>
      <c r="H63" s="77" t="inlineStr">
        <is>
          <t>FINM4411 Team Project</t>
        </is>
      </c>
      <c r="I63" s="77" t="inlineStr">
        <is>
          <t>FINM4411</t>
        </is>
      </c>
      <c r="J63" s="77" t="inlineStr">
        <is>
          <t>Final-year team project in which each group of 3-4 is assigned a live problem from industry, government or the not-for-profit sector, with project plan, individual report and final team report.</t>
        </is>
      </c>
      <c r="K63" s="77" t="inlineStr">
        <is>
          <t>Faculty of Business, Economics and Law</t>
        </is>
      </c>
      <c r="L63" s="77" t="inlineStr">
        <is>
          <t>BAdvFinEcon(Hons), year 4</t>
        </is>
      </c>
      <c r="M63" s="77" t="inlineStr">
        <is>
          <t>Business/management</t>
        </is>
      </c>
      <c r="N63" s="77" t="inlineStr">
        <is>
          <t>Undergraduate</t>
        </is>
      </c>
      <c r="O63" s="77" t="inlineStr">
        <is>
          <t>Year 4</t>
        </is>
      </c>
      <c r="P63" s="77" t="inlineStr"/>
      <c r="Q63" s="77" t="inlineStr">
        <is>
          <t>Compulsory within specified programmes</t>
        </is>
      </c>
      <c r="R63" s="77" t="inlineStr">
        <is>
          <t>Curricular</t>
        </is>
      </c>
      <c r="S63" s="77" t="inlineStr">
        <is>
          <t>Project plan 20%, individual report 30%, final team report 45%, one-page report 5% (2024 profile figures)</t>
        </is>
      </c>
      <c r="T63" s="77" t="inlineStr">
        <is>
          <t>One semester</t>
        </is>
      </c>
      <c r="U63" s="77" t="inlineStr">
        <is>
          <t>In person</t>
        </is>
      </c>
      <c r="V63" s="77" t="inlineStr">
        <is>
          <t>Yes</t>
        </is>
      </c>
      <c r="W63" s="77" t="inlineStr">
        <is>
          <t>Live problem; final team report [1].</t>
        </is>
      </c>
      <c r="X63" s="77" t="inlineStr">
        <is>
          <t>Yes</t>
        </is>
      </c>
      <c r="Y63" s="77" t="inlineStr">
        <is>
          <t>Teams of 3 or 4 [1].</t>
        </is>
      </c>
      <c r="Z63" s="77" t="inlineStr">
        <is>
          <t>Yes</t>
        </is>
      </c>
      <c r="AA63" s="77" t="inlineStr">
        <is>
          <t>'Each group will be assigned a live problem from industry, government or the not-for-profit sector' (search-index extract); real-world issues identified by an industry partner [1]. Students may also suggest topics/partners.</t>
        </is>
      </c>
      <c r="AB63" s="77" t="inlineStr">
        <is>
          <t>Mixed</t>
        </is>
      </c>
      <c r="AC63" s="77" t="inlineStr">
        <is>
          <t>Supplies live problem</t>
        </is>
      </c>
      <c r="AD63" s="77" t="inlineStr"/>
      <c r="AE63" s="77" t="inlineStr">
        <is>
          <t>Team report</t>
        </is>
      </c>
      <c r="AF63" s="77">
        <f>IF(OR(V63="No",X63="No",Z63="No"),"Outside strict definition",IF(AND(V63="Yes",X63="Yes",Z63="Yes"),"Meets all three","Potentially relevant; evidence incomplete"))</f>
        <v/>
      </c>
      <c r="AG63" s="77" t="inlineStr">
        <is>
          <t>Current delivery confirmed</t>
        </is>
      </c>
      <c r="AH63" s="77" t="inlineStr">
        <is>
          <t>2026/27 (Semester 2, 2026; Semester 1, 2027 listed)</t>
        </is>
      </c>
      <c r="AI63" s="77" t="inlineStr">
        <is>
          <t>Yes</t>
        </is>
      </c>
      <c r="AJ63" s="77">
        <f>IF(AND(AI63="Yes",AF63="Meets all three",AG63="Current delivery confirmed"),"Yes","No")</f>
        <v/>
      </c>
      <c r="AK63" s="77" t="inlineStr"/>
      <c r="AL63" s="77" t="inlineStr">
        <is>
          <t>AU06-S08-R1; AU06-S08-R2</t>
        </is>
      </c>
      <c r="AM63" s="77" t="inlineStr">
        <is>
          <t>Direct fetch of course page failed (HTTP 405); evidence is search-index extract; compulsory status in the program not verified; assessment weights are from 2024 profile.</t>
        </is>
      </c>
      <c r="AN63" s="77" t="inlineStr"/>
      <c r="AO63" s="77" t="inlineStr">
        <is>
          <t>Australia</t>
        </is>
      </c>
      <c r="AP63" s="77" t="inlineStr">
        <is>
          <t>Australia</t>
        </is>
      </c>
      <c r="AQ63" s="77" t="inlineStr">
        <is>
          <t>~1 term/semester</t>
        </is>
      </c>
      <c r="AR63" s="77" t="inlineStr">
        <is>
          <t>All/standard</t>
        </is>
      </c>
      <c r="AS63" s="77" t="inlineStr"/>
    </row>
    <row r="64">
      <c r="A64" s="77" t="inlineStr">
        <is>
          <t>AU06</t>
        </is>
      </c>
      <c r="B64" s="77" t="inlineStr">
        <is>
          <t>Queensland</t>
        </is>
      </c>
      <c r="C64" s="77" t="inlineStr">
        <is>
          <t>Programme/course</t>
        </is>
      </c>
      <c r="D64" s="77" t="inlineStr">
        <is>
          <t>AU06-S09</t>
        </is>
      </c>
      <c r="E64" s="77" t="inlineStr"/>
      <c r="F64" s="77" t="inlineStr">
        <is>
          <t>No</t>
        </is>
      </c>
      <c r="G64" s="79" t="inlineStr">
        <is>
          <t>Health Sciences Research Project: Service Development through Action Learning</t>
        </is>
      </c>
      <c r="H64" s="77" t="inlineStr">
        <is>
          <t>Health Sciences Research Project: Service Development through Action Learning</t>
        </is>
      </c>
      <c r="I64" s="77" t="inlineStr">
        <is>
          <t>HRSS4210 (jointly taught with HRSS7200/SPCH7200)</t>
        </is>
      </c>
      <c r="J64" s="77" t="inlineStr">
        <is>
          <t>Final-year occupational therapy and speech pathology course: teams of 4 (or 3) use action learning on a real-world service development project for stakeholders who identified a service need; group conference presentation; clinicians rate project outcome.</t>
        </is>
      </c>
      <c r="K64" s="77" t="inlineStr">
        <is>
          <t>School of Health and Rehabilitation Sciences</t>
        </is>
      </c>
      <c r="L64" s="77" t="inlineStr">
        <is>
          <t>Occupational therapy and speech pathology students (prerequisite HRSS3102)</t>
        </is>
      </c>
      <c r="M64" s="77" t="inlineStr">
        <is>
          <t>Other (law, health, design, architecture…)</t>
        </is>
      </c>
      <c r="N64" s="77" t="inlineStr">
        <is>
          <t>Undergraduate</t>
        </is>
      </c>
      <c r="O64" s="77" t="inlineStr"/>
      <c r="P64" s="77" t="inlineStr"/>
      <c r="Q64" s="77" t="inlineStr">
        <is>
          <t>Compulsory within specified programmes</t>
        </is>
      </c>
      <c r="R64" s="77" t="inlineStr">
        <is>
          <t>Curricular</t>
        </is>
      </c>
      <c r="S64" s="77" t="inlineStr">
        <is>
          <t>2 units; group conference 20%, group project outcome clinician rating 25%, individual reflection 35%, individual presentation/report 20% (2024 profile)</t>
        </is>
      </c>
      <c r="T64" s="77" t="inlineStr">
        <is>
          <t>One semester</t>
        </is>
      </c>
      <c r="U64" s="77" t="inlineStr">
        <is>
          <t>In person</t>
        </is>
      </c>
      <c r="V64" s="77" t="inlineStr">
        <is>
          <t>Yes</t>
        </is>
      </c>
      <c r="W64" s="77" t="inlineStr">
        <is>
          <t>Practice-based service investigation and development project [1].</t>
        </is>
      </c>
      <c r="X64" s="77" t="inlineStr">
        <is>
          <t>Yes</t>
        </is>
      </c>
      <c r="Y64" s="77" t="inlineStr">
        <is>
          <t>'teams of 4 students (or 3 students)'; group-assessed outcome [1].</t>
        </is>
      </c>
      <c r="Z64" s="77" t="inlineStr">
        <is>
          <t>Unclear</t>
        </is>
      </c>
      <c r="AA64" s="77" t="inlineStr">
        <is>
          <t>Stakeholders who identified a service need; clinicians rate project outcomes [1]. Stakeholder organisations not named or typed; may include internal UQ clinics.</t>
        </is>
      </c>
      <c r="AB64" s="77" t="inlineStr">
        <is>
          <t>Unclear</t>
        </is>
      </c>
      <c r="AC64" s="77" t="inlineStr">
        <is>
          <t>Stakeholder with service need; clinician rating of outcome</t>
        </is>
      </c>
      <c r="AD64" s="77" t="inlineStr"/>
      <c r="AE64" s="77" t="inlineStr">
        <is>
          <t>Service/intervention/resource and conference presentation</t>
        </is>
      </c>
      <c r="AF64" s="77">
        <f>IF(OR(V64="No",X64="No",Z64="No"),"Outside strict definition",IF(AND(V64="Yes",X64="Yes",Z64="Yes"),"Meets all three","Potentially relevant; evidence incomplete"))</f>
        <v/>
      </c>
      <c r="AG64" s="77" t="inlineStr">
        <is>
          <t>Current delivery confirmed</t>
        </is>
      </c>
      <c r="AH64" s="77" t="inlineStr">
        <is>
          <t>2026 (Semester 2, 2026 offering listed)</t>
        </is>
      </c>
      <c r="AI64" s="77" t="inlineStr">
        <is>
          <t>Yes</t>
        </is>
      </c>
      <c r="AJ64" s="77">
        <f>IF(AND(AI64="Yes",AF64="Meets all three",AG64="Current delivery confirmed"),"Yes","No")</f>
        <v/>
      </c>
      <c r="AK64" s="77" t="inlineStr"/>
      <c r="AL64" s="77" t="inlineStr">
        <is>
          <t>AU06-S09-R1; AU06-S09-R2</t>
        </is>
      </c>
      <c r="AM64" s="77" t="inlineStr">
        <is>
          <t>Stakeholder identity and whether external; compulsory status inferred; detail from 2024 profile.</t>
        </is>
      </c>
      <c r="AN64" s="77" t="inlineStr"/>
      <c r="AO64" s="77" t="inlineStr">
        <is>
          <t>Australia</t>
        </is>
      </c>
      <c r="AP64" s="77" t="inlineStr">
        <is>
          <t>Australia</t>
        </is>
      </c>
      <c r="AQ64" s="77" t="inlineStr">
        <is>
          <t>~1 term/semester</t>
        </is>
      </c>
      <c r="AR64" s="77" t="inlineStr">
        <is>
          <t>Unclear</t>
        </is>
      </c>
      <c r="AS64" s="77" t="inlineStr"/>
    </row>
    <row r="65">
      <c r="A65" s="77" t="inlineStr">
        <is>
          <t>AU09</t>
        </is>
      </c>
      <c r="B65" s="77" t="inlineStr">
        <is>
          <t>University of Technology Sydney</t>
        </is>
      </c>
      <c r="C65" s="77" t="inlineStr">
        <is>
          <t>University-wide</t>
        </is>
      </c>
      <c r="D65" s="77" t="inlineStr">
        <is>
          <t>AU09-S01</t>
        </is>
      </c>
      <c r="E65" s="77" t="inlineStr"/>
      <c r="F65" s="77" t="inlineStr">
        <is>
          <t>No</t>
        </is>
      </c>
      <c r="G65" s="79" t="inlineStr">
        <is>
          <t>Transdisciplinary (TD) Electives</t>
        </is>
      </c>
      <c r="H65" s="77" t="inlineStr">
        <is>
          <t>Transdisciplinary Electives</t>
        </is>
      </c>
      <c r="I65" s="77" t="inlineStr">
        <is>
          <t>e.g. 95002/95010 TD: Reframing, remixing, reimagining society (UNICEF Australia); 95005 Shaping Technologies that Shape Us (Microsoft); 95004 (ServiceRocket); 95006 (City of Sydney); 95008 (Miro); Pathways to Societal Transitions (Lane Cove Council)</t>
        </is>
      </c>
      <c r="J65" s="77" t="inlineStr">
        <is>
          <t>A suite of 8 TD School elective subjects open to UTS undergraduates. Each subject is built around a real-world challenge from a partner organisation (2026 partners include UNICEF Australia, City of Sydney, Microsoft, Miro, Lane Cove Council and ServiceRocket). Partners co-design a challenge or learning question that runs for three years, contribute pre-recorded learning modules, and join live sessions (Q&amp;As, mentoring, feedback on student ideas). Students from across faculties develop proposals in response; in a 2024 offering, Red Cross students pitched proposals to Australian Red Cross staff (search summary).</t>
        </is>
      </c>
      <c r="K65" s="77" t="inlineStr">
        <is>
          <t>TD School (Transdisciplinary School)</t>
        </is>
      </c>
      <c r="L65" s="77" t="inlineStr">
        <is>
          <t>All UTS undergraduate degrees with elective space; BCII students take different electives</t>
        </is>
      </c>
      <c r="M65" s="77" t="inlineStr">
        <is>
          <t>Central provision</t>
        </is>
      </c>
      <c r="N65" s="77" t="inlineStr">
        <is>
          <t>Undergraduate</t>
        </is>
      </c>
      <c r="O65" s="77" t="inlineStr">
        <is>
          <t>Unclear</t>
        </is>
      </c>
      <c r="P65" s="77" t="inlineStr">
        <is>
          <t>Undergraduates with elective space; BCII students excluded (they take their own elective subjects).</t>
        </is>
      </c>
      <c r="Q65" s="77" t="inlineStr">
        <is>
          <t>Optional/elective</t>
        </is>
      </c>
      <c r="R65" s="77" t="inlineStr">
        <is>
          <t>Curricular</t>
        </is>
      </c>
      <c r="S65" s="77" t="inlineStr">
        <is>
          <t>6 cp (e.g. 95002) or 8 cp '+' version (e.g. 95010) per 2026 handbook / 2027 pre-approved list. Group assessment format for 2026 not verified; the pre-2025 handbook for 95009 lists a 40% major task with a 10-minute presentation, poster and Miro board.</t>
        </is>
      </c>
      <c r="T65" s="77" t="inlineStr">
        <is>
          <t>One teaching session (e.g. 95002 fortnightly in Autumn, or July block)</t>
        </is>
      </c>
      <c r="U65" s="77" t="inlineStr">
        <is>
          <t>Fortnightly in session or block mode; mix of pre-recorded partner content and live sessions</t>
        </is>
      </c>
      <c r="V65" s="77" t="inlineStr">
        <is>
          <t>Yes</t>
        </is>
      </c>
      <c r="W65" s="77" t="inlineStr">
        <is>
          <t>Each subject centres on a real-world challenge presented by an industry partner, and students develop projects and ideas in response [1][2][3]. Outputs in past offerings were proposals pitched to the partner (Red Cross, 2024) and presentation/poster/Miro board deliverables (95009, pre-2025) [4].</t>
        </is>
      </c>
      <c r="X65" s="77" t="inlineStr">
        <is>
          <t>Yes</t>
        </is>
      </c>
      <c r="Y65" s="77" t="inlineStr">
        <is>
          <t>Student page (fetched): "Collaborate in teams with students from all faculties across UTS"; "all about teamwork and real-world projects" [6]. Team assessment format in the 2026 handbook not verified.</t>
        </is>
      </c>
      <c r="Z65" s="77" t="inlineStr">
        <is>
          <t>Yes</t>
        </is>
      </c>
      <c r="AA65" s="77" t="inlineStr">
        <is>
          <t>Partner organisations co-design the challenge/learning question for three years, contribute pre-recorded learning modules, and take part in live engagements: Q&amp;As, mentoring, and feedback on student ideas [2][3]. Every subject has a named partner (one 2026 listing showed TBC) [3].</t>
        </is>
      </c>
      <c r="AB65" s="77" t="inlineStr">
        <is>
          <t>Mixed</t>
        </is>
      </c>
      <c r="AC65" s="77" t="inlineStr">
        <is>
          <t>Sets the challenge, provides content, mentors and gives feedback; receives pitches in some offerings</t>
        </is>
      </c>
      <c r="AD65" s="77" t="inlineStr">
        <is>
          <t>2026: UNICEF Australia, City of Sydney, Microsoft, Miro, Lane Cove Council, ServiceRocket [3]; earlier: Australian Red Cross, Stockland, Regen Studios (search summary)</t>
        </is>
      </c>
      <c r="AE65" s="77" t="inlineStr">
        <is>
          <t>Team proposals/ideas responding to the partner challenge (presentation, poster, Miro board in a pre-2025 example)</t>
        </is>
      </c>
      <c r="AF65" s="77">
        <f>IF(OR(V65="No",X65="No",Z65="No"),"Outside strict definition",IF(AND(V65="Yes",X65="Yes",Z65="Yes"),"Meets all three","Potentially relevant; evidence incomplete"))</f>
        <v/>
      </c>
      <c r="AG65" s="77" t="inlineStr">
        <is>
          <t>Current delivery confirmed</t>
        </is>
      </c>
      <c r="AH65" s="77" t="inlineStr">
        <is>
          <t>2026</t>
        </is>
      </c>
      <c r="AI65" s="77" t="inlineStr">
        <is>
          <t>Yes</t>
        </is>
      </c>
      <c r="AJ65" s="77">
        <f>IF(AND(AI65="Yes",AF65="Meets all three",AG65="Current delivery confirmed"),"Yes","No")</f>
        <v/>
      </c>
      <c r="AK65" s="77" t="inlineStr"/>
      <c r="AL65" s="77" t="inlineStr">
        <is>
          <t>AU09-S01-R1; AU09-S01-R2; AU09-S01-R3; AU09-S01-R4; AU09-S01-R5; AU09-S01-R6</t>
        </is>
      </c>
      <c r="AM65" s="77" t="inlineStr">
        <is>
          <t>Whether assessment is a group output was not verified in 2026 handbook; the student page states teams. Page says "eight electives are embedded in every undergraduate degree" (availability, treated as optional elective). Delivery rests on dated 2026 brochure and 2026 handbook entry.</t>
        </is>
      </c>
      <c r="AN65" s="77" t="inlineStr">
        <is>
          <t>Transdisciplinary electives</t>
        </is>
      </c>
      <c r="AO65" s="77" t="inlineStr">
        <is>
          <t>Australia</t>
        </is>
      </c>
      <c r="AP65" s="77" t="inlineStr">
        <is>
          <t>Australia</t>
        </is>
      </c>
      <c r="AQ65" s="77" t="inlineStr">
        <is>
          <t>~1 term/semester</t>
        </is>
      </c>
      <c r="AR65" s="77" t="inlineStr">
        <is>
          <t>All/standard</t>
        </is>
      </c>
      <c r="AS65" s="77" t="inlineStr"/>
    </row>
    <row r="66">
      <c r="A66" s="77" t="inlineStr">
        <is>
          <t>AU09</t>
        </is>
      </c>
      <c r="B66" s="77" t="inlineStr">
        <is>
          <t>University of Technology Sydney</t>
        </is>
      </c>
      <c r="C66" s="77" t="inlineStr">
        <is>
          <t>Programme/course</t>
        </is>
      </c>
      <c r="D66" s="77" t="inlineStr">
        <is>
          <t>AU09-S02</t>
        </is>
      </c>
      <c r="E66" s="77" t="inlineStr"/>
      <c r="F66" s="77" t="inlineStr">
        <is>
          <t>No</t>
        </is>
      </c>
      <c r="G66" s="79" t="inlineStr">
        <is>
          <t>Industry Innovation Project</t>
        </is>
      </c>
      <c r="H66" s="77" t="inlineStr">
        <is>
          <t>Industry Innovation Project</t>
        </is>
      </c>
      <c r="I66" s="77" t="inlineStr"/>
      <c r="J66" s="77" t="inlineStr">
        <is>
          <t>Final-year project subject in the Bachelor of Creative Intelligence and Innovation (BCII). The subject coordinator allocates students to multidisciplinary teams of 5–7 based on core degree and preferences. Each team works for 13 weeks on a partner-organisation brief. Students present a reframed brief to the partner, agree a plan, hold weekly check-ins with a partner mentor, and give a final presentation of initiatives, insights and prototypes with a report.</t>
        </is>
      </c>
      <c r="K66" s="77" t="inlineStr">
        <is>
          <t>TD School</t>
        </is>
      </c>
      <c r="L66" s="77" t="inlineStr">
        <is>
          <t>Bachelor of Creative Intelligence and Innovation (combined with students' core degrees)</t>
        </is>
      </c>
      <c r="M66" s="77" t="inlineStr">
        <is>
          <t>Central provision</t>
        </is>
      </c>
      <c r="N66" s="77" t="inlineStr">
        <is>
          <t>Undergraduate</t>
        </is>
      </c>
      <c r="O66" s="77" t="inlineStr">
        <is>
          <t>Final year</t>
        </is>
      </c>
      <c r="P66" s="77" t="inlineStr">
        <is>
          <t>BCII students only</t>
        </is>
      </c>
      <c r="Q66" s="77" t="inlineStr">
        <is>
          <t>Unclear</t>
        </is>
      </c>
      <c r="R66" s="77" t="inlineStr">
        <is>
          <t>Curricular</t>
        </is>
      </c>
      <c r="S66" s="77" t="inlineStr">
        <is>
          <t>Final presentation and report (weighting not retrieved)</t>
        </is>
      </c>
      <c r="T66" s="77" t="inlineStr">
        <is>
          <t>13 weeks (March–June 2026)</t>
        </is>
      </c>
      <c r="U66" s="77" t="inlineStr">
        <is>
          <t>In-session team project with weekly partner check-ins</t>
        </is>
      </c>
      <c r="V66" s="77" t="inlineStr">
        <is>
          <t>Yes</t>
        </is>
      </c>
      <c r="W66" s="77" t="inlineStr">
        <is>
          <t>Partner brief, which students reframe; final presentation of initiatives, insights and prototypes with a report [1][2].</t>
        </is>
      </c>
      <c r="X66" s="77" t="inlineStr">
        <is>
          <t>Yes</t>
        </is>
      </c>
      <c r="Y66" s="77" t="inlineStr">
        <is>
          <t>Coordinator allocates students into multidisciplinary teams of 5–7 [1] (search-summary paraphrase of partner page).</t>
        </is>
      </c>
      <c r="Z66" s="77" t="inlineStr">
        <is>
          <t>Yes</t>
        </is>
      </c>
      <c r="AA66" s="77" t="inlineStr">
        <is>
          <t>Partners must assign a dedicated mentor or main contact. The mentor attends weekly check-ins, a midpoint check-in and the final presentation; the partner gives feedback on the reframed brief and receives the final solution. Partner time commitment is 25–30 hours [1][2].</t>
        </is>
      </c>
      <c r="AB66" s="77" t="inlineStr">
        <is>
          <t>Business/commercial</t>
        </is>
      </c>
      <c r="AC66" s="77" t="inlineStr">
        <is>
          <t>Supplies brief, mentors, gives feedback, receives final presentation</t>
        </is>
      </c>
      <c r="AD66" s="77" t="inlineStr"/>
      <c r="AE66" s="77" t="inlineStr">
        <is>
          <t>Prototypes/initiatives, final presentation and report</t>
        </is>
      </c>
      <c r="AF66" s="77">
        <f>IF(OR(V66="No",X66="No",Z66="No"),"Outside strict definition",IF(AND(V66="Yes",X66="Yes",Z66="Yes"),"Meets all three","Potentially relevant; evidence incomplete"))</f>
        <v/>
      </c>
      <c r="AG66" s="77" t="inlineStr">
        <is>
          <t>Current delivery confirmed</t>
        </is>
      </c>
      <c r="AH66" s="77" t="inlineStr">
        <is>
          <t>2026</t>
        </is>
      </c>
      <c r="AI66" s="77" t="inlineStr">
        <is>
          <t>Yes</t>
        </is>
      </c>
      <c r="AJ66" s="77">
        <f>IF(AND(AI66="Yes",AF66="Meets all three",AG66="Current delivery confirmed"),"Yes","No")</f>
        <v/>
      </c>
      <c r="AK66" s="77" t="inlineStr"/>
      <c r="AL66" s="77" t="inlineStr">
        <is>
          <t>AU09-S02-R1; AU09-S02-R2</t>
        </is>
      </c>
      <c r="AM66" s="77" t="inlineStr">
        <is>
          <t>Not confirmed whether the subject is a core BCII requirement. Partners described only as 'industry partners', so sector mix is unverified. Projects are chosen by student vote from partner proposals.</t>
        </is>
      </c>
      <c r="AN66" s="77" t="inlineStr"/>
      <c r="AO66" s="77" t="inlineStr">
        <is>
          <t>Australia</t>
        </is>
      </c>
      <c r="AP66" s="77" t="inlineStr">
        <is>
          <t>Australia</t>
        </is>
      </c>
      <c r="AQ66" s="77" t="inlineStr">
        <is>
          <t>~1 term/semester</t>
        </is>
      </c>
      <c r="AR66" s="77" t="inlineStr">
        <is>
          <t>All/standard</t>
        </is>
      </c>
      <c r="AS66" s="77" t="inlineStr"/>
    </row>
    <row r="67">
      <c r="A67" s="77" t="inlineStr">
        <is>
          <t>AU09</t>
        </is>
      </c>
      <c r="B67" s="77" t="inlineStr">
        <is>
          <t>University of Technology Sydney</t>
        </is>
      </c>
      <c r="C67" s="77" t="inlineStr">
        <is>
          <t>Unclear</t>
        </is>
      </c>
      <c r="D67" s="77" t="inlineStr">
        <is>
          <t>AU09-S03</t>
        </is>
      </c>
      <c r="E67" s="77" t="inlineStr"/>
      <c r="F67" s="77" t="inlineStr">
        <is>
          <t>No</t>
        </is>
      </c>
      <c r="G67" s="79" t="inlineStr">
        <is>
          <t>UTS Shopfront Community Program – community projects in coursework</t>
        </is>
      </c>
      <c r="H67" s="77" t="inlineStr">
        <is>
          <t>UTS Shopfront community projects</t>
        </is>
      </c>
      <c r="I67" s="77" t="inlineStr">
        <is>
          <t>Various participating coursework subjects (not identified)</t>
        </is>
      </c>
      <c r="J67" s="77" t="inlineStr">
        <is>
          <t>Pro bono brokerage. Not-for-profit organisations and social enterprises submit projects they need. UTS students take them on in coursework subjects, working in teams as external consultants for credit, usually in final year or at postgraduate level. Each organisation nominates a contact who gives up to 2 hours per week. Projects run in the Autumn (March–June) or Spring (August–November) session. Past projects include research for the HIV/AIDS Legal Centre (NSW).</t>
        </is>
      </c>
      <c r="K67" s="77" t="inlineStr">
        <is>
          <t>UTS Shopfront (Social Justice / community engagement, central)</t>
        </is>
      </c>
      <c r="L67" s="77" t="inlineStr">
        <is>
          <t>Students in participating coursework subjects (faculties not identified)</t>
        </is>
      </c>
      <c r="M67" s="77" t="inlineStr">
        <is>
          <t>Central provision</t>
        </is>
      </c>
      <c r="N67" s="77" t="inlineStr">
        <is>
          <t>Mixed</t>
        </is>
      </c>
      <c r="O67" s="77" t="inlineStr">
        <is>
          <t>Usually final-year UG or PG</t>
        </is>
      </c>
      <c r="P67" s="77" t="inlineStr">
        <is>
          <t>Enrolled in a subject that takes Shopfront projects</t>
        </is>
      </c>
      <c r="Q67" s="77" t="inlineStr">
        <is>
          <t>Unclear</t>
        </is>
      </c>
      <c r="R67" s="77" t="inlineStr">
        <is>
          <t>Curricular</t>
        </is>
      </c>
      <c r="S67" s="77" t="inlineStr">
        <is>
          <t>Course credit within host subjects (details vary)</t>
        </is>
      </c>
      <c r="T67" s="77" t="inlineStr">
        <is>
          <t>One teaching session</t>
        </is>
      </c>
      <c r="U67" s="77" t="inlineStr">
        <is>
          <t>Team consultancy within subjects</t>
        </is>
      </c>
      <c r="V67" s="77" t="inlineStr">
        <is>
          <t>Yes</t>
        </is>
      </c>
      <c r="W67" s="77" t="inlineStr">
        <is>
          <t>Organisations identify and submit defined projects, which students deliver within coursework (e.g. research for a legal centre) [1][2].</t>
        </is>
      </c>
      <c r="X67" s="77" t="inlineStr">
        <is>
          <t>Yes</t>
        </is>
      </c>
      <c r="Y67" s="77" t="inlineStr">
        <is>
          <t>Students work in teams as external consultants [1] (search-summary paraphrase). Not verified whether all host subjects use teams.</t>
        </is>
      </c>
      <c r="Z67" s="77" t="inlineStr">
        <is>
          <t>Yes</t>
        </is>
      </c>
      <c r="AA67" s="77" t="inlineStr">
        <is>
          <t>Community organisations propose the project, nominate a key contact giving up to 2 hours/week, and receive the outputs [1][2].</t>
        </is>
      </c>
      <c r="AB67" s="77" t="inlineStr">
        <is>
          <t>Charity/community</t>
        </is>
      </c>
      <c r="AC67" s="77" t="inlineStr">
        <is>
          <t>Proposes project, liaises (up to 2 hrs/week), receives deliverable</t>
        </is>
      </c>
      <c r="AD67" s="77" t="inlineStr">
        <is>
          <t>HIV/AIDS Legal Centre (NSW); Glebe Youth Service (2024 article) [3]</t>
        </is>
      </c>
      <c r="AE67" s="77" t="inlineStr">
        <is>
          <t>Consultancy outputs (research reports, programmes, etc.) for the organisation</t>
        </is>
      </c>
      <c r="AF67" s="77">
        <f>IF(OR(V67="No",X67="No",Z67="No"),"Outside strict definition",IF(AND(V67="Yes",X67="Yes",Z67="Yes"),"Meets all three","Potentially relevant; evidence incomplete"))</f>
        <v/>
      </c>
      <c r="AG67" s="77" t="inlineStr">
        <is>
          <t>Current delivery confirmed</t>
        </is>
      </c>
      <c r="AH67" s="77" t="inlineStr">
        <is>
          <t>2026</t>
        </is>
      </c>
      <c r="AI67" s="77" t="inlineStr">
        <is>
          <t>Yes</t>
        </is>
      </c>
      <c r="AJ67" s="77">
        <f>IF(AND(AI67="Yes",AF67="Meets all three",AG67="Current delivery confirmed"),"Yes","No")</f>
        <v/>
      </c>
      <c r="AK67" s="77" t="inlineStr">
        <is>
          <t>Cumulative: more than 1,698 projects for over 1,199 community organisations as of May 2026 (one UTS Shopfront page; the exact page could not be separated in the search summary). A 2024 UTS page gives 1,614 projects and 1,115 organisations.</t>
        </is>
      </c>
      <c r="AL67" s="77" t="inlineStr">
        <is>
          <t>AU09-S03-R1; AU09-S03-R2; AU09-S03-R3</t>
        </is>
      </c>
      <c r="AM67" s="77" t="inlineStr">
        <is>
          <t>Participating subjects and faculties not identified, so reach is Unclear. Team format and the May 2026 count are search-summary paraphrases. Eligibility rules for organisations appear to differ between older and newer pages.</t>
        </is>
      </c>
      <c r="AN67" s="77" t="inlineStr"/>
      <c r="AO67" s="77" t="inlineStr">
        <is>
          <t>Australia</t>
        </is>
      </c>
      <c r="AP67" s="77" t="inlineStr">
        <is>
          <t>Australia</t>
        </is>
      </c>
      <c r="AQ67" s="77" t="inlineStr">
        <is>
          <t>~1 term/semester</t>
        </is>
      </c>
      <c r="AR67" s="77" t="inlineStr">
        <is>
          <t>All/standard</t>
        </is>
      </c>
      <c r="AS67" s="77" t="inlineStr"/>
    </row>
    <row r="68">
      <c r="A68" s="77" t="inlineStr">
        <is>
          <t>AU09</t>
        </is>
      </c>
      <c r="B68" s="77" t="inlineStr">
        <is>
          <t>University of Technology Sydney</t>
        </is>
      </c>
      <c r="C68" s="77" t="inlineStr">
        <is>
          <t>Faculty/school</t>
        </is>
      </c>
      <c r="D68" s="77" t="inlineStr">
        <is>
          <t>AU09-S04</t>
        </is>
      </c>
      <c r="E68" s="77" t="inlineStr"/>
      <c r="F68" s="77" t="inlineStr">
        <is>
          <t>No</t>
        </is>
      </c>
      <c r="G68" s="79" t="inlineStr">
        <is>
          <t>Software Development Studio (FEIT Industry Studio)</t>
        </is>
      </c>
      <c r="H68" s="77" t="inlineStr">
        <is>
          <t>Software Development Studio</t>
        </is>
      </c>
      <c r="I68" s="77" t="inlineStr">
        <is>
          <t>41113 / 41114 (6cp each), or alternate assessment in 48024, 31271, 48433, 31251</t>
        </is>
      </c>
      <c r="J68" s="77" t="inlineStr">
        <is>
          <t>Multi-year teams of 4-6 students (Bachelor of Engineering and IT students) deliver prototype/proof-of-concept solutions to problems posed by industry partners over one 12-week brief, using Agile cycles, with weekly face-to-face industry mentors and faculty coaches.</t>
        </is>
      </c>
      <c r="K68" s="77" t="inlineStr">
        <is>
          <t>Faculty of Engineering and IT (Industry Studios)</t>
        </is>
      </c>
      <c r="L68" s="77" t="inlineStr">
        <is>
          <t>Bachelor of Engineering, Bachelor of IT, BSc Games Development, BSc IT (Enterprise Systems Development); exceptions possible</t>
        </is>
      </c>
      <c r="M68" s="77" t="inlineStr">
        <is>
          <t>Engineering/computing</t>
        </is>
      </c>
      <c r="N68" s="77" t="inlineStr">
        <is>
          <t>Undergraduate</t>
        </is>
      </c>
      <c r="O68" s="77" t="inlineStr">
        <is>
          <t>Multi-year teams; described as senior-level elective</t>
        </is>
      </c>
      <c r="P68" s="77" t="inlineStr">
        <is>
          <t>Listed FEIT degrees; study plan must permit</t>
        </is>
      </c>
      <c r="Q68" s="77" t="inlineStr">
        <is>
          <t>Optional/elective</t>
        </is>
      </c>
      <c r="R68" s="77" t="inlineStr">
        <is>
          <t>Curricular</t>
        </is>
      </c>
      <c r="S68" s="77" t="inlineStr">
        <is>
          <t>6cp subjects 41113/41114, or alternate assessment item in four listed subjects</t>
        </is>
      </c>
      <c r="T68" s="77" t="inlineStr">
        <is>
          <t>12 weeks, one brief</t>
        </is>
      </c>
      <c r="U68" s="77" t="inlineStr">
        <is>
          <t>Industry-brief team studio, in person, weekly mentor sessions</t>
        </is>
      </c>
      <c r="V68" s="77" t="inlineStr">
        <is>
          <t>Yes</t>
        </is>
      </c>
      <c r="W68" s="77" t="inlineStr">
        <is>
          <t>Teams "deliver solutions for problems posed by industry"; partners receive prototype proof-of-concept [1].</t>
        </is>
      </c>
      <c r="X68" s="77" t="inlineStr">
        <is>
          <t>Yes</t>
        </is>
      </c>
      <c r="Y68" s="77" t="inlineStr">
        <is>
          <t>"One brief, 12 weeks, teams of 4-6 students"; teams of four or five members from different years [1].</t>
        </is>
      </c>
      <c r="Z68" s="77" t="inlineStr">
        <is>
          <t>Yes</t>
        </is>
      </c>
      <c r="AA68" s="77" t="inlineStr">
        <is>
          <t>Industry partners provide the brief; industry mentors spend 1-2 hours weekly face to face; partners receive prototypes [1].</t>
        </is>
      </c>
      <c r="AB68" s="77" t="inlineStr">
        <is>
          <t>Unclear</t>
        </is>
      </c>
      <c r="AC68" s="77" t="inlineStr">
        <is>
          <t>Supplies brief, mentors weekly, receives prototype</t>
        </is>
      </c>
      <c r="AD68" s="77" t="inlineStr"/>
      <c r="AE68" s="77" t="inlineStr">
        <is>
          <t>Prototype / proof-of-concept software solution</t>
        </is>
      </c>
      <c r="AF68" s="77">
        <f>IF(OR(V68="No",X68="No",Z68="No"),"Outside strict definition",IF(AND(V68="Yes",X68="Yes",Z68="Yes"),"Meets all three","Potentially relevant; evidence incomplete"))</f>
        <v/>
      </c>
      <c r="AG68" s="77" t="inlineStr">
        <is>
          <t>Current status unclear</t>
        </is>
      </c>
      <c r="AH68" s="77" t="inlineStr">
        <is>
          <t>2026 (page copyright only)</t>
        </is>
      </c>
      <c r="AI68" s="77" t="inlineStr">
        <is>
          <t>Yes</t>
        </is>
      </c>
      <c r="AJ68" s="77">
        <f>IF(AND(AI68="Yes",AF68="Meets all three",AG68="Current delivery confirmed"),"Yes","No")</f>
        <v/>
      </c>
      <c r="AK68" s="77" t="inlineStr"/>
      <c r="AL68" s="77" t="inlineStr">
        <is>
          <t>AU09-S04-R1</t>
        </is>
      </c>
      <c r="AM68" s="77" t="inlineStr">
        <is>
          <t>Page gives no dated intake; only copyright 2026, so current delivery not confirmed. Partner sector not stated. Team size stated as both 4-5 and 4-6.</t>
        </is>
      </c>
      <c r="AN68" s="77" t="inlineStr"/>
      <c r="AO68" s="77" t="inlineStr">
        <is>
          <t>Australia</t>
        </is>
      </c>
      <c r="AP68" s="77" t="inlineStr">
        <is>
          <t>Australia</t>
        </is>
      </c>
      <c r="AQ68" s="77" t="inlineStr">
        <is>
          <t>~1 term/semester</t>
        </is>
      </c>
      <c r="AR68" s="77" t="inlineStr">
        <is>
          <t>All/standard</t>
        </is>
      </c>
      <c r="AS68" s="77" t="inlineStr"/>
    </row>
    <row r="69">
      <c r="A69" s="77" t="inlineStr">
        <is>
          <t>AU09</t>
        </is>
      </c>
      <c r="B69" s="77" t="inlineStr">
        <is>
          <t>University of Technology Sydney</t>
        </is>
      </c>
      <c r="C69" s="77" t="inlineStr">
        <is>
          <t>Programme/course</t>
        </is>
      </c>
      <c r="D69" s="77" t="inlineStr">
        <is>
          <t>AU09-S05</t>
        </is>
      </c>
      <c r="E69" s="77" t="inlineStr"/>
      <c r="F69" s="77" t="inlineStr">
        <is>
          <t>No</t>
        </is>
      </c>
      <c r="G69" s="79" t="inlineStr">
        <is>
          <t>Strategic Communication capstone (client brief)</t>
        </is>
      </c>
      <c r="H69" s="77" t="inlineStr">
        <is>
          <t>Strategic Communication capstone</t>
        </is>
      </c>
      <c r="I69" s="77" t="inlineStr">
        <is>
          <t>not identified</t>
        </is>
      </c>
      <c r="J69" s="77" t="inlineStr">
        <is>
          <t>Capstone in UTS Strategic Communication degrees in which students spend a full semester on a brief from a real client (past clients include NSW Multicultural Health, Dropbox, Isentia, City of Sydney, The Hunger Project).</t>
        </is>
      </c>
      <c r="K69" s="77" t="inlineStr">
        <is>
          <t>School of Communication, FASS</t>
        </is>
      </c>
      <c r="L69" s="77" t="inlineStr">
        <is>
          <t>Strategic Communication degrees</t>
        </is>
      </c>
      <c r="M69" s="77" t="inlineStr">
        <is>
          <t>Arts/humanities/social sciences</t>
        </is>
      </c>
      <c r="N69" s="77" t="inlineStr">
        <is>
          <t>Undergraduate</t>
        </is>
      </c>
      <c r="O69" s="77" t="inlineStr">
        <is>
          <t>Final</t>
        </is>
      </c>
      <c r="P69" s="77" t="inlineStr"/>
      <c r="Q69" s="77" t="inlineStr">
        <is>
          <t>Unclear</t>
        </is>
      </c>
      <c r="R69" s="77" t="inlineStr">
        <is>
          <t>Curricular</t>
        </is>
      </c>
      <c r="S69" s="77" t="inlineStr"/>
      <c r="T69" s="77" t="inlineStr">
        <is>
          <t>One semester</t>
        </is>
      </c>
      <c r="U69" s="77" t="inlineStr">
        <is>
          <t>Client brief</t>
        </is>
      </c>
      <c r="V69" s="77" t="inlineStr">
        <is>
          <t>Yes</t>
        </is>
      </c>
      <c r="W69" s="77" t="inlineStr">
        <is>
          <t>Semester-long brief from a real client [1].</t>
        </is>
      </c>
      <c r="X69" s="77" t="inlineStr">
        <is>
          <t>Unclear</t>
        </is>
      </c>
      <c r="Y69" s="77" t="inlineStr">
        <is>
          <t>Current page does not state team format; an older (about 8 years) news item reported teams of 4-6 pitching to one of five clients (search summary) [2].</t>
        </is>
      </c>
      <c r="Z69" s="77" t="inlineStr">
        <is>
          <t>Yes</t>
        </is>
      </c>
      <c r="AA69" s="77" t="inlineStr">
        <is>
          <t>Real clients set the brief; named past clients [1].</t>
        </is>
      </c>
      <c r="AB69" s="77" t="inlineStr">
        <is>
          <t>Mixed</t>
        </is>
      </c>
      <c r="AC69" s="77" t="inlineStr">
        <is>
          <t>Client supplying brief</t>
        </is>
      </c>
      <c r="AD69" s="77" t="inlineStr">
        <is>
          <t>NSW Multicultural Health, Dropbox, Isentia, City of Sydney, The Hunger Project (past clients, undated)</t>
        </is>
      </c>
      <c r="AE69" s="77" t="inlineStr">
        <is>
          <t>Campaign/strategy for client (older source: pitch to client)</t>
        </is>
      </c>
      <c r="AF69" s="77">
        <f>IF(OR(V69="No",X69="No",Z69="No"),"Outside strict definition",IF(AND(V69="Yes",X69="Yes",Z69="Yes"),"Meets all three","Potentially relevant; evidence incomplete"))</f>
        <v/>
      </c>
      <c r="AG69" s="77" t="inlineStr">
        <is>
          <t>Current status unclear</t>
        </is>
      </c>
      <c r="AH69" s="77" t="inlineStr">
        <is>
          <t>undated</t>
        </is>
      </c>
      <c r="AI69" s="77" t="inlineStr">
        <is>
          <t>Yes</t>
        </is>
      </c>
      <c r="AJ69" s="77">
        <f>IF(AND(AI69="Yes",AF69="Meets all three",AG69="Current delivery confirmed"),"Yes","No")</f>
        <v/>
      </c>
      <c r="AK69" s="77" t="inlineStr"/>
      <c r="AL69" s="77" t="inlineStr">
        <is>
          <t>AU09-S05-R1; AU09-S05-R2</t>
        </is>
      </c>
      <c r="AM69" s="77" t="inlineStr">
        <is>
          <t>Subject code, group format and dated delivery not found.</t>
        </is>
      </c>
      <c r="AN69" s="77" t="inlineStr"/>
      <c r="AO69" s="77" t="inlineStr">
        <is>
          <t>Australia</t>
        </is>
      </c>
      <c r="AP69" s="77" t="inlineStr">
        <is>
          <t>Australia</t>
        </is>
      </c>
      <c r="AQ69" s="77" t="inlineStr">
        <is>
          <t>~1 term/semester</t>
        </is>
      </c>
      <c r="AR69" s="77" t="inlineStr">
        <is>
          <t>Unclear</t>
        </is>
      </c>
      <c r="AS69" s="77" t="inlineStr"/>
    </row>
    <row r="70">
      <c r="A70" s="77" t="inlineStr">
        <is>
          <t>AU10</t>
        </is>
      </c>
      <c r="B70" s="77" t="inlineStr">
        <is>
          <t>RMIT</t>
        </is>
      </c>
      <c r="C70" s="77" t="inlineStr">
        <is>
          <t>Faculty/school</t>
        </is>
      </c>
      <c r="D70" s="77" t="inlineStr">
        <is>
          <t>AU10-S01</t>
        </is>
      </c>
      <c r="E70" s="77" t="inlineStr"/>
      <c r="F70" s="77" t="inlineStr">
        <is>
          <t>No</t>
        </is>
      </c>
      <c r="G70" s="79" t="inlineStr">
        <is>
          <t>Engineering Capstone Project (Part A and Part B), School of Engineering</t>
        </is>
      </c>
      <c r="H70" s="77" t="inlineStr">
        <is>
          <t>Engineering Capstone Project</t>
        </is>
      </c>
      <c r="I70" s="77" t="inlineStr">
        <is>
          <t>Unclear (course pages 052676 / 048881 appeared in search; not opened)</t>
        </is>
      </c>
      <c r="J70" s="77" t="inlineStr">
        <is>
          <t>Final-year engineering students undertake a year-long capstone with industry: industry proposes a project, a supervisor agrees and advertises it, students apply by expression of interest, a WIL Agreement is signed by industry partner, RMIT and students, and a tangible outcome (preferably a physical product) is expected.</t>
        </is>
      </c>
      <c r="K70" s="77" t="inlineStr">
        <is>
          <t>School of Engineering</t>
        </is>
      </c>
      <c r="L70" s="77" t="inlineStr">
        <is>
          <t>Engineering programmes within the School of Engineering</t>
        </is>
      </c>
      <c r="M70" s="77" t="inlineStr">
        <is>
          <t>Engineering/computing</t>
        </is>
      </c>
      <c r="N70" s="77" t="inlineStr">
        <is>
          <t>Undergraduate</t>
        </is>
      </c>
      <c r="O70" s="77" t="inlineStr">
        <is>
          <t>Final year</t>
        </is>
      </c>
      <c r="P70" s="77" t="inlineStr">
        <is>
          <t>Final-year engineering students; project allocation by expression of interest</t>
        </is>
      </c>
      <c r="Q70" s="77" t="inlineStr">
        <is>
          <t>Compulsory within specified programmes</t>
        </is>
      </c>
      <c r="R70" s="77" t="inlineStr">
        <is>
          <t>Curricular</t>
        </is>
      </c>
      <c r="S70" s="77" t="inlineStr">
        <is>
          <t>Not evidenced in pages read; EnGenius agenda lists 'Project Showcase and Assessment'</t>
        </is>
      </c>
      <c r="T70" s="77" t="inlineStr">
        <is>
          <t>Academic year (start of Semester 1, end Feb, to end of Semester 2, end Oct)</t>
        </is>
      </c>
      <c r="U70" s="77" t="inlineStr">
        <is>
          <t>Supervised project with weekly academic supervisor meetings; industry partner meets students about monthly</t>
        </is>
      </c>
      <c r="V70" s="77" t="inlineStr">
        <is>
          <t>Yes</t>
        </is>
      </c>
      <c r="W70" s="77" t="inlineStr">
        <is>
          <t>Source 1: 'Delivery of a tangible outcome is expected, preferably a physical product.'</t>
        </is>
      </c>
      <c r="X70" s="77" t="inlineStr">
        <is>
          <t>Unclear</t>
        </is>
      </c>
      <c r="Y70" s="77" t="inlineStr">
        <is>
          <t>Source 1 does not specify team sizes; it mentions industry partners may attend 'team meetings' but individual vs team projects are not separated.</t>
        </is>
      </c>
      <c r="Z70" s="77" t="inlineStr">
        <is>
          <t>Unclear</t>
        </is>
      </c>
      <c r="AA70" s="77" t="inlineStr">
        <is>
          <t>Source 1: industry proposes the project, signs a WIL Agreement and meets students at milestones. But source 2 says students 'may be able' to do an industry-sponsored project, so external sponsorship may not be standard for every student (Some projects).</t>
        </is>
      </c>
      <c r="AB70" s="77" t="inlineStr">
        <is>
          <t>Business/commercial</t>
        </is>
      </c>
      <c r="AC70" s="77" t="inlineStr">
        <is>
          <t>Proposes project, signs WIL agreement, attends milestone meetings, owns IP (except where students assessed on it)</t>
        </is>
      </c>
      <c r="AD70" s="77" t="inlineStr">
        <is>
          <t>Bosch Australia (undated news item on keyless car access capstone)</t>
        </is>
      </c>
      <c r="AE70" s="77" t="inlineStr">
        <is>
          <t>Tangible outcome, preferably a physical product</t>
        </is>
      </c>
      <c r="AF70" s="77">
        <f>IF(OR(V70="No",X70="No",Z70="No"),"Outside strict definition",IF(AND(V70="Yes",X70="Yes",Z70="Yes"),"Meets all three","Potentially relevant; evidence incomplete"))</f>
        <v/>
      </c>
      <c r="AG70" s="77" t="inlineStr">
        <is>
          <t>Current delivery confirmed</t>
        </is>
      </c>
      <c r="AH70" s="77" t="inlineStr">
        <is>
          <t>2026</t>
        </is>
      </c>
      <c r="AI70" s="77" t="inlineStr">
        <is>
          <t>Yes</t>
        </is>
      </c>
      <c r="AJ70" s="77">
        <f>IF(AND(AI70="Yes",AF70="Meets all three",AG70="Current delivery confirmed"),"Yes","No")</f>
        <v/>
      </c>
      <c r="AK70" s="77" t="inlineStr"/>
      <c r="AL70" s="77" t="inlineStr">
        <is>
          <t>AU10-S01-R1; AU10-S01-R2; AU10-S01-R3</t>
        </is>
      </c>
      <c r="AM70" s="77" t="inlineStr">
        <is>
          <t>Team structure; share of capstones that are industry-sponsored vs internal; engineering capstone page itself is undated (current status corroborated only by EnGenius showcase 22 Oct 2026 featuring undergraduate engineering capstones).</t>
        </is>
      </c>
      <c r="AN70" s="77" t="inlineStr"/>
      <c r="AO70" s="77" t="inlineStr">
        <is>
          <t>Australia</t>
        </is>
      </c>
      <c r="AP70" s="77" t="inlineStr">
        <is>
          <t>Australia</t>
        </is>
      </c>
      <c r="AQ70" s="77" t="inlineStr">
        <is>
          <t>&gt;1 term</t>
        </is>
      </c>
      <c r="AR70" s="77" t="inlineStr">
        <is>
          <t>Some projects</t>
        </is>
      </c>
      <c r="AS70" s="77" t="inlineStr"/>
    </row>
    <row r="71">
      <c r="A71" s="77" t="inlineStr">
        <is>
          <t>AU10</t>
        </is>
      </c>
      <c r="B71" s="77" t="inlineStr">
        <is>
          <t>RMIT</t>
        </is>
      </c>
      <c r="C71" s="77" t="inlineStr">
        <is>
          <t>Programme/course</t>
        </is>
      </c>
      <c r="D71" s="77" t="inlineStr">
        <is>
          <t>AU10-S02</t>
        </is>
      </c>
      <c r="E71" s="77" t="inlineStr"/>
      <c r="F71" s="77" t="inlineStr">
        <is>
          <t>No</t>
        </is>
      </c>
      <c r="G71" s="79" t="inlineStr">
        <is>
          <t>Impact Academy 1 (Bachelor of Business (Professional Practice) core subject)</t>
        </is>
      </c>
      <c r="H71" s="77" t="inlineStr">
        <is>
          <t>Impact Academy 1</t>
        </is>
      </c>
      <c r="I71" s="77" t="inlineStr">
        <is>
          <t>Unclear</t>
        </is>
      </c>
      <c r="J71" s="77" t="inlineStr">
        <is>
          <t>First-year core subject in which teams prepare a professional response to a real challenge set by a live industry partner's client, using design thinking and problem-based learning.</t>
        </is>
      </c>
      <c r="K71" s="77" t="inlineStr">
        <is>
          <t>College of Business and Law</t>
        </is>
      </c>
      <c r="L71" s="77" t="inlineStr">
        <is>
          <t>Bachelor of Business (Professional Practice) (BP344)</t>
        </is>
      </c>
      <c r="M71" s="77" t="inlineStr">
        <is>
          <t>Business/management</t>
        </is>
      </c>
      <c r="N71" s="77" t="inlineStr">
        <is>
          <t>Undergraduate</t>
        </is>
      </c>
      <c r="O71" s="77" t="inlineStr">
        <is>
          <t>Year 1 (listed among Professional Practice core subjects; exact year not confirmed)</t>
        </is>
      </c>
      <c r="P71" s="77" t="inlineStr">
        <is>
          <t>Enrolled in the BP344 degree</t>
        </is>
      </c>
      <c r="Q71" s="77" t="inlineStr">
        <is>
          <t>Compulsory within specified programmes</t>
        </is>
      </c>
      <c r="R71" s="77" t="inlineStr">
        <is>
          <t>Curricular</t>
        </is>
      </c>
      <c r="S71" s="77" t="inlineStr">
        <is>
          <t>Not evidenced</t>
        </is>
      </c>
      <c r="T71" s="77" t="inlineStr">
        <is>
          <t>Unclear</t>
        </is>
      </c>
      <c r="U71" s="77" t="inlineStr">
        <is>
          <t>Subject; students act as consultants (search summary)</t>
        </is>
      </c>
      <c r="V71" s="77" t="inlineStr">
        <is>
          <t>Yes</t>
        </is>
      </c>
      <c r="W71" s="77" t="inlineStr">
        <is>
          <t>Source 1: 'a real challenge set by a live industry partner's client'; students 'prepare a professional response'.</t>
        </is>
      </c>
      <c r="X71" s="77" t="inlineStr">
        <is>
          <t>Yes</t>
        </is>
      </c>
      <c r="Y71" s="77" t="inlineStr">
        <is>
          <t>Source 1: 'prepare a professional response in teams'.</t>
        </is>
      </c>
      <c r="Z71" s="77" t="inlineStr">
        <is>
          <t>Yes</t>
        </is>
      </c>
      <c r="AA71" s="77" t="inlineStr">
        <is>
          <t>Source 1: challenge is set by a live industry partner's client (the subject's standard design). Programme partners listed: Medibank, Adobe, Good Shepherd, EY, Microsoft, Mainfreight (logos; not tied to this subject).</t>
        </is>
      </c>
      <c r="AB71" s="77" t="inlineStr">
        <is>
          <t>Business/commercial</t>
        </is>
      </c>
      <c r="AC71" s="77" t="inlineStr">
        <is>
          <t>Live industry partner's client sets the challenge</t>
        </is>
      </c>
      <c r="AD71" s="77" t="inlineStr">
        <is>
          <t>Meals With Impact (social enterprise, Impact Academy project with RMIT Activator; undated/2023 context, source 2)</t>
        </is>
      </c>
      <c r="AE71" s="77" t="inlineStr">
        <is>
          <t>Professional response to the client challenge</t>
        </is>
      </c>
      <c r="AF71" s="77">
        <f>IF(OR(V71="No",X71="No",Z71="No"),"Outside strict definition",IF(AND(V71="Yes",X71="Yes",Z71="Yes"),"Meets all three","Potentially relevant; evidence incomplete"))</f>
        <v/>
      </c>
      <c r="AG71" s="77" t="inlineStr">
        <is>
          <t>Current delivery confirmed</t>
        </is>
      </c>
      <c r="AH71" s="77" t="inlineStr">
        <is>
          <t>2027</t>
        </is>
      </c>
      <c r="AI71" s="77" t="inlineStr">
        <is>
          <t>Yes</t>
        </is>
      </c>
      <c r="AJ71" s="77">
        <f>IF(AND(AI71="Yes",AF71="Meets all three",AG71="Current delivery confirmed"),"Yes","No")</f>
        <v/>
      </c>
      <c r="AK71" s="77" t="inlineStr"/>
      <c r="AL71" s="77" t="inlineStr">
        <is>
          <t>AU10-S02-R1; AU10-S02-R2</t>
        </is>
      </c>
      <c r="AM71" s="77" t="inlineStr">
        <is>
          <t>Course page undated; current delivery inferred from listed Feb/July intakes and a 2027 fee, not a subject-level timetable. Impact Academy 2 details not read (page truncated); subject year and credit not confirmed.</t>
        </is>
      </c>
      <c r="AN71" s="77" t="inlineStr"/>
      <c r="AO71" s="77" t="inlineStr">
        <is>
          <t>Australia</t>
        </is>
      </c>
      <c r="AP71" s="77" t="inlineStr">
        <is>
          <t>Australia</t>
        </is>
      </c>
      <c r="AQ71" s="77" t="inlineStr">
        <is>
          <t>Unclear</t>
        </is>
      </c>
      <c r="AR71" s="77" t="inlineStr">
        <is>
          <t>All/standard</t>
        </is>
      </c>
      <c r="AS71" s="77" t="inlineStr"/>
    </row>
    <row r="72">
      <c r="A72" s="77" t="inlineStr">
        <is>
          <t>AU10</t>
        </is>
      </c>
      <c r="B72" s="77" t="inlineStr">
        <is>
          <t>RMIT</t>
        </is>
      </c>
      <c r="C72" s="77" t="inlineStr">
        <is>
          <t>Programme/course</t>
        </is>
      </c>
      <c r="D72" s="77" t="inlineStr">
        <is>
          <t>AU10-S03</t>
        </is>
      </c>
      <c r="E72" s="77" t="inlineStr"/>
      <c r="F72" s="77" t="inlineStr">
        <is>
          <t>No</t>
        </is>
      </c>
      <c r="G72" s="79" t="inlineStr">
        <is>
          <t>Integrated Perspectives on Business Problems (IPBP), Bachelor of Business</t>
        </is>
      </c>
      <c r="H72" s="77" t="inlineStr">
        <is>
          <t>Integrated Perspectives on Business Problems</t>
        </is>
      </c>
      <c r="I72" s="77" t="inlineStr">
        <is>
          <t>Unclear</t>
        </is>
      </c>
      <c r="J72" s="77" t="inlineStr">
        <is>
          <t>Course in which student groups present solutions to real-industry challenges, e.g. Medibank (customer value of health cover under cost of living) and Australian Red Cross (engaging students as research volunteers).</t>
        </is>
      </c>
      <c r="K72" s="77" t="inlineStr">
        <is>
          <t>College of Business and Law</t>
        </is>
      </c>
      <c r="L72" s="77" t="inlineStr">
        <is>
          <t>Bachelor of Business</t>
        </is>
      </c>
      <c r="M72" s="77" t="inlineStr">
        <is>
          <t>Business/management</t>
        </is>
      </c>
      <c r="N72" s="77" t="inlineStr">
        <is>
          <t>Undergraduate</t>
        </is>
      </c>
      <c r="O72" s="77" t="inlineStr">
        <is>
          <t>Unclear</t>
        </is>
      </c>
      <c r="P72" s="77" t="inlineStr">
        <is>
          <t>Unclear</t>
        </is>
      </c>
      <c r="Q72" s="77" t="inlineStr">
        <is>
          <t>Unclear</t>
        </is>
      </c>
      <c r="R72" s="77" t="inlineStr">
        <is>
          <t>Curricular</t>
        </is>
      </c>
      <c r="S72" s="77" t="inlineStr">
        <is>
          <t>Unclear</t>
        </is>
      </c>
      <c r="T72" s="77" t="inlineStr">
        <is>
          <t>Unclear</t>
        </is>
      </c>
      <c r="U72" s="77" t="inlineStr">
        <is>
          <t>Course-embedded industry challenge</t>
        </is>
      </c>
      <c r="V72" s="77" t="inlineStr">
        <is>
          <t>Yes</t>
        </is>
      </c>
      <c r="W72" s="77" t="inlineStr">
        <is>
          <t>Source 1: groups presented solutions to a 'real-industry challenge posed by Medibank'.</t>
        </is>
      </c>
      <c r="X72" s="77" t="inlineStr">
        <is>
          <t>Yes</t>
        </is>
      </c>
      <c r="Y72" s="77" t="inlineStr">
        <is>
          <t>Source 1: 'Five groups' presented solutions.</t>
        </is>
      </c>
      <c r="Z72" s="77" t="inlineStr">
        <is>
          <t>Unclear</t>
        </is>
      </c>
      <c r="AA72" s="77" t="inlineStr">
        <is>
          <t>Medibank posed the challenge and Red Cross reported implementing some solutions (source 1), but the page presents named cases, not evidence that external clients are standard for the course.</t>
        </is>
      </c>
      <c r="AB72" s="77" t="inlineStr">
        <is>
          <t>Mixed</t>
        </is>
      </c>
      <c r="AC72" s="77" t="inlineStr">
        <is>
          <t>Poses challenge; receives presentations (Medibank); Red Cross used some solutions</t>
        </is>
      </c>
      <c r="AD72" s="77" t="inlineStr">
        <is>
          <t>Medibank; Australian Red Cross (Humanitech), undated/2023 page</t>
        </is>
      </c>
      <c r="AE72" s="77" t="inlineStr">
        <is>
          <t>Group solution presentation</t>
        </is>
      </c>
      <c r="AF72" s="77">
        <f>IF(OR(V72="No",X72="No",Z72="No"),"Outside strict definition",IF(AND(V72="Yes",X72="Yes",Z72="Yes"),"Meets all three","Potentially relevant; evidence incomplete"))</f>
        <v/>
      </c>
      <c r="AG72" s="77" t="inlineStr">
        <is>
          <t>Current status unclear</t>
        </is>
      </c>
      <c r="AH72" s="77" t="inlineStr">
        <is>
          <t>2023</t>
        </is>
      </c>
      <c r="AI72" s="77" t="inlineStr">
        <is>
          <t>Yes</t>
        </is>
      </c>
      <c r="AJ72" s="77">
        <f>IF(AND(AI72="Yes",AF72="Meets all three",AG72="Current delivery confirmed"),"Yes","No")</f>
        <v/>
      </c>
      <c r="AK72" s="77" t="inlineStr"/>
      <c r="AL72" s="77" t="inlineStr">
        <is>
          <t>AU10-S03-R1</t>
        </is>
      </c>
      <c r="AM72" s="77" t="inlineStr">
        <is>
          <t>Whether external clients are standard each offering; current offering; whether Red Cross project was in IPBP or another Bachelor of Business subject.</t>
        </is>
      </c>
      <c r="AN72" s="77" t="inlineStr"/>
      <c r="AO72" s="77" t="inlineStr">
        <is>
          <t>Australia</t>
        </is>
      </c>
      <c r="AP72" s="77" t="inlineStr">
        <is>
          <t>Australia</t>
        </is>
      </c>
      <c r="AQ72" s="77" t="inlineStr">
        <is>
          <t>Unclear</t>
        </is>
      </c>
      <c r="AR72" s="77" t="inlineStr">
        <is>
          <t>Unclear</t>
        </is>
      </c>
      <c r="AS72" s="77" t="inlineStr"/>
    </row>
    <row r="73">
      <c r="A73" s="77" t="inlineStr">
        <is>
          <t>AU10</t>
        </is>
      </c>
      <c r="B73" s="77" t="inlineStr">
        <is>
          <t>RMIT</t>
        </is>
      </c>
      <c r="C73" s="77" t="inlineStr">
        <is>
          <t>Programme/course</t>
        </is>
      </c>
      <c r="D73" s="77" t="inlineStr">
        <is>
          <t>AU10-S04</t>
        </is>
      </c>
      <c r="E73" s="77" t="inlineStr"/>
      <c r="F73" s="77" t="inlineStr">
        <is>
          <t>No</t>
        </is>
      </c>
      <c r="G73" s="79" t="inlineStr">
        <is>
          <t>Software engineering project with industry partner as client (Computer Science / Software Engineering)</t>
        </is>
      </c>
      <c r="H73" s="77" t="inlineStr">
        <is>
          <t>Software engineering industry-client project</t>
        </is>
      </c>
      <c r="I73" s="77" t="inlineStr">
        <is>
          <t>Unclear</t>
        </is>
      </c>
      <c r="J73" s="77" t="inlineStr">
        <is>
          <t>Full-semester supervised software engineering project with an industry partner as 'client'; projects are described as invariably performed in teams with roles in design, development, testing, requirements and project management.</t>
        </is>
      </c>
      <c r="K73" s="77" t="inlineStr">
        <is>
          <t>School of Computing Technologies</t>
        </is>
      </c>
      <c r="L73" s="77" t="inlineStr">
        <is>
          <t>Software engineering strand (professional computing degrees)</t>
        </is>
      </c>
      <c r="M73" s="77" t="inlineStr">
        <is>
          <t>Engineering/computing</t>
        </is>
      </c>
      <c r="N73" s="77" t="inlineStr">
        <is>
          <t>Undergraduate</t>
        </is>
      </c>
      <c r="O73" s="77" t="inlineStr">
        <is>
          <t>Final year (inferred; not stated)</t>
        </is>
      </c>
      <c r="P73" s="77" t="inlineStr">
        <is>
          <t>Unclear</t>
        </is>
      </c>
      <c r="Q73" s="77" t="inlineStr">
        <is>
          <t>Unclear</t>
        </is>
      </c>
      <c r="R73" s="77" t="inlineStr">
        <is>
          <t>Curricular</t>
        </is>
      </c>
      <c r="S73" s="77" t="inlineStr">
        <is>
          <t>Unclear</t>
        </is>
      </c>
      <c r="T73" s="77" t="inlineStr">
        <is>
          <t>One semester</t>
        </is>
      </c>
      <c r="U73" s="77" t="inlineStr">
        <is>
          <t>Supervised team project</t>
        </is>
      </c>
      <c r="V73" s="77" t="inlineStr">
        <is>
          <t>Yes</t>
        </is>
      </c>
      <c r="W73" s="77" t="inlineStr">
        <is>
          <t>Source 1: 'a further full-semester supervised SE project with an industry partner as client'.</t>
        </is>
      </c>
      <c r="X73" s="77" t="inlineStr">
        <is>
          <t>Yes</t>
        </is>
      </c>
      <c r="Y73" s="77" t="inlineStr">
        <is>
          <t>Source 1: SE projects are 'invariably performed in teams'.</t>
        </is>
      </c>
      <c r="Z73" s="77" t="inlineStr">
        <is>
          <t>Yes</t>
        </is>
      </c>
      <c r="AA73" s="77" t="inlineStr">
        <is>
          <t>Source 1: industry partner acts as 'client' for the SE project.</t>
        </is>
      </c>
      <c r="AB73" s="77" t="inlineStr">
        <is>
          <t>Business/commercial</t>
        </is>
      </c>
      <c r="AC73" s="77" t="inlineStr">
        <is>
          <t>Client for the project</t>
        </is>
      </c>
      <c r="AD73" s="77" t="inlineStr"/>
      <c r="AE73" s="77" t="inlineStr">
        <is>
          <t>Software solution (inferred; not stated)</t>
        </is>
      </c>
      <c r="AF73" s="77">
        <f>IF(OR(V73="No",X73="No",Z73="No"),"Outside strict definition",IF(AND(V73="Yes",X73="Yes",Z73="Yes"),"Meets all three","Potentially relevant; evidence incomplete"))</f>
        <v/>
      </c>
      <c r="AG73" s="77" t="inlineStr">
        <is>
          <t>Current status unclear</t>
        </is>
      </c>
      <c r="AH73" s="77" t="inlineStr">
        <is>
          <t>undated</t>
        </is>
      </c>
      <c r="AI73" s="77" t="inlineStr">
        <is>
          <t>Yes</t>
        </is>
      </c>
      <c r="AJ73" s="77">
        <f>IF(AND(AI73="Yes",AF73="Meets all three",AG73="Current delivery confirmed"),"Yes","No")</f>
        <v/>
      </c>
      <c r="AK73" s="77" t="inlineStr"/>
      <c r="AL73" s="77" t="inlineStr">
        <is>
          <t>AU10-S04-R1</t>
        </is>
      </c>
      <c r="AM73" s="77" t="inlineStr">
        <is>
          <t>Page is undated and no 2025/26-26/27 corroboration; exact course code and which degrees; whether 'invariably in teams' refers specifically to this project.</t>
        </is>
      </c>
      <c r="AN73" s="77" t="inlineStr"/>
      <c r="AO73" s="77" t="inlineStr">
        <is>
          <t>Australia</t>
        </is>
      </c>
      <c r="AP73" s="77" t="inlineStr">
        <is>
          <t>Australia</t>
        </is>
      </c>
      <c r="AQ73" s="77" t="inlineStr">
        <is>
          <t>~1 term/semester</t>
        </is>
      </c>
      <c r="AR73" s="77" t="inlineStr">
        <is>
          <t>All/standard</t>
        </is>
      </c>
      <c r="AS73" s="77" t="inlineStr"/>
    </row>
    <row r="74">
      <c r="A74" s="77" t="inlineStr">
        <is>
          <t>AU10</t>
        </is>
      </c>
      <c r="B74" s="77" t="inlineStr">
        <is>
          <t>RMIT</t>
        </is>
      </c>
      <c r="C74" s="77" t="inlineStr">
        <is>
          <t>Programme/course</t>
        </is>
      </c>
      <c r="D74" s="77" t="inlineStr">
        <is>
          <t>AU10-S05</t>
        </is>
      </c>
      <c r="E74" s="77" t="inlineStr"/>
      <c r="F74" s="77" t="inlineStr">
        <is>
          <t>No</t>
        </is>
      </c>
      <c r="G74" s="79" t="inlineStr">
        <is>
          <t>Public Relations Campaigns / Public Relations Capstone Project (Bachelor of Professional Communication)</t>
        </is>
      </c>
      <c r="H74" s="77" t="inlineStr">
        <is>
          <t>PR Campaigns capstone</t>
        </is>
      </c>
      <c r="I74" s="77" t="inlineStr">
        <is>
          <t>COMM2691 (BP223 handbook) or COMM2924 (PR major guide); discrepancy unresolved</t>
        </is>
      </c>
      <c r="J74" s="77" t="inlineStr">
        <is>
          <t>Year 3 capstone commissioned by an industry, government or community organisation partner; students plan and deliver a full PR campaign for a real client, in teams mirroring a consultancy, with timelines and budgets.</t>
        </is>
      </c>
      <c r="K74" s="77" t="inlineStr">
        <is>
          <t>School of Media and Communication</t>
        </is>
      </c>
      <c r="L74" s="77" t="inlineStr">
        <is>
          <t>Bachelor of Professional Communication (PR major)</t>
        </is>
      </c>
      <c r="M74" s="77" t="inlineStr">
        <is>
          <t>Arts/humanities/social sciences</t>
        </is>
      </c>
      <c r="N74" s="77" t="inlineStr">
        <is>
          <t>Undergraduate</t>
        </is>
      </c>
      <c r="O74" s="77" t="inlineStr">
        <is>
          <t>Year 3</t>
        </is>
      </c>
      <c r="P74" s="77" t="inlineStr">
        <is>
          <t>PR major</t>
        </is>
      </c>
      <c r="Q74" s="77" t="inlineStr">
        <is>
          <t>Compulsory within specified programmes</t>
        </is>
      </c>
      <c r="R74" s="77" t="inlineStr">
        <is>
          <t>Curricular</t>
        </is>
      </c>
      <c r="S74" s="77" t="inlineStr">
        <is>
          <t>Unclear</t>
        </is>
      </c>
      <c r="T74" s="77" t="inlineStr">
        <is>
          <t>Unclear</t>
        </is>
      </c>
      <c r="U74" s="77" t="inlineStr">
        <is>
          <t>Capstone; designated WIL course with industry/community feedback</t>
        </is>
      </c>
      <c r="V74" s="77" t="inlineStr">
        <is>
          <t>Yes</t>
        </is>
      </c>
      <c r="W74" s="77" t="inlineStr">
        <is>
          <t>Source 1 (search summary): students 'plan and deliver a comprehensive PR campaign for a real client'.</t>
        </is>
      </c>
      <c r="X74" s="77" t="inlineStr">
        <is>
          <t>Yes</t>
        </is>
      </c>
      <c r="Y74" s="77" t="inlineStr">
        <is>
          <t>Source 2 (search summary): students respond to a client brief 'in teams that mirror a consultancy'.</t>
        </is>
      </c>
      <c r="Z74" s="77" t="inlineStr">
        <is>
          <t>Yes</t>
        </is>
      </c>
      <c r="AA74" s="77" t="inlineStr">
        <is>
          <t>Source 1 (search summary): capstones 'commissioned by one of our industry, government or community organisation partners'; source 2: designated WIL course with industry/community feedback.</t>
        </is>
      </c>
      <c r="AB74" s="77" t="inlineStr">
        <is>
          <t>Mixed</t>
        </is>
      </c>
      <c r="AC74" s="77" t="inlineStr">
        <is>
          <t>Commissions the project; provides feedback</t>
        </is>
      </c>
      <c r="AD74" s="77" t="inlineStr">
        <is>
          <t>PRIA Pitch This! competition entry (undated, about 4 years old); school-wide partner list not tied to this course</t>
        </is>
      </c>
      <c r="AE74" s="77" t="inlineStr">
        <is>
          <t>PR campaign</t>
        </is>
      </c>
      <c r="AF74" s="77">
        <f>IF(OR(V74="No",X74="No",Z74="No"),"Outside strict definition",IF(AND(V74="Yes",X74="Yes",Z74="Yes"),"Meets all three","Potentially relevant; evidence incomplete"))</f>
        <v/>
      </c>
      <c r="AG74" s="77" t="inlineStr">
        <is>
          <t>Current status unclear</t>
        </is>
      </c>
      <c r="AH74" s="77" t="inlineStr">
        <is>
          <t>undated</t>
        </is>
      </c>
      <c r="AI74" s="77" t="inlineStr">
        <is>
          <t>Yes</t>
        </is>
      </c>
      <c r="AJ74" s="77">
        <f>IF(AND(AI74="Yes",AF74="Meets all three",AG74="Current delivery confirmed"),"Yes","No")</f>
        <v/>
      </c>
      <c r="AK74" s="77" t="inlineStr"/>
      <c r="AL74" s="77" t="inlineStr">
        <is>
          <t>AU10-S05-R1; AU10-S05-R2</t>
        </is>
      </c>
      <c r="AM74" s="77" t="inlineStr">
        <is>
          <t>Evidence is search-summary only (page text for Year 3 section was truncated in WebFetch); course code discrepancy; no dated current-year evidence.</t>
        </is>
      </c>
      <c r="AN74" s="77" t="inlineStr"/>
      <c r="AO74" s="77" t="inlineStr">
        <is>
          <t>Australia</t>
        </is>
      </c>
      <c r="AP74" s="77" t="inlineStr">
        <is>
          <t>Australia</t>
        </is>
      </c>
      <c r="AQ74" s="77" t="inlineStr">
        <is>
          <t>Unclear</t>
        </is>
      </c>
      <c r="AR74" s="77" t="inlineStr">
        <is>
          <t>All/standard</t>
        </is>
      </c>
      <c r="AS74" s="77" t="inlineStr"/>
    </row>
    <row r="75">
      <c r="A75" s="77" t="inlineStr">
        <is>
          <t>AU10</t>
        </is>
      </c>
      <c r="B75" s="77" t="inlineStr">
        <is>
          <t>RMIT</t>
        </is>
      </c>
      <c r="C75" s="77" t="inlineStr">
        <is>
          <t>Programme/course</t>
        </is>
      </c>
      <c r="D75" s="77" t="inlineStr">
        <is>
          <t>AU10-S06</t>
        </is>
      </c>
      <c r="E75" s="77" t="inlineStr"/>
      <c r="F75" s="77" t="inlineStr">
        <is>
          <t>No</t>
        </is>
      </c>
      <c r="G75" s="79" t="inlineStr">
        <is>
          <t>Buyer Behaviour cross-cluster industry project (Associate Degree in Business)</t>
        </is>
      </c>
      <c r="H75" s="77" t="inlineStr">
        <is>
          <t>Buyer Behaviour industry project</t>
        </is>
      </c>
      <c r="I75" s="77" t="inlineStr">
        <is>
          <t>Unclear</t>
        </is>
      </c>
      <c r="J75" s="77" t="inlineStr">
        <is>
          <t>Business Enterprise students research and strategise for a real client, then Creative Industries students (e.g. graphic design) execute graphics, animation or video; clients receive pitches.</t>
        </is>
      </c>
      <c r="K75" s="77" t="inlineStr">
        <is>
          <t>College of Vocational Education</t>
        </is>
      </c>
      <c r="L75" s="77" t="inlineStr">
        <is>
          <t>Associate Degree in Business; Creative Industries cluster students</t>
        </is>
      </c>
      <c r="M75" s="77" t="inlineStr">
        <is>
          <t>Business/management; Other (law, health, design, architecture…)</t>
        </is>
      </c>
      <c r="N75" s="77" t="inlineStr">
        <is>
          <t>Undergraduate</t>
        </is>
      </c>
      <c r="O75" s="77" t="inlineStr">
        <is>
          <t>Unclear</t>
        </is>
      </c>
      <c r="P75" s="77" t="inlineStr">
        <is>
          <t>Enrolled in the course</t>
        </is>
      </c>
      <c r="Q75" s="77" t="inlineStr">
        <is>
          <t>Unclear</t>
        </is>
      </c>
      <c r="R75" s="77" t="inlineStr">
        <is>
          <t>Curricular</t>
        </is>
      </c>
      <c r="S75" s="77" t="inlineStr">
        <is>
          <t>Three assessments (Semester 1, 2023 Pattysmiths example)</t>
        </is>
      </c>
      <c r="T75" s="77" t="inlineStr">
        <is>
          <t>One semester</t>
        </is>
      </c>
      <c r="U75" s="77" t="inlineStr">
        <is>
          <t>Cross-cluster team project with client pitches</t>
        </is>
      </c>
      <c r="V75" s="77" t="inlineStr">
        <is>
          <t>Yes</t>
        </is>
      </c>
      <c r="W75" s="77" t="inlineStr">
        <is>
          <t>Source 1: marketing strategies and creative proposals; client pitches.</t>
        </is>
      </c>
      <c r="X75" s="77" t="inlineStr">
        <is>
          <t>Yes</t>
        </is>
      </c>
      <c r="Y75" s="77" t="inlineStr">
        <is>
          <t>Source 1: students work in groups across two clusters; groups formed from stated academic goals.</t>
        </is>
      </c>
      <c r="Z75" s="77" t="inlineStr">
        <is>
          <t>Yes</t>
        </is>
      </c>
      <c r="AA75" s="77" t="inlineStr">
        <is>
          <t>Source 1: partner acts as client and receives pitches; Quit Victoria, Cancer Council, City of Boroondara, TAC, Carl's Jr, Pattysmiths.</t>
        </is>
      </c>
      <c r="AB75" s="77" t="inlineStr">
        <is>
          <t>Mixed</t>
        </is>
      </c>
      <c r="AC75" s="77" t="inlineStr">
        <is>
          <t>Client; receives pitches</t>
        </is>
      </c>
      <c r="AD75" s="77" t="inlineStr">
        <is>
          <t>Pattysmiths (Semester 1, 2023); Quit Victoria, Cancer Council, City of Boroondara, TAC, Carl's Jr (various years)</t>
        </is>
      </c>
      <c r="AE75" s="77" t="inlineStr">
        <is>
          <t>Marketing strategy, creative proposals, client pitch</t>
        </is>
      </c>
      <c r="AF75" s="77">
        <f>IF(OR(V75="No",X75="No",Z75="No"),"Outside strict definition",IF(AND(V75="Yes",X75="Yes",Z75="Yes"),"Meets all three","Potentially relevant; evidence incomplete"))</f>
        <v/>
      </c>
      <c r="AG75" s="77" t="inlineStr">
        <is>
          <t>Current status unclear</t>
        </is>
      </c>
      <c r="AH75" s="77" t="inlineStr">
        <is>
          <t>2023</t>
        </is>
      </c>
      <c r="AI75" s="77" t="inlineStr">
        <is>
          <t>Yes</t>
        </is>
      </c>
      <c r="AJ75" s="77">
        <f>IF(AND(AI75="Yes",AF75="Meets all three",AG75="Current delivery confirmed"),"Yes","No")</f>
        <v/>
      </c>
      <c r="AK75" s="77" t="inlineStr"/>
      <c r="AL75" s="77" t="inlineStr">
        <is>
          <t>AU10-S06-R1</t>
        </is>
      </c>
      <c r="AM75" s="77" t="inlineStr">
        <is>
          <t>Article from August 2023; no 2025/26 evidence the project still runs; vocational-college associate degree.</t>
        </is>
      </c>
      <c r="AN75" s="77" t="inlineStr"/>
      <c r="AO75" s="77" t="inlineStr">
        <is>
          <t>Australia</t>
        </is>
      </c>
      <c r="AP75" s="77" t="inlineStr">
        <is>
          <t>Australia</t>
        </is>
      </c>
      <c r="AQ75" s="77" t="inlineStr">
        <is>
          <t>~1 term/semester</t>
        </is>
      </c>
      <c r="AR75" s="77" t="inlineStr">
        <is>
          <t>All/standard</t>
        </is>
      </c>
      <c r="AS75" s="77" t="inlineStr"/>
    </row>
    <row r="76">
      <c r="A76" s="77" t="inlineStr">
        <is>
          <t>RG01</t>
        </is>
      </c>
      <c r="B76" s="77" t="inlineStr">
        <is>
          <t>Birmingham</t>
        </is>
      </c>
      <c r="C76" s="77" t="inlineStr">
        <is>
          <t>University-wide</t>
        </is>
      </c>
      <c r="D76" s="77" t="inlineStr">
        <is>
          <t>RG01-S01</t>
        </is>
      </c>
      <c r="E76" s="77" t="inlineStr"/>
      <c r="F76" s="77" t="inlineStr">
        <is>
          <t>No</t>
        </is>
      </c>
      <c r="G76" s="79" t="inlineStr">
        <is>
          <t>The Birmingham Project</t>
        </is>
      </c>
      <c r="H76" s="77" t="inlineStr">
        <is>
          <t>The Birmingham Project</t>
        </is>
      </c>
      <c r="I76" s="77" t="inlineStr"/>
      <c r="J76" s="77" t="inlineStr">
        <is>
          <t>One-week, full-time (09:00-17:00) on-campus programme for first-year undergraduates. Students are matched to a sustainability/social theme and placed in small interdisciplinary teams; the challenge question, set by one of the employer partners, is revealed on day one. Each challenge is supported by an industry professional and a team of academics. Teams produce a solution and give an assessed group video presentation to peers, industry professionals and academics on the final day, plus an individual self-evaluation.</t>
        </is>
      </c>
      <c r="K76" s="77" t="inlineStr">
        <is>
          <t>Careers Network (central)</t>
        </is>
      </c>
      <c r="L76" s="77" t="inlineStr">
        <is>
          <t>Registered first-year undergraduates on any course (incl. Erasmus students) at the Birmingham (Edgbaston) campus</t>
        </is>
      </c>
      <c r="M76" s="77" t="inlineStr">
        <is>
          <t>Central provision</t>
        </is>
      </c>
      <c r="N76" s="77" t="inlineStr">
        <is>
          <t>Undergraduate</t>
        </is>
      </c>
      <c r="O76" s="77" t="inlineStr">
        <is>
          <t>Year 1</t>
        </is>
      </c>
      <c r="P76" s="77" t="inlineStr">
        <is>
          <t>First-year UG, Birmingham campus only; must attend every day of the week; Birmingham Scholars and students from IMD Quintile 1 neighbourhoods encouraged/get early enrolment (16 March 2026; general enrolment 30 March 2026).</t>
        </is>
      </c>
      <c r="Q76" s="77" t="inlineStr">
        <is>
          <t>Optional/elective</t>
        </is>
      </c>
      <c r="R76" s="77" t="inlineStr">
        <is>
          <t>Extracurricular</t>
        </is>
      </c>
      <c r="S76" s="77" t="inlineStr">
        <is>
          <t>Non-credit-bearing; recorded as a pass/fail module on the University transcript. Group video presentation 50% + individual self-evaluation 50%.</t>
        </is>
      </c>
      <c r="T76" s="77" t="inlineStr">
        <is>
          <t>One week (5 days, full-time), June</t>
        </is>
      </c>
      <c r="U76" s="77" t="inlineStr">
        <is>
          <t>In person, Edgbaston campus</t>
        </is>
      </c>
      <c r="V76" s="77" t="inlineStr">
        <is>
          <t>Yes</t>
        </is>
      </c>
      <c r="W76" s="77" t="inlineStr">
        <is>
          <t>Defined challenge question per team, solution developed over the week and delivered as an assessed group video presentation [1][2].</t>
        </is>
      </c>
      <c r="X76" s="77" t="inlineStr">
        <is>
          <t>Yes</t>
        </is>
      </c>
      <c r="Y76" s="77" t="inlineStr">
        <is>
          <t>Students work in small interdisciplinary teams/groups with students from across the university; assessed group presentation [1][3].</t>
        </is>
      </c>
      <c r="Z76" s="77" t="inlineStr">
        <is>
          <t>Yes</t>
        </is>
      </c>
      <c r="AA76" s="77" t="inlineStr">
        <is>
          <t>Employer partners set the challenges ('seven employer-set challenges' in the 2026 news item), an industry professional supports each challenge, and teams present to industry professionals on the final day [1][4][5].</t>
        </is>
      </c>
      <c r="AB76" s="77" t="inlineStr">
        <is>
          <t>Mixed</t>
        </is>
      </c>
      <c r="AC76" s="77" t="inlineStr">
        <is>
          <t>Set the challenge question; industry professional supports each challenge team; industry professionals attend/receive final presentations.</t>
        </is>
      </c>
      <c r="AD76" s="77" t="inlineStr">
        <is>
          <t>2026 news item: Birmingham City FC, Conde Nast, Expedia Group, HSBC, Siemens, Transport for West Midlands, West Midlands Combined Authority; employer partners page lists 8 supporters for June 2026 incl. new partner BBC Studios Drama Productions.</t>
        </is>
      </c>
      <c r="AE76" s="77" t="inlineStr">
        <is>
          <t>Group video presentation of solution; individual self-evaluation</t>
        </is>
      </c>
      <c r="AF76" s="77">
        <f>IF(OR(V76="No",X76="No",Z76="No"),"Outside strict definition",IF(AND(V76="Yes",X76="Yes",Z76="Yes"),"Meets all three","Potentially relevant; evidence incomplete"))</f>
        <v/>
      </c>
      <c r="AG76" s="77" t="inlineStr">
        <is>
          <t>Current delivery confirmed</t>
        </is>
      </c>
      <c r="AH76" s="77" t="inlineStr">
        <is>
          <t>2026 (8-12 June 2026 run; a 7-11 June 2027 run was also reported)</t>
        </is>
      </c>
      <c r="AI76" s="77" t="inlineStr">
        <is>
          <t>Yes</t>
        </is>
      </c>
      <c r="AJ76" s="77">
        <f>IF(AND(AI76="Yes",AF76="Meets all three",AG76="Current delivery confirmed"),"Yes","No")</f>
        <v/>
      </c>
      <c r="AK76" s="77" t="inlineStr">
        <is>
          <t>More than 2,000 students have completed the programme since 2013 (cumulative participants; 2026 news item).</t>
        </is>
      </c>
      <c r="AL76" s="77" t="inlineStr">
        <is>
          <t>RG01-S01-R1; RG01-S01-R2; RG01-S01-R3; RG01-S01-R4; RG01-S01-R5</t>
        </is>
      </c>
      <c r="AM76" s="77" t="inlineStr">
        <is>
          <t>Partner count differs (7 in news item vs 8 on partner page for 2026). Annual places not published. 2027 dates came from a search summary of the project page and are not separately verified.</t>
        </is>
      </c>
      <c r="AN76" s="77" t="inlineStr">
        <is>
          <t>Birmingham Project</t>
        </is>
      </c>
      <c r="AO76" s="77" t="inlineStr">
        <is>
          <t>UK</t>
        </is>
      </c>
      <c r="AP76" s="77" t="inlineStr">
        <is>
          <t>UK – Russell Group</t>
        </is>
      </c>
      <c r="AQ76" s="77" t="inlineStr">
        <is>
          <t>1–4 weeks</t>
        </is>
      </c>
      <c r="AR76" s="77" t="inlineStr">
        <is>
          <t>All/standard</t>
        </is>
      </c>
      <c r="AS76" s="77" t="inlineStr"/>
    </row>
    <row r="77">
      <c r="A77" s="77" t="inlineStr">
        <is>
          <t>RG01</t>
        </is>
      </c>
      <c r="B77" s="77" t="inlineStr">
        <is>
          <t>Birmingham</t>
        </is>
      </c>
      <c r="C77" s="77" t="inlineStr">
        <is>
          <t>University-wide</t>
        </is>
      </c>
      <c r="D77" s="77" t="inlineStr">
        <is>
          <t>RG01-S02</t>
        </is>
      </c>
      <c r="E77" s="77" t="inlineStr"/>
      <c r="F77" s="77" t="inlineStr">
        <is>
          <t>No</t>
        </is>
      </c>
      <c r="G77" s="79" t="inlineStr">
        <is>
          <t>Masters Consultancy Challenge (MCC)</t>
        </is>
      </c>
      <c r="H77" s="77" t="inlineStr">
        <is>
          <t>Masters Consultancy Challenge</t>
        </is>
      </c>
      <c r="I77" s="77" t="inlineStr"/>
      <c r="J77" s="77" t="inlineStr">
        <is>
          <t>Intensive three-week Careers Network programme in which taught postgraduates form interdisciplinary groups to solve a challenge set by Turner &amp; Townsend (project management, sustainability, transport and infrastructure themes), then present solutions to a judging panel of industry and University representatives.</t>
        </is>
      </c>
      <c r="K77" s="77" t="inlineStr">
        <is>
          <t>Careers Network (central, postgraduate)</t>
        </is>
      </c>
      <c r="L77" s="77" t="inlineStr">
        <is>
          <t>PGT students from any of the five Colleges registered on Edgbaston-campus programmes</t>
        </is>
      </c>
      <c r="M77" s="77" t="inlineStr">
        <is>
          <t>Central provision</t>
        </is>
      </c>
      <c r="N77" s="77" t="inlineStr">
        <is>
          <t>Postgraduate taught</t>
        </is>
      </c>
      <c r="O77" s="77" t="inlineStr">
        <is>
          <t>Masters (summer period)</t>
        </is>
      </c>
      <c r="P77" s="77" t="inlineStr">
        <is>
          <t>PGT only; Edgbaston-campus programmes; limited places allocated on quality of application.</t>
        </is>
      </c>
      <c r="Q77" s="77" t="inlineStr">
        <is>
          <t>Selective/competitive</t>
        </is>
      </c>
      <c r="R77" s="77" t="inlineStr">
        <is>
          <t>Extracurricular</t>
        </is>
      </c>
      <c r="S77" s="77" t="inlineStr">
        <is>
          <t>None evidenced</t>
        </is>
      </c>
      <c r="T77" s="77" t="inlineStr">
        <is>
          <t>3 weeks (8-26 June 2026; 9-27 June 2025)</t>
        </is>
      </c>
      <c r="U77" s="77" t="inlineStr">
        <is>
          <t>Intensive programme; mode not specified</t>
        </is>
      </c>
      <c r="V77" s="77" t="inlineStr">
        <is>
          <t>Yes</t>
        </is>
      </c>
      <c r="W77" s="77" t="inlineStr">
        <is>
          <t>Defined 'challenge' set by the firm, solved by teams and presented as challenge solutions [1][2].</t>
        </is>
      </c>
      <c r="X77" s="77" t="inlineStr">
        <is>
          <t>Yes</t>
        </is>
      </c>
      <c r="Y77" s="77" t="inlineStr">
        <is>
          <t>'students will form interdisciplinary groups to solve a challenge' [1].</t>
        </is>
      </c>
      <c r="Z77" s="77" t="inlineStr">
        <is>
          <t>Yes</t>
        </is>
      </c>
      <c r="AA77" s="77" t="inlineStr">
        <is>
          <t>Turner &amp; Townsend sets the challenge; teams present to a judging panel of industry and University representatives [1][2]. Caveat: one page says the challenge 'simulates real organisational challenges', while the Business School page calls them 'real organisational challenges for Turner &amp; Townsend' [2] - the firm nonetheless sets the brief and industry representatives judge.</t>
        </is>
      </c>
      <c r="AB77" s="77" t="inlineStr">
        <is>
          <t>Business/commercial</t>
        </is>
      </c>
      <c r="AC77" s="77" t="inlineStr">
        <is>
          <t>Sets the challenge brief; industry representatives sit on the judging panel.</t>
        </is>
      </c>
      <c r="AD77" s="77" t="inlineStr">
        <is>
          <t>Turner &amp; Townsend (2025, 2026)</t>
        </is>
      </c>
      <c r="AE77" s="77" t="inlineStr">
        <is>
          <t>Team challenge solution and presentation to judging panel</t>
        </is>
      </c>
      <c r="AF77" s="77">
        <f>IF(OR(V77="No",X77="No",Z77="No"),"Outside strict definition",IF(AND(V77="Yes",X77="Yes",Z77="Yes"),"Meets all three","Potentially relevant; evidence incomplete"))</f>
        <v/>
      </c>
      <c r="AG77" s="77" t="inlineStr">
        <is>
          <t>Current delivery confirmed</t>
        </is>
      </c>
      <c r="AH77" s="77" t="inlineStr">
        <is>
          <t>2026</t>
        </is>
      </c>
      <c r="AI77" s="77" t="inlineStr">
        <is>
          <t>Yes</t>
        </is>
      </c>
      <c r="AJ77" s="77">
        <f>IF(AND(AI77="Yes",AF77="Meets all three",AG77="Current delivery confirmed"),"Yes","No")</f>
        <v/>
      </c>
      <c r="AK77" s="77" t="inlineStr"/>
      <c r="AL77" s="77" t="inlineStr">
        <is>
          <t>RG01-S02-R1; RG01-S02-R2; RG01-S02-R3</t>
        </is>
      </c>
      <c r="AM77" s="77" t="inlineStr">
        <is>
          <t>Whether the Turner &amp; Townsend brief is a live organisational problem or a designed scenario ('simulates'); number of places; credit/recognition.</t>
        </is>
      </c>
      <c r="AN77" s="77" t="inlineStr"/>
      <c r="AO77" s="77" t="inlineStr">
        <is>
          <t>UK</t>
        </is>
      </c>
      <c r="AP77" s="77" t="inlineStr">
        <is>
          <t>UK – Russell Group</t>
        </is>
      </c>
      <c r="AQ77" s="77" t="inlineStr">
        <is>
          <t>1–4 weeks</t>
        </is>
      </c>
      <c r="AR77" s="77" t="inlineStr">
        <is>
          <t>All/standard</t>
        </is>
      </c>
      <c r="AS77" s="77" t="inlineStr"/>
    </row>
    <row r="78">
      <c r="A78" s="77" t="inlineStr">
        <is>
          <t>RG01</t>
        </is>
      </c>
      <c r="B78" s="77" t="inlineStr">
        <is>
          <t>Birmingham</t>
        </is>
      </c>
      <c r="C78" s="77" t="inlineStr">
        <is>
          <t>University-wide</t>
        </is>
      </c>
      <c r="D78" s="77" t="inlineStr">
        <is>
          <t>RG01-S03</t>
        </is>
      </c>
      <c r="E78" s="77" t="inlineStr"/>
      <c r="F78" s="77" t="inlineStr">
        <is>
          <t>No</t>
        </is>
      </c>
      <c r="G78" s="79" t="inlineStr">
        <is>
          <t>Impact Challenge</t>
        </is>
      </c>
      <c r="H78" s="77" t="inlineStr">
        <is>
          <t>Impact Challenge</t>
        </is>
      </c>
      <c r="I78" s="77" t="inlineStr"/>
      <c r="J78" s="77" t="inlineStr">
        <is>
          <t>Paid (GBP125) week-long on-campus work-experience programme for widening-participation undergraduates. Students work in small teams on a project set by an employer and present their outputs at the end of the week; compulsory follow-up session.</t>
        </is>
      </c>
      <c r="K78" s="77" t="inlineStr">
        <is>
          <t>Careers Network (Equality, diversity and inclusion careers support)</t>
        </is>
      </c>
      <c r="L78" s="77" t="inlineStr">
        <is>
          <t>Penultimate and final-year undergraduates in any discipline meeting WP criteria</t>
        </is>
      </c>
      <c r="M78" s="77" t="inlineStr">
        <is>
          <t>Central provision</t>
        </is>
      </c>
      <c r="N78" s="77" t="inlineStr">
        <is>
          <t>Undergraduate</t>
        </is>
      </c>
      <c r="O78" s="77" t="inlineStr">
        <is>
          <t>Penultimate and final year</t>
        </is>
      </c>
      <c r="P78" s="77" t="inlineStr">
        <is>
          <t>Birmingham Scholars, students with home address in IMD Quintile 1, and/or students registered with a disability / in receipt of DSA.</t>
        </is>
      </c>
      <c r="Q78" s="77" t="inlineStr">
        <is>
          <t>Selective/competitive</t>
        </is>
      </c>
      <c r="R78" s="77" t="inlineStr">
        <is>
          <t>Extracurricular</t>
        </is>
      </c>
      <c r="S78" s="77" t="inlineStr">
        <is>
          <t>Not credit-bearing; GBP125 payment on completion</t>
        </is>
      </c>
      <c r="T78" s="77" t="inlineStr">
        <is>
          <t>One week (15-19 June 2026) + follow-up session 22 or 24 June</t>
        </is>
      </c>
      <c r="U78" s="77" t="inlineStr">
        <is>
          <t>In person, on campus</t>
        </is>
      </c>
      <c r="V78" s="77" t="inlineStr">
        <is>
          <t>Yes</t>
        </is>
      </c>
      <c r="W78" s="77" t="inlineStr">
        <is>
          <t>Team project set by an employer with outputs presented at end of week; past briefs e.g. a campaign for Grace Cares, a patient feedback strategy for The Patient Centre, marketing work for CoachBright [1].</t>
        </is>
      </c>
      <c r="X78" s="77" t="inlineStr">
        <is>
          <t>Yes</t>
        </is>
      </c>
      <c r="Y78" s="77" t="inlineStr">
        <is>
          <t>Students work 'in small teams on a project set by an employer' [1].</t>
        </is>
      </c>
      <c r="Z78" s="77" t="inlineStr">
        <is>
          <t>Yes</t>
        </is>
      </c>
      <c r="AA78" s="77" t="inlineStr">
        <is>
          <t>Employer sets the project and receives the presented outputs [1]. One past brief was internal (study of student engagement with Careers Network, which informed the Careers Corner location).</t>
        </is>
      </c>
      <c r="AB78" s="77" t="inlineStr">
        <is>
          <t>Mixed</t>
        </is>
      </c>
      <c r="AC78" s="77" t="inlineStr">
        <is>
          <t>Sets the project brief; receives end-of-week presentation. Mostly charities/social enterprises/health organisations in examples; one internal (Careers Network) brief evidenced.</t>
        </is>
      </c>
      <c r="AD78" s="77" t="inlineStr">
        <is>
          <t>Past briefs (undated): Grace Cares, The Patient Centre, CoachBright; internal: Careers Network.</t>
        </is>
      </c>
      <c r="AE78" s="77" t="inlineStr">
        <is>
          <t>Team outputs (e.g. campaign, strategy) presented at end of week</t>
        </is>
      </c>
      <c r="AF78" s="77">
        <f>IF(OR(V78="No",X78="No",Z78="No"),"Outside strict definition",IF(AND(V78="Yes",X78="Yes",Z78="Yes"),"Meets all three","Potentially relevant; evidence incomplete"))</f>
        <v/>
      </c>
      <c r="AG78" s="77" t="inlineStr">
        <is>
          <t>Current delivery confirmed</t>
        </is>
      </c>
      <c r="AH78" s="77" t="inlineStr">
        <is>
          <t>2026</t>
        </is>
      </c>
      <c r="AI78" s="77" t="inlineStr">
        <is>
          <t>Yes</t>
        </is>
      </c>
      <c r="AJ78" s="77">
        <f>IF(AND(AI78="Yes",AF78="Meets all three",AG78="Current delivery confirmed"),"Yes","No")</f>
        <v/>
      </c>
      <c r="AK78" s="77" t="inlineStr"/>
      <c r="AL78" s="77" t="inlineStr">
        <is>
          <t>RG01-S03-R1</t>
        </is>
      </c>
      <c r="AM78" s="77" t="inlineStr">
        <is>
          <t>Number of places/teams; whether internal briefs recur each year (would lower external coverage).</t>
        </is>
      </c>
      <c r="AN78" s="77" t="inlineStr"/>
      <c r="AO78" s="77" t="inlineStr">
        <is>
          <t>UK</t>
        </is>
      </c>
      <c r="AP78" s="77" t="inlineStr">
        <is>
          <t>UK – Russell Group</t>
        </is>
      </c>
      <c r="AQ78" s="77" t="inlineStr">
        <is>
          <t>1–4 weeks</t>
        </is>
      </c>
      <c r="AR78" s="77" t="inlineStr">
        <is>
          <t>All/standard</t>
        </is>
      </c>
      <c r="AS78" s="77" t="inlineStr"/>
    </row>
    <row r="79">
      <c r="A79" s="77" t="inlineStr">
        <is>
          <t>RG01</t>
        </is>
      </c>
      <c r="B79" s="77" t="inlineStr">
        <is>
          <t>Birmingham</t>
        </is>
      </c>
      <c r="C79" s="77" t="inlineStr">
        <is>
          <t>Cross-faculty</t>
        </is>
      </c>
      <c r="D79" s="77" t="inlineStr">
        <is>
          <t>RG01-S04</t>
        </is>
      </c>
      <c r="E79" s="77" t="inlineStr"/>
      <c r="F79" s="77" t="inlineStr">
        <is>
          <t>No</t>
        </is>
      </c>
      <c r="G79" s="79" t="inlineStr">
        <is>
          <t>Capgemini Community Challenge</t>
        </is>
      </c>
      <c r="H79" s="77" t="inlineStr">
        <is>
          <t>Capgemini Community Challenge</t>
        </is>
      </c>
      <c r="I79" s="77" t="inlineStr"/>
      <c r="J79" s="77" t="inlineStr">
        <is>
          <t>Week-long, all-expenses-paid consultancy programme hosted at Capgemini's offices (Telford in 2026) in partnership with Birmingham Business School. Undergraduate teams work on solutions-based consultancy projects for third-sector clients (e.g. Ironbridge Gorge Museum Trust, Age Concern, Air Ambulance, Shropshire Wildlife Trust). Compulsory team-building session the week before.</t>
        </is>
      </c>
      <c r="K79" s="77" t="inlineStr">
        <is>
          <t>Birmingham Business School with Capgemini; advertised via Careers Network</t>
        </is>
      </c>
      <c r="L79" s="77" t="inlineStr">
        <is>
          <t>Intranet: first, second and penultimate-year UGs in business, computing, engineering, maths and sciences subjects; Business School page: 'exclusive to undergraduate students at Birmingham Business School' (conflict)</t>
        </is>
      </c>
      <c r="M79" s="77" t="inlineStr">
        <is>
          <t>Business/management; Engineering/computing; Science</t>
        </is>
      </c>
      <c r="N79" s="77" t="inlineStr">
        <is>
          <t>Undergraduate</t>
        </is>
      </c>
      <c r="O79" s="77" t="inlineStr">
        <is>
          <t>First, second and penultimate year</t>
        </is>
      </c>
      <c r="P79" s="77" t="inlineStr">
        <is>
          <t>Application-based; subject eligibility stated differently on two pages.</t>
        </is>
      </c>
      <c r="Q79" s="77" t="inlineStr">
        <is>
          <t>Selective/competitive</t>
        </is>
      </c>
      <c r="R79" s="77" t="inlineStr">
        <is>
          <t>Extracurricular</t>
        </is>
      </c>
      <c r="S79" s="77" t="inlineStr">
        <is>
          <t>None evidenced; unpaid but all expenses covered</t>
        </is>
      </c>
      <c r="T79" s="77" t="inlineStr">
        <is>
          <t>One week (8-12 June 2026) + team-building session</t>
        </is>
      </c>
      <c r="U79" s="77" t="inlineStr">
        <is>
          <t>In person at Capgemini Telford office</t>
        </is>
      </c>
      <c r="V79" s="77" t="inlineStr">
        <is>
          <t>Yes</t>
        </is>
      </c>
      <c r="W79" s="77" t="inlineStr">
        <is>
          <t>Solutions-based consultancy projects for third-sector clients [1][2].</t>
        </is>
      </c>
      <c r="X79" s="77" t="inlineStr">
        <is>
          <t>Yes</t>
        </is>
      </c>
      <c r="Y79" s="77" t="inlineStr">
        <is>
          <t>Undergraduates 'work in consultancy teams' for a third-sector client [1][3].</t>
        </is>
      </c>
      <c r="Z79" s="77" t="inlineStr">
        <is>
          <t>Yes</t>
        </is>
      </c>
      <c r="AA79" s="77" t="inlineStr">
        <is>
          <t>Third-sector organisations act as clients for the team consultancy projects; Capgemini hosts the week at its client-solutions facilities [1][2][3].</t>
        </is>
      </c>
      <c r="AB79" s="77" t="inlineStr">
        <is>
          <t>Charity/community</t>
        </is>
      </c>
      <c r="AC79" s="77" t="inlineStr">
        <is>
          <t>Charity clients commission/receive the consultancy solutions; Capgemini (business) hosts and sponsors.</t>
        </is>
      </c>
      <c r="AD79" s="77" t="inlineStr">
        <is>
          <t>Host: Capgemini (2026). Past clients (undated/2015-2024): Ironbridge Gorge Museum Trust, Age Concern, Air Ambulance, Shropshire Wildlife Trust; a Telford charity (2024).</t>
        </is>
      </c>
      <c r="AE79" s="77" t="inlineStr">
        <is>
          <t>Consultancy solutions for the charity client</t>
        </is>
      </c>
      <c r="AF79" s="77">
        <f>IF(OR(V79="No",X79="No",Z79="No"),"Outside strict definition",IF(AND(V79="Yes",X79="Yes",Z79="Yes"),"Meets all three","Potentially relevant; evidence incomplete"))</f>
        <v/>
      </c>
      <c r="AG79" s="77" t="inlineStr">
        <is>
          <t>Current delivery confirmed</t>
        </is>
      </c>
      <c r="AH79" s="77" t="inlineStr">
        <is>
          <t>2026</t>
        </is>
      </c>
      <c r="AI79" s="77" t="inlineStr">
        <is>
          <t>Yes</t>
        </is>
      </c>
      <c r="AJ79" s="77">
        <f>IF(AND(AI79="Yes",AF79="Meets all three",AG79="Current delivery confirmed"),"Yes","No")</f>
        <v/>
      </c>
      <c r="AK79" s="77" t="inlineStr"/>
      <c r="AL79" s="77" t="inlineStr">
        <is>
          <t>RG01-S04-R1; RG01-S04-R2; RG01-S04-R3</t>
        </is>
      </c>
      <c r="AM79" s="77" t="inlineStr">
        <is>
          <t>Eligibility conflict (BBS-only vs business/computing/engineering/maths/sciences); number of places; Capgemini staff role in coaching not evidenced.</t>
        </is>
      </c>
      <c r="AN79" s="77" t="inlineStr"/>
      <c r="AO79" s="77" t="inlineStr">
        <is>
          <t>UK</t>
        </is>
      </c>
      <c r="AP79" s="77" t="inlineStr">
        <is>
          <t>UK – Russell Group</t>
        </is>
      </c>
      <c r="AQ79" s="77" t="inlineStr">
        <is>
          <t>1–4 weeks</t>
        </is>
      </c>
      <c r="AR79" s="77" t="inlineStr">
        <is>
          <t>All/standard</t>
        </is>
      </c>
      <c r="AS79" s="77" t="inlineStr"/>
    </row>
    <row r="80">
      <c r="A80" s="77" t="inlineStr">
        <is>
          <t>RG01</t>
        </is>
      </c>
      <c r="B80" s="77" t="inlineStr">
        <is>
          <t>Birmingham</t>
        </is>
      </c>
      <c r="C80" s="77" t="inlineStr">
        <is>
          <t>Programme/course</t>
        </is>
      </c>
      <c r="D80" s="77" t="inlineStr">
        <is>
          <t>RG01-S05</t>
        </is>
      </c>
      <c r="E80" s="77" t="inlineStr"/>
      <c r="F80" s="77" t="inlineStr">
        <is>
          <t>No</t>
        </is>
      </c>
      <c r="G80" s="79" t="inlineStr">
        <is>
          <t>MSc Strategic Marketing and Consulting: Consultancy Skills and Practice (group consultancy project)</t>
        </is>
      </c>
      <c r="H80" s="77" t="inlineStr"/>
      <c r="I80" s="77" t="inlineStr"/>
      <c r="J80" s="77" t="inlineStr">
        <is>
          <t>Within the 20-credit Consultancy Skills and Practice module, student teams complete a consultancy project for a real organisation (SMEs, corporates, public bodies) and present recommendations directly to the client. Separate from the programme's 60-credit individual consultancy-style project.</t>
        </is>
      </c>
      <c r="K80" s="77" t="inlineStr">
        <is>
          <t>Birmingham Business School</t>
        </is>
      </c>
      <c r="L80" s="77" t="inlineStr">
        <is>
          <t>MSc Strategic Marketing and Consulting</t>
        </is>
      </c>
      <c r="M80" s="77" t="inlineStr">
        <is>
          <t>Business/management</t>
        </is>
      </c>
      <c r="N80" s="77" t="inlineStr">
        <is>
          <t>Postgraduate taught</t>
        </is>
      </c>
      <c r="O80" s="77" t="inlineStr">
        <is>
          <t>Masters</t>
        </is>
      </c>
      <c r="P80" s="77" t="inlineStr">
        <is>
          <t>Students on the named MSc</t>
        </is>
      </c>
      <c r="Q80" s="77" t="inlineStr">
        <is>
          <t>Unclear</t>
        </is>
      </c>
      <c r="R80" s="77" t="inlineStr">
        <is>
          <t>Curricular</t>
        </is>
      </c>
      <c r="S80" s="77" t="inlineStr">
        <is>
          <t>20-credit module (of 180)</t>
        </is>
      </c>
      <c r="T80" s="77" t="inlineStr">
        <is>
          <t>Not stated (within one-year MSc)</t>
        </is>
      </c>
      <c r="U80" s="77" t="inlineStr">
        <is>
          <t>In person</t>
        </is>
      </c>
      <c r="V80" s="77" t="inlineStr">
        <is>
          <t>Yes</t>
        </is>
      </c>
      <c r="W80" s="77" t="inlineStr">
        <is>
          <t>Group consultancy project with recommendations presented to the client [1].</t>
        </is>
      </c>
      <c r="X80" s="77" t="inlineStr">
        <is>
          <t>Yes</t>
        </is>
      </c>
      <c r="Y80" s="77" t="inlineStr">
        <is>
          <t>Course page describes a 'group consultancy project' [1].</t>
        </is>
      </c>
      <c r="Z80" s="77" t="inlineStr">
        <is>
          <t>Yes</t>
        </is>
      </c>
      <c r="AA80" s="77" t="inlineStr">
        <is>
          <t>Project is for a real external organisation; students present recommendations directly to the client [1].</t>
        </is>
      </c>
      <c r="AB80" s="77" t="inlineStr">
        <is>
          <t>Mixed</t>
        </is>
      </c>
      <c r="AC80" s="77" t="inlineStr">
        <is>
          <t>Client supplies the consultancy problem and receives recommendations</t>
        </is>
      </c>
      <c r="AD80" s="77" t="inlineStr"/>
      <c r="AE80" s="77" t="inlineStr">
        <is>
          <t>Consultancy recommendations presented to client</t>
        </is>
      </c>
      <c r="AF80" s="77">
        <f>IF(OR(V80="No",X80="No",Z80="No"),"Outside strict definition",IF(AND(V80="Yes",X80="Yes",Z80="Yes"),"Meets all three","Potentially relevant; evidence incomplete"))</f>
        <v/>
      </c>
      <c r="AG80" s="77" t="inlineStr">
        <is>
          <t>Current status unclear</t>
        </is>
      </c>
      <c r="AH80" s="77" t="inlineStr"/>
      <c r="AI80" s="77" t="inlineStr">
        <is>
          <t>Yes</t>
        </is>
      </c>
      <c r="AJ80" s="77">
        <f>IF(AND(AI80="Yes",AF80="Meets all three",AG80="Current delivery confirmed"),"Yes","No")</f>
        <v/>
      </c>
      <c r="AK80" s="77" t="inlineStr"/>
      <c r="AL80" s="77" t="inlineStr">
        <is>
          <t>RG01-S05-R1; RG01-S05-R2</t>
        </is>
      </c>
      <c r="AM80" s="77" t="inlineStr">
        <is>
          <t>Course page undated and not corroborated by a dated 2025/26-2026/27 source; whether the module is core; group size. A student story [2] about applying (CV/cover letter) to live briefs may refer to the individual company project rather than this group project.</t>
        </is>
      </c>
      <c r="AN80" s="77" t="inlineStr"/>
      <c r="AO80" s="77" t="inlineStr">
        <is>
          <t>UK</t>
        </is>
      </c>
      <c r="AP80" s="77" t="inlineStr">
        <is>
          <t>UK – Russell Group</t>
        </is>
      </c>
      <c r="AQ80" s="77" t="inlineStr">
        <is>
          <t>Unclear</t>
        </is>
      </c>
      <c r="AR80" s="77" t="inlineStr">
        <is>
          <t>All/standard</t>
        </is>
      </c>
      <c r="AS80" s="77" t="inlineStr"/>
    </row>
    <row r="81">
      <c r="A81" s="77" t="inlineStr">
        <is>
          <t>RG01</t>
        </is>
      </c>
      <c r="B81" s="77" t="inlineStr">
        <is>
          <t>Birmingham</t>
        </is>
      </c>
      <c r="C81" s="77" t="inlineStr">
        <is>
          <t>Faculty/school</t>
        </is>
      </c>
      <c r="D81" s="77" t="inlineStr">
        <is>
          <t>RG01-S06</t>
        </is>
      </c>
      <c r="E81" s="77" t="inlineStr"/>
      <c r="F81" s="77" t="inlineStr">
        <is>
          <t>No</t>
        </is>
      </c>
      <c r="G81" s="79" t="inlineStr">
        <is>
          <t>Masters Company Projects (Birmingham Business School)</t>
        </is>
      </c>
      <c r="H81" s="77" t="inlineStr"/>
      <c r="I81" s="77" t="inlineStr"/>
      <c r="J81" s="77" t="inlineStr">
        <is>
          <t>On selected MSc programmes (incl. Business Analytics, Marketing, Supply Chain Management) students can complete their degree with an organisation, 'contributing to solutions for a live business challenge'. The MBA offers a parallel 40-credit MBA Company Project option (alternatives: Entrepreneurial Project or dissertation); recent MBA company projects reportedly with Microsoft, BT and Sebring.</t>
        </is>
      </c>
      <c r="K81" s="77" t="inlineStr">
        <is>
          <t>Birmingham Business School (BBS Careers)</t>
        </is>
      </c>
      <c r="L81" s="77" t="inlineStr">
        <is>
          <t>Selected BBS MSc programmes; MBA (option)</t>
        </is>
      </c>
      <c r="M81" s="77" t="inlineStr">
        <is>
          <t>Business/management</t>
        </is>
      </c>
      <c r="N81" s="77" t="inlineStr">
        <is>
          <t>Postgraduate taught</t>
        </is>
      </c>
      <c r="O81" s="77" t="inlineStr">
        <is>
          <t>Final stage of Masters</t>
        </is>
      </c>
      <c r="P81" s="77" t="inlineStr">
        <is>
          <t>Selected programmes only; MBA students choose between company project, entrepreneurial project or dissertation</t>
        </is>
      </c>
      <c r="Q81" s="77" t="inlineStr">
        <is>
          <t>Optional/elective</t>
        </is>
      </c>
      <c r="R81" s="77" t="inlineStr">
        <is>
          <t>Curricular</t>
        </is>
      </c>
      <c r="S81" s="77" t="inlineStr">
        <is>
          <t>MBA Company Project 40 credits; MSc credit not stated (final project/dissertation equivalent)</t>
        </is>
      </c>
      <c r="T81" s="77" t="inlineStr">
        <is>
          <t>Not stated (summer final-project period)</t>
        </is>
      </c>
      <c r="U81" s="77" t="inlineStr">
        <is>
          <t>With host organisation</t>
        </is>
      </c>
      <c r="V81" s="77" t="inlineStr">
        <is>
          <t>Yes</t>
        </is>
      </c>
      <c r="W81" s="77" t="inlineStr">
        <is>
          <t>Project on a live business challenge for an organisation [1].</t>
        </is>
      </c>
      <c r="X81" s="77" t="inlineStr">
        <is>
          <t>Unclear</t>
        </is>
      </c>
      <c r="Y81" s="77" t="inlineStr">
        <is>
          <t>Sources do not say whether company projects are individual or team; functions as the final project/dissertation route, which is typically individual.</t>
        </is>
      </c>
      <c r="Z81" s="77" t="inlineStr">
        <is>
          <t>Yes</t>
        </is>
      </c>
      <c r="AA81" s="77" t="inlineStr">
        <is>
          <t>Organisation provides the live business challenge and hosts the project [1].</t>
        </is>
      </c>
      <c r="AB81" s="77" t="inlineStr">
        <is>
          <t>Business/commercial</t>
        </is>
      </c>
      <c r="AC81" s="77" t="inlineStr">
        <is>
          <t>Provides live business challenge; hosts student</t>
        </is>
      </c>
      <c r="AD81" s="77" t="inlineStr">
        <is>
          <t>MBA (reported, undated): Microsoft, BT, Sebring</t>
        </is>
      </c>
      <c r="AE81" s="77" t="inlineStr">
        <is>
          <t>Company project report</t>
        </is>
      </c>
      <c r="AF81" s="77">
        <f>IF(OR(V81="No",X81="No",Z81="No"),"Outside strict definition",IF(AND(V81="Yes",X81="Yes",Z81="Yes"),"Meets all three","Potentially relevant; evidence incomplete"))</f>
        <v/>
      </c>
      <c r="AG81" s="77" t="inlineStr">
        <is>
          <t>Current status unclear</t>
        </is>
      </c>
      <c r="AH81" s="77" t="inlineStr"/>
      <c r="AI81" s="77" t="inlineStr">
        <is>
          <t>Yes</t>
        </is>
      </c>
      <c r="AJ81" s="77">
        <f>IF(AND(AI81="Yes",AF81="Meets all three",AG81="Current delivery confirmed"),"Yes","No")</f>
        <v/>
      </c>
      <c r="AK81" s="77" t="inlineStr"/>
      <c r="AL81" s="77" t="inlineStr">
        <is>
          <t>RG01-S06-R1</t>
        </is>
      </c>
      <c r="AM81" s="77" t="inlineStr">
        <is>
          <t>Individual vs group; current-year evidence; credits for MSc variants.</t>
        </is>
      </c>
      <c r="AN81" s="77" t="inlineStr"/>
      <c r="AO81" s="77" t="inlineStr">
        <is>
          <t>UK</t>
        </is>
      </c>
      <c r="AP81" s="77" t="inlineStr">
        <is>
          <t>UK – Russell Group</t>
        </is>
      </c>
      <c r="AQ81" s="77" t="inlineStr">
        <is>
          <t>Unclear</t>
        </is>
      </c>
      <c r="AR81" s="77" t="inlineStr">
        <is>
          <t>All/standard</t>
        </is>
      </c>
      <c r="AS81" s="77" t="inlineStr"/>
    </row>
    <row r="82">
      <c r="A82" s="77" t="inlineStr">
        <is>
          <t>RG01</t>
        </is>
      </c>
      <c r="B82" s="77" t="inlineStr">
        <is>
          <t>Birmingham</t>
        </is>
      </c>
      <c r="C82" s="77" t="inlineStr">
        <is>
          <t>Programme/course</t>
        </is>
      </c>
      <c r="D82" s="77" t="inlineStr">
        <is>
          <t>RG01-S07</t>
        </is>
      </c>
      <c r="E82" s="77" t="inlineStr"/>
      <c r="F82" s="77" t="inlineStr">
        <is>
          <t>No</t>
        </is>
      </c>
      <c r="G82" s="79" t="inlineStr">
        <is>
          <t>Chemical / Energy Engineering final-year industry-linked design project</t>
        </is>
      </c>
      <c r="H82" s="77" t="inlineStr"/>
      <c r="I82" s="77" t="inlineStr"/>
      <c r="J82" s="77" t="inlineStr">
        <is>
          <t>Final-year design project (40 credits on MEng variants) on a chemical process, described as 'industry linked', with students 'working closely with industry figures'. Example topics cited by a student: recycling carbon fibre composites, ice-cream factory design, dressings for chronic wounds.</t>
        </is>
      </c>
      <c r="K82" s="77" t="inlineStr">
        <is>
          <t>School of Chemical Engineering</t>
        </is>
      </c>
      <c r="L82" s="77" t="inlineStr">
        <is>
          <t>Chemical Engineering and Energy Engineering BEng/MEng (incl. industrial/international variants)</t>
        </is>
      </c>
      <c r="M82" s="77" t="inlineStr">
        <is>
          <t>Engineering/computing</t>
        </is>
      </c>
      <c r="N82" s="77" t="inlineStr">
        <is>
          <t>Undergraduate</t>
        </is>
      </c>
      <c r="O82" s="77" t="inlineStr">
        <is>
          <t>Final year</t>
        </is>
      </c>
      <c r="P82" s="77" t="inlineStr">
        <is>
          <t>Students on named programmes</t>
        </is>
      </c>
      <c r="Q82" s="77" t="inlineStr">
        <is>
          <t>Unclear</t>
        </is>
      </c>
      <c r="R82" s="77" t="inlineStr">
        <is>
          <t>Curricular</t>
        </is>
      </c>
      <c r="S82" s="77" t="inlineStr">
        <is>
          <t>40 credits (MEng with International and Industrial Study)</t>
        </is>
      </c>
      <c r="T82" s="77" t="inlineStr">
        <is>
          <t>Final year (length not stated)</t>
        </is>
      </c>
      <c r="U82" s="77" t="inlineStr">
        <is>
          <t>In person</t>
        </is>
      </c>
      <c r="V82" s="77" t="inlineStr">
        <is>
          <t>Yes</t>
        </is>
      </c>
      <c r="W82" s="77" t="inlineStr">
        <is>
          <t>Design project on a chemical process, 40 credits [2][3].</t>
        </is>
      </c>
      <c r="X82" s="77" t="inlineStr">
        <is>
          <t>Unclear</t>
        </is>
      </c>
      <c r="Y82" s="77" t="inlineStr">
        <is>
          <t>Programme stresses 'team-based project work' [3] but no source states the design project is done in teams.</t>
        </is>
      </c>
      <c r="Z82" s="77" t="inlineStr">
        <is>
          <t>Unclear</t>
        </is>
      </c>
      <c r="AA82" s="77" t="inlineStr">
        <is>
          <t>'final year sees you working closely with industry figures, as you develop your design project' [1]; 'industry relevant/industry linked' - no evidence that a company sets the brief, supervises or assesses.</t>
        </is>
      </c>
      <c r="AB82" s="77" t="inlineStr">
        <is>
          <t>Unclear</t>
        </is>
      </c>
      <c r="AC82" s="77" t="inlineStr">
        <is>
          <t>Unclear (industry figures involved in some way)</t>
        </is>
      </c>
      <c r="AD82" s="77" t="inlineStr"/>
      <c r="AE82" s="77" t="inlineStr">
        <is>
          <t>Process design</t>
        </is>
      </c>
      <c r="AF82" s="77">
        <f>IF(OR(V82="No",X82="No",Z82="No"),"Outside strict definition",IF(AND(V82="Yes",X82="Yes",Z82="Yes"),"Meets all three","Potentially relevant; evidence incomplete"))</f>
        <v/>
      </c>
      <c r="AG82" s="77" t="inlineStr">
        <is>
          <t>Current status unclear</t>
        </is>
      </c>
      <c r="AH82" s="77" t="inlineStr"/>
      <c r="AI82" s="77" t="inlineStr">
        <is>
          <t>Yes</t>
        </is>
      </c>
      <c r="AJ82" s="77">
        <f>IF(AND(AI82="Yes",AF82="Meets all three",AG82="Current delivery confirmed"),"Yes","No")</f>
        <v/>
      </c>
      <c r="AK82" s="77" t="inlineStr"/>
      <c r="AL82" s="77" t="inlineStr">
        <is>
          <t>RG01-S07-R1; RG01-S07-R2; RG01-S07-R3</t>
        </is>
      </c>
      <c r="AM82" s="77" t="inlineStr">
        <is>
          <t>Group format and industry role; course pages show module tables for future intakes only.</t>
        </is>
      </c>
      <c r="AN82" s="77" t="inlineStr"/>
      <c r="AO82" s="77" t="inlineStr">
        <is>
          <t>UK</t>
        </is>
      </c>
      <c r="AP82" s="77" t="inlineStr">
        <is>
          <t>UK – Russell Group</t>
        </is>
      </c>
      <c r="AQ82" s="77" t="inlineStr">
        <is>
          <t>Unclear</t>
        </is>
      </c>
      <c r="AR82" s="77" t="inlineStr">
        <is>
          <t>Unclear</t>
        </is>
      </c>
      <c r="AS82" s="77" t="inlineStr"/>
    </row>
    <row r="83">
      <c r="A83" s="77" t="inlineStr">
        <is>
          <t>RG01</t>
        </is>
      </c>
      <c r="B83" s="77" t="inlineStr">
        <is>
          <t>Birmingham</t>
        </is>
      </c>
      <c r="C83" s="77" t="inlineStr">
        <is>
          <t>Programme/course</t>
        </is>
      </c>
      <c r="D83" s="77" t="inlineStr">
        <is>
          <t>RG01-S08</t>
        </is>
      </c>
      <c r="E83" s="77" t="inlineStr"/>
      <c r="F83" s="77" t="inlineStr">
        <is>
          <t>No</t>
        </is>
      </c>
      <c r="G83" s="79" t="inlineStr">
        <is>
          <t>Mathematical Challenge: Problem Solving and Programming in Business and Industry</t>
        </is>
      </c>
      <c r="H83" s="77" t="inlineStr"/>
      <c r="I83" s="77" t="inlineStr"/>
      <c r="J83" s="77" t="inlineStr">
        <is>
          <t>Compulsory 20-credit Year 2 core module on the Mathematics BSc (also International Year variant) on applying mathematics to real-world problems; search summary states students model real problems with industry partners.</t>
        </is>
      </c>
      <c r="K83" s="77" t="inlineStr">
        <is>
          <t>School of Mathematics</t>
        </is>
      </c>
      <c r="L83" s="77" t="inlineStr">
        <is>
          <t>Mathematics / Mathematical Sciences BSc variants</t>
        </is>
      </c>
      <c r="M83" s="77" t="inlineStr">
        <is>
          <t>Science</t>
        </is>
      </c>
      <c r="N83" s="77" t="inlineStr">
        <is>
          <t>Undergraduate</t>
        </is>
      </c>
      <c r="O83" s="77" t="inlineStr">
        <is>
          <t>Year 2</t>
        </is>
      </c>
      <c r="P83" s="77" t="inlineStr">
        <is>
          <t>Named programmes</t>
        </is>
      </c>
      <c r="Q83" s="77" t="inlineStr">
        <is>
          <t>Compulsory within specified programmes</t>
        </is>
      </c>
      <c r="R83" s="77" t="inlineStr">
        <is>
          <t>Curricular</t>
        </is>
      </c>
      <c r="S83" s="77" t="inlineStr">
        <is>
          <t>20 credits</t>
        </is>
      </c>
      <c r="T83" s="77" t="inlineStr">
        <is>
          <t>Not stated</t>
        </is>
      </c>
      <c r="U83" s="77" t="inlineStr">
        <is>
          <t>In person</t>
        </is>
      </c>
      <c r="V83" s="77" t="inlineStr">
        <is>
          <t>Unclear</t>
        </is>
      </c>
      <c r="W83" s="77" t="inlineStr">
        <is>
          <t>Module title/summary only; no defined project brief evidenced [1].</t>
        </is>
      </c>
      <c r="X83" s="77" t="inlineStr">
        <is>
          <t>Unclear</t>
        </is>
      </c>
      <c r="Y83" s="77" t="inlineStr">
        <is>
          <t>Not stated [1].</t>
        </is>
      </c>
      <c r="Z83" s="77" t="inlineStr">
        <is>
          <t>Unclear</t>
        </is>
      </c>
      <c r="AA83" s="77" t="inlineStr">
        <is>
          <t>Summary mentions industry partners but no named partner or role confirmed [1].</t>
        </is>
      </c>
      <c r="AB83" s="77" t="inlineStr">
        <is>
          <t>Unclear</t>
        </is>
      </c>
      <c r="AC83" s="77" t="inlineStr">
        <is>
          <t>Unclear</t>
        </is>
      </c>
      <c r="AD83" s="77" t="inlineStr"/>
      <c r="AE83" s="77" t="inlineStr">
        <is>
          <t>Unclear</t>
        </is>
      </c>
      <c r="AF83" s="77">
        <f>IF(OR(V83="No",X83="No",Z83="No"),"Outside strict definition",IF(AND(V83="Yes",X83="Yes",Z83="Yes"),"Meets all three","Potentially relevant; evidence incomplete"))</f>
        <v/>
      </c>
      <c r="AG83" s="77" t="inlineStr">
        <is>
          <t>Current status unclear</t>
        </is>
      </c>
      <c r="AH83" s="77" t="inlineStr"/>
      <c r="AI83" s="77" t="inlineStr">
        <is>
          <t>Yes</t>
        </is>
      </c>
      <c r="AJ83" s="77">
        <f>IF(AND(AI83="Yes",AF83="Meets all three",AG83="Current delivery confirmed"),"Yes","No")</f>
        <v/>
      </c>
      <c r="AK83" s="77" t="inlineStr"/>
      <c r="AL83" s="77" t="inlineStr">
        <is>
          <t>RG01-S08-R1</t>
        </is>
      </c>
      <c r="AM83" s="77" t="inlineStr">
        <is>
          <t>Team format, partner role, current delivery (course page shows future-entry module list).</t>
        </is>
      </c>
      <c r="AN83" s="77" t="inlineStr"/>
      <c r="AO83" s="77" t="inlineStr">
        <is>
          <t>UK</t>
        </is>
      </c>
      <c r="AP83" s="77" t="inlineStr">
        <is>
          <t>UK – Russell Group</t>
        </is>
      </c>
      <c r="AQ83" s="77" t="inlineStr">
        <is>
          <t>Unclear</t>
        </is>
      </c>
      <c r="AR83" s="77" t="inlineStr">
        <is>
          <t>Unclear</t>
        </is>
      </c>
      <c r="AS83" s="77" t="inlineStr"/>
    </row>
    <row r="84">
      <c r="A84" s="77" t="inlineStr">
        <is>
          <t>RG01</t>
        </is>
      </c>
      <c r="B84" s="77" t="inlineStr">
        <is>
          <t>Birmingham</t>
        </is>
      </c>
      <c r="C84" s="77" t="inlineStr">
        <is>
          <t>Faculty/school</t>
        </is>
      </c>
      <c r="D84" s="77" t="inlineStr">
        <is>
          <t>RG01-S09</t>
        </is>
      </c>
      <c r="E84" s="77" t="inlineStr"/>
      <c r="F84" s="77" t="inlineStr">
        <is>
          <t>No</t>
        </is>
      </c>
      <c r="G84" s="79" t="inlineStr">
        <is>
          <t>Law Pro Bono Group: Birmingham Free Legal Advice Group (FLAG) and clinics</t>
        </is>
      </c>
      <c r="H84" s="77" t="inlineStr"/>
      <c r="I84" s="77" t="inlineStr"/>
      <c r="J84" s="77" t="inlineStr">
        <is>
          <t>Student volunteers in pairs interview real members of the public, research for about two weeks and draft a letter of advice, supervised by qualified lawyers; other clinics (Fraud Clinic with Tenet Law solicitors, Freedom Law Clinic) also supervised by external solicitors.</t>
        </is>
      </c>
      <c r="K84" s="77" t="inlineStr">
        <is>
          <t>CEPLER / Birmingham Law School</t>
        </is>
      </c>
      <c r="L84" s="77" t="inlineStr">
        <is>
          <t>Law students (eligibility not verified)</t>
        </is>
      </c>
      <c r="M84" s="77" t="inlineStr">
        <is>
          <t>Other (law, health, design, architecture…)</t>
        </is>
      </c>
      <c r="N84" s="77" t="inlineStr">
        <is>
          <t>Mixed</t>
        </is>
      </c>
      <c r="O84" s="77" t="inlineStr">
        <is>
          <t>Unclear</t>
        </is>
      </c>
      <c r="P84" s="77" t="inlineStr">
        <is>
          <t>Not verified</t>
        </is>
      </c>
      <c r="Q84" s="77" t="inlineStr">
        <is>
          <t>Optional/elective</t>
        </is>
      </c>
      <c r="R84" s="77" t="inlineStr">
        <is>
          <t>Extracurricular</t>
        </is>
      </c>
      <c r="S84" s="77" t="inlineStr">
        <is>
          <t>None evidenced</t>
        </is>
      </c>
      <c r="T84" s="77" t="inlineStr">
        <is>
          <t>About 2 weeks per matter</t>
        </is>
      </c>
      <c r="U84" s="77" t="inlineStr">
        <is>
          <t>Clinic/remote</t>
        </is>
      </c>
      <c r="V84" s="77" t="inlineStr">
        <is>
          <t>Yes</t>
        </is>
      </c>
      <c r="W84" s="77" t="inlineStr">
        <is>
          <t>Client matter with advice letter as output [1].</t>
        </is>
      </c>
      <c r="X84" s="77" t="inlineStr">
        <is>
          <t>Yes</t>
        </is>
      </c>
      <c r="Y84" s="77" t="inlineStr">
        <is>
          <t>'In pairs' student volunteers interview the client (pair) [1].</t>
        </is>
      </c>
      <c r="Z84" s="77" t="inlineStr">
        <is>
          <t>Unclear</t>
        </is>
      </c>
      <c r="AA84" s="77" t="inlineStr">
        <is>
          <t>Clients are individual members of the public (not organisations); supervising solicitors include external firm Tenet Law (Fraud Clinic) - no external organisation sets a brief for a standard route [1].</t>
        </is>
      </c>
      <c r="AB84" s="77" t="inlineStr">
        <is>
          <t>Other</t>
        </is>
      </c>
      <c r="AC84" s="77" t="inlineStr">
        <is>
          <t>Individual clients; external supervising solicitors in some clinics</t>
        </is>
      </c>
      <c r="AD84" s="77" t="inlineStr"/>
      <c r="AE84" s="77" t="inlineStr">
        <is>
          <t>Letter of advice to client</t>
        </is>
      </c>
      <c r="AF84" s="77">
        <f>IF(OR(V84="No",X84="No",Z84="No"),"Outside strict definition",IF(AND(V84="Yes",X84="Yes",Z84="Yes"),"Meets all three","Potentially relevant; evidence incomplete"))</f>
        <v/>
      </c>
      <c r="AG84" s="77" t="inlineStr">
        <is>
          <t>Current delivery confirmed</t>
        </is>
      </c>
      <c r="AH84" s="77" t="inlineStr">
        <is>
          <t>2026</t>
        </is>
      </c>
      <c r="AI84" s="77" t="inlineStr">
        <is>
          <t>Yes</t>
        </is>
      </c>
      <c r="AJ84" s="77">
        <f>IF(AND(AI84="Yes",AF84="Meets all three",AG84="Current delivery confirmed"),"Yes","No")</f>
        <v/>
      </c>
      <c r="AK84" s="77" t="inlineStr"/>
      <c r="AL84" s="77" t="inlineStr">
        <is>
          <t>RG01-S09-R1</t>
        </is>
      </c>
      <c r="AM84" s="77" t="inlineStr">
        <is>
          <t>Whether individual clients/supervising solicitors count as external organisation; eligibility; credit; extracurricular.</t>
        </is>
      </c>
      <c r="AN84" s="77" t="inlineStr"/>
      <c r="AO84" s="77" t="inlineStr">
        <is>
          <t>UK</t>
        </is>
      </c>
      <c r="AP84" s="77" t="inlineStr">
        <is>
          <t>UK – Russell Group</t>
        </is>
      </c>
      <c r="AQ84" s="77" t="inlineStr">
        <is>
          <t>Unclear</t>
        </is>
      </c>
      <c r="AR84" s="77" t="inlineStr">
        <is>
          <t>Unclear</t>
        </is>
      </c>
      <c r="AS84" s="77" t="inlineStr"/>
    </row>
    <row r="85">
      <c r="A85" s="77" t="inlineStr">
        <is>
          <t>RG02</t>
        </is>
      </c>
      <c r="B85" s="77" t="inlineStr">
        <is>
          <t>Bristol</t>
        </is>
      </c>
      <c r="C85" s="77" t="inlineStr">
        <is>
          <t>Programme/course</t>
        </is>
      </c>
      <c r="D85" s="77" t="inlineStr">
        <is>
          <t>RG02-S01</t>
        </is>
      </c>
      <c r="E85" s="77" t="inlineStr"/>
      <c r="F85" s="77" t="inlineStr">
        <is>
          <t>No</t>
        </is>
      </c>
      <c r="G85" s="79" t="inlineStr">
        <is>
          <t>Software Engineering Project (undergraduate Computer Science client projects)</t>
        </is>
      </c>
      <c r="H85" s="77" t="inlineStr">
        <is>
          <t>Software Engineering Project (COMS20006)</t>
        </is>
      </c>
      <c r="I85" s="77" t="inlineStr">
        <is>
          <t>COMS20006</t>
        </is>
      </c>
      <c r="J85" s="77" t="inlineStr">
        <is>
          <t>Second-year Computer Science undergraduates work in groups of about four to six on a software problem for a real-world client over 22 weeks (October to May), run 'as a software consultancy'. Teams use an agile method, meet the client every two to three weeks, and release a prototype/MVP, beta and final release to the client. Proposals come from companies via the Industrial Liaison Office.</t>
        </is>
      </c>
      <c r="K85" s="77" t="inlineStr">
        <is>
          <t>School of Computer Science / Industrial Liaison Office, Faculty of Science and Engineering</t>
        </is>
      </c>
      <c r="L85" s="77" t="inlineStr">
        <is>
          <t>Undergraduate Computer Science programmes (second year)</t>
        </is>
      </c>
      <c r="M85" s="77" t="inlineStr">
        <is>
          <t>Engineering/computing</t>
        </is>
      </c>
      <c r="N85" s="77" t="inlineStr">
        <is>
          <t>Undergraduate</t>
        </is>
      </c>
      <c r="O85" s="77" t="inlineStr">
        <is>
          <t>Year 2</t>
        </is>
      </c>
      <c r="P85" s="77" t="inlineStr">
        <is>
          <t>Not evidenced beyond Computer Science undergraduates.</t>
        </is>
      </c>
      <c r="Q85" s="77" t="inlineStr">
        <is>
          <t>Unclear</t>
        </is>
      </c>
      <c r="R85" s="77" t="inlineStr">
        <is>
          <t>Curricular</t>
        </is>
      </c>
      <c r="S85" s="77" t="inlineStr">
        <is>
          <t>20 credits; 100% coursework, assessed in groups (catalogue entry carries an unreliable year label, '2036/37').</t>
        </is>
      </c>
      <c r="T85" s="77" t="inlineStr">
        <is>
          <t>22 weeks (Oct-May), ~6 hours/student/week</t>
        </is>
      </c>
      <c r="U85" s="77" t="inlineStr">
        <is>
          <t>In-person team project with regular client meetings</t>
        </is>
      </c>
      <c r="V85" s="77" t="inlineStr">
        <is>
          <t>Yes</t>
        </is>
      </c>
      <c r="W85" s="77" t="inlineStr">
        <is>
          <t>Teams specify, design, implement and evaluate a software system with MVP, beta and final release milestones (sources 1, 2).</t>
        </is>
      </c>
      <c r="X85" s="77" t="inlineStr">
        <is>
          <t>Yes</t>
        </is>
      </c>
      <c r="Y85" s="77" t="inlineStr">
        <is>
          <t>'Each group contains approximately six students' (one page) / 'approximately four' (other pages); assessment is in groups (sources 1-3).</t>
        </is>
      </c>
      <c r="Z85" s="77" t="inlineStr">
        <is>
          <t>Yes</t>
        </is>
      </c>
      <c r="AA85" s="77" t="inlineStr">
        <is>
          <t>'Students work as a group on a problem for a real-world client'; clients propose the brief, give student effort free of charge and must meet the team every two to three weeks (sources 1, 2).</t>
        </is>
      </c>
      <c r="AB85" s="77" t="inlineStr">
        <is>
          <t>Business/commercial</t>
        </is>
      </c>
      <c r="AC85" s="77" t="inlineStr">
        <is>
          <t>Client supplies brief and meets team regularly for feedback; pages are addressed to companies with a 'software need'. Whether some clients are internal/academic is not stated.</t>
        </is>
      </c>
      <c r="AD85" s="77" t="inlineStr"/>
      <c r="AE85" s="77" t="inlineStr">
        <is>
          <t>Working software prototype/system delivered to the client</t>
        </is>
      </c>
      <c r="AF85" s="77">
        <f>IF(OR(V85="No",X85="No",Z85="No"),"Outside strict definition",IF(AND(V85="Yes",X85="Yes",Z85="Yes"),"Meets all three","Potentially relevant; evidence incomplete"))</f>
        <v/>
      </c>
      <c r="AG85" s="77" t="inlineStr">
        <is>
          <t>Current status unclear</t>
        </is>
      </c>
      <c r="AH85" s="77" t="inlineStr">
        <is>
          <t>undated</t>
        </is>
      </c>
      <c r="AI85" s="77" t="inlineStr">
        <is>
          <t>Yes</t>
        </is>
      </c>
      <c r="AJ85" s="77">
        <f>IF(AND(AI85="Yes",AF85="Meets all three",AG85="Current delivery confirmed"),"Yes","No")</f>
        <v/>
      </c>
      <c r="AK85" s="77" t="inlineStr"/>
      <c r="AL85" s="77" t="inlineStr">
        <is>
          <t>RG02-S01-R1; RG02-S01-R2; RG02-S01-R3</t>
        </is>
      </c>
      <c r="AM85" s="77" t="inlineStr">
        <is>
          <t>No dated 2025/26 or 2026/27 source for this unit (the only catalogue hit is labelled 2036/37, an obvious placeholder). Group size conflicts (4 vs 6). Compulsory/optional status and programme list not confirmed. A BSc Computer Science with AI 2026-entry page mentions an AI software team project for a real client with an industrial mentor; not confirmed as the same unit.</t>
        </is>
      </c>
      <c r="AN85" s="77" t="inlineStr"/>
      <c r="AO85" s="77" t="inlineStr">
        <is>
          <t>UK</t>
        </is>
      </c>
      <c r="AP85" s="77" t="inlineStr">
        <is>
          <t>UK – Russell Group</t>
        </is>
      </c>
      <c r="AQ85" s="77" t="inlineStr">
        <is>
          <t>&gt;1 term</t>
        </is>
      </c>
      <c r="AR85" s="77" t="inlineStr">
        <is>
          <t>All/standard</t>
        </is>
      </c>
      <c r="AS85" s="77" t="inlineStr"/>
    </row>
    <row r="86">
      <c r="A86" s="77" t="inlineStr">
        <is>
          <t>RG02</t>
        </is>
      </c>
      <c r="B86" s="77" t="inlineStr">
        <is>
          <t>Bristol</t>
        </is>
      </c>
      <c r="C86" s="77" t="inlineStr">
        <is>
          <t>Programme/course</t>
        </is>
      </c>
      <c r="D86" s="77" t="inlineStr">
        <is>
          <t>RG02-S02</t>
        </is>
      </c>
      <c r="E86" s="77" t="inlineStr"/>
      <c r="F86" s="77" t="inlineStr">
        <is>
          <t>No</t>
        </is>
      </c>
      <c r="G86" s="79" t="inlineStr">
        <is>
          <t>MSc Summer Team Project (Computer Science)</t>
        </is>
      </c>
      <c r="H86" s="77" t="inlineStr">
        <is>
          <t>MSc Summer Team Project</t>
        </is>
      </c>
      <c r="I86" s="77" t="inlineStr"/>
      <c r="J86" s="77" t="inlineStr">
        <is>
          <t>Summer project expected of all MSc Computer Science students: teams of typically 4-6 build a prototype system or application for an industry client who proposes the brief, with a Project Advisor guiding academic standards and the client meeting the team regularly.</t>
        </is>
      </c>
      <c r="K86" s="77" t="inlineStr">
        <is>
          <t>School of Computer Science / Industrial Liaison Office</t>
        </is>
      </c>
      <c r="L86" s="77" t="inlineStr">
        <is>
          <t>MSc Computer Science</t>
        </is>
      </c>
      <c r="M86" s="77" t="inlineStr">
        <is>
          <t>Engineering/computing</t>
        </is>
      </c>
      <c r="N86" s="77" t="inlineStr">
        <is>
          <t>Postgraduate taught</t>
        </is>
      </c>
      <c r="O86" s="77" t="inlineStr">
        <is>
          <t>Summer term after taught units</t>
        </is>
      </c>
      <c r="P86" s="77" t="inlineStr"/>
      <c r="Q86" s="77" t="inlineStr">
        <is>
          <t>Compulsory within specified programmes</t>
        </is>
      </c>
      <c r="R86" s="77" t="inlineStr">
        <is>
          <t>Curricular</t>
        </is>
      </c>
      <c r="S86" s="77" t="inlineStr">
        <is>
          <t>Not retrieved</t>
        </is>
      </c>
      <c r="T86" s="77" t="inlineStr">
        <is>
          <t>Summer (project work after teaching; proposals submitted July-December)</t>
        </is>
      </c>
      <c r="U86" s="77" t="inlineStr">
        <is>
          <t>Team project with regular client meetings</t>
        </is>
      </c>
      <c r="V86" s="77" t="inlineStr">
        <is>
          <t>Yes</t>
        </is>
      </c>
      <c r="W86" s="77" t="inlineStr">
        <is>
          <t>'Teams of typically 4-6 students build a prototype system or application' (source 1).</t>
        </is>
      </c>
      <c r="X86" s="77" t="inlineStr">
        <is>
          <t>Yes</t>
        </is>
      </c>
      <c r="Y86" s="77" t="inlineStr">
        <is>
          <t>Teams of typically 4-6 students; 'advanced group project' (source 1).</t>
        </is>
      </c>
      <c r="Z86" s="77" t="inlineStr">
        <is>
          <t>Yes</t>
        </is>
      </c>
      <c r="AA86" s="77" t="inlineStr">
        <is>
          <t>Client submits a brief (description, motivation, constraints, IP), contributes no fee but must meet student teams every two to three weeks to review progress and steer (source 1).</t>
        </is>
      </c>
      <c r="AB86" s="77" t="inlineStr">
        <is>
          <t>Business/commercial</t>
        </is>
      </c>
      <c r="AC86" s="77" t="inlineStr">
        <is>
          <t>Client supplies brief and steers work through regular meetings.</t>
        </is>
      </c>
      <c r="AD86" s="77" t="inlineStr"/>
      <c r="AE86" s="77" t="inlineStr">
        <is>
          <t>Prototype system/application</t>
        </is>
      </c>
      <c r="AF86" s="77">
        <f>IF(OR(V86="No",X86="No",Z86="No"),"Outside strict definition",IF(AND(V86="Yes",X86="Yes",Z86="Yes"),"Meets all three","Potentially relevant; evidence incomplete"))</f>
        <v/>
      </c>
      <c r="AG86" s="77" t="inlineStr">
        <is>
          <t>Current status unclear</t>
        </is>
      </c>
      <c r="AH86" s="77" t="inlineStr">
        <is>
          <t>undated</t>
        </is>
      </c>
      <c r="AI86" s="77" t="inlineStr">
        <is>
          <t>Yes</t>
        </is>
      </c>
      <c r="AJ86" s="77">
        <f>IF(AND(AI86="Yes",AF86="Meets all three",AG86="Current delivery confirmed"),"Yes","No")</f>
        <v/>
      </c>
      <c r="AK86" s="77" t="inlineStr"/>
      <c r="AL86" s="77" t="inlineStr">
        <is>
          <t>RG02-S02-R1</t>
        </is>
      </c>
      <c r="AM86" s="77" t="inlineStr">
        <is>
          <t>Page undated; no dated 2025/26 or 2026/27 corroboration. Credit value and assessment not retrieved. Whether academic/internal projects also feature is not stated.</t>
        </is>
      </c>
      <c r="AN86" s="77" t="inlineStr"/>
      <c r="AO86" s="77" t="inlineStr">
        <is>
          <t>UK</t>
        </is>
      </c>
      <c r="AP86" s="77" t="inlineStr">
        <is>
          <t>UK – Russell Group</t>
        </is>
      </c>
      <c r="AQ86" s="77" t="inlineStr">
        <is>
          <t>~1 term</t>
        </is>
      </c>
      <c r="AR86" s="77" t="inlineStr">
        <is>
          <t>All/standard</t>
        </is>
      </c>
      <c r="AS86" s="77" t="inlineStr"/>
    </row>
    <row r="87">
      <c r="A87" s="77" t="inlineStr">
        <is>
          <t>RG02</t>
        </is>
      </c>
      <c r="B87" s="77" t="inlineStr">
        <is>
          <t>Bristol</t>
        </is>
      </c>
      <c r="C87" s="77" t="inlineStr">
        <is>
          <t>Programme/course</t>
        </is>
      </c>
      <c r="D87" s="77" t="inlineStr">
        <is>
          <t>RG02-S03</t>
        </is>
      </c>
      <c r="E87" s="77" t="inlineStr"/>
      <c r="F87" s="77" t="inlineStr">
        <is>
          <t>No</t>
        </is>
      </c>
      <c r="G87" s="79" t="inlineStr">
        <is>
          <t>Mathematical and Data Modelling 3</t>
        </is>
      </c>
      <c r="H87" s="77" t="inlineStr">
        <is>
          <t>Mathematical and Data Modelling 3 (Engineering Mathematics industrial modelling projects)</t>
        </is>
      </c>
      <c r="I87" s="77" t="inlineStr">
        <is>
          <t>SEMT30005</t>
        </is>
      </c>
      <c r="J87" s="77" t="inlineStr">
        <is>
          <t>Third-year unit in which students work in groups of 4-6 on three six-week real-world modelling problems; two group projects are supplied by industrial partners and the third is a student-led project on a societal challenge. Each group has academic supervision and a teaching assistant. Companies submit problems via the Industrial Liaison Office and can expect a working prototype or concept.</t>
        </is>
      </c>
      <c r="K87" s="77" t="inlineStr">
        <is>
          <t>School of Engineering Mathematics and Technology</t>
        </is>
      </c>
      <c r="L87" s="77" t="inlineStr">
        <is>
          <t>Engineering Mathematics programmes (third year)</t>
        </is>
      </c>
      <c r="M87" s="77" t="inlineStr">
        <is>
          <t>Engineering/computing</t>
        </is>
      </c>
      <c r="N87" s="77" t="inlineStr">
        <is>
          <t>Undergraduate</t>
        </is>
      </c>
      <c r="O87" s="77" t="inlineStr">
        <is>
          <t>Year 3</t>
        </is>
      </c>
      <c r="P87" s="77" t="inlineStr"/>
      <c r="Q87" s="77" t="inlineStr">
        <is>
          <t>Unclear</t>
        </is>
      </c>
      <c r="R87" s="77" t="inlineStr">
        <is>
          <t>Curricular</t>
        </is>
      </c>
      <c r="S87" s="77" t="inlineStr">
        <is>
          <t>Credits/assessment not retrieved</t>
        </is>
      </c>
      <c r="T87" s="77" t="inlineStr">
        <is>
          <t>3 x 6-week problems (two industry-supplied)</t>
        </is>
      </c>
      <c r="U87" s="77" t="inlineStr">
        <is>
          <t>Group projects with academic supervision and TA</t>
        </is>
      </c>
      <c r="V87" s="77" t="inlineStr">
        <is>
          <t>Yes</t>
        </is>
      </c>
      <c r="W87" s="77" t="inlineStr">
        <is>
          <t>Students 'work in groups to solve three real-world problems, each ... a total of 6 weeks' (source 1); prototype or concept expected (source 2).</t>
        </is>
      </c>
      <c r="X87" s="77" t="inlineStr">
        <is>
          <t>Yes</t>
        </is>
      </c>
      <c r="Y87" s="77" t="inlineStr">
        <is>
          <t>Groups of 4-6 students (source 1); ILO page: about 5 students per project-problem (source 2).</t>
        </is>
      </c>
      <c r="Z87" s="77" t="inlineStr">
        <is>
          <t>Yes</t>
        </is>
      </c>
      <c r="AA87" s="77" t="inlineStr">
        <is>
          <t>'Two group projects will be supplied by industrial partners' (source 1); partners propose open-ended problems via the ILO (source 2). The third project is student-led and not industry-set.</t>
        </is>
      </c>
      <c r="AB87" s="77" t="inlineStr">
        <is>
          <t>Business/commercial</t>
        </is>
      </c>
      <c r="AC87" s="77" t="inlineStr">
        <is>
          <t>Industrial partners supply the problems for two of the three group projects; engagement in feedback not detailed.</t>
        </is>
      </c>
      <c r="AD87" s="77" t="inlineStr">
        <is>
          <t>Not named in extracts</t>
        </is>
      </c>
      <c r="AE87" s="77" t="inlineStr">
        <is>
          <t>Working prototype or concept/model per problem</t>
        </is>
      </c>
      <c r="AF87" s="77">
        <f>IF(OR(V87="No",X87="No",Z87="No"),"Outside strict definition",IF(AND(V87="Yes",X87="Yes",Z87="Yes"),"Meets all three","Potentially relevant; evidence incomplete"))</f>
        <v/>
      </c>
      <c r="AG87" s="77" t="inlineStr">
        <is>
          <t>Current delivery confirmed</t>
        </is>
      </c>
      <c r="AH87" s="77" t="inlineStr">
        <is>
          <t>2026/27</t>
        </is>
      </c>
      <c r="AI87" s="77" t="inlineStr">
        <is>
          <t>Yes</t>
        </is>
      </c>
      <c r="AJ87" s="77">
        <f>IF(AND(AI87="Yes",AF87="Meets all three",AG87="Current delivery confirmed"),"Yes","No")</f>
        <v/>
      </c>
      <c r="AK87" s="77" t="inlineStr"/>
      <c r="AL87" s="77" t="inlineStr">
        <is>
          <t>RG02-S03-R1; RG02-S03-R2</t>
        </is>
      </c>
      <c r="AM87" s="77" t="inlineStr">
        <is>
          <t>Compulsory/optional status, credit value and exact programmes not retrieved. Partner names not evidenced. Industrial/external share applies to 2 of 3 projects.</t>
        </is>
      </c>
      <c r="AN87" s="77" t="inlineStr"/>
      <c r="AO87" s="77" t="inlineStr">
        <is>
          <t>UK</t>
        </is>
      </c>
      <c r="AP87" s="77" t="inlineStr">
        <is>
          <t>UK – Russell Group</t>
        </is>
      </c>
      <c r="AQ87" s="77" t="inlineStr">
        <is>
          <t>1-4 weeks to ~1 term (3 x 6-week projects)</t>
        </is>
      </c>
      <c r="AR87" s="77" t="inlineStr">
        <is>
          <t>All/standard</t>
        </is>
      </c>
      <c r="AS87" s="77" t="inlineStr"/>
    </row>
    <row r="88">
      <c r="A88" s="77" t="inlineStr">
        <is>
          <t>RG02</t>
        </is>
      </c>
      <c r="B88" s="77" t="inlineStr">
        <is>
          <t>Bristol</t>
        </is>
      </c>
      <c r="C88" s="77" t="inlineStr">
        <is>
          <t>Programme/course</t>
        </is>
      </c>
      <c r="D88" s="77" t="inlineStr">
        <is>
          <t>RG02-S04</t>
        </is>
      </c>
      <c r="E88" s="77" t="inlineStr"/>
      <c r="F88" s="77" t="inlineStr">
        <is>
          <t>No</t>
        </is>
      </c>
      <c r="G88" s="79" t="inlineStr">
        <is>
          <t>Design Project (Civil Engineering) / Civil Engineering Design Projects with external clients</t>
        </is>
      </c>
      <c r="H88" s="77" t="inlineStr">
        <is>
          <t>Civil Engineering Design Project</t>
        </is>
      </c>
      <c r="I88" s="77" t="inlineStr">
        <is>
          <t>CENGM0062</t>
        </is>
      </c>
      <c r="J88" s="77" t="inlineStr">
        <is>
          <t>MEng capstone group design project developing a RIBA stage 1-2 design from a brief supplied by industry or by an academic. The ILO invites external clients (e.g. consultancies) to submit briefs; clients meet students at least twice a year, give feedback at a December poster session and are not involved in marking.</t>
        </is>
      </c>
      <c r="K88" s="77" t="inlineStr">
        <is>
          <t>School of Civil, Aerospace and Design Engineering / ILO</t>
        </is>
      </c>
      <c r="L88" s="77" t="inlineStr">
        <is>
          <t>MEng Civil Engineering (final year)</t>
        </is>
      </c>
      <c r="M88" s="77" t="inlineStr">
        <is>
          <t>Engineering/computing</t>
        </is>
      </c>
      <c r="N88" s="77" t="inlineStr">
        <is>
          <t>Undergraduate</t>
        </is>
      </c>
      <c r="O88" s="77" t="inlineStr">
        <is>
          <t>Year 4 (MEng)</t>
        </is>
      </c>
      <c r="P88" s="77" t="inlineStr"/>
      <c r="Q88" s="77" t="inlineStr">
        <is>
          <t>Compulsory within specified programmes</t>
        </is>
      </c>
      <c r="R88" s="77" t="inlineStr">
        <is>
          <t>Curricular</t>
        </is>
      </c>
      <c r="S88" s="77" t="inlineStr">
        <is>
          <t>40 credits, Teaching Block 4 (source 1)</t>
        </is>
      </c>
      <c r="T88" s="77" t="inlineStr">
        <is>
          <t>Academic year (TB4 unit; client selection early October, poster session December)</t>
        </is>
      </c>
      <c r="U88" s="77" t="inlineStr">
        <is>
          <t>Group design project with supervisor and optional industrial advisor</t>
        </is>
      </c>
      <c r="V88" s="77" t="inlineStr">
        <is>
          <t>Yes</t>
        </is>
      </c>
      <c r="W88" s="77" t="inlineStr">
        <is>
          <t>Develop a RIBA stage 2 project from a basic brief; capstone integrating prior learning (source 1).</t>
        </is>
      </c>
      <c r="X88" s="77" t="inlineStr">
        <is>
          <t>Yes</t>
        </is>
      </c>
      <c r="Y88" s="77" t="inlineStr">
        <is>
          <t>ILO page: 'group projects' on real design briefs (source 2); unit assessment includes group final report (source 1).</t>
        </is>
      </c>
      <c r="Z88" s="77" t="inlineStr">
        <is>
          <t>Unclear</t>
        </is>
      </c>
      <c r="AA88" s="77" t="inlineStr">
        <is>
          <t>Briefs come 'from industry or from an academic' (source 1); only 'some projects have industrial advisors'; ILO page invites external client briefs and says clients meet students at least twice a year (source 2). External share not specified.</t>
        </is>
      </c>
      <c r="AB88" s="77" t="inlineStr">
        <is>
          <t>Mixed</t>
        </is>
      </c>
      <c r="AC88" s="77" t="inlineStr">
        <is>
          <t>External client proposes brief, meets students and comments at poster session; internal academic-set briefs also used.</t>
        </is>
      </c>
      <c r="AD88" s="77" t="inlineStr">
        <is>
          <t>Arcadis pitched a Holyhead train-care facility brief to an earlier 4th-year group (blog, ~2023); no 2025/26 clients evidenced.</t>
        </is>
      </c>
      <c r="AE88" s="77" t="inlineStr">
        <is>
          <t>Group design report and poster</t>
        </is>
      </c>
      <c r="AF88" s="77">
        <f>IF(OR(V88="No",X88="No",Z88="No"),"Outside strict definition",IF(AND(V88="Yes",X88="Yes",Z88="Yes"),"Meets all three","Potentially relevant; evidence incomplete"))</f>
        <v/>
      </c>
      <c r="AG88" s="77" t="inlineStr">
        <is>
          <t>Current delivery confirmed</t>
        </is>
      </c>
      <c r="AH88" s="77" t="inlineStr">
        <is>
          <t>2025/26</t>
        </is>
      </c>
      <c r="AI88" s="77" t="inlineStr">
        <is>
          <t>Yes</t>
        </is>
      </c>
      <c r="AJ88" s="77">
        <f>IF(AND(AI88="Yes",AF88="Meets all three",AG88="Current delivery confirmed"),"Yes","No")</f>
        <v/>
      </c>
      <c r="AK88" s="77" t="inlineStr"/>
      <c r="AL88" s="77" t="inlineStr">
        <is>
          <t>RG02-S04-R1; RG02-S04-R2</t>
        </is>
      </c>
      <c r="AM88" s="77" t="inlineStr">
        <is>
          <t>Share of projects with external clients in 2025/26 not published; C therefore Unclear. ILO brief dates are undated.</t>
        </is>
      </c>
      <c r="AN88" s="77" t="inlineStr"/>
      <c r="AO88" s="77" t="inlineStr">
        <is>
          <t>UK</t>
        </is>
      </c>
      <c r="AP88" s="77" t="inlineStr">
        <is>
          <t>UK – Russell Group</t>
        </is>
      </c>
      <c r="AQ88" s="77" t="inlineStr">
        <is>
          <t>&gt;1 term</t>
        </is>
      </c>
      <c r="AR88" s="77" t="inlineStr">
        <is>
          <t>Some projects</t>
        </is>
      </c>
      <c r="AS88" s="77" t="inlineStr"/>
    </row>
    <row r="89">
      <c r="A89" s="77" t="inlineStr">
        <is>
          <t>RG02</t>
        </is>
      </c>
      <c r="B89" s="77" t="inlineStr">
        <is>
          <t>Bristol</t>
        </is>
      </c>
      <c r="C89" s="77" t="inlineStr">
        <is>
          <t>Programme/course</t>
        </is>
      </c>
      <c r="D89" s="77" t="inlineStr">
        <is>
          <t>RG02-S05</t>
        </is>
      </c>
      <c r="E89" s="77" t="inlineStr"/>
      <c r="F89" s="77" t="inlineStr">
        <is>
          <t>No</t>
        </is>
      </c>
      <c r="G89" s="79" t="inlineStr">
        <is>
          <t>Data Science Mini-Project</t>
        </is>
      </c>
      <c r="H89" s="77" t="inlineStr">
        <is>
          <t>Data Science Mini-Project (MSc Data Science)</t>
        </is>
      </c>
      <c r="I89" s="77" t="inlineStr">
        <is>
          <t>EMATM0050</t>
        </is>
      </c>
      <c r="J89" s="77" t="inlineStr">
        <is>
          <t>Small teams build a data science application or proof-of-concept specified by a problem-owner. Whenever possible the application meets the needs of an external client (e.g. an industrial partner) or problem-owners elsewhere in the University. Assessed by group presentation, group report with code, and individual reflection.</t>
        </is>
      </c>
      <c r="K89" s="77" t="inlineStr">
        <is>
          <t>School of Engineering Mathematics and Technology</t>
        </is>
      </c>
      <c r="L89" s="77" t="inlineStr">
        <is>
          <t>MSc Data Science (on-campus cohort)</t>
        </is>
      </c>
      <c r="M89" s="77" t="inlineStr">
        <is>
          <t>Engineering/computing; Science</t>
        </is>
      </c>
      <c r="N89" s="77" t="inlineStr">
        <is>
          <t>Postgraduate taught</t>
        </is>
      </c>
      <c r="O89" s="77" t="inlineStr">
        <is>
          <t>Masters</t>
        </is>
      </c>
      <c r="P89" s="77" t="inlineStr"/>
      <c r="Q89" s="77" t="inlineStr">
        <is>
          <t>Compulsory within specified programmes</t>
        </is>
      </c>
      <c r="R89" s="77" t="inlineStr">
        <is>
          <t>Curricular</t>
        </is>
      </c>
      <c r="S89" s="77" t="inlineStr">
        <is>
          <t>20 credits, TB2; group presentation 20%, group report 60%, individual reflective account 20% (2025/26)</t>
        </is>
      </c>
      <c r="T89" s="77" t="inlineStr">
        <is>
          <t>Teaching Block 2 (weeks 13-24)</t>
        </is>
      </c>
      <c r="U89" s="77" t="inlineStr">
        <is>
          <t>Team project with problem-owner and review panel</t>
        </is>
      </c>
      <c r="V89" s="77" t="inlineStr">
        <is>
          <t>Yes</t>
        </is>
      </c>
      <c r="W89" s="77" t="inlineStr">
        <is>
          <t>Teams produce a data science application/proof-of-concept and written report (source 1).</t>
        </is>
      </c>
      <c r="X89" s="77" t="inlineStr">
        <is>
          <t>Yes</t>
        </is>
      </c>
      <c r="Y89" s="77" t="inlineStr">
        <is>
          <t>Group oral presentation and group written report; peer moderation (source 1).</t>
        </is>
      </c>
      <c r="Z89" s="77" t="inlineStr">
        <is>
          <t>Unclear</t>
        </is>
      </c>
      <c r="AA89" s="77" t="inlineStr">
        <is>
          <t>'Whenever possible' the application meets an external client's needs (e.g. industrial partner) or 'problem-owners elsewhere in the University' (source 1) - external clients not documented as standard.</t>
        </is>
      </c>
      <c r="AB89" s="77" t="inlineStr">
        <is>
          <t>Mixed</t>
        </is>
      </c>
      <c r="AC89" s="77" t="inlineStr">
        <is>
          <t>Problem-owner specifies project; may be external or internal.</t>
        </is>
      </c>
      <c r="AD89" s="77" t="inlineStr"/>
      <c r="AE89" s="77" t="inlineStr">
        <is>
          <t>Proof-of-concept application, group report with code, presentation</t>
        </is>
      </c>
      <c r="AF89" s="77">
        <f>IF(OR(V89="No",X89="No",Z89="No"),"Outside strict definition",IF(AND(V89="Yes",X89="Yes",Z89="Yes"),"Meets all three","Potentially relevant; evidence incomplete"))</f>
        <v/>
      </c>
      <c r="AG89" s="77" t="inlineStr">
        <is>
          <t>Current delivery confirmed</t>
        </is>
      </c>
      <c r="AH89" s="77" t="inlineStr">
        <is>
          <t>2026/27</t>
        </is>
      </c>
      <c r="AI89" s="77" t="inlineStr">
        <is>
          <t>Yes</t>
        </is>
      </c>
      <c r="AJ89" s="77">
        <f>IF(AND(AI89="Yes",AF89="Meets all three",AG89="Current delivery confirmed"),"Yes","No")</f>
        <v/>
      </c>
      <c r="AK89" s="77" t="inlineStr"/>
      <c r="AL89" s="77" t="inlineStr">
        <is>
          <t>RG02-S05-R1; RG02-S05-R2</t>
        </is>
      </c>
      <c r="AM89" s="77" t="inlineStr">
        <is>
          <t>Proportion of projects with external clients not published. Compulsory status inferred from programme structure listing only partly; confirm.</t>
        </is>
      </c>
      <c r="AN89" s="77" t="inlineStr"/>
      <c r="AO89" s="77" t="inlineStr">
        <is>
          <t>UK</t>
        </is>
      </c>
      <c r="AP89" s="77" t="inlineStr">
        <is>
          <t>UK – Russell Group</t>
        </is>
      </c>
      <c r="AQ89" s="77" t="inlineStr">
        <is>
          <t>~1 term</t>
        </is>
      </c>
      <c r="AR89" s="77" t="inlineStr">
        <is>
          <t>Some projects</t>
        </is>
      </c>
      <c r="AS89" s="77" t="inlineStr"/>
    </row>
    <row r="90">
      <c r="A90" s="77" t="inlineStr">
        <is>
          <t>RG02</t>
        </is>
      </c>
      <c r="B90" s="77" t="inlineStr">
        <is>
          <t>Bristol</t>
        </is>
      </c>
      <c r="C90" s="77" t="inlineStr">
        <is>
          <t>Programme/course</t>
        </is>
      </c>
      <c r="D90" s="77" t="inlineStr">
        <is>
          <t>RG02-S06</t>
        </is>
      </c>
      <c r="E90" s="77" t="inlineStr"/>
      <c r="F90" s="77" t="inlineStr">
        <is>
          <t>No</t>
        </is>
      </c>
      <c r="G90" s="79" t="inlineStr">
        <is>
          <t>Management Consultancy</t>
        </is>
      </c>
      <c r="H90" s="77" t="inlineStr">
        <is>
          <t>Management Consultancy (final-year group consultancy project)</t>
        </is>
      </c>
      <c r="I90" s="77" t="inlineStr">
        <is>
          <t>EFIM30064</t>
        </is>
      </c>
      <c r="J90" s="77" t="inlineStr">
        <is>
          <t>Final-year Business School unit: groups of 4-6 receive a consultancy research brief from an outside organisation (mostly local charities and not-for-profits), analyse it, propose objectives and deliver a 7,000-word group report plus individual reflection.</t>
        </is>
      </c>
      <c r="K90" s="77" t="inlineStr">
        <is>
          <t>Bristol University Business School (Faculty of Arts, Law and Social Sciences)</t>
        </is>
      </c>
      <c r="L90" s="77" t="inlineStr">
        <is>
          <t>Optional final-year unit (prerequisite Management Research Methods EFIM20025)</t>
        </is>
      </c>
      <c r="M90" s="77" t="inlineStr">
        <is>
          <t>Business/management</t>
        </is>
      </c>
      <c r="N90" s="77" t="inlineStr">
        <is>
          <t>Undergraduate</t>
        </is>
      </c>
      <c r="O90" s="77" t="inlineStr">
        <is>
          <t>Year 3</t>
        </is>
      </c>
      <c r="P90" s="77" t="inlineStr">
        <is>
          <t>Prerequisite EFIM20025 Management Research Methods.</t>
        </is>
      </c>
      <c r="Q90" s="77" t="inlineStr">
        <is>
          <t>Optional/elective</t>
        </is>
      </c>
      <c r="R90" s="77" t="inlineStr">
        <is>
          <t>Curricular</t>
        </is>
      </c>
      <c r="S90" s="77" t="inlineStr">
        <is>
          <t>20 credits, TB2 (Feb-May); group report 50% (7,000 words + 600-word reflection each), individual essay 50%</t>
        </is>
      </c>
      <c r="T90" s="77" t="inlineStr">
        <is>
          <t>11 weeks (TB2)</t>
        </is>
      </c>
      <c r="U90" s="77" t="inlineStr">
        <is>
          <t>Small-group consultancy project</t>
        </is>
      </c>
      <c r="V90" s="77" t="inlineStr">
        <is>
          <t>Yes</t>
        </is>
      </c>
      <c r="W90" s="77" t="inlineStr">
        <is>
          <t>Group consultancy project analysing a client brief and producing a 7,000-word report (source 1).</t>
        </is>
      </c>
      <c r="X90" s="77" t="inlineStr">
        <is>
          <t>Yes</t>
        </is>
      </c>
      <c r="Y90" s="77" t="inlineStr">
        <is>
          <t>'Groups normally have 4 to 6 members'; group project report is 50% (source 1).</t>
        </is>
      </c>
      <c r="Z90" s="77" t="inlineStr">
        <is>
          <t>Yes</t>
        </is>
      </c>
      <c r="AA90" s="77" t="inlineStr">
        <is>
          <t>'Small group consultancy project based on briefs from outside organisations/clients in the not-for-profit sectors'; briefs 'mostly from outside organisations such as local charities' (source 1). Clients' role in feedback/assessment not stated.</t>
        </is>
      </c>
      <c r="AB90" s="77" t="inlineStr">
        <is>
          <t>Charity/community</t>
        </is>
      </c>
      <c r="AC90" s="77" t="inlineStr">
        <is>
          <t>Supplies consultancy brief (client).</t>
        </is>
      </c>
      <c r="AD90" s="77" t="inlineStr"/>
      <c r="AE90" s="77" t="inlineStr">
        <is>
          <t>Consultancy group report and presentation</t>
        </is>
      </c>
      <c r="AF90" s="77">
        <f>IF(OR(V90="No",X90="No",Z90="No"),"Outside strict definition",IF(AND(V90="Yes",X90="Yes",Z90="Yes"),"Meets all three","Potentially relevant; evidence incomplete"))</f>
        <v/>
      </c>
      <c r="AG90" s="77" t="inlineStr">
        <is>
          <t>Current delivery confirmed</t>
        </is>
      </c>
      <c r="AH90" s="77" t="inlineStr">
        <is>
          <t>2025/26</t>
        </is>
      </c>
      <c r="AI90" s="77" t="inlineStr">
        <is>
          <t>Yes</t>
        </is>
      </c>
      <c r="AJ90" s="77">
        <f>IF(AND(AI90="Yes",AF90="Meets all three",AG90="Current delivery confirmed"),"Yes","No")</f>
        <v/>
      </c>
      <c r="AK90" s="77" t="inlineStr"/>
      <c r="AL90" s="77" t="inlineStr">
        <is>
          <t>RG02-S06-R1; RG02-S06-R2</t>
        </is>
      </c>
      <c r="AM90" s="77" t="inlineStr">
        <is>
          <t>'Mostly' leaves open a minority of non-external briefs. Named clients not evidenced. Number of students not published.</t>
        </is>
      </c>
      <c r="AN90" s="77" t="inlineStr"/>
      <c r="AO90" s="77" t="inlineStr">
        <is>
          <t>UK</t>
        </is>
      </c>
      <c r="AP90" s="77" t="inlineStr">
        <is>
          <t>UK – Russell Group</t>
        </is>
      </c>
      <c r="AQ90" s="77" t="inlineStr">
        <is>
          <t>~1 term</t>
        </is>
      </c>
      <c r="AR90" s="77" t="inlineStr">
        <is>
          <t>All/standard</t>
        </is>
      </c>
      <c r="AS90" s="77" t="inlineStr"/>
    </row>
    <row r="91">
      <c r="A91" s="77" t="inlineStr">
        <is>
          <t>RG02</t>
        </is>
      </c>
      <c r="B91" s="77" t="inlineStr">
        <is>
          <t>Bristol</t>
        </is>
      </c>
      <c r="C91" s="77" t="inlineStr">
        <is>
          <t>Faculty/school</t>
        </is>
      </c>
      <c r="D91" s="77" t="inlineStr">
        <is>
          <t>RG02-S07</t>
        </is>
      </c>
      <c r="E91" s="77" t="inlineStr"/>
      <c r="F91" s="77" t="inlineStr">
        <is>
          <t>No</t>
        </is>
      </c>
      <c r="G91" s="79" t="inlineStr">
        <is>
          <t>Business School Micro-Internship programme</t>
        </is>
      </c>
      <c r="H91" s="77" t="inlineStr">
        <is>
          <t>Business School Micro-Internship</t>
        </is>
      </c>
      <c r="I91" s="77" t="inlineStr"/>
      <c r="J91" s="77" t="inlineStr">
        <is>
          <t>Three-week, 50-hour industry project for Business School Masters students: assigned (random) teams work as a virtual student consultant team for an industry client (often start-up or SME) on one of five themes (growth strategy, digital marketing, funding strategy, sustainable impact, AI), coached by a volunteer mentor with 3+ years' experience, and present a report and final presentation. 200 places.</t>
        </is>
      </c>
      <c r="K91" s="77" t="inlineStr">
        <is>
          <t>Bristol University Business School</t>
        </is>
      </c>
      <c r="L91" s="77" t="inlineStr">
        <is>
          <t>Business School Masters students; priority to those not completing an in-curriculum employer project</t>
        </is>
      </c>
      <c r="M91" s="77" t="inlineStr">
        <is>
          <t>Business/management</t>
        </is>
      </c>
      <c r="N91" s="77" t="inlineStr">
        <is>
          <t>Postgraduate taught</t>
        </is>
      </c>
      <c r="O91" s="77" t="inlineStr">
        <is>
          <t>Masters</t>
        </is>
      </c>
      <c r="P91" s="77" t="inlineStr">
        <is>
          <t>Business School Masters only; compulsory in-person launch.</t>
        </is>
      </c>
      <c r="Q91" s="77" t="inlineStr">
        <is>
          <t>Selective/competitive</t>
        </is>
      </c>
      <c r="R91" s="77" t="inlineStr">
        <is>
          <t>Extracurricular</t>
        </is>
      </c>
      <c r="S91" s="77" t="inlineStr">
        <is>
          <t>No credit; certificate on completion; unpaid</t>
        </is>
      </c>
      <c r="T91" s="77" t="inlineStr">
        <is>
          <t>3 weeks, 50 hours</t>
        </is>
      </c>
      <c r="U91" s="77" t="inlineStr">
        <is>
          <t>Virtual team consultancy with in-person launch</t>
        </is>
      </c>
      <c r="V91" s="77" t="inlineStr">
        <is>
          <t>Yes</t>
        </is>
      </c>
      <c r="W91" s="77" t="inlineStr">
        <is>
          <t>Team delivers report and final presentation on client brief (source 1).</t>
        </is>
      </c>
      <c r="X91" s="77" t="inlineStr">
        <is>
          <t>Yes</t>
        </is>
      </c>
      <c r="Y91" s="77" t="inlineStr">
        <is>
          <t>Teams assigned at random; 'virtual student consultant team' (sources 1, 2).</t>
        </is>
      </c>
      <c r="Z91" s="77" t="inlineStr">
        <is>
          <t>Yes</t>
        </is>
      </c>
      <c r="AA91" s="77" t="inlineStr">
        <is>
          <t>Industry client (UK or international organisation, often start-up/SME) sets brief and receives findings (source 1).</t>
        </is>
      </c>
      <c r="AB91" s="77" t="inlineStr">
        <is>
          <t>Business/commercial</t>
        </is>
      </c>
      <c r="AC91" s="77" t="inlineStr">
        <is>
          <t>Client supplies brief and receives report/presentation; separate mentor coaches.</t>
        </is>
      </c>
      <c r="AD91" s="77" t="inlineStr"/>
      <c r="AE91" s="77" t="inlineStr">
        <is>
          <t>Client report and final presentation</t>
        </is>
      </c>
      <c r="AF91" s="77">
        <f>IF(OR(V91="No",X91="No",Z91="No"),"Outside strict definition",IF(AND(V91="Yes",X91="Yes",Z91="Yes"),"Meets all three","Potentially relevant; evidence incomplete"))</f>
        <v/>
      </c>
      <c r="AG91" s="77" t="inlineStr">
        <is>
          <t>Current delivery confirmed</t>
        </is>
      </c>
      <c r="AH91" s="77" t="inlineStr">
        <is>
          <t>2025/26</t>
        </is>
      </c>
      <c r="AI91" s="77" t="inlineStr">
        <is>
          <t>Yes</t>
        </is>
      </c>
      <c r="AJ91" s="77">
        <f>IF(AND(AI91="Yes",AF91="Meets all three",AG91="Current delivery confirmed"),"Yes","No")</f>
        <v/>
      </c>
      <c r="AK91" s="77" t="inlineStr">
        <is>
          <t>200 Masters places per year (2025 programme document)</t>
        </is>
      </c>
      <c r="AL91" s="77" t="inlineStr">
        <is>
          <t>RG02-S07-R1; RG02-S07-R2; RG02-S07-R3</t>
        </is>
      </c>
      <c r="AM91" s="77" t="inlineStr">
        <is>
          <t>Official pages give no 2025/26 dates; a Nov 2025 student post says 2025/6 runs February-March. Named clients not evidenced.</t>
        </is>
      </c>
      <c r="AN91" s="77" t="inlineStr"/>
      <c r="AO91" s="77" t="inlineStr">
        <is>
          <t>UK</t>
        </is>
      </c>
      <c r="AP91" s="77" t="inlineStr">
        <is>
          <t>UK – Russell Group</t>
        </is>
      </c>
      <c r="AQ91" s="77" t="inlineStr">
        <is>
          <t>1-4 weeks</t>
        </is>
      </c>
      <c r="AR91" s="77" t="inlineStr">
        <is>
          <t>All/standard</t>
        </is>
      </c>
      <c r="AS91" s="77" t="inlineStr"/>
    </row>
    <row r="92">
      <c r="A92" s="77" t="inlineStr">
        <is>
          <t>RG02</t>
        </is>
      </c>
      <c r="B92" s="77" t="inlineStr">
        <is>
          <t>Bristol</t>
        </is>
      </c>
      <c r="C92" s="77" t="inlineStr">
        <is>
          <t>Programme/course</t>
        </is>
      </c>
      <c r="D92" s="77" t="inlineStr">
        <is>
          <t>RG02-S08</t>
        </is>
      </c>
      <c r="E92" s="77" t="inlineStr"/>
      <c r="F92" s="77" t="inlineStr">
        <is>
          <t>No</t>
        </is>
      </c>
      <c r="G92" s="79" t="inlineStr">
        <is>
          <t>Business Analytics Consulting Project (MSc Business Analytics)</t>
        </is>
      </c>
      <c r="H92" s="77" t="inlineStr">
        <is>
          <t>Business Analytics Consulting Project</t>
        </is>
      </c>
      <c r="I92" s="77" t="inlineStr">
        <is>
          <t>EFIMM0144</t>
        </is>
      </c>
      <c r="J92" s="77" t="inlineStr">
        <is>
          <t>Mandatory MSc Business Analytics team project in which students work with real organisations on business problems using data-driven methods, ending in a consultancy report and boardroom presentation.</t>
        </is>
      </c>
      <c r="K92" s="77" t="inlineStr">
        <is>
          <t>Bristol University Business School</t>
        </is>
      </c>
      <c r="L92" s="77" t="inlineStr">
        <is>
          <t>MSc Business Analytics</t>
        </is>
      </c>
      <c r="M92" s="77" t="inlineStr">
        <is>
          <t>Business/management</t>
        </is>
      </c>
      <c r="N92" s="77" t="inlineStr">
        <is>
          <t>Postgraduate taught</t>
        </is>
      </c>
      <c r="O92" s="77" t="inlineStr">
        <is>
          <t>Masters</t>
        </is>
      </c>
      <c r="P92" s="77" t="inlineStr"/>
      <c r="Q92" s="77" t="inlineStr">
        <is>
          <t>Compulsory within specified programmes</t>
        </is>
      </c>
      <c r="R92" s="77" t="inlineStr">
        <is>
          <t>Curricular</t>
        </is>
      </c>
      <c r="S92" s="77" t="inlineStr">
        <is>
          <t>20 credits, TB2 (per a catalogue structure labelled 2031/32 - indicative)</t>
        </is>
      </c>
      <c r="T92" s="77" t="inlineStr">
        <is>
          <t>Teaching Block 2</t>
        </is>
      </c>
      <c r="U92" s="77" t="inlineStr">
        <is>
          <t>Team consulting project</t>
        </is>
      </c>
      <c r="V92" s="77" t="inlineStr">
        <is>
          <t>Yes</t>
        </is>
      </c>
      <c r="W92" s="77" t="inlineStr">
        <is>
          <t>Consultancy report and boardroom presentation (source 1).</t>
        </is>
      </c>
      <c r="X92" s="77" t="inlineStr">
        <is>
          <t>Yes</t>
        </is>
      </c>
      <c r="Y92" s="77" t="inlineStr">
        <is>
          <t>'A team project solves a real-world organisational problem' (source 1).</t>
        </is>
      </c>
      <c r="Z92" s="77" t="inlineStr">
        <is>
          <t>Unclear</t>
        </is>
      </c>
      <c r="AA92" s="77" t="inlineStr">
        <is>
          <t>Programme page says students work with real organisations; a 2022 school blog says 'where possible' with private, charity and public-sector organisations (source 2) - not documented as standard.</t>
        </is>
      </c>
      <c r="AB92" s="77" t="inlineStr">
        <is>
          <t>Mixed</t>
        </is>
      </c>
      <c r="AC92" s="77" t="inlineStr">
        <is>
          <t>Real organisation supplies the problem; details of feedback not retrieved.</t>
        </is>
      </c>
      <c r="AD92" s="77" t="inlineStr">
        <is>
          <t>Programme developed with IBM, LV and UCL/IBM Industry Exchange Network (2022 blog); no project clients named.</t>
        </is>
      </c>
      <c r="AE92" s="77" t="inlineStr">
        <is>
          <t>Consultancy report and boardroom presentation</t>
        </is>
      </c>
      <c r="AF92" s="77">
        <f>IF(OR(V92="No",X92="No",Z92="No"),"Outside strict definition",IF(AND(V92="Yes",X92="Yes",Z92="Yes"),"Meets all three","Potentially relevant; evidence incomplete"))</f>
        <v/>
      </c>
      <c r="AG92" s="77" t="inlineStr">
        <is>
          <t>Current status unclear</t>
        </is>
      </c>
      <c r="AH92" s="77" t="inlineStr">
        <is>
          <t>undated</t>
        </is>
      </c>
      <c r="AI92" s="77" t="inlineStr">
        <is>
          <t>Yes</t>
        </is>
      </c>
      <c r="AJ92" s="77">
        <f>IF(AND(AI92="Yes",AF92="Meets all three",AG92="Current delivery confirmed"),"Yes","No")</f>
        <v/>
      </c>
      <c r="AK92" s="77" t="inlineStr"/>
      <c r="AL92" s="77" t="inlineStr">
        <is>
          <t>RG02-S08-R1; RG02-S08-R2</t>
        </is>
      </c>
      <c r="AM92" s="77" t="inlineStr">
        <is>
          <t>Could not retrieve a genuine 2025/26 or 2026/27 unit entry; unit directors listed on staff pages (undated). Extent of external clients unclear.</t>
        </is>
      </c>
      <c r="AN92" s="77" t="inlineStr"/>
      <c r="AO92" s="77" t="inlineStr">
        <is>
          <t>UK</t>
        </is>
      </c>
      <c r="AP92" s="77" t="inlineStr">
        <is>
          <t>UK – Russell Group</t>
        </is>
      </c>
      <c r="AQ92" s="77" t="inlineStr">
        <is>
          <t>~1 term</t>
        </is>
      </c>
      <c r="AR92" s="77" t="inlineStr">
        <is>
          <t>Some projects</t>
        </is>
      </c>
      <c r="AS92" s="77" t="inlineStr"/>
    </row>
    <row r="93">
      <c r="A93" s="77" t="inlineStr">
        <is>
          <t>RG02</t>
        </is>
      </c>
      <c r="B93" s="77" t="inlineStr">
        <is>
          <t>Bristol</t>
        </is>
      </c>
      <c r="C93" s="77" t="inlineStr">
        <is>
          <t>Programme/course</t>
        </is>
      </c>
      <c r="D93" s="77" t="inlineStr">
        <is>
          <t>RG02-S09</t>
        </is>
      </c>
      <c r="E93" s="77" t="inlineStr"/>
      <c r="F93" s="77" t="inlineStr">
        <is>
          <t>No</t>
        </is>
      </c>
      <c r="G93" s="79" t="inlineStr">
        <is>
          <t>MSc Business Innovation and Entrepreneurship - Term 2 management-consultant live brief option</t>
        </is>
      </c>
      <c r="H93" s="77" t="inlineStr">
        <is>
          <t>MSc BIE Term 2 live commercial brief</t>
        </is>
      </c>
      <c r="I93" s="77" t="inlineStr"/>
      <c r="J93" s="77" t="inlineStr">
        <is>
          <t>In Term 2 students choose between acting as a management consultant for a real-world industry partner on a live commercial brief, or founding a proposal for an internal venture/spin-out with their team.</t>
        </is>
      </c>
      <c r="K93" s="77" t="inlineStr">
        <is>
          <t>Bristol University Business School / Centre for Innovation and Entrepreneurship</t>
        </is>
      </c>
      <c r="L93" s="77" t="inlineStr">
        <is>
          <t>MSc Business Innovation and Entrepreneurship</t>
        </is>
      </c>
      <c r="M93" s="77" t="inlineStr">
        <is>
          <t>Business/management</t>
        </is>
      </c>
      <c r="N93" s="77" t="inlineStr">
        <is>
          <t>Postgraduate taught</t>
        </is>
      </c>
      <c r="O93" s="77" t="inlineStr">
        <is>
          <t>Masters</t>
        </is>
      </c>
      <c r="P93" s="77" t="inlineStr"/>
      <c r="Q93" s="77" t="inlineStr">
        <is>
          <t>Optional/elective</t>
        </is>
      </c>
      <c r="R93" s="77" t="inlineStr">
        <is>
          <t>Curricular</t>
        </is>
      </c>
      <c r="S93" s="77" t="inlineStr">
        <is>
          <t>Not retrieved</t>
        </is>
      </c>
      <c r="T93" s="77" t="inlineStr">
        <is>
          <t>Teaching Block 2 (Term 2)</t>
        </is>
      </c>
      <c r="U93" s="77" t="inlineStr">
        <is>
          <t>Consulting option for industry partner</t>
        </is>
      </c>
      <c r="V93" s="77" t="inlineStr">
        <is>
          <t>Yes</t>
        </is>
      </c>
      <c r="W93" s="77" t="inlineStr">
        <is>
          <t>Live commercial brief solved for an industry partner (source 1).</t>
        </is>
      </c>
      <c r="X93" s="77" t="inlineStr">
        <is>
          <t>Unclear</t>
        </is>
      </c>
      <c r="Y93" s="77" t="inlineStr">
        <is>
          <t>Programme is 'built around teamwork'; 'your team' is stated for the founder option, but the consultant option's team structure is not stated (source 1).</t>
        </is>
      </c>
      <c r="Z93" s="77" t="inlineStr">
        <is>
          <t>Yes</t>
        </is>
      </c>
      <c r="AA93" s="77" t="inlineStr">
        <is>
          <t>'Working for a real-world industry partner to solve a live commercial brief'; Centre says industry partners set live challenges (sources 1, 2).</t>
        </is>
      </c>
      <c r="AB93" s="77" t="inlineStr">
        <is>
          <t>Business/commercial</t>
        </is>
      </c>
      <c r="AC93" s="77" t="inlineStr">
        <is>
          <t>Industry partner sets live commercial brief.</t>
        </is>
      </c>
      <c r="AD93" s="77" t="inlineStr"/>
      <c r="AE93" s="77" t="inlineStr">
        <is>
          <t>Not specified (consultancy output)</t>
        </is>
      </c>
      <c r="AF93" s="77">
        <f>IF(OR(V93="No",X93="No",Z93="No"),"Outside strict definition",IF(AND(V93="Yes",X93="Yes",Z93="Yes"),"Meets all three","Potentially relevant; evidence incomplete"))</f>
        <v/>
      </c>
      <c r="AG93" s="77" t="inlineStr">
        <is>
          <t>Current status unclear</t>
        </is>
      </c>
      <c r="AH93" s="77" t="inlineStr">
        <is>
          <t>undated</t>
        </is>
      </c>
      <c r="AI93" s="77" t="inlineStr">
        <is>
          <t>Yes</t>
        </is>
      </c>
      <c r="AJ93" s="77">
        <f>IF(AND(AI93="Yes",AF93="Meets all three",AG93="Current delivery confirmed"),"Yes","No")</f>
        <v/>
      </c>
      <c r="AK93" s="77" t="inlineStr"/>
      <c r="AL93" s="77" t="inlineStr">
        <is>
          <t>RG02-S09-R1; RG02-S09-R2</t>
        </is>
      </c>
      <c r="AM93" s="77" t="inlineStr">
        <is>
          <t>Group vs individual for the consulting option, deliverable, credits, and dated delivery evidence not retrieved.</t>
        </is>
      </c>
      <c r="AN93" s="77" t="inlineStr"/>
      <c r="AO93" s="77" t="inlineStr">
        <is>
          <t>UK</t>
        </is>
      </c>
      <c r="AP93" s="77" t="inlineStr">
        <is>
          <t>UK – Russell Group</t>
        </is>
      </c>
      <c r="AQ93" s="77" t="inlineStr">
        <is>
          <t>~1 term</t>
        </is>
      </c>
      <c r="AR93" s="77" t="inlineStr">
        <is>
          <t>All/standard</t>
        </is>
      </c>
      <c r="AS93" s="77" t="inlineStr"/>
    </row>
    <row r="94">
      <c r="A94" s="77" t="inlineStr">
        <is>
          <t>RG02</t>
        </is>
      </c>
      <c r="B94" s="77" t="inlineStr">
        <is>
          <t>Bristol</t>
        </is>
      </c>
      <c r="C94" s="77" t="inlineStr">
        <is>
          <t>Programme/course</t>
        </is>
      </c>
      <c r="D94" s="77" t="inlineStr">
        <is>
          <t>RG02-S10</t>
        </is>
      </c>
      <c r="E94" s="77" t="inlineStr"/>
      <c r="F94" s="77" t="inlineStr">
        <is>
          <t>No</t>
        </is>
      </c>
      <c r="G94" s="79" t="inlineStr">
        <is>
          <t>The Marketing Applied Extended Project (AEP) - applied group route (MSc Marketing)</t>
        </is>
      </c>
      <c r="H94" s="77" t="inlineStr">
        <is>
          <t>Marketing Applied Extended Project</t>
        </is>
      </c>
      <c r="I94" s="77" t="inlineStr">
        <is>
          <t>MGRCM0040</t>
        </is>
      </c>
      <c r="J94" s="77" t="inlineStr">
        <is>
          <t>60-credit MSc Marketing final project; applied route: students apply for briefs identified by the unit team with commercial and third-sector partners external to the School, working in a small group on a real organisational challenge. Partners brief and guide; proposal (10%) and group report/presentation (50%) are group-assessed, with an individual reflective account (40%) and peer assessment.</t>
        </is>
      </c>
      <c r="K94" s="77" t="inlineStr">
        <is>
          <t>Bristol University Business School</t>
        </is>
      </c>
      <c r="L94" s="77" t="inlineStr">
        <is>
          <t>MSc Marketing (not open to other students)</t>
        </is>
      </c>
      <c r="M94" s="77" t="inlineStr">
        <is>
          <t>Business/management</t>
        </is>
      </c>
      <c r="N94" s="77" t="inlineStr">
        <is>
          <t>Postgraduate taught</t>
        </is>
      </c>
      <c r="O94" s="77" t="inlineStr">
        <is>
          <t>Masters</t>
        </is>
      </c>
      <c r="P94" s="77" t="inlineStr"/>
      <c r="Q94" s="77" t="inlineStr">
        <is>
          <t>Optional/elective</t>
        </is>
      </c>
      <c r="R94" s="77" t="inlineStr">
        <is>
          <t>Curricular</t>
        </is>
      </c>
      <c r="S94" s="77" t="inlineStr">
        <is>
          <t>60 credits; group proposal 10%, group report/presentation 50%, individual reflection 40%</t>
        </is>
      </c>
      <c r="T94" s="77" t="inlineStr">
        <is>
          <t>Summer project (dissertation period)</t>
        </is>
      </c>
      <c r="U94" s="77" t="inlineStr">
        <is>
          <t>Small-group applied project with partner organisation</t>
        </is>
      </c>
      <c r="V94" s="77" t="inlineStr">
        <is>
          <t>Yes</t>
        </is>
      </c>
      <c r="W94" s="77" t="inlineStr">
        <is>
          <t>Group report and presentation on partner brief (source 1).</t>
        </is>
      </c>
      <c r="X94" s="77" t="inlineStr">
        <is>
          <t>Yes</t>
        </is>
      </c>
      <c r="Y94" s="77" t="inlineStr">
        <is>
          <t>Applied route is 'a small group on a real organisational challenge'; group components must be passed; the theoretical alternative is separate (sources 1, 2).</t>
        </is>
      </c>
      <c r="Z94" s="77" t="inlineStr">
        <is>
          <t>Yes</t>
        </is>
      </c>
      <c r="AA94" s="77" t="inlineStr">
        <is>
          <t>'Working with a range of organisational partners (commercial, third-sector, social etc) external to the School ... project briefs'; partners brief and guide students (source 1).</t>
        </is>
      </c>
      <c r="AB94" s="77" t="inlineStr">
        <is>
          <t>Mixed</t>
        </is>
      </c>
      <c r="AC94" s="77" t="inlineStr">
        <is>
          <t>Partner sets brief and guides students.</t>
        </is>
      </c>
      <c r="AD94" s="77" t="inlineStr"/>
      <c r="AE94" s="77" t="inlineStr">
        <is>
          <t>Group report and presentation to partner</t>
        </is>
      </c>
      <c r="AF94" s="77">
        <f>IF(OR(V94="No",X94="No",Z94="No"),"Outside strict definition",IF(AND(V94="Yes",X94="Yes",Z94="Yes"),"Meets all three","Potentially relevant; evidence incomplete"))</f>
        <v/>
      </c>
      <c r="AG94" s="77" t="inlineStr">
        <is>
          <t>Current delivery confirmed</t>
        </is>
      </c>
      <c r="AH94" s="77" t="inlineStr">
        <is>
          <t>2026/27</t>
        </is>
      </c>
      <c r="AI94" s="77" t="inlineStr">
        <is>
          <t>Yes</t>
        </is>
      </c>
      <c r="AJ94" s="77">
        <f>IF(AND(AI94="Yes",AF94="Meets all three",AG94="Current delivery confirmed"),"Yes","No")</f>
        <v/>
      </c>
      <c r="AK94" s="77" t="inlineStr"/>
      <c r="AL94" s="77" t="inlineStr">
        <is>
          <t>RG02-S10-R1; RG02-S10-R2</t>
        </is>
      </c>
      <c r="AM94" s="77" t="inlineStr">
        <is>
          <t>Catalogue entry year labels (2030/31, 2033/34) are unreliable; delivery corroborated only by the MSc Marketing page for September 2026 entry. The page says 'if applicable', so availability of applied route per cohort uncertain. No named partners.</t>
        </is>
      </c>
      <c r="AN94" s="77" t="inlineStr"/>
      <c r="AO94" s="77" t="inlineStr">
        <is>
          <t>UK</t>
        </is>
      </c>
      <c r="AP94" s="77" t="inlineStr">
        <is>
          <t>UK – Russell Group</t>
        </is>
      </c>
      <c r="AQ94" s="77" t="inlineStr">
        <is>
          <t>~1 term</t>
        </is>
      </c>
      <c r="AR94" s="77" t="inlineStr">
        <is>
          <t>All/standard</t>
        </is>
      </c>
      <c r="AS94" s="77" t="inlineStr"/>
    </row>
    <row r="95">
      <c r="A95" s="77" t="inlineStr">
        <is>
          <t>RG02</t>
        </is>
      </c>
      <c r="B95" s="77" t="inlineStr">
        <is>
          <t>Bristol</t>
        </is>
      </c>
      <c r="C95" s="77" t="inlineStr">
        <is>
          <t>Programme/course</t>
        </is>
      </c>
      <c r="D95" s="77" t="inlineStr">
        <is>
          <t>RG02-S11</t>
        </is>
      </c>
      <c r="E95" s="77" t="inlineStr"/>
      <c r="F95" s="77" t="inlineStr">
        <is>
          <t>No</t>
        </is>
      </c>
      <c r="G95" s="79" t="inlineStr">
        <is>
          <t>MSc Data Science for Business - live consulting projects / Applied Research Project</t>
        </is>
      </c>
      <c r="H95" s="77" t="inlineStr">
        <is>
          <t>Data Science for Business applied projects</t>
        </is>
      </c>
      <c r="I95" s="77" t="inlineStr"/>
      <c r="J95" s="77" t="inlineStr">
        <is>
          <t>Programme offers live consulting projects and an Applied Research Project that integrates industry projects, completed over the summer individually or as part of a team.</t>
        </is>
      </c>
      <c r="K95" s="77" t="inlineStr">
        <is>
          <t>Bristol University Business School with Engineering Mathematics</t>
        </is>
      </c>
      <c r="L95" s="77" t="inlineStr">
        <is>
          <t>MSc Data Science for Business</t>
        </is>
      </c>
      <c r="M95" s="77" t="inlineStr">
        <is>
          <t>Business/management; Engineering/computing</t>
        </is>
      </c>
      <c r="N95" s="77" t="inlineStr">
        <is>
          <t>Postgraduate taught</t>
        </is>
      </c>
      <c r="O95" s="77" t="inlineStr"/>
      <c r="P95" s="77" t="inlineStr"/>
      <c r="Q95" s="77" t="inlineStr">
        <is>
          <t>Unclear</t>
        </is>
      </c>
      <c r="R95" s="77" t="inlineStr">
        <is>
          <t>Curricular</t>
        </is>
      </c>
      <c r="S95" s="77" t="inlineStr"/>
      <c r="T95" s="77" t="inlineStr"/>
      <c r="U95" s="77" t="inlineStr"/>
      <c r="V95" s="77" t="inlineStr">
        <is>
          <t>Yes</t>
        </is>
      </c>
      <c r="W95" s="77" t="inlineStr">
        <is>
          <t>Applied Research Project and consulting projects (source 1).</t>
        </is>
      </c>
      <c r="X95" s="77" t="inlineStr">
        <is>
          <t>Unclear</t>
        </is>
      </c>
      <c r="Y95" s="77" t="inlineStr">
        <is>
          <t>'Either individually or as part of a team'; routes not separated (source 1).</t>
        </is>
      </c>
      <c r="Z95" s="77" t="inlineStr">
        <is>
          <t>Unclear</t>
        </is>
      </c>
      <c r="AA95" s="77" t="inlineStr">
        <is>
          <t>'Many projects developed in collaboration with an external organisation'; industry projects integrated 'particularly in the Applied Research Project' (source 1). A staff profile mentions IBM, Yeo Valley, NHS Bristol (not tied to this route).</t>
        </is>
      </c>
      <c r="AB95" s="77" t="inlineStr">
        <is>
          <t>Mixed</t>
        </is>
      </c>
      <c r="AC95" s="77" t="inlineStr"/>
      <c r="AD95" s="77" t="inlineStr"/>
      <c r="AE95" s="77" t="inlineStr"/>
      <c r="AF95" s="77">
        <f>IF(OR(V95="No",X95="No",Z95="No"),"Outside strict definition",IF(AND(V95="Yes",X95="Yes",Z95="Yes"),"Meets all three","Potentially relevant; evidence incomplete"))</f>
        <v/>
      </c>
      <c r="AG95" s="77" t="inlineStr">
        <is>
          <t>Current status unclear</t>
        </is>
      </c>
      <c r="AH95" s="77" t="inlineStr">
        <is>
          <t>undated</t>
        </is>
      </c>
      <c r="AI95" s="77" t="inlineStr">
        <is>
          <t>Yes</t>
        </is>
      </c>
      <c r="AJ95" s="77">
        <f>IF(AND(AI95="Yes",AF95="Meets all three",AG95="Current delivery confirmed"),"Yes","No")</f>
        <v/>
      </c>
      <c r="AK95" s="77" t="inlineStr"/>
      <c r="AL95" s="77" t="inlineStr">
        <is>
          <t>RG02-S11-R1</t>
        </is>
      </c>
      <c r="AM95" s="77" t="inlineStr">
        <is>
          <t>Individual vs team routes, external share, credits and dated delivery all unresolved.</t>
        </is>
      </c>
      <c r="AN95" s="77" t="inlineStr"/>
      <c r="AO95" s="77" t="inlineStr">
        <is>
          <t>UK</t>
        </is>
      </c>
      <c r="AP95" s="77" t="inlineStr">
        <is>
          <t>UK – Russell Group</t>
        </is>
      </c>
      <c r="AQ95" s="77" t="inlineStr">
        <is>
          <t>Unclear</t>
        </is>
      </c>
      <c r="AR95" s="77" t="inlineStr">
        <is>
          <t>Some projects</t>
        </is>
      </c>
      <c r="AS95" s="77" t="inlineStr"/>
    </row>
    <row r="96">
      <c r="A96" s="77" t="inlineStr">
        <is>
          <t>RG02</t>
        </is>
      </c>
      <c r="B96" s="77" t="inlineStr">
        <is>
          <t>Bristol</t>
        </is>
      </c>
      <c r="C96" s="77" t="inlineStr">
        <is>
          <t>Programme/course</t>
        </is>
      </c>
      <c r="D96" s="77" t="inlineStr">
        <is>
          <t>RG02-S12</t>
        </is>
      </c>
      <c r="E96" s="77" t="inlineStr"/>
      <c r="F96" s="77" t="inlineStr">
        <is>
          <t>No</t>
        </is>
      </c>
      <c r="G96" s="79" t="inlineStr">
        <is>
          <t>Consultancy Project (Geographical Sciences)</t>
        </is>
      </c>
      <c r="H96" s="77" t="inlineStr">
        <is>
          <t>Consultancy Project</t>
        </is>
      </c>
      <c r="I96" s="77" t="inlineStr">
        <is>
          <t>GEOGM0029</t>
        </is>
      </c>
      <c r="J96" s="77" t="inlineStr">
        <is>
          <t>Masters unit: unit director collects proposals from external clients; projects allocated to teams of 3-5 students who negotiate terms of reference, research, produce a report and present to the client.</t>
        </is>
      </c>
      <c r="K96" s="77" t="inlineStr">
        <is>
          <t>School of Geographical Sciences</t>
        </is>
      </c>
      <c r="L96" s="77" t="inlineStr">
        <is>
          <t>Geographical Sciences MSc programmes</t>
        </is>
      </c>
      <c r="M96" s="77" t="inlineStr">
        <is>
          <t>Science</t>
        </is>
      </c>
      <c r="N96" s="77" t="inlineStr">
        <is>
          <t>Postgraduate taught</t>
        </is>
      </c>
      <c r="O96" s="77" t="inlineStr"/>
      <c r="P96" s="77" t="inlineStr"/>
      <c r="Q96" s="77" t="inlineStr">
        <is>
          <t>Unclear</t>
        </is>
      </c>
      <c r="R96" s="77" t="inlineStr">
        <is>
          <t>Curricular</t>
        </is>
      </c>
      <c r="S96" s="77" t="inlineStr">
        <is>
          <t>20 credits, TB2 (2020/21 listing)</t>
        </is>
      </c>
      <c r="T96" s="77" t="inlineStr">
        <is>
          <t>Teaching Block 2</t>
        </is>
      </c>
      <c r="U96" s="77" t="inlineStr"/>
      <c r="V96" s="77" t="inlineStr">
        <is>
          <t>Yes</t>
        </is>
      </c>
      <c r="W96" s="77" t="inlineStr">
        <is>
          <t>Report and final presentation to clients (source 1).</t>
        </is>
      </c>
      <c r="X96" s="77" t="inlineStr">
        <is>
          <t>Yes</t>
        </is>
      </c>
      <c r="Y96" s="77" t="inlineStr">
        <is>
          <t>Teams of 3-5 students allocated by preference (source 1).</t>
        </is>
      </c>
      <c r="Z96" s="77" t="inlineStr">
        <is>
          <t>Yes</t>
        </is>
      </c>
      <c r="AA96" s="77" t="inlineStr">
        <is>
          <t>Unit director collects proposals from external clients; students present to their clients (source 1).</t>
        </is>
      </c>
      <c r="AB96" s="77" t="inlineStr">
        <is>
          <t>Unclear</t>
        </is>
      </c>
      <c r="AC96" s="77" t="inlineStr">
        <is>
          <t>Client proposes project and receives report/presentation.</t>
        </is>
      </c>
      <c r="AD96" s="77" t="inlineStr"/>
      <c r="AE96" s="77" t="inlineStr"/>
      <c r="AF96" s="77">
        <f>IF(OR(V96="No",X96="No",Z96="No"),"Outside strict definition",IF(AND(V96="Yes",X96="Yes",Z96="Yes"),"Meets all three","Potentially relevant; evidence incomplete"))</f>
        <v/>
      </c>
      <c r="AG96" s="77" t="inlineStr">
        <is>
          <t>Current status unclear</t>
        </is>
      </c>
      <c r="AH96" s="77" t="inlineStr">
        <is>
          <t>2020/21</t>
        </is>
      </c>
      <c r="AI96" s="77" t="inlineStr">
        <is>
          <t>Yes</t>
        </is>
      </c>
      <c r="AJ96" s="77">
        <f>IF(AND(AI96="Yes",AF96="Meets all three",AG96="Current delivery confirmed"),"Yes","No")</f>
        <v/>
      </c>
      <c r="AK96" s="77" t="inlineStr"/>
      <c r="AL96" s="77" t="inlineStr">
        <is>
          <t>RG02-S12-R1</t>
        </is>
      </c>
      <c r="AM96" s="77" t="inlineStr">
        <is>
          <t>Only description is on a catalogue page labelled 2037/38 (unreliable); the unit is absent from the 2025/26 MSc Human Geography listing found. Delivery in 2025/26 not confirmed; may have been replaced by GEOGM0072. Partner sector not stated.</t>
        </is>
      </c>
      <c r="AN96" s="77" t="inlineStr"/>
      <c r="AO96" s="77" t="inlineStr">
        <is>
          <t>UK</t>
        </is>
      </c>
      <c r="AP96" s="77" t="inlineStr">
        <is>
          <t>UK – Russell Group</t>
        </is>
      </c>
      <c r="AQ96" s="77" t="inlineStr">
        <is>
          <t>~1 term</t>
        </is>
      </c>
      <c r="AR96" s="77" t="inlineStr">
        <is>
          <t>All/standard</t>
        </is>
      </c>
      <c r="AS96" s="77" t="inlineStr"/>
    </row>
    <row r="97">
      <c r="A97" s="77" t="inlineStr">
        <is>
          <t>RG02</t>
        </is>
      </c>
      <c r="B97" s="77" t="inlineStr">
        <is>
          <t>Bristol</t>
        </is>
      </c>
      <c r="C97" s="77" t="inlineStr">
        <is>
          <t>Programme/course</t>
        </is>
      </c>
      <c r="D97" s="77" t="inlineStr">
        <is>
          <t>RG02-S13</t>
        </is>
      </c>
      <c r="E97" s="77" t="inlineStr"/>
      <c r="F97" s="77" t="inlineStr">
        <is>
          <t>No</t>
        </is>
      </c>
      <c r="G97" s="79" t="inlineStr">
        <is>
          <t>Policy and Management Consultancy</t>
        </is>
      </c>
      <c r="H97" s="77" t="inlineStr">
        <is>
          <t>Policy and Management Consultancy</t>
        </is>
      </c>
      <c r="I97" s="77" t="inlineStr">
        <is>
          <t>GEOGM0072</t>
        </is>
      </c>
      <c r="J97" s="77" t="inlineStr">
        <is>
          <t>Optional 20-credit TB2 Masters unit built around responding to a client brief (problem framing and analysis tools). Group structure and client type not retrieved.</t>
        </is>
      </c>
      <c r="K97" s="77" t="inlineStr">
        <is>
          <t>School of Geographical Sciences</t>
        </is>
      </c>
      <c r="L97" s="77" t="inlineStr">
        <is>
          <t>MSc Human Geography: Society and Space (listed optional 2025/26)</t>
        </is>
      </c>
      <c r="M97" s="77" t="inlineStr">
        <is>
          <t>Science; Arts/humanities/social sciences</t>
        </is>
      </c>
      <c r="N97" s="77" t="inlineStr">
        <is>
          <t>Postgraduate taught</t>
        </is>
      </c>
      <c r="O97" s="77" t="inlineStr"/>
      <c r="P97" s="77" t="inlineStr"/>
      <c r="Q97" s="77" t="inlineStr">
        <is>
          <t>Optional/elective</t>
        </is>
      </c>
      <c r="R97" s="77" t="inlineStr">
        <is>
          <t>Curricular</t>
        </is>
      </c>
      <c r="S97" s="77" t="inlineStr">
        <is>
          <t>20 credits, TB2</t>
        </is>
      </c>
      <c r="T97" s="77" t="inlineStr"/>
      <c r="U97" s="77" t="inlineStr"/>
      <c r="V97" s="77" t="inlineStr">
        <is>
          <t>Unclear</t>
        </is>
      </c>
      <c r="W97" s="77" t="inlineStr">
        <is>
          <t>Objectives refer to 'a client brief' (source 1, year-labelled 2037/38).</t>
        </is>
      </c>
      <c r="X97" s="77" t="inlineStr">
        <is>
          <t>Unclear</t>
        </is>
      </c>
      <c r="Y97" s="77" t="inlineStr">
        <is>
          <t>Not retrieved. The MSc Environmental Policy and Management page refers to an 'extended team-based project' for partner organisations without naming the unit.</t>
        </is>
      </c>
      <c r="Z97" s="77" t="inlineStr">
        <is>
          <t>Unclear</t>
        </is>
      </c>
      <c r="AA97" s="77" t="inlineStr">
        <is>
          <t>Client mentioned but not identified as external.</t>
        </is>
      </c>
      <c r="AB97" s="77" t="inlineStr">
        <is>
          <t>Unclear</t>
        </is>
      </c>
      <c r="AC97" s="77" t="inlineStr"/>
      <c r="AD97" s="77" t="inlineStr"/>
      <c r="AE97" s="77" t="inlineStr"/>
      <c r="AF97" s="77">
        <f>IF(OR(V97="No",X97="No",Z97="No"),"Outside strict definition",IF(AND(V97="Yes",X97="Yes",Z97="Yes"),"Meets all three","Potentially relevant; evidence incomplete"))</f>
        <v/>
      </c>
      <c r="AG97" s="77" t="inlineStr">
        <is>
          <t>Current status unclear</t>
        </is>
      </c>
      <c r="AH97" s="77" t="inlineStr">
        <is>
          <t>2025/26 (listing only)</t>
        </is>
      </c>
      <c r="AI97" s="77" t="inlineStr">
        <is>
          <t>Yes</t>
        </is>
      </c>
      <c r="AJ97" s="77">
        <f>IF(AND(AI97="Yes",AF97="Meets all three",AG97="Current delivery confirmed"),"Yes","No")</f>
        <v/>
      </c>
      <c r="AK97" s="77" t="inlineStr"/>
      <c r="AL97" s="77" t="inlineStr">
        <is>
          <t>RG02-S13-R1; RG02-S13-R2</t>
        </is>
      </c>
      <c r="AM97" s="77" t="inlineStr">
        <is>
          <t>Need actual unit description: team vs individual, external client identity.</t>
        </is>
      </c>
      <c r="AN97" s="77" t="inlineStr"/>
      <c r="AO97" s="77" t="inlineStr">
        <is>
          <t>UK</t>
        </is>
      </c>
      <c r="AP97" s="77" t="inlineStr">
        <is>
          <t>UK – Russell Group</t>
        </is>
      </c>
      <c r="AQ97" s="77" t="inlineStr">
        <is>
          <t>~1 term</t>
        </is>
      </c>
      <c r="AR97" s="77" t="inlineStr">
        <is>
          <t>Unclear</t>
        </is>
      </c>
      <c r="AS97" s="77" t="inlineStr"/>
    </row>
    <row r="98">
      <c r="A98" s="77" t="inlineStr">
        <is>
          <t>RG02</t>
        </is>
      </c>
      <c r="B98" s="77" t="inlineStr">
        <is>
          <t>Bristol</t>
        </is>
      </c>
      <c r="C98" s="77" t="inlineStr">
        <is>
          <t>Faculty/school</t>
        </is>
      </c>
      <c r="D98" s="77" t="inlineStr">
        <is>
          <t>RG02-S14</t>
        </is>
      </c>
      <c r="E98" s="77" t="inlineStr"/>
      <c r="F98" s="77" t="inlineStr">
        <is>
          <t>No</t>
        </is>
      </c>
      <c r="G98" s="79" t="inlineStr">
        <is>
          <t>Professional Liaison Network - live briefs and group consultancy</t>
        </is>
      </c>
      <c r="H98" s="77" t="inlineStr">
        <is>
          <t>PLN live briefs / group consultancy</t>
        </is>
      </c>
      <c r="I98" s="77" t="inlineStr"/>
      <c r="J98" s="77" t="inlineStr">
        <is>
          <t>Partner-facing offer from the Faculty of Arts, Law and Social Sciences: 'live briefs' give organisations a large group of students to work on a challenge; 'group consultancy' gives a small team consulting on an organisational challenge. PLN also lists projects (4-5 months, individual or group depending on programme) and unpaid 80-hour placements.</t>
        </is>
      </c>
      <c r="K98" s="77" t="inlineStr">
        <is>
          <t>Faculty of Arts, Law and Social Sciences - Professional Liaison Network</t>
        </is>
      </c>
      <c r="L98" s="77" t="inlineStr">
        <is>
          <t>Faculty of Arts, Law and Social Sciences students (projects open to UG and PG across faculty)</t>
        </is>
      </c>
      <c r="M98" s="77" t="inlineStr">
        <is>
          <t>Business/management; Arts/humanities/social sciences; Other (law, health, design, architecture…)</t>
        </is>
      </c>
      <c r="N98" s="77" t="inlineStr">
        <is>
          <t>Mixed</t>
        </is>
      </c>
      <c r="O98" s="77" t="inlineStr"/>
      <c r="P98" s="77" t="inlineStr"/>
      <c r="Q98" s="77" t="inlineStr">
        <is>
          <t>Unclear</t>
        </is>
      </c>
      <c r="R98" s="77" t="inlineStr">
        <is>
          <t>Unclear</t>
        </is>
      </c>
      <c r="S98" s="77" t="inlineStr"/>
      <c r="T98" s="77" t="inlineStr"/>
      <c r="U98" s="77" t="inlineStr"/>
      <c r="V98" s="77" t="inlineStr">
        <is>
          <t>Unclear</t>
        </is>
      </c>
      <c r="W98" s="77" t="inlineStr">
        <is>
          <t>Challenge-based but outputs and bounded brief not described (source 1).</t>
        </is>
      </c>
      <c r="X98" s="77" t="inlineStr">
        <is>
          <t>Yes</t>
        </is>
      </c>
      <c r="Y98" s="77" t="inlineStr">
        <is>
          <t>'A large group of students' (live briefs); 'a small team of students' (group consultancy) (source 1).</t>
        </is>
      </c>
      <c r="Z98" s="77" t="inlineStr">
        <is>
          <t>Yes</t>
        </is>
      </c>
      <c r="AA98" s="77" t="inlineStr">
        <is>
          <t>Organisation brings the challenge and works with the students (source 1); a 2024 blog describes a PLN project with Transform Drug Policy Foundation (source 2).</t>
        </is>
      </c>
      <c r="AB98" s="77" t="inlineStr">
        <is>
          <t>Mixed</t>
        </is>
      </c>
      <c r="AC98" s="77" t="inlineStr">
        <is>
          <t>Organisation supplies challenge; details of feedback/assessment not retrieved.</t>
        </is>
      </c>
      <c r="AD98" s="77" t="inlineStr">
        <is>
          <t>Transform Drug Policy Foundation; Bristol Energy Network (blog posts 2024)</t>
        </is>
      </c>
      <c r="AE98" s="77" t="inlineStr"/>
      <c r="AF98" s="77">
        <f>IF(OR(V98="No",X98="No",Z98="No"),"Outside strict definition",IF(AND(V98="Yes",X98="Yes",Z98="Yes"),"Meets all three","Potentially relevant; evidence incomplete"))</f>
        <v/>
      </c>
      <c r="AG98" s="77" t="inlineStr">
        <is>
          <t>Current status unclear</t>
        </is>
      </c>
      <c r="AH98" s="77" t="inlineStr">
        <is>
          <t>2024</t>
        </is>
      </c>
      <c r="AI98" s="77" t="inlineStr">
        <is>
          <t>Yes</t>
        </is>
      </c>
      <c r="AJ98" s="77">
        <f>IF(AND(AI98="Yes",AF98="Meets all three",AG98="Current delivery confirmed"),"Yes","No")</f>
        <v/>
      </c>
      <c r="AK98" s="77" t="inlineStr"/>
      <c r="AL98" s="77" t="inlineStr">
        <is>
          <t>RG02-S14-R1; RG02-S14-R2</t>
        </is>
      </c>
      <c r="AM98" s="77" t="inlineStr">
        <is>
          <t>Whether live briefs are credit-bearing, which units deliver them, timing, volume and recent cohorts not found. May overlap with S6 (Management Consultancy) and other unit-based routes.</t>
        </is>
      </c>
      <c r="AN98" s="77" t="inlineStr"/>
      <c r="AO98" s="77" t="inlineStr">
        <is>
          <t>UK</t>
        </is>
      </c>
      <c r="AP98" s="77" t="inlineStr">
        <is>
          <t>UK – Russell Group</t>
        </is>
      </c>
      <c r="AQ98" s="77" t="inlineStr">
        <is>
          <t>Unclear</t>
        </is>
      </c>
      <c r="AR98" s="77" t="inlineStr">
        <is>
          <t>All/standard</t>
        </is>
      </c>
      <c r="AS98" s="77" t="inlineStr"/>
    </row>
    <row r="99">
      <c r="A99" s="77" t="inlineStr">
        <is>
          <t>RG02</t>
        </is>
      </c>
      <c r="B99" s="77" t="inlineStr">
        <is>
          <t>Bristol</t>
        </is>
      </c>
      <c r="C99" s="77" t="inlineStr">
        <is>
          <t>Unclear</t>
        </is>
      </c>
      <c r="D99" s="77" t="inlineStr">
        <is>
          <t>RG02-S15</t>
        </is>
      </c>
      <c r="E99" s="77" t="inlineStr"/>
      <c r="F99" s="77" t="inlineStr">
        <is>
          <t>No</t>
        </is>
      </c>
      <c r="G99" s="79" t="inlineStr">
        <is>
          <t>City Challenges (Careers Service)</t>
        </is>
      </c>
      <c r="H99" s="77" t="inlineStr">
        <is>
          <t>City Challenges</t>
        </is>
      </c>
      <c r="I99" s="77" t="inlineStr"/>
      <c r="J99" s="77" t="inlineStr">
        <is>
          <t>Afternoon challenge events in which small student teams tackle a brief set by a local charity or social enterprise and pitch ideas back to the host organisation (min 3.5 hours towards the Bristol PLUS Award).</t>
        </is>
      </c>
      <c r="K99" s="77" t="inlineStr">
        <is>
          <t>Careers Service / Bristol Futures</t>
        </is>
      </c>
      <c r="L99" s="77" t="inlineStr">
        <is>
          <t>Not stated</t>
        </is>
      </c>
      <c r="M99" s="77" t="inlineStr">
        <is>
          <t>Central provision</t>
        </is>
      </c>
      <c r="N99" s="77" t="inlineStr">
        <is>
          <t>Unclear</t>
        </is>
      </c>
      <c r="O99" s="77" t="inlineStr"/>
      <c r="P99" s="77" t="inlineStr"/>
      <c r="Q99" s="77" t="inlineStr">
        <is>
          <t>Optional/elective</t>
        </is>
      </c>
      <c r="R99" s="77" t="inlineStr">
        <is>
          <t>Extracurricular</t>
        </is>
      </c>
      <c r="S99" s="77" t="inlineStr">
        <is>
          <t>No credit; counts towards Bristol PLUS Award</t>
        </is>
      </c>
      <c r="T99" s="77" t="inlineStr">
        <is>
          <t>One afternoon (3.5+ hours)</t>
        </is>
      </c>
      <c r="U99" s="77" t="inlineStr">
        <is>
          <t>In-person afternoon challenge, pitch to host</t>
        </is>
      </c>
      <c r="V99" s="77" t="inlineStr">
        <is>
          <t>Yes</t>
        </is>
      </c>
      <c r="W99" s="77" t="inlineStr">
        <is>
          <t>Teams work a charity-set problem and present ideas to the charity (source 1) - very short.</t>
        </is>
      </c>
      <c r="X99" s="77" t="inlineStr">
        <is>
          <t>Yes</t>
        </is>
      </c>
      <c r="Y99" s="77" t="inlineStr">
        <is>
          <t>Small student teams (source 1).</t>
        </is>
      </c>
      <c r="Z99" s="77" t="inlineStr">
        <is>
          <t>Yes</t>
        </is>
      </c>
      <c r="AA99" s="77" t="inlineStr">
        <is>
          <t>Host charity/social enterprise introduces the question and receives the pitches (source 1).</t>
        </is>
      </c>
      <c r="AB99" s="77" t="inlineStr">
        <is>
          <t>Charity/community</t>
        </is>
      </c>
      <c r="AC99" s="77" t="inlineStr">
        <is>
          <t>Sets challenge and receives pitches.</t>
        </is>
      </c>
      <c r="AD99" s="77" t="inlineStr">
        <is>
          <t>Past hosts: Brigstowe, Talk Club, St Werburgh's City Farm, Square Food Foundation, SolidariTee, The MoSAIC, Not Impossible, 91 Ways, Changes Bristol, Streams Learning Hub (Careers blog, 2022-2025)</t>
        </is>
      </c>
      <c r="AE99" s="77" t="inlineStr">
        <is>
          <t>Pitched ideas to host organisation</t>
        </is>
      </c>
      <c r="AF99" s="77">
        <f>IF(OR(V99="No",X99="No",Z99="No"),"Outside strict definition",IF(AND(V99="Yes",X99="Yes",Z99="Yes"),"Meets all three","Potentially relevant; evidence incomplete"))</f>
        <v/>
      </c>
      <c r="AG99" s="77" t="inlineStr">
        <is>
          <t>Current status unclear</t>
        </is>
      </c>
      <c r="AH99" s="77" t="inlineStr">
        <is>
          <t>2024/25 (Feb 2025 blog)</t>
        </is>
      </c>
      <c r="AI99" s="77" t="inlineStr">
        <is>
          <t>Yes</t>
        </is>
      </c>
      <c r="AJ99" s="77">
        <f>IF(AND(AI99="Yes",AF99="Meets all three",AG99="Current delivery confirmed"),"Yes","No")</f>
        <v/>
      </c>
      <c r="AK99" s="77" t="inlineStr"/>
      <c r="AL99" s="77" t="inlineStr">
        <is>
          <t>RG02-S15-R1</t>
        </is>
      </c>
      <c r="AM99" s="77" t="inlineStr">
        <is>
          <t>No 2025/26 or 2026/27 event evidenced; eligibility (university-wide?) not stated; substantiveness doubtful given one-afternoon format.</t>
        </is>
      </c>
      <c r="AN99" s="77" t="inlineStr"/>
      <c r="AO99" s="77" t="inlineStr">
        <is>
          <t>UK</t>
        </is>
      </c>
      <c r="AP99" s="77" t="inlineStr">
        <is>
          <t>UK – Russell Group</t>
        </is>
      </c>
      <c r="AQ99" s="77" t="inlineStr">
        <is>
          <t>&lt;1 week</t>
        </is>
      </c>
      <c r="AR99" s="77" t="inlineStr">
        <is>
          <t>All/standard</t>
        </is>
      </c>
      <c r="AS99" s="77" t="inlineStr"/>
    </row>
    <row r="100">
      <c r="A100" s="77" t="inlineStr">
        <is>
          <t>RG02</t>
        </is>
      </c>
      <c r="B100" s="77" t="inlineStr">
        <is>
          <t>Bristol</t>
        </is>
      </c>
      <c r="C100" s="77" t="inlineStr">
        <is>
          <t>Faculty/school</t>
        </is>
      </c>
      <c r="D100" s="77" t="inlineStr">
        <is>
          <t>RG02-S16</t>
        </is>
      </c>
      <c r="E100" s="77" t="inlineStr"/>
      <c r="F100" s="77" t="inlineStr">
        <is>
          <t>No</t>
        </is>
      </c>
      <c r="G100" s="79" t="inlineStr">
        <is>
          <t>Human Rights Law Clinic (Human Rights Implementation Centre)</t>
        </is>
      </c>
      <c r="H100" s="77" t="inlineStr">
        <is>
          <t>Human Rights Law Clinic</t>
        </is>
      </c>
      <c r="I100" s="77" t="inlineStr"/>
      <c r="J100" s="77" t="inlineStr">
        <is>
          <t>About seventy Law students appointed each year into student-led teams that conduct research meeting partner organisations' project briefs, with a student team leader liaising with partners; teams produce reports by the end of the year used in litigation and policy drafting.</t>
        </is>
      </c>
      <c r="K100" s="77" t="inlineStr">
        <is>
          <t>Bristol Law School, Human Rights Implementation Centre</t>
        </is>
      </c>
      <c r="L100" s="77" t="inlineStr">
        <is>
          <t>Law School students (UG year 2+ and PG) who have taken or are taking a human rights/international law module</t>
        </is>
      </c>
      <c r="M100" s="77" t="inlineStr">
        <is>
          <t>Other (law, health, design, architecture…)</t>
        </is>
      </c>
      <c r="N100" s="77" t="inlineStr">
        <is>
          <t>Mixed</t>
        </is>
      </c>
      <c r="O100" s="77" t="inlineStr">
        <is>
          <t>UG year 2 onwards, PG</t>
        </is>
      </c>
      <c r="P100" s="77" t="inlineStr">
        <is>
          <t>Registered in the Law School; application with personal statement (2025/26 deadline 15 Nov 2025).</t>
        </is>
      </c>
      <c r="Q100" s="77" t="inlineStr">
        <is>
          <t>Selective/competitive</t>
        </is>
      </c>
      <c r="R100" s="77" t="inlineStr">
        <is>
          <t>Extracurricular</t>
        </is>
      </c>
      <c r="S100" s="77" t="inlineStr">
        <is>
          <t>Not credit-bearing as stated</t>
        </is>
      </c>
      <c r="T100" s="77" t="inlineStr">
        <is>
          <t>Academic year</t>
        </is>
      </c>
      <c r="U100" s="77" t="inlineStr">
        <is>
          <t>Student-led teams working to partner briefs</t>
        </is>
      </c>
      <c r="V100" s="77" t="inlineStr">
        <is>
          <t>Yes</t>
        </is>
      </c>
      <c r="W100" s="77" t="inlineStr">
        <is>
          <t>Comprehensive legal research meeting partner project briefs; report by end of year (source 1).</t>
        </is>
      </c>
      <c r="X100" s="77" t="inlineStr">
        <is>
          <t>Yes</t>
        </is>
      </c>
      <c r="Y100" s="77" t="inlineStr">
        <is>
          <t>'Students work in teams'; student team leaders (source 1).</t>
        </is>
      </c>
      <c r="Z100" s="77" t="inlineStr">
        <is>
          <t>Yes</t>
        </is>
      </c>
      <c r="AA100" s="77" t="inlineStr">
        <is>
          <t>Partners set initial project briefs and receive reports feeding ongoing litigation/policy drafting (source 1).</t>
        </is>
      </c>
      <c r="AB100" s="77" t="inlineStr">
        <is>
          <t>Unclear</t>
        </is>
      </c>
      <c r="AC100" s="77" t="inlineStr">
        <is>
          <t>Partner organisations set project brief and receive research report.</t>
        </is>
      </c>
      <c r="AD100" s="77" t="inlineStr">
        <is>
          <t>Past project topics: legal gender recognition, Libya litigation support, flag state research, torture prevention (partners not named in extract)</t>
        </is>
      </c>
      <c r="AE100" s="77" t="inlineStr">
        <is>
          <t>Legal research report for partner</t>
        </is>
      </c>
      <c r="AF100" s="77">
        <f>IF(OR(V100="No",X100="No",Z100="No"),"Outside strict definition",IF(AND(V100="Yes",X100="Yes",Z100="Yes"),"Meets all three","Potentially relevant; evidence incomplete"))</f>
        <v/>
      </c>
      <c r="AG100" s="77" t="inlineStr">
        <is>
          <t>Current delivery confirmed</t>
        </is>
      </c>
      <c r="AH100" s="77" t="inlineStr">
        <is>
          <t>2025/26</t>
        </is>
      </c>
      <c r="AI100" s="77" t="inlineStr">
        <is>
          <t>Yes</t>
        </is>
      </c>
      <c r="AJ100" s="77">
        <f>IF(AND(AI100="Yes",AF100="Meets all three",AG100="Current delivery confirmed"),"Yes","No")</f>
        <v/>
      </c>
      <c r="AK100" s="77" t="inlineStr">
        <is>
          <t>About 70 members appointed each year (undated clinic page)</t>
        </is>
      </c>
      <c r="AL100" s="77" t="inlineStr">
        <is>
          <t>RG02-S16-R1</t>
        </is>
      </c>
      <c r="AM100" s="77" t="inlineStr">
        <is>
          <t>Partner sector (NGO/charity/public) not specified in extract; 2025/26 partner list not retrieved; no credit.</t>
        </is>
      </c>
      <c r="AN100" s="77" t="inlineStr"/>
      <c r="AO100" s="77" t="inlineStr">
        <is>
          <t>UK</t>
        </is>
      </c>
      <c r="AP100" s="77" t="inlineStr">
        <is>
          <t>UK – Russell Group</t>
        </is>
      </c>
      <c r="AQ100" s="77" t="inlineStr">
        <is>
          <t>&gt;1 term</t>
        </is>
      </c>
      <c r="AR100" s="77" t="inlineStr">
        <is>
          <t>All/standard</t>
        </is>
      </c>
      <c r="AS100" s="77" t="inlineStr"/>
    </row>
    <row r="101">
      <c r="A101" s="77" t="inlineStr">
        <is>
          <t>RG02</t>
        </is>
      </c>
      <c r="B101" s="77" t="inlineStr">
        <is>
          <t>Bristol</t>
        </is>
      </c>
      <c r="C101" s="77" t="inlineStr">
        <is>
          <t>Programme/course</t>
        </is>
      </c>
      <c r="D101" s="77" t="inlineStr">
        <is>
          <t>RG02-S17</t>
        </is>
      </c>
      <c r="E101" s="77" t="inlineStr"/>
      <c r="F101" s="77" t="inlineStr">
        <is>
          <t>No</t>
        </is>
      </c>
      <c r="G101" s="79" t="inlineStr">
        <is>
          <t>Design Engineering / Engineering Design - industry group design projects</t>
        </is>
      </c>
      <c r="H101" s="77" t="inlineStr">
        <is>
          <t>Design Engineering group design project with industry</t>
        </is>
      </c>
      <c r="I101" s="77" t="inlineStr"/>
      <c r="J101" s="77" t="inlineStr">
        <is>
          <t>Degree pages state a group-based design project in partnership with industry is a major component of the penultimate or final year (BEng/MEng Design Engineering); MEng Engineering Design years four-five projects are 'conducted with one of our industrial partners' on topics such as robotics, manufacturing, renewable energy.</t>
        </is>
      </c>
      <c r="K101" s="77" t="inlineStr">
        <is>
          <t>School of Civil, Aerospace and Design Engineering</t>
        </is>
      </c>
      <c r="L101" s="77" t="inlineStr">
        <is>
          <t>BEng/MEng Design Engineering; MEng Engineering Design</t>
        </is>
      </c>
      <c r="M101" s="77" t="inlineStr">
        <is>
          <t>Engineering/computing</t>
        </is>
      </c>
      <c r="N101" s="77" t="inlineStr">
        <is>
          <t>Undergraduate</t>
        </is>
      </c>
      <c r="O101" s="77" t="inlineStr">
        <is>
          <t>Years 3-5</t>
        </is>
      </c>
      <c r="P101" s="77" t="inlineStr"/>
      <c r="Q101" s="77" t="inlineStr">
        <is>
          <t>Compulsory within specified programmes</t>
        </is>
      </c>
      <c r="R101" s="77" t="inlineStr">
        <is>
          <t>Curricular</t>
        </is>
      </c>
      <c r="S101" s="77" t="inlineStr">
        <is>
          <t>Not retrieved (a 2018/19 spec mentions 40-credit Design Project 4)</t>
        </is>
      </c>
      <c r="T101" s="77" t="inlineStr"/>
      <c r="U101" s="77" t="inlineStr"/>
      <c r="V101" s="77" t="inlineStr">
        <is>
          <t>Yes</t>
        </is>
      </c>
      <c r="W101" s="77" t="inlineStr">
        <is>
          <t>Major group design project (source 1).</t>
        </is>
      </c>
      <c r="X101" s="77" t="inlineStr">
        <is>
          <t>Yes</t>
        </is>
      </c>
      <c r="Y101" s="77" t="inlineStr">
        <is>
          <t>'Group-based design project' (source 1).</t>
        </is>
      </c>
      <c r="Z101" s="77" t="inlineStr">
        <is>
          <t>Unclear</t>
        </is>
      </c>
      <c r="AA101" s="77" t="inlineStr">
        <is>
          <t>'In partnership with industry' / 'conducted with one of our industrial partners' - brief-setting, supervision or feedback roles not documented (sources 1, 2).</t>
        </is>
      </c>
      <c r="AB101" s="77" t="inlineStr">
        <is>
          <t>Business/commercial</t>
        </is>
      </c>
      <c r="AC101" s="77" t="inlineStr"/>
      <c r="AD101" s="77" t="inlineStr"/>
      <c r="AE101" s="77" t="inlineStr"/>
      <c r="AF101" s="77">
        <f>IF(OR(V101="No",X101="No",Z101="No"),"Outside strict definition",IF(AND(V101="Yes",X101="Yes",Z101="Yes"),"Meets all three","Potentially relevant; evidence incomplete"))</f>
        <v/>
      </c>
      <c r="AG101" s="77" t="inlineStr">
        <is>
          <t>Current status unclear</t>
        </is>
      </c>
      <c r="AH101" s="77" t="inlineStr">
        <is>
          <t>2026/27 entry (marketing pages)</t>
        </is>
      </c>
      <c r="AI101" s="77" t="inlineStr">
        <is>
          <t>Yes</t>
        </is>
      </c>
      <c r="AJ101" s="77">
        <f>IF(AND(AI101="Yes",AF101="Meets all three",AG101="Current delivery confirmed"),"Yes","No")</f>
        <v/>
      </c>
      <c r="AK101" s="77" t="inlineStr"/>
      <c r="AL101" s="77" t="inlineStr">
        <is>
          <t>RG02-S17-R1; RG02-S17-R2</t>
        </is>
      </c>
      <c r="AM101" s="77" t="inlineStr">
        <is>
          <t>No unit-level entry identifying how companies participate; programme pages are marketing text. Could not link to the ILO or to a dated unit entry.</t>
        </is>
      </c>
      <c r="AN101" s="77" t="inlineStr"/>
      <c r="AO101" s="77" t="inlineStr">
        <is>
          <t>UK</t>
        </is>
      </c>
      <c r="AP101" s="77" t="inlineStr">
        <is>
          <t>UK – Russell Group</t>
        </is>
      </c>
      <c r="AQ101" s="77" t="inlineStr">
        <is>
          <t>&gt;1 term</t>
        </is>
      </c>
      <c r="AR101" s="77" t="inlineStr">
        <is>
          <t>Unclear</t>
        </is>
      </c>
      <c r="AS101" s="77" t="inlineStr"/>
    </row>
    <row r="102">
      <c r="A102" s="77" t="inlineStr">
        <is>
          <t>RG03</t>
        </is>
      </c>
      <c r="B102" s="77" t="inlineStr">
        <is>
          <t>Cambridge</t>
        </is>
      </c>
      <c r="C102" s="77" t="inlineStr">
        <is>
          <t>Programme/course</t>
        </is>
      </c>
      <c r="D102" s="77" t="inlineStr">
        <is>
          <t>RG03-S01</t>
        </is>
      </c>
      <c r="E102" s="77" t="inlineStr"/>
      <c r="F102" s="77" t="inlineStr">
        <is>
          <t>No</t>
        </is>
      </c>
      <c r="G102" s="79" t="inlineStr">
        <is>
          <t>MBA Global Consulting Project (GCP)</t>
        </is>
      </c>
      <c r="H102" s="77" t="inlineStr">
        <is>
          <t>Cambridge MBA Global Consulting Project</t>
        </is>
      </c>
      <c r="I102" s="77" t="inlineStr"/>
      <c r="J102" s="77" t="inlineStr">
        <is>
          <t>Teams of 4-5 MBA students work full-time for about four weeks (Easter break) on a management issue identified by a host organisation anywhere in the world, supervised by a faculty/associate supervisor, and recommend action to the client. Students rank client choices or source their own project.</t>
        </is>
      </c>
      <c r="K102" s="77" t="inlineStr">
        <is>
          <t>Cambridge Judge Business School</t>
        </is>
      </c>
      <c r="L102" s="77" t="inlineStr">
        <is>
          <t>Cambridge MBA</t>
        </is>
      </c>
      <c r="M102" s="77" t="inlineStr">
        <is>
          <t>Business/management</t>
        </is>
      </c>
      <c r="N102" s="77" t="inlineStr">
        <is>
          <t>Postgraduate taught</t>
        </is>
      </c>
      <c r="O102" s="77" t="inlineStr">
        <is>
          <t>MBA (Easter term)</t>
        </is>
      </c>
      <c r="P102" s="77" t="inlineStr"/>
      <c r="Q102" s="77" t="inlineStr">
        <is>
          <t>Compulsory within specified programmes</t>
        </is>
      </c>
      <c r="R102" s="77" t="inlineStr">
        <is>
          <t>Curricular</t>
        </is>
      </c>
      <c r="S102" s="77" t="inlineStr">
        <is>
          <t>Described as the culmination of the Management Praxis II core course; credit/weighting not retrieved</t>
        </is>
      </c>
      <c r="T102" s="77" t="inlineStr">
        <is>
          <t>~4 weeks full-time (16 Mar-17 Apr 2026; next mid-Mar to mid-Apr 2027)</t>
        </is>
      </c>
      <c r="U102" s="77" t="inlineStr">
        <is>
          <t>Client-site and remote consulting teams with academic supervisor</t>
        </is>
      </c>
      <c r="V102" s="77" t="inlineStr">
        <is>
          <t>Yes</t>
        </is>
      </c>
      <c r="W102" s="77" t="inlineStr">
        <is>
          <t>Host organisation identifies a management issue; teams deliver analysis/recommendations (sources 1,2).</t>
        </is>
      </c>
      <c r="X102" s="77" t="inlineStr">
        <is>
          <t>Yes</t>
        </is>
      </c>
      <c r="Y102" s="77" t="inlineStr">
        <is>
          <t>Teams of 4-5 MBAs (sources 1,2).</t>
        </is>
      </c>
      <c r="Z102" s="77" t="inlineStr">
        <is>
          <t>Yes</t>
        </is>
      </c>
      <c r="AA102" s="77" t="inlineStr">
        <is>
          <t>Host organisation (commercial, public sector or not-for-profit) sets the issue, names a sponsor and second contact, pays project expenses; clients include WHO, Uber, IBM, Patagonia, World Bank (sources 1,3).</t>
        </is>
      </c>
      <c r="AB102" s="77" t="inlineStr">
        <is>
          <t>Mixed</t>
        </is>
      </c>
      <c r="AC102" s="77" t="inlineStr">
        <is>
          <t>Commissioning client/host; supplies brief, sponsor contact, receives outputs</t>
        </is>
      </c>
      <c r="AD102" s="77" t="inlineStr">
        <is>
          <t>WHO, Uber EMEA, World Bank Group, IBM, Patagonia (various years, per JBS pages/news)</t>
        </is>
      </c>
      <c r="AE102" s="77" t="inlineStr">
        <is>
          <t>Consulting recommendations/report and client presentation</t>
        </is>
      </c>
      <c r="AF102" s="77">
        <f>IF(OR(V102="No",X102="No",Z102="No"),"Outside strict definition",IF(AND(V102="Yes",X102="Yes",Z102="Yes"),"Meets all three","Potentially relevant; evidence incomplete"))</f>
        <v/>
      </c>
      <c r="AG102" s="77" t="inlineStr">
        <is>
          <t>Current delivery confirmed</t>
        </is>
      </c>
      <c r="AH102" s="77" t="inlineStr">
        <is>
          <t>2026 (ran 16 Mar-17 Apr 2026; 2027 proposal call open)</t>
        </is>
      </c>
      <c r="AI102" s="77" t="inlineStr">
        <is>
          <t>Yes</t>
        </is>
      </c>
      <c r="AJ102" s="77">
        <f>IF(AND(AI102="Yes",AF102="Meets all three",AG102="Current delivery confirmed"),"Yes","No")</f>
        <v/>
      </c>
      <c r="AK102" s="77" t="inlineStr"/>
      <c r="AL102" s="77" t="inlineStr">
        <is>
          <t>RG03-S01-R1; RG03-S01-R2; RG03-S01-R3; RG03-S01-R4</t>
        </is>
      </c>
      <c r="AM102" s="77" t="inlineStr">
        <is>
          <t>Compulsory status inferred from 'culmination of the core course' wording; not stated as 'compulsory' in retrieved extracts. Credit weighting not retrieved. Team-size wording varies (4-5; briefing note up to 6).</t>
        </is>
      </c>
      <c r="AN102" s="77" t="inlineStr">
        <is>
          <t>Cambridge Venture Project / Global Consulting Project</t>
        </is>
      </c>
      <c r="AO102" s="77" t="inlineStr">
        <is>
          <t>UK</t>
        </is>
      </c>
      <c r="AP102" s="77" t="inlineStr">
        <is>
          <t>UK – Russell Group</t>
        </is>
      </c>
      <c r="AQ102" s="77" t="inlineStr">
        <is>
          <t>1–4 weeks</t>
        </is>
      </c>
      <c r="AR102" s="77" t="inlineStr">
        <is>
          <t>All/standard</t>
        </is>
      </c>
      <c r="AS102" s="77" t="inlineStr"/>
    </row>
    <row r="103">
      <c r="A103" s="77" t="inlineStr">
        <is>
          <t>RG03</t>
        </is>
      </c>
      <c r="B103" s="77" t="inlineStr">
        <is>
          <t>Cambridge</t>
        </is>
      </c>
      <c r="C103" s="77" t="inlineStr">
        <is>
          <t>Programme/course</t>
        </is>
      </c>
      <c r="D103" s="77" t="inlineStr">
        <is>
          <t>RG03-S02</t>
        </is>
      </c>
      <c r="E103" s="77" t="inlineStr"/>
      <c r="F103" s="77" t="inlineStr">
        <is>
          <t>No</t>
        </is>
      </c>
      <c r="G103" s="79" t="inlineStr">
        <is>
          <t>MBA Cambridge Venture Project (CVP)</t>
        </is>
      </c>
      <c r="H103" s="77" t="inlineStr">
        <is>
          <t>Cambridge MBA Cambridge Venture Project</t>
        </is>
      </c>
      <c r="I103" s="77" t="inlineStr"/>
      <c r="J103" s="77" t="inlineStr">
        <is>
          <t>Teams of about 5-6 MBA students work part-time over six weeks in the first term on a market analysis/research question for a local or UK-based business, with a mentor, and present to the client at the Business School.</t>
        </is>
      </c>
      <c r="K103" s="77" t="inlineStr">
        <is>
          <t>Cambridge Judge Business School</t>
        </is>
      </c>
      <c r="L103" s="77" t="inlineStr">
        <is>
          <t>Cambridge MBA</t>
        </is>
      </c>
      <c r="M103" s="77" t="inlineStr">
        <is>
          <t>Business/management</t>
        </is>
      </c>
      <c r="N103" s="77" t="inlineStr">
        <is>
          <t>Postgraduate taught</t>
        </is>
      </c>
      <c r="O103" s="77" t="inlineStr">
        <is>
          <t>MBA (Michaelmas term)</t>
        </is>
      </c>
      <c r="P103" s="77" t="inlineStr"/>
      <c r="Q103" s="77" t="inlineStr">
        <is>
          <t>Compulsory within specified programmes</t>
        </is>
      </c>
      <c r="R103" s="77" t="inlineStr">
        <is>
          <t>Curricular</t>
        </is>
      </c>
      <c r="S103" s="77" t="inlineStr">
        <is>
          <t>Runs alongside the Management Praxis core course; credit not retrieved</t>
        </is>
      </c>
      <c r="T103" s="77" t="inlineStr">
        <is>
          <t>~6 weeks part-time (1 Oct to w/c 30 Nov 2026)</t>
        </is>
      </c>
      <c r="U103" s="77" t="inlineStr">
        <is>
          <t>Part-time team project with local client; final presentation at Judge</t>
        </is>
      </c>
      <c r="V103" s="77" t="inlineStr">
        <is>
          <t>Yes</t>
        </is>
      </c>
      <c r="W103" s="77" t="inlineStr">
        <is>
          <t>Market analysis/research engagement for a client (sources 1,2).</t>
        </is>
      </c>
      <c r="X103" s="77" t="inlineStr">
        <is>
          <t>Yes</t>
        </is>
      </c>
      <c r="Y103" s="77" t="inlineStr">
        <is>
          <t>Teams of 4-6 (5-6 on programme page) (sources 1,2).</t>
        </is>
      </c>
      <c r="Z103" s="77" t="inlineStr">
        <is>
          <t>Yes</t>
        </is>
      </c>
      <c r="AA103" s="77" t="inlineStr">
        <is>
          <t>Client business proposes the project, names a sponsor and second contact, must attend the final presentation; IP rests with client (source 3, 2024 briefing notes).</t>
        </is>
      </c>
      <c r="AB103" s="77" t="inlineStr">
        <is>
          <t>Business/commercial</t>
        </is>
      </c>
      <c r="AC103" s="77" t="inlineStr">
        <is>
          <t>Client: supplies brief, weekly meetings, attends final presentation; covers expenses</t>
        </is>
      </c>
      <c r="AD103" s="77" t="inlineStr">
        <is>
          <t>British Antarctic Survey, Riverlane, Legatics (listed as previous partners on current page)</t>
        </is>
      </c>
      <c r="AE103" s="77" t="inlineStr">
        <is>
          <t>Market research/analysis report and client presentation</t>
        </is>
      </c>
      <c r="AF103" s="77">
        <f>IF(OR(V103="No",X103="No",Z103="No"),"Outside strict definition",IF(AND(V103="Yes",X103="Yes",Z103="Yes"),"Meets all three","Potentially relevant; evidence incomplete"))</f>
        <v/>
      </c>
      <c r="AG103" s="77" t="inlineStr">
        <is>
          <t>Current delivery confirmed</t>
        </is>
      </c>
      <c r="AH103" s="77" t="inlineStr">
        <is>
          <t>2026/27 (proposals due 4 Sep 2026; project from 1 Oct 2026)</t>
        </is>
      </c>
      <c r="AI103" s="77" t="inlineStr">
        <is>
          <t>Yes</t>
        </is>
      </c>
      <c r="AJ103" s="77">
        <f>IF(AND(AI103="Yes",AF103="Meets all three",AG103="Current delivery confirmed"),"Yes","No")</f>
        <v/>
      </c>
      <c r="AK103" s="77" t="inlineStr"/>
      <c r="AL103" s="77" t="inlineStr">
        <is>
          <t>RG03-S02-R1; RG03-S02-R2; RG03-S02-R3</t>
        </is>
      </c>
      <c r="AM103" s="77" t="inlineStr">
        <is>
          <t>Compulsory status inferred from core-course integration; credit not retrieved. Some clients are charities/public bodies (British Antarctic Survey) so partner type may be Mixed.</t>
        </is>
      </c>
      <c r="AN103" s="77" t="inlineStr">
        <is>
          <t>Cambridge Venture Project / Global Consulting Project</t>
        </is>
      </c>
      <c r="AO103" s="77" t="inlineStr">
        <is>
          <t>UK</t>
        </is>
      </c>
      <c r="AP103" s="77" t="inlineStr">
        <is>
          <t>UK – Russell Group</t>
        </is>
      </c>
      <c r="AQ103" s="77" t="inlineStr">
        <is>
          <t>~1 term/semester</t>
        </is>
      </c>
      <c r="AR103" s="77" t="inlineStr">
        <is>
          <t>All/standard</t>
        </is>
      </c>
      <c r="AS103" s="77" t="inlineStr"/>
    </row>
    <row r="104">
      <c r="A104" s="77" t="inlineStr">
        <is>
          <t>RG03</t>
        </is>
      </c>
      <c r="B104" s="77" t="inlineStr">
        <is>
          <t>Cambridge</t>
        </is>
      </c>
      <c r="C104" s="77" t="inlineStr">
        <is>
          <t>Programme/course</t>
        </is>
      </c>
      <c r="D104" s="77" t="inlineStr">
        <is>
          <t>RG03-S03</t>
        </is>
      </c>
      <c r="E104" s="77" t="inlineStr"/>
      <c r="F104" s="77" t="inlineStr">
        <is>
          <t>No</t>
        </is>
      </c>
      <c r="G104" s="79" t="inlineStr">
        <is>
          <t>MFin Group Consulting Project (GCP)</t>
        </is>
      </c>
      <c r="H104" s="77" t="inlineStr">
        <is>
          <t>Master of Finance Group Consulting Project</t>
        </is>
      </c>
      <c r="I104" s="77" t="inlineStr"/>
      <c r="J104" s="77" t="inlineStr">
        <is>
          <t>Teams of 5-6 MFin students work full-time for four weeks (mid-March to mid-April) for a host finance organisation (banks, asset managers, multilateral development banks, DFIs), each with a faculty supervisor and a host manager, ending in a client presentation.</t>
        </is>
      </c>
      <c r="K104" s="77" t="inlineStr">
        <is>
          <t>Cambridge Judge Business School</t>
        </is>
      </c>
      <c r="L104" s="77" t="inlineStr">
        <is>
          <t>Master of Finance</t>
        </is>
      </c>
      <c r="M104" s="77" t="inlineStr">
        <is>
          <t>Business/management</t>
        </is>
      </c>
      <c r="N104" s="77" t="inlineStr">
        <is>
          <t>Postgraduate taught</t>
        </is>
      </c>
      <c r="O104" s="77" t="inlineStr">
        <is>
          <t>MFin (Easter break)</t>
        </is>
      </c>
      <c r="P104" s="77" t="inlineStr"/>
      <c r="Q104" s="77" t="inlineStr">
        <is>
          <t>Compulsory within specified programmes</t>
        </is>
      </c>
      <c r="R104" s="77" t="inlineStr">
        <is>
          <t>Curricular</t>
        </is>
      </c>
      <c r="S104" s="77" t="inlineStr">
        <is>
          <t>Assessed by presentation to the client (per 2026 news); credit not retrieved</t>
        </is>
      </c>
      <c r="T104" s="77" t="inlineStr">
        <is>
          <t>4 weeks full-time (plus pre-planning)</t>
        </is>
      </c>
      <c r="U104" s="77" t="inlineStr">
        <is>
          <t>Client-facing team project</t>
        </is>
      </c>
      <c r="V104" s="77" t="inlineStr">
        <is>
          <t>Yes</t>
        </is>
      </c>
      <c r="W104" s="77" t="inlineStr">
        <is>
          <t>Real business/finance issue with client presentation (sources 1,2).</t>
        </is>
      </c>
      <c r="X104" s="77" t="inlineStr">
        <is>
          <t>Yes</t>
        </is>
      </c>
      <c r="Y104" s="77" t="inlineStr">
        <is>
          <t>Teams of 5-6 (source 1).</t>
        </is>
      </c>
      <c r="Z104" s="77" t="inlineStr">
        <is>
          <t>Yes</t>
        </is>
      </c>
      <c r="AA104" s="77" t="inlineStr">
        <is>
          <t>Host company/organisation proposes the issue, provides a host manager, receives the team's presentation; 2026 teams worked with multilateral development banks, UNEP FI, specialist investment manager and DFI (sources 1,2).</t>
        </is>
      </c>
      <c r="AB104" s="77" t="inlineStr">
        <is>
          <t>Business/commercial</t>
        </is>
      </c>
      <c r="AC104" s="77" t="inlineStr">
        <is>
          <t>Client: sets brief, host manager, receives presentation (some public/multilateral hosts)</t>
        </is>
      </c>
      <c r="AD104" s="77" t="inlineStr">
        <is>
          <t>UN Environment Programme Finance Initiative; multilateral development bank (unnamed) (2026 news)</t>
        </is>
      </c>
      <c r="AE104" s="77" t="inlineStr">
        <is>
          <t>Client report/analysis and presentation</t>
        </is>
      </c>
      <c r="AF104" s="77">
        <f>IF(OR(V104="No",X104="No",Z104="No"),"Outside strict definition",IF(AND(V104="Yes",X104="Yes",Z104="Yes"),"Meets all three","Potentially relevant; evidence incomplete"))</f>
        <v/>
      </c>
      <c r="AG104" s="77" t="inlineStr">
        <is>
          <t>Current delivery confirmed</t>
        </is>
      </c>
      <c r="AH104" s="77" t="inlineStr">
        <is>
          <t>2026 (June 2026 news; 2027 call open)</t>
        </is>
      </c>
      <c r="AI104" s="77" t="inlineStr">
        <is>
          <t>Yes</t>
        </is>
      </c>
      <c r="AJ104" s="77">
        <f>IF(AND(AI104="Yes",AF104="Meets all three",AG104="Current delivery confirmed"),"Yes","No")</f>
        <v/>
      </c>
      <c r="AK104" s="77" t="inlineStr"/>
      <c r="AL104" s="77" t="inlineStr">
        <is>
          <t>RG03-S03-R1; RG03-S03-R2; RG03-S03-R3</t>
        </is>
      </c>
      <c r="AM104" s="77" t="inlineStr">
        <is>
          <t>Compulsory status and credit weighting not directly retrieved (project appears on MFin curriculum 'Projects' page). Partner type includes multilateral/public bodies.</t>
        </is>
      </c>
      <c r="AN104" s="77" t="inlineStr"/>
      <c r="AO104" s="77" t="inlineStr">
        <is>
          <t>UK</t>
        </is>
      </c>
      <c r="AP104" s="77" t="inlineStr">
        <is>
          <t>UK – Russell Group</t>
        </is>
      </c>
      <c r="AQ104" s="77" t="inlineStr">
        <is>
          <t>1–4 weeks</t>
        </is>
      </c>
      <c r="AR104" s="77" t="inlineStr">
        <is>
          <t>All/standard</t>
        </is>
      </c>
      <c r="AS104" s="77" t="inlineStr"/>
    </row>
    <row r="105">
      <c r="A105" s="77" t="inlineStr">
        <is>
          <t>RG03</t>
        </is>
      </c>
      <c r="B105" s="77" t="inlineStr">
        <is>
          <t>Cambridge</t>
        </is>
      </c>
      <c r="C105" s="77" t="inlineStr">
        <is>
          <t>Programme/course</t>
        </is>
      </c>
      <c r="D105" s="77" t="inlineStr">
        <is>
          <t>RG03-S04</t>
        </is>
      </c>
      <c r="E105" s="77" t="inlineStr"/>
      <c r="F105" s="77" t="inlineStr">
        <is>
          <t>No</t>
        </is>
      </c>
      <c r="G105" s="79" t="inlineStr">
        <is>
          <t>MPhil in Management: Management Consulting Project</t>
        </is>
      </c>
      <c r="H105" s="77" t="inlineStr">
        <is>
          <t>MPhil in Management Consulting Project</t>
        </is>
      </c>
      <c r="I105" s="77" t="inlineStr"/>
      <c r="J105" s="77" t="inlineStr">
        <is>
          <t>Teams of 4-5 MPhil in Management students work with a client company for about six weeks (roughly three weeks full-time), 29 Apr-7 Jun 2027, on a real management challenge, with written report and oral presentation to the client.</t>
        </is>
      </c>
      <c r="K105" s="77" t="inlineStr">
        <is>
          <t>Cambridge Judge Business School</t>
        </is>
      </c>
      <c r="L105" s="77" t="inlineStr">
        <is>
          <t>MPhil in Management</t>
        </is>
      </c>
      <c r="M105" s="77" t="inlineStr">
        <is>
          <t>Business/management</t>
        </is>
      </c>
      <c r="N105" s="77" t="inlineStr">
        <is>
          <t>Postgraduate taught</t>
        </is>
      </c>
      <c r="O105" s="77" t="inlineStr">
        <is>
          <t>MPhil (Easter term)</t>
        </is>
      </c>
      <c r="P105" s="77" t="inlineStr"/>
      <c r="Q105" s="77" t="inlineStr">
        <is>
          <t>Compulsory within specified programmes</t>
        </is>
      </c>
      <c r="R105" s="77" t="inlineStr">
        <is>
          <t>Curricular</t>
        </is>
      </c>
      <c r="S105" s="77" t="inlineStr">
        <is>
          <t>Report and presentation; programme page indicates project assessed separately from exam components (weighting not retrieved)</t>
        </is>
      </c>
      <c r="T105" s="77" t="inlineStr">
        <is>
          <t>~6 weeks (c.3 weeks full-time)</t>
        </is>
      </c>
      <c r="U105" s="77" t="inlineStr">
        <is>
          <t>Client-company team project</t>
        </is>
      </c>
      <c r="V105" s="77" t="inlineStr">
        <is>
          <t>Yes</t>
        </is>
      </c>
      <c r="W105" s="77" t="inlineStr">
        <is>
          <t>Company's real-world challenges; report and presentation (sources 1,2).</t>
        </is>
      </c>
      <c r="X105" s="77" t="inlineStr">
        <is>
          <t>Yes</t>
        </is>
      </c>
      <c r="Y105" s="77" t="inlineStr">
        <is>
          <t>Teams of 4-5 (source 1).</t>
        </is>
      </c>
      <c r="Z105" s="77" t="inlineStr">
        <is>
          <t>Yes</t>
        </is>
      </c>
      <c r="AA105" s="77" t="inlineStr">
        <is>
          <t>Client company supplies the challenge and receives report/presentation; proposal call open to organisations (source 1).</t>
        </is>
      </c>
      <c r="AB105" s="77" t="inlineStr">
        <is>
          <t>Business/commercial</t>
        </is>
      </c>
      <c r="AC105" s="77" t="inlineStr">
        <is>
          <t>Client: supplies challenge, receives outputs</t>
        </is>
      </c>
      <c r="AD105" s="77" t="inlineStr"/>
      <c r="AE105" s="77" t="inlineStr">
        <is>
          <t>Written report and oral presentation to client</t>
        </is>
      </c>
      <c r="AF105" s="77">
        <f>IF(OR(V105="No",X105="No",Z105="No"),"Outside strict definition",IF(AND(V105="Yes",X105="Yes",Z105="Yes"),"Meets all three","Potentially relevant; evidence incomplete"))</f>
        <v/>
      </c>
      <c r="AG105" s="77" t="inlineStr">
        <is>
          <t>Current delivery confirmed</t>
        </is>
      </c>
      <c r="AH105" s="77" t="inlineStr">
        <is>
          <t>2026/27 (proposal deadline 11 Feb 2027; project 29 Apr-7 Jun 2027)</t>
        </is>
      </c>
      <c r="AI105" s="77" t="inlineStr">
        <is>
          <t>Yes</t>
        </is>
      </c>
      <c r="AJ105" s="77">
        <f>IF(AND(AI105="Yes",AF105="Meets all three",AG105="Current delivery confirmed"),"Yes","No")</f>
        <v/>
      </c>
      <c r="AK105" s="77" t="inlineStr"/>
      <c r="AL105" s="77" t="inlineStr">
        <is>
          <t>RG03-S04-R1; RG03-S04-R2</t>
        </is>
      </c>
      <c r="AM105" s="77" t="inlineStr">
        <is>
          <t>Evidence is a forward application call for 2027 (2026/27 academic year); no cohort report retrieved. Compulsory status inferred from curriculum page.</t>
        </is>
      </c>
      <c r="AN105" s="77" t="inlineStr"/>
      <c r="AO105" s="77" t="inlineStr">
        <is>
          <t>UK</t>
        </is>
      </c>
      <c r="AP105" s="77" t="inlineStr">
        <is>
          <t>UK – Russell Group</t>
        </is>
      </c>
      <c r="AQ105" s="77" t="inlineStr">
        <is>
          <t>~1 term/semester</t>
        </is>
      </c>
      <c r="AR105" s="77" t="inlineStr">
        <is>
          <t>All/standard</t>
        </is>
      </c>
      <c r="AS105" s="77" t="inlineStr"/>
    </row>
    <row r="106">
      <c r="A106" s="77" t="inlineStr">
        <is>
          <t>RG03</t>
        </is>
      </c>
      <c r="B106" s="77" t="inlineStr">
        <is>
          <t>Cambridge</t>
        </is>
      </c>
      <c r="C106" s="77" t="inlineStr">
        <is>
          <t>Programme/course</t>
        </is>
      </c>
      <c r="D106" s="77" t="inlineStr">
        <is>
          <t>RG03-S05</t>
        </is>
      </c>
      <c r="E106" s="77" t="inlineStr"/>
      <c r="F106" s="77" t="inlineStr">
        <is>
          <t>No</t>
        </is>
      </c>
      <c r="G106" s="79" t="inlineStr">
        <is>
          <t>Management Studies Tripos (MST) consulting project</t>
        </is>
      </c>
      <c r="H106" s="77" t="inlineStr">
        <is>
          <t>MST consulting project</t>
        </is>
      </c>
      <c r="I106" s="77" t="inlineStr"/>
      <c r="J106" s="77" t="inlineStr">
        <is>
          <t>Undergraduate teams of 3-4 spend four weeks full-time in Easter term on a real management problem identified by an external organisation, agreeing terms of reference, delivering a presentation and an academic report under a University supervisor.</t>
        </is>
      </c>
      <c r="K106" s="77" t="inlineStr">
        <is>
          <t>Cambridge Judge Business School</t>
        </is>
      </c>
      <c r="L106" s="77" t="inlineStr">
        <is>
          <t>Management Studies Tripos</t>
        </is>
      </c>
      <c r="M106" s="77" t="inlineStr">
        <is>
          <t>Business/management</t>
        </is>
      </c>
      <c r="N106" s="77" t="inlineStr">
        <is>
          <t>Undergraduate</t>
        </is>
      </c>
      <c r="O106" s="77" t="inlineStr">
        <is>
          <t>MST (final-year Tripos)</t>
        </is>
      </c>
      <c r="P106" s="77" t="inlineStr"/>
      <c r="Q106" s="77" t="inlineStr">
        <is>
          <t>Compulsory within specified programmes</t>
        </is>
      </c>
      <c r="R106" s="77" t="inlineStr">
        <is>
          <t>Curricular</t>
        </is>
      </c>
      <c r="S106" s="77" t="inlineStr">
        <is>
          <t>Terms of reference, presentation and academic report; weighting not retrieved</t>
        </is>
      </c>
      <c r="T106" s="77" t="inlineStr">
        <is>
          <t>4 weeks full-time (10 May-4 Jun 2027 next cycle)</t>
        </is>
      </c>
      <c r="U106" s="77" t="inlineStr">
        <is>
          <t>Client placement/team project</t>
        </is>
      </c>
      <c r="V106" s="77" t="inlineStr">
        <is>
          <t>Yes</t>
        </is>
      </c>
      <c r="W106" s="77" t="inlineStr">
        <is>
          <t>Real management problem; terms of reference, report, presentation (sources 1,2).</t>
        </is>
      </c>
      <c r="X106" s="77" t="inlineStr">
        <is>
          <t>Yes</t>
        </is>
      </c>
      <c r="Y106" s="77" t="inlineStr">
        <is>
          <t>Teams of 3-4 (sources 1,2).</t>
        </is>
      </c>
      <c r="Z106" s="77" t="inlineStr">
        <is>
          <t>Yes</t>
        </is>
      </c>
      <c r="AA106" s="77" t="inlineStr">
        <is>
          <t>External organisation identifies the problem and hosts the team; any sector within commuting distance; past partners include Cambridge City Council, BT, Procter &amp; Gamble, DfE (sources 1,2).</t>
        </is>
      </c>
      <c r="AB106" s="77" t="inlineStr">
        <is>
          <t>Mixed</t>
        </is>
      </c>
      <c r="AC106" s="77" t="inlineStr">
        <is>
          <t>Client/host: identifies problem, hosts team, receives outputs</t>
        </is>
      </c>
      <c r="AD106" s="77" t="inlineStr">
        <is>
          <t>Cambridge City Council, BT, Procter and Gamble, Department for Education (per project-partners listing; years not dated)</t>
        </is>
      </c>
      <c r="AE106" s="77" t="inlineStr">
        <is>
          <t>Academic report, presentation and agreed terms of reference</t>
        </is>
      </c>
      <c r="AF106" s="77">
        <f>IF(OR(V106="No",X106="No",Z106="No"),"Outside strict definition",IF(AND(V106="Yes",X106="Yes",Z106="Yes"),"Meets all three","Potentially relevant; evidence incomplete"))</f>
        <v/>
      </c>
      <c r="AG106" s="77" t="inlineStr">
        <is>
          <t>Current delivery confirmed</t>
        </is>
      </c>
      <c r="AH106" s="77" t="inlineStr">
        <is>
          <t>2026/27 (proposal deadline 18 Jan 2027; project 10 May-4 Jun 2027)</t>
        </is>
      </c>
      <c r="AI106" s="77" t="inlineStr">
        <is>
          <t>Yes</t>
        </is>
      </c>
      <c r="AJ106" s="77">
        <f>IF(AND(AI106="Yes",AF106="Meets all three",AG106="Current delivery confirmed"),"Yes","No")</f>
        <v/>
      </c>
      <c r="AK106" s="77" t="inlineStr"/>
      <c r="AL106" s="77" t="inlineStr">
        <is>
          <t>RG03-S05-R1; RG03-S05-R2; RG03-S05-R3</t>
        </is>
      </c>
      <c r="AM106" s="77" t="inlineStr">
        <is>
          <t>Evidence is a forward application call; compulsory status inferred (page speaks of students' 'final project'). Weighting not retrieved.</t>
        </is>
      </c>
      <c r="AN106" s="77" t="inlineStr"/>
      <c r="AO106" s="77" t="inlineStr">
        <is>
          <t>UK</t>
        </is>
      </c>
      <c r="AP106" s="77" t="inlineStr">
        <is>
          <t>UK – Russell Group</t>
        </is>
      </c>
      <c r="AQ106" s="77" t="inlineStr">
        <is>
          <t>1–4 weeks</t>
        </is>
      </c>
      <c r="AR106" s="77" t="inlineStr">
        <is>
          <t>All/standard</t>
        </is>
      </c>
      <c r="AS106" s="77" t="inlineStr"/>
    </row>
    <row r="107">
      <c r="A107" s="77" t="inlineStr">
        <is>
          <t>RG03</t>
        </is>
      </c>
      <c r="B107" s="77" t="inlineStr">
        <is>
          <t>Cambridge</t>
        </is>
      </c>
      <c r="C107" s="77" t="inlineStr">
        <is>
          <t>Programme/course</t>
        </is>
      </c>
      <c r="D107" s="77" t="inlineStr">
        <is>
          <t>RG03-S06</t>
        </is>
      </c>
      <c r="E107" s="77" t="inlineStr"/>
      <c r="F107" s="77" t="inlineStr">
        <is>
          <t>No</t>
        </is>
      </c>
      <c r="G107" s="79" t="inlineStr">
        <is>
          <t>MPhil in Technology Policy: Final Group Project</t>
        </is>
      </c>
      <c r="H107" s="77" t="inlineStr">
        <is>
          <t>MPhil Technology Policy Final Group Project</t>
        </is>
      </c>
      <c r="I107" s="77" t="inlineStr"/>
      <c r="J107" s="77" t="inlineStr">
        <is>
          <t>Capstone: groups of 3+ students work in Lent/Easter terms (19 Mar-4 Jun 2027) for a public or private technology-intensive client organisation on a technology policy problem; assessed by client presentation and a ~12,000-word report, double-weighted.</t>
        </is>
      </c>
      <c r="K107" s="77" t="inlineStr">
        <is>
          <t>Cambridge Judge Business School (with Centre for Science and Policy)</t>
        </is>
      </c>
      <c r="L107" s="77" t="inlineStr">
        <is>
          <t>MPhil in Technology Policy</t>
        </is>
      </c>
      <c r="M107" s="77" t="inlineStr">
        <is>
          <t>Business/management; Engineering/computing</t>
        </is>
      </c>
      <c r="N107" s="77" t="inlineStr">
        <is>
          <t>Postgraduate taught</t>
        </is>
      </c>
      <c r="O107" s="77" t="inlineStr">
        <is>
          <t>MPhil (Lent/Easter)</t>
        </is>
      </c>
      <c r="P107" s="77" t="inlineStr"/>
      <c r="Q107" s="77" t="inlineStr">
        <is>
          <t>Compulsory within specified programmes</t>
        </is>
      </c>
      <c r="R107" s="77" t="inlineStr">
        <is>
          <t>Curricular</t>
        </is>
      </c>
      <c r="S107" s="77" t="inlineStr">
        <is>
          <t>Double-weighted; client presentation plus ~12,000-word report under faculty supervision</t>
        </is>
      </c>
      <c r="T107" s="77" t="inlineStr">
        <is>
          <t>~11 weeks (19 Mar-4 Jun 2027)</t>
        </is>
      </c>
      <c r="U107" s="77" t="inlineStr">
        <is>
          <t>Team capstone for client organisation</t>
        </is>
      </c>
      <c r="V107" s="77" t="inlineStr">
        <is>
          <t>Yes</t>
        </is>
      </c>
      <c r="W107" s="77" t="inlineStr">
        <is>
          <t>Real technology policy problem; presentation and 12,000-word report (sources 1,2).</t>
        </is>
      </c>
      <c r="X107" s="77" t="inlineStr">
        <is>
          <t>Yes</t>
        </is>
      </c>
      <c r="Y107" s="77" t="inlineStr">
        <is>
          <t>Groups of 3 or more (teams of 3-5) (sources 1,2).</t>
        </is>
      </c>
      <c r="Z107" s="77" t="inlineStr">
        <is>
          <t>Yes</t>
        </is>
      </c>
      <c r="AA107" s="77" t="inlineStr">
        <is>
          <t>Client organisation (commercial, industrial, public or not-for-profit) sets the problem and receives the final presentation; assessment includes presentation to client (sources 1,2).</t>
        </is>
      </c>
      <c r="AB107" s="77" t="inlineStr">
        <is>
          <t>Mixed</t>
        </is>
      </c>
      <c r="AC107" s="77" t="inlineStr">
        <is>
          <t>Client: supplies problem; receives presentation</t>
        </is>
      </c>
      <c r="AD107" s="77" t="inlineStr">
        <is>
          <t>UK Cabinet Office, Ofcom, IBM, Microsoft, AstraZeneca, Rolls-Royce, Arm, Morgan Stanley, European Commission (listed past clients, undated)</t>
        </is>
      </c>
      <c r="AE107" s="77" t="inlineStr">
        <is>
          <t>Client presentation and 12,000-word report</t>
        </is>
      </c>
      <c r="AF107" s="77">
        <f>IF(OR(V107="No",X107="No",Z107="No"),"Outside strict definition",IF(AND(V107="Yes",X107="Yes",Z107="Yes"),"Meets all three","Potentially relevant; evidence incomplete"))</f>
        <v/>
      </c>
      <c r="AG107" s="77" t="inlineStr">
        <is>
          <t>Current delivery confirmed</t>
        </is>
      </c>
      <c r="AH107" s="77" t="inlineStr">
        <is>
          <t>2026/27 (proposal deadline 11 Jan 2027; project 19 Mar-4 Jun 2027)</t>
        </is>
      </c>
      <c r="AI107" s="77" t="inlineStr">
        <is>
          <t>Yes</t>
        </is>
      </c>
      <c r="AJ107" s="77">
        <f>IF(AND(AI107="Yes",AF107="Meets all three",AG107="Current delivery confirmed"),"Yes","No")</f>
        <v/>
      </c>
      <c r="AK107" s="77" t="inlineStr"/>
      <c r="AL107" s="77" t="inlineStr">
        <is>
          <t>RG03-S06-R1; RG03-S06-R2</t>
        </is>
      </c>
      <c r="AM107" s="77" t="inlineStr">
        <is>
          <t>Evidence is a forward application call; no cohort report retrieved.</t>
        </is>
      </c>
      <c r="AN107" s="77" t="inlineStr"/>
      <c r="AO107" s="77" t="inlineStr">
        <is>
          <t>UK</t>
        </is>
      </c>
      <c r="AP107" s="77" t="inlineStr">
        <is>
          <t>UK – Russell Group</t>
        </is>
      </c>
      <c r="AQ107" s="77" t="inlineStr">
        <is>
          <t>~1 term/semester</t>
        </is>
      </c>
      <c r="AR107" s="77" t="inlineStr">
        <is>
          <t>All/standard</t>
        </is>
      </c>
      <c r="AS107" s="77" t="inlineStr"/>
    </row>
    <row r="108">
      <c r="A108" s="77" t="inlineStr">
        <is>
          <t>RG03</t>
        </is>
      </c>
      <c r="B108" s="77" t="inlineStr">
        <is>
          <t>Cambridge</t>
        </is>
      </c>
      <c r="C108" s="77" t="inlineStr">
        <is>
          <t>Programme/course</t>
        </is>
      </c>
      <c r="D108" s="77" t="inlineStr">
        <is>
          <t>RG03-S07</t>
        </is>
      </c>
      <c r="E108" s="77" t="inlineStr"/>
      <c r="F108" s="77" t="inlineStr">
        <is>
          <t>No</t>
        </is>
      </c>
      <c r="G108" s="79" t="inlineStr">
        <is>
          <t>Executive MBA: Team Consulting Project</t>
        </is>
      </c>
      <c r="H108" s="77" t="inlineStr">
        <is>
          <t>Executive MBA Team Consulting Project</t>
        </is>
      </c>
      <c r="I108" s="77" t="inlineStr"/>
      <c r="J108" s="77" t="inlineStr">
        <is>
          <t>Executive MBA participants form teams and consult for an external client (company, not-for-profit or public body) chosen mostly by the participants themselves, with school help if needed; a separate individual project is tied to the participant's own organisation.</t>
        </is>
      </c>
      <c r="K108" s="77" t="inlineStr">
        <is>
          <t>Cambridge Judge Business School</t>
        </is>
      </c>
      <c r="L108" s="77" t="inlineStr">
        <is>
          <t>Executive MBA</t>
        </is>
      </c>
      <c r="M108" s="77" t="inlineStr">
        <is>
          <t>Business/management</t>
        </is>
      </c>
      <c r="N108" s="77" t="inlineStr">
        <is>
          <t>Postgraduate taught</t>
        </is>
      </c>
      <c r="O108" s="77" t="inlineStr">
        <is>
          <t>EMBA</t>
        </is>
      </c>
      <c r="P108" s="77" t="inlineStr"/>
      <c r="Q108" s="77" t="inlineStr">
        <is>
          <t>Compulsory within specified programmes</t>
        </is>
      </c>
      <c r="R108" s="77" t="inlineStr">
        <is>
          <t>Curricular</t>
        </is>
      </c>
      <c r="S108" s="77" t="inlineStr">
        <is>
          <t>Core module; weighting not retrieved</t>
        </is>
      </c>
      <c r="T108" s="77" t="inlineStr">
        <is>
          <t>Unclear (sources conflict: one week vs extended period)</t>
        </is>
      </c>
      <c r="U108" s="77" t="inlineStr">
        <is>
          <t>Part-time team consulting</t>
        </is>
      </c>
      <c r="V108" s="77" t="inlineStr">
        <is>
          <t>Yes</t>
        </is>
      </c>
      <c r="W108" s="77" t="inlineStr">
        <is>
          <t>Team Consulting Project for external client; example sustainability accreditation system for Made in Britain (source 1).</t>
        </is>
      </c>
      <c r="X108" s="77" t="inlineStr">
        <is>
          <t>Yes</t>
        </is>
      </c>
      <c r="Y108" s="77" t="inlineStr">
        <is>
          <t>Participants choose their own teams (source 1).</t>
        </is>
      </c>
      <c r="Z108" s="77" t="inlineStr">
        <is>
          <t>Unclear</t>
        </is>
      </c>
      <c r="AA108" s="77" t="inlineStr">
        <is>
          <t>Clients are external, but most are chosen by participants rather than a standard school-sourced client pool; evidence of client role in supervision/feedback not retrieved (source 1).</t>
        </is>
      </c>
      <c r="AB108" s="77" t="inlineStr">
        <is>
          <t>Mixed</t>
        </is>
      </c>
      <c r="AC108" s="77" t="inlineStr">
        <is>
          <t>Client chosen by participants</t>
        </is>
      </c>
      <c r="AD108" s="77" t="inlineStr">
        <is>
          <t>Made in Britain (2019 team), SAMM Teknoloji, Bluetentacles (examples, years undated)</t>
        </is>
      </c>
      <c r="AE108" s="77" t="inlineStr">
        <is>
          <t>Consulting recommendations</t>
        </is>
      </c>
      <c r="AF108" s="77">
        <f>IF(OR(V108="No",X108="No",Z108="No"),"Outside strict definition",IF(AND(V108="Yes",X108="Yes",Z108="Yes"),"Meets all three","Potentially relevant; evidence incomplete"))</f>
        <v/>
      </c>
      <c r="AG108" s="77" t="inlineStr">
        <is>
          <t>Current status unclear</t>
        </is>
      </c>
      <c r="AH108" s="77" t="inlineStr">
        <is>
          <t>undated</t>
        </is>
      </c>
      <c r="AI108" s="77" t="inlineStr">
        <is>
          <t>Yes</t>
        </is>
      </c>
      <c r="AJ108" s="77">
        <f>IF(AND(AI108="Yes",AF108="Meets all three",AG108="Current delivery confirmed"),"Yes","No")</f>
        <v/>
      </c>
      <c r="AK108" s="77" t="inlineStr"/>
      <c r="AL108" s="77" t="inlineStr">
        <is>
          <t>RG03-S07-R1</t>
        </is>
      </c>
      <c r="AM108" s="77" t="inlineStr">
        <is>
          <t>No dated 2025/26 or 2026/27 evidence; duration conflicting; client involvement beyond hosting not documented; C left Unclear.</t>
        </is>
      </c>
      <c r="AN108" s="77" t="inlineStr"/>
      <c r="AO108" s="77" t="inlineStr">
        <is>
          <t>UK</t>
        </is>
      </c>
      <c r="AP108" s="77" t="inlineStr">
        <is>
          <t>UK – Russell Group</t>
        </is>
      </c>
      <c r="AQ108" s="77" t="inlineStr">
        <is>
          <t>Unclear</t>
        </is>
      </c>
      <c r="AR108" s="77" t="inlineStr">
        <is>
          <t>Unclear</t>
        </is>
      </c>
      <c r="AS108" s="77" t="inlineStr"/>
    </row>
    <row r="109">
      <c r="A109" s="77" t="inlineStr">
        <is>
          <t>RG03</t>
        </is>
      </c>
      <c r="B109" s="77" t="inlineStr">
        <is>
          <t>Cambridge</t>
        </is>
      </c>
      <c r="C109" s="77" t="inlineStr">
        <is>
          <t>Programme/course</t>
        </is>
      </c>
      <c r="D109" s="77" t="inlineStr">
        <is>
          <t>RG03-S08</t>
        </is>
      </c>
      <c r="E109" s="77" t="inlineStr"/>
      <c r="F109" s="77" t="inlineStr">
        <is>
          <t>No</t>
        </is>
      </c>
      <c r="G109" s="79" t="inlineStr">
        <is>
          <t>Computer Science Tripos Part IB Group Project</t>
        </is>
      </c>
      <c r="H109" s="77" t="inlineStr">
        <is>
          <t>Part IB Group Projects (Computer Science)</t>
        </is>
      </c>
      <c r="I109" s="77" t="inlineStr"/>
      <c r="J109" s="77" t="inlineStr">
        <is>
          <t>Second-year Computer Science students are placed in groups to build a product from an initial design brief for an assigned client (mostly industry, plus some public bodies/non-profits) over seven weeks of Lent term, with client review meetings in weeks 1, 2, 4 and 6 and final presentations.</t>
        </is>
      </c>
      <c r="K109" s="77" t="inlineStr">
        <is>
          <t>Department of Computer Science and Technology</t>
        </is>
      </c>
      <c r="L109" s="77" t="inlineStr">
        <is>
          <t>Computer Science Tripos Part IB</t>
        </is>
      </c>
      <c r="M109" s="77" t="inlineStr">
        <is>
          <t>Engineering/computing</t>
        </is>
      </c>
      <c r="N109" s="77" t="inlineStr">
        <is>
          <t>Undergraduate</t>
        </is>
      </c>
      <c r="O109" s="77" t="inlineStr">
        <is>
          <t>Second year (Part IB)</t>
        </is>
      </c>
      <c r="P109" s="77" t="inlineStr"/>
      <c r="Q109" s="77" t="inlineStr">
        <is>
          <t>Compulsory within specified programmes</t>
        </is>
      </c>
      <c r="R109" s="77" t="inlineStr">
        <is>
          <t>Curricular</t>
        </is>
      </c>
      <c r="S109" s="77" t="inlineStr">
        <is>
          <t>Ticks (pass/fail) for teamwork, client relationship, technical contribution and group success; Part IB is unclassed but must be passed to progress</t>
        </is>
      </c>
      <c r="T109" s="77" t="inlineStr">
        <is>
          <t>7 weeks (30-60 hours per student)</t>
        </is>
      </c>
      <c r="U109" s="77" t="inlineStr">
        <is>
          <t>Team software/design project with client reviews</t>
        </is>
      </c>
      <c r="V109" s="77" t="inlineStr">
        <is>
          <t>Yes</t>
        </is>
      </c>
      <c r="W109" s="77" t="inlineStr">
        <is>
          <t>Group builds a product from a design brief; report required (sources 1,2).</t>
        </is>
      </c>
      <c r="X109" s="77" t="inlineStr">
        <is>
          <t>Yes</t>
        </is>
      </c>
      <c r="Y109" s="77" t="inlineStr">
        <is>
          <t>Students are assigned to groups; credit depends on effective teamwork and a shared group-success tick (sources 1,2).</t>
        </is>
      </c>
      <c r="Z109" s="77" t="inlineStr">
        <is>
          <t>Yes</t>
        </is>
      </c>
      <c r="AA109" s="77" t="inlineStr">
        <is>
          <t>Each group works with a named client from industry supporters; client attends four compulsory review meetings (weeks 1, 2, 4, 6); 2026 clients include Nokia Bell Labs, Bending Spoons, Evinova, Cambridge University Library, INRIA Grenoble, Calero, Alitheia Capital (sources 1,3). Note some clients (University Library) are internal.</t>
        </is>
      </c>
      <c r="AB109" s="77" t="inlineStr">
        <is>
          <t>Mixed</t>
        </is>
      </c>
      <c r="AC109" s="77" t="inlineStr">
        <is>
          <t>Client: supplies design brief, attends review meetings, receives product/presentation</t>
        </is>
      </c>
      <c r="AD109" s="77" t="inlineStr">
        <is>
          <t>Nokia Bell Labs, Bending Spoons, Evinova, INRIA Grenoble, Calero, Alitheia Capital, Cambridge University Library (2026)</t>
        </is>
      </c>
      <c r="AE109" s="77" t="inlineStr">
        <is>
          <t>Software/product prototype, presentation, group and personal reports</t>
        </is>
      </c>
      <c r="AF109" s="77">
        <f>IF(OR(V109="No",X109="No",Z109="No"),"Outside strict definition",IF(AND(V109="Yes",X109="Yes",Z109="Yes"),"Meets all three","Potentially relevant; evidence incomplete"))</f>
        <v/>
      </c>
      <c r="AG109" s="77" t="inlineStr">
        <is>
          <t>Current delivery confirmed</t>
        </is>
      </c>
      <c r="AH109" s="77" t="inlineStr">
        <is>
          <t>2026 (Part IB Group Project Presentations 2026)</t>
        </is>
      </c>
      <c r="AI109" s="77" t="inlineStr">
        <is>
          <t>Yes</t>
        </is>
      </c>
      <c r="AJ109" s="77">
        <f>IF(AND(AI109="Yes",AF109="Meets all three",AG109="Current delivery confirmed"),"Yes","No")</f>
        <v/>
      </c>
      <c r="AK109" s="77" t="inlineStr"/>
      <c r="AL109" s="77" t="inlineStr">
        <is>
          <t>RG03-S08-R1; RG03-S08-R2; RG03-S08-R3; RG03-S08-R4</t>
        </is>
      </c>
      <c r="AM109" s="77" t="inlineStr">
        <is>
          <t>Compulsory status taken from course page wording 'candidates are required to undertake a group design project'. Minor share of internal clients (University Library) noted; the standard is external industry clients.</t>
        </is>
      </c>
      <c r="AN109" s="77" t="inlineStr"/>
      <c r="AO109" s="77" t="inlineStr">
        <is>
          <t>UK</t>
        </is>
      </c>
      <c r="AP109" s="77" t="inlineStr">
        <is>
          <t>UK – Russell Group</t>
        </is>
      </c>
      <c r="AQ109" s="77" t="inlineStr">
        <is>
          <t>~1 term/semester</t>
        </is>
      </c>
      <c r="AR109" s="77" t="inlineStr">
        <is>
          <t>All/standard</t>
        </is>
      </c>
      <c r="AS109" s="77" t="inlineStr"/>
    </row>
    <row r="110">
      <c r="A110" s="77" t="inlineStr">
        <is>
          <t>RG03</t>
        </is>
      </c>
      <c r="B110" s="77" t="inlineStr">
        <is>
          <t>Cambridge</t>
        </is>
      </c>
      <c r="C110" s="77" t="inlineStr">
        <is>
          <t>Programme/course</t>
        </is>
      </c>
      <c r="D110" s="77" t="inlineStr">
        <is>
          <t>RG03-S09</t>
        </is>
      </c>
      <c r="E110" s="77" t="inlineStr"/>
      <c r="F110" s="77" t="inlineStr">
        <is>
          <t>No</t>
        </is>
      </c>
      <c r="G110" s="79" t="inlineStr">
        <is>
          <t>MET IIB Industrial Projects (Manufacturing Engineering Tripos)</t>
        </is>
      </c>
      <c r="H110" s="77" t="inlineStr">
        <is>
          <t>MET IIB two-week and four-week industrial projects</t>
        </is>
      </c>
      <c r="I110" s="77" t="inlineStr"/>
      <c r="J110" s="77" t="inlineStr">
        <is>
          <t>Fourth-year (MEng) Manufacturing Engineering Tripos students work in groups of 2-4 in a host company for two weeks (Michaelmas and Lent) and a four-week team project in Lent, solving a real problem or strategic issue, with a company supervisor and IfM staff oversight; also a 7-week individual long project (not counted).</t>
        </is>
      </c>
      <c r="K110" s="77" t="inlineStr">
        <is>
          <t>Institute for Manufacturing, Department of Engineering</t>
        </is>
      </c>
      <c r="L110" s="77" t="inlineStr">
        <is>
          <t>Manufacturing Engineering Tripos (MET) Part IIB</t>
        </is>
      </c>
      <c r="M110" s="77" t="inlineStr">
        <is>
          <t>Engineering/computing</t>
        </is>
      </c>
      <c r="N110" s="77" t="inlineStr">
        <is>
          <t>Undergraduate</t>
        </is>
      </c>
      <c r="O110" s="77" t="inlineStr">
        <is>
          <t>Fourth year (MET IIB)</t>
        </is>
      </c>
      <c r="P110" s="77" t="inlineStr"/>
      <c r="Q110" s="77" t="inlineStr">
        <is>
          <t>Compulsory within specified programmes</t>
        </is>
      </c>
      <c r="R110" s="77" t="inlineStr">
        <is>
          <t>Curricular</t>
        </is>
      </c>
      <c r="S110" s="77" t="inlineStr">
        <is>
          <t>Two-week project worth 45 marks; four-week project worth 80 marks</t>
        </is>
      </c>
      <c r="T110" s="77" t="inlineStr">
        <is>
          <t>2 weeks and 4 weeks</t>
        </is>
      </c>
      <c r="U110" s="77" t="inlineStr">
        <is>
          <t>On-site company projects in teams</t>
        </is>
      </c>
      <c r="V110" s="77" t="inlineStr">
        <is>
          <t>Yes</t>
        </is>
      </c>
      <c r="W110" s="77" t="inlineStr">
        <is>
          <t>Real company problem; e.g. automation feasibility study at MK Electric (source 1).</t>
        </is>
      </c>
      <c r="X110" s="77" t="inlineStr">
        <is>
          <t>Yes</t>
        </is>
      </c>
      <c r="Y110" s="77" t="inlineStr">
        <is>
          <t>Groups of between two and four (source 1).</t>
        </is>
      </c>
      <c r="Z110" s="77" t="inlineStr">
        <is>
          <t>Yes</t>
        </is>
      </c>
      <c r="AA110" s="77" t="inlineStr">
        <is>
          <t>Student groups work in a company with a company supervisor; companies write briefs with IfM staff; examples MK Electric, Rolls-Royce Bristol, Jaguar Land Rover, Siemens (sources 1,2).</t>
        </is>
      </c>
      <c r="AB110" s="77" t="inlineStr">
        <is>
          <t>Business/commercial</t>
        </is>
      </c>
      <c r="AC110" s="77" t="inlineStr">
        <is>
          <t>Host/client: sets brief, supervises on site, receives report</t>
        </is>
      </c>
      <c r="AD110" s="77" t="inlineStr">
        <is>
          <t>MK Electric, Rolls-Royce (Bristol), Jaguar Land Rover, Siemens (undated examples)</t>
        </is>
      </c>
      <c r="AE110" s="77" t="inlineStr">
        <is>
          <t>Company report/presentation</t>
        </is>
      </c>
      <c r="AF110" s="77">
        <f>IF(OR(V110="No",X110="No",Z110="No"),"Outside strict definition",IF(AND(V110="Yes",X110="Yes",Z110="Yes"),"Meets all three","Potentially relevant; evidence incomplete"))</f>
        <v/>
      </c>
      <c r="AG110" s="77" t="inlineStr">
        <is>
          <t>Current status unclear</t>
        </is>
      </c>
      <c r="AH110" s="77" t="inlineStr">
        <is>
          <t>2025 (MET IIB handbook titled 2025; not opened)</t>
        </is>
      </c>
      <c r="AI110" s="77" t="inlineStr">
        <is>
          <t>Yes</t>
        </is>
      </c>
      <c r="AJ110" s="77">
        <f>IF(AND(AI110="Yes",AF110="Meets all three",AG110="Current delivery confirmed"),"Yes","No")</f>
        <v/>
      </c>
      <c r="AK110" s="77" t="inlineStr"/>
      <c r="AL110" s="77" t="inlineStr">
        <is>
          <t>RG03-S09-R1; RG03-S09-R2; RG03-S09-R3</t>
        </is>
      </c>
      <c r="AM110" s="77" t="inlineStr">
        <is>
          <t>Pages undated; a handbook file titled 2025 appeared in results but its content was not retrieved, so current delivery is not confirmed. Mark as likely current pending corroboration.</t>
        </is>
      </c>
      <c r="AN110" s="77" t="inlineStr"/>
      <c r="AO110" s="77" t="inlineStr">
        <is>
          <t>UK</t>
        </is>
      </c>
      <c r="AP110" s="77" t="inlineStr">
        <is>
          <t>UK – Russell Group</t>
        </is>
      </c>
      <c r="AQ110" s="77" t="inlineStr">
        <is>
          <t>1–4 weeks</t>
        </is>
      </c>
      <c r="AR110" s="77" t="inlineStr">
        <is>
          <t>All/standard</t>
        </is>
      </c>
      <c r="AS110" s="77" t="inlineStr"/>
    </row>
    <row r="111">
      <c r="A111" s="77" t="inlineStr">
        <is>
          <t>RG03</t>
        </is>
      </c>
      <c r="B111" s="77" t="inlineStr">
        <is>
          <t>Cambridge</t>
        </is>
      </c>
      <c r="C111" s="77" t="inlineStr">
        <is>
          <t>Programme/course</t>
        </is>
      </c>
      <c r="D111" s="77" t="inlineStr">
        <is>
          <t>RG03-S10</t>
        </is>
      </c>
      <c r="E111" s="77" t="inlineStr"/>
      <c r="F111" s="77" t="inlineStr">
        <is>
          <t>No</t>
        </is>
      </c>
      <c r="G111" s="79" t="inlineStr">
        <is>
          <t>ISMM MPhil Industrial Projects (IfM)</t>
        </is>
      </c>
      <c r="H111" s="77" t="inlineStr">
        <is>
          <t>Industrial Systems, Manufacture and Management MPhil industry projects</t>
        </is>
      </c>
      <c r="I111" s="77" t="inlineStr"/>
      <c r="J111" s="77" t="inlineStr">
        <is>
          <t>ISMM MPhil students complete four industry projects (industrial systems/manufacturing processes in Dec-Jan with two students per project; entrepreneurship projects Jan-Mar) at company sites, reporting to company management teams; IfM coordinates around 80 projects in a typical year.</t>
        </is>
      </c>
      <c r="K111" s="77" t="inlineStr">
        <is>
          <t>Institute for Manufacturing, Department of Engineering</t>
        </is>
      </c>
      <c r="L111" s="77" t="inlineStr">
        <is>
          <t>MPhil in Industrial Systems, Manufacture and Management</t>
        </is>
      </c>
      <c r="M111" s="77" t="inlineStr">
        <is>
          <t>Engineering/computing</t>
        </is>
      </c>
      <c r="N111" s="77" t="inlineStr">
        <is>
          <t>Postgraduate taught</t>
        </is>
      </c>
      <c r="O111" s="77" t="inlineStr">
        <is>
          <t>ISMM MPhil</t>
        </is>
      </c>
      <c r="P111" s="77" t="inlineStr"/>
      <c r="Q111" s="77" t="inlineStr">
        <is>
          <t>Compulsory within specified programmes</t>
        </is>
      </c>
      <c r="R111" s="77" t="inlineStr">
        <is>
          <t>Curricular</t>
        </is>
      </c>
      <c r="S111" s="77" t="inlineStr">
        <is>
          <t>Not retrieved</t>
        </is>
      </c>
      <c r="T111" s="77" t="inlineStr">
        <is>
          <t>Periods of several weeks (P1, P2 Dec-Jan; P3 Jan-Mar)</t>
        </is>
      </c>
      <c r="U111" s="77" t="inlineStr">
        <is>
          <t>On-site company projects, pairs for P1/P2</t>
        </is>
      </c>
      <c r="V111" s="77" t="inlineStr">
        <is>
          <t>Yes</t>
        </is>
      </c>
      <c r="W111" s="77" t="inlineStr">
        <is>
          <t>Organisational challenge addressed and full report presented to company management (source 1).</t>
        </is>
      </c>
      <c r="X111" s="77" t="inlineStr">
        <is>
          <t>Yes</t>
        </is>
      </c>
      <c r="Y111" s="77" t="inlineStr">
        <is>
          <t>P1 and P2 are two students per project (pair); P3 entrepreneurship projects team size not retrieved (source 1).</t>
        </is>
      </c>
      <c r="Z111" s="77" t="inlineStr">
        <is>
          <t>Yes</t>
        </is>
      </c>
      <c r="AA111" s="77" t="inlineStr">
        <is>
          <t>Companies write the brief with IfM staff and receive the report presentation (source 1).</t>
        </is>
      </c>
      <c r="AB111" s="77" t="inlineStr">
        <is>
          <t>Business/commercial</t>
        </is>
      </c>
      <c r="AC111" s="77" t="inlineStr">
        <is>
          <t>Host/client: brief, site, receives report</t>
        </is>
      </c>
      <c r="AD111" s="77" t="inlineStr"/>
      <c r="AE111" s="77" t="inlineStr">
        <is>
          <t>Company report/presentation</t>
        </is>
      </c>
      <c r="AF111" s="77">
        <f>IF(OR(V111="No",X111="No",Z111="No"),"Outside strict definition",IF(AND(V111="Yes",X111="Yes",Z111="Yes"),"Meets all three","Potentially relevant; evidence incomplete"))</f>
        <v/>
      </c>
      <c r="AG111" s="77" t="inlineStr">
        <is>
          <t>Current status unclear</t>
        </is>
      </c>
      <c r="AH111" s="77" t="inlineStr">
        <is>
          <t>undated (ISMM dissertation pages from 2017)</t>
        </is>
      </c>
      <c r="AI111" s="77" t="inlineStr">
        <is>
          <t>Yes</t>
        </is>
      </c>
      <c r="AJ111" s="77">
        <f>IF(AND(AI111="Yes",AF111="Meets all three",AG111="Current delivery confirmed"),"Yes","No")</f>
        <v/>
      </c>
      <c r="AK111" s="77" t="inlineStr"/>
      <c r="AL111" s="77" t="inlineStr">
        <is>
          <t>RG03-S10-R1; RG03-S10-R2</t>
        </is>
      </c>
      <c r="AM111" s="77" t="inlineStr">
        <is>
          <t>Page undated; project calendar needs confirmation from IfM; individual vs team split noted ('individually or in teams'); pair evidence only for P1/P2.</t>
        </is>
      </c>
      <c r="AN111" s="77" t="inlineStr"/>
      <c r="AO111" s="77" t="inlineStr">
        <is>
          <t>UK</t>
        </is>
      </c>
      <c r="AP111" s="77" t="inlineStr">
        <is>
          <t>UK – Russell Group</t>
        </is>
      </c>
      <c r="AQ111" s="77" t="inlineStr">
        <is>
          <t>1–4 weeks</t>
        </is>
      </c>
      <c r="AR111" s="77" t="inlineStr">
        <is>
          <t>All/standard</t>
        </is>
      </c>
      <c r="AS111" s="77" t="inlineStr"/>
    </row>
    <row r="112">
      <c r="A112" s="77" t="inlineStr">
        <is>
          <t>RG03</t>
        </is>
      </c>
      <c r="B112" s="77" t="inlineStr">
        <is>
          <t>Cambridge</t>
        </is>
      </c>
      <c r="C112" s="77" t="inlineStr">
        <is>
          <t>Programme/course</t>
        </is>
      </c>
      <c r="D112" s="77" t="inlineStr">
        <is>
          <t>RG03-S11</t>
        </is>
      </c>
      <c r="E112" s="77" t="inlineStr"/>
      <c r="F112" s="77" t="inlineStr">
        <is>
          <t>No</t>
        </is>
      </c>
      <c r="G112" s="79" t="inlineStr">
        <is>
          <t>MPhil in Engineering for Sustainable Development: Client Project (ESD-CP)</t>
        </is>
      </c>
      <c r="H112" s="77" t="inlineStr">
        <is>
          <t>ESD MPhil Client Project</t>
        </is>
      </c>
      <c r="I112" s="77" t="inlineStr"/>
      <c r="J112" s="77" t="inlineStr">
        <is>
          <t>Teams in the Engineering for Sustainable Development MPhil take on a real-world problem set by an external client (consultancies, charities, infrastructure asset owners, international government bodies, start-ups) from January to March, delivering a written report and group presentation to the client.</t>
        </is>
      </c>
      <c r="K112" s="77" t="inlineStr">
        <is>
          <t>Centre for Sustainable Development, Department of Engineering</t>
        </is>
      </c>
      <c r="L112" s="77" t="inlineStr">
        <is>
          <t>MPhil in Engineering for Sustainable Development</t>
        </is>
      </c>
      <c r="M112" s="77" t="inlineStr">
        <is>
          <t>Engineering/computing</t>
        </is>
      </c>
      <c r="N112" s="77" t="inlineStr">
        <is>
          <t>Postgraduate taught</t>
        </is>
      </c>
      <c r="O112" s="77" t="inlineStr">
        <is>
          <t>MPhil (Lent term)</t>
        </is>
      </c>
      <c r="P112" s="77" t="inlineStr"/>
      <c r="Q112" s="77" t="inlineStr">
        <is>
          <t>Compulsory within specified programmes</t>
        </is>
      </c>
      <c r="R112" s="77" t="inlineStr">
        <is>
          <t>Curricular</t>
        </is>
      </c>
      <c r="S112" s="77" t="inlineStr">
        <is>
          <t>One module equivalent; written work and group presentation to client</t>
        </is>
      </c>
      <c r="T112" s="77" t="inlineStr">
        <is>
          <t>Lent term (Jan-Mar), alongside other teaching</t>
        </is>
      </c>
      <c r="U112" s="77" t="inlineStr">
        <is>
          <t>Team client project</t>
        </is>
      </c>
      <c r="V112" s="77" t="inlineStr">
        <is>
          <t>Yes</t>
        </is>
      </c>
      <c r="W112" s="77" t="inlineStr">
        <is>
          <t>Real-world problem; report and presentation (source 1).</t>
        </is>
      </c>
      <c r="X112" s="77" t="inlineStr">
        <is>
          <t>Yes</t>
        </is>
      </c>
      <c r="Y112" s="77" t="inlineStr">
        <is>
          <t>Team-based Client Project (source 1).</t>
        </is>
      </c>
      <c r="Z112" s="77" t="inlineStr">
        <is>
          <t>Yes</t>
        </is>
      </c>
      <c r="AA112" s="77" t="inlineStr">
        <is>
          <t>External client sets problem and receives presentation; client types listed (source 1).</t>
        </is>
      </c>
      <c r="AB112" s="77" t="inlineStr">
        <is>
          <t>Mixed</t>
        </is>
      </c>
      <c r="AC112" s="77" t="inlineStr">
        <is>
          <t>Client</t>
        </is>
      </c>
      <c r="AD112" s="77" t="inlineStr"/>
      <c r="AE112" s="77" t="inlineStr">
        <is>
          <t>Written report and presentation</t>
        </is>
      </c>
      <c r="AF112" s="77">
        <f>IF(OR(V112="No",X112="No",Z112="No"),"Outside strict definition",IF(AND(V112="Yes",X112="Yes",Z112="Yes"),"Meets all three","Potentially relevant; evidence incomplete"))</f>
        <v/>
      </c>
      <c r="AG112" s="77" t="inlineStr">
        <is>
          <t>Current status unclear</t>
        </is>
      </c>
      <c r="AH112" s="77" t="inlineStr">
        <is>
          <t>undated</t>
        </is>
      </c>
      <c r="AI112" s="77" t="inlineStr">
        <is>
          <t>Yes</t>
        </is>
      </c>
      <c r="AJ112" s="77">
        <f>IF(AND(AI112="Yes",AF112="Meets all three",AG112="Current delivery confirmed"),"Yes","No")</f>
        <v/>
      </c>
      <c r="AK112" s="77" t="inlineStr"/>
      <c r="AL112" s="77" t="inlineStr">
        <is>
          <t>RG03-S11-R1; RG03-S11-R2</t>
        </is>
      </c>
      <c r="AM112" s="77" t="inlineStr">
        <is>
          <t>No dated cohort or 2025/26-2026/27 listing retrieved.</t>
        </is>
      </c>
      <c r="AN112" s="77" t="inlineStr"/>
      <c r="AO112" s="77" t="inlineStr">
        <is>
          <t>UK</t>
        </is>
      </c>
      <c r="AP112" s="77" t="inlineStr">
        <is>
          <t>UK – Russell Group</t>
        </is>
      </c>
      <c r="AQ112" s="77" t="inlineStr">
        <is>
          <t>~1 term/semester</t>
        </is>
      </c>
      <c r="AR112" s="77" t="inlineStr">
        <is>
          <t>All/standard</t>
        </is>
      </c>
      <c r="AS112" s="77" t="inlineStr"/>
    </row>
    <row r="113">
      <c r="A113" s="77" t="inlineStr">
        <is>
          <t>RG03</t>
        </is>
      </c>
      <c r="B113" s="77" t="inlineStr">
        <is>
          <t>Cambridge</t>
        </is>
      </c>
      <c r="C113" s="77" t="inlineStr">
        <is>
          <t>Programme/course</t>
        </is>
      </c>
      <c r="D113" s="77" t="inlineStr">
        <is>
          <t>RG03-S12</t>
        </is>
      </c>
      <c r="E113" s="77" t="inlineStr"/>
      <c r="F113" s="77" t="inlineStr">
        <is>
          <t>No</t>
        </is>
      </c>
      <c r="G113" s="79" t="inlineStr">
        <is>
          <t>MPhil in Bioscience Enterprise: team consulting project</t>
        </is>
      </c>
      <c r="H113" s="77" t="inlineStr">
        <is>
          <t>MBE consulting project</t>
        </is>
      </c>
      <c r="I113" s="77" t="inlineStr"/>
      <c r="J113" s="77" t="inlineStr">
        <is>
          <t>Students in the MPhil in Bioscience Enterprise work in teams as a consultancy on a real commercial question for a bioscience company (start-ups, SMEs, global companies, healthcare NGOs), presenting orally and in writing to the company and the Department; the course also includes a company research placement.</t>
        </is>
      </c>
      <c r="K113" s="77" t="inlineStr">
        <is>
          <t>Department of Chemical Engineering and Biotechnology (also listed by Department of Medicine)</t>
        </is>
      </c>
      <c r="L113" s="77" t="inlineStr">
        <is>
          <t>MPhil in Bioscience Enterprise</t>
        </is>
      </c>
      <c r="M113" s="77" t="inlineStr">
        <is>
          <t>Science; Engineering/computing</t>
        </is>
      </c>
      <c r="N113" s="77" t="inlineStr">
        <is>
          <t>Postgraduate taught</t>
        </is>
      </c>
      <c r="O113" s="77" t="inlineStr">
        <is>
          <t>MPhil</t>
        </is>
      </c>
      <c r="P113" s="77" t="inlineStr"/>
      <c r="Q113" s="77" t="inlineStr">
        <is>
          <t>Compulsory within specified programmes</t>
        </is>
      </c>
      <c r="R113" s="77" t="inlineStr">
        <is>
          <t>Curricular</t>
        </is>
      </c>
      <c r="S113" s="77" t="inlineStr">
        <is>
          <t>Not retrieved</t>
        </is>
      </c>
      <c r="T113" s="77" t="inlineStr">
        <is>
          <t>Part of a 9-month course with an ~8-week business-oriented research project (consulting project length not retrieved)</t>
        </is>
      </c>
      <c r="U113" s="77" t="inlineStr">
        <is>
          <t>Team consultancy for company</t>
        </is>
      </c>
      <c r="V113" s="77" t="inlineStr">
        <is>
          <t>Yes</t>
        </is>
      </c>
      <c r="W113" s="77" t="inlineStr">
        <is>
          <t>Real commercial question; oral presentation and written report (source 1).</t>
        </is>
      </c>
      <c r="X113" s="77" t="inlineStr">
        <is>
          <t>Yes</t>
        </is>
      </c>
      <c r="Y113" s="77" t="inlineStr">
        <is>
          <t>Students work in teams acting as a consultancy (source 1).</t>
        </is>
      </c>
      <c r="Z113" s="77" t="inlineStr">
        <is>
          <t>Yes</t>
        </is>
      </c>
      <c r="AA113" s="77" t="inlineStr">
        <is>
          <t>Companies submit proposals; deliverables presented to the Company and the Department (source 1).</t>
        </is>
      </c>
      <c r="AB113" s="77" t="inlineStr">
        <is>
          <t>Business/commercial</t>
        </is>
      </c>
      <c r="AC113" s="77" t="inlineStr">
        <is>
          <t>Client: proposes project, receives presentation/report</t>
        </is>
      </c>
      <c r="AD113" s="77" t="inlineStr"/>
      <c r="AE113" s="77" t="inlineStr">
        <is>
          <t>Report and presentation to company</t>
        </is>
      </c>
      <c r="AF113" s="77">
        <f>IF(OR(V113="No",X113="No",Z113="No"),"Outside strict definition",IF(AND(V113="Yes",X113="Yes",Z113="Yes"),"Meets all three","Potentially relevant; evidence incomplete"))</f>
        <v/>
      </c>
      <c r="AG113" s="77" t="inlineStr">
        <is>
          <t>Current status unclear</t>
        </is>
      </c>
      <c r="AH113" s="77" t="inlineStr">
        <is>
          <t>undated</t>
        </is>
      </c>
      <c r="AI113" s="77" t="inlineStr">
        <is>
          <t>Yes</t>
        </is>
      </c>
      <c r="AJ113" s="77">
        <f>IF(AND(AI113="Yes",AF113="Meets all three",AG113="Current delivery confirmed"),"Yes","No")</f>
        <v/>
      </c>
      <c r="AK113" s="77" t="inlineStr"/>
      <c r="AL113" s="77" t="inlineStr">
        <is>
          <t>RG03-S12-R1; RG03-S12-R2</t>
        </is>
      </c>
      <c r="AM113" s="77" t="inlineStr">
        <is>
          <t>CEB page states 'not currently accepting applications'; Department of Medicine lists an October 2027 start; no dated cohort evidence. Consulting project duration unknown.</t>
        </is>
      </c>
      <c r="AN113" s="77" t="inlineStr"/>
      <c r="AO113" s="77" t="inlineStr">
        <is>
          <t>UK</t>
        </is>
      </c>
      <c r="AP113" s="77" t="inlineStr">
        <is>
          <t>UK – Russell Group</t>
        </is>
      </c>
      <c r="AQ113" s="77" t="inlineStr">
        <is>
          <t>Unclear</t>
        </is>
      </c>
      <c r="AR113" s="77" t="inlineStr">
        <is>
          <t>All/standard</t>
        </is>
      </c>
      <c r="AS113" s="77" t="inlineStr"/>
    </row>
    <row r="114">
      <c r="A114" s="77" t="inlineStr">
        <is>
          <t>RG03</t>
        </is>
      </c>
      <c r="B114" s="77" t="inlineStr">
        <is>
          <t>Cambridge</t>
        </is>
      </c>
      <c r="C114" s="77" t="inlineStr">
        <is>
          <t>Programme/course</t>
        </is>
      </c>
      <c r="D114" s="77" t="inlineStr">
        <is>
          <t>RG03-S13</t>
        </is>
      </c>
      <c r="E114" s="77" t="inlineStr"/>
      <c r="F114" s="77" t="inlineStr">
        <is>
          <t>No</t>
        </is>
      </c>
      <c r="G114" s="79" t="inlineStr">
        <is>
          <t>MPhil in Public Policy: Policy Analysis Exercise (PAE)</t>
        </is>
      </c>
      <c r="H114" s="77" t="inlineStr">
        <is>
          <t>Bennett School Policy Analysis Exercise</t>
        </is>
      </c>
      <c r="I114" s="77" t="inlineStr"/>
      <c r="J114" s="77" t="inlineStr">
        <is>
          <t>A five-day group exercise late in Easter term, delivered with a government department or international organisation on a current 'live' topic: the client sets the question, teams produce a 12-page report and presentation to the client. Not assessed.</t>
        </is>
      </c>
      <c r="K114" s="77" t="inlineStr">
        <is>
          <t>Bennett School of Public Policy</t>
        </is>
      </c>
      <c r="L114" s="77" t="inlineStr">
        <is>
          <t>MPhil in Public Policy</t>
        </is>
      </c>
      <c r="M114" s="77" t="inlineStr">
        <is>
          <t>Arts/humanities/social sciences</t>
        </is>
      </c>
      <c r="N114" s="77" t="inlineStr">
        <is>
          <t>Postgraduate taught</t>
        </is>
      </c>
      <c r="O114" s="77" t="inlineStr">
        <is>
          <t>MPhil (Easter term)</t>
        </is>
      </c>
      <c r="P114" s="77" t="inlineStr"/>
      <c r="Q114" s="77" t="inlineStr">
        <is>
          <t>Compulsory within specified programmes</t>
        </is>
      </c>
      <c r="R114" s="77" t="inlineStr">
        <is>
          <t>Curricular</t>
        </is>
      </c>
      <c r="S114" s="77" t="inlineStr">
        <is>
          <t>Not assessed</t>
        </is>
      </c>
      <c r="T114" s="77" t="inlineStr">
        <is>
          <t>5 days</t>
        </is>
      </c>
      <c r="U114" s="77" t="inlineStr">
        <is>
          <t>Intensive group simulation exercise with client briefing</t>
        </is>
      </c>
      <c r="V114" s="77" t="inlineStr">
        <is>
          <t>Yes</t>
        </is>
      </c>
      <c r="W114" s="77" t="inlineStr">
        <is>
          <t>Client-set policy question; 12-page report and presentation (source 1). Bounded 5-day output.</t>
        </is>
      </c>
      <c r="X114" s="77" t="inlineStr">
        <is>
          <t>Yes</t>
        </is>
      </c>
      <c r="Y114" s="77" t="inlineStr">
        <is>
          <t>Students are split into teams (source 1).</t>
        </is>
      </c>
      <c r="Z114" s="77" t="inlineStr">
        <is>
          <t>Yes</t>
        </is>
      </c>
      <c r="AA114" s="77" t="inlineStr">
        <is>
          <t>Client (UNDP, OECD, World Bank in past years) opens with a briefing setting the problem and receives each team's presentation (source 1). Page labels it a 'simulation exercise'; the clients are real organisations.</t>
        </is>
      </c>
      <c r="AB114" s="77" t="inlineStr">
        <is>
          <t>Public sector</t>
        </is>
      </c>
      <c r="AC114" s="77" t="inlineStr">
        <is>
          <t>Client: sets question, receives presentation</t>
        </is>
      </c>
      <c r="AD114" s="77" t="inlineStr">
        <is>
          <t>UNDP (Jordan refugee integration), OECD (climate action), World Bank (business dynamism) - past years, undated</t>
        </is>
      </c>
      <c r="AE114" s="77" t="inlineStr">
        <is>
          <t>12-page report and presentation to the client</t>
        </is>
      </c>
      <c r="AF114" s="77">
        <f>IF(OR(V114="No",X114="No",Z114="No"),"Outside strict definition",IF(AND(V114="Yes",X114="Yes",Z114="Yes"),"Meets all three","Potentially relevant; evidence incomplete"))</f>
        <v/>
      </c>
      <c r="AG114" s="77" t="inlineStr">
        <is>
          <t>Current status unclear</t>
        </is>
      </c>
      <c r="AH114" s="77" t="inlineStr">
        <is>
          <t>undated</t>
        </is>
      </c>
      <c r="AI114" s="77" t="inlineStr">
        <is>
          <t>Yes</t>
        </is>
      </c>
      <c r="AJ114" s="77">
        <f>IF(AND(AI114="Yes",AF114="Meets all three",AG114="Current delivery confirmed"),"Yes","No")</f>
        <v/>
      </c>
      <c r="AK114" s="77" t="inlineStr"/>
      <c r="AL114" s="77" t="inlineStr">
        <is>
          <t>RG03-S13-R1</t>
        </is>
      </c>
      <c r="AM114" s="77" t="inlineStr">
        <is>
          <t>No dated 2025/26 or 2026/27 client confirmation; described as simulation exercise but with real client organisations; unassessed, 5 days only.</t>
        </is>
      </c>
      <c r="AN114" s="77" t="inlineStr"/>
      <c r="AO114" s="77" t="inlineStr">
        <is>
          <t>UK</t>
        </is>
      </c>
      <c r="AP114" s="77" t="inlineStr">
        <is>
          <t>UK – Russell Group</t>
        </is>
      </c>
      <c r="AQ114" s="77" t="inlineStr">
        <is>
          <t>&lt;1 week</t>
        </is>
      </c>
      <c r="AR114" s="77" t="inlineStr">
        <is>
          <t>Unclear</t>
        </is>
      </c>
      <c r="AS114" s="77" t="inlineStr"/>
    </row>
    <row r="115">
      <c r="A115" s="77" t="inlineStr">
        <is>
          <t>RG03</t>
        </is>
      </c>
      <c r="B115" s="77" t="inlineStr">
        <is>
          <t>Cambridge</t>
        </is>
      </c>
      <c r="C115" s="77" t="inlineStr">
        <is>
          <t>Programme/course</t>
        </is>
      </c>
      <c r="D115" s="77" t="inlineStr">
        <is>
          <t>RG03-S14</t>
        </is>
      </c>
      <c r="E115" s="77" t="inlineStr"/>
      <c r="F115" s="77" t="inlineStr">
        <is>
          <t>No</t>
        </is>
      </c>
      <c r="G115" s="79" t="inlineStr">
        <is>
          <t>MPhil in Conservation Leadership: group consultancy project</t>
        </is>
      </c>
      <c r="H115" s="77" t="inlineStr">
        <is>
          <t>Conservation Leadership group consultancy (CL6/CL104 Innovation for Conservation Leadership)</t>
        </is>
      </c>
      <c r="I115" s="77" t="inlineStr"/>
      <c r="J115" s="77" t="inlineStr">
        <is>
          <t>MPhil students complete an intensive group consultancy project with one of the Cambridge Conservation Initiative partner organisations (e.g. BTO, BirdLife, IUCN, FFI, UNEP-WCMC), alongside a separate individual placement.</t>
        </is>
      </c>
      <c r="K115" s="77" t="inlineStr">
        <is>
          <t>Department of Geography (Masters in Conservation Leadership, with Cambridge Conservation Initiative)</t>
        </is>
      </c>
      <c r="L115" s="77" t="inlineStr">
        <is>
          <t>MPhil in Conservation Leadership</t>
        </is>
      </c>
      <c r="M115" s="77" t="inlineStr">
        <is>
          <t>Science; Arts/humanities/social sciences</t>
        </is>
      </c>
      <c r="N115" s="77" t="inlineStr">
        <is>
          <t>Postgraduate taught</t>
        </is>
      </c>
      <c r="O115" s="77" t="inlineStr">
        <is>
          <t>MPhil</t>
        </is>
      </c>
      <c r="P115" s="77" t="inlineStr"/>
      <c r="Q115" s="77" t="inlineStr">
        <is>
          <t>Compulsory within specified programmes</t>
        </is>
      </c>
      <c r="R115" s="77" t="inlineStr">
        <is>
          <t>Curricular</t>
        </is>
      </c>
      <c r="S115" s="77" t="inlineStr">
        <is>
          <t>Within module CL6/CL104; not retrieved</t>
        </is>
      </c>
      <c r="T115" s="77" t="inlineStr">
        <is>
          <t>Intensive (length not retrieved)</t>
        </is>
      </c>
      <c r="U115" s="77" t="inlineStr">
        <is>
          <t>Group consultancy with conservation organisation</t>
        </is>
      </c>
      <c r="V115" s="77" t="inlineStr">
        <is>
          <t>Yes</t>
        </is>
      </c>
      <c r="W115" s="77" t="inlineStr">
        <is>
          <t>Consultancy project undertaken with a CCI partner (source 1).</t>
        </is>
      </c>
      <c r="X115" s="77" t="inlineStr">
        <is>
          <t>Yes</t>
        </is>
      </c>
      <c r="Y115" s="77" t="inlineStr">
        <is>
          <t>Described as a group consultancy project (sources 1,2).</t>
        </is>
      </c>
      <c r="Z115" s="77" t="inlineStr">
        <is>
          <t>Yes</t>
        </is>
      </c>
      <c r="AA115" s="77" t="inlineStr">
        <is>
          <t>Each consultancy is undertaken with a CCI partner organisation; BTO regularly hosts consultancy projects (sources 1,2). CCI includes some University bodies; external NGOs named.</t>
        </is>
      </c>
      <c r="AB115" s="77" t="inlineStr">
        <is>
          <t>Charity/community</t>
        </is>
      </c>
      <c r="AC115" s="77" t="inlineStr">
        <is>
          <t>Host/client organisation</t>
        </is>
      </c>
      <c r="AD115" s="77" t="inlineStr">
        <is>
          <t>British Trust for Ornithology, BirdLife International, IUCN, Fauna &amp; Flora, UNEP-WCMC (CCI partners per programme news; years undated)</t>
        </is>
      </c>
      <c r="AE115" s="77" t="inlineStr">
        <is>
          <t>Consultancy output for partner (not detailed)</t>
        </is>
      </c>
      <c r="AF115" s="77">
        <f>IF(OR(V115="No",X115="No",Z115="No"),"Outside strict definition",IF(AND(V115="Yes",X115="Yes",Z115="Yes"),"Meets all three","Potentially relevant; evidence incomplete"))</f>
        <v/>
      </c>
      <c r="AG115" s="77" t="inlineStr">
        <is>
          <t>Current status unclear</t>
        </is>
      </c>
      <c r="AH115" s="77" t="inlineStr">
        <is>
          <t>2025 (individual placement list; group consultancy undated)</t>
        </is>
      </c>
      <c r="AI115" s="77" t="inlineStr">
        <is>
          <t>Yes</t>
        </is>
      </c>
      <c r="AJ115" s="77">
        <f>IF(AND(AI115="Yes",AF115="Meets all three",AG115="Current delivery confirmed"),"Yes","No")</f>
        <v/>
      </c>
      <c r="AK115" s="77" t="inlineStr"/>
      <c r="AL115" s="77" t="inlineStr">
        <is>
          <t>RG03-S14-R1; RG03-S14-R2</t>
        </is>
      </c>
      <c r="AM115" s="77" t="inlineStr">
        <is>
          <t>No dated cohort listing of group consultancy projects; deliverable and duration not retrieved; CCI partner list includes some University bodies.</t>
        </is>
      </c>
      <c r="AN115" s="77" t="inlineStr"/>
      <c r="AO115" s="77" t="inlineStr">
        <is>
          <t>UK</t>
        </is>
      </c>
      <c r="AP115" s="77" t="inlineStr">
        <is>
          <t>UK – Russell Group</t>
        </is>
      </c>
      <c r="AQ115" s="77" t="inlineStr">
        <is>
          <t>Unclear</t>
        </is>
      </c>
      <c r="AR115" s="77" t="inlineStr">
        <is>
          <t>All/standard</t>
        </is>
      </c>
      <c r="AS115" s="77" t="inlineStr"/>
    </row>
    <row r="116">
      <c r="A116" s="77" t="inlineStr">
        <is>
          <t>RG03</t>
        </is>
      </c>
      <c r="B116" s="77" t="inlineStr">
        <is>
          <t>Cambridge</t>
        </is>
      </c>
      <c r="C116" s="77" t="inlineStr">
        <is>
          <t>University-wide</t>
        </is>
      </c>
      <c r="D116" s="77" t="inlineStr">
        <is>
          <t>RG03-S15</t>
        </is>
      </c>
      <c r="E116" s="77" t="inlineStr"/>
      <c r="F116" s="77" t="inlineStr">
        <is>
          <t>No</t>
        </is>
      </c>
      <c r="G116" s="79" t="inlineStr">
        <is>
          <t>Innovation / Climate i-Teams</t>
        </is>
      </c>
      <c r="H116" s="77" t="inlineStr">
        <is>
          <t>i-Teams (Innovation, Development, Medical, Social and Climate streams)</t>
        </is>
      </c>
      <c r="I116" s="77" t="inlineStr"/>
      <c r="J116" s="77" t="inlineStr">
        <is>
          <t>One-term programme in which multidisciplinary teams of up to ~7 assess the commercial potential of real Cambridge inventions (licensing, partnerships, spin-out), contacting industry experts for feedback, with mentors from the business community and weekly workshops; Climate i-Teams starts 5 October (Michaelmas 2026), final presentations 10 December.</t>
        </is>
      </c>
      <c r="K116" s="77" t="inlineStr">
        <is>
          <t>Innovation / IE Cambridge (i-Teams programme, hosted at IfM)</t>
        </is>
      </c>
      <c r="L116" s="77" t="inlineStr">
        <is>
          <t>Calls say any department; students (UG/PG), PhD, postdocs, staff; Climate i-Teams aimed at postgraduates and early-career researchers</t>
        </is>
      </c>
      <c r="M116" s="77" t="inlineStr">
        <is>
          <t>Central provision</t>
        </is>
      </c>
      <c r="N116" s="77" t="inlineStr">
        <is>
          <t>Mixed</t>
        </is>
      </c>
      <c r="O116" s="77" t="inlineStr">
        <is>
          <t>Mixed</t>
        </is>
      </c>
      <c r="P116" s="77" t="inlineStr"/>
      <c r="Q116" s="77" t="inlineStr">
        <is>
          <t>Selective/competitive</t>
        </is>
      </c>
      <c r="R116" s="77" t="inlineStr">
        <is>
          <t>Extracurricular</t>
        </is>
      </c>
      <c r="S116" s="77" t="inlineStr">
        <is>
          <t>No credit evidenced</t>
        </is>
      </c>
      <c r="T116" s="77" t="inlineStr">
        <is>
          <t>One term (Michaelmas 2026: 5 Oct to 10 Dec presentations)</t>
        </is>
      </c>
      <c r="U116" s="77" t="inlineStr">
        <is>
          <t>Weekly Monday evening workshops plus team project</t>
        </is>
      </c>
      <c r="V116" s="77" t="inlineStr">
        <is>
          <t>Yes</t>
        </is>
      </c>
      <c r="W116" s="77" t="inlineStr">
        <is>
          <t>Teams investigate market potential and routes to impact for a real invention; final recommendations presented (sources 1,2).</t>
        </is>
      </c>
      <c r="X116" s="77" t="inlineStr">
        <is>
          <t>Yes</t>
        </is>
      </c>
      <c r="Y116" s="77" t="inlineStr">
        <is>
          <t>Multidisciplinary teams of up to ~7 (sources 1,2).</t>
        </is>
      </c>
      <c r="Z116" s="77" t="inlineStr">
        <is>
          <t>Unclear</t>
        </is>
      </c>
      <c r="AA116" s="77" t="inlineStr">
        <is>
          <t>The 'client' is the Cambridge research lab/inventor (internal); external industry experts are interviewed for feedback and local business mentors guide teams, but no external organisation commissions the work or receives the output (sources 1,2).</t>
        </is>
      </c>
      <c r="AB116" s="77" t="inlineStr">
        <is>
          <t>Other</t>
        </is>
      </c>
      <c r="AC116" s="77" t="inlineStr">
        <is>
          <t>Internal university research groups supply the technology; individual industry experts/mentors give feedback</t>
        </is>
      </c>
      <c r="AD116" s="77" t="inlineStr"/>
      <c r="AE116" s="77" t="inlineStr">
        <is>
          <t>Commercialisation recommendations presented to the researchers/panel</t>
        </is>
      </c>
      <c r="AF116" s="77">
        <f>IF(OR(V116="No",X116="No",Z116="No"),"Outside strict definition",IF(AND(V116="Yes",X116="Yes",Z116="Yes"),"Meets all three","Potentially relevant; evidence incomplete"))</f>
        <v/>
      </c>
      <c r="AG116" s="77" t="inlineStr">
        <is>
          <t>Current delivery confirmed</t>
        </is>
      </c>
      <c r="AH116" s="77" t="inlineStr">
        <is>
          <t>2026/27 (Climate i-Teams Michaelmas 2026)</t>
        </is>
      </c>
      <c r="AI116" s="77" t="inlineStr">
        <is>
          <t>Yes</t>
        </is>
      </c>
      <c r="AJ116" s="77">
        <f>IF(AND(AI116="Yes",AF116="Meets all three",AG116="Current delivery confirmed"),"Yes","No")</f>
        <v/>
      </c>
      <c r="AK116" s="77" t="inlineStr"/>
      <c r="AL116" s="77" t="inlineStr">
        <is>
          <t>RG03-S15-R1; RG03-S15-R2; RG03-S15-R3</t>
        </is>
      </c>
      <c r="AM116" s="77" t="inlineStr">
        <is>
          <t>C not met on current evidence (internal client; industry input is expert interviews/mentoring); 'any department' wording is from calls of varying age and stream; no participant numbers retrieved.</t>
        </is>
      </c>
      <c r="AN116" s="77" t="inlineStr">
        <is>
          <t>Innovation / Climate i-Teams</t>
        </is>
      </c>
      <c r="AO116" s="77" t="inlineStr">
        <is>
          <t>UK</t>
        </is>
      </c>
      <c r="AP116" s="77" t="inlineStr">
        <is>
          <t>UK – Russell Group</t>
        </is>
      </c>
      <c r="AQ116" s="77" t="inlineStr">
        <is>
          <t>~1 term/semester</t>
        </is>
      </c>
      <c r="AR116" s="77" t="inlineStr">
        <is>
          <t>Unclear</t>
        </is>
      </c>
      <c r="AS116" s="77" t="inlineStr"/>
    </row>
    <row r="117">
      <c r="A117" s="77" t="inlineStr">
        <is>
          <t>RG04</t>
        </is>
      </c>
      <c r="B117" s="77" t="inlineStr">
        <is>
          <t>Cardiff</t>
        </is>
      </c>
      <c r="C117" s="77" t="inlineStr">
        <is>
          <t>Programme/course</t>
        </is>
      </c>
      <c r="D117" s="77" t="inlineStr">
        <is>
          <t>RG04-S01</t>
        </is>
      </c>
      <c r="E117" s="77" t="inlineStr"/>
      <c r="F117" s="77" t="inlineStr">
        <is>
          <t>No</t>
        </is>
      </c>
      <c r="G117" s="79" t="inlineStr">
        <is>
          <t>BSc Applied Software Engineering: client-based team projects (National Software Academy)</t>
        </is>
      </c>
      <c r="H117" s="77" t="inlineStr">
        <is>
          <t>Applied Software Engineering client team projects</t>
        </is>
      </c>
      <c r="I117" s="77" t="inlineStr"/>
      <c r="J117" s="77" t="inlineStr">
        <is>
          <t>Within the National Software Academy's BSc Applied Software Engineering, student teams develop software for real clients from the private, public and third sectors. Client projects start from a business problem posed by the client; teams typically run four-week client projects, meeting the client every two weeks, and build a minimum viable product. Two days per week are reserved for group project work; year two involves larger projects with regular customer meetings and a final-year Large Team Project.</t>
        </is>
      </c>
      <c r="K117" s="77" t="inlineStr">
        <is>
          <t>National Software Academy, School of Computer Science and Informatics</t>
        </is>
      </c>
      <c r="L117" s="77" t="inlineStr">
        <is>
          <t>BSc Applied Software Engineering</t>
        </is>
      </c>
      <c r="M117" s="77" t="inlineStr">
        <is>
          <t>Engineering/computing</t>
        </is>
      </c>
      <c r="N117" s="77" t="inlineStr">
        <is>
          <t>Undergraduate</t>
        </is>
      </c>
      <c r="O117" s="77" t="inlineStr">
        <is>
          <t>Years 1-3 (client projects recur across the degree)</t>
        </is>
      </c>
      <c r="P117" s="77" t="inlineStr">
        <is>
          <t>Students on BSc Applied Software Engineering only</t>
        </is>
      </c>
      <c r="Q117" s="77" t="inlineStr">
        <is>
          <t>Compulsory within specified programmes</t>
        </is>
      </c>
      <c r="R117" s="77" t="inlineStr">
        <is>
          <t>Curricular</t>
        </is>
      </c>
      <c r="S117" s="77" t="inlineStr">
        <is>
          <t>Embedded group project modules; credit per module not retrieved</t>
        </is>
      </c>
      <c r="T117" s="77" t="inlineStr">
        <is>
          <t>Most client projects run about four weeks; final-year Large Team Project reported as about 10 weeks</t>
        </is>
      </c>
      <c r="U117" s="77" t="inlineStr">
        <is>
          <t>In person, at the National Software Academy</t>
        </is>
      </c>
      <c r="V117" s="77" t="inlineStr">
        <is>
          <t>Yes</t>
        </is>
      </c>
      <c r="W117" s="77" t="inlineStr">
        <is>
          <t>Teams develop software projects for real clients and build a minimum viable product from a client's business problem [1][2].</t>
        </is>
      </c>
      <c r="X117" s="77" t="inlineStr">
        <is>
          <t>Yes</t>
        </is>
      </c>
      <c r="Y117" s="77" t="inlineStr">
        <is>
          <t>'your team will meet with your clients every two weeks' [1]; live client projects are team-based [1][2].</t>
        </is>
      </c>
      <c r="Z117" s="77" t="inlineStr">
        <is>
          <t>Yes</t>
        </is>
      </c>
      <c r="AA117" s="77" t="inlineStr">
        <is>
          <t>Clients from the private, public and third sectors pose the business problem and meet teams fortnightly [1]; partners 'can provide live client projects' conceived from a business problem [2].</t>
        </is>
      </c>
      <c r="AB117" s="77" t="inlineStr">
        <is>
          <t>Mixed</t>
        </is>
      </c>
      <c r="AC117" s="77" t="inlineStr">
        <is>
          <t>Client sets the business problem, meets the team fortnightly and receives the software output</t>
        </is>
      </c>
      <c r="AD117" s="77" t="inlineStr">
        <is>
          <t>Natural Resources Wales (fly-tipping reporting tool) and BT Group (configuration system) named as past client projects in NSA search results (undated; page attribution within the NSA site not certain)</t>
        </is>
      </c>
      <c r="AE117" s="77" t="inlineStr">
        <is>
          <t>Working software / minimum viable product for the client</t>
        </is>
      </c>
      <c r="AF117" s="77">
        <f>IF(OR(V117="No",X117="No",Z117="No"),"Outside strict definition",IF(AND(V117="Yes",X117="Yes",Z117="Yes"),"Meets all three","Potentially relevant; evidence incomplete"))</f>
        <v/>
      </c>
      <c r="AG117" s="77" t="inlineStr">
        <is>
          <t>Current delivery confirmed</t>
        </is>
      </c>
      <c r="AH117" s="77" t="inlineStr">
        <is>
          <t>2026/27</t>
        </is>
      </c>
      <c r="AI117" s="77" t="inlineStr">
        <is>
          <t>Yes</t>
        </is>
      </c>
      <c r="AJ117" s="77">
        <f>IF(AND(AI117="Yes",AF117="Meets all three",AG117="Current delivery confirmed"),"Yes","No")</f>
        <v/>
      </c>
      <c r="AK117" s="77" t="inlineStr"/>
      <c r="AL117" s="77" t="inlineStr">
        <is>
          <t>RG04-S01-R1; RG04-S01-R2; RG04-S01-R3</t>
        </is>
      </c>
      <c r="AM117" s="77" t="inlineStr">
        <is>
          <t>Module codes and credits for each client project not retrieved. Current delivery rests on the 2026-entry course page [3] corroborating the un-yeared course page [1]. The 10-week Large Team Project duration comes from a search summary.</t>
        </is>
      </c>
      <c r="AN117" s="77" t="inlineStr"/>
      <c r="AO117" s="77" t="inlineStr">
        <is>
          <t>UK</t>
        </is>
      </c>
      <c r="AP117" s="77" t="inlineStr">
        <is>
          <t>UK – Russell Group</t>
        </is>
      </c>
      <c r="AQ117" s="77" t="inlineStr">
        <is>
          <t>1–4 weeks</t>
        </is>
      </c>
      <c r="AR117" s="77" t="inlineStr">
        <is>
          <t>All/standard</t>
        </is>
      </c>
      <c r="AS117" s="77" t="inlineStr"/>
    </row>
    <row r="118">
      <c r="A118" s="77" t="inlineStr">
        <is>
          <t>RG04</t>
        </is>
      </c>
      <c r="B118" s="77" t="inlineStr">
        <is>
          <t>Cardiff</t>
        </is>
      </c>
      <c r="C118" s="77" t="inlineStr">
        <is>
          <t>Programme/course</t>
        </is>
      </c>
      <c r="D118" s="77" t="inlineStr">
        <is>
          <t>RG04-S02</t>
        </is>
      </c>
      <c r="E118" s="77" t="inlineStr"/>
      <c r="F118" s="77" t="inlineStr">
        <is>
          <t>No</t>
        </is>
      </c>
      <c r="G118" s="79" t="inlineStr">
        <is>
          <t>The New Venture Plan</t>
        </is>
      </c>
      <c r="H118" s="77" t="inlineStr">
        <is>
          <t>The New Venture Plan (MSc Strategic Entrepreneurship and Innovation)</t>
        </is>
      </c>
      <c r="I118" s="77" t="inlineStr">
        <is>
          <t>BST413</t>
        </is>
      </c>
      <c r="J118" s="77" t="inlineStr">
        <is>
          <t>Final-stage option on the MSc Strategic Entrepreneurship and Innovation (the course page also uses the name Business Strategy and Entrepreneurship). Student groups are assigned a client company. The client provides a brief with specific objectives, and the group investigates the challenge and delivers recommendations through professional reports, investor pitches and group presentations to academic staff and, in some cases, industry professionals. Students take this or a dissertation.</t>
        </is>
      </c>
      <c r="K118" s="77" t="inlineStr">
        <is>
          <t>Cardiff Business School</t>
        </is>
      </c>
      <c r="L118" s="77" t="inlineStr">
        <is>
          <t>MSc Strategic Entrepreneurship and Innovation</t>
        </is>
      </c>
      <c r="M118" s="77" t="inlineStr">
        <is>
          <t>Business/management</t>
        </is>
      </c>
      <c r="N118" s="77" t="inlineStr">
        <is>
          <t>Postgraduate taught</t>
        </is>
      </c>
      <c r="O118" s="77" t="inlineStr">
        <is>
          <t>Final (summer) stage of one-year MSc</t>
        </is>
      </c>
      <c r="P118" s="77" t="inlineStr">
        <is>
          <t>Programme students who complete the taught stage; alternative to dissertation</t>
        </is>
      </c>
      <c r="Q118" s="77" t="inlineStr">
        <is>
          <t>Optional/elective</t>
        </is>
      </c>
      <c r="R118" s="77" t="inlineStr">
        <is>
          <t>Curricular</t>
        </is>
      </c>
      <c r="S118" s="77" t="inlineStr">
        <is>
          <t>40 credits (BST413); professional reports, investor pitches, group presentations</t>
        </is>
      </c>
      <c r="T118" s="77" t="inlineStr">
        <is>
          <t>Summer project stage (length not stated)</t>
        </is>
      </c>
      <c r="U118" s="77" t="inlineStr">
        <is>
          <t>In person with client</t>
        </is>
      </c>
      <c r="V118" s="77" t="inlineStr">
        <is>
          <t>Yes</t>
        </is>
      </c>
      <c r="W118" s="77" t="inlineStr">
        <is>
          <t>Client brief with specific objectives; deliver practical recommendations, reports and pitches [1].</t>
        </is>
      </c>
      <c r="X118" s="77" t="inlineStr">
        <is>
          <t>Yes</t>
        </is>
      </c>
      <c r="Y118" s="77" t="inlineStr">
        <is>
          <t>'a group-based project in collaboration with a real company' [1].</t>
        </is>
      </c>
      <c r="Z118" s="77" t="inlineStr">
        <is>
          <t>Yes</t>
        </is>
      </c>
      <c r="AA118" s="77" t="inlineStr">
        <is>
          <t>Each group is 'assigned a client, who'll provide a brief outlining specific objectives and expectations'; industry professionals sometimes attend presentations [1].</t>
        </is>
      </c>
      <c r="AB118" s="77" t="inlineStr">
        <is>
          <t>Business/commercial</t>
        </is>
      </c>
      <c r="AC118" s="77" t="inlineStr">
        <is>
          <t>Client company sets brief and receives recommendations; industry professionals sometimes attend presentations</t>
        </is>
      </c>
      <c r="AD118" s="77" t="inlineStr"/>
      <c r="AE118" s="77" t="inlineStr">
        <is>
          <t>Professional report, investor pitch and group presentation of recommendations</t>
        </is>
      </c>
      <c r="AF118" s="77">
        <f>IF(OR(V118="No",X118="No",Z118="No"),"Outside strict definition",IF(AND(V118="Yes",X118="Yes",Z118="Yes"),"Meets all three","Potentially relevant; evidence incomplete"))</f>
        <v/>
      </c>
      <c r="AG118" s="77" t="inlineStr">
        <is>
          <t>Current status unclear</t>
        </is>
      </c>
      <c r="AH118" s="77" t="inlineStr"/>
      <c r="AI118" s="77" t="inlineStr">
        <is>
          <t>Yes</t>
        </is>
      </c>
      <c r="AJ118" s="77">
        <f>IF(AND(AI118="Yes",AF118="Meets all three",AG118="Current delivery confirmed"),"Yes","No")</f>
        <v/>
      </c>
      <c r="AK118" s="77" t="inlineStr"/>
      <c r="AL118" s="77" t="inlineStr">
        <is>
          <t>RG04-S02-R1</t>
        </is>
      </c>
      <c r="AM118" s="77" t="inlineStr">
        <is>
          <t>The course page is un-yeared and no dated 2025/26 or 2026/27 source corroborates it. Duration was not found. Follow-up search shows the course page now lists a September 2027 start, implying the programme continues, but that is not 2025/26 or 2026/27 delivery evidence.</t>
        </is>
      </c>
      <c r="AN118" s="77" t="inlineStr"/>
      <c r="AO118" s="77" t="inlineStr">
        <is>
          <t>UK</t>
        </is>
      </c>
      <c r="AP118" s="77" t="inlineStr">
        <is>
          <t>UK – Russell Group</t>
        </is>
      </c>
      <c r="AQ118" s="77" t="inlineStr">
        <is>
          <t>Unclear</t>
        </is>
      </c>
      <c r="AR118" s="77" t="inlineStr">
        <is>
          <t>All/standard</t>
        </is>
      </c>
      <c r="AS118" s="77" t="inlineStr"/>
    </row>
    <row r="119">
      <c r="A119" s="77" t="inlineStr">
        <is>
          <t>RG04</t>
        </is>
      </c>
      <c r="B119" s="77" t="inlineStr">
        <is>
          <t>Cardiff</t>
        </is>
      </c>
      <c r="C119" s="77" t="inlineStr">
        <is>
          <t>Programme/course</t>
        </is>
      </c>
      <c r="D119" s="77" t="inlineStr">
        <is>
          <t>RG04-S03</t>
        </is>
      </c>
      <c r="E119" s="77" t="inlineStr"/>
      <c r="F119" s="77" t="inlineStr">
        <is>
          <t>No</t>
        </is>
      </c>
      <c r="G119" s="79" t="inlineStr">
        <is>
          <t>Cardiff MBA Management Consultancy elective (charity consultancy with PA Consulting)</t>
        </is>
      </c>
      <c r="H119" s="77" t="inlineStr">
        <is>
          <t>MBA Management Consultancy elective</t>
        </is>
      </c>
      <c r="I119" s="77" t="inlineStr"/>
      <c r="J119" s="77" t="inlineStr">
        <is>
          <t>MBA elective co-run with PA Consulting. Student teams are assigned Welsh charities: they interview charity representatives, agree a manageable project addressing strategic or management challenges, and deliver a report and presentation to the charity, plus an individual reflexive ethics essay for the tutor. PA Consulting coaches students on working with third-sector clients.</t>
        </is>
      </c>
      <c r="K119" s="77" t="inlineStr">
        <is>
          <t>Cardiff Business School (MBA)</t>
        </is>
      </c>
      <c r="L119" s="77" t="inlineStr">
        <is>
          <t>Cardiff MBA</t>
        </is>
      </c>
      <c r="M119" s="77" t="inlineStr">
        <is>
          <t>Business/management</t>
        </is>
      </c>
      <c r="N119" s="77" t="inlineStr">
        <is>
          <t>Postgraduate taught</t>
        </is>
      </c>
      <c r="O119" s="77" t="inlineStr">
        <is>
          <t>MBA</t>
        </is>
      </c>
      <c r="P119" s="77" t="inlineStr">
        <is>
          <t>MBA students choosing the elective</t>
        </is>
      </c>
      <c r="Q119" s="77" t="inlineStr">
        <is>
          <t>Optional/elective</t>
        </is>
      </c>
      <c r="R119" s="77" t="inlineStr">
        <is>
          <t>Curricular</t>
        </is>
      </c>
      <c r="S119" s="77" t="inlineStr">
        <is>
          <t>Elective module; report and presentation to the charity plus individual ethics essay (credit not retrieved)</t>
        </is>
      </c>
      <c r="T119" s="77" t="inlineStr">
        <is>
          <t>About four weeks in one news report; eight weeks in another summary</t>
        </is>
      </c>
      <c r="U119" s="77" t="inlineStr">
        <is>
          <t>In person with charity clients</t>
        </is>
      </c>
      <c r="V119" s="77" t="inlineStr">
        <is>
          <t>Yes</t>
        </is>
      </c>
      <c r="W119" s="77" t="inlineStr">
        <is>
          <t>Teams agree and carry out a project on charities' strategic and management challenges and develop business ideas the charities' management teams can implement [1][2].</t>
        </is>
      </c>
      <c r="X119" s="77" t="inlineStr">
        <is>
          <t>Yes</t>
        </is>
      </c>
      <c r="Y119" s="77" t="inlineStr">
        <is>
          <t>'teams worked with their assigned charities' [1][2].</t>
        </is>
      </c>
      <c r="Z119" s="77" t="inlineStr">
        <is>
          <t>Yes</t>
        </is>
      </c>
      <c r="AA119" s="77" t="inlineStr">
        <is>
          <t>Charities are the clients: they brief the teams through interviews and receive the report and presentation. PA Consulting co-designed the elective and coached the students [1][2].</t>
        </is>
      </c>
      <c r="AB119" s="77" t="inlineStr">
        <is>
          <t>Charity/community</t>
        </is>
      </c>
      <c r="AC119" s="77" t="inlineStr">
        <is>
          <t>Charity clients set problems and receive outputs; PA Consulting (business) coaches students</t>
        </is>
      </c>
      <c r="AD119" s="77" t="inlineStr">
        <is>
          <t>Tenovus Cancer Care, Cardiff City Foundation, WCVA, Groundwork (undated news); PA Consulting</t>
        </is>
      </c>
      <c r="AE119" s="77" t="inlineStr">
        <is>
          <t>Consultancy report and presentation to charity</t>
        </is>
      </c>
      <c r="AF119" s="77">
        <f>IF(OR(V119="No",X119="No",Z119="No"),"Outside strict definition",IF(AND(V119="Yes",X119="Yes",Z119="Yes"),"Meets all three","Potentially relevant; evidence incomplete"))</f>
        <v/>
      </c>
      <c r="AG119" s="77" t="inlineStr">
        <is>
          <t>Current status unclear</t>
        </is>
      </c>
      <c r="AH119" s="77" t="inlineStr"/>
      <c r="AI119" s="77" t="inlineStr">
        <is>
          <t>Yes</t>
        </is>
      </c>
      <c r="AJ119" s="77">
        <f>IF(AND(AI119="Yes",AF119="Meets all three",AG119="Current delivery confirmed"),"Yes","No")</f>
        <v/>
      </c>
      <c r="AK119" s="77" t="inlineStr"/>
      <c r="AL119" s="77" t="inlineStr">
        <is>
          <t>RG04-S03-R1; RG04-S03-R2</t>
        </is>
      </c>
      <c r="AM119" s="77" t="inlineStr">
        <is>
          <t>Both news items are undated and appear older (low news IDs). The duration differs between sources (4 vs 8 weeks). No current-year evidence was found.</t>
        </is>
      </c>
      <c r="AN119" s="77" t="inlineStr"/>
      <c r="AO119" s="77" t="inlineStr">
        <is>
          <t>UK</t>
        </is>
      </c>
      <c r="AP119" s="77" t="inlineStr">
        <is>
          <t>UK – Russell Group</t>
        </is>
      </c>
      <c r="AQ119" s="77" t="inlineStr">
        <is>
          <t>1–4 weeks</t>
        </is>
      </c>
      <c r="AR119" s="77" t="inlineStr">
        <is>
          <t>All/standard</t>
        </is>
      </c>
      <c r="AS119" s="77" t="inlineStr"/>
    </row>
    <row r="120">
      <c r="A120" s="77" t="inlineStr">
        <is>
          <t>RG04</t>
        </is>
      </c>
      <c r="B120" s="77" t="inlineStr">
        <is>
          <t>Cardiff</t>
        </is>
      </c>
      <c r="C120" s="77" t="inlineStr">
        <is>
          <t>Programme/course</t>
        </is>
      </c>
      <c r="D120" s="77" t="inlineStr">
        <is>
          <t>RG04-S04</t>
        </is>
      </c>
      <c r="E120" s="77" t="inlineStr"/>
      <c r="F120" s="77" t="inlineStr">
        <is>
          <t>No</t>
        </is>
      </c>
      <c r="G120" s="79" t="inlineStr">
        <is>
          <t>Cardiff MBA live project / Accelerator Project</t>
        </is>
      </c>
      <c r="H120" s="77" t="inlineStr">
        <is>
          <t>MBA live consultancy project</t>
        </is>
      </c>
      <c r="I120" s="77" t="inlineStr"/>
      <c r="J120" s="77" t="inlineStr">
        <is>
          <t>At the end of the MBA (described for the part-time MBA), each student takes part in a real-world live project acting as a consultant to a partner company and delivers a report on a challenge the company has identified. The MBA pages call it a project with a corporate client on a significant strategic issue; past clients include airline, healthcare, start-up, government and banking organisations.</t>
        </is>
      </c>
      <c r="K120" s="77" t="inlineStr">
        <is>
          <t>Cardiff Business School</t>
        </is>
      </c>
      <c r="L120" s="77" t="inlineStr">
        <is>
          <t>Cardiff MBA (part-time route evidenced)</t>
        </is>
      </c>
      <c r="M120" s="77" t="inlineStr">
        <is>
          <t>Business/management</t>
        </is>
      </c>
      <c r="N120" s="77" t="inlineStr">
        <is>
          <t>Postgraduate taught</t>
        </is>
      </c>
      <c r="O120" s="77" t="inlineStr">
        <is>
          <t>Final stage</t>
        </is>
      </c>
      <c r="P120" s="77" t="inlineStr">
        <is>
          <t>MBA students</t>
        </is>
      </c>
      <c r="Q120" s="77" t="inlineStr">
        <is>
          <t>Compulsory within specified programmes</t>
        </is>
      </c>
      <c r="R120" s="77" t="inlineStr">
        <is>
          <t>Curricular</t>
        </is>
      </c>
      <c r="S120" s="77" t="inlineStr">
        <is>
          <t>Not retrieved</t>
        </is>
      </c>
      <c r="T120" s="77" t="inlineStr">
        <is>
          <t>Summer period</t>
        </is>
      </c>
      <c r="U120" s="77" t="inlineStr">
        <is>
          <t>Consultancy with partner company</t>
        </is>
      </c>
      <c r="V120" s="77" t="inlineStr">
        <is>
          <t>Yes</t>
        </is>
      </c>
      <c r="W120" s="77" t="inlineStr">
        <is>
          <t>Students deliver 'a report addressing a specific challenge identified by the partnering company' [1].</t>
        </is>
      </c>
      <c r="X120" s="77" t="inlineStr">
        <is>
          <t>Unclear</t>
        </is>
      </c>
      <c r="Y120" s="77" t="inlineStr">
        <is>
          <t>Phrased as 'each student participates in a real-world live project' [1]; team structure not evidenced.</t>
        </is>
      </c>
      <c r="Z120" s="77" t="inlineStr">
        <is>
          <t>Yes</t>
        </is>
      </c>
      <c r="AA120" s="77" t="inlineStr">
        <is>
          <t>The partnering company identifies the challenge and receives the consultancy report [1]; the work is described as being 'in partnership with a corporate client' [2].</t>
        </is>
      </c>
      <c r="AB120" s="77" t="inlineStr">
        <is>
          <t>Mixed</t>
        </is>
      </c>
      <c r="AC120" s="77" t="inlineStr">
        <is>
          <t>Corporate client sets the strategic issue and receives the report</t>
        </is>
      </c>
      <c r="AD120" s="77" t="inlineStr">
        <is>
          <t>Sectors only (airline, healthcare, start-up, government, banking); no names</t>
        </is>
      </c>
      <c r="AE120" s="77" t="inlineStr">
        <is>
          <t>Consultancy report</t>
        </is>
      </c>
      <c r="AF120" s="77">
        <f>IF(OR(V120="No",X120="No",Z120="No"),"Outside strict definition",IF(AND(V120="Yes",X120="Yes",Z120="Yes"),"Meets all three","Potentially relevant; evidence incomplete"))</f>
        <v/>
      </c>
      <c r="AG120" s="77" t="inlineStr">
        <is>
          <t>Current status unclear</t>
        </is>
      </c>
      <c r="AH120" s="77" t="inlineStr"/>
      <c r="AI120" s="77" t="inlineStr">
        <is>
          <t>Yes</t>
        </is>
      </c>
      <c r="AJ120" s="77">
        <f>IF(AND(AI120="Yes",AF120="Meets all three",AG120="Current delivery confirmed"),"Yes","No")</f>
        <v/>
      </c>
      <c r="AK120" s="77" t="inlineStr"/>
      <c r="AL120" s="77" t="inlineStr">
        <is>
          <t>RG04-S04-R1; RG04-S04-R2</t>
        </is>
      </c>
      <c r="AM120" s="77" t="inlineStr">
        <is>
          <t>Not established whether students work individually or in teams. Pages are undated. Whether the full-time MBA also uses it is unconfirmed.</t>
        </is>
      </c>
      <c r="AN120" s="77" t="inlineStr"/>
      <c r="AO120" s="77" t="inlineStr">
        <is>
          <t>UK</t>
        </is>
      </c>
      <c r="AP120" s="77" t="inlineStr">
        <is>
          <t>UK – Russell Group</t>
        </is>
      </c>
      <c r="AQ120" s="77" t="inlineStr">
        <is>
          <t>Unclear</t>
        </is>
      </c>
      <c r="AR120" s="77" t="inlineStr">
        <is>
          <t>All/standard</t>
        </is>
      </c>
      <c r="AS120" s="77" t="inlineStr"/>
    </row>
    <row r="121">
      <c r="A121" s="77" t="inlineStr">
        <is>
          <t>RG04</t>
        </is>
      </c>
      <c r="B121" s="77" t="inlineStr">
        <is>
          <t>Cardiff</t>
        </is>
      </c>
      <c r="C121" s="77" t="inlineStr">
        <is>
          <t>Programme/course</t>
        </is>
      </c>
      <c r="D121" s="77" t="inlineStr">
        <is>
          <t>RG04-S05</t>
        </is>
      </c>
      <c r="E121" s="77" t="inlineStr"/>
      <c r="F121" s="77" t="inlineStr">
        <is>
          <t>No</t>
        </is>
      </c>
      <c r="G121" s="79" t="inlineStr">
        <is>
          <t>Consultancy Challenge (MSc Business Management)</t>
        </is>
      </c>
      <c r="H121" s="77" t="inlineStr">
        <is>
          <t>Consultancy Challenge</t>
        </is>
      </c>
      <c r="I121" s="77" t="inlineStr">
        <is>
          <t>BST720 (September start); BST740 (January start)</t>
        </is>
      </c>
      <c r="J121" s="77" t="inlineStr">
        <is>
          <t>60-credit capstone of the MSc Business Management. Students work in groups to analyse and diagnose a business problem and recommend practical solutions; the problem may come from charities and not-for-profit organisations. How client organisations are sourced is not stated.</t>
        </is>
      </c>
      <c r="K121" s="77" t="inlineStr">
        <is>
          <t>Cardiff Business School</t>
        </is>
      </c>
      <c r="L121" s="77" t="inlineStr">
        <is>
          <t>MSc Business Management (September and January start)</t>
        </is>
      </c>
      <c r="M121" s="77" t="inlineStr">
        <is>
          <t>Business/management</t>
        </is>
      </c>
      <c r="N121" s="77" t="inlineStr">
        <is>
          <t>Postgraduate taught</t>
        </is>
      </c>
      <c r="O121" s="77" t="inlineStr">
        <is>
          <t>Final stage</t>
        </is>
      </c>
      <c r="P121" s="77" t="inlineStr">
        <is>
          <t>Programme students</t>
        </is>
      </c>
      <c r="Q121" s="77" t="inlineStr">
        <is>
          <t>Compulsory within specified programmes</t>
        </is>
      </c>
      <c r="R121" s="77" t="inlineStr">
        <is>
          <t>Curricular</t>
        </is>
      </c>
      <c r="S121" s="77" t="inlineStr">
        <is>
          <t>60 credits</t>
        </is>
      </c>
      <c r="T121" s="77" t="inlineStr">
        <is>
          <t>Final stage (length not stated)</t>
        </is>
      </c>
      <c r="U121" s="77" t="inlineStr">
        <is>
          <t>Group consultancy</t>
        </is>
      </c>
      <c r="V121" s="77" t="inlineStr">
        <is>
          <t>Yes</t>
        </is>
      </c>
      <c r="W121" s="77" t="inlineStr">
        <is>
          <t>Analyse, diagnose and recommend practical solutions to a business problem [1][2].</t>
        </is>
      </c>
      <c r="X121" s="77" t="inlineStr">
        <is>
          <t>Yes</t>
        </is>
      </c>
      <c r="Y121" s="77" t="inlineStr">
        <is>
          <t>Students 'work in groups' on the problem [1].</t>
        </is>
      </c>
      <c r="Z121" s="77" t="inlineStr">
        <is>
          <t>Unclear</t>
        </is>
      </c>
      <c r="AA121" s="77" t="inlineStr">
        <is>
          <t>Problems 'may' come from charities and not-for-profit organisations [1]; external clients are not documented as the standard source.</t>
        </is>
      </c>
      <c r="AB121" s="77" t="inlineStr">
        <is>
          <t>Unclear</t>
        </is>
      </c>
      <c r="AC121" s="77" t="inlineStr">
        <is>
          <t>Possible charity/not-for-profit problem owners</t>
        </is>
      </c>
      <c r="AD121" s="77" t="inlineStr"/>
      <c r="AE121" s="77" t="inlineStr">
        <is>
          <t>Recommendations on a business problem (format not retrieved)</t>
        </is>
      </c>
      <c r="AF121" s="77">
        <f>IF(OR(V121="No",X121="No",Z121="No"),"Outside strict definition",IF(AND(V121="Yes",X121="Yes",Z121="Yes"),"Meets all three","Potentially relevant; evidence incomplete"))</f>
        <v/>
      </c>
      <c r="AG121" s="77" t="inlineStr">
        <is>
          <t>Current status unclear</t>
        </is>
      </c>
      <c r="AH121" s="77" t="inlineStr"/>
      <c r="AI121" s="77" t="inlineStr">
        <is>
          <t>Yes</t>
        </is>
      </c>
      <c r="AJ121" s="77">
        <f>IF(AND(AI121="Yes",AF121="Meets all three",AG121="Current delivery confirmed"),"Yes","No")</f>
        <v/>
      </c>
      <c r="AK121" s="77" t="inlineStr"/>
      <c r="AL121" s="77" t="inlineStr">
        <is>
          <t>RG04-S05-R1; RG04-S05-R2</t>
        </is>
      </c>
      <c r="AM121" s="77" t="inlineStr">
        <is>
          <t>Unknown whether every group has a real external organisation. Course pages are un-yeared with no dated corroboration. The BST722 variant on the placement MSc concerns an organisational problem from the student's own placement (likely individual) and is not recorded separately.</t>
        </is>
      </c>
      <c r="AN121" s="77" t="inlineStr"/>
      <c r="AO121" s="77" t="inlineStr">
        <is>
          <t>UK</t>
        </is>
      </c>
      <c r="AP121" s="77" t="inlineStr">
        <is>
          <t>UK – Russell Group</t>
        </is>
      </c>
      <c r="AQ121" s="77" t="inlineStr">
        <is>
          <t>Unclear</t>
        </is>
      </c>
      <c r="AR121" s="77" t="inlineStr">
        <is>
          <t>Some projects</t>
        </is>
      </c>
      <c r="AS121" s="77" t="inlineStr"/>
    </row>
    <row r="122">
      <c r="A122" s="77" t="inlineStr">
        <is>
          <t>RG04</t>
        </is>
      </c>
      <c r="B122" s="77" t="inlineStr">
        <is>
          <t>Cardiff</t>
        </is>
      </c>
      <c r="C122" s="77" t="inlineStr">
        <is>
          <t>Programme/course</t>
        </is>
      </c>
      <c r="D122" s="77" t="inlineStr">
        <is>
          <t>RG04-S06</t>
        </is>
      </c>
      <c r="E122" s="77" t="inlineStr"/>
      <c r="F122" s="77" t="inlineStr">
        <is>
          <t>No</t>
        </is>
      </c>
      <c r="G122" s="79" t="inlineStr">
        <is>
          <t>Computer Science second-year group project</t>
        </is>
      </c>
      <c r="H122" s="77" t="inlineStr">
        <is>
          <t>Year 2 group project (Computer Science)</t>
        </is>
      </c>
      <c r="I122" s="77" t="inlineStr"/>
      <c r="J122" s="77" t="inlineStr">
        <is>
          <t>Second-year group project in Cardiff's Computer Science degrees. The 2026-entry foundation-year course page says it may involve working with clients, either external or internal, on sustainability-linked goals. The Cyber Security variant describes a year-two team project designing a solution to a real-world problem.</t>
        </is>
      </c>
      <c r="K122" s="77" t="inlineStr">
        <is>
          <t>School of Computer Science and Informatics</t>
        </is>
      </c>
      <c r="L122" s="77" t="inlineStr">
        <is>
          <t>BSc Computer Science and variants (foundation year and Cyber Security pages evidenced)</t>
        </is>
      </c>
      <c r="M122" s="77" t="inlineStr">
        <is>
          <t>Engineering/computing</t>
        </is>
      </c>
      <c r="N122" s="77" t="inlineStr">
        <is>
          <t>Undergraduate</t>
        </is>
      </c>
      <c r="O122" s="77" t="inlineStr">
        <is>
          <t>Year 2</t>
        </is>
      </c>
      <c r="P122" s="77" t="inlineStr">
        <is>
          <t>Computer Science students</t>
        </is>
      </c>
      <c r="Q122" s="77" t="inlineStr">
        <is>
          <t>Compulsory within specified programmes</t>
        </is>
      </c>
      <c r="R122" s="77" t="inlineStr">
        <is>
          <t>Curricular</t>
        </is>
      </c>
      <c r="S122" s="77" t="inlineStr">
        <is>
          <t>Not retrieved</t>
        </is>
      </c>
      <c r="T122" s="77" t="inlineStr">
        <is>
          <t>Not stated</t>
        </is>
      </c>
      <c r="U122" s="77" t="inlineStr">
        <is>
          <t>Team project</t>
        </is>
      </c>
      <c r="V122" s="77" t="inlineStr">
        <is>
          <t>Yes</t>
        </is>
      </c>
      <c r="W122" s="77" t="inlineStr">
        <is>
          <t>Design and implement a solution to a real-world problem [1][2].</t>
        </is>
      </c>
      <c r="X122" s="77" t="inlineStr">
        <is>
          <t>Yes</t>
        </is>
      </c>
      <c r="Y122" s="77" t="inlineStr">
        <is>
          <t>Described as a 'group project' [1] and a 'team project' [2].</t>
        </is>
      </c>
      <c r="Z122" s="77" t="inlineStr">
        <is>
          <t>Unclear</t>
        </is>
      </c>
      <c r="AA122" s="77" t="inlineStr">
        <is>
          <t>'may involve working with clients (either external or internal)' [1]: external clients are optional, not standard.</t>
        </is>
      </c>
      <c r="AB122" s="77" t="inlineStr">
        <is>
          <t>Unclear</t>
        </is>
      </c>
      <c r="AC122" s="77" t="inlineStr">
        <is>
          <t>Possible external or internal client</t>
        </is>
      </c>
      <c r="AD122" s="77" t="inlineStr"/>
      <c r="AE122" s="77" t="inlineStr">
        <is>
          <t>Software solution</t>
        </is>
      </c>
      <c r="AF122" s="77">
        <f>IF(OR(V122="No",X122="No",Z122="No"),"Outside strict definition",IF(AND(V122="Yes",X122="Yes",Z122="Yes"),"Meets all three","Potentially relevant; evidence incomplete"))</f>
        <v/>
      </c>
      <c r="AG122" s="77" t="inlineStr">
        <is>
          <t>Current delivery confirmed</t>
        </is>
      </c>
      <c r="AH122" s="77" t="inlineStr">
        <is>
          <t>2026/27</t>
        </is>
      </c>
      <c r="AI122" s="77" t="inlineStr">
        <is>
          <t>Yes</t>
        </is>
      </c>
      <c r="AJ122" s="77">
        <f>IF(AND(AI122="Yes",AF122="Meets all three",AG122="Current delivery confirmed"),"Yes","No")</f>
        <v/>
      </c>
      <c r="AK122" s="77" t="inlineStr"/>
      <c r="AL122" s="77" t="inlineStr">
        <is>
          <t>RG04-S06-R1; RG04-S06-R2</t>
        </is>
      </c>
      <c r="AM122" s="77" t="inlineStr">
        <is>
          <t>Share of external clients is unknown; module code not retrieved. The MSci CM4301 substantial team project is academically supervised, with no external client evidenced.</t>
        </is>
      </c>
      <c r="AN122" s="77" t="inlineStr"/>
      <c r="AO122" s="77" t="inlineStr">
        <is>
          <t>UK</t>
        </is>
      </c>
      <c r="AP122" s="77" t="inlineStr">
        <is>
          <t>UK – Russell Group</t>
        </is>
      </c>
      <c r="AQ122" s="77" t="inlineStr">
        <is>
          <t>Unclear</t>
        </is>
      </c>
      <c r="AR122" s="77" t="inlineStr">
        <is>
          <t>Some projects</t>
        </is>
      </c>
      <c r="AS122" s="77" t="inlineStr"/>
    </row>
    <row r="123">
      <c r="A123" s="77" t="inlineStr">
        <is>
          <t>RG04</t>
        </is>
      </c>
      <c r="B123" s="77" t="inlineStr">
        <is>
          <t>Cardiff</t>
        </is>
      </c>
      <c r="C123" s="77" t="inlineStr">
        <is>
          <t>Programme/course</t>
        </is>
      </c>
      <c r="D123" s="77" t="inlineStr">
        <is>
          <t>RG04-S07</t>
        </is>
      </c>
      <c r="E123" s="77" t="inlineStr"/>
      <c r="F123" s="77" t="inlineStr">
        <is>
          <t>No</t>
        </is>
      </c>
      <c r="G123" s="79" t="inlineStr">
        <is>
          <t>Live Project (MSc Spatial Planning and Development)</t>
        </is>
      </c>
      <c r="H123" s="77" t="inlineStr">
        <is>
          <t>Live Project</t>
        </is>
      </c>
      <c r="I123" s="77" t="inlineStr">
        <is>
          <t>CPT831</t>
        </is>
      </c>
      <c r="J123" s="77" t="inlineStr">
        <is>
          <t>20-credit module on the RTPI/RICS-accredited MSc Spatial Planning and Development. Students work on live projects with real clients such as a planning authority or agency, with input from practice guest speakers.</t>
        </is>
      </c>
      <c r="K123" s="77" t="inlineStr">
        <is>
          <t>School of Geography and Planning</t>
        </is>
      </c>
      <c r="L123" s="77" t="inlineStr">
        <is>
          <t>MSc Spatial Planning and Development</t>
        </is>
      </c>
      <c r="M123" s="77" t="inlineStr">
        <is>
          <t>Arts/humanities/social sciences</t>
        </is>
      </c>
      <c r="N123" s="77" t="inlineStr">
        <is>
          <t>Postgraduate taught</t>
        </is>
      </c>
      <c r="O123" s="77" t="inlineStr">
        <is>
          <t>One-year MSc</t>
        </is>
      </c>
      <c r="P123" s="77" t="inlineStr">
        <is>
          <t>Programme students</t>
        </is>
      </c>
      <c r="Q123" s="77" t="inlineStr">
        <is>
          <t>Compulsory within specified programmes</t>
        </is>
      </c>
      <c r="R123" s="77" t="inlineStr">
        <is>
          <t>Curricular</t>
        </is>
      </c>
      <c r="S123" s="77" t="inlineStr">
        <is>
          <t>20 credits</t>
        </is>
      </c>
      <c r="T123" s="77" t="inlineStr">
        <is>
          <t>Not stated</t>
        </is>
      </c>
      <c r="U123" s="77" t="inlineStr">
        <is>
          <t>Live project with planning client</t>
        </is>
      </c>
      <c r="V123" s="77" t="inlineStr">
        <is>
          <t>Yes</t>
        </is>
      </c>
      <c r="W123" s="77" t="inlineStr">
        <is>
          <t>Live project for a real client [1].</t>
        </is>
      </c>
      <c r="X123" s="77" t="inlineStr">
        <is>
          <t>Unclear</t>
        </is>
      </c>
      <c r="Y123" s="77" t="inlineStr">
        <is>
          <t>Team structure not evidenced in the retrieved extract.</t>
        </is>
      </c>
      <c r="Z123" s="77" t="inlineStr">
        <is>
          <t>Yes</t>
        </is>
      </c>
      <c r="AA123" s="77" t="inlineStr">
        <is>
          <t>Students 'work with real clients, such as a planning authority or agency' [1].</t>
        </is>
      </c>
      <c r="AB123" s="77" t="inlineStr">
        <is>
          <t>Public sector</t>
        </is>
      </c>
      <c r="AC123" s="77" t="inlineStr">
        <is>
          <t>Client (e.g. planning authority/agency) supplies the live project</t>
        </is>
      </c>
      <c r="AD123" s="77" t="inlineStr"/>
      <c r="AE123" s="77" t="inlineStr">
        <is>
          <t>Not specified</t>
        </is>
      </c>
      <c r="AF123" s="77">
        <f>IF(OR(V123="No",X123="No",Z123="No"),"Outside strict definition",IF(AND(V123="Yes",X123="Yes",Z123="Yes"),"Meets all three","Potentially relevant; evidence incomplete"))</f>
        <v/>
      </c>
      <c r="AG123" s="77" t="inlineStr">
        <is>
          <t>Current delivery confirmed</t>
        </is>
      </c>
      <c r="AH123" s="77" t="inlineStr">
        <is>
          <t>2026/27</t>
        </is>
      </c>
      <c r="AI123" s="77" t="inlineStr">
        <is>
          <t>Yes</t>
        </is>
      </c>
      <c r="AJ123" s="77">
        <f>IF(AND(AI123="Yes",AF123="Meets all three",AG123="Current delivery confirmed"),"Yes","No")</f>
        <v/>
      </c>
      <c r="AK123" s="77" t="inlineStr"/>
      <c r="AL123" s="77" t="inlineStr">
        <is>
          <t>RG04-S07-R1</t>
        </is>
      </c>
      <c r="AM123" s="77" t="inlineStr">
        <is>
          <t>Group working is unconfirmed. Current delivery rests on the course page listing a 28 September 2026 start date alongside CPT831 in the course structure. Whether the module is compulsory is inferred from the course structure listing.</t>
        </is>
      </c>
      <c r="AN123" s="77" t="inlineStr"/>
      <c r="AO123" s="77" t="inlineStr">
        <is>
          <t>UK</t>
        </is>
      </c>
      <c r="AP123" s="77" t="inlineStr">
        <is>
          <t>UK – Russell Group</t>
        </is>
      </c>
      <c r="AQ123" s="77" t="inlineStr">
        <is>
          <t>Unclear</t>
        </is>
      </c>
      <c r="AR123" s="77" t="inlineStr">
        <is>
          <t>All/standard</t>
        </is>
      </c>
      <c r="AS123" s="77" t="inlineStr"/>
    </row>
    <row r="124">
      <c r="A124" s="77" t="inlineStr">
        <is>
          <t>RG04</t>
        </is>
      </c>
      <c r="B124" s="77" t="inlineStr">
        <is>
          <t>Cardiff</t>
        </is>
      </c>
      <c r="C124" s="77" t="inlineStr">
        <is>
          <t>Programme/course</t>
        </is>
      </c>
      <c r="D124" s="77" t="inlineStr">
        <is>
          <t>RG04-S08</t>
        </is>
      </c>
      <c r="E124" s="77" t="inlineStr"/>
      <c r="F124" s="77" t="inlineStr">
        <is>
          <t>No</t>
        </is>
      </c>
      <c r="G124" s="79" t="inlineStr">
        <is>
          <t>Planning, Markets and Land (group consultancy project)</t>
        </is>
      </c>
      <c r="H124" s="77" t="inlineStr">
        <is>
          <t>Planning, Markets and Land</t>
        </is>
      </c>
      <c r="I124" s="77" t="inlineStr">
        <is>
          <t>CP0210</t>
        </is>
      </c>
      <c r="J124" s="77" t="inlineStr">
        <is>
          <t>Undergraduate planning module (legacy 2016/17 catalogue) with a group consultancy project: students work in a multidisciplinary team to solve a real planning problem and interact with real policy makers and practitioners in a live project.</t>
        </is>
      </c>
      <c r="K124" s="77" t="inlineStr">
        <is>
          <t>School of Geography and Planning</t>
        </is>
      </c>
      <c r="L124" s="77" t="inlineStr">
        <is>
          <t>Undergraduate planning programmes</t>
        </is>
      </c>
      <c r="M124" s="77" t="inlineStr">
        <is>
          <t>Arts/humanities/social sciences</t>
        </is>
      </c>
      <c r="N124" s="77" t="inlineStr">
        <is>
          <t>Undergraduate</t>
        </is>
      </c>
      <c r="O124" s="77" t="inlineStr">
        <is>
          <t>Not stated</t>
        </is>
      </c>
      <c r="P124" s="77" t="inlineStr"/>
      <c r="Q124" s="77" t="inlineStr">
        <is>
          <t>Unclear</t>
        </is>
      </c>
      <c r="R124" s="77" t="inlineStr">
        <is>
          <t>Curricular</t>
        </is>
      </c>
      <c r="S124" s="77" t="inlineStr">
        <is>
          <t>Not retrieved</t>
        </is>
      </c>
      <c r="T124" s="77" t="inlineStr">
        <is>
          <t>Not stated</t>
        </is>
      </c>
      <c r="U124" s="77" t="inlineStr">
        <is>
          <t>Group consultancy project</t>
        </is>
      </c>
      <c r="V124" s="77" t="inlineStr">
        <is>
          <t>Yes</t>
        </is>
      </c>
      <c r="W124" s="77" t="inlineStr">
        <is>
          <t>Group consultancy project solving a real planning problem [1].</t>
        </is>
      </c>
      <c r="X124" s="77" t="inlineStr">
        <is>
          <t>Yes</t>
        </is>
      </c>
      <c r="Y124" s="77" t="inlineStr">
        <is>
          <t>Students 'work in a multi-disciplinary team' [1].</t>
        </is>
      </c>
      <c r="Z124" s="77" t="inlineStr">
        <is>
          <t>Unclear</t>
        </is>
      </c>
      <c r="AA124" s="77" t="inlineStr">
        <is>
          <t>Students 'interact with real policy makers and practitioners in a live project' [1]. Not stated that an external organisation commissions the work or receives it.</t>
        </is>
      </c>
      <c r="AB124" s="77" t="inlineStr">
        <is>
          <t>Unclear</t>
        </is>
      </c>
      <c r="AC124" s="77" t="inlineStr">
        <is>
          <t>Practitioners/policy makers interact with students</t>
        </is>
      </c>
      <c r="AD124" s="77" t="inlineStr"/>
      <c r="AE124" s="77" t="inlineStr">
        <is>
          <t>Consultancy output (format not stated)</t>
        </is>
      </c>
      <c r="AF124" s="77">
        <f>IF(OR(V124="No",X124="No",Z124="No"),"Outside strict definition",IF(AND(V124="Yes",X124="Yes",Z124="Yes"),"Meets all three","Potentially relevant; evidence incomplete"))</f>
        <v/>
      </c>
      <c r="AG124" s="77" t="inlineStr">
        <is>
          <t>Historical delivery only</t>
        </is>
      </c>
      <c r="AH124" s="77" t="inlineStr">
        <is>
          <t>2016/17</t>
        </is>
      </c>
      <c r="AI124" s="77" t="inlineStr">
        <is>
          <t>Yes</t>
        </is>
      </c>
      <c r="AJ124" s="77">
        <f>IF(AND(AI124="Yes",AF124="Meets all three",AG124="Current delivery confirmed"),"Yes","No")</f>
        <v/>
      </c>
      <c r="AK124" s="77" t="inlineStr"/>
      <c r="AL124" s="77" t="inlineStr">
        <is>
          <t>RG04-S08-R1</t>
        </is>
      </c>
      <c r="AM124" s="77" t="inlineStr">
        <is>
          <t>Only a 2016/17 legacy catalogue entry was found; whether the module still runs is unknown.</t>
        </is>
      </c>
      <c r="AN124" s="77" t="inlineStr"/>
      <c r="AO124" s="77" t="inlineStr">
        <is>
          <t>UK</t>
        </is>
      </c>
      <c r="AP124" s="77" t="inlineStr">
        <is>
          <t>UK – Russell Group</t>
        </is>
      </c>
      <c r="AQ124" s="77" t="inlineStr">
        <is>
          <t>Unclear</t>
        </is>
      </c>
      <c r="AR124" s="77" t="inlineStr">
        <is>
          <t>Unclear</t>
        </is>
      </c>
      <c r="AS124" s="77" t="inlineStr"/>
    </row>
    <row r="125">
      <c r="A125" s="77" t="inlineStr">
        <is>
          <t>RG04</t>
        </is>
      </c>
      <c r="B125" s="77" t="inlineStr">
        <is>
          <t>Cardiff</t>
        </is>
      </c>
      <c r="C125" s="77" t="inlineStr">
        <is>
          <t>Faculty/school</t>
        </is>
      </c>
      <c r="D125" s="77" t="inlineStr">
        <is>
          <t>RG04-S09</t>
        </is>
      </c>
      <c r="E125" s="77" t="inlineStr"/>
      <c r="F125" s="77" t="inlineStr">
        <is>
          <t>No</t>
        </is>
      </c>
      <c r="G125" s="79" t="inlineStr">
        <is>
          <t>School of Engineering postgraduate group projects (industry)</t>
        </is>
      </c>
      <c r="H125" s="77" t="inlineStr">
        <is>
          <t>Engineering MSc group projects with industry</t>
        </is>
      </c>
      <c r="I125" s="77" t="inlineStr"/>
      <c r="J125" s="77" t="inlineStr">
        <is>
          <t>The School of Engineering's 'Work with our students' page offers companies postgraduate group projects, in which a group of Master's students undertakes an intensive piece of work on a more challenging topic. Year 5 MEng EEE students also choose two large group design projects linked to topical research, with past examples including net-zero research stations with the British Antarctic Survey.</t>
        </is>
      </c>
      <c r="K125" s="77" t="inlineStr">
        <is>
          <t>School of Engineering</t>
        </is>
      </c>
      <c r="L125" s="77" t="inlineStr">
        <is>
          <t>Engineering MSc programmes (unspecified)</t>
        </is>
      </c>
      <c r="M125" s="77" t="inlineStr">
        <is>
          <t>Engineering/computing</t>
        </is>
      </c>
      <c r="N125" s="77" t="inlineStr">
        <is>
          <t>Postgraduate taught</t>
        </is>
      </c>
      <c r="O125" s="77" t="inlineStr">
        <is>
          <t>MSc</t>
        </is>
      </c>
      <c r="P125" s="77" t="inlineStr"/>
      <c r="Q125" s="77" t="inlineStr">
        <is>
          <t>Unclear</t>
        </is>
      </c>
      <c r="R125" s="77" t="inlineStr">
        <is>
          <t>Unclear</t>
        </is>
      </c>
      <c r="S125" s="77" t="inlineStr">
        <is>
          <t>Not retrieved</t>
        </is>
      </c>
      <c r="T125" s="77" t="inlineStr">
        <is>
          <t>'intensive piece of work' (length not stated; 'costs and durations vary')</t>
        </is>
      </c>
      <c r="U125" s="77" t="inlineStr">
        <is>
          <t>Group project</t>
        </is>
      </c>
      <c r="V125" s="77" t="inlineStr">
        <is>
          <t>Yes</t>
        </is>
      </c>
      <c r="W125" s="77" t="inlineStr">
        <is>
          <t>An intensive piece of project work on a defined topic [1].</t>
        </is>
      </c>
      <c r="X125" s="77" t="inlineStr">
        <is>
          <t>Yes</t>
        </is>
      </c>
      <c r="Y125" s="77" t="inlineStr">
        <is>
          <t>'Postgraduate group projects give a group of Masters students...' [1].</t>
        </is>
      </c>
      <c r="Z125" s="77" t="inlineStr">
        <is>
          <t>Unclear</t>
        </is>
      </c>
      <c r="AA125" s="77" t="inlineStr">
        <is>
          <t>Offered on the company-facing page as a way to work with students [1], but the share of group projects with a company partner, and how the company takes part, are not stated.</t>
        </is>
      </c>
      <c r="AB125" s="77" t="inlineStr">
        <is>
          <t>Business/commercial</t>
        </is>
      </c>
      <c r="AC125" s="77" t="inlineStr">
        <is>
          <t>Company may propose a topic or engage (not detailed)</t>
        </is>
      </c>
      <c r="AD125" s="77" t="inlineStr">
        <is>
          <t>British Antarctic Survey (MEng EEE example, undated; public-sector research body)</t>
        </is>
      </c>
      <c r="AE125" s="77" t="inlineStr">
        <is>
          <t>Not stated</t>
        </is>
      </c>
      <c r="AF125" s="77">
        <f>IF(OR(V125="No",X125="No",Z125="No"),"Outside strict definition",IF(AND(V125="Yes",X125="Yes",Z125="Yes"),"Meets all three","Potentially relevant; evidence incomplete"))</f>
        <v/>
      </c>
      <c r="AG125" s="77" t="inlineStr">
        <is>
          <t>Current status unclear</t>
        </is>
      </c>
      <c r="AH125" s="77" t="inlineStr"/>
      <c r="AI125" s="77" t="inlineStr">
        <is>
          <t>Yes</t>
        </is>
      </c>
      <c r="AJ125" s="77">
        <f>IF(AND(AI125="Yes",AF125="Meets all three",AG125="Current delivery confirmed"),"Yes","No")</f>
        <v/>
      </c>
      <c r="AK125" s="77" t="inlineStr"/>
      <c r="AL125" s="77" t="inlineStr">
        <is>
          <t>RG04-S09-R1; RG04-S09-R2</t>
        </is>
      </c>
      <c r="AM125" s="77" t="inlineStr">
        <is>
          <t>Which MSc programmes run these projects, the credit, and how companies take part were not found. The page is undated.</t>
        </is>
      </c>
      <c r="AN125" s="77" t="inlineStr"/>
      <c r="AO125" s="77" t="inlineStr">
        <is>
          <t>UK</t>
        </is>
      </c>
      <c r="AP125" s="77" t="inlineStr">
        <is>
          <t>UK – Russell Group</t>
        </is>
      </c>
      <c r="AQ125" s="77" t="inlineStr">
        <is>
          <t>Unclear</t>
        </is>
      </c>
      <c r="AR125" s="77" t="inlineStr">
        <is>
          <t>Some projects</t>
        </is>
      </c>
      <c r="AS125" s="77" t="inlineStr"/>
    </row>
    <row r="126">
      <c r="A126" s="77" t="inlineStr">
        <is>
          <t>RG04</t>
        </is>
      </c>
      <c r="B126" s="77" t="inlineStr">
        <is>
          <t>Cardiff</t>
        </is>
      </c>
      <c r="C126" s="77" t="inlineStr">
        <is>
          <t>Faculty/school</t>
        </is>
      </c>
      <c r="D126" s="77" t="inlineStr">
        <is>
          <t>RG04-S10</t>
        </is>
      </c>
      <c r="E126" s="77" t="inlineStr"/>
      <c r="F126" s="77" t="inlineStr">
        <is>
          <t>No</t>
        </is>
      </c>
      <c r="G126" s="79" t="inlineStr">
        <is>
          <t>Welsh School of Architecture live projects (MArch 'Design in Practice'; Grangetown/Community Gateway)</t>
        </is>
      </c>
      <c r="H126" s="77" t="inlineStr">
        <is>
          <t>Architecture live projects</t>
        </is>
      </c>
      <c r="I126" s="77" t="inlineStr"/>
      <c r="J126" s="77" t="inlineStr">
        <is>
          <t>The MArch 1 'Year of Education in Practice' module Design in Practice addresses real-world design challenges through live project teaching, with external practice tutors reviewing and assessing. Through Community Gateway, undergraduate and postgraduate architecture students have worked on live projects supporting community-led buildings and spaces in Grangetown, including the Grange Pavilion: a 2020 Vertical Studio unit prototyped furniture with feedback from clients and users.</t>
        </is>
      </c>
      <c r="K126" s="77" t="inlineStr">
        <is>
          <t>Welsh School of Architecture</t>
        </is>
      </c>
      <c r="L126" s="77" t="inlineStr">
        <is>
          <t>MArch (Design in Practice); other UG/PG studios/vertical studios</t>
        </is>
      </c>
      <c r="M126" s="77" t="inlineStr">
        <is>
          <t>Other (law, health, design, architecture…)</t>
        </is>
      </c>
      <c r="N126" s="77" t="inlineStr">
        <is>
          <t>Mixed</t>
        </is>
      </c>
      <c r="O126" s="77" t="inlineStr">
        <is>
          <t>MArch 1 (Design in Practice)</t>
        </is>
      </c>
      <c r="P126" s="77" t="inlineStr">
        <is>
          <t>Architecture students</t>
        </is>
      </c>
      <c r="Q126" s="77" t="inlineStr">
        <is>
          <t>Unclear</t>
        </is>
      </c>
      <c r="R126" s="77" t="inlineStr">
        <is>
          <t>Curricular</t>
        </is>
      </c>
      <c r="S126" s="77" t="inlineStr">
        <is>
          <t>Not retrieved</t>
        </is>
      </c>
      <c r="T126" s="77" t="inlineStr">
        <is>
          <t>Not stated</t>
        </is>
      </c>
      <c r="U126" s="77" t="inlineStr">
        <is>
          <t>Studio-based live projects</t>
        </is>
      </c>
      <c r="V126" s="77" t="inlineStr">
        <is>
          <t>Yes</t>
        </is>
      </c>
      <c r="W126" s="77" t="inlineStr">
        <is>
          <t>Live project design briefs; a pavilion furniture prototype in 2020 [1][2].</t>
        </is>
      </c>
      <c r="X126" s="77" t="inlineStr">
        <is>
          <t>Unclear</t>
        </is>
      </c>
      <c r="Y126" s="77" t="inlineStr">
        <is>
          <t>Practice tutors mentor 'a small group of students' [1], but joint group outputs are not evidenced.</t>
        </is>
      </c>
      <c r="Z126" s="77" t="inlineStr">
        <is>
          <t>Unclear</t>
        </is>
      </c>
      <c r="AA126" s="77" t="inlineStr">
        <is>
          <t>In 2020 the Grange Pavilion community clients gave feedback on the Vertical Studio work [2]. For Design in Practice, briefs are described as live projects but the clients are not named [1].</t>
        </is>
      </c>
      <c r="AB126" s="77" t="inlineStr">
        <is>
          <t>Charity/community</t>
        </is>
      </c>
      <c r="AC126" s="77" t="inlineStr">
        <is>
          <t>Community client (Grange Pavilion) gave feedback in 2020; external practitioners tutor and assess</t>
        </is>
      </c>
      <c r="AD126" s="77" t="inlineStr">
        <is>
          <t>Grange Pavilion / Grangetown community (2020-2022)</t>
        </is>
      </c>
      <c r="AE126" s="77" t="inlineStr">
        <is>
          <t>Design proposals; furniture prototypes (2020)</t>
        </is>
      </c>
      <c r="AF126" s="77">
        <f>IF(OR(V126="No",X126="No",Z126="No"),"Outside strict definition",IF(AND(V126="Yes",X126="Yes",Z126="Yes"),"Meets all three","Potentially relevant; evidence incomplete"))</f>
        <v/>
      </c>
      <c r="AG126" s="77" t="inlineStr">
        <is>
          <t>Current status unclear</t>
        </is>
      </c>
      <c r="AH126" s="77" t="inlineStr">
        <is>
          <t>2020</t>
        </is>
      </c>
      <c r="AI126" s="77" t="inlineStr">
        <is>
          <t>Yes</t>
        </is>
      </c>
      <c r="AJ126" s="77">
        <f>IF(AND(AI126="Yes",AF126="Meets all three",AG126="Current delivery confirmed"),"Yes","No")</f>
        <v/>
      </c>
      <c r="AK126" s="77" t="inlineStr">
        <is>
          <t>Over 400 WSA and Business School students supported the Grange Pavilion through various activities (cumulative; undated news)</t>
        </is>
      </c>
      <c r="AL126" s="77" t="inlineStr">
        <is>
          <t>RG04-S10-R1; RG04-S10-R2; RG04-S10-R3</t>
        </is>
      </c>
      <c r="AM126" s="77" t="inlineStr">
        <is>
          <t>Group structure, client role in Design in Practice and current delivery are unconfirmed. The external practitioner call page is undated.</t>
        </is>
      </c>
      <c r="AN126" s="77" t="inlineStr"/>
      <c r="AO126" s="77" t="inlineStr">
        <is>
          <t>UK</t>
        </is>
      </c>
      <c r="AP126" s="77" t="inlineStr">
        <is>
          <t>UK – Russell Group</t>
        </is>
      </c>
      <c r="AQ126" s="77" t="inlineStr">
        <is>
          <t>Unclear</t>
        </is>
      </c>
      <c r="AR126" s="77" t="inlineStr">
        <is>
          <t>Unclear</t>
        </is>
      </c>
      <c r="AS126" s="77" t="inlineStr"/>
    </row>
    <row r="127">
      <c r="A127" s="77" t="inlineStr">
        <is>
          <t>RG04</t>
        </is>
      </c>
      <c r="B127" s="77" t="inlineStr">
        <is>
          <t>Cardiff</t>
        </is>
      </c>
      <c r="C127" s="77" t="inlineStr">
        <is>
          <t>Unclear</t>
        </is>
      </c>
      <c r="D127" s="77" t="inlineStr">
        <is>
          <t>RG04-S11</t>
        </is>
      </c>
      <c r="E127" s="77" t="inlineStr"/>
      <c r="F127" s="77" t="inlineStr">
        <is>
          <t>No</t>
        </is>
      </c>
      <c r="G127" s="79" t="inlineStr">
        <is>
          <t>Bremen-Cardiff Initiative on Sustainability and Entrepreneurship</t>
        </is>
      </c>
      <c r="H127" s="77" t="inlineStr">
        <is>
          <t>Bremen-Cardiff Sustainability Programme</t>
        </is>
      </c>
      <c r="I127" s="77" t="inlineStr"/>
      <c r="J127" s="77" t="inlineStr">
        <is>
          <t>Two-week blended programme run by the enterprise teams of Cardiff and the University of Bremen: week 1 online, week 2 in person in Cardiff. It brings students from both universities together to build a solution to a real-world problem, with sessions on creative thinking, idea generation and start-up culture and expert talks on sustainability and business. No external organisation setting the problem was evidenced.</t>
        </is>
      </c>
      <c r="K127" s="77" t="inlineStr">
        <is>
          <t>Enterprise &amp; Start-Up team (Student Futures) with University of Bremen</t>
        </is>
      </c>
      <c r="L127" s="77" t="inlineStr">
        <is>
          <t>Not stated</t>
        </is>
      </c>
      <c r="M127" s="77" t="inlineStr">
        <is>
          <t>Central provision</t>
        </is>
      </c>
      <c r="N127" s="77" t="inlineStr">
        <is>
          <t>Unclear</t>
        </is>
      </c>
      <c r="O127" s="77" t="inlineStr"/>
      <c r="P127" s="77" t="inlineStr">
        <is>
          <t>Selection/application not detailed</t>
        </is>
      </c>
      <c r="Q127" s="77" t="inlineStr">
        <is>
          <t>Selective/competitive</t>
        </is>
      </c>
      <c r="R127" s="77" t="inlineStr">
        <is>
          <t>Extracurricular</t>
        </is>
      </c>
      <c r="S127" s="77" t="inlineStr">
        <is>
          <t>None evidenced</t>
        </is>
      </c>
      <c r="T127" s="77" t="inlineStr">
        <is>
          <t>2 weeks (1 online + 1 in person)</t>
        </is>
      </c>
      <c r="U127" s="77" t="inlineStr">
        <is>
          <t>Blended</t>
        </is>
      </c>
      <c r="V127" s="77" t="inlineStr">
        <is>
          <t>Unclear</t>
        </is>
      </c>
      <c r="W127" s="77" t="inlineStr">
        <is>
          <t>Students 'build a solution to a real-world problem' [1]; the brief and output are not specified.</t>
        </is>
      </c>
      <c r="X127" s="77" t="inlineStr">
        <is>
          <t>Unclear</t>
        </is>
      </c>
      <c r="Y127" s="77" t="inlineStr">
        <is>
          <t>Students from both universities are brought together and there are group sessions [1], but team-based joint outputs are not explicit.</t>
        </is>
      </c>
      <c r="Z127" s="77" t="inlineStr">
        <is>
          <t>Unclear</t>
        </is>
      </c>
      <c r="AA127" s="77" t="inlineStr">
        <is>
          <t>No company or organisation is evidenced as setting the problem or receiving outputs. A separate Bremen summer camp involved companies [1].</t>
        </is>
      </c>
      <c r="AB127" s="77" t="inlineStr">
        <is>
          <t>Unclear</t>
        </is>
      </c>
      <c r="AC127" s="77" t="inlineStr">
        <is>
          <t>Partner university (Bremen) co-delivers; no external client evidenced</t>
        </is>
      </c>
      <c r="AD127" s="77" t="inlineStr">
        <is>
          <t>University of Bremen (academic partner, not a client)</t>
        </is>
      </c>
      <c r="AE127" s="77" t="inlineStr">
        <is>
          <t>Solution/pitch (not specified)</t>
        </is>
      </c>
      <c r="AF127" s="77">
        <f>IF(OR(V127="No",X127="No",Z127="No"),"Outside strict definition",IF(AND(V127="Yes",X127="Yes",Z127="Yes"),"Meets all three","Potentially relevant; evidence incomplete"))</f>
        <v/>
      </c>
      <c r="AG127" s="77" t="inlineStr">
        <is>
          <t>Current status unclear</t>
        </is>
      </c>
      <c r="AH127" s="77" t="inlineStr">
        <is>
          <t>2024/25</t>
        </is>
      </c>
      <c r="AI127" s="77" t="inlineStr">
        <is>
          <t>Yes</t>
        </is>
      </c>
      <c r="AJ127" s="77">
        <f>IF(AND(AI127="Yes",AF127="Meets all three",AG127="Current delivery confirmed"),"Yes","No")</f>
        <v/>
      </c>
      <c r="AK127" s="77" t="inlineStr">
        <is>
          <t>An earlier online iteration had 30 students from both universities (undated news) [2]</t>
        </is>
      </c>
      <c r="AL127" s="77" t="inlineStr">
        <is>
          <t>RG04-S11-R1; RG04-S11-R2; RG04-S11-R3</t>
        </is>
      </c>
      <c r="AM127" s="77" t="inlineStr">
        <is>
          <t>Eligibility, whether teams work for a real organisation, and 2025/26 delivery are unknown. The 2024/25 Student Enterprise annual report lists 'Bremen and Cardiff Sustainability and...' but the extract was truncated.</t>
        </is>
      </c>
      <c r="AN127" s="77" t="inlineStr">
        <is>
          <t>Bremen–Cardiff Sustainability Programme</t>
        </is>
      </c>
      <c r="AO127" s="77" t="inlineStr">
        <is>
          <t>UK</t>
        </is>
      </c>
      <c r="AP127" s="77" t="inlineStr">
        <is>
          <t>UK – Russell Group</t>
        </is>
      </c>
      <c r="AQ127" s="77" t="inlineStr">
        <is>
          <t>1–4 weeks</t>
        </is>
      </c>
      <c r="AR127" s="77" t="inlineStr">
        <is>
          <t>Unclear</t>
        </is>
      </c>
      <c r="AS127" s="77" t="inlineStr"/>
    </row>
    <row r="128">
      <c r="A128" s="77" t="inlineStr">
        <is>
          <t>RG05</t>
        </is>
      </c>
      <c r="B128" s="77" t="inlineStr">
        <is>
          <t>Durham</t>
        </is>
      </c>
      <c r="C128" s="77" t="inlineStr">
        <is>
          <t>Programme/course</t>
        </is>
      </c>
      <c r="D128" s="77" t="inlineStr">
        <is>
          <t>RG05-S01</t>
        </is>
      </c>
      <c r="E128" s="77" t="inlineStr"/>
      <c r="F128" s="77" t="inlineStr">
        <is>
          <t>No</t>
        </is>
      </c>
      <c r="G128" s="79" t="inlineStr">
        <is>
          <t>PHYS3581 Team Project (Level 3 Physics)</t>
        </is>
      </c>
      <c r="H128" s="77" t="inlineStr">
        <is>
          <t>Physics Team Project</t>
        </is>
      </c>
      <c r="I128" s="77" t="inlineStr">
        <is>
          <t>PHYS3581</t>
        </is>
      </c>
      <c r="J128" s="77" t="inlineStr">
        <is>
          <t>Teams of up to six Level 3 Physics students, formed by the course organiser, work 9 hours/week for 8 weeks on a physics-related problem set by a client (a local company, or sometimes department staff): e.g. a camera system to film a dishwasher cycle for Procter &amp; Gamble; a calculator for UHV system design for Mantis Vacuum Systems. Each team has a staff consultant, lab space and a £200-300 budget; ends with a short written report and oral presentation to which clients are invited.</t>
        </is>
      </c>
      <c r="K128" s="77" t="inlineStr">
        <is>
          <t>Department of Physics</t>
        </is>
      </c>
      <c r="L128" s="77" t="inlineStr">
        <is>
          <t>Level 3 Physics students (module listed as Open, cap 84, prerequisite PHYS2641); F300 course page presents it as one of two practical-module options alongside an extended experimental project; also listed for incoming/exchange students 2026/27.</t>
        </is>
      </c>
      <c r="M128" s="77" t="inlineStr">
        <is>
          <t>Science</t>
        </is>
      </c>
      <c r="N128" s="77" t="inlineStr">
        <is>
          <t>Undergraduate</t>
        </is>
      </c>
      <c r="O128" s="77" t="inlineStr">
        <is>
          <t>Year 3 (Level 3)</t>
        </is>
      </c>
      <c r="P128" s="77" t="inlineStr">
        <is>
          <t>Prerequisite PHYS2641 (Laboratory Skills Electronics); capped at 84 places.</t>
        </is>
      </c>
      <c r="Q128" s="77" t="inlineStr">
        <is>
          <t>Optional/elective</t>
        </is>
      </c>
      <c r="R128" s="77" t="inlineStr">
        <is>
          <t>Curricular</t>
        </is>
      </c>
      <c r="S128" s="77" t="inlineStr">
        <is>
          <t>20 Durham credits (10 ECTS in 2026/27 incoming handbook); short written report and oral presentation (summative).</t>
        </is>
      </c>
      <c r="T128" s="77" t="inlineStr">
        <is>
          <t>9 hours/week for 8 weeks in Michaelmas or Epiphany term</t>
        </is>
      </c>
      <c r="U128" s="77" t="inlineStr">
        <is>
          <t>Department-based lab project with client brief, kick-off meeting and final presentation</t>
        </is>
      </c>
      <c r="V128" s="77" t="inlineStr">
        <is>
          <t>Yes</t>
        </is>
      </c>
      <c r="W128" s="77" t="inlineStr">
        <is>
          <t>Defined client problem with report and presentation outputs (sources 1,2).</t>
        </is>
      </c>
      <c r="X128" s="77" t="inlineStr">
        <is>
          <t>Yes</t>
        </is>
      </c>
      <c r="Y128" s="77" t="inlineStr">
        <is>
          <t>Teams of up to six (4-6) students assembled by the course organiser; joint report and presentation (sources 1,2).</t>
        </is>
      </c>
      <c r="Z128" s="77" t="inlineStr">
        <is>
          <t>Unclear</t>
        </is>
      </c>
      <c r="AA128" s="77" t="inlineStr">
        <is>
          <t>Clients supply a ~1 page brief, meet students at the start, may lend equipment, answer queries, may do a mid-project review and are invited to final presentations (source 2); named past clients Procter &amp; Gamble, Cottam Brush, Neue Schule, Mantis Vacuum Systems (source 3). However the module page says problems are set 'by either members of staff from the Department or by local industry' (source 1), so the external share is not established; the F300 programme page says the scenario is presented by an external organisation such as a public body or company (source 4).</t>
        </is>
      </c>
      <c r="AB128" s="77" t="inlineStr">
        <is>
          <t>Business/commercial</t>
        </is>
      </c>
      <c r="AC128" s="77" t="inlineStr">
        <is>
          <t>Client: supplies brief, meets team, receives final presentation; internal staff-set projects also exist (share not published).</t>
        </is>
      </c>
      <c r="AD128" s="77" t="inlineStr">
        <is>
          <t>Procter &amp; Gamble, Cottam Brush, Neue Schule, Mantis Vacuum Systems (previous projects page, undated); EDF, Coltraco Ultrasonics, Magnitude Biosciences, Kromek (team project page, undated)</t>
        </is>
      </c>
      <c r="AE128" s="77" t="inlineStr">
        <is>
          <t>Written report and oral presentation / prototype or analysis for the client</t>
        </is>
      </c>
      <c r="AF128" s="77">
        <f>IF(OR(V128="No",X128="No",Z128="No"),"Outside strict definition",IF(AND(V128="Yes",X128="Yes",Z128="Yes"),"Meets all three","Potentially relevant; evidence incomplete"))</f>
        <v/>
      </c>
      <c r="AG128" s="77" t="inlineStr">
        <is>
          <t>Current delivery confirmed</t>
        </is>
      </c>
      <c r="AH128" s="77" t="inlineStr">
        <is>
          <t>2026/27</t>
        </is>
      </c>
      <c r="AI128" s="77" t="inlineStr">
        <is>
          <t>Yes</t>
        </is>
      </c>
      <c r="AJ128" s="77">
        <f>IF(AND(AI128="Yes",AF128="Meets all three",AG128="Current delivery confirmed"),"Yes","No")</f>
        <v/>
      </c>
      <c r="AK128" s="77" t="inlineStr">
        <is>
          <t>Module cap of 84 students (capacity, not participation).</t>
        </is>
      </c>
      <c r="AL128" s="77" t="inlineStr">
        <is>
          <t>RG05-S01-R1; RG05-S01-R2; RG05-S01-R3; RG05-S01-R4; RG05-S01-R5; RG05-S01-R6</t>
        </is>
      </c>
      <c r="AM128" s="77" t="inlineStr">
        <is>
          <t>Share of projects set by external clients vs department staff not published, so C left Unclear. Module page availability reported inconsistently across searches (2024/25 vs 2025/26); currency rests on the 2026/27 incoming-student handbook listing. No dated 2025/26 or 2026/27 client list found. Client page: projects set 'either by Physics staff or by local industry' so external share is not stated as standard (coverage Some projects; C stays Unclear). Past partners named on undated page.</t>
        </is>
      </c>
      <c r="AN128" s="77" t="inlineStr"/>
      <c r="AO128" s="77" t="inlineStr">
        <is>
          <t>UK</t>
        </is>
      </c>
      <c r="AP128" s="77" t="inlineStr">
        <is>
          <t>UK – Russell Group</t>
        </is>
      </c>
      <c r="AQ128" s="77" t="inlineStr">
        <is>
          <t>~1 term/semester</t>
        </is>
      </c>
      <c r="AR128" s="77" t="inlineStr">
        <is>
          <t>Some projects</t>
        </is>
      </c>
      <c r="AS128" s="77" t="inlineStr"/>
    </row>
    <row r="129">
      <c r="A129" s="77" t="inlineStr">
        <is>
          <t>RG05</t>
        </is>
      </c>
      <c r="B129" s="77" t="inlineStr">
        <is>
          <t>Durham</t>
        </is>
      </c>
      <c r="C129" s="77" t="inlineStr">
        <is>
          <t>Programme/course</t>
        </is>
      </c>
      <c r="D129" s="77" t="inlineStr">
        <is>
          <t>RG05-S02</t>
        </is>
      </c>
      <c r="E129" s="77" t="inlineStr"/>
      <c r="F129" s="77" t="inlineStr">
        <is>
          <t>No</t>
        </is>
      </c>
      <c r="G129" s="79" t="inlineStr">
        <is>
          <t>COMP2281 Software Engineering (Year 2 team project with external organisation)</t>
        </is>
      </c>
      <c r="H129" s="77" t="inlineStr">
        <is>
          <t>Software Engineering team project</t>
        </is>
      </c>
      <c r="I129" s="77" t="inlineStr">
        <is>
          <t>COMP2281</t>
        </is>
      </c>
      <c r="J129" s="77" t="inlineStr">
        <is>
          <t>Compulsory Level 2 Computer Science module built around a substantial team-based software project developed in partnership with an external organisation, covering the lifecycle from requirements to maintenance, Agile practice and project management.</t>
        </is>
      </c>
      <c r="K129" s="77" t="inlineStr">
        <is>
          <t>Department of Computer Science</t>
        </is>
      </c>
      <c r="L129" s="77" t="inlineStr">
        <is>
          <t>BSc/MEng Computer Science (G400, G406), Artificial Intelligence (G414) and related Computer Science degrees where the Year 2 Software Engineering module is taken.</t>
        </is>
      </c>
      <c r="M129" s="77" t="inlineStr">
        <is>
          <t>Engineering/computing</t>
        </is>
      </c>
      <c r="N129" s="77" t="inlineStr">
        <is>
          <t>Undergraduate</t>
        </is>
      </c>
      <c r="O129" s="77" t="inlineStr">
        <is>
          <t>Year 2</t>
        </is>
      </c>
      <c r="P129" s="77" t="inlineStr">
        <is>
          <t>Students on the specified Computer Science programmes.</t>
        </is>
      </c>
      <c r="Q129" s="77" t="inlineStr">
        <is>
          <t>Compulsory within specified programmes</t>
        </is>
      </c>
      <c r="R129" s="77" t="inlineStr">
        <is>
          <t>Curricular</t>
        </is>
      </c>
      <c r="S129" s="77" t="inlineStr">
        <is>
          <t>20 credits, Level 2; assessment weighting of the team project not found.</t>
        </is>
      </c>
      <c r="T129" s="77" t="inlineStr">
        <is>
          <t>Module-length (assumed academic year/term; not stated in extracts)</t>
        </is>
      </c>
      <c r="U129" s="77" t="inlineStr">
        <is>
          <t>Team software project with external organisation alongside taught content</t>
        </is>
      </c>
      <c r="V129" s="77" t="inlineStr">
        <is>
          <t>Yes</t>
        </is>
      </c>
      <c r="W129" s="77" t="inlineStr">
        <is>
          <t>'substantial team-based software project' (source 2); aim to understand management of 'a significant piece of software' (source 1).</t>
        </is>
      </c>
      <c r="X129" s="77" t="inlineStr">
        <is>
          <t>Yes</t>
        </is>
      </c>
      <c r="Y129" s="77" t="inlineStr">
        <is>
          <t>Team-based project; aims refer to developing software 'within a team environment' (sources 1,2).</t>
        </is>
      </c>
      <c r="Z129" s="77" t="inlineStr">
        <is>
          <t>Yes</t>
        </is>
      </c>
      <c r="AA129" s="77" t="inlineStr">
        <is>
          <t>Programme pages state the project is developed in partnership with, and gives experience working with, an external organisation (sources 2,3). The mechanism (who supplies the brief, who assesses) is not described in the extracts.</t>
        </is>
      </c>
      <c r="AB129" s="77" t="inlineStr">
        <is>
          <t>Unclear</t>
        </is>
      </c>
      <c r="AC129" s="77" t="inlineStr">
        <is>
          <t>External organisation partners on the project; precise role (brief-setting, feedback, assessment) not documented in extracts.</t>
        </is>
      </c>
      <c r="AD129" s="77" t="inlineStr"/>
      <c r="AE129" s="77" t="inlineStr">
        <is>
          <t>Team-built software system</t>
        </is>
      </c>
      <c r="AF129" s="77">
        <f>IF(OR(V129="No",X129="No",Z129="No"),"Outside strict definition",IF(AND(V129="Yes",X129="Yes",Z129="Yes"),"Meets all three","Potentially relevant; evidence incomplete"))</f>
        <v/>
      </c>
      <c r="AG129" s="77" t="inlineStr">
        <is>
          <t>Current delivery confirmed</t>
        </is>
      </c>
      <c r="AH129" s="77" t="inlineStr">
        <is>
          <t>2025/26</t>
        </is>
      </c>
      <c r="AI129" s="77" t="inlineStr">
        <is>
          <t>Yes</t>
        </is>
      </c>
      <c r="AJ129" s="77">
        <f>IF(AND(AI129="Yes",AF129="Meets all three",AG129="Current delivery confirmed"),"Yes","No")</f>
        <v/>
      </c>
      <c r="AK129" s="77" t="inlineStr"/>
      <c r="AL129" s="77" t="inlineStr">
        <is>
          <t>RG05-S02-R1; RG05-S02-R2; RG05-S02-R3</t>
        </is>
      </c>
      <c r="AM129" s="77" t="inlineStr">
        <is>
          <t>How the external organisation participates, partner sector, project duration and assessment weighting not found; C=Yes rests on programme-page statements that the module project is delivered with an external organisation. Whether every team has a distinct external client not verified.</t>
        </is>
      </c>
      <c r="AN129" s="77" t="inlineStr"/>
      <c r="AO129" s="77" t="inlineStr">
        <is>
          <t>UK</t>
        </is>
      </c>
      <c r="AP129" s="77" t="inlineStr">
        <is>
          <t>UK – Russell Group</t>
        </is>
      </c>
      <c r="AQ129" s="77" t="inlineStr">
        <is>
          <t>Unclear</t>
        </is>
      </c>
      <c r="AR129" s="77" t="inlineStr">
        <is>
          <t>All/standard</t>
        </is>
      </c>
      <c r="AS129" s="77" t="inlineStr"/>
    </row>
    <row r="130">
      <c r="A130" s="77" t="inlineStr">
        <is>
          <t>RG05</t>
        </is>
      </c>
      <c r="B130" s="77" t="inlineStr">
        <is>
          <t>Durham</t>
        </is>
      </c>
      <c r="C130" s="77" t="inlineStr">
        <is>
          <t>Programme/course</t>
        </is>
      </c>
      <c r="D130" s="77" t="inlineStr">
        <is>
          <t>RG05-S03</t>
        </is>
      </c>
      <c r="E130" s="77" t="inlineStr"/>
      <c r="F130" s="77" t="inlineStr">
        <is>
          <t>No</t>
        </is>
      </c>
      <c r="G130" s="79" t="inlineStr">
        <is>
          <t>GEOL4091 Earth Sciences into Industry</t>
        </is>
      </c>
      <c r="H130" s="77" t="inlineStr">
        <is>
          <t>Earth Sciences into Industry</t>
        </is>
      </c>
      <c r="I130" s="77" t="inlineStr">
        <is>
          <t>GEOL4091</t>
        </is>
      </c>
      <c r="J130" s="77" t="inlineStr">
        <is>
          <t>A multi-disciplinary student group works on a project specified by a 'client', typically an external organisation, which identifies the problem and deliverables. Groups write the project brief and workflow, then present a solution to the client and an internal mentor. Past project types include hydrocarbon exploration targets, geohazard risk assessment and mine waste contamination.</t>
        </is>
      </c>
      <c r="K130" s="77" t="inlineStr">
        <is>
          <t>Department of Earth Sciences</t>
        </is>
      </c>
      <c r="L130" s="77" t="inlineStr">
        <is>
          <t>Level 4 option for MSci Earth Sciences/geoscience degrees and listed for Natural Sciences students.</t>
        </is>
      </c>
      <c r="M130" s="77" t="inlineStr">
        <is>
          <t>Science</t>
        </is>
      </c>
      <c r="N130" s="77" t="inlineStr">
        <is>
          <t>Undergraduate</t>
        </is>
      </c>
      <c r="O130" s="77" t="inlineStr">
        <is>
          <t>Level 4 (integrated Masters)</t>
        </is>
      </c>
      <c r="P130" s="77" t="inlineStr">
        <is>
          <t>Level 4 Earth Sciences / Natural Sciences students on programmes that list the module.</t>
        </is>
      </c>
      <c r="Q130" s="77" t="inlineStr">
        <is>
          <t>Optional/elective</t>
        </is>
      </c>
      <c r="R130" s="77" t="inlineStr">
        <is>
          <t>Curricular</t>
        </is>
      </c>
      <c r="S130" s="77" t="inlineStr">
        <is>
          <t>20 credits; individual reflective report 20%, group project report 60%, group oral presentation 20%.</t>
        </is>
      </c>
      <c r="T130" s="77" t="inlineStr">
        <is>
          <t>Not stated in extracts</t>
        </is>
      </c>
      <c r="U130" s="77" t="inlineStr">
        <is>
          <t>Client-brief group project with internal mentor; formative and summative assessment</t>
        </is>
      </c>
      <c r="V130" s="77" t="inlineStr">
        <is>
          <t>Yes</t>
        </is>
      </c>
      <c r="W130" s="77" t="inlineStr">
        <is>
          <t>Client-specified problem and deliverables; group report and presentation (source 1).</t>
        </is>
      </c>
      <c r="X130" s="77" t="inlineStr">
        <is>
          <t>Yes</t>
        </is>
      </c>
      <c r="Y130" s="77" t="inlineStr">
        <is>
          <t>'A multi-disciplinary student group'; 60% group project report and 20% group oral presentation (source 1).</t>
        </is>
      </c>
      <c r="Z130" s="77" t="inlineStr">
        <is>
          <t>Yes</t>
        </is>
      </c>
      <c r="AA130" s="77" t="inlineStr">
        <is>
          <t>Client, 'typically an external organisation', identifies the problem and deliverables, and receives the group's presented solution; module aim is working with an industrial client (source 1).</t>
        </is>
      </c>
      <c r="AB130" s="77" t="inlineStr">
        <is>
          <t>Business/commercial</t>
        </is>
      </c>
      <c r="AC130" s="77" t="inlineStr">
        <is>
          <t>Client sets problem and deliverables and receives presentation; internal mentor also supports. 'Typically' external, so some internal clients possible.</t>
        </is>
      </c>
      <c r="AD130" s="77" t="inlineStr"/>
      <c r="AE130" s="77" t="inlineStr">
        <is>
          <t>Group project report and presentation of a solution to the client</t>
        </is>
      </c>
      <c r="AF130" s="77">
        <f>IF(OR(V130="No",X130="No",Z130="No"),"Outside strict definition",IF(AND(V130="Yes",X130="Yes",Z130="Yes"),"Meets all three","Potentially relevant; evidence incomplete"))</f>
        <v/>
      </c>
      <c r="AG130" s="77" t="inlineStr">
        <is>
          <t>Current delivery confirmed</t>
        </is>
      </c>
      <c r="AH130" s="77" t="inlineStr">
        <is>
          <t>2025/26</t>
        </is>
      </c>
      <c r="AI130" s="77" t="inlineStr">
        <is>
          <t>Yes</t>
        </is>
      </c>
      <c r="AJ130" s="77">
        <f>IF(AND(AI130="Yes",AF130="Meets all three",AG130="Current delivery confirmed"),"Yes","No")</f>
        <v/>
      </c>
      <c r="AK130" s="77" t="inlineStr"/>
      <c r="AL130" s="77" t="inlineStr">
        <is>
          <t>RG05-S03-R1; RG05-S03-R2</t>
        </is>
      </c>
      <c r="AM130" s="77" t="inlineStr">
        <is>
          <t>No named 2025/26 clients, project length or enrolment numbers found; share of non-external clients (word 'typically') unknown.</t>
        </is>
      </c>
      <c r="AN130" s="77" t="inlineStr"/>
      <c r="AO130" s="77" t="inlineStr">
        <is>
          <t>UK</t>
        </is>
      </c>
      <c r="AP130" s="77" t="inlineStr">
        <is>
          <t>UK – Russell Group</t>
        </is>
      </c>
      <c r="AQ130" s="77" t="inlineStr">
        <is>
          <t>Unclear</t>
        </is>
      </c>
      <c r="AR130" s="77" t="inlineStr">
        <is>
          <t>All/standard</t>
        </is>
      </c>
      <c r="AS130" s="77" t="inlineStr"/>
    </row>
    <row r="131">
      <c r="A131" s="77" t="inlineStr">
        <is>
          <t>RG05</t>
        </is>
      </c>
      <c r="B131" s="77" t="inlineStr">
        <is>
          <t>Durham</t>
        </is>
      </c>
      <c r="C131" s="77" t="inlineStr">
        <is>
          <t>Unclear</t>
        </is>
      </c>
      <c r="D131" s="77" t="inlineStr">
        <is>
          <t>RG05-S04</t>
        </is>
      </c>
      <c r="E131" s="77" t="inlineStr"/>
      <c r="F131" s="77" t="inlineStr">
        <is>
          <t>No</t>
        </is>
      </c>
      <c r="G131" s="79" t="inlineStr">
        <is>
          <t>Mini Consultancy Competition</t>
        </is>
      </c>
      <c r="H131" s="77" t="inlineStr">
        <is>
          <t>Mini Consultancy Competition</t>
        </is>
      </c>
      <c r="I131" s="77" t="inlineStr"/>
      <c r="J131" s="77" t="inlineStr">
        <is>
          <t>Employer-facing work-based learning programme: an organisation supplies a real business issue and three diverse student consultancy teams work on it over about three weeks, each delivering a distinct solution and final presentation to the employer, who can also use it to identify potential recruits.</t>
        </is>
      </c>
      <c r="K131" s="77" t="inlineStr">
        <is>
          <t>Careers and Enterprise Centre (central)</t>
        </is>
      </c>
      <c r="L131" s="77" t="inlineStr">
        <is>
          <t>Student eligibility and selection rules not found in search (employer page only).</t>
        </is>
      </c>
      <c r="M131" s="77" t="inlineStr">
        <is>
          <t>Central provision</t>
        </is>
      </c>
      <c r="N131" s="77" t="inlineStr">
        <is>
          <t>Unclear</t>
        </is>
      </c>
      <c r="O131" s="77" t="inlineStr">
        <is>
          <t>Unclear</t>
        </is>
      </c>
      <c r="P131" s="77" t="inlineStr">
        <is>
          <t>Employer page refers to 'high-achieving Durham students'; selection process not published in extracts.</t>
        </is>
      </c>
      <c r="Q131" s="77" t="inlineStr">
        <is>
          <t>Selective/competitive</t>
        </is>
      </c>
      <c r="R131" s="77" t="inlineStr">
        <is>
          <t>Extracurricular</t>
        </is>
      </c>
      <c r="S131" s="77" t="inlineStr">
        <is>
          <t>No credit evidenced</t>
        </is>
      </c>
      <c r="T131" s="77" t="inlineStr">
        <is>
          <t>About three weeks</t>
        </is>
      </c>
      <c r="U131" s="77" t="inlineStr">
        <is>
          <t>Employer-supplied challenge; student teams; employer receives three solutions and presentations</t>
        </is>
      </c>
      <c r="V131" s="77" t="inlineStr">
        <is>
          <t>Yes</t>
        </is>
      </c>
      <c r="W131" s="77" t="inlineStr">
        <is>
          <t>Real business issue provided by employer; each team produces a solution and final presentation (source 1).</t>
        </is>
      </c>
      <c r="X131" s="77" t="inlineStr">
        <is>
          <t>Yes</t>
        </is>
      </c>
      <c r="Y131" s="77" t="inlineStr">
        <is>
          <t>'three diverse student consultancy teams' (source 1).</t>
        </is>
      </c>
      <c r="Z131" s="77" t="inlineStr">
        <is>
          <t>Yes</t>
        </is>
      </c>
      <c r="AA131" s="77" t="inlineStr">
        <is>
          <t>Employer supplies the live business issue and receives three distinct solutions and presentations (source 1).</t>
        </is>
      </c>
      <c r="AB131" s="77" t="inlineStr">
        <is>
          <t>Business/commercial</t>
        </is>
      </c>
      <c r="AC131" s="77" t="inlineStr">
        <is>
          <t>Sets the live business issue; receives team solutions and presentations; may assess potential recruits.</t>
        </is>
      </c>
      <c r="AD131" s="77" t="inlineStr"/>
      <c r="AE131" s="77" t="inlineStr">
        <is>
          <t>Three team solutions and final presentations to the employer</t>
        </is>
      </c>
      <c r="AF131" s="77">
        <f>IF(OR(V131="No",X131="No",Z131="No"),"Outside strict definition",IF(AND(V131="Yes",X131="Yes",Z131="Yes"),"Meets all three","Potentially relevant; evidence incomplete"))</f>
        <v/>
      </c>
      <c r="AG131" s="77" t="inlineStr">
        <is>
          <t>Current status unclear</t>
        </is>
      </c>
      <c r="AH131" s="77" t="inlineStr"/>
      <c r="AI131" s="77" t="inlineStr">
        <is>
          <t>Yes</t>
        </is>
      </c>
      <c r="AJ131" s="77">
        <f>IF(AND(AI131="Yes",AF131="Meets all three",AG131="Current delivery confirmed"),"Yes","No")</f>
        <v/>
      </c>
      <c r="AK131" s="77" t="inlineStr"/>
      <c r="AL131" s="77" t="inlineStr">
        <is>
          <t>RG05-S04-R1</t>
        </is>
      </c>
      <c r="AM131" s="77" t="inlineStr">
        <is>
          <t>Page is employer-facing and undated in the extracts; no student-facing page, eligibility, dates, named employers or cohort evidence found, so academic reach and current delivery are unresolved (legacy row recorded a 2026 employer programme page and University-wide reach, not verified here).</t>
        </is>
      </c>
      <c r="AN131" s="77" t="inlineStr">
        <is>
          <t>Mini Consultancy Competition</t>
        </is>
      </c>
      <c r="AO131" s="77" t="inlineStr">
        <is>
          <t>UK</t>
        </is>
      </c>
      <c r="AP131" s="77" t="inlineStr">
        <is>
          <t>UK – Russell Group</t>
        </is>
      </c>
      <c r="AQ131" s="77" t="inlineStr">
        <is>
          <t>1-4 weeks</t>
        </is>
      </c>
      <c r="AR131" s="77" t="inlineStr">
        <is>
          <t>All/standard</t>
        </is>
      </c>
      <c r="AS131" s="77" t="inlineStr"/>
    </row>
    <row r="132">
      <c r="A132" s="77" t="inlineStr">
        <is>
          <t>RG05</t>
        </is>
      </c>
      <c r="B132" s="77" t="inlineStr">
        <is>
          <t>Durham</t>
        </is>
      </c>
      <c r="C132" s="77" t="inlineStr">
        <is>
          <t>Programme/course</t>
        </is>
      </c>
      <c r="D132" s="77" t="inlineStr">
        <is>
          <t>RG05-S05</t>
        </is>
      </c>
      <c r="E132" s="77" t="inlineStr"/>
      <c r="F132" s="77" t="inlineStr">
        <is>
          <t>No</t>
        </is>
      </c>
      <c r="G132" s="79" t="inlineStr">
        <is>
          <t>MSc Business Analytics Project (client-based)</t>
        </is>
      </c>
      <c r="H132" s="77" t="inlineStr">
        <is>
          <t>Business Analytics Projects</t>
        </is>
      </c>
      <c r="I132" s="77" t="inlineStr"/>
      <c r="J132" s="77" t="inlineStr">
        <is>
          <t>Term 3 project on the MSc Business Analytics (G5K709): students work on a live business issue using real datasets from a client company; client representatives provide the brief, data and business context; output is a project report assessed by the academic team plus an executive summary reviewed by the company. Each project has an academic and a company supervisor.</t>
        </is>
      </c>
      <c r="K132" s="77" t="inlineStr">
        <is>
          <t>Durham University Business School</t>
        </is>
      </c>
      <c r="L132" s="77" t="inlineStr">
        <is>
          <t>MSc Business Analytics (G5K709).</t>
        </is>
      </c>
      <c r="M132" s="77" t="inlineStr">
        <is>
          <t>Business/management</t>
        </is>
      </c>
      <c r="N132" s="77" t="inlineStr">
        <is>
          <t>Postgraduate taught</t>
        </is>
      </c>
      <c r="O132" s="77" t="inlineStr">
        <is>
          <t>Masters</t>
        </is>
      </c>
      <c r="P132" s="77" t="inlineStr">
        <is>
          <t>MSc Business Analytics students.</t>
        </is>
      </c>
      <c r="Q132" s="77" t="inlineStr">
        <is>
          <t>Compulsory within specified programmes</t>
        </is>
      </c>
      <c r="R132" s="77" t="inlineStr">
        <is>
          <t>Curricular</t>
        </is>
      </c>
      <c r="S132" s="77" t="inlineStr">
        <is>
          <t>Project worth about one-third of the degree marks; assessed report plus executive summary.</t>
        </is>
      </c>
      <c r="T132" s="77" t="inlineStr">
        <is>
          <t>Typically Term 3 after taught modules; company page cites a three-month project</t>
        </is>
      </c>
      <c r="U132" s="77" t="inlineStr">
        <is>
          <t>Client-supplied brief and data, short on-site visits, supervised by academic and company supervisors</t>
        </is>
      </c>
      <c r="V132" s="77" t="inlineStr">
        <is>
          <t>Yes</t>
        </is>
      </c>
      <c r="W132" s="77" t="inlineStr">
        <is>
          <t>Live business problem with client data; report and executive summary (sources 1,2).</t>
        </is>
      </c>
      <c r="X132" s="77" t="inlineStr">
        <is>
          <t>Unclear</t>
        </is>
      </c>
      <c r="Y132" s="77" t="inlineStr">
        <is>
          <t>Programme page speaks of collaborating with fellow students and teams, but case studies describe an individual student's project (WoolOvers) and the related module BUSI4M710 is individual; group vs individual route not separable (sources 1,3).</t>
        </is>
      </c>
      <c r="Z132" s="77" t="inlineStr">
        <is>
          <t>Yes</t>
        </is>
      </c>
      <c r="AA132" s="77" t="inlineStr">
        <is>
          <t>Client company supplies the brief and datasets, provides a supervisor, and reviews the executive summary (source 1).</t>
        </is>
      </c>
      <c r="AB132" s="77" t="inlineStr">
        <is>
          <t>Business/commercial</t>
        </is>
      </c>
      <c r="AC132" s="77" t="inlineStr">
        <is>
          <t>Provides brief, data, company supervisor; reviews executive summary.</t>
        </is>
      </c>
      <c r="AD132" s="77" t="inlineStr">
        <is>
          <t>WoolOvers (case study, undated)</t>
        </is>
      </c>
      <c r="AE132" s="77" t="inlineStr">
        <is>
          <t>Project report and client executive summary</t>
        </is>
      </c>
      <c r="AF132" s="77">
        <f>IF(OR(V132="No",X132="No",Z132="No"),"Outside strict definition",IF(AND(V132="Yes",X132="Yes",Z132="Yes"),"Meets all three","Potentially relevant; evidence incomplete"))</f>
        <v/>
      </c>
      <c r="AG132" s="77" t="inlineStr">
        <is>
          <t>Current status unclear</t>
        </is>
      </c>
      <c r="AH132" s="77" t="inlineStr"/>
      <c r="AI132" s="77" t="inlineStr">
        <is>
          <t>Yes</t>
        </is>
      </c>
      <c r="AJ132" s="77">
        <f>IF(AND(AI132="Yes",AF132="Meets all three",AG132="Current delivery confirmed"),"Yes","No")</f>
        <v/>
      </c>
      <c r="AK132" s="77" t="inlineStr">
        <is>
          <t>Company page claims partnerships with over 380 businesses across 68 sectors (whole school, not this scheme).</t>
        </is>
      </c>
      <c r="AL132" s="77" t="inlineStr">
        <is>
          <t>RG05-S05-R1; RG05-S05-R2; RG05-S05-R3; RG05-S05-R4</t>
        </is>
      </c>
      <c r="AM132" s="77" t="inlineStr">
        <is>
          <t>Whether the project is done in teams or individually; no 2025/26 or 2026/27 module availability or dated client cohort found (course page lists September 2026 and 2027 starts; page metadata appeared old).</t>
        </is>
      </c>
      <c r="AN132" s="77" t="inlineStr"/>
      <c r="AO132" s="77" t="inlineStr">
        <is>
          <t>UK</t>
        </is>
      </c>
      <c r="AP132" s="77" t="inlineStr">
        <is>
          <t>UK – Russell Group</t>
        </is>
      </c>
      <c r="AQ132" s="77" t="inlineStr">
        <is>
          <t>~1 term/semester</t>
        </is>
      </c>
      <c r="AR132" s="77" t="inlineStr">
        <is>
          <t>All/standard</t>
        </is>
      </c>
      <c r="AS132" s="77" t="inlineStr"/>
    </row>
    <row r="133">
      <c r="A133" s="77" t="inlineStr">
        <is>
          <t>RG05</t>
        </is>
      </c>
      <c r="B133" s="77" t="inlineStr">
        <is>
          <t>Durham</t>
        </is>
      </c>
      <c r="C133" s="77" t="inlineStr">
        <is>
          <t>Programme/course</t>
        </is>
      </c>
      <c r="D133" s="77" t="inlineStr">
        <is>
          <t>RG05-S06</t>
        </is>
      </c>
      <c r="E133" s="77" t="inlineStr"/>
      <c r="F133" s="77" t="inlineStr">
        <is>
          <t>No</t>
        </is>
      </c>
      <c r="G133" s="79" t="inlineStr">
        <is>
          <t>Industrial Problem Solving (IPS)</t>
        </is>
      </c>
      <c r="H133" s="77" t="inlineStr">
        <is>
          <t>Industrial Problem Solving</t>
        </is>
      </c>
      <c r="I133" s="77" t="inlineStr"/>
      <c r="J133" s="77" t="inlineStr">
        <is>
          <t>Two-week course for third-year Engineering students: taught techniques (value stream analysis, design for assembly, voice of the customer, FEA) then a 'live' project on a North East company's premises carried out by a pair of students, finishing with a presentation to the host company and a university report.</t>
        </is>
      </c>
      <c r="K133" s="77" t="inlineStr">
        <is>
          <t>Department of Engineering (Industrial Partnership Committee)</t>
        </is>
      </c>
      <c r="L133" s="77" t="inlineStr">
        <is>
          <t>Third-year Engineering students.</t>
        </is>
      </c>
      <c r="M133" s="77" t="inlineStr">
        <is>
          <t>Engineering/computing</t>
        </is>
      </c>
      <c r="N133" s="77" t="inlineStr">
        <is>
          <t>Undergraduate</t>
        </is>
      </c>
      <c r="O133" s="77" t="inlineStr">
        <is>
          <t>Year 3</t>
        </is>
      </c>
      <c r="P133" s="77" t="inlineStr">
        <is>
          <t>Third-year Engineering students</t>
        </is>
      </c>
      <c r="Q133" s="77" t="inlineStr">
        <is>
          <t>Unclear</t>
        </is>
      </c>
      <c r="R133" s="77" t="inlineStr">
        <is>
          <t>Curricular</t>
        </is>
      </c>
      <c r="S133" s="77" t="inlineStr">
        <is>
          <t>University report; credit not found.</t>
        </is>
      </c>
      <c r="T133" s="77" t="inlineStr">
        <is>
          <t>Two weeks (second week on company project)</t>
        </is>
      </c>
      <c r="U133" s="77" t="inlineStr">
        <is>
          <t>Taught week then live company-site project in pairs</t>
        </is>
      </c>
      <c r="V133" s="77" t="inlineStr">
        <is>
          <t>Yes</t>
        </is>
      </c>
      <c r="W133" s="77" t="inlineStr">
        <is>
          <t>'live' company project with presentation and report (source 1).</t>
        </is>
      </c>
      <c r="X133" s="77" t="inlineStr">
        <is>
          <t>Yes</t>
        </is>
      </c>
      <c r="Y133" s="77" t="inlineStr">
        <is>
          <t>Each project carried out by a pair of students (pair counts as group per ruling) (source 1).</t>
        </is>
      </c>
      <c r="Z133" s="77" t="inlineStr">
        <is>
          <t>Yes</t>
        </is>
      </c>
      <c r="AA133" s="77" t="inlineStr">
        <is>
          <t>Local company hosts the project on its premises and receives the presentation (source 1); sessions with Tracerco, Technip, Open Works Engineering listed (source 2).</t>
        </is>
      </c>
      <c r="AB133" s="77" t="inlineStr">
        <is>
          <t>Business/commercial</t>
        </is>
      </c>
      <c r="AC133" s="77" t="inlineStr">
        <is>
          <t>Hosts the live project on site and receives the student presentation.</t>
        </is>
      </c>
      <c r="AD133" s="77" t="inlineStr">
        <is>
          <t>Technip, Tracerco, Open Works Engineering, AVID, Doby Verrolec (IPC news; sessions 2013-2019 and undated 18-27 June entries)</t>
        </is>
      </c>
      <c r="AE133" s="77" t="inlineStr">
        <is>
          <t>Presentation to host company and university report</t>
        </is>
      </c>
      <c r="AF133" s="77">
        <f>IF(OR(V133="No",X133="No",Z133="No"),"Outside strict definition",IF(AND(V133="Yes",X133="Yes",Z133="Yes"),"Meets all three","Potentially relevant; evidence incomplete"))</f>
        <v/>
      </c>
      <c r="AG133" s="77" t="inlineStr">
        <is>
          <t>Historical delivery only</t>
        </is>
      </c>
      <c r="AH133" s="77" t="inlineStr">
        <is>
          <t>2019</t>
        </is>
      </c>
      <c r="AI133" s="77" t="inlineStr">
        <is>
          <t>Yes</t>
        </is>
      </c>
      <c r="AJ133" s="77">
        <f>IF(AND(AI133="Yes",AF133="Meets all three",AG133="Current delivery confirmed"),"Yes","No")</f>
        <v/>
      </c>
      <c r="AK133" s="77" t="inlineStr"/>
      <c r="AL133" s="77" t="inlineStr">
        <is>
          <t>RG05-S06-R1; RG05-S06-R2</t>
        </is>
      </c>
      <c r="AM133" s="77" t="inlineStr">
        <is>
          <t>Sessions listed only for 2013-2019; no evidence it still runs, whether compulsory, or its module code.</t>
        </is>
      </c>
      <c r="AN133" s="77" t="inlineStr"/>
      <c r="AO133" s="77" t="inlineStr">
        <is>
          <t>UK</t>
        </is>
      </c>
      <c r="AP133" s="77" t="inlineStr">
        <is>
          <t>UK – Russell Group</t>
        </is>
      </c>
      <c r="AQ133" s="77" t="inlineStr">
        <is>
          <t>1-4 weeks</t>
        </is>
      </c>
      <c r="AR133" s="77" t="inlineStr">
        <is>
          <t>All/standard</t>
        </is>
      </c>
      <c r="AS133" s="77" t="inlineStr"/>
    </row>
    <row r="134">
      <c r="A134" s="77" t="inlineStr">
        <is>
          <t>RG05</t>
        </is>
      </c>
      <c r="B134" s="77" t="inlineStr">
        <is>
          <t>Durham</t>
        </is>
      </c>
      <c r="C134" s="77" t="inlineStr">
        <is>
          <t>Programme/course</t>
        </is>
      </c>
      <c r="D134" s="77" t="inlineStr">
        <is>
          <t>RG05-S07</t>
        </is>
      </c>
      <c r="E134" s="77" t="inlineStr"/>
      <c r="F134" s="77" t="inlineStr">
        <is>
          <t>No</t>
        </is>
      </c>
      <c r="G134" s="79" t="inlineStr">
        <is>
          <t>Engineering Design (year-long team project, Years 2-3)</t>
        </is>
      </c>
      <c r="H134" s="77" t="inlineStr">
        <is>
          <t>Engineering Design team project</t>
        </is>
      </c>
      <c r="I134" s="77" t="inlineStr"/>
      <c r="J134" s="77" t="inlineStr">
        <is>
          <t>Year-long Engineering Design module in which teams solve engineering problems alongside industry professionals and academics (example: Scalextric land speed record challenge). Mechanical degrees describe a major design project guided by an academic supervisor and an external industrial engineer.</t>
        </is>
      </c>
      <c r="K134" s="77" t="inlineStr">
        <is>
          <t>Department of Engineering</t>
        </is>
      </c>
      <c r="L134" s="77" t="inlineStr">
        <is>
          <t>Engineering degrees (General Engineering H100/H103, Mechanical H311/H314 and others).</t>
        </is>
      </c>
      <c r="M134" s="77" t="inlineStr">
        <is>
          <t>Engineering/computing</t>
        </is>
      </c>
      <c r="N134" s="77" t="inlineStr">
        <is>
          <t>Undergraduate</t>
        </is>
      </c>
      <c r="O134" s="77" t="inlineStr">
        <is>
          <t>Years 2-3</t>
        </is>
      </c>
      <c r="P134" s="77" t="inlineStr">
        <is>
          <t>Engineering students</t>
        </is>
      </c>
      <c r="Q134" s="77" t="inlineStr">
        <is>
          <t>Compulsory within specified programmes</t>
        </is>
      </c>
      <c r="R134" s="77" t="inlineStr">
        <is>
          <t>Curricular</t>
        </is>
      </c>
      <c r="S134" s="77" t="inlineStr">
        <is>
          <t>Not found</t>
        </is>
      </c>
      <c r="T134" s="77" t="inlineStr">
        <is>
          <t>Whole academic year</t>
        </is>
      </c>
      <c r="U134" s="77" t="inlineStr">
        <is>
          <t>Year-long team design project with industry professional input</t>
        </is>
      </c>
      <c r="V134" s="77" t="inlineStr">
        <is>
          <t>Yes</t>
        </is>
      </c>
      <c r="W134" s="77" t="inlineStr">
        <is>
          <t>Year-long design project solving defined engineering problems (source 1).</t>
        </is>
      </c>
      <c r="X134" s="77" t="inlineStr">
        <is>
          <t>Yes</t>
        </is>
      </c>
      <c r="Y134" s="77" t="inlineStr">
        <is>
          <t>'students work in teams' (source 1).</t>
        </is>
      </c>
      <c r="Z134" s="77" t="inlineStr">
        <is>
          <t>Unclear</t>
        </is>
      </c>
      <c r="AA134" s="77" t="inlineStr">
        <is>
          <t>Industry professionals/an external industrial engineer support or guide teams (sources 1,2), but whether an external organisation sets the brief or receives the output is not shown; Scalextric example appears department-set.</t>
        </is>
      </c>
      <c r="AB134" s="77" t="inlineStr">
        <is>
          <t>Unclear</t>
        </is>
      </c>
      <c r="AC134" s="77" t="inlineStr">
        <is>
          <t>Professional engineers guide/support teams; organisation not identified.</t>
        </is>
      </c>
      <c r="AD134" s="77" t="inlineStr"/>
      <c r="AE134" s="77" t="inlineStr">
        <is>
          <t>Team design/prototype</t>
        </is>
      </c>
      <c r="AF134" s="77">
        <f>IF(OR(V134="No",X134="No",Z134="No"),"Outside strict definition",IF(AND(V134="Yes",X134="Yes",Z134="Yes"),"Meets all three","Potentially relevant; evidence incomplete"))</f>
        <v/>
      </c>
      <c r="AG134" s="77" t="inlineStr">
        <is>
          <t>Current status unclear</t>
        </is>
      </c>
      <c r="AH134" s="77" t="inlineStr"/>
      <c r="AI134" s="77" t="inlineStr">
        <is>
          <t>Yes</t>
        </is>
      </c>
      <c r="AJ134" s="77">
        <f>IF(AND(AI134="Yes",AF134="Meets all three",AG134="Current delivery confirmed"),"Yes","No")</f>
        <v/>
      </c>
      <c r="AK134" s="77" t="inlineStr"/>
      <c r="AL134" s="77" t="inlineStr">
        <is>
          <t>RG05-S07-R1; RG05-S07-R2</t>
        </is>
      </c>
      <c r="AM134" s="77" t="inlineStr">
        <is>
          <t>Module code, who sets briefs, role of named industry organisations and dated delivery evidence not found.</t>
        </is>
      </c>
      <c r="AN134" s="77" t="inlineStr"/>
      <c r="AO134" s="77" t="inlineStr">
        <is>
          <t>UK</t>
        </is>
      </c>
      <c r="AP134" s="77" t="inlineStr">
        <is>
          <t>UK – Russell Group</t>
        </is>
      </c>
      <c r="AQ134" s="77" t="inlineStr">
        <is>
          <t>&gt;1 term</t>
        </is>
      </c>
      <c r="AR134" s="77" t="inlineStr">
        <is>
          <t>Unclear</t>
        </is>
      </c>
      <c r="AS134" s="77" t="inlineStr"/>
    </row>
    <row r="135">
      <c r="A135" s="77" t="inlineStr">
        <is>
          <t>RG06</t>
        </is>
      </c>
      <c r="B135" s="77" t="inlineStr">
        <is>
          <t>Edinburgh</t>
        </is>
      </c>
      <c r="C135" s="77" t="inlineStr">
        <is>
          <t>Unclear</t>
        </is>
      </c>
      <c r="D135" s="77" t="inlineStr">
        <is>
          <t>RG06-S01</t>
        </is>
      </c>
      <c r="E135" s="77" t="inlineStr"/>
      <c r="F135" s="77" t="inlineStr">
        <is>
          <t>No</t>
        </is>
      </c>
      <c r="G135" s="79" t="inlineStr">
        <is>
          <t>Students as Change Agents (EFIE08003) / EFI Change Agents (EFIE08006)</t>
        </is>
      </c>
      <c r="H135" s="77" t="inlineStr">
        <is>
          <t>Students as Change Agents elective (EFI)</t>
        </is>
      </c>
      <c r="I135" s="77" t="inlineStr">
        <is>
          <t>EFIE08003 / EFIE08006</t>
        </is>
      </c>
      <c r="J135" s="77" t="inlineStr">
        <is>
          <t>Credit-bearing 20-credit pass/fail undergraduate course. Small interdisciplinary student teams explore a challenge proposed by an external partner (non-profit, public or private), meet fortnightly with group coaches, negotiate the problem statement with the partner, and produce a team output (business-style report, process map or prototype with implementation plan) that is presented/sent to the partner, plus an individual 1000-word reflection.</t>
        </is>
      </c>
      <c r="K135" s="77" t="inlineStr">
        <is>
          <t>Edinburgh Futures Institute</t>
        </is>
      </c>
      <c r="L135" s="77" t="inlineStr">
        <is>
          <t>Conflicting: the 2025/26 EFI catalogue lists EFIE08003 with availability code SV1 (all students incl. visiting) and the careers page says the elective is for 1st/2nd-year students; the 2024/25 EFIE08006 entry restricts the course to students on the EFI Interdisciplinary Futures (MA) degree.</t>
        </is>
      </c>
      <c r="M135" s="77" t="inlineStr">
        <is>
          <t>Central provision; Arts/humanities/social sciences</t>
        </is>
      </c>
      <c r="N135" s="77" t="inlineStr">
        <is>
          <t>Undergraduate</t>
        </is>
      </c>
      <c r="O135" s="77" t="inlineStr">
        <is>
          <t>SCQF level 8 (first/second year per careers page)</t>
        </is>
      </c>
      <c r="P135" s="77" t="inlineStr">
        <is>
          <t>Unclear: university-wide (SV1/SS1 codes and careers page wording) vs Interdisciplinary Futures MA only (2024/25 EFIE08006 page).</t>
        </is>
      </c>
      <c r="Q135" s="77" t="inlineStr">
        <is>
          <t>Optional/elective</t>
        </is>
      </c>
      <c r="R135" s="77" t="inlineStr">
        <is>
          <t>Curricular</t>
        </is>
      </c>
      <c r="S135" s="77" t="inlineStr">
        <is>
          <t>20 SCQF credits; pass/fail; group output (one submission, same result for all) plus individual 1000-word reflection; both must be passed</t>
        </is>
      </c>
      <c r="T135" s="77" t="inlineStr">
        <is>
          <t>Semester 2 / full-year listing (2025/26)</t>
        </is>
      </c>
      <c r="U135" s="77" t="inlineStr">
        <is>
          <t>Interdisciplinary teams with group coaches; partner presents challenge at start</t>
        </is>
      </c>
      <c r="V135" s="77" t="inlineStr">
        <is>
          <t>Yes</t>
        </is>
      </c>
      <c r="W135" s="77" t="inlineStr">
        <is>
          <t>Team explores a partner-proposed challenge and produces outputs and recommendations (src 2, 3).</t>
        </is>
      </c>
      <c r="X135" s="77" t="inlineStr">
        <is>
          <t>Yes</t>
        </is>
      </c>
      <c r="Y135" s="77" t="inlineStr">
        <is>
          <t>'Work in a small team'; one submission for the whole group with the same result for all members (src 2, 3).</t>
        </is>
      </c>
      <c r="Z135" s="77" t="inlineStr">
        <is>
          <t>Yes</t>
        </is>
      </c>
      <c r="AA135" s="77" t="inlineStr">
        <is>
          <t>External partner proposes the challenge, attends/presents early on, teams negotiate the problem statement with them, and the group output goes to the partner in writing and as a presentation (src 2, 3). Careers page lists partner examples from non-profit, public and private sectors (src 1).</t>
        </is>
      </c>
      <c r="AB135" s="77" t="inlineStr">
        <is>
          <t>Mixed</t>
        </is>
      </c>
      <c r="AC135" s="77" t="inlineStr">
        <is>
          <t>Sets the challenge, gives context at start, receives output/presentation</t>
        </is>
      </c>
      <c r="AD135" s="77" t="inlineStr">
        <is>
          <t>Eurowings Discover, Grand Bequest, Everyone's Edinburgh (SACHA programme examples, careers page, undated); 2025/26 challenge on attainment gap for under-12s in Scotland (partner not named in extract)</t>
        </is>
      </c>
      <c r="AE135" s="77" t="inlineStr">
        <is>
          <t>Team report/process map/prototype with implementation plan presented to partner; individual reflection</t>
        </is>
      </c>
      <c r="AF135" s="77">
        <f>IF(OR(V135="No",X135="No",Z135="No"),"Outside strict definition",IF(AND(V135="Yes",X135="Yes",Z135="Yes"),"Meets all three","Potentially relevant; evidence incomplete"))</f>
        <v/>
      </c>
      <c r="AG135" s="77" t="inlineStr">
        <is>
          <t>Current delivery confirmed</t>
        </is>
      </c>
      <c r="AH135" s="77" t="inlineStr">
        <is>
          <t>2025/26</t>
        </is>
      </c>
      <c r="AI135" s="77" t="inlineStr">
        <is>
          <t>Yes</t>
        </is>
      </c>
      <c r="AJ135" s="77">
        <f>IF(AND(AI135="Yes",AF135="Meets all three",AG135="Current delivery confirmed"),"Yes","No")</f>
        <v/>
      </c>
      <c r="AK135" s="77" t="inlineStr"/>
      <c r="AL135" s="77" t="inlineStr">
        <is>
          <t>RG06-S01-R1; RG06-S01-R2; RG06-S01-R3; RG06-S01-R4; RG06-S01-R5</t>
        </is>
      </c>
      <c r="AM135" s="77" t="inlineStr">
        <is>
          <t>University-wide eligibility vs MA Interdisciplinary Futures-only is unresolved (search summaries; EFIE08003 and EFIE08006 may be the same course renamed). Participant numbers not found.</t>
        </is>
      </c>
      <c r="AN135" s="77" t="inlineStr">
        <is>
          <t>Students as Change Agents (SACHA) elective</t>
        </is>
      </c>
      <c r="AO135" s="77" t="inlineStr">
        <is>
          <t>UK</t>
        </is>
      </c>
      <c r="AP135" s="77" t="inlineStr">
        <is>
          <t>UK – Russell Group</t>
        </is>
      </c>
      <c r="AQ135" s="77" t="inlineStr">
        <is>
          <t>~1 term/semester</t>
        </is>
      </c>
      <c r="AR135" s="77" t="inlineStr">
        <is>
          <t>All/standard</t>
        </is>
      </c>
      <c r="AS135" s="77" t="inlineStr"/>
    </row>
    <row r="136">
      <c r="A136" s="77" t="inlineStr">
        <is>
          <t>RG06</t>
        </is>
      </c>
      <c r="B136" s="77" t="inlineStr">
        <is>
          <t>Edinburgh</t>
        </is>
      </c>
      <c r="C136" s="77" t="inlineStr">
        <is>
          <t>University-wide</t>
        </is>
      </c>
      <c r="D136" s="77" t="inlineStr">
        <is>
          <t>RG06-S02</t>
        </is>
      </c>
      <c r="E136" s="77" t="inlineStr"/>
      <c r="F136" s="77" t="inlineStr">
        <is>
          <t>No</t>
        </is>
      </c>
      <c r="G136" s="79" t="inlineStr">
        <is>
          <t>Students as Change Agents: Careers Service co-curricular route</t>
        </is>
      </c>
      <c r="H136" s="77" t="inlineStr">
        <is>
          <t>SACHA co-curricular (non-credit) programme</t>
        </is>
      </c>
      <c r="I136" s="77" t="inlineStr"/>
      <c r="J136" s="77" t="inlineStr">
        <is>
          <t>Non-credit co-curricular version of SACHA: interdisciplinary student groups tackled real-world challenges set by non-profit, public and private organisations using a 'living lab' approach, with design-thinking training and a digital badge. The page states this route is paused.</t>
        </is>
      </c>
      <c r="K136" s="77" t="inlineStr">
        <is>
          <t>Careers Service</t>
        </is>
      </c>
      <c r="L136" s="77" t="inlineStr">
        <is>
          <t>Former optional co-curricular participants (legacy row)</t>
        </is>
      </c>
      <c r="M136" s="77" t="inlineStr">
        <is>
          <t>Central provision</t>
        </is>
      </c>
      <c r="N136" s="77" t="inlineStr">
        <is>
          <t>Undergraduate</t>
        </is>
      </c>
      <c r="O136" s="77" t="inlineStr">
        <is>
          <t>1st/2nd year (legacy)</t>
        </is>
      </c>
      <c r="P136" s="77" t="inlineStr">
        <is>
          <t>Not currently open (paused)</t>
        </is>
      </c>
      <c r="Q136" s="77" t="inlineStr">
        <is>
          <t>Optional/elective</t>
        </is>
      </c>
      <c r="R136" s="77" t="inlineStr">
        <is>
          <t>Extracurricular</t>
        </is>
      </c>
      <c r="S136" s="77" t="inlineStr">
        <is>
          <t>Non-credit; digital badge; option of Edinburgh Award or SLICC</t>
        </is>
      </c>
      <c r="T136" s="77" t="inlineStr">
        <is>
          <t>Unclear</t>
        </is>
      </c>
      <c r="U136" s="77" t="inlineStr">
        <is>
          <t>Interdisciplinary groups with partner challenges</t>
        </is>
      </c>
      <c r="V136" s="77" t="inlineStr">
        <is>
          <t>Yes</t>
        </is>
      </c>
      <c r="W136" s="77" t="inlineStr">
        <is>
          <t>Groups 'tackle real-world challenges' (src 1).</t>
        </is>
      </c>
      <c r="X136" s="77" t="inlineStr">
        <is>
          <t>Yes</t>
        </is>
      </c>
      <c r="Y136" s="77" t="inlineStr">
        <is>
          <t>'Worked in interdisciplinary groups' (src 1).</t>
        </is>
      </c>
      <c r="Z136" s="77" t="inlineStr">
        <is>
          <t>Yes</t>
        </is>
      </c>
      <c r="AA136" s="77" t="inlineStr">
        <is>
          <t>Challenges 'posed by organisations from the non-profit, public and private sectors' (src 1).</t>
        </is>
      </c>
      <c r="AB136" s="77" t="inlineStr">
        <is>
          <t>Mixed</t>
        </is>
      </c>
      <c r="AC136" s="77" t="inlineStr">
        <is>
          <t>Pose the challenge</t>
        </is>
      </c>
      <c r="AD136" s="77" t="inlineStr">
        <is>
          <t>Eurowings Discover, Grand Bequest, Everyone's Edinburgh (undated)</t>
        </is>
      </c>
      <c r="AE136" s="77" t="inlineStr">
        <is>
          <t>Challenge recommendations (format not stated)</t>
        </is>
      </c>
      <c r="AF136" s="77">
        <f>IF(OR(V136="No",X136="No",Z136="No"),"Outside strict definition",IF(AND(V136="Yes",X136="Yes",Z136="Yes"),"Meets all three","Potentially relevant; evidence incomplete"))</f>
        <v/>
      </c>
      <c r="AG136" s="77" t="inlineStr">
        <is>
          <t>Paused/discontinued</t>
        </is>
      </c>
      <c r="AH136" s="77" t="inlineStr"/>
      <c r="AI136" s="77" t="inlineStr">
        <is>
          <t>Yes</t>
        </is>
      </c>
      <c r="AJ136" s="77">
        <f>IF(AND(AI136="Yes",AF136="Meets all three",AG136="Current delivery confirmed"),"Yes","No")</f>
        <v/>
      </c>
      <c r="AK136" s="77" t="inlineStr"/>
      <c r="AL136" s="77" t="inlineStr">
        <is>
          <t>RG06-S02-R1</t>
        </is>
      </c>
      <c r="AM136" s="77" t="inlineStr">
        <is>
          <t>Date of pause and earlier cohort sizes not stated; page is undated.</t>
        </is>
      </c>
      <c r="AN136" s="77" t="inlineStr">
        <is>
          <t>Students as Change Agents: careers co-curricular route</t>
        </is>
      </c>
      <c r="AO136" s="77" t="inlineStr">
        <is>
          <t>UK</t>
        </is>
      </c>
      <c r="AP136" s="77" t="inlineStr">
        <is>
          <t>UK – Russell Group</t>
        </is>
      </c>
      <c r="AQ136" s="77" t="inlineStr">
        <is>
          <t>Unclear</t>
        </is>
      </c>
      <c r="AR136" s="77" t="inlineStr">
        <is>
          <t>All/standard</t>
        </is>
      </c>
      <c r="AS136" s="77" t="inlineStr"/>
    </row>
    <row r="137">
      <c r="A137" s="77" t="inlineStr">
        <is>
          <t>RG06</t>
        </is>
      </c>
      <c r="B137" s="77" t="inlineStr">
        <is>
          <t>Edinburgh</t>
        </is>
      </c>
      <c r="C137" s="77" t="inlineStr">
        <is>
          <t>Programme/course</t>
        </is>
      </c>
      <c r="D137" s="77" t="inlineStr">
        <is>
          <t>RG06-S03</t>
        </is>
      </c>
      <c r="E137" s="77" t="inlineStr"/>
      <c r="F137" s="77" t="inlineStr">
        <is>
          <t>No</t>
        </is>
      </c>
      <c r="G137" s="79" t="inlineStr">
        <is>
          <t>Management Consultancy in Practice: Innovation and Entrepreneurship (MSc Entrepreneurship and Innovation)</t>
        </is>
      </c>
      <c r="H137" s="77" t="inlineStr">
        <is>
          <t>Management Consultancy in Practice (MSc E&amp;I)</t>
        </is>
      </c>
      <c r="I137" s="77" t="inlineStr">
        <is>
          <t>CMSE11519 (2021/22) / CMSE11547 (2022/23 programme table)</t>
        </is>
      </c>
      <c r="J137" s="77" t="inlineStr">
        <is>
          <t>Teams of normally four MSc students act as consultants on a live innovation/venture-growth challenge for an external organisation (start-up/scale-up; private, public and non-profit clients), January to March, with scoping meeting, consultancy report, evaluation of strategic options, recommendations and final client presentation.</t>
        </is>
      </c>
      <c r="K137" s="77" t="inlineStr">
        <is>
          <t>University of Edinburgh Business School</t>
        </is>
      </c>
      <c r="L137" s="77" t="inlineStr">
        <is>
          <t>MSc Entrepreneurship and Innovation</t>
        </is>
      </c>
      <c r="M137" s="77" t="inlineStr">
        <is>
          <t>Business/management</t>
        </is>
      </c>
      <c r="N137" s="77" t="inlineStr">
        <is>
          <t>Postgraduate taught</t>
        </is>
      </c>
      <c r="O137" s="77" t="inlineStr">
        <is>
          <t>MSc</t>
        </is>
      </c>
      <c r="P137" s="77" t="inlineStr">
        <is>
          <t>Programme students</t>
        </is>
      </c>
      <c r="Q137" s="77" t="inlineStr">
        <is>
          <t>Compulsory within specified programmes</t>
        </is>
      </c>
      <c r="R137" s="77" t="inlineStr">
        <is>
          <t>Curricular</t>
        </is>
      </c>
      <c r="S137" s="77" t="inlineStr">
        <is>
          <t>15 credits (2021/22) / 20 credits (2022/23 table); 100% coursework: 70% group, 30% individual (2021/22)</t>
        </is>
      </c>
      <c r="T137" s="77" t="inlineStr">
        <is>
          <t>January to March</t>
        </is>
      </c>
      <c r="U137" s="77" t="inlineStr">
        <is>
          <t>Team consultancy, supported by teaching team; clients attend scoping and final presentation</t>
        </is>
      </c>
      <c r="V137" s="77" t="inlineStr">
        <is>
          <t>Yes</t>
        </is>
      </c>
      <c r="W137" s="77" t="inlineStr">
        <is>
          <t>Live challenge; report, strategic options, recommendations (src 1, 2).</t>
        </is>
      </c>
      <c r="X137" s="77" t="inlineStr">
        <is>
          <t>Yes</t>
        </is>
      </c>
      <c r="Y137" s="77" t="inlineStr">
        <is>
          <t>Teams normally four; 70% group coursework (src 1, 2).</t>
        </is>
      </c>
      <c r="Z137" s="77" t="inlineStr">
        <is>
          <t>Yes</t>
        </is>
      </c>
      <c r="AA137" s="77" t="inlineStr">
        <is>
          <t>Clients propose challenge (deadline 1 October), nominate contact, attend scoping meeting and final presentation and give feedback; free to clients (src 1). Catalogue: real clients from private, public and non-profit sectors (src 2).</t>
        </is>
      </c>
      <c r="AB137" s="77" t="inlineStr">
        <is>
          <t>Mixed</t>
        </is>
      </c>
      <c r="AC137" s="77" t="inlineStr">
        <is>
          <t>Commission the challenge, attend scoping and final presentation, give feedback</t>
        </is>
      </c>
      <c r="AD137" s="77" t="inlineStr">
        <is>
          <t>Page describes past clients generically (an investment management firm, a specialist food producer, a public-sector body); no names</t>
        </is>
      </c>
      <c r="AE137" s="77" t="inlineStr">
        <is>
          <t>Consultancy report, strategic options evaluation, recommendations, client presentation</t>
        </is>
      </c>
      <c r="AF137" s="77">
        <f>IF(OR(V137="No",X137="No",Z137="No"),"Outside strict definition",IF(AND(V137="Yes",X137="Yes",Z137="Yes"),"Meets all three","Potentially relevant; evidence incomplete"))</f>
        <v/>
      </c>
      <c r="AG137" s="77" t="inlineStr">
        <is>
          <t>Current status unclear</t>
        </is>
      </c>
      <c r="AH137" s="77" t="inlineStr"/>
      <c r="AI137" s="77" t="inlineStr">
        <is>
          <t>Yes</t>
        </is>
      </c>
      <c r="AJ137" s="77">
        <f>IF(AND(AI137="Yes",AF137="Meets all three",AG137="Current delivery confirmed"),"Yes","No")</f>
        <v/>
      </c>
      <c r="AK137" s="77" t="inlineStr"/>
      <c r="AL137" s="77" t="inlineStr">
        <is>
          <t>RG06-S03-R1; RG06-S03-R2; RG06-S03-R3</t>
        </is>
      </c>
      <c r="AM137" s="77" t="inlineStr">
        <is>
          <t>Business School page undated; catalogue entries 2021/22 and 2022/23 only; no 2025/26 or 2026/27 course entry found. Page inconsistent on start-up age criteria (18 months vs 5 years or younger). Course code/credit differ across sources.</t>
        </is>
      </c>
      <c r="AN137" s="77" t="inlineStr"/>
      <c r="AO137" s="77" t="inlineStr">
        <is>
          <t>UK</t>
        </is>
      </c>
      <c r="AP137" s="77" t="inlineStr">
        <is>
          <t>UK – Russell Group</t>
        </is>
      </c>
      <c r="AQ137" s="77" t="inlineStr">
        <is>
          <t>~1 term/semester</t>
        </is>
      </c>
      <c r="AR137" s="77" t="inlineStr">
        <is>
          <t>All/standard</t>
        </is>
      </c>
      <c r="AS137" s="77" t="inlineStr"/>
    </row>
    <row r="138">
      <c r="A138" s="77" t="inlineStr">
        <is>
          <t>RG06</t>
        </is>
      </c>
      <c r="B138" s="77" t="inlineStr">
        <is>
          <t>Edinburgh</t>
        </is>
      </c>
      <c r="C138" s="77" t="inlineStr">
        <is>
          <t>Programme/course</t>
        </is>
      </c>
      <c r="D138" s="77" t="inlineStr">
        <is>
          <t>RG06-S04</t>
        </is>
      </c>
      <c r="E138" s="77" t="inlineStr"/>
      <c r="F138" s="77" t="inlineStr">
        <is>
          <t>No</t>
        </is>
      </c>
      <c r="G138" s="79" t="inlineStr">
        <is>
          <t>Sustainable Business Consultancy Projects (MSc Global Strategy and Sustainability)</t>
        </is>
      </c>
      <c r="H138" s="77" t="inlineStr">
        <is>
          <t>Sustainable Business Consultancy Project</t>
        </is>
      </c>
      <c r="I138" s="77" t="inlineStr">
        <is>
          <t>CMSE11573</t>
        </is>
      </c>
      <c r="J138" s="77" t="inlineStr">
        <is>
          <t>Teams of 5-6 MSc students act as consultants on a real sustainability challenge faced by a private or public organisation over ten weeks (January-March): research, data collection, stakeholder consultation, recommendations, delivered as written report and oral presentation to the client.</t>
        </is>
      </c>
      <c r="K138" s="77" t="inlineStr">
        <is>
          <t>University of Edinburgh Business School</t>
        </is>
      </c>
      <c r="L138" s="77" t="inlineStr">
        <is>
          <t>MSc Global Strategy and Sustainability (core/option status not confirmed)</t>
        </is>
      </c>
      <c r="M138" s="77" t="inlineStr">
        <is>
          <t>Business/management</t>
        </is>
      </c>
      <c r="N138" s="77" t="inlineStr">
        <is>
          <t>Postgraduate taught</t>
        </is>
      </c>
      <c r="O138" s="77" t="inlineStr">
        <is>
          <t>MSc</t>
        </is>
      </c>
      <c r="P138" s="77" t="inlineStr">
        <is>
          <t>Programme students</t>
        </is>
      </c>
      <c r="Q138" s="77" t="inlineStr">
        <is>
          <t>Unclear</t>
        </is>
      </c>
      <c r="R138" s="77" t="inlineStr">
        <is>
          <t>Curricular</t>
        </is>
      </c>
      <c r="S138" s="77" t="inlineStr">
        <is>
          <t>Coursework (group); credit not captured</t>
        </is>
      </c>
      <c r="T138" s="77" t="inlineStr">
        <is>
          <t>Ten weeks, January-March</t>
        </is>
      </c>
      <c r="U138" s="77" t="inlineStr">
        <is>
          <t>Team consultancy</t>
        </is>
      </c>
      <c r="V138" s="77" t="inlineStr">
        <is>
          <t>Yes</t>
        </is>
      </c>
      <c r="W138" s="77" t="inlineStr">
        <is>
          <t>Real challenge; research, recommendations, report and presentation (src 1).</t>
        </is>
      </c>
      <c r="X138" s="77" t="inlineStr">
        <is>
          <t>Yes</t>
        </is>
      </c>
      <c r="Y138" s="77" t="inlineStr">
        <is>
          <t>Teams of 5-6 (src 1); catalogue refers to groups (src 2).</t>
        </is>
      </c>
      <c r="Z138" s="77" t="inlineStr">
        <is>
          <t>Yes</t>
        </is>
      </c>
      <c r="AA138" s="77" t="inlineStr">
        <is>
          <t>Client from private or public sector supplies the challenge and receives written report and oral presentation; no fee (src 1).</t>
        </is>
      </c>
      <c r="AB138" s="77" t="inlineStr">
        <is>
          <t>Mixed</t>
        </is>
      </c>
      <c r="AC138" s="77" t="inlineStr">
        <is>
          <t>Supplies the challenge, receives report and presentation</t>
        </is>
      </c>
      <c r="AD138" s="77" t="inlineStr">
        <is>
          <t>South of Scotland Enterprise (student account, undated)</t>
        </is>
      </c>
      <c r="AE138" s="77" t="inlineStr">
        <is>
          <t>Written report and oral presentation to client</t>
        </is>
      </c>
      <c r="AF138" s="77">
        <f>IF(OR(V138="No",X138="No",Z138="No"),"Outside strict definition",IF(AND(V138="Yes",X138="Yes",Z138="Yes"),"Meets all three","Potentially relevant; evidence incomplete"))</f>
        <v/>
      </c>
      <c r="AG138" s="77" t="inlineStr">
        <is>
          <t>Current delivery confirmed</t>
        </is>
      </c>
      <c r="AH138" s="77" t="inlineStr">
        <is>
          <t>2026/27</t>
        </is>
      </c>
      <c r="AI138" s="77" t="inlineStr">
        <is>
          <t>Yes</t>
        </is>
      </c>
      <c r="AJ138" s="77">
        <f>IF(AND(AI138="Yes",AF138="Meets all three",AG138="Current delivery confirmed"),"Yes","No")</f>
        <v/>
      </c>
      <c r="AK138" s="77" t="inlineStr"/>
      <c r="AL138" s="77" t="inlineStr">
        <is>
          <t>RG06-S04-R1; RG06-S04-R2</t>
        </is>
      </c>
      <c r="AM138" s="77" t="inlineStr">
        <is>
          <t>Whether compulsory or optional not established; credit weighting not captured.</t>
        </is>
      </c>
      <c r="AN138" s="77" t="inlineStr"/>
      <c r="AO138" s="77" t="inlineStr">
        <is>
          <t>UK</t>
        </is>
      </c>
      <c r="AP138" s="77" t="inlineStr">
        <is>
          <t>UK – Russell Group</t>
        </is>
      </c>
      <c r="AQ138" s="77" t="inlineStr">
        <is>
          <t>~1 term/semester</t>
        </is>
      </c>
      <c r="AR138" s="77" t="inlineStr">
        <is>
          <t>All/standard</t>
        </is>
      </c>
      <c r="AS138" s="77" t="inlineStr"/>
    </row>
    <row r="139">
      <c r="A139" s="77" t="inlineStr">
        <is>
          <t>RG06</t>
        </is>
      </c>
      <c r="B139" s="77" t="inlineStr">
        <is>
          <t>Edinburgh</t>
        </is>
      </c>
      <c r="C139" s="77" t="inlineStr">
        <is>
          <t>Programme/course</t>
        </is>
      </c>
      <c r="D139" s="77" t="inlineStr">
        <is>
          <t>RG06-S05</t>
        </is>
      </c>
      <c r="E139" s="77" t="inlineStr"/>
      <c r="F139" s="77" t="inlineStr">
        <is>
          <t>No</t>
        </is>
      </c>
      <c r="G139" s="79" t="inlineStr">
        <is>
          <t>Climate Change Consulting Project (MSc Climate Change Finance and Investment)</t>
        </is>
      </c>
      <c r="H139" s="77" t="inlineStr">
        <is>
          <t>Climate Change Consulting Project</t>
        </is>
      </c>
      <c r="I139" s="77" t="inlineStr">
        <is>
          <t>CMSE11518</t>
        </is>
      </c>
      <c r="J139" s="77" t="inlineStr">
        <is>
          <t>Core MSc course: groups of five to six, mixed in expertise (finance, science, engineering, business), consult on a client's climate challenge (e.g. tradable carbon offsets, carbon-market exposure, low-carbon screening tool) and deliver a written report and oral presentation to private or public-sector clients, January-March.</t>
        </is>
      </c>
      <c r="K139" s="77" t="inlineStr">
        <is>
          <t>University of Edinburgh Business School</t>
        </is>
      </c>
      <c r="L139" s="77" t="inlineStr">
        <is>
          <t>MSc Climate Change Finance and Investment</t>
        </is>
      </c>
      <c r="M139" s="77" t="inlineStr">
        <is>
          <t>Business/management</t>
        </is>
      </c>
      <c r="N139" s="77" t="inlineStr">
        <is>
          <t>Postgraduate taught</t>
        </is>
      </c>
      <c r="O139" s="77" t="inlineStr">
        <is>
          <t>MSc</t>
        </is>
      </c>
      <c r="P139" s="77" t="inlineStr">
        <is>
          <t>Programme students</t>
        </is>
      </c>
      <c r="Q139" s="77" t="inlineStr">
        <is>
          <t>Compulsory within specified programmes</t>
        </is>
      </c>
      <c r="R139" s="77" t="inlineStr">
        <is>
          <t>Curricular</t>
        </is>
      </c>
      <c r="S139" s="77" t="inlineStr">
        <is>
          <t>20 credits (2023/24 programme table)</t>
        </is>
      </c>
      <c r="T139" s="77" t="inlineStr">
        <is>
          <t>Semester 2 (main work January-March)</t>
        </is>
      </c>
      <c r="U139" s="77" t="inlineStr">
        <is>
          <t>Team consultancy</t>
        </is>
      </c>
      <c r="V139" s="77" t="inlineStr">
        <is>
          <t>Yes</t>
        </is>
      </c>
      <c r="W139" s="77" t="inlineStr">
        <is>
          <t>Client climate challenge; report and presentation (src 1).</t>
        </is>
      </c>
      <c r="X139" s="77" t="inlineStr">
        <is>
          <t>Yes</t>
        </is>
      </c>
      <c r="Y139" s="77" t="inlineStr">
        <is>
          <t>Groups of five to six (src 1).</t>
        </is>
      </c>
      <c r="Z139" s="77" t="inlineStr">
        <is>
          <t>Yes</t>
        </is>
      </c>
      <c r="AA139" s="77" t="inlineStr">
        <is>
          <t>Clients (private or public) submit proposals, receive report and presentation; unpaid (src 1).</t>
        </is>
      </c>
      <c r="AB139" s="77" t="inlineStr">
        <is>
          <t>Mixed</t>
        </is>
      </c>
      <c r="AC139" s="77" t="inlineStr">
        <is>
          <t>Provide challenge, receive report/presentation</t>
        </is>
      </c>
      <c r="AD139" s="77" t="inlineStr"/>
      <c r="AE139" s="77" t="inlineStr">
        <is>
          <t>Consulting report and oral presentation</t>
        </is>
      </c>
      <c r="AF139" s="77">
        <f>IF(OR(V139="No",X139="No",Z139="No"),"Outside strict definition",IF(AND(V139="Yes",X139="Yes",Z139="Yes"),"Meets all three","Potentially relevant; evidence incomplete"))</f>
        <v/>
      </c>
      <c r="AG139" s="77" t="inlineStr">
        <is>
          <t>Current status unclear</t>
        </is>
      </c>
      <c r="AH139" s="77" t="inlineStr">
        <is>
          <t>2023/24</t>
        </is>
      </c>
      <c r="AI139" s="77" t="inlineStr">
        <is>
          <t>Yes</t>
        </is>
      </c>
      <c r="AJ139" s="77">
        <f>IF(AND(AI139="Yes",AF139="Meets all three",AG139="Current delivery confirmed"),"Yes","No")</f>
        <v/>
      </c>
      <c r="AK139" s="77" t="inlineStr"/>
      <c r="AL139" s="77" t="inlineStr">
        <is>
          <t>RG06-S05-R1; RG06-S05-R2</t>
        </is>
      </c>
      <c r="AM139" s="77" t="inlineStr">
        <is>
          <t>Latest dated evidence is the 2023/24 catalogue/programme table; no 2025/26 or 2026/27 entry found.</t>
        </is>
      </c>
      <c r="AN139" s="77" t="inlineStr"/>
      <c r="AO139" s="77" t="inlineStr">
        <is>
          <t>UK</t>
        </is>
      </c>
      <c r="AP139" s="77" t="inlineStr">
        <is>
          <t>UK – Russell Group</t>
        </is>
      </c>
      <c r="AQ139" s="77" t="inlineStr">
        <is>
          <t>~1 term/semester</t>
        </is>
      </c>
      <c r="AR139" s="77" t="inlineStr">
        <is>
          <t>All/standard</t>
        </is>
      </c>
      <c r="AS139" s="77" t="inlineStr"/>
    </row>
    <row r="140">
      <c r="A140" s="77" t="inlineStr">
        <is>
          <t>RG06</t>
        </is>
      </c>
      <c r="B140" s="77" t="inlineStr">
        <is>
          <t>Edinburgh</t>
        </is>
      </c>
      <c r="C140" s="77" t="inlineStr">
        <is>
          <t>Programme/course</t>
        </is>
      </c>
      <c r="D140" s="77" t="inlineStr">
        <is>
          <t>RG06-S06</t>
        </is>
      </c>
      <c r="E140" s="77" t="inlineStr"/>
      <c r="F140" s="77" t="inlineStr">
        <is>
          <t>No</t>
        </is>
      </c>
      <c r="G140" s="79" t="inlineStr">
        <is>
          <t>Project Management in Business Analysis (MSc Management) consultancy project</t>
        </is>
      </c>
      <c r="H140" s="77" t="inlineStr">
        <is>
          <t>Project Management in Business Analysis Consultancy Project</t>
        </is>
      </c>
      <c r="I140" s="77" t="inlineStr">
        <is>
          <t>CMSE11452</t>
        </is>
      </c>
      <c r="J140" s="77" t="inlineStr">
        <is>
          <t>Group project in which teams of 4-5 MSc Management students manage a project life cycle. Business School page presents it as a 10-week (up to 72 hours each) consultancy project for a private or public organisation; the catalogue instead says topics are open, agreed at start, with lecturer-supplied portfolio or student-chosen projects.</t>
        </is>
      </c>
      <c r="K140" s="77" t="inlineStr">
        <is>
          <t>University of Edinburgh Business School</t>
        </is>
      </c>
      <c r="L140" s="77" t="inlineStr">
        <is>
          <t>MSc Management (Semester 2 option)</t>
        </is>
      </c>
      <c r="M140" s="77" t="inlineStr">
        <is>
          <t>Business/management</t>
        </is>
      </c>
      <c r="N140" s="77" t="inlineStr">
        <is>
          <t>Postgraduate taught</t>
        </is>
      </c>
      <c r="O140" s="77" t="inlineStr">
        <is>
          <t>MSc</t>
        </is>
      </c>
      <c r="P140" s="77" t="inlineStr">
        <is>
          <t>Programme students</t>
        </is>
      </c>
      <c r="Q140" s="77" t="inlineStr">
        <is>
          <t>Optional/elective</t>
        </is>
      </c>
      <c r="R140" s="77" t="inlineStr">
        <is>
          <t>Curricular</t>
        </is>
      </c>
      <c r="S140" s="77" t="inlineStr">
        <is>
          <t>20 credits; 50% group coursework, 50% individual exam (2025/26 entry)</t>
        </is>
      </c>
      <c r="T140" s="77" t="inlineStr">
        <is>
          <t>Semester 2; 6 weeks / ~97 hours (catalogue) vs 10 weeks / up to 72 hours (Business School page)</t>
        </is>
      </c>
      <c r="U140" s="77" t="inlineStr">
        <is>
          <t>Student groups</t>
        </is>
      </c>
      <c r="V140" s="77" t="inlineStr">
        <is>
          <t>Yes</t>
        </is>
      </c>
      <c r="W140" s="77" t="inlineStr">
        <is>
          <t>Small-scale group project (src 2).</t>
        </is>
      </c>
      <c r="X140" s="77" t="inlineStr">
        <is>
          <t>Yes</t>
        </is>
      </c>
      <c r="Y140" s="77" t="inlineStr">
        <is>
          <t>Teams of 4-5; 50% group coursework (src 2).</t>
        </is>
      </c>
      <c r="Z140" s="77" t="inlineStr">
        <is>
          <t>Unclear</t>
        </is>
      </c>
      <c r="AA140" s="77" t="inlineStr">
        <is>
          <t>Business School page says client is a private or public organisation receiving report and presentation (src 1), but the 2025/26 catalogue states topic is open and students may choose their own project and assesses process rather than outcome (src 2).</t>
        </is>
      </c>
      <c r="AB140" s="77" t="inlineStr">
        <is>
          <t>Unclear</t>
        </is>
      </c>
      <c r="AC140" s="77" t="inlineStr">
        <is>
          <t>Unclear</t>
        </is>
      </c>
      <c r="AD140" s="77" t="inlineStr"/>
      <c r="AE140" s="77" t="inlineStr">
        <is>
          <t>Group report and presentation</t>
        </is>
      </c>
      <c r="AF140" s="77">
        <f>IF(OR(V140="No",X140="No",Z140="No"),"Outside strict definition",IF(AND(V140="Yes",X140="Yes",Z140="Yes"),"Meets all three","Potentially relevant; evidence incomplete"))</f>
        <v/>
      </c>
      <c r="AG140" s="77" t="inlineStr">
        <is>
          <t>Current delivery confirmed</t>
        </is>
      </c>
      <c r="AH140" s="77" t="inlineStr">
        <is>
          <t>2025/26</t>
        </is>
      </c>
      <c r="AI140" s="77" t="inlineStr">
        <is>
          <t>Yes</t>
        </is>
      </c>
      <c r="AJ140" s="77">
        <f>IF(AND(AI140="Yes",AF140="Meets all three",AG140="Current delivery confirmed"),"Yes","No")</f>
        <v/>
      </c>
      <c r="AK140" s="77" t="inlineStr"/>
      <c r="AL140" s="77" t="inlineStr">
        <is>
          <t>RG06-S06-R1; RG06-S06-R2</t>
        </is>
      </c>
      <c r="AM140" s="77" t="inlineStr">
        <is>
          <t>Whether external clients are standard in current delivery; sources disagree on duration and design.</t>
        </is>
      </c>
      <c r="AN140" s="77" t="inlineStr"/>
      <c r="AO140" s="77" t="inlineStr">
        <is>
          <t>UK</t>
        </is>
      </c>
      <c r="AP140" s="77" t="inlineStr">
        <is>
          <t>UK – Russell Group</t>
        </is>
      </c>
      <c r="AQ140" s="77" t="inlineStr">
        <is>
          <t>~1 term/semester</t>
        </is>
      </c>
      <c r="AR140" s="77" t="inlineStr">
        <is>
          <t>Unclear</t>
        </is>
      </c>
      <c r="AS140" s="77" t="inlineStr"/>
    </row>
    <row r="141">
      <c r="A141" s="77" t="inlineStr">
        <is>
          <t>RG06</t>
        </is>
      </c>
      <c r="B141" s="77" t="inlineStr">
        <is>
          <t>Edinburgh</t>
        </is>
      </c>
      <c r="C141" s="77" t="inlineStr">
        <is>
          <t>Programme/course</t>
        </is>
      </c>
      <c r="D141" s="77" t="inlineStr">
        <is>
          <t>RG06-S07</t>
        </is>
      </c>
      <c r="E141" s="77" t="inlineStr"/>
      <c r="F141" s="77" t="inlineStr">
        <is>
          <t>No</t>
        </is>
      </c>
      <c r="G141" s="79" t="inlineStr">
        <is>
          <t>Enterprise Consultancy Project (BUST10120), Undergraduate Enterprise Consultancy</t>
        </is>
      </c>
      <c r="H141" s="77" t="inlineStr">
        <is>
          <t>Enterprise Consultancy Project</t>
        </is>
      </c>
      <c r="I141" s="77" t="inlineStr">
        <is>
          <t>BUST10120</t>
        </is>
      </c>
      <c r="J141" s="77" t="inlineStr">
        <is>
          <t>Final-year undergraduate teams of three to six consult for the owner-manager of a new local business recruited before the course by the co-ordinator; teams negotiate project details, produce interim reports and deliver a final group report and presentation to the company.</t>
        </is>
      </c>
      <c r="K141" s="77" t="inlineStr">
        <is>
          <t>University of Edinburgh Business School</t>
        </is>
      </c>
      <c r="L141" s="77" t="inlineStr">
        <is>
          <t>Final-year Business students with prior innovation/entrepreneurship course passes</t>
        </is>
      </c>
      <c r="M141" s="77" t="inlineStr">
        <is>
          <t>Business/management</t>
        </is>
      </c>
      <c r="N141" s="77" t="inlineStr">
        <is>
          <t>Undergraduate</t>
        </is>
      </c>
      <c r="O141" s="77" t="inlineStr">
        <is>
          <t>Final year</t>
        </is>
      </c>
      <c r="P141" s="77" t="inlineStr">
        <is>
          <t>Requires prior passes in specified innovation/entrepreneurship courses</t>
        </is>
      </c>
      <c r="Q141" s="77" t="inlineStr">
        <is>
          <t>Optional/elective</t>
        </is>
      </c>
      <c r="R141" s="77" t="inlineStr">
        <is>
          <t>Curricular</t>
        </is>
      </c>
      <c r="S141" s="77" t="inlineStr">
        <is>
          <t>20 SCQF credits; 100% coursework incl. 45% group report to the company and 15% presentation to the company</t>
        </is>
      </c>
      <c r="T141" s="77" t="inlineStr">
        <is>
          <t>Semester 2; ~12 weeks</t>
        </is>
      </c>
      <c r="U141" s="77" t="inlineStr">
        <is>
          <t>Team consultancy; client recruited by co-ordinator</t>
        </is>
      </c>
      <c r="V141" s="77" t="inlineStr">
        <is>
          <t>Yes</t>
        </is>
      </c>
      <c r="W141" s="77" t="inlineStr">
        <is>
          <t>Consultancy assignment with interim reports, final report and presentation (src 1).</t>
        </is>
      </c>
      <c r="X141" s="77" t="inlineStr">
        <is>
          <t>Yes</t>
        </is>
      </c>
      <c r="Y141" s="77" t="inlineStr">
        <is>
          <t>Teams of three to six; 45% group report (src 1).</t>
        </is>
      </c>
      <c r="Z141" s="77" t="inlineStr">
        <is>
          <t>Yes</t>
        </is>
      </c>
      <c r="AA141" s="77" t="inlineStr">
        <is>
          <t>Owner-manager of a new local business is the client, agreed brief with co-ordinator; receives final report and presentation (src 1).</t>
        </is>
      </c>
      <c r="AB141" s="77" t="inlineStr">
        <is>
          <t>Business/commercial</t>
        </is>
      </c>
      <c r="AC141" s="77" t="inlineStr">
        <is>
          <t>Client: agrees brief, receives report and presentation</t>
        </is>
      </c>
      <c r="AD141" s="77" t="inlineStr"/>
      <c r="AE141" s="77" t="inlineStr">
        <is>
          <t>Final group report and presentation to company</t>
        </is>
      </c>
      <c r="AF141" s="77">
        <f>IF(OR(V141="No",X141="No",Z141="No"),"Outside strict definition",IF(AND(V141="Yes",X141="Yes",Z141="Yes"),"Meets all three","Potentially relevant; evidence incomplete"))</f>
        <v/>
      </c>
      <c r="AG141" s="77" t="inlineStr">
        <is>
          <t>Current delivery confirmed</t>
        </is>
      </c>
      <c r="AH141" s="77" t="inlineStr">
        <is>
          <t>2025/26</t>
        </is>
      </c>
      <c r="AI141" s="77" t="inlineStr">
        <is>
          <t>Yes</t>
        </is>
      </c>
      <c r="AJ141" s="77">
        <f>IF(AND(AI141="Yes",AF141="Meets all three",AG141="Current delivery confirmed"),"Yes","No")</f>
        <v/>
      </c>
      <c r="AK141" s="77" t="inlineStr"/>
      <c r="AL141" s="77" t="inlineStr">
        <is>
          <t>RG06-S07-R1; RG06-S07-R2</t>
        </is>
      </c>
      <c r="AM141" s="77" t="inlineStr">
        <is>
          <t>Compulsory/optional status in Business degrees not established; client names not published.</t>
        </is>
      </c>
      <c r="AN141" s="77" t="inlineStr"/>
      <c r="AO141" s="77" t="inlineStr">
        <is>
          <t>UK</t>
        </is>
      </c>
      <c r="AP141" s="77" t="inlineStr">
        <is>
          <t>UK – Russell Group</t>
        </is>
      </c>
      <c r="AQ141" s="77" t="inlineStr">
        <is>
          <t>~1 term/semester</t>
        </is>
      </c>
      <c r="AR141" s="77" t="inlineStr">
        <is>
          <t>All/standard</t>
        </is>
      </c>
      <c r="AS141" s="77" t="inlineStr"/>
    </row>
    <row r="142">
      <c r="A142" s="77" t="inlineStr">
        <is>
          <t>RG06</t>
        </is>
      </c>
      <c r="B142" s="77" t="inlineStr">
        <is>
          <t>Edinburgh</t>
        </is>
      </c>
      <c r="C142" s="77" t="inlineStr">
        <is>
          <t>Programme/course</t>
        </is>
      </c>
      <c r="D142" s="77" t="inlineStr">
        <is>
          <t>RG06-S08</t>
        </is>
      </c>
      <c r="E142" s="77" t="inlineStr"/>
      <c r="F142" s="77" t="inlineStr">
        <is>
          <t>No</t>
        </is>
      </c>
      <c r="G142" s="79" t="inlineStr">
        <is>
          <t>MBA Consultancy Project (Consultancy Project (MBA), CMSE11224)</t>
        </is>
      </c>
      <c r="H142" s="77" t="inlineStr">
        <is>
          <t>MBA Consultancy Project</t>
        </is>
      </c>
      <c r="I142" s="77" t="inlineStr">
        <is>
          <t>CMSE11224</t>
        </is>
      </c>
      <c r="J142" s="77" t="inlineStr">
        <is>
          <t>MBA students work in small teams to deliver consultancy on a strategic business issue for an external client, April to June, with report and presentation delivered to the client.</t>
        </is>
      </c>
      <c r="K142" s="77" t="inlineStr">
        <is>
          <t>University of Edinburgh Business School</t>
        </is>
      </c>
      <c r="L142" s="77" t="inlineStr">
        <is>
          <t>MBA</t>
        </is>
      </c>
      <c r="M142" s="77" t="inlineStr">
        <is>
          <t>Business/management</t>
        </is>
      </c>
      <c r="N142" s="77" t="inlineStr">
        <is>
          <t>Postgraduate taught</t>
        </is>
      </c>
      <c r="O142" s="77" t="inlineStr">
        <is>
          <t>MBA</t>
        </is>
      </c>
      <c r="P142" s="77" t="inlineStr">
        <is>
          <t>MBA students</t>
        </is>
      </c>
      <c r="Q142" s="77" t="inlineStr">
        <is>
          <t>Unclear</t>
        </is>
      </c>
      <c r="R142" s="77" t="inlineStr">
        <is>
          <t>Curricular</t>
        </is>
      </c>
      <c r="S142" s="77" t="inlineStr">
        <is>
          <t>Group report and presentation (2016/17 catalogue)</t>
        </is>
      </c>
      <c r="T142" s="77" t="inlineStr">
        <is>
          <t>April-June (Business School page)</t>
        </is>
      </c>
      <c r="U142" s="77" t="inlineStr">
        <is>
          <t>Team consultancy</t>
        </is>
      </c>
      <c r="V142" s="77" t="inlineStr">
        <is>
          <t>Yes</t>
        </is>
      </c>
      <c r="W142" s="77" t="inlineStr">
        <is>
          <t>Strategic business issue; report and presentation to client (src 1, 2).</t>
        </is>
      </c>
      <c r="X142" s="77" t="inlineStr">
        <is>
          <t>Yes</t>
        </is>
      </c>
      <c r="Y142" s="77" t="inlineStr">
        <is>
          <t>'Small teams'; multi-cultural teams; group report/presentation assessment (src 1, 2).</t>
        </is>
      </c>
      <c r="Z142" s="77" t="inlineStr">
        <is>
          <t>Yes</t>
        </is>
      </c>
      <c r="AA142" s="77" t="inlineStr">
        <is>
          <t>Client organisations submit proposals (deadline 31 January) and receive report and presentation (src 1, 2).</t>
        </is>
      </c>
      <c r="AB142" s="77" t="inlineStr">
        <is>
          <t>Unclear</t>
        </is>
      </c>
      <c r="AC142" s="77" t="inlineStr">
        <is>
          <t>Provide strategic issue; receive report/presentation</t>
        </is>
      </c>
      <c r="AD142" s="77" t="inlineStr"/>
      <c r="AE142" s="77" t="inlineStr">
        <is>
          <t>Report and presentation to client</t>
        </is>
      </c>
      <c r="AF142" s="77">
        <f>IF(OR(V142="No",X142="No",Z142="No"),"Outside strict definition",IF(AND(V142="Yes",X142="Yes",Z142="Yes"),"Meets all three","Potentially relevant; evidence incomplete"))</f>
        <v/>
      </c>
      <c r="AG142" s="77" t="inlineStr">
        <is>
          <t>Current status unclear</t>
        </is>
      </c>
      <c r="AH142" s="77" t="inlineStr"/>
      <c r="AI142" s="77" t="inlineStr">
        <is>
          <t>Yes</t>
        </is>
      </c>
      <c r="AJ142" s="77">
        <f>IF(AND(AI142="Yes",AF142="Meets all three",AG142="Current delivery confirmed"),"Yes","No")</f>
        <v/>
      </c>
      <c r="AK142" s="77" t="inlineStr"/>
      <c r="AL142" s="77" t="inlineStr">
        <is>
          <t>RG06-S08-R1; RG06-S08-R2</t>
        </is>
      </c>
      <c r="AM142" s="77" t="inlineStr">
        <is>
          <t>Business School page undated; only a 2016/17 catalogue extract seen (three-week format then); a 'current' catalogue URL appeared but no extract; client sector not stated.</t>
        </is>
      </c>
      <c r="AN142" s="77" t="inlineStr"/>
      <c r="AO142" s="77" t="inlineStr">
        <is>
          <t>UK</t>
        </is>
      </c>
      <c r="AP142" s="77" t="inlineStr">
        <is>
          <t>UK – Russell Group</t>
        </is>
      </c>
      <c r="AQ142" s="77" t="inlineStr">
        <is>
          <t>~1 term/semester</t>
        </is>
      </c>
      <c r="AR142" s="77" t="inlineStr">
        <is>
          <t>All/standard</t>
        </is>
      </c>
      <c r="AS142" s="77" t="inlineStr"/>
    </row>
    <row r="143">
      <c r="A143" s="77" t="inlineStr">
        <is>
          <t>RG06</t>
        </is>
      </c>
      <c r="B143" s="77" t="inlineStr">
        <is>
          <t>Edinburgh</t>
        </is>
      </c>
      <c r="C143" s="77" t="inlineStr">
        <is>
          <t>Programme/course</t>
        </is>
      </c>
      <c r="D143" s="77" t="inlineStr">
        <is>
          <t>RG06-S09</t>
        </is>
      </c>
      <c r="E143" s="77" t="inlineStr"/>
      <c r="F143" s="77" t="inlineStr">
        <is>
          <t>No</t>
        </is>
      </c>
      <c r="G143" s="79" t="inlineStr">
        <is>
          <t>MBA Charity Consultancy Week</t>
        </is>
      </c>
      <c r="H143" s="77" t="inlineStr">
        <is>
          <t>MBA Charity Consultancy Week</t>
        </is>
      </c>
      <c r="I143" s="77" t="inlineStr"/>
      <c r="J143" s="77" t="inlineStr">
        <is>
          <t>During the last week of October MBA students work in small teams on a problem facing one charity and present in person; the presentation forms the consultancy report. Charities submit proposals by mid-August and the School assigns teams in early October.</t>
        </is>
      </c>
      <c r="K143" s="77" t="inlineStr">
        <is>
          <t>University of Edinburgh Business School</t>
        </is>
      </c>
      <c r="L143" s="77" t="inlineStr">
        <is>
          <t>MBA</t>
        </is>
      </c>
      <c r="M143" s="77" t="inlineStr">
        <is>
          <t>Business/management</t>
        </is>
      </c>
      <c r="N143" s="77" t="inlineStr">
        <is>
          <t>Postgraduate taught</t>
        </is>
      </c>
      <c r="O143" s="77" t="inlineStr">
        <is>
          <t>MBA</t>
        </is>
      </c>
      <c r="P143" s="77" t="inlineStr">
        <is>
          <t>MBA students</t>
        </is>
      </c>
      <c r="Q143" s="77" t="inlineStr">
        <is>
          <t>Unclear</t>
        </is>
      </c>
      <c r="R143" s="77" t="inlineStr">
        <is>
          <t>Curricular</t>
        </is>
      </c>
      <c r="S143" s="77" t="inlineStr">
        <is>
          <t>Not stated</t>
        </is>
      </c>
      <c r="T143" s="77" t="inlineStr">
        <is>
          <t>One week (last week of October)</t>
        </is>
      </c>
      <c r="U143" s="77" t="inlineStr">
        <is>
          <t>Intensive team consultancy</t>
        </is>
      </c>
      <c r="V143" s="77" t="inlineStr">
        <is>
          <t>Yes</t>
        </is>
      </c>
      <c r="W143" s="77" t="inlineStr">
        <is>
          <t>Defined charity problem with consultancy report/presentation (src 1).</t>
        </is>
      </c>
      <c r="X143" s="77" t="inlineStr">
        <is>
          <t>Yes</t>
        </is>
      </c>
      <c r="Y143" s="77" t="inlineStr">
        <is>
          <t>'Small groups' on a specific charity (src 1).</t>
        </is>
      </c>
      <c r="Z143" s="77" t="inlineStr">
        <is>
          <t>Yes</t>
        </is>
      </c>
      <c r="AA143" s="77" t="inlineStr">
        <is>
          <t>Charities submit proposals and receive the presentation (src 1).</t>
        </is>
      </c>
      <c r="AB143" s="77" t="inlineStr">
        <is>
          <t>Charity/community</t>
        </is>
      </c>
      <c r="AC143" s="77" t="inlineStr">
        <is>
          <t>Supply problem; receive presentation</t>
        </is>
      </c>
      <c r="AD143" s="77" t="inlineStr"/>
      <c r="AE143" s="77" t="inlineStr">
        <is>
          <t>In-person presentation constituting consultancy report</t>
        </is>
      </c>
      <c r="AF143" s="77">
        <f>IF(OR(V143="No",X143="No",Z143="No"),"Outside strict definition",IF(AND(V143="Yes",X143="Yes",Z143="Yes"),"Meets all three","Potentially relevant; evidence incomplete"))</f>
        <v/>
      </c>
      <c r="AG143" s="77" t="inlineStr">
        <is>
          <t>Current status unclear</t>
        </is>
      </c>
      <c r="AH143" s="77" t="inlineStr"/>
      <c r="AI143" s="77" t="inlineStr">
        <is>
          <t>Yes</t>
        </is>
      </c>
      <c r="AJ143" s="77">
        <f>IF(AND(AI143="Yes",AF143="Meets all three",AG143="Current delivery confirmed"),"Yes","No")</f>
        <v/>
      </c>
      <c r="AK143" s="77" t="inlineStr"/>
      <c r="AL143" s="77" t="inlineStr">
        <is>
          <t>RG06-S09-R1</t>
        </is>
      </c>
      <c r="AM143" s="77" t="inlineStr">
        <is>
          <t>Page undated; credit/compulsory status unknown.</t>
        </is>
      </c>
      <c r="AN143" s="77" t="inlineStr"/>
      <c r="AO143" s="77" t="inlineStr">
        <is>
          <t>UK</t>
        </is>
      </c>
      <c r="AP143" s="77" t="inlineStr">
        <is>
          <t>UK – Russell Group</t>
        </is>
      </c>
      <c r="AQ143" s="77" t="inlineStr">
        <is>
          <t>1 week</t>
        </is>
      </c>
      <c r="AR143" s="77" t="inlineStr">
        <is>
          <t>All/standard</t>
        </is>
      </c>
      <c r="AS143" s="77" t="inlineStr"/>
    </row>
    <row r="144">
      <c r="A144" s="77" t="inlineStr">
        <is>
          <t>RG06</t>
        </is>
      </c>
      <c r="B144" s="77" t="inlineStr">
        <is>
          <t>Edinburgh</t>
        </is>
      </c>
      <c r="C144" s="77" t="inlineStr">
        <is>
          <t>Programme/course</t>
        </is>
      </c>
      <c r="D144" s="77" t="inlineStr">
        <is>
          <t>RG06-S10</t>
        </is>
      </c>
      <c r="E144" s="77" t="inlineStr"/>
      <c r="F144" s="77" t="inlineStr">
        <is>
          <t>No</t>
        </is>
      </c>
      <c r="G144" s="79" t="inlineStr">
        <is>
          <t>Client Consulting Project (EFIE11118), MSc Creative Industries</t>
        </is>
      </c>
      <c r="H144" s="77" t="inlineStr">
        <is>
          <t>Client Consulting Project</t>
        </is>
      </c>
      <c r="I144" s="77" t="inlineStr">
        <is>
          <t>EFIE11118</t>
        </is>
      </c>
      <c r="J144" s="77" t="inlineStr">
        <is>
          <t>Student teams apply strategy, law and data literacy to a challenge from a cultural organisation, present to the client and receive client feedback, and submit a team client report (up to 7,000 words, 85%) plus individual peer review (15%).</t>
        </is>
      </c>
      <c r="K144" s="77" t="inlineStr">
        <is>
          <t>Edinburgh Futures Institute</t>
        </is>
      </c>
      <c r="L144" s="77" t="inlineStr">
        <is>
          <t>MSc Creative Industries only</t>
        </is>
      </c>
      <c r="M144" s="77" t="inlineStr">
        <is>
          <t>Arts/humanities/social sciences; Other (law, health, design, architecture…)</t>
        </is>
      </c>
      <c r="N144" s="77" t="inlineStr">
        <is>
          <t>Postgraduate taught</t>
        </is>
      </c>
      <c r="O144" s="77" t="inlineStr">
        <is>
          <t>MSc</t>
        </is>
      </c>
      <c r="P144" s="77" t="inlineStr">
        <is>
          <t>Only students enrolled on Creative Industries (MSc)</t>
        </is>
      </c>
      <c r="Q144" s="77" t="inlineStr">
        <is>
          <t>Compulsory within specified programmes</t>
        </is>
      </c>
      <c r="R144" s="77" t="inlineStr">
        <is>
          <t>Curricular</t>
        </is>
      </c>
      <c r="S144" s="77" t="inlineStr">
        <is>
          <t>10 SCQF credits; 85% team client report, 15% peer review</t>
        </is>
      </c>
      <c r="T144" s="77" t="inlineStr">
        <is>
          <t>Short course (10 credits); length not stated</t>
        </is>
      </c>
      <c r="U144" s="77" t="inlineStr">
        <is>
          <t>Team client consulting</t>
        </is>
      </c>
      <c r="V144" s="77" t="inlineStr">
        <is>
          <t>Yes</t>
        </is>
      </c>
      <c r="W144" s="77" t="inlineStr">
        <is>
          <t>Challenge from a cultural organisation with report (src 1).</t>
        </is>
      </c>
      <c r="X144" s="77" t="inlineStr">
        <is>
          <t>Yes</t>
        </is>
      </c>
      <c r="Y144" s="77" t="inlineStr">
        <is>
          <t>Team client report 85% (src 1).</t>
        </is>
      </c>
      <c r="Z144" s="77" t="inlineStr">
        <is>
          <t>Yes</t>
        </is>
      </c>
      <c r="AA144" s="77" t="inlineStr">
        <is>
          <t>Teams present to the client; client gives feedback on the report (src 1).</t>
        </is>
      </c>
      <c r="AB144" s="77" t="inlineStr">
        <is>
          <t>Unclear</t>
        </is>
      </c>
      <c r="AC144" s="77" t="inlineStr">
        <is>
          <t>Sets challenge; receives presentation and report; gives feedback</t>
        </is>
      </c>
      <c r="AD144" s="77" t="inlineStr"/>
      <c r="AE144" s="77" t="inlineStr">
        <is>
          <t>Team client report and client presentation</t>
        </is>
      </c>
      <c r="AF144" s="77">
        <f>IF(OR(V144="No",X144="No",Z144="No"),"Outside strict definition",IF(AND(V144="Yes",X144="Yes",Z144="Yes"),"Meets all three","Potentially relevant; evidence incomplete"))</f>
        <v/>
      </c>
      <c r="AG144" s="77" t="inlineStr">
        <is>
          <t>Current delivery confirmed</t>
        </is>
      </c>
      <c r="AH144" s="77" t="inlineStr">
        <is>
          <t>2025/26</t>
        </is>
      </c>
      <c r="AI144" s="77" t="inlineStr">
        <is>
          <t>Yes</t>
        </is>
      </c>
      <c r="AJ144" s="77">
        <f>IF(AND(AI144="Yes",AF144="Meets all three",AG144="Current delivery confirmed"),"Yes","No")</f>
        <v/>
      </c>
      <c r="AK144" s="77" t="inlineStr"/>
      <c r="AL144" s="77" t="inlineStr">
        <is>
          <t>RG06-S10-R1</t>
        </is>
      </c>
      <c r="AM144" s="77" t="inlineStr">
        <is>
          <t>Client names and sector (charity vs commercial) not seen; duration not stated.</t>
        </is>
      </c>
      <c r="AN144" s="77" t="inlineStr"/>
      <c r="AO144" s="77" t="inlineStr">
        <is>
          <t>UK</t>
        </is>
      </c>
      <c r="AP144" s="77" t="inlineStr">
        <is>
          <t>UK – Russell Group</t>
        </is>
      </c>
      <c r="AQ144" s="77" t="inlineStr">
        <is>
          <t>Unclear</t>
        </is>
      </c>
      <c r="AR144" s="77" t="inlineStr">
        <is>
          <t>All/standard</t>
        </is>
      </c>
      <c r="AS144" s="77" t="inlineStr"/>
    </row>
    <row r="145">
      <c r="A145" s="77" t="inlineStr">
        <is>
          <t>RG06</t>
        </is>
      </c>
      <c r="B145" s="77" t="inlineStr">
        <is>
          <t>Edinburgh</t>
        </is>
      </c>
      <c r="C145" s="77" t="inlineStr">
        <is>
          <t>Programme/course</t>
        </is>
      </c>
      <c r="D145" s="77" t="inlineStr">
        <is>
          <t>RG06-S11</t>
        </is>
      </c>
      <c r="E145" s="77" t="inlineStr"/>
      <c r="F145" s="77" t="inlineStr">
        <is>
          <t>No</t>
        </is>
      </c>
      <c r="G145" s="79" t="inlineStr">
        <is>
          <t>Creative Industries Team Project (EFIE11120)</t>
        </is>
      </c>
      <c r="H145" s="77" t="inlineStr">
        <is>
          <t>Creative Industries Team Project</t>
        </is>
      </c>
      <c r="I145" s="77" t="inlineStr">
        <is>
          <t>EFIE11120</t>
        </is>
      </c>
      <c r="J145" s="77" t="inlineStr">
        <is>
          <t>40-credit summer project for MSc Creative Industries: interdisciplinary teams produce a report on a client's challenge or create a new product, service or event. Clients and student leaders each submit one-page briefs in May; programme director matches teams; findings presented in August.</t>
        </is>
      </c>
      <c r="K145" s="77" t="inlineStr">
        <is>
          <t>Edinburgh Futures Institute</t>
        </is>
      </c>
      <c r="L145" s="77" t="inlineStr">
        <is>
          <t>MSc Creative Industries</t>
        </is>
      </c>
      <c r="M145" s="77" t="inlineStr">
        <is>
          <t>Arts/humanities/social sciences; Other (law, health, design, architecture…)</t>
        </is>
      </c>
      <c r="N145" s="77" t="inlineStr">
        <is>
          <t>Postgraduate taught</t>
        </is>
      </c>
      <c r="O145" s="77" t="inlineStr">
        <is>
          <t>MSc</t>
        </is>
      </c>
      <c r="P145" s="77" t="inlineStr">
        <is>
          <t>Programme students</t>
        </is>
      </c>
      <c r="Q145" s="77" t="inlineStr">
        <is>
          <t>Compulsory within specified programmes</t>
        </is>
      </c>
      <c r="R145" s="77" t="inlineStr">
        <is>
          <t>Curricular</t>
        </is>
      </c>
      <c r="S145" s="77" t="inlineStr">
        <is>
          <t>40 credits; 60% team report, 15% peer review, team presentation</t>
        </is>
      </c>
      <c r="T145" s="77" t="inlineStr">
        <is>
          <t>March/April to mid-late August</t>
        </is>
      </c>
      <c r="U145" s="77" t="inlineStr">
        <is>
          <t>Interdisciplinary teams with supervisors</t>
        </is>
      </c>
      <c r="V145" s="77" t="inlineStr">
        <is>
          <t>Yes</t>
        </is>
      </c>
      <c r="W145" s="77" t="inlineStr">
        <is>
          <t>Team report on client challenge or new product/service/event (src 1).</t>
        </is>
      </c>
      <c r="X145" s="77" t="inlineStr">
        <is>
          <t>Yes</t>
        </is>
      </c>
      <c r="Y145" s="77" t="inlineStr">
        <is>
          <t>Interdisciplinary teams; team report (src 1).</t>
        </is>
      </c>
      <c r="Z145" s="77" t="inlineStr">
        <is>
          <t>Unclear</t>
        </is>
      </c>
      <c r="AA145" s="77" t="inlineStr">
        <is>
          <t>Clients may submit briefs and teams present findings to the client, but projects may alternatively be student-led new products/services/events, so external clients are not shown to be standard (src 1).</t>
        </is>
      </c>
      <c r="AB145" s="77" t="inlineStr">
        <is>
          <t>Unclear</t>
        </is>
      </c>
      <c r="AC145" s="77" t="inlineStr">
        <is>
          <t>Submit briefs where client-led</t>
        </is>
      </c>
      <c r="AD145" s="77" t="inlineStr"/>
      <c r="AE145" s="77" t="inlineStr">
        <is>
          <t>Team project report (max 13,000 words) and presentation</t>
        </is>
      </c>
      <c r="AF145" s="77">
        <f>IF(OR(V145="No",X145="No",Z145="No"),"Outside strict definition",IF(AND(V145="Yes",X145="Yes",Z145="Yes"),"Meets all three","Potentially relevant; evidence incomplete"))</f>
        <v/>
      </c>
      <c r="AG145" s="77" t="inlineStr">
        <is>
          <t>Current delivery confirmed</t>
        </is>
      </c>
      <c r="AH145" s="77" t="inlineStr">
        <is>
          <t>2026/27</t>
        </is>
      </c>
      <c r="AI145" s="77" t="inlineStr">
        <is>
          <t>Yes</t>
        </is>
      </c>
      <c r="AJ145" s="77">
        <f>IF(AND(AI145="Yes",AF145="Meets all three",AG145="Current delivery confirmed"),"Yes","No")</f>
        <v/>
      </c>
      <c r="AK145" s="77" t="inlineStr"/>
      <c r="AL145" s="77" t="inlineStr">
        <is>
          <t>RG06-S11-R1; RG06-S11-R2</t>
        </is>
      </c>
      <c r="AM145" s="77" t="inlineStr">
        <is>
          <t>Share of client-led vs student-led projects; client names; no 2025/26 course page seen (2026/27 programme table lists it as compulsory).</t>
        </is>
      </c>
      <c r="AN145" s="77" t="inlineStr"/>
      <c r="AO145" s="77" t="inlineStr">
        <is>
          <t>UK</t>
        </is>
      </c>
      <c r="AP145" s="77" t="inlineStr">
        <is>
          <t>UK – Russell Group</t>
        </is>
      </c>
      <c r="AQ145" s="77" t="inlineStr">
        <is>
          <t>&gt;1 term</t>
        </is>
      </c>
      <c r="AR145" s="77" t="inlineStr">
        <is>
          <t>Some projects</t>
        </is>
      </c>
      <c r="AS145" s="77" t="inlineStr"/>
    </row>
    <row r="146">
      <c r="A146" s="77" t="inlineStr">
        <is>
          <t>RG06</t>
        </is>
      </c>
      <c r="B146" s="77" t="inlineStr">
        <is>
          <t>Edinburgh</t>
        </is>
      </c>
      <c r="C146" s="77" t="inlineStr">
        <is>
          <t>Programme/course</t>
        </is>
      </c>
      <c r="D146" s="77" t="inlineStr">
        <is>
          <t>RG06-S12</t>
        </is>
      </c>
      <c r="E146" s="77" t="inlineStr"/>
      <c r="F146" s="77" t="inlineStr">
        <is>
          <t>No</t>
        </is>
      </c>
      <c r="G146" s="79" t="inlineStr">
        <is>
          <t>Design with Data (MSc Design Informatics)</t>
        </is>
      </c>
      <c r="H146" s="77" t="inlineStr">
        <is>
          <t>Design with Data</t>
        </is>
      </c>
      <c r="I146" s="77" t="inlineStr">
        <is>
          <t>DESI11025</t>
        </is>
      </c>
      <c r="J146" s="77" t="inlineStr">
        <is>
          <t>Compulsory Design Informatics course in which students in small groups build interactive prototypes; the 2025/26 programme handbook says they work with an external organisation's data. Course catalogue describes a challenge-led experimental construction assessed through group work, without naming a partner.</t>
        </is>
      </c>
      <c r="K146" s="77" t="inlineStr">
        <is>
          <t>School of Informatics / Edinburgh College of Art (Design Informatics)</t>
        </is>
      </c>
      <c r="L146" s="77" t="inlineStr">
        <is>
          <t>MSc Design Informatics (MA route shares courses)</t>
        </is>
      </c>
      <c r="M146" s="77" t="inlineStr">
        <is>
          <t>Engineering/computing; Arts/humanities/social sciences</t>
        </is>
      </c>
      <c r="N146" s="77" t="inlineStr">
        <is>
          <t>Postgraduate taught</t>
        </is>
      </c>
      <c r="O146" s="77" t="inlineStr">
        <is>
          <t>MSc</t>
        </is>
      </c>
      <c r="P146" s="77" t="inlineStr">
        <is>
          <t>Programme students</t>
        </is>
      </c>
      <c r="Q146" s="77" t="inlineStr">
        <is>
          <t>Compulsory within specified programmes</t>
        </is>
      </c>
      <c r="R146" s="77" t="inlineStr">
        <is>
          <t>Curricular</t>
        </is>
      </c>
      <c r="S146" s="77" t="inlineStr">
        <is>
          <t>20 credits; group presentation, digital artefact, portfolio; peer-adjusted group marks</t>
        </is>
      </c>
      <c r="T146" s="77" t="inlineStr">
        <is>
          <t>Semester 2</t>
        </is>
      </c>
      <c r="U146" s="77" t="inlineStr">
        <is>
          <t>Small-group challenge-led studio</t>
        </is>
      </c>
      <c r="V146" s="77" t="inlineStr">
        <is>
          <t>Yes</t>
        </is>
      </c>
      <c r="W146" s="77" t="inlineStr">
        <is>
          <t>Group experimental construction/interactive prototype (src 1, 2).</t>
        </is>
      </c>
      <c r="X146" s="77" t="inlineStr">
        <is>
          <t>Yes</t>
        </is>
      </c>
      <c r="Y146" s="77" t="inlineStr">
        <is>
          <t>'Small groups'; assessment through group work (src 1, 2).</t>
        </is>
      </c>
      <c r="Z146" s="77" t="inlineStr">
        <is>
          <t>Unclear</t>
        </is>
      </c>
      <c r="AA146" s="77" t="inlineStr">
        <is>
          <t>Handbook line says groups work with an external organisation's data (src 1); catalogue pages mention no partner (src 2). Role of the organisation (brief, feedback) not evidenced.</t>
        </is>
      </c>
      <c r="AB146" s="77" t="inlineStr">
        <is>
          <t>Unclear</t>
        </is>
      </c>
      <c r="AC146" s="77" t="inlineStr">
        <is>
          <t>Unclear (provides data per handbook)</t>
        </is>
      </c>
      <c r="AD146" s="77" t="inlineStr"/>
      <c r="AE146" s="77" t="inlineStr">
        <is>
          <t>Interactive prototype / digital artefact, presentation, portfolio</t>
        </is>
      </c>
      <c r="AF146" s="77">
        <f>IF(OR(V146="No",X146="No",Z146="No"),"Outside strict definition",IF(AND(V146="Yes",X146="Yes",Z146="Yes"),"Meets all three","Potentially relevant; evidence incomplete"))</f>
        <v/>
      </c>
      <c r="AG146" s="77" t="inlineStr">
        <is>
          <t>Current delivery confirmed</t>
        </is>
      </c>
      <c r="AH146" s="77" t="inlineStr">
        <is>
          <t>2025/26</t>
        </is>
      </c>
      <c r="AI146" s="77" t="inlineStr">
        <is>
          <t>Yes</t>
        </is>
      </c>
      <c r="AJ146" s="77">
        <f>IF(AND(AI146="Yes",AF146="Meets all three",AG146="Current delivery confirmed"),"Yes","No")</f>
        <v/>
      </c>
      <c r="AK146" s="77" t="inlineStr"/>
      <c r="AL146" s="77" t="inlineStr">
        <is>
          <t>RG06-S12-R1; RG06-S12-R2</t>
        </is>
      </c>
      <c r="AM146" s="77" t="inlineStr">
        <is>
          <t>Identity and role of the external organisation; whether standard each year.</t>
        </is>
      </c>
      <c r="AN146" s="77" t="inlineStr"/>
      <c r="AO146" s="77" t="inlineStr">
        <is>
          <t>UK</t>
        </is>
      </c>
      <c r="AP146" s="77" t="inlineStr">
        <is>
          <t>UK – Russell Group</t>
        </is>
      </c>
      <c r="AQ146" s="77" t="inlineStr">
        <is>
          <t>~1 term/semester</t>
        </is>
      </c>
      <c r="AR146" s="77" t="inlineStr">
        <is>
          <t>Unclear</t>
        </is>
      </c>
      <c r="AS146" s="77" t="inlineStr"/>
    </row>
    <row r="147">
      <c r="A147" s="77" t="inlineStr">
        <is>
          <t>RG06</t>
        </is>
      </c>
      <c r="B147" s="77" t="inlineStr">
        <is>
          <t>Edinburgh</t>
        </is>
      </c>
      <c r="C147" s="77" t="inlineStr">
        <is>
          <t>Cross-faculty</t>
        </is>
      </c>
      <c r="D147" s="77" t="inlineStr">
        <is>
          <t>RG06-S13</t>
        </is>
      </c>
      <c r="E147" s="77" t="inlineStr"/>
      <c r="F147" s="77" t="inlineStr">
        <is>
          <t>No</t>
        </is>
      </c>
      <c r="G147" s="79" t="inlineStr">
        <is>
          <t>National HVDC Centre MSc industry challenge week (Edinburgh Innovations / School of Mathematics)</t>
        </is>
      </c>
      <c r="H147" s="77" t="inlineStr">
        <is>
          <t>HVDC offshore wind network industry challenge</t>
        </is>
      </c>
      <c r="I147" s="77" t="inlineStr"/>
      <c r="J147" s="77" t="inlineStr">
        <is>
          <t>Week-long challenge for MSc students from several disciplines: six interdisciplinary teams addressed a question set by the National HVDC Centre (optimal offshore-wind network under coordinated development); the Centre supplied data and background and a technology manager sat on the judging panel.</t>
        </is>
      </c>
      <c r="K147" s="77" t="inlineStr">
        <is>
          <t>Edinburgh Innovations with School of Mathematics</t>
        </is>
      </c>
      <c r="L147" s="77" t="inlineStr">
        <is>
          <t>MSc students across the University interested in energy sector (50+ participants)</t>
        </is>
      </c>
      <c r="M147" s="77" t="inlineStr">
        <is>
          <t>Science; Engineering/computing; Central provision</t>
        </is>
      </c>
      <c r="N147" s="77" t="inlineStr">
        <is>
          <t>Postgraduate taught</t>
        </is>
      </c>
      <c r="O147" s="77" t="inlineStr">
        <is>
          <t>MSc</t>
        </is>
      </c>
      <c r="P147" s="77" t="inlineStr">
        <is>
          <t>MSc students with energy-sector interest</t>
        </is>
      </c>
      <c r="Q147" s="77" t="inlineStr">
        <is>
          <t>Optional/elective</t>
        </is>
      </c>
      <c r="R147" s="77" t="inlineStr">
        <is>
          <t>Extracurricular</t>
        </is>
      </c>
      <c r="S147" s="77" t="inlineStr">
        <is>
          <t>Not stated</t>
        </is>
      </c>
      <c r="T147" s="77" t="inlineStr">
        <is>
          <t>One week</t>
        </is>
      </c>
      <c r="U147" s="77" t="inlineStr">
        <is>
          <t>Challenge week with pitching training and judging</t>
        </is>
      </c>
      <c r="V147" s="77" t="inlineStr">
        <is>
          <t>Yes</t>
        </is>
      </c>
      <c r="W147" s="77" t="inlineStr">
        <is>
          <t>Defined network design question, solutions pitched (src 1).</t>
        </is>
      </c>
      <c r="X147" s="77" t="inlineStr">
        <is>
          <t>Yes</t>
        </is>
      </c>
      <c r="Y147" s="77" t="inlineStr">
        <is>
          <t>Six interdisciplinary teams (src 1).</t>
        </is>
      </c>
      <c r="Z147" s="77" t="inlineStr">
        <is>
          <t>Yes</t>
        </is>
      </c>
      <c r="AA147" s="77" t="inlineStr">
        <is>
          <t>External centre set the challenge, supplied data and judged (src 1).</t>
        </is>
      </c>
      <c r="AB147" s="77" t="inlineStr">
        <is>
          <t>Business/commercial</t>
        </is>
      </c>
      <c r="AC147" s="77" t="inlineStr">
        <is>
          <t>Set challenge, supply data, judge</t>
        </is>
      </c>
      <c r="AD147" s="77" t="inlineStr">
        <is>
          <t>National HVDC Centre</t>
        </is>
      </c>
      <c r="AE147" s="77" t="inlineStr">
        <is>
          <t>Team solution pitched to panel</t>
        </is>
      </c>
      <c r="AF147" s="77">
        <f>IF(OR(V147="No",X147="No",Z147="No"),"Outside strict definition",IF(AND(V147="Yes",X147="Yes",Z147="Yes"),"Meets all three","Potentially relevant; evidence incomplete"))</f>
        <v/>
      </c>
      <c r="AG147" s="77" t="inlineStr">
        <is>
          <t>Current status unclear</t>
        </is>
      </c>
      <c r="AH147" s="77" t="inlineStr"/>
      <c r="AI147" s="77" t="inlineStr">
        <is>
          <t>Yes</t>
        </is>
      </c>
      <c r="AJ147" s="77">
        <f>IF(AND(AI147="Yes",AF147="Meets all three",AG147="Current delivery confirmed"),"Yes","No")</f>
        <v/>
      </c>
      <c r="AK147" s="77" t="inlineStr">
        <is>
          <t>More than 50 students, six teams (undated event)</t>
        </is>
      </c>
      <c r="AL147" s="77" t="inlineStr">
        <is>
          <t>RG06-S13-R1</t>
        </is>
      </c>
      <c r="AM147" s="77" t="inlineStr">
        <is>
          <t>Article undated (search result indicated roughly two years old); no evidence of repeat. Whether HVDC Centre is wholly external (hosted by industry operators) not verified; sector typed Business/commercial provisionally.</t>
        </is>
      </c>
      <c r="AN147" s="77" t="inlineStr"/>
      <c r="AO147" s="77" t="inlineStr">
        <is>
          <t>UK</t>
        </is>
      </c>
      <c r="AP147" s="77" t="inlineStr">
        <is>
          <t>UK – Russell Group</t>
        </is>
      </c>
      <c r="AQ147" s="77" t="inlineStr">
        <is>
          <t>1 week</t>
        </is>
      </c>
      <c r="AR147" s="77" t="inlineStr">
        <is>
          <t>All/standard</t>
        </is>
      </c>
      <c r="AS147" s="77" t="inlineStr"/>
    </row>
    <row r="148">
      <c r="A148" s="77" t="inlineStr">
        <is>
          <t>RG06</t>
        </is>
      </c>
      <c r="B148" s="77" t="inlineStr">
        <is>
          <t>Edinburgh</t>
        </is>
      </c>
      <c r="C148" s="77" t="inlineStr">
        <is>
          <t>Programme/course</t>
        </is>
      </c>
      <c r="D148" s="77" t="inlineStr">
        <is>
          <t>RG06-S14</t>
        </is>
      </c>
      <c r="E148" s="77" t="inlineStr"/>
      <c r="F148" s="77" t="inlineStr">
        <is>
          <t>No</t>
        </is>
      </c>
      <c r="G148" s="79" t="inlineStr">
        <is>
          <t>LLM Human Rights Clinic (LLM in Human Rights)</t>
        </is>
      </c>
      <c r="H148" s="77" t="inlineStr">
        <is>
          <t>Human Rights Clinic</t>
        </is>
      </c>
      <c r="I148" s="77" t="inlineStr"/>
      <c r="J148" s="77" t="inlineStr">
        <is>
          <t>20-credit clinic element of the LLM in Human Rights in which student groups research and write reports with external partners, notably Together (Scottish Alliance for Children's Rights), presenting findings to Scottish Government and children's-rights organisations (UNCRC case-law 2020; child rights budgeting; child rights impact assessments 2024; babies' access to justice 2025).</t>
        </is>
      </c>
      <c r="K148" s="77" t="inlineStr">
        <is>
          <t>Edinburgh Law School</t>
        </is>
      </c>
      <c r="L148" s="77" t="inlineStr">
        <is>
          <t>LLM Human Rights</t>
        </is>
      </c>
      <c r="M148" s="77" t="inlineStr">
        <is>
          <t>Other (law, health, design, architecture…); Arts/humanities/social sciences</t>
        </is>
      </c>
      <c r="N148" s="77" t="inlineStr">
        <is>
          <t>Postgraduate taught</t>
        </is>
      </c>
      <c r="O148" s="77" t="inlineStr">
        <is>
          <t>LLM</t>
        </is>
      </c>
      <c r="P148" s="77" t="inlineStr">
        <is>
          <t>Programme students</t>
        </is>
      </c>
      <c r="Q148" s="77" t="inlineStr">
        <is>
          <t>Unclear</t>
        </is>
      </c>
      <c r="R148" s="77" t="inlineStr">
        <is>
          <t>Curricular</t>
        </is>
      </c>
      <c r="S148" s="77" t="inlineStr">
        <is>
          <t>20 credits</t>
        </is>
      </c>
      <c r="T148" s="77" t="inlineStr">
        <is>
          <t>Unclear (academic year cohorts)</t>
        </is>
      </c>
      <c r="U148" s="77" t="inlineStr">
        <is>
          <t>Practical research clinic with presentations</t>
        </is>
      </c>
      <c r="V148" s="77" t="inlineStr">
        <is>
          <t>Yes</t>
        </is>
      </c>
      <c r="W148" s="77" t="inlineStr">
        <is>
          <t>Research reports with launch/presentations (src 1-3).</t>
        </is>
      </c>
      <c r="X148" s="77" t="inlineStr">
        <is>
          <t>Yes</t>
        </is>
      </c>
      <c r="Y148" s="77" t="inlineStr">
        <is>
          <t>Group of four students presented 2020 findings; five students presented a child rights budgeting report (src 1, 3).</t>
        </is>
      </c>
      <c r="Z148" s="77" t="inlineStr">
        <is>
          <t>Yes</t>
        </is>
      </c>
      <c r="AA148" s="77" t="inlineStr">
        <is>
          <t>Work done in partnership with Together to support its advocacy; findings fed Together's UN consultation response; presentations to Scottish Government and rights organisations (src 1-3).</t>
        </is>
      </c>
      <c r="AB148" s="77" t="inlineStr">
        <is>
          <t>Charity/community</t>
        </is>
      </c>
      <c r="AC148" s="77" t="inlineStr">
        <is>
          <t>Partner commissions/uses research; audiences include Scottish Government</t>
        </is>
      </c>
      <c r="AD148" s="77" t="inlineStr">
        <is>
          <t>Together (Scottish Alliance for Children's Rights) (2020, 2024, 2025)</t>
        </is>
      </c>
      <c r="AE148" s="77" t="inlineStr">
        <is>
          <t>Research report and presentation</t>
        </is>
      </c>
      <c r="AF148" s="77">
        <f>IF(OR(V148="No",X148="No",Z148="No"),"Outside strict definition",IF(AND(V148="Yes",X148="Yes",Z148="Yes"),"Meets all three","Potentially relevant; evidence incomplete"))</f>
        <v/>
      </c>
      <c r="AG148" s="77" t="inlineStr">
        <is>
          <t>Current delivery confirmed</t>
        </is>
      </c>
      <c r="AH148" s="77" t="inlineStr">
        <is>
          <t>2025</t>
        </is>
      </c>
      <c r="AI148" s="77" t="inlineStr">
        <is>
          <t>Yes</t>
        </is>
      </c>
      <c r="AJ148" s="77">
        <f>IF(AND(AI148="Yes",AF148="Meets all three",AG148="Current delivery confirmed"),"Yes","No")</f>
        <v/>
      </c>
      <c r="AK148" s="77" t="inlineStr"/>
      <c r="AL148" s="77" t="inlineStr">
        <is>
          <t>RG06-S14-R1; RG06-S14-R2; RG06-S14-R3</t>
        </is>
      </c>
      <c r="AM148" s="77" t="inlineStr">
        <is>
          <t>Whether every clinic project has an external partner is inferred from cohorts 2020, 2024, 2025; compulsory/option status not seen; 2025 item not tied to an academic year.</t>
        </is>
      </c>
      <c r="AN148" s="77" t="inlineStr"/>
      <c r="AO148" s="77" t="inlineStr">
        <is>
          <t>UK</t>
        </is>
      </c>
      <c r="AP148" s="77" t="inlineStr">
        <is>
          <t>UK – Russell Group</t>
        </is>
      </c>
      <c r="AQ148" s="77" t="inlineStr">
        <is>
          <t>Unclear</t>
        </is>
      </c>
      <c r="AR148" s="77" t="inlineStr">
        <is>
          <t>All/standard</t>
        </is>
      </c>
      <c r="AS148" s="77" t="inlineStr"/>
    </row>
    <row r="149">
      <c r="A149" s="77" t="inlineStr">
        <is>
          <t>RG06</t>
        </is>
      </c>
      <c r="B149" s="77" t="inlineStr">
        <is>
          <t>Edinburgh</t>
        </is>
      </c>
      <c r="C149" s="77" t="inlineStr">
        <is>
          <t>Programme/course</t>
        </is>
      </c>
      <c r="D149" s="77" t="inlineStr">
        <is>
          <t>RG06-S15</t>
        </is>
      </c>
      <c r="E149" s="77" t="inlineStr"/>
      <c r="F149" s="77" t="inlineStr">
        <is>
          <t>No</t>
        </is>
      </c>
      <c r="G149" s="79" t="inlineStr">
        <is>
          <t>Freedom of Expression Law Clinic (LAWS10190)</t>
        </is>
      </c>
      <c r="H149" s="77" t="inlineStr">
        <is>
          <t>Freedom of Expression Law Clinic</t>
        </is>
      </c>
      <c r="I149" s="77" t="inlineStr">
        <is>
          <t>LAWS10190</t>
        </is>
      </c>
      <c r="J149" s="77" t="inlineStr">
        <is>
          <t>40-credit LLB clinic: final-year students, supervised by practitioners, prepare draft submissions to UN Special Procedures (e.g. petitions for detained bloggers) in collaboration with Media Legal Defence Initiative, Oxford PCMLP and Garden Court Chambers; MLDI filed the petitions.</t>
        </is>
      </c>
      <c r="K149" s="77" t="inlineStr">
        <is>
          <t>Edinburgh Law School</t>
        </is>
      </c>
      <c r="L149" s="77" t="inlineStr">
        <is>
          <t>Final-year LLB (incl. Law and Social Policy, Law and Business)</t>
        </is>
      </c>
      <c r="M149" s="77" t="inlineStr">
        <is>
          <t>Other (law, health, design, architecture…)</t>
        </is>
      </c>
      <c r="N149" s="77" t="inlineStr">
        <is>
          <t>Undergraduate</t>
        </is>
      </c>
      <c r="O149" s="77" t="inlineStr">
        <is>
          <t>Final year</t>
        </is>
      </c>
      <c r="P149" s="77" t="inlineStr">
        <is>
          <t>Final-year LLB</t>
        </is>
      </c>
      <c r="Q149" s="77" t="inlineStr">
        <is>
          <t>Optional/elective</t>
        </is>
      </c>
      <c r="R149" s="77" t="inlineStr">
        <is>
          <t>Curricular</t>
        </is>
      </c>
      <c r="S149" s="77" t="inlineStr">
        <is>
          <t>40 credits</t>
        </is>
      </c>
      <c r="T149" s="77" t="inlineStr">
        <is>
          <t>Unclear</t>
        </is>
      </c>
      <c r="U149" s="77" t="inlineStr">
        <is>
          <t>Supervised clinic</t>
        </is>
      </c>
      <c r="V149" s="77" t="inlineStr">
        <is>
          <t>Yes</t>
        </is>
      </c>
      <c r="W149" s="77" t="inlineStr">
        <is>
          <t>Draft UN petitions as defined outputs (src 1, 2).</t>
        </is>
      </c>
      <c r="X149" s="77" t="inlineStr">
        <is>
          <t>Unclear</t>
        </is>
      </c>
      <c r="Y149" s="77" t="inlineStr">
        <is>
          <t>'Students worked together in the clinic' but joint output vs individual drafts not stated (src 2).</t>
        </is>
      </c>
      <c r="Z149" s="77" t="inlineStr">
        <is>
          <t>Yes</t>
        </is>
      </c>
      <c r="AA149" s="77" t="inlineStr">
        <is>
          <t>NGO partner supervises and files the petitions (src 1, 2).</t>
        </is>
      </c>
      <c r="AB149" s="77" t="inlineStr">
        <is>
          <t>Charity/community</t>
        </is>
      </c>
      <c r="AC149" s="77" t="inlineStr">
        <is>
          <t>Co-supervises; files petitions</t>
        </is>
      </c>
      <c r="AD149" s="77" t="inlineStr">
        <is>
          <t>Media Legal Defence Initiative; Garden Court Chambers (2015-16)</t>
        </is>
      </c>
      <c r="AE149" s="77" t="inlineStr">
        <is>
          <t>Draft submissions to UN Working Group</t>
        </is>
      </c>
      <c r="AF149" s="77">
        <f>IF(OR(V149="No",X149="No",Z149="No"),"Outside strict definition",IF(AND(V149="Yes",X149="Yes",Z149="Yes"),"Meets all three","Potentially relevant; evidence incomplete"))</f>
        <v/>
      </c>
      <c r="AG149" s="77" t="inlineStr">
        <is>
          <t>Current status unclear</t>
        </is>
      </c>
      <c r="AH149" s="77" t="inlineStr">
        <is>
          <t>2015/16</t>
        </is>
      </c>
      <c r="AI149" s="77" t="inlineStr">
        <is>
          <t>Yes</t>
        </is>
      </c>
      <c r="AJ149" s="77">
        <f>IF(AND(AI149="Yes",AF149="Meets all three",AG149="Current delivery confirmed"),"Yes","No")</f>
        <v/>
      </c>
      <c r="AK149" s="77" t="inlineStr"/>
      <c r="AL149" s="77" t="inlineStr">
        <is>
          <t>RG06-S15-R1; RG06-S15-R2; RG06-S15-R3</t>
        </is>
      </c>
      <c r="AM149" s="77" t="inlineStr">
        <is>
          <t>Latest dated evidence is 2015/16; 2026/27 catalogue mentions the '40 credit variant' (LAWS10190) as an exclusion, suggesting it may still run; team structure unclear.</t>
        </is>
      </c>
      <c r="AN149" s="77" t="inlineStr"/>
      <c r="AO149" s="77" t="inlineStr">
        <is>
          <t>UK</t>
        </is>
      </c>
      <c r="AP149" s="77" t="inlineStr">
        <is>
          <t>UK – Russell Group</t>
        </is>
      </c>
      <c r="AQ149" s="77" t="inlineStr">
        <is>
          <t>Unclear</t>
        </is>
      </c>
      <c r="AR149" s="77" t="inlineStr">
        <is>
          <t>Unclear</t>
        </is>
      </c>
      <c r="AS149" s="77" t="inlineStr"/>
    </row>
    <row r="150">
      <c r="A150" s="77" t="inlineStr">
        <is>
          <t>RG06</t>
        </is>
      </c>
      <c r="B150" s="77" t="inlineStr">
        <is>
          <t>Edinburgh</t>
        </is>
      </c>
      <c r="C150" s="77" t="inlineStr">
        <is>
          <t>Programme/course</t>
        </is>
      </c>
      <c r="D150" s="77" t="inlineStr">
        <is>
          <t>RG06-S16</t>
        </is>
      </c>
      <c r="E150" s="77" t="inlineStr"/>
      <c r="F150" s="77" t="inlineStr">
        <is>
          <t>No</t>
        </is>
      </c>
      <c r="G150" s="79" t="inlineStr">
        <is>
          <t>Geoscience Outreach and Engagement (EASC10087)</t>
        </is>
      </c>
      <c r="H150" s="77" t="inlineStr">
        <is>
          <t>Geoscience Outreach and Engagement</t>
        </is>
      </c>
      <c r="I150" s="77" t="inlineStr">
        <is>
          <t>EASC10087</t>
        </is>
      </c>
      <c r="J150" s="77" t="inlineStr">
        <is>
          <t>20-credit course in which students design and carry out an outreach project for an external client (schools, community centres, museums, care homes, conservation groups, City of Edinburgh Council), chosen by the student; outputs include lesson series, videos, apps, workshops.</t>
        </is>
      </c>
      <c r="K150" s="77" t="inlineStr">
        <is>
          <t>School of GeoSciences</t>
        </is>
      </c>
      <c r="L150" s="77" t="inlineStr">
        <is>
          <t>Geology/Physical Geography, Environmental Geoscience; also taken by other programmes</t>
        </is>
      </c>
      <c r="M150" s="77" t="inlineStr">
        <is>
          <t>Science</t>
        </is>
      </c>
      <c r="N150" s="77" t="inlineStr">
        <is>
          <t>Undergraduate</t>
        </is>
      </c>
      <c r="O150" s="77" t="inlineStr">
        <is>
          <t>Level 10 (honours)</t>
        </is>
      </c>
      <c r="P150" s="77" t="inlineStr">
        <is>
          <t>Programme tables; open to some other programmes</t>
        </is>
      </c>
      <c r="Q150" s="77" t="inlineStr">
        <is>
          <t>Optional/elective</t>
        </is>
      </c>
      <c r="R150" s="77" t="inlineStr">
        <is>
          <t>Curricular</t>
        </is>
      </c>
      <c r="S150" s="77" t="inlineStr">
        <is>
          <t>20 credits</t>
        </is>
      </c>
      <c r="T150" s="77" t="inlineStr">
        <is>
          <t>Semester 1 mentoring; project mainly Semester 2</t>
        </is>
      </c>
      <c r="U150" s="77" t="inlineStr">
        <is>
          <t>Student-designed client project</t>
        </is>
      </c>
      <c r="V150" s="77" t="inlineStr">
        <is>
          <t>Yes</t>
        </is>
      </c>
      <c r="W150" s="77" t="inlineStr">
        <is>
          <t>Bespoke outreach project with defined outputs (src 1, 2).</t>
        </is>
      </c>
      <c r="X150" s="77" t="inlineStr">
        <is>
          <t>Unclear</t>
        </is>
      </c>
      <c r="Y150" s="77" t="inlineStr">
        <is>
          <t>Individual vs group projects not stated (src 1, 2).</t>
        </is>
      </c>
      <c r="Z150" s="77" t="inlineStr">
        <is>
          <t>Unclear</t>
        </is>
      </c>
      <c r="AA150" s="77" t="inlineStr">
        <is>
          <t>Students choose audience and client; clients (schools, community groups, council) receive outputs, but selection is student-sourced and external clients not shown to be standard for all (src 1, 2).</t>
        </is>
      </c>
      <c r="AB150" s="77" t="inlineStr">
        <is>
          <t>Charity/community</t>
        </is>
      </c>
      <c r="AC150" s="77" t="inlineStr">
        <is>
          <t>Receive project outputs; some council requests</t>
        </is>
      </c>
      <c r="AD150" s="77" t="inlineStr"/>
      <c r="AE150" s="77" t="inlineStr">
        <is>
          <t>Outreach resources/events for client</t>
        </is>
      </c>
      <c r="AF150" s="77">
        <f>IF(OR(V150="No",X150="No",Z150="No"),"Outside strict definition",IF(AND(V150="Yes",X150="Yes",Z150="Yes"),"Meets all three","Potentially relevant; evidence incomplete"))</f>
        <v/>
      </c>
      <c r="AG150" s="77" t="inlineStr">
        <is>
          <t>Current status unclear</t>
        </is>
      </c>
      <c r="AH150" s="77" t="inlineStr">
        <is>
          <t>2021/22</t>
        </is>
      </c>
      <c r="AI150" s="77" t="inlineStr">
        <is>
          <t>Yes</t>
        </is>
      </c>
      <c r="AJ150" s="77">
        <f>IF(AND(AI150="Yes",AF150="Meets all three",AG150="Current delivery confirmed"),"Yes","No")</f>
        <v/>
      </c>
      <c r="AK150" s="77" t="inlineStr"/>
      <c r="AL150" s="77" t="inlineStr">
        <is>
          <t>RG06-S16-R1; RG06-S16-R2</t>
        </is>
      </c>
      <c r="AM150" s="77" t="inlineStr">
        <is>
          <t>Group vs individual; currency; mix of clients.</t>
        </is>
      </c>
      <c r="AN150" s="77" t="inlineStr"/>
      <c r="AO150" s="77" t="inlineStr">
        <is>
          <t>UK</t>
        </is>
      </c>
      <c r="AP150" s="77" t="inlineStr">
        <is>
          <t>UK – Russell Group</t>
        </is>
      </c>
      <c r="AQ150" s="77" t="inlineStr">
        <is>
          <t>~1 term/semester</t>
        </is>
      </c>
      <c r="AR150" s="77" t="inlineStr">
        <is>
          <t>Some projects</t>
        </is>
      </c>
      <c r="AS150" s="77" t="inlineStr"/>
    </row>
    <row r="151">
      <c r="A151" s="77" t="inlineStr">
        <is>
          <t>RG07</t>
        </is>
      </c>
      <c r="B151" s="77" t="inlineStr">
        <is>
          <t>Exeter</t>
        </is>
      </c>
      <c r="C151" s="77" t="inlineStr">
        <is>
          <t>University-wide</t>
        </is>
      </c>
      <c r="D151" s="77" t="inlineStr">
        <is>
          <t>RG07-S01</t>
        </is>
      </c>
      <c r="E151" s="77" t="inlineStr"/>
      <c r="F151" s="77" t="inlineStr">
        <is>
          <t>No</t>
        </is>
      </c>
      <c r="G151" s="79" t="inlineStr">
        <is>
          <t>Grand Challenges</t>
        </is>
      </c>
      <c r="H151" s="77" t="inlineStr">
        <is>
          <t>Grand Challenges</t>
        </is>
      </c>
      <c r="I151" s="77" t="inlineStr"/>
      <c r="J151" s="77" t="inlineStr">
        <is>
          <t>Annual week-long, non-credit project week for undergraduates. Students choose one themed Challenge (2026 themes include Climate and Environment Emergency, Defence Security and Resilience, Social Inequality, Education Innovation, Mental Health, and a Penryn planetary-health challenge), join an enquiry group and work in interdisciplinary groups of normally 4-8 to design solutions to a real-world problem, presenting to academic experts (Streatham) or a panel of independent experts (Penryn) at the end of the week, with a Forum showcase. Lectures are led by academics and external experts; for some challenges industry experts attend the presentations. No evidence that an external organisation sets the brief or receives/assesses outputs for the standard enquiry groups (the AWS industry-led group is recorded separately as S2).</t>
        </is>
      </c>
      <c r="K151" s="77" t="inlineStr">
        <is>
          <t>Grand Challenges team (central, Education/Student Experience)</t>
        </is>
      </c>
      <c r="L151" s="77" t="inlineStr">
        <is>
          <t>All undergraduate programmes (Streatham and Penryn campuses; Penryn challenge Penryn-only)</t>
        </is>
      </c>
      <c r="M151" s="77" t="inlineStr">
        <is>
          <t>Central provision</t>
        </is>
      </c>
      <c r="N151" s="77" t="inlineStr">
        <is>
          <t>Undergraduate</t>
        </is>
      </c>
      <c r="O151" s="77" t="inlineStr">
        <is>
          <t>Any undergraduate year (FAQ refers to enrolled undergraduates)</t>
        </is>
      </c>
      <c r="P151" s="77" t="inlineStr">
        <is>
          <t>Enrolled University of Exeter undergraduates; one Challenge per student; free as part of tuition</t>
        </is>
      </c>
      <c r="Q151" s="77" t="inlineStr">
        <is>
          <t>Optional/elective</t>
        </is>
      </c>
      <c r="R151" s="77" t="inlineStr">
        <is>
          <t>Extracurricular</t>
        </is>
      </c>
      <c r="S151" s="77" t="inlineStr">
        <is>
          <t>No credit evidenced; final group presentation</t>
        </is>
      </c>
      <c r="T151" s="77" t="inlineStr">
        <is>
          <t>One week (Monday-Friday) in June</t>
        </is>
      </c>
      <c r="U151" s="77" t="inlineStr">
        <is>
          <t>In person, Streatham and Penryn campuses</t>
        </is>
      </c>
      <c r="V151" s="77" t="inlineStr">
        <is>
          <t>Yes</t>
        </is>
      </c>
      <c r="W151" s="77" t="inlineStr">
        <is>
          <t>Groups design innovative solutions to a defined real-world challenge and present ideas to an expert panel [1][2][3].</t>
        </is>
      </c>
      <c r="X151" s="77" t="inlineStr">
        <is>
          <t>Yes</t>
        </is>
      </c>
      <c r="Y151" s="77" t="inlineStr">
        <is>
          <t>'Groups vary in size, and normally contain 4 to 8 people' [1]; interdisciplinary groups [2].</t>
        </is>
      </c>
      <c r="Z151" s="77" t="inlineStr">
        <is>
          <t>Unclear</t>
        </is>
      </c>
      <c r="AA151" s="77" t="inlineStr">
        <is>
          <t>External involvement evidenced only as external-expert lectures, 'independent experts' on the Penryn panel and, for some challenges, industry experts in the audience [2][3]. No source shows external organisations setting briefs, acting as clients or assessing for the standard enquiry groups; external experts as speakers/audience do not satisfy C.</t>
        </is>
      </c>
      <c r="AB151" s="77" t="inlineStr">
        <is>
          <t>Unclear</t>
        </is>
      </c>
      <c r="AC151" s="77" t="inlineStr">
        <is>
          <t>External experts give lectures; independent experts sit on Penryn presentation panel; industry experts sometimes in the audience</t>
        </is>
      </c>
      <c r="AD151" s="77" t="inlineStr"/>
      <c r="AE151" s="77" t="inlineStr">
        <is>
          <t>Group presentation of proposed solution (plus showcase)</t>
        </is>
      </c>
      <c r="AF151" s="77">
        <f>IF(OR(V151="No",X151="No",Z151="No"),"Outside strict definition",IF(AND(V151="Yes",X151="Yes",Z151="Yes"),"Meets all three","Potentially relevant; evidence incomplete"))</f>
        <v/>
      </c>
      <c r="AG151" s="77" t="inlineStr">
        <is>
          <t>Current delivery confirmed</t>
        </is>
      </c>
      <c r="AH151" s="77" t="inlineStr">
        <is>
          <t>2026 (June 2026 challenges, 2025/26)</t>
        </is>
      </c>
      <c r="AI151" s="77" t="inlineStr">
        <is>
          <t>Yes</t>
        </is>
      </c>
      <c r="AJ151" s="77">
        <f>IF(AND(AI151="Yes",AF151="Meets all three",AG151="Current delivery confirmed"),"Yes","No")</f>
        <v/>
      </c>
      <c r="AK151" s="77" t="inlineStr"/>
      <c r="AL151" s="77" t="inlineStr">
        <is>
          <t>RG07-S01-R1; RG07-S01-R2; RG07-S01-R3</t>
        </is>
      </c>
      <c r="AM151" s="77" t="inlineStr">
        <is>
          <t>Whether any enquiry groups besides S2 have external organisations setting briefs; the Grand Challenges home page reportedly lists 7-11 June 2027, while challenge pages are under 'challenges2026' - the 2026 pages are taken as dated evidence of 2025/26 delivery. Participation numbers not found.</t>
        </is>
      </c>
      <c r="AN151" s="77" t="inlineStr">
        <is>
          <t>Grand Challenges</t>
        </is>
      </c>
      <c r="AO151" s="77" t="inlineStr">
        <is>
          <t>UK</t>
        </is>
      </c>
      <c r="AP151" s="77" t="inlineStr">
        <is>
          <t>UK – Russell Group</t>
        </is>
      </c>
      <c r="AQ151" s="77" t="inlineStr">
        <is>
          <t>1–4 weeks</t>
        </is>
      </c>
      <c r="AR151" s="77" t="inlineStr">
        <is>
          <t>Unclear</t>
        </is>
      </c>
      <c r="AS151" s="77" t="inlineStr"/>
    </row>
    <row r="152">
      <c r="A152" s="77" t="inlineStr">
        <is>
          <t>RG07</t>
        </is>
      </c>
      <c r="B152" s="77" t="inlineStr">
        <is>
          <t>Exeter</t>
        </is>
      </c>
      <c r="C152" s="77" t="inlineStr">
        <is>
          <t>University-wide</t>
        </is>
      </c>
      <c r="D152" s="77" t="inlineStr">
        <is>
          <t>RG07-S02</t>
        </is>
      </c>
      <c r="E152" s="77" t="inlineStr"/>
      <c r="F152" s="77" t="inlineStr">
        <is>
          <t>No</t>
        </is>
      </c>
      <c r="G152" s="79" t="inlineStr">
        <is>
          <t>Grand Challenges - Education Innovation: Industry-led Enquiry Group with Amazon Web Services</t>
        </is>
      </c>
      <c r="H152" s="77" t="inlineStr">
        <is>
          <t>Grand Challenges - Education Innovation: Industry-led Enquiry Group with Amazon Web Services</t>
        </is>
      </c>
      <c r="I152" s="77" t="inlineStr"/>
      <c r="J152" s="77" t="inlineStr">
        <is>
          <t>One of five enquiry groups in the 2026 Education Innovation challenge within Grand Challenges week (S1). Students work on solutions to real-world problems 'that organisations like AWS face', applying emerging technologies such as generative AI (no coding required). Linked to the Exeter-AWS strategic collaboration agreement signed July 2025. Group format inherited from Grand Challenges (groups of 4-8).</t>
        </is>
      </c>
      <c r="K152" s="77" t="inlineStr">
        <is>
          <t>Grand Challenges team with Amazon Web Services</t>
        </is>
      </c>
      <c r="L152" s="77" t="inlineStr">
        <is>
          <t>All undergraduates (via Grand Challenges sign-up)</t>
        </is>
      </c>
      <c r="M152" s="77" t="inlineStr">
        <is>
          <t>Central provision</t>
        </is>
      </c>
      <c r="N152" s="77" t="inlineStr">
        <is>
          <t>Undergraduate</t>
        </is>
      </c>
      <c r="O152" s="77" t="inlineStr">
        <is>
          <t>Any</t>
        </is>
      </c>
      <c r="P152" s="77" t="inlineStr">
        <is>
          <t>As S1; one Challenge per student</t>
        </is>
      </c>
      <c r="Q152" s="77" t="inlineStr">
        <is>
          <t>Optional/elective</t>
        </is>
      </c>
      <c r="R152" s="77" t="inlineStr">
        <is>
          <t>Extracurricular</t>
        </is>
      </c>
      <c r="S152" s="77" t="inlineStr">
        <is>
          <t>No credit evidenced</t>
        </is>
      </c>
      <c r="T152" s="77" t="inlineStr">
        <is>
          <t>One week</t>
        </is>
      </c>
      <c r="U152" s="77" t="inlineStr">
        <is>
          <t>In person, Streatham</t>
        </is>
      </c>
      <c r="V152" s="77" t="inlineStr">
        <is>
          <t>Yes</t>
        </is>
      </c>
      <c r="W152" s="77" t="inlineStr">
        <is>
          <t>Students develop solutions to real-world industry problems using emerging technologies [1]; Grand Challenges groups present solutions at end of week [3].</t>
        </is>
      </c>
      <c r="X152" s="77" t="inlineStr">
        <is>
          <t>Yes</t>
        </is>
      </c>
      <c r="Y152" s="77" t="inlineStr">
        <is>
          <t>Grand Challenges FAQ: groups normally 4-8 people (applies to all Challenges) [2].</t>
        </is>
      </c>
      <c r="Z152" s="77" t="inlineStr">
        <is>
          <t>Unclear</t>
        </is>
      </c>
      <c r="AA152" s="77" t="inlineStr">
        <is>
          <t>Labelled 'Industry-led Enquiry Group with Amazon Web Services' [1], implying AWS leads/frames the group, but the extract says problems 'that organisations like AWS face' and does not state that AWS sets a specific brief, mentors, receives outputs or judges. Exeter-AWS strategic agreement (2025) confirms the corporate relationship [4] but not the specific role in this group.</t>
        </is>
      </c>
      <c r="AB152" s="77" t="inlineStr">
        <is>
          <t>Business/commercial</t>
        </is>
      </c>
      <c r="AC152" s="77" t="inlineStr">
        <is>
          <t>Industry lead of an enquiry group (exact role not evidenced)</t>
        </is>
      </c>
      <c r="AD152" s="77" t="inlineStr">
        <is>
          <t>Amazon Web Services (2026)</t>
        </is>
      </c>
      <c r="AE152" s="77" t="inlineStr">
        <is>
          <t>Group presentation of proposed solution</t>
        </is>
      </c>
      <c r="AF152" s="77">
        <f>IF(OR(V152="No",X152="No",Z152="No"),"Outside strict definition",IF(AND(V152="Yes",X152="Yes",Z152="Yes"),"Meets all three","Potentially relevant; evidence incomplete"))</f>
        <v/>
      </c>
      <c r="AG152" s="77" t="inlineStr">
        <is>
          <t>Current delivery confirmed</t>
        </is>
      </c>
      <c r="AH152" s="77" t="inlineStr">
        <is>
          <t>2026</t>
        </is>
      </c>
      <c r="AI152" s="77" t="inlineStr">
        <is>
          <t>Yes</t>
        </is>
      </c>
      <c r="AJ152" s="77">
        <f>IF(AND(AI152="Yes",AF152="Meets all three",AG152="Current delivery confirmed"),"Yes","No")</f>
        <v/>
      </c>
      <c r="AK152" s="77" t="inlineStr"/>
      <c r="AL152" s="77" t="inlineStr">
        <is>
          <t>RG07-S02-R1; RG07-S02-R2; RG07-S02-R3; RG07-S02-R4</t>
        </is>
      </c>
      <c r="AM152" s="77" t="inlineStr">
        <is>
          <t>AWS's concrete role (brief-setting, mentoring, judging) and whether this group is repeated in 2027.</t>
        </is>
      </c>
      <c r="AN152" s="77" t="inlineStr"/>
      <c r="AO152" s="77" t="inlineStr">
        <is>
          <t>UK</t>
        </is>
      </c>
      <c r="AP152" s="77" t="inlineStr">
        <is>
          <t>UK – Russell Group</t>
        </is>
      </c>
      <c r="AQ152" s="77" t="inlineStr">
        <is>
          <t>1–4 weeks</t>
        </is>
      </c>
      <c r="AR152" s="77" t="inlineStr">
        <is>
          <t>Unclear</t>
        </is>
      </c>
      <c r="AS152" s="77" t="inlineStr"/>
    </row>
    <row r="153">
      <c r="A153" s="77" t="inlineStr">
        <is>
          <t>RG07</t>
        </is>
      </c>
      <c r="B153" s="77" t="inlineStr">
        <is>
          <t>Exeter</t>
        </is>
      </c>
      <c r="C153" s="77" t="inlineStr">
        <is>
          <t>University-wide</t>
        </is>
      </c>
      <c r="D153" s="77" t="inlineStr">
        <is>
          <t>RG07-S03</t>
        </is>
      </c>
      <c r="E153" s="77" t="inlineStr"/>
      <c r="F153" s="77" t="inlineStr">
        <is>
          <t>No</t>
        </is>
      </c>
      <c r="G153" s="79" t="inlineStr">
        <is>
          <t>Future17</t>
        </is>
      </c>
      <c r="H153" s="77" t="inlineStr">
        <is>
          <t>Future17</t>
        </is>
      </c>
      <c r="I153" s="77" t="inlineStr">
        <is>
          <t>BEP3172 (credit route via APEL)</t>
        </is>
      </c>
      <c r="J153" s="77" t="inlineStr">
        <is>
          <t>12-week online programme run by Exeter with QS (Future17 consortium of 12 universities). After a 4-week induction, students spend 8 weeks in international, interdisciplinary teams (typically 6-8, drawn from at least two partner universities) working on a sustainability (SDG) challenge set by a Challenge Partner (business, charity, NGO), with an academic mentor; assessed on a group report (or equivalent) and an online group presentation to an expert panel including a representative of the challenge partner.</t>
        </is>
      </c>
      <c r="K153" s="77" t="inlineStr">
        <is>
          <t>Global Classrooms / Future17 team with QS</t>
        </is>
      </c>
      <c r="L153" s="77" t="inlineStr">
        <is>
          <t>All programmes, all campuses (UG excluding first years; PGT)</t>
        </is>
      </c>
      <c r="M153" s="77" t="inlineStr">
        <is>
          <t>Central provision</t>
        </is>
      </c>
      <c r="N153" s="77" t="inlineStr">
        <is>
          <t>Mixed</t>
        </is>
      </c>
      <c r="O153" s="77" t="inlineStr">
        <is>
          <t>UG year 2+ and PGT</t>
        </is>
      </c>
      <c r="P153" s="77" t="inlineStr">
        <is>
          <t>Undergraduates except first years, and postgraduate taught students, all campuses; once only per student; competitive limited places; credit route subject to available optional credit and programme rules</t>
        </is>
      </c>
      <c r="Q153" s="77" t="inlineStr">
        <is>
          <t>Selective/competitive</t>
        </is>
      </c>
      <c r="R153" s="77" t="inlineStr">
        <is>
          <t>Mixed</t>
        </is>
      </c>
      <c r="S153" s="77" t="inlineStr">
        <is>
          <t>Optional 15 credits at level 6 via APEL (module BEP3172) replacing an optional module, or non-credit route with QS certificate. Assessed on group project output and group presentation [1][3].</t>
        </is>
      </c>
      <c r="T153" s="77" t="inlineStr">
        <is>
          <t>12 weeks (4-week induction + 8 weeks team project)</t>
        </is>
      </c>
      <c r="U153" s="77" t="inlineStr">
        <is>
          <t>Online, international teams</t>
        </is>
      </c>
      <c r="V153" s="77" t="inlineStr">
        <is>
          <t>Yes</t>
        </is>
      </c>
      <c r="W153" s="77" t="inlineStr">
        <is>
          <t>Teams address a defined partner-set sustainability challenge producing a report (or equivalent) and presentation [1][2].</t>
        </is>
      </c>
      <c r="X153" s="77" t="inlineStr">
        <is>
          <t>Yes</t>
        </is>
      </c>
      <c r="Y153" s="77" t="inlineStr">
        <is>
          <t>Small groups of typically 6-8 students from at least two partner universities; group project output and group presentation [1].</t>
        </is>
      </c>
      <c r="Z153" s="77" t="inlineStr">
        <is>
          <t>Yes</t>
        </is>
      </c>
      <c r="AA153" s="77" t="inlineStr">
        <is>
          <t>Challenge Partner outlines the challenge, provides context and potentially data; assessment panel includes a representative of the partner that set the challenge [1]; 31 organisations provided 44 challenges in a recent round [2].</t>
        </is>
      </c>
      <c r="AB153" s="77" t="inlineStr">
        <is>
          <t>Mixed</t>
        </is>
      </c>
      <c r="AC153" s="77" t="inlineStr">
        <is>
          <t>Sets challenge brief, provides context/data, sits on assessment panel</t>
        </is>
      </c>
      <c r="AD153" s="77" t="inlineStr">
        <is>
          <t>CapGemini; T-Hues (Sri Lanka) (cohort reported in news c.2025)</t>
        </is>
      </c>
      <c r="AE153" s="77" t="inlineStr">
        <is>
          <t>Group report (or equivalent) and online group presentation</t>
        </is>
      </c>
      <c r="AF153" s="77">
        <f>IF(OR(V153="No",X153="No",Z153="No"),"Outside strict definition",IF(AND(V153="Yes",X153="Yes",Z153="Yes"),"Meets all three","Potentially relevant; evidence incomplete"))</f>
        <v/>
      </c>
      <c r="AG153" s="77" t="inlineStr">
        <is>
          <t>Current status unclear</t>
        </is>
      </c>
      <c r="AH153" s="77" t="inlineStr">
        <is>
          <t>2024/25</t>
        </is>
      </c>
      <c r="AI153" s="77" t="inlineStr">
        <is>
          <t>Yes</t>
        </is>
      </c>
      <c r="AJ153" s="77">
        <f>IF(AND(AI153="Yes",AF153="Meets all three",AG153="Current delivery confirmed"),"Yes","No")</f>
        <v/>
      </c>
      <c r="AK153" s="77" t="inlineStr">
        <is>
          <t>About 50 Exeter students graduated in the cohort reported (c.2024/25), c.300 worldwide [2]</t>
        </is>
      </c>
      <c r="AL153" s="77" t="inlineStr">
        <is>
          <t>RG07-S03-R1; RG07-S03-R2; RG07-S03-R3</t>
        </is>
      </c>
      <c r="AM153" s="77" t="inlineStr">
        <is>
          <t>No dated 2025/26 or 2026/27 call/cohort found (search budget exhausted); module page is 2024/5; graduation news dated c. spring 2025 from search metadata. Attribution of partner-role text among Future17 pages not fully explicit. Exeter news refers to an 8th cohort (nearly 240 students since 2022) but date not confirmed in search; stays status unclear.</t>
        </is>
      </c>
      <c r="AN153" s="77" t="inlineStr">
        <is>
          <t>Future17</t>
        </is>
      </c>
      <c r="AO153" s="77" t="inlineStr">
        <is>
          <t>UK</t>
        </is>
      </c>
      <c r="AP153" s="77" t="inlineStr">
        <is>
          <t>UK – Russell Group</t>
        </is>
      </c>
      <c r="AQ153" s="77" t="inlineStr">
        <is>
          <t>~1 term/semester</t>
        </is>
      </c>
      <c r="AR153" s="77" t="inlineStr">
        <is>
          <t>All/standard</t>
        </is>
      </c>
      <c r="AS153" s="77" t="inlineStr"/>
    </row>
    <row r="154">
      <c r="A154" s="77" t="inlineStr">
        <is>
          <t>RG07</t>
        </is>
      </c>
      <c r="B154" s="77" t="inlineStr">
        <is>
          <t>Exeter</t>
        </is>
      </c>
      <c r="C154" s="77" t="inlineStr">
        <is>
          <t>Programme/course</t>
        </is>
      </c>
      <c r="D154" s="77" t="inlineStr">
        <is>
          <t>RG07-S04</t>
        </is>
      </c>
      <c r="E154" s="77" t="inlineStr"/>
      <c r="F154" s="77" t="inlineStr">
        <is>
          <t>No</t>
        </is>
      </c>
      <c r="G154" s="79" t="inlineStr">
        <is>
          <t>Business Project (MSc Management)</t>
        </is>
      </c>
      <c r="H154" s="77" t="inlineStr">
        <is>
          <t>Business Project (MSc Management)</t>
        </is>
      </c>
      <c r="I154" s="77" t="inlineStr">
        <is>
          <t>BEMM149</t>
        </is>
      </c>
      <c r="J154" s="77" t="inlineStr">
        <is>
          <t>Compulsory 30-credit module on MSc Management. Students work in a group consultancy team on a real organisational problem taken from a partner organisation's research brief, from design through investigation, delivering findings and recommendations to the partner in a report and presentation; module lead assists liaison with the partner.</t>
        </is>
      </c>
      <c r="K154" s="77" t="inlineStr">
        <is>
          <t>University of Exeter Business School</t>
        </is>
      </c>
      <c r="L154" s="77" t="inlineStr">
        <is>
          <t>MSc Management</t>
        </is>
      </c>
      <c r="M154" s="77" t="inlineStr">
        <is>
          <t>Business/management</t>
        </is>
      </c>
      <c r="N154" s="77" t="inlineStr">
        <is>
          <t>Postgraduate taught</t>
        </is>
      </c>
      <c r="O154" s="77" t="inlineStr">
        <is>
          <t>PGT</t>
        </is>
      </c>
      <c r="P154" s="77" t="inlineStr">
        <is>
          <t>MSc Management students only</t>
        </is>
      </c>
      <c r="Q154" s="77" t="inlineStr">
        <is>
          <t>Compulsory within specified programmes</t>
        </is>
      </c>
      <c r="R154" s="77" t="inlineStr">
        <is>
          <t>Curricular</t>
        </is>
      </c>
      <c r="S154" s="77" t="inlineStr">
        <is>
          <t>30 credits; report and presentation</t>
        </is>
      </c>
      <c r="T154" s="77" t="inlineStr">
        <is>
          <t>Not stated</t>
        </is>
      </c>
      <c r="U154" s="77" t="inlineStr">
        <is>
          <t>In person</t>
        </is>
      </c>
      <c r="V154" s="77" t="inlineStr">
        <is>
          <t>Yes</t>
        </is>
      </c>
      <c r="W154" s="77" t="inlineStr">
        <is>
          <t>Consultancy project on a partner-specified challenge with report and presentation [1].</t>
        </is>
      </c>
      <c r="X154" s="77" t="inlineStr">
        <is>
          <t>Yes</t>
        </is>
      </c>
      <c r="Y154" s="77" t="inlineStr">
        <is>
          <t>Students 'work in a team'/group consultancy team [1].</t>
        </is>
      </c>
      <c r="Z154" s="77" t="inlineStr">
        <is>
          <t>Yes</t>
        </is>
      </c>
      <c r="AA154" s="77" t="inlineStr">
        <is>
          <t>Partner organisation supplies the research brief/challenge, receives findings and recommendations (report and presentation); module lead liaises with the partner [1].</t>
        </is>
      </c>
      <c r="AB154" s="77" t="inlineStr">
        <is>
          <t>Unclear</t>
        </is>
      </c>
      <c r="AC154" s="77" t="inlineStr">
        <is>
          <t>Supplies brief; client receiving report and presentation</t>
        </is>
      </c>
      <c r="AD154" s="77" t="inlineStr"/>
      <c r="AE154" s="77" t="inlineStr">
        <is>
          <t>Consultancy report and presentation to partner</t>
        </is>
      </c>
      <c r="AF154" s="77">
        <f>IF(OR(V154="No",X154="No",Z154="No"),"Outside strict definition",IF(AND(V154="Yes",X154="Yes",Z154="Yes"),"Meets all three","Potentially relevant; evidence incomplete"))</f>
        <v/>
      </c>
      <c r="AG154" s="77" t="inlineStr">
        <is>
          <t>Current delivery confirmed</t>
        </is>
      </c>
      <c r="AH154" s="77" t="inlineStr">
        <is>
          <t>2025/26</t>
        </is>
      </c>
      <c r="AI154" s="77" t="inlineStr">
        <is>
          <t>Yes</t>
        </is>
      </c>
      <c r="AJ154" s="77">
        <f>IF(AND(AI154="Yes",AF154="Meets all three",AG154="Current delivery confirmed"),"Yes","No")</f>
        <v/>
      </c>
      <c r="AK154" s="77" t="inlineStr"/>
      <c r="AL154" s="77" t="inlineStr">
        <is>
          <t>RG07-S04-R1; RG07-S04-R2</t>
        </is>
      </c>
      <c r="AM154" s="77" t="inlineStr">
        <is>
          <t>Programme page is un-yeared (other Exeter pages show 2027 entry); no dated 2025/26-2026/27 module page retrieved. An old ELE listing shows a 2019-20 BEMM149 instance under 'For Deletion' (routine archive). Partner sectors not evidenced. Current status corroborated only by an ELE (Moodle) catalogue entry "Business Project (BEMM149_A_12_202526)" seen in a search result (https://ele.exeter.ac.uk/course/index.php?categoryid=667); no client names for 2025/26.</t>
        </is>
      </c>
      <c r="AN154" s="77" t="inlineStr"/>
      <c r="AO154" s="77" t="inlineStr">
        <is>
          <t>UK</t>
        </is>
      </c>
      <c r="AP154" s="77" t="inlineStr">
        <is>
          <t>UK – Russell Group</t>
        </is>
      </c>
      <c r="AQ154" s="77" t="inlineStr">
        <is>
          <t>Unclear</t>
        </is>
      </c>
      <c r="AR154" s="77" t="inlineStr">
        <is>
          <t>All/standard</t>
        </is>
      </c>
      <c r="AS154" s="77" t="inlineStr"/>
    </row>
    <row r="155">
      <c r="A155" s="77" t="inlineStr">
        <is>
          <t>RG07</t>
        </is>
      </c>
      <c r="B155" s="77" t="inlineStr">
        <is>
          <t>Exeter</t>
        </is>
      </c>
      <c r="C155" s="77" t="inlineStr">
        <is>
          <t>Programme/course</t>
        </is>
      </c>
      <c r="D155" s="77" t="inlineStr">
        <is>
          <t>RG07-S05</t>
        </is>
      </c>
      <c r="E155" s="77" t="inlineStr"/>
      <c r="F155" s="77" t="inlineStr">
        <is>
          <t>No</t>
        </is>
      </c>
      <c r="G155" s="79" t="inlineStr">
        <is>
          <t>Research and Consultancy Project</t>
        </is>
      </c>
      <c r="H155" s="77" t="inlineStr">
        <is>
          <t>Research and Consultancy Project</t>
        </is>
      </c>
      <c r="I155" s="77" t="inlineStr">
        <is>
          <t>BEMM771</t>
        </is>
      </c>
      <c r="J155" s="77" t="inlineStr">
        <is>
          <t>15-credit master's module (term 2, 10 weeks) in which organised group teams undertake 'real-life' client projects, supported by supervisor sessions that sometimes double as 'client' updating meetings; group report (3,000 words) and 20-minute presentation (60%) plus individual reflective essay (40%). Host programme not identified.</t>
        </is>
      </c>
      <c r="K155" s="77" t="inlineStr">
        <is>
          <t>University of Exeter Business School</t>
        </is>
      </c>
      <c r="L155" s="77" t="inlineStr">
        <is>
          <t>Not identified</t>
        </is>
      </c>
      <c r="M155" s="77" t="inlineStr">
        <is>
          <t>Business/management</t>
        </is>
      </c>
      <c r="N155" s="77" t="inlineStr">
        <is>
          <t>Postgraduate taught</t>
        </is>
      </c>
      <c r="O155" s="77" t="inlineStr"/>
      <c r="P155" s="77" t="inlineStr"/>
      <c r="Q155" s="77" t="inlineStr">
        <is>
          <t>Unclear</t>
        </is>
      </c>
      <c r="R155" s="77" t="inlineStr">
        <is>
          <t>Curricular</t>
        </is>
      </c>
      <c r="S155" s="77" t="inlineStr">
        <is>
          <t>15 credits; group report+presentation 60%, reflective essay 40%</t>
        </is>
      </c>
      <c r="T155" s="77" t="inlineStr">
        <is>
          <t>10 weeks, term 2</t>
        </is>
      </c>
      <c r="U155" s="77" t="inlineStr">
        <is>
          <t>In person</t>
        </is>
      </c>
      <c r="V155" s="77" t="inlineStr">
        <is>
          <t>Yes</t>
        </is>
      </c>
      <c r="W155" s="77" t="inlineStr">
        <is>
          <t>Group project report and presentation on real-life client projects [1].</t>
        </is>
      </c>
      <c r="X155" s="77" t="inlineStr">
        <is>
          <t>Yes</t>
        </is>
      </c>
      <c r="Y155" s="77" t="inlineStr">
        <is>
          <t>Work in organised group teams; group report and presentation [1].</t>
        </is>
      </c>
      <c r="Z155" s="77" t="inlineStr">
        <is>
          <t>Unclear</t>
        </is>
      </c>
      <c r="AA155" s="77" t="inlineStr">
        <is>
          <t>'Real-life projects' with clients stated, but supervisors sometimes act as 'client' in update meetings; external client identity/role not evidenced [1].</t>
        </is>
      </c>
      <c r="AB155" s="77" t="inlineStr">
        <is>
          <t>Unclear</t>
        </is>
      </c>
      <c r="AC155" s="77" t="inlineStr"/>
      <c r="AD155" s="77" t="inlineStr"/>
      <c r="AE155" s="77" t="inlineStr">
        <is>
          <t>Group report and presentation</t>
        </is>
      </c>
      <c r="AF155" s="77">
        <f>IF(OR(V155="No",X155="No",Z155="No"),"Outside strict definition",IF(AND(V155="Yes",X155="Yes",Z155="Yes"),"Meets all three","Potentially relevant; evidence incomplete"))</f>
        <v/>
      </c>
      <c r="AG155" s="77" t="inlineStr">
        <is>
          <t>Historical delivery only</t>
        </is>
      </c>
      <c r="AH155" s="77" t="inlineStr">
        <is>
          <t>2018/19</t>
        </is>
      </c>
      <c r="AI155" s="77" t="inlineStr">
        <is>
          <t>Yes</t>
        </is>
      </c>
      <c r="AJ155" s="77">
        <f>IF(AND(AI155="Yes",AF155="Meets all three",AG155="Current delivery confirmed"),"Yes","No")</f>
        <v/>
      </c>
      <c r="AK155" s="77" t="inlineStr"/>
      <c r="AL155" s="77" t="inlineStr">
        <is>
          <t>RG07-S05-R1</t>
        </is>
      </c>
      <c r="AM155" s="77" t="inlineStr">
        <is>
          <t>Whether module still runs (only 2018/19 spec found) and whether clients are external.</t>
        </is>
      </c>
      <c r="AN155" s="77" t="inlineStr"/>
      <c r="AO155" s="77" t="inlineStr">
        <is>
          <t>UK</t>
        </is>
      </c>
      <c r="AP155" s="77" t="inlineStr">
        <is>
          <t>UK – Russell Group</t>
        </is>
      </c>
      <c r="AQ155" s="77" t="inlineStr">
        <is>
          <t>~1 term/semester</t>
        </is>
      </c>
      <c r="AR155" s="77" t="inlineStr">
        <is>
          <t>Unclear</t>
        </is>
      </c>
      <c r="AS155" s="77" t="inlineStr"/>
    </row>
    <row r="156">
      <c r="A156" s="77" t="inlineStr">
        <is>
          <t>RG07</t>
        </is>
      </c>
      <c r="B156" s="77" t="inlineStr">
        <is>
          <t>Exeter</t>
        </is>
      </c>
      <c r="C156" s="77" t="inlineStr">
        <is>
          <t>Programme/course</t>
        </is>
      </c>
      <c r="D156" s="77" t="inlineStr">
        <is>
          <t>RG07-S06</t>
        </is>
      </c>
      <c r="E156" s="77" t="inlineStr"/>
      <c r="F156" s="77" t="inlineStr">
        <is>
          <t>No</t>
        </is>
      </c>
      <c r="G156" s="79" t="inlineStr">
        <is>
          <t>Practice-Based Consultancy Management</t>
        </is>
      </c>
      <c r="H156" s="77" t="inlineStr">
        <is>
          <t>Practice-Based Consultancy Management</t>
        </is>
      </c>
      <c r="I156" s="77" t="inlineStr">
        <is>
          <t>BEP3020</t>
        </is>
      </c>
      <c r="J156" s="77" t="inlineStr">
        <is>
          <t>15-credit final-year module on BSc Business (Cornwall) introducing professional consultancy with a sustainability focus; students prepare to meet a client, write a proposal and produce a client report for a consulting project to a defined brief and timeline. The programme page describes the consulting project as 'live or simulated'.</t>
        </is>
      </c>
      <c r="K156" s="77" t="inlineStr">
        <is>
          <t>University of Exeter Business School (Penryn)</t>
        </is>
      </c>
      <c r="L156" s="77" t="inlineStr">
        <is>
          <t>BSc Business (Cornwall)</t>
        </is>
      </c>
      <c r="M156" s="77" t="inlineStr">
        <is>
          <t>Business/management</t>
        </is>
      </c>
      <c r="N156" s="77" t="inlineStr">
        <is>
          <t>Undergraduate</t>
        </is>
      </c>
      <c r="O156" s="77" t="inlineStr">
        <is>
          <t>Final year</t>
        </is>
      </c>
      <c r="P156" s="77" t="inlineStr"/>
      <c r="Q156" s="77" t="inlineStr">
        <is>
          <t>Unclear</t>
        </is>
      </c>
      <c r="R156" s="77" t="inlineStr">
        <is>
          <t>Curricular</t>
        </is>
      </c>
      <c r="S156" s="77" t="inlineStr">
        <is>
          <t>15 credits; proposal and client report (weighting not found)</t>
        </is>
      </c>
      <c r="T156" s="77" t="inlineStr">
        <is>
          <t>Not stated</t>
        </is>
      </c>
      <c r="U156" s="77" t="inlineStr">
        <is>
          <t>In person, Penryn</t>
        </is>
      </c>
      <c r="V156" s="77" t="inlineStr">
        <is>
          <t>Yes</t>
        </is>
      </c>
      <c r="W156" s="77" t="inlineStr">
        <is>
          <t>Consulting project to a defined brief with proposal and client report [1][2].</t>
        </is>
      </c>
      <c r="X156" s="77" t="inlineStr">
        <is>
          <t>Unclear</t>
        </is>
      </c>
      <c r="Y156" s="77" t="inlineStr">
        <is>
          <t>No evidence on whether the consulting project is group or individual.</t>
        </is>
      </c>
      <c r="Z156" s="77" t="inlineStr">
        <is>
          <t>Unclear</t>
        </is>
      </c>
      <c r="AA156" s="77" t="inlineStr">
        <is>
          <t>Programme page describes a 'live or simulated' consulting project [2] - per ruling, C Unclear.</t>
        </is>
      </c>
      <c r="AB156" s="77" t="inlineStr">
        <is>
          <t>Unclear</t>
        </is>
      </c>
      <c r="AC156" s="77" t="inlineStr"/>
      <c r="AD156" s="77" t="inlineStr"/>
      <c r="AE156" s="77" t="inlineStr">
        <is>
          <t>Proposal and client report</t>
        </is>
      </c>
      <c r="AF156" s="77">
        <f>IF(OR(V156="No",X156="No",Z156="No"),"Outside strict definition",IF(AND(V156="Yes",X156="Yes",Z156="Yes"),"Meets all three","Potentially relevant; evidence incomplete"))</f>
        <v/>
      </c>
      <c r="AG156" s="77" t="inlineStr">
        <is>
          <t>Current status unclear</t>
        </is>
      </c>
      <c r="AH156" s="77" t="inlineStr">
        <is>
          <t>2024/25</t>
        </is>
      </c>
      <c r="AI156" s="77" t="inlineStr">
        <is>
          <t>Yes</t>
        </is>
      </c>
      <c r="AJ156" s="77">
        <f>IF(AND(AI156="Yes",AF156="Meets all three",AG156="Current delivery confirmed"),"Yes","No")</f>
        <v/>
      </c>
      <c r="AK156" s="77" t="inlineStr">
        <is>
          <t>c.30 students expected (2024/5 module page)</t>
        </is>
      </c>
      <c r="AL156" s="77" t="inlineStr">
        <is>
          <t>RG07-S06-R1; RG07-S06-R2</t>
        </is>
      </c>
      <c r="AM156" s="77" t="inlineStr">
        <is>
          <t>Group vs individual; proportion of live clients; current-year delivery.</t>
        </is>
      </c>
      <c r="AN156" s="77" t="inlineStr"/>
      <c r="AO156" s="77" t="inlineStr">
        <is>
          <t>UK</t>
        </is>
      </c>
      <c r="AP156" s="77" t="inlineStr">
        <is>
          <t>UK – Russell Group</t>
        </is>
      </c>
      <c r="AQ156" s="77" t="inlineStr">
        <is>
          <t>Unclear</t>
        </is>
      </c>
      <c r="AR156" s="77" t="inlineStr">
        <is>
          <t>Some projects</t>
        </is>
      </c>
      <c r="AS156" s="77" t="inlineStr"/>
    </row>
    <row r="157">
      <c r="A157" s="77" t="inlineStr">
        <is>
          <t>RG07</t>
        </is>
      </c>
      <c r="B157" s="77" t="inlineStr">
        <is>
          <t>Exeter</t>
        </is>
      </c>
      <c r="C157" s="77" t="inlineStr">
        <is>
          <t>Programme/course</t>
        </is>
      </c>
      <c r="D157" s="77" t="inlineStr">
        <is>
          <t>RG07-S07</t>
        </is>
      </c>
      <c r="E157" s="77" t="inlineStr"/>
      <c r="F157" s="77" t="inlineStr">
        <is>
          <t>No</t>
        </is>
      </c>
      <c r="G157" s="79" t="inlineStr">
        <is>
          <t>Consulting project (MSc Marketing and Business Analytics)</t>
        </is>
      </c>
      <c r="H157" s="77" t="inlineStr">
        <is>
          <t>Consulting project (MSc Marketing and Business Analytics)</t>
        </is>
      </c>
      <c r="I157" s="77" t="inlineStr"/>
      <c r="J157" s="77" t="inlineStr">
        <is>
          <t>Final-term option in which students can choose a consulting project working with real businesses on live marketing challenges (alternative to other final-term options).</t>
        </is>
      </c>
      <c r="K157" s="77" t="inlineStr">
        <is>
          <t>University of Exeter Business School</t>
        </is>
      </c>
      <c r="L157" s="77" t="inlineStr">
        <is>
          <t>MSc Marketing and Business Analytics</t>
        </is>
      </c>
      <c r="M157" s="77" t="inlineStr">
        <is>
          <t>Business/management</t>
        </is>
      </c>
      <c r="N157" s="77" t="inlineStr">
        <is>
          <t>Postgraduate taught</t>
        </is>
      </c>
      <c r="O157" s="77" t="inlineStr">
        <is>
          <t>Final term</t>
        </is>
      </c>
      <c r="P157" s="77" t="inlineStr"/>
      <c r="Q157" s="77" t="inlineStr">
        <is>
          <t>Optional/elective</t>
        </is>
      </c>
      <c r="R157" s="77" t="inlineStr">
        <is>
          <t>Curricular</t>
        </is>
      </c>
      <c r="S157" s="77" t="inlineStr">
        <is>
          <t>Not found</t>
        </is>
      </c>
      <c r="T157" s="77" t="inlineStr">
        <is>
          <t>Final term</t>
        </is>
      </c>
      <c r="U157" s="77" t="inlineStr">
        <is>
          <t>Not stated</t>
        </is>
      </c>
      <c r="V157" s="77" t="inlineStr">
        <is>
          <t>Yes</t>
        </is>
      </c>
      <c r="W157" s="77" t="inlineStr">
        <is>
          <t>Consulting project on live marketing challenges [1].</t>
        </is>
      </c>
      <c r="X157" s="77" t="inlineStr">
        <is>
          <t>Unclear</t>
        </is>
      </c>
      <c r="Y157" s="77" t="inlineStr">
        <is>
          <t>No evidence of team format.</t>
        </is>
      </c>
      <c r="Z157" s="77" t="inlineStr">
        <is>
          <t>Yes</t>
        </is>
      </c>
      <c r="AA157" s="77" t="inlineStr">
        <is>
          <t>Students work with real businesses on live marketing challenges [1] (search-summary only).</t>
        </is>
      </c>
      <c r="AB157" s="77" t="inlineStr">
        <is>
          <t>Business/commercial</t>
        </is>
      </c>
      <c r="AC157" s="77" t="inlineStr">
        <is>
          <t>Business supplies live marketing challenge</t>
        </is>
      </c>
      <c r="AD157" s="77" t="inlineStr"/>
      <c r="AE157" s="77" t="inlineStr">
        <is>
          <t>Not specified</t>
        </is>
      </c>
      <c r="AF157" s="77">
        <f>IF(OR(V157="No",X157="No",Z157="No"),"Outside strict definition",IF(AND(V157="Yes",X157="Yes",Z157="Yes"),"Meets all three","Potentially relevant; evidence incomplete"))</f>
        <v/>
      </c>
      <c r="AG157" s="77" t="inlineStr">
        <is>
          <t>Current status unclear</t>
        </is>
      </c>
      <c r="AH157" s="77" t="inlineStr"/>
      <c r="AI157" s="77" t="inlineStr">
        <is>
          <t>Yes</t>
        </is>
      </c>
      <c r="AJ157" s="77">
        <f>IF(AND(AI157="Yes",AF157="Meets all three",AG157="Current delivery confirmed"),"Yes","No")</f>
        <v/>
      </c>
      <c r="AK157" s="77" t="inlineStr"/>
      <c r="AL157" s="77" t="inlineStr">
        <is>
          <t>RG07-S07-R1</t>
        </is>
      </c>
      <c r="AM157" s="77" t="inlineStr">
        <is>
          <t>Module code, group/individual format, assessment and dated evidence not retrieved (search budget exhausted).</t>
        </is>
      </c>
      <c r="AN157" s="77" t="inlineStr"/>
      <c r="AO157" s="77" t="inlineStr">
        <is>
          <t>UK</t>
        </is>
      </c>
      <c r="AP157" s="77" t="inlineStr">
        <is>
          <t>UK – Russell Group</t>
        </is>
      </c>
      <c r="AQ157" s="77" t="inlineStr">
        <is>
          <t>~1 term/semester</t>
        </is>
      </c>
      <c r="AR157" s="77" t="inlineStr">
        <is>
          <t>All/standard</t>
        </is>
      </c>
      <c r="AS157" s="77" t="inlineStr"/>
    </row>
    <row r="158">
      <c r="A158" s="77" t="inlineStr">
        <is>
          <t>RG07</t>
        </is>
      </c>
      <c r="B158" s="77" t="inlineStr">
        <is>
          <t>Exeter</t>
        </is>
      </c>
      <c r="C158" s="77" t="inlineStr">
        <is>
          <t>Programme/course</t>
        </is>
      </c>
      <c r="D158" s="77" t="inlineStr">
        <is>
          <t>RG07-S08</t>
        </is>
      </c>
      <c r="E158" s="77" t="inlineStr"/>
      <c r="F158" s="77" t="inlineStr">
        <is>
          <t>No</t>
        </is>
      </c>
      <c r="G158" s="79" t="inlineStr">
        <is>
          <t>Sports Consultancy Project (BSc Sport Business Management)</t>
        </is>
      </c>
      <c r="H158" s="77" t="inlineStr">
        <is>
          <t>Sports Consultancy Project (BSc Sport Business Management)</t>
        </is>
      </c>
      <c r="I158" s="77" t="inlineStr"/>
      <c r="J158" s="77" t="inlineStr">
        <is>
          <t>Module in which students work with a real or simulated client to solve a current sport-industry challenge.</t>
        </is>
      </c>
      <c r="K158" s="77" t="inlineStr">
        <is>
          <t>University of Exeter Business School / Sport and Health Sciences</t>
        </is>
      </c>
      <c r="L158" s="77" t="inlineStr">
        <is>
          <t>BSc Sport Business Management</t>
        </is>
      </c>
      <c r="M158" s="77" t="inlineStr">
        <is>
          <t>Business/management</t>
        </is>
      </c>
      <c r="N158" s="77" t="inlineStr">
        <is>
          <t>Undergraduate</t>
        </is>
      </c>
      <c r="O158" s="77" t="inlineStr"/>
      <c r="P158" s="77" t="inlineStr"/>
      <c r="Q158" s="77" t="inlineStr">
        <is>
          <t>Unclear</t>
        </is>
      </c>
      <c r="R158" s="77" t="inlineStr">
        <is>
          <t>Curricular</t>
        </is>
      </c>
      <c r="S158" s="77" t="inlineStr"/>
      <c r="T158" s="77" t="inlineStr"/>
      <c r="U158" s="77" t="inlineStr"/>
      <c r="V158" s="77" t="inlineStr">
        <is>
          <t>Yes</t>
        </is>
      </c>
      <c r="W158" s="77" t="inlineStr">
        <is>
          <t>Consultancy project solving a current industry challenge [1].</t>
        </is>
      </c>
      <c r="X158" s="77" t="inlineStr">
        <is>
          <t>Unclear</t>
        </is>
      </c>
      <c r="Y158" s="77" t="inlineStr">
        <is>
          <t>Not evidenced.</t>
        </is>
      </c>
      <c r="Z158" s="77" t="inlineStr">
        <is>
          <t>Unclear</t>
        </is>
      </c>
      <c r="AA158" s="77" t="inlineStr">
        <is>
          <t>'Real or simulated client' [1] - routes not separable.</t>
        </is>
      </c>
      <c r="AB158" s="77" t="inlineStr">
        <is>
          <t>Unclear</t>
        </is>
      </c>
      <c r="AC158" s="77" t="inlineStr"/>
      <c r="AD158" s="77" t="inlineStr"/>
      <c r="AE158" s="77" t="inlineStr">
        <is>
          <t>Not specified</t>
        </is>
      </c>
      <c r="AF158" s="77">
        <f>IF(OR(V158="No",X158="No",Z158="No"),"Outside strict definition",IF(AND(V158="Yes",X158="Yes",Z158="Yes"),"Meets all three","Potentially relevant; evidence incomplete"))</f>
        <v/>
      </c>
      <c r="AG158" s="77" t="inlineStr">
        <is>
          <t>Current status unclear</t>
        </is>
      </c>
      <c r="AH158" s="77" t="inlineStr"/>
      <c r="AI158" s="77" t="inlineStr">
        <is>
          <t>Yes</t>
        </is>
      </c>
      <c r="AJ158" s="77">
        <f>IF(AND(AI158="Yes",AF158="Meets all three",AG158="Current delivery confirmed"),"Yes","No")</f>
        <v/>
      </c>
      <c r="AK158" s="77" t="inlineStr"/>
      <c r="AL158" s="77" t="inlineStr">
        <is>
          <t>RG07-S08-R1</t>
        </is>
      </c>
      <c r="AM158" s="77" t="inlineStr">
        <is>
          <t>Module code, group format, client share, current delivery.</t>
        </is>
      </c>
      <c r="AN158" s="77" t="inlineStr"/>
      <c r="AO158" s="77" t="inlineStr">
        <is>
          <t>UK</t>
        </is>
      </c>
      <c r="AP158" s="77" t="inlineStr">
        <is>
          <t>UK – Russell Group</t>
        </is>
      </c>
      <c r="AQ158" s="77" t="inlineStr">
        <is>
          <t>Unclear</t>
        </is>
      </c>
      <c r="AR158" s="77" t="inlineStr">
        <is>
          <t>Some projects</t>
        </is>
      </c>
      <c r="AS158" s="77" t="inlineStr"/>
    </row>
    <row r="159">
      <c r="A159" s="77" t="inlineStr">
        <is>
          <t>RG07</t>
        </is>
      </c>
      <c r="B159" s="77" t="inlineStr">
        <is>
          <t>Exeter</t>
        </is>
      </c>
      <c r="C159" s="77" t="inlineStr">
        <is>
          <t>Programme/course</t>
        </is>
      </c>
      <c r="D159" s="77" t="inlineStr">
        <is>
          <t>RG07-S09</t>
        </is>
      </c>
      <c r="E159" s="77" t="inlineStr"/>
      <c r="F159" s="77" t="inlineStr">
        <is>
          <t>No</t>
        </is>
      </c>
      <c r="G159" s="79" t="inlineStr">
        <is>
          <t>Group Project (MEng)</t>
        </is>
      </c>
      <c r="H159" s="77" t="inlineStr">
        <is>
          <t>Group Project (MEng)</t>
        </is>
      </c>
      <c r="I159" s="77" t="inlineStr">
        <is>
          <t>ECMM102</t>
        </is>
      </c>
      <c r="J159" s="77" t="inlineStr">
        <is>
          <t>60-credit MEng engineering group project (c.600 hours per student) giving experience of a project team 'in a situation close to one that might be found in an industrial or commercial setting', using formal project planning methods. MEng pages say projects 'may involve working with industrial partners'.</t>
        </is>
      </c>
      <c r="K159" s="77" t="inlineStr">
        <is>
          <t>Department of Engineering</t>
        </is>
      </c>
      <c r="L159" s="77" t="inlineStr">
        <is>
          <t>MEng engineering programmes</t>
        </is>
      </c>
      <c r="M159" s="77" t="inlineStr">
        <is>
          <t>Engineering/computing</t>
        </is>
      </c>
      <c r="N159" s="77" t="inlineStr">
        <is>
          <t>Undergraduate</t>
        </is>
      </c>
      <c r="O159" s="77" t="inlineStr">
        <is>
          <t>Year 4 (MEng)</t>
        </is>
      </c>
      <c r="P159" s="77" t="inlineStr"/>
      <c r="Q159" s="77" t="inlineStr">
        <is>
          <t>Compulsory within specified programmes</t>
        </is>
      </c>
      <c r="R159" s="77" t="inlineStr">
        <is>
          <t>Curricular</t>
        </is>
      </c>
      <c r="S159" s="77" t="inlineStr">
        <is>
          <t>60 credits</t>
        </is>
      </c>
      <c r="T159" s="77" t="inlineStr">
        <is>
          <t>Substantial; 600 hours</t>
        </is>
      </c>
      <c r="U159" s="77" t="inlineStr">
        <is>
          <t>In person</t>
        </is>
      </c>
      <c r="V159" s="77" t="inlineStr">
        <is>
          <t>Yes</t>
        </is>
      </c>
      <c r="W159" s="77" t="inlineStr">
        <is>
          <t>Substantial engineering group project with planning methods [1].</t>
        </is>
      </c>
      <c r="X159" s="77" t="inlineStr">
        <is>
          <t>Yes</t>
        </is>
      </c>
      <c r="Y159" s="77" t="inlineStr">
        <is>
          <t>Work as part of a project team [1].</t>
        </is>
      </c>
      <c r="Z159" s="77" t="inlineStr">
        <is>
          <t>Unclear</t>
        </is>
      </c>
      <c r="AA159" s="77" t="inlineStr">
        <is>
          <t>Industrial-like setting is simulated by design; industrial partners 'may' be involved [2] (Some projects).</t>
        </is>
      </c>
      <c r="AB159" s="77" t="inlineStr">
        <is>
          <t>Business/commercial</t>
        </is>
      </c>
      <c r="AC159" s="77" t="inlineStr">
        <is>
          <t>Occasional industrial partner involvement (not specified)</t>
        </is>
      </c>
      <c r="AD159" s="77" t="inlineStr"/>
      <c r="AE159" s="77" t="inlineStr">
        <is>
          <t>Not specified in extracts</t>
        </is>
      </c>
      <c r="AF159" s="77">
        <f>IF(OR(V159="No",X159="No",Z159="No"),"Outside strict definition",IF(AND(V159="Yes",X159="Yes",Z159="Yes"),"Meets all three","Potentially relevant; evidence incomplete"))</f>
        <v/>
      </c>
      <c r="AG159" s="77" t="inlineStr">
        <is>
          <t>Current status unclear</t>
        </is>
      </c>
      <c r="AH159" s="77" t="inlineStr">
        <is>
          <t>2019/20</t>
        </is>
      </c>
      <c r="AI159" s="77" t="inlineStr">
        <is>
          <t>Yes</t>
        </is>
      </c>
      <c r="AJ159" s="77">
        <f>IF(AND(AI159="Yes",AF159="Meets all three",AG159="Current delivery confirmed"),"Yes","No")</f>
        <v/>
      </c>
      <c r="AK159" s="77" t="inlineStr"/>
      <c r="AL159" s="77" t="inlineStr">
        <is>
          <t>RG07-S09-R1; RG07-S09-R2</t>
        </is>
      </c>
      <c r="AM159" s="77" t="inlineStr">
        <is>
          <t>Compulsory status inferred from MEng structure not confirmed; share of industry-sponsored projects; current-year module page not retrieved.</t>
        </is>
      </c>
      <c r="AN159" s="77" t="inlineStr"/>
      <c r="AO159" s="77" t="inlineStr">
        <is>
          <t>UK</t>
        </is>
      </c>
      <c r="AP159" s="77" t="inlineStr">
        <is>
          <t>UK – Russell Group</t>
        </is>
      </c>
      <c r="AQ159" s="77" t="inlineStr">
        <is>
          <t>&gt;1 term</t>
        </is>
      </c>
      <c r="AR159" s="77" t="inlineStr">
        <is>
          <t>Some projects</t>
        </is>
      </c>
      <c r="AS159" s="77" t="inlineStr"/>
    </row>
    <row r="160">
      <c r="A160" s="77" t="inlineStr">
        <is>
          <t>RG07</t>
        </is>
      </c>
      <c r="B160" s="77" t="inlineStr">
        <is>
          <t>Exeter</t>
        </is>
      </c>
      <c r="C160" s="77" t="inlineStr">
        <is>
          <t>Programme/course</t>
        </is>
      </c>
      <c r="D160" s="77" t="inlineStr">
        <is>
          <t>RG07-S10</t>
        </is>
      </c>
      <c r="E160" s="77" t="inlineStr"/>
      <c r="F160" s="77" t="inlineStr">
        <is>
          <t>No</t>
        </is>
      </c>
      <c r="G160" s="79" t="inlineStr">
        <is>
          <t>Group Design Project (Renewable Energy)</t>
        </is>
      </c>
      <c r="H160" s="77" t="inlineStr">
        <is>
          <t>Group Design Project (Renewable Energy)</t>
        </is>
      </c>
      <c r="I160" s="77" t="inlineStr">
        <is>
          <t>ENEM010</t>
        </is>
      </c>
      <c r="J160" s="77" t="inlineStr">
        <is>
          <t>20-credit, nine-week term-2 module on MEng Renewable Energy Engineering (Penryn): teams of 4-6 apply renewable-energy knowledge to 'a real engineering situation' in a setting close to industrial/commercial practice, with a product-design focus.</t>
        </is>
      </c>
      <c r="K160" s="77" t="inlineStr">
        <is>
          <t>Department of Engineering (Renewable Energy, Penryn)</t>
        </is>
      </c>
      <c r="L160" s="77" t="inlineStr">
        <is>
          <t>MEng Renewable Energy Engineering</t>
        </is>
      </c>
      <c r="M160" s="77" t="inlineStr">
        <is>
          <t>Engineering/computing</t>
        </is>
      </c>
      <c r="N160" s="77" t="inlineStr">
        <is>
          <t>Undergraduate</t>
        </is>
      </c>
      <c r="O160" s="77" t="inlineStr">
        <is>
          <t>MEng (level 7)</t>
        </is>
      </c>
      <c r="P160" s="77" t="inlineStr"/>
      <c r="Q160" s="77" t="inlineStr">
        <is>
          <t>Unclear</t>
        </is>
      </c>
      <c r="R160" s="77" t="inlineStr">
        <is>
          <t>Curricular</t>
        </is>
      </c>
      <c r="S160" s="77" t="inlineStr">
        <is>
          <t>20 credits</t>
        </is>
      </c>
      <c r="T160" s="77" t="inlineStr">
        <is>
          <t>9 weeks, term 2</t>
        </is>
      </c>
      <c r="U160" s="77" t="inlineStr">
        <is>
          <t>In person, Penryn</t>
        </is>
      </c>
      <c r="V160" s="77" t="inlineStr">
        <is>
          <t>Yes</t>
        </is>
      </c>
      <c r="W160" s="77" t="inlineStr">
        <is>
          <t>Team design project on a real engineering situation [1].</t>
        </is>
      </c>
      <c r="X160" s="77" t="inlineStr">
        <is>
          <t>Yes</t>
        </is>
      </c>
      <c r="Y160" s="77" t="inlineStr">
        <is>
          <t>Project team of between four and six [1].</t>
        </is>
      </c>
      <c r="Z160" s="77" t="inlineStr">
        <is>
          <t>Unclear</t>
        </is>
      </c>
      <c r="AA160" s="77" t="inlineStr">
        <is>
          <t>A discovery-mode summary mentioned pitching a proposal to and reporting to 'clients', but the extended extract did not confirm a client role; module text describes a setting 'close to' industry, which may be simulated [1].</t>
        </is>
      </c>
      <c r="AB160" s="77" t="inlineStr">
        <is>
          <t>Unclear</t>
        </is>
      </c>
      <c r="AC160" s="77" t="inlineStr"/>
      <c r="AD160" s="77" t="inlineStr"/>
      <c r="AE160" s="77" t="inlineStr">
        <is>
          <t>Design project outputs (not specified)</t>
        </is>
      </c>
      <c r="AF160" s="77">
        <f>IF(OR(V160="No",X160="No",Z160="No"),"Outside strict definition",IF(AND(V160="Yes",X160="Yes",Z160="Yes"),"Meets all three","Potentially relevant; evidence incomplete"))</f>
        <v/>
      </c>
      <c r="AG160" s="77" t="inlineStr">
        <is>
          <t>Current status unclear</t>
        </is>
      </c>
      <c r="AH160" s="77" t="inlineStr">
        <is>
          <t>2024/25</t>
        </is>
      </c>
      <c r="AI160" s="77" t="inlineStr">
        <is>
          <t>Yes</t>
        </is>
      </c>
      <c r="AJ160" s="77">
        <f>IF(AND(AI160="Yes",AF160="Meets all three",AG160="Current delivery confirmed"),"Yes","No")</f>
        <v/>
      </c>
      <c r="AK160" s="77" t="inlineStr">
        <is>
          <t>18 students anticipated (2024 entry module page)</t>
        </is>
      </c>
      <c r="AL160" s="77" t="inlineStr">
        <is>
          <t>RG07-S10-R1</t>
        </is>
      </c>
      <c r="AM160" s="77" t="inlineStr">
        <is>
          <t>Whether clients are real external organisations; current delivery not evidenced beyond 2024/5.</t>
        </is>
      </c>
      <c r="AN160" s="77" t="inlineStr"/>
      <c r="AO160" s="77" t="inlineStr">
        <is>
          <t>UK</t>
        </is>
      </c>
      <c r="AP160" s="77" t="inlineStr">
        <is>
          <t>UK – Russell Group</t>
        </is>
      </c>
      <c r="AQ160" s="77" t="inlineStr">
        <is>
          <t>~1 term/semester</t>
        </is>
      </c>
      <c r="AR160" s="77" t="inlineStr">
        <is>
          <t>Unclear</t>
        </is>
      </c>
      <c r="AS160" s="77" t="inlineStr"/>
    </row>
    <row r="161">
      <c r="A161" s="77" t="inlineStr">
        <is>
          <t>RG07</t>
        </is>
      </c>
      <c r="B161" s="77" t="inlineStr">
        <is>
          <t>Exeter</t>
        </is>
      </c>
      <c r="C161" s="77" t="inlineStr">
        <is>
          <t>Programme/course</t>
        </is>
      </c>
      <c r="D161" s="77" t="inlineStr">
        <is>
          <t>RG07-S11</t>
        </is>
      </c>
      <c r="E161" s="77" t="inlineStr"/>
      <c r="F161" s="77" t="inlineStr">
        <is>
          <t>No</t>
        </is>
      </c>
      <c r="G161" s="79" t="inlineStr">
        <is>
          <t>Group Software Engineering Project</t>
        </is>
      </c>
      <c r="H161" s="77" t="inlineStr">
        <is>
          <t>Group Software Engineering Project</t>
        </is>
      </c>
      <c r="I161" s="77" t="inlineStr">
        <is>
          <t>ECM2434</t>
        </is>
      </c>
      <c r="J161" s="77" t="inlineStr">
        <is>
          <t>15-credit second-year Computer Science module introducing practical software engineering (requirements analysis, HCI design, testing, teamwork) through a group project. No evidence of external clients.</t>
        </is>
      </c>
      <c r="K161" s="77" t="inlineStr">
        <is>
          <t>Department of Computer Science</t>
        </is>
      </c>
      <c r="L161" s="77" t="inlineStr">
        <is>
          <t>Computer Science degrees</t>
        </is>
      </c>
      <c r="M161" s="77" t="inlineStr">
        <is>
          <t>Engineering/computing</t>
        </is>
      </c>
      <c r="N161" s="77" t="inlineStr">
        <is>
          <t>Undergraduate</t>
        </is>
      </c>
      <c r="O161" s="77" t="inlineStr">
        <is>
          <t>Year 2</t>
        </is>
      </c>
      <c r="P161" s="77" t="inlineStr"/>
      <c r="Q161" s="77" t="inlineStr">
        <is>
          <t>Unclear</t>
        </is>
      </c>
      <c r="R161" s="77" t="inlineStr">
        <is>
          <t>Curricular</t>
        </is>
      </c>
      <c r="S161" s="77" t="inlineStr">
        <is>
          <t>15 credits</t>
        </is>
      </c>
      <c r="T161" s="77" t="inlineStr"/>
      <c r="U161" s="77" t="inlineStr"/>
      <c r="V161" s="77" t="inlineStr">
        <is>
          <t>Yes</t>
        </is>
      </c>
      <c r="W161" s="77" t="inlineStr">
        <is>
          <t>Group software development project [1].</t>
        </is>
      </c>
      <c r="X161" s="77" t="inlineStr">
        <is>
          <t>Yes</t>
        </is>
      </c>
      <c r="Y161" s="77" t="inlineStr">
        <is>
          <t>Group software engineering project with teamwork [1].</t>
        </is>
      </c>
      <c r="Z161" s="77" t="inlineStr">
        <is>
          <t>Unclear</t>
        </is>
      </c>
      <c r="AA161" s="77" t="inlineStr">
        <is>
          <t>No evidence that external organisations set briefs; department's industry links (IBM, Met Office, NATS, Motorola) are not tied to this module.</t>
        </is>
      </c>
      <c r="AB161" s="77" t="inlineStr">
        <is>
          <t>Unclear</t>
        </is>
      </c>
      <c r="AC161" s="77" t="inlineStr"/>
      <c r="AD161" s="77" t="inlineStr"/>
      <c r="AE161" s="77" t="inlineStr">
        <is>
          <t>Software system</t>
        </is>
      </c>
      <c r="AF161" s="77">
        <f>IF(OR(V161="No",X161="No",Z161="No"),"Outside strict definition",IF(AND(V161="Yes",X161="Yes",Z161="Yes"),"Meets all three","Potentially relevant; evidence incomplete"))</f>
        <v/>
      </c>
      <c r="AG161" s="77" t="inlineStr">
        <is>
          <t>Current status unclear</t>
        </is>
      </c>
      <c r="AH161" s="77" t="inlineStr">
        <is>
          <t>2023/24</t>
        </is>
      </c>
      <c r="AI161" s="77" t="inlineStr">
        <is>
          <t>Yes</t>
        </is>
      </c>
      <c r="AJ161" s="77">
        <f>IF(AND(AI161="Yes",AF161="Meets all three",AG161="Current delivery confirmed"),"Yes","No")</f>
        <v/>
      </c>
      <c r="AK161" s="77" t="inlineStr"/>
      <c r="AL161" s="77" t="inlineStr">
        <is>
          <t>RG07-S11-R1</t>
        </is>
      </c>
      <c r="AM161" s="77" t="inlineStr">
        <is>
          <t>Client source; current delivery.</t>
        </is>
      </c>
      <c r="AN161" s="77" t="inlineStr"/>
      <c r="AO161" s="77" t="inlineStr">
        <is>
          <t>UK</t>
        </is>
      </c>
      <c r="AP161" s="77" t="inlineStr">
        <is>
          <t>UK – Russell Group</t>
        </is>
      </c>
      <c r="AQ161" s="77" t="inlineStr">
        <is>
          <t>Unclear</t>
        </is>
      </c>
      <c r="AR161" s="77" t="inlineStr">
        <is>
          <t>Unclear</t>
        </is>
      </c>
      <c r="AS161" s="77" t="inlineStr"/>
    </row>
    <row r="162">
      <c r="A162" s="77" t="inlineStr">
        <is>
          <t>RG07</t>
        </is>
      </c>
      <c r="B162" s="77" t="inlineStr">
        <is>
          <t>Exeter</t>
        </is>
      </c>
      <c r="C162" s="77" t="inlineStr">
        <is>
          <t>Programme/course</t>
        </is>
      </c>
      <c r="D162" s="77" t="inlineStr">
        <is>
          <t>RG07-S12</t>
        </is>
      </c>
      <c r="E162" s="77" t="inlineStr"/>
      <c r="F162" s="77" t="inlineStr">
        <is>
          <t>No</t>
        </is>
      </c>
      <c r="G162" s="79" t="inlineStr">
        <is>
          <t>MSci Data Science group module (software for a customer)</t>
        </is>
      </c>
      <c r="H162" s="77" t="inlineStr">
        <is>
          <t>MSci Data Science group module (software for a customer)</t>
        </is>
      </c>
      <c r="I162" s="77" t="inlineStr">
        <is>
          <t>ECMM427</t>
        </is>
      </c>
      <c r="J162" s="77" t="inlineStr">
        <is>
          <t>MSci Data Science group module giving students experience of developing software for a customer; MSci Mathematics and Data Science final year has one group and one individual major project.</t>
        </is>
      </c>
      <c r="K162" s="77" t="inlineStr">
        <is>
          <t>Department of Computer Science / Mathematics</t>
        </is>
      </c>
      <c r="L162" s="77" t="inlineStr">
        <is>
          <t>MSci Data Science; MSci Mathematics and Data Science</t>
        </is>
      </c>
      <c r="M162" s="77" t="inlineStr">
        <is>
          <t>Engineering/computing; Science</t>
        </is>
      </c>
      <c r="N162" s="77" t="inlineStr">
        <is>
          <t>Undergraduate</t>
        </is>
      </c>
      <c r="O162" s="77" t="inlineStr">
        <is>
          <t>Final year (MSci)</t>
        </is>
      </c>
      <c r="P162" s="77" t="inlineStr"/>
      <c r="Q162" s="77" t="inlineStr">
        <is>
          <t>Unclear</t>
        </is>
      </c>
      <c r="R162" s="77" t="inlineStr">
        <is>
          <t>Curricular</t>
        </is>
      </c>
      <c r="S162" s="77" t="inlineStr"/>
      <c r="T162" s="77" t="inlineStr"/>
      <c r="U162" s="77" t="inlineStr"/>
      <c r="V162" s="77" t="inlineStr">
        <is>
          <t>Yes</t>
        </is>
      </c>
      <c r="W162" s="77" t="inlineStr">
        <is>
          <t>Software development project for a customer [1].</t>
        </is>
      </c>
      <c r="X162" s="77" t="inlineStr">
        <is>
          <t>Yes</t>
        </is>
      </c>
      <c r="Y162" s="77" t="inlineStr">
        <is>
          <t>Described as a group module/group project [1].</t>
        </is>
      </c>
      <c r="Z162" s="77" t="inlineStr">
        <is>
          <t>Unclear</t>
        </is>
      </c>
      <c r="AA162" s="77" t="inlineStr">
        <is>
          <t>'Customer' not identified as external; extended search to verify failed (budget exhausted).</t>
        </is>
      </c>
      <c r="AB162" s="77" t="inlineStr">
        <is>
          <t>Unclear</t>
        </is>
      </c>
      <c r="AC162" s="77" t="inlineStr"/>
      <c r="AD162" s="77" t="inlineStr"/>
      <c r="AE162" s="77" t="inlineStr">
        <is>
          <t>Software for customer</t>
        </is>
      </c>
      <c r="AF162" s="77">
        <f>IF(OR(V162="No",X162="No",Z162="No"),"Outside strict definition",IF(AND(V162="Yes",X162="Yes",Z162="Yes"),"Meets all three","Potentially relevant; evidence incomplete"))</f>
        <v/>
      </c>
      <c r="AG162" s="77" t="inlineStr">
        <is>
          <t>Current status unclear</t>
        </is>
      </c>
      <c r="AH162" s="77" t="inlineStr"/>
      <c r="AI162" s="77" t="inlineStr">
        <is>
          <t>Yes</t>
        </is>
      </c>
      <c r="AJ162" s="77">
        <f>IF(AND(AI162="Yes",AF162="Meets all three",AG162="Current delivery confirmed"),"Yes","No")</f>
        <v/>
      </c>
      <c r="AK162" s="77" t="inlineStr"/>
      <c r="AL162" s="77" t="inlineStr">
        <is>
          <t>RG07-S12-R1</t>
        </is>
      </c>
      <c r="AM162" s="77" t="inlineStr">
        <is>
          <t>Customer identity (internal vs external), credits, current delivery.</t>
        </is>
      </c>
      <c r="AN162" s="77" t="inlineStr"/>
      <c r="AO162" s="77" t="inlineStr">
        <is>
          <t>UK</t>
        </is>
      </c>
      <c r="AP162" s="77" t="inlineStr">
        <is>
          <t>UK – Russell Group</t>
        </is>
      </c>
      <c r="AQ162" s="77" t="inlineStr">
        <is>
          <t>Unclear</t>
        </is>
      </c>
      <c r="AR162" s="77" t="inlineStr">
        <is>
          <t>Unclear</t>
        </is>
      </c>
      <c r="AS162" s="77" t="inlineStr"/>
    </row>
    <row r="163">
      <c r="A163" s="77" t="inlineStr">
        <is>
          <t>RG07</t>
        </is>
      </c>
      <c r="B163" s="77" t="inlineStr">
        <is>
          <t>Exeter</t>
        </is>
      </c>
      <c r="C163" s="77" t="inlineStr">
        <is>
          <t>Programme/course</t>
        </is>
      </c>
      <c r="D163" s="77" t="inlineStr">
        <is>
          <t>RG07-S13</t>
        </is>
      </c>
      <c r="E163" s="77" t="inlineStr"/>
      <c r="F163" s="77" t="inlineStr">
        <is>
          <t>No</t>
        </is>
      </c>
      <c r="G163" s="79" t="inlineStr">
        <is>
          <t>Environmental Humanities research projects with the National Trust</t>
        </is>
      </c>
      <c r="H163" s="77" t="inlineStr">
        <is>
          <t>Environmental Humanities research projects with the National Trust</t>
        </is>
      </c>
      <c r="I163" s="77" t="inlineStr"/>
      <c r="J163" s="77" t="inlineStr">
        <is>
          <t>Under a University-National Trust agreement, Environmental Humanities (Penryn) second-year students visited Trust properties and spoke with managers about environmental challenges, then design final-year research projects in collaboration with Trust staff.</t>
        </is>
      </c>
      <c r="K163" s="77" t="inlineStr">
        <is>
          <t>Humanities and Social Sciences, Penryn</t>
        </is>
      </c>
      <c r="L163" s="77" t="inlineStr">
        <is>
          <t>BA Environmental Humanities (Cornwall)</t>
        </is>
      </c>
      <c r="M163" s="77" t="inlineStr">
        <is>
          <t>Arts/humanities/social sciences</t>
        </is>
      </c>
      <c r="N163" s="77" t="inlineStr">
        <is>
          <t>Undergraduate</t>
        </is>
      </c>
      <c r="O163" s="77" t="inlineStr">
        <is>
          <t>Years 2-3</t>
        </is>
      </c>
      <c r="P163" s="77" t="inlineStr"/>
      <c r="Q163" s="77" t="inlineStr">
        <is>
          <t>Unclear</t>
        </is>
      </c>
      <c r="R163" s="77" t="inlineStr">
        <is>
          <t>Curricular</t>
        </is>
      </c>
      <c r="S163" s="77" t="inlineStr"/>
      <c r="T163" s="77" t="inlineStr"/>
      <c r="U163" s="77" t="inlineStr"/>
      <c r="V163" s="77" t="inlineStr">
        <is>
          <t>Yes</t>
        </is>
      </c>
      <c r="W163" s="77" t="inlineStr">
        <is>
          <t>Final-year research project designed around Trust-identified environmental challenges [1].</t>
        </is>
      </c>
      <c r="X163" s="77" t="inlineStr">
        <is>
          <t>Unclear</t>
        </is>
      </c>
      <c r="Y163" s="77" t="inlineStr">
        <is>
          <t>Not stated whether projects are group or individual (likely individual dissertation-type).</t>
        </is>
      </c>
      <c r="Z163" s="77" t="inlineStr">
        <is>
          <t>Yes</t>
        </is>
      </c>
      <c r="AA163" s="77" t="inlineStr">
        <is>
          <t>Trust managers explain challenges and Trust staff collaborate on project design [1].</t>
        </is>
      </c>
      <c r="AB163" s="77" t="inlineStr">
        <is>
          <t>Charity/community</t>
        </is>
      </c>
      <c r="AC163" s="77" t="inlineStr">
        <is>
          <t>Identifies challenges; collaborates on project design</t>
        </is>
      </c>
      <c r="AD163" s="77" t="inlineStr">
        <is>
          <t>National Trust (year of agreement not shown in extract)</t>
        </is>
      </c>
      <c r="AE163" s="77" t="inlineStr">
        <is>
          <t>Research project</t>
        </is>
      </c>
      <c r="AF163" s="77">
        <f>IF(OR(V163="No",X163="No",Z163="No"),"Outside strict definition",IF(AND(V163="Yes",X163="Yes",Z163="Yes"),"Meets all three","Potentially relevant; evidence incomplete"))</f>
        <v/>
      </c>
      <c r="AG163" s="77" t="inlineStr">
        <is>
          <t>Current status unclear</t>
        </is>
      </c>
      <c r="AH163" s="77" t="inlineStr"/>
      <c r="AI163" s="77" t="inlineStr">
        <is>
          <t>Yes</t>
        </is>
      </c>
      <c r="AJ163" s="77">
        <f>IF(AND(AI163="Yes",AF163="Meets all three",AG163="Current delivery confirmed"),"Yes","No")</f>
        <v/>
      </c>
      <c r="AK163" s="77" t="inlineStr"/>
      <c r="AL163" s="77" t="inlineStr">
        <is>
          <t>RG07-S13-R1</t>
        </is>
      </c>
      <c r="AM163" s="77" t="inlineStr">
        <is>
          <t>Group vs individual; year and continuation of the agreement.</t>
        </is>
      </c>
      <c r="AN163" s="77" t="inlineStr"/>
      <c r="AO163" s="77" t="inlineStr">
        <is>
          <t>UK</t>
        </is>
      </c>
      <c r="AP163" s="77" t="inlineStr">
        <is>
          <t>UK – Russell Group</t>
        </is>
      </c>
      <c r="AQ163" s="77" t="inlineStr">
        <is>
          <t>&gt;1 term</t>
        </is>
      </c>
      <c r="AR163" s="77" t="inlineStr">
        <is>
          <t>Unclear</t>
        </is>
      </c>
      <c r="AS163" s="77" t="inlineStr"/>
    </row>
    <row r="164">
      <c r="A164" s="77" t="inlineStr">
        <is>
          <t>RG08</t>
        </is>
      </c>
      <c r="B164" s="77" t="inlineStr">
        <is>
          <t>Glasgow</t>
        </is>
      </c>
      <c r="C164" s="77" t="inlineStr">
        <is>
          <t>Faculty/school</t>
        </is>
      </c>
      <c r="D164" s="77" t="inlineStr">
        <is>
          <t>RG08-S01</t>
        </is>
      </c>
      <c r="E164" s="77" t="inlineStr"/>
      <c r="F164" s="77" t="inlineStr">
        <is>
          <t>No</t>
        </is>
      </c>
      <c r="G164" s="79" t="inlineStr">
        <is>
          <t>Adam Smith Consultancy Experience</t>
        </is>
      </c>
      <c r="H164" s="77" t="inlineStr">
        <is>
          <t>Adam Smith Consultancy Experience</t>
        </is>
      </c>
      <c r="I164" s="77" t="inlineStr"/>
      <c r="J164" s="77" t="inlineStr">
        <is>
          <t>Partner-facing programme run by the Adam Smith Business School External Engagement team: external organisations submit a project brief (call open for the 2027 round) and receive free consultancy, research and analysis and evidence-based recommendations from Business School students on real business challenges. Which courses/programmes the projects feed into, and whether students work in teams, is not stated in the extracts obtained.</t>
        </is>
      </c>
      <c r="K164" s="77" t="inlineStr">
        <is>
          <t>Adam Smith Business School, External Engagement</t>
        </is>
      </c>
      <c r="L164" s="77" t="inlineStr">
        <is>
          <t>Adam Smith Business School students (specific programmes not evidenced)</t>
        </is>
      </c>
      <c r="M164" s="77" t="inlineStr">
        <is>
          <t>Business/management</t>
        </is>
      </c>
      <c r="N164" s="77" t="inlineStr">
        <is>
          <t>Unclear</t>
        </is>
      </c>
      <c r="O164" s="77" t="inlineStr"/>
      <c r="P164" s="77" t="inlineStr">
        <is>
          <t>Not evidenced</t>
        </is>
      </c>
      <c r="Q164" s="77" t="inlineStr">
        <is>
          <t>Unclear</t>
        </is>
      </c>
      <c r="R164" s="77" t="inlineStr">
        <is>
          <t>Unclear</t>
        </is>
      </c>
      <c r="S164" s="77" t="inlineStr">
        <is>
          <t>Not evidenced</t>
        </is>
      </c>
      <c r="T164" s="77" t="inlineStr">
        <is>
          <t>Not evidenced</t>
        </is>
      </c>
      <c r="U164" s="77" t="inlineStr">
        <is>
          <t>Not evidenced</t>
        </is>
      </c>
      <c r="V164" s="77" t="inlineStr">
        <is>
          <t>Yes</t>
        </is>
      </c>
      <c r="W164" s="77" t="inlineStr">
        <is>
          <t>Organisations submit a project brief; students provide consultancy, in-depth research and analysis and evidence-based recommendations on real business challenges [1].</t>
        </is>
      </c>
      <c r="X164" s="77" t="inlineStr">
        <is>
          <t>Unclear</t>
        </is>
      </c>
      <c r="Y164" s="77" t="inlineStr">
        <is>
          <t>A search summary described the programme as pairing organisations with 'student teams', but no quoted page text confirms team working [1]. Unclear.</t>
        </is>
      </c>
      <c r="Z164" s="77" t="inlineStr">
        <is>
          <t>Yes</t>
        </is>
      </c>
      <c r="AA164" s="77" t="inlineStr">
        <is>
          <t>External organisations submit the project brief and receive the consultancy output (free consultancy, research and analysis, recommendations) [1].</t>
        </is>
      </c>
      <c r="AB164" s="77" t="inlineStr">
        <is>
          <t>Unclear</t>
        </is>
      </c>
      <c r="AC164" s="77" t="inlineStr">
        <is>
          <t>Supplies project brief; client receiving consultancy output</t>
        </is>
      </c>
      <c r="AD164" s="77" t="inlineStr"/>
      <c r="AE164" s="77" t="inlineStr">
        <is>
          <t>Consultancy research, analysis and recommendations (format not evidenced)</t>
        </is>
      </c>
      <c r="AF164" s="77">
        <f>IF(OR(V164="No",X164="No",Z164="No"),"Outside strict definition",IF(AND(V164="Yes",X164="Yes",Z164="Yes"),"Meets all three","Potentially relevant; evidence incomplete"))</f>
        <v/>
      </c>
      <c r="AG164" s="77" t="inlineStr">
        <is>
          <t>Announced/forthcoming</t>
        </is>
      </c>
      <c r="AH164" s="77" t="inlineStr">
        <is>
          <t>2027 (brief call)</t>
        </is>
      </c>
      <c r="AI164" s="77" t="inlineStr">
        <is>
          <t>No</t>
        </is>
      </c>
      <c r="AJ164" s="77">
        <f>IF(AND(AI164="Yes",AF164="Meets all three",AG164="Current delivery confirmed"),"Yes","No")</f>
        <v/>
      </c>
      <c r="AK164" s="77" t="inlineStr"/>
      <c r="AL164" s="77" t="inlineStr">
        <is>
          <t>RG08-S01-R1</t>
        </is>
      </c>
      <c r="AM164" s="77" t="inlineStr">
        <is>
          <t>Page (fetched 2026-10-13) does not state teams, courses, duration or dates; names only one testimonial partner (The Resolutionists). Probably the partner-facing intake for School consultancy courses (S2-S4, S6) so flagged as likely duplicate; not counted separately.</t>
        </is>
      </c>
      <c r="AN164" s="77" t="inlineStr"/>
      <c r="AO164" s="77" t="inlineStr">
        <is>
          <t>UK</t>
        </is>
      </c>
      <c r="AP164" s="77" t="inlineStr">
        <is>
          <t>UK – Russell Group</t>
        </is>
      </c>
      <c r="AQ164" s="77" t="inlineStr">
        <is>
          <t>Unclear</t>
        </is>
      </c>
      <c r="AR164" s="77" t="inlineStr">
        <is>
          <t>All/standard</t>
        </is>
      </c>
      <c r="AS164" s="77" t="inlineStr">
        <is>
          <t>No (possible duplicate of RG08-S02)</t>
        </is>
      </c>
    </row>
    <row r="165">
      <c r="A165" s="77" t="inlineStr">
        <is>
          <t>RG08</t>
        </is>
      </c>
      <c r="B165" s="77" t="inlineStr">
        <is>
          <t>Glasgow</t>
        </is>
      </c>
      <c r="C165" s="77" t="inlineStr">
        <is>
          <t>Programme/course</t>
        </is>
      </c>
      <c r="D165" s="77" t="inlineStr">
        <is>
          <t>RG08-S02</t>
        </is>
      </c>
      <c r="E165" s="77" t="inlineStr"/>
      <c r="F165" s="77" t="inlineStr">
        <is>
          <t>No</t>
        </is>
      </c>
      <c r="G165" s="79" t="inlineStr">
        <is>
          <t>MBA Group Consultancy Project</t>
        </is>
      </c>
      <c r="H165" s="77" t="inlineStr">
        <is>
          <t>MBA Group Consultancy Project</t>
        </is>
      </c>
      <c r="I165" s="77" t="inlineStr">
        <is>
          <t>BUS5052</t>
        </is>
      </c>
      <c r="J165" s="77" t="inlineStr">
        <is>
          <t>MBA course in which student groups carry out a short consultancy project for a client: they engage with and manage the client and respond to a client brief with an executive summary report of key decisions and recommendations plus a group oral presentation. 14 hours of preparatory workshops across semesters 1-2, then about 70 hours of student-led group work over two weeks, typically in summer.</t>
        </is>
      </c>
      <c r="K165" s="77" t="inlineStr">
        <is>
          <t>Adam Smith Business School</t>
        </is>
      </c>
      <c r="L165" s="77" t="inlineStr">
        <is>
          <t>MBA (students registered on the associated programmes listed in the course specification)</t>
        </is>
      </c>
      <c r="M165" s="77" t="inlineStr">
        <is>
          <t>Business/management</t>
        </is>
      </c>
      <c r="N165" s="77" t="inlineStr">
        <is>
          <t>Postgraduate taught</t>
        </is>
      </c>
      <c r="O165" s="77" t="inlineStr">
        <is>
          <t>MBA (1-year)</t>
        </is>
      </c>
      <c r="P165" s="77" t="inlineStr">
        <is>
          <t>Must be registered on an associated programme (MBA)</t>
        </is>
      </c>
      <c r="Q165" s="77" t="inlineStr">
        <is>
          <t>Unclear</t>
        </is>
      </c>
      <c r="R165" s="77" t="inlineStr">
        <is>
          <t>Curricular</t>
        </is>
      </c>
      <c r="S165" s="77" t="inlineStr">
        <is>
          <t>10 credits, SCQF level 11. Group report 2,500 words (65%); group oral presentation 30 minutes (35%).</t>
        </is>
      </c>
      <c r="T165" s="77" t="inlineStr">
        <is>
          <t>2 weeks of group project work (70 hours) after 2 x 2-hour preparatory classes; workshops through semesters 1&amp;2</t>
        </is>
      </c>
      <c r="U165" s="77" t="inlineStr">
        <is>
          <t>In person; blended supervision from teaching team</t>
        </is>
      </c>
      <c r="V165" s="77" t="inlineStr">
        <is>
          <t>Yes</t>
        </is>
      </c>
      <c r="W165" s="77" t="inlineStr">
        <is>
          <t>Executive summary report presenting key decisions and recommendations 'in response to the client brief', plus a presentation [1].</t>
        </is>
      </c>
      <c r="X165" s="77" t="inlineStr">
        <is>
          <t>Yes</t>
        </is>
      </c>
      <c r="Y165" s="77" t="inlineStr">
        <is>
          <t>Group report and group oral presentation; '70 hours student led group work over 2 weeks' [1].</t>
        </is>
      </c>
      <c r="Z165" s="77" t="inlineStr">
        <is>
          <t>Yes</t>
        </is>
      </c>
      <c r="AA165" s="77" t="inlineStr">
        <is>
          <t>Students 'directly engage and manage clients' and respond to the client's brief [1]; MBA page describes a team consulting project on real business challenges [2]; the MBA dissertation course also refers to a week-long consultancy project with an outside organisation in the MBA [3].</t>
        </is>
      </c>
      <c r="AB165" s="77" t="inlineStr">
        <is>
          <t>Unclear</t>
        </is>
      </c>
      <c r="AC165" s="77" t="inlineStr">
        <is>
          <t>Client setting brief and receiving recommendations</t>
        </is>
      </c>
      <c r="AD165" s="77" t="inlineStr"/>
      <c r="AE165" s="77" t="inlineStr">
        <is>
          <t>Group executive summary report + 30-minute group presentation</t>
        </is>
      </c>
      <c r="AF165" s="77">
        <f>IF(OR(V165="No",X165="No",Z165="No"),"Outside strict definition",IF(AND(V165="Yes",X165="Yes",Z165="Yes"),"Meets all three","Potentially relevant; evidence incomplete"))</f>
        <v/>
      </c>
      <c r="AG165" s="77" t="inlineStr">
        <is>
          <t>Current delivery confirmed</t>
        </is>
      </c>
      <c r="AH165" s="77" t="inlineStr">
        <is>
          <t>2026/27</t>
        </is>
      </c>
      <c r="AI165" s="77" t="inlineStr">
        <is>
          <t>Yes</t>
        </is>
      </c>
      <c r="AJ165" s="77">
        <f>IF(AND(AI165="Yes",AF165="Meets all three",AG165="Current delivery confirmed"),"Yes","No")</f>
        <v/>
      </c>
      <c r="AK165" s="77" t="inlineStr"/>
      <c r="AL165" s="77" t="inlineStr">
        <is>
          <t>RG08-S02-R1; RG08-S02-R2; RG08-S02-R3</t>
        </is>
      </c>
      <c r="AM165" s="77" t="inlineStr">
        <is>
          <t>Whether BUS5052 is compulsory for all MBA students; client sectors and names; whether clients come via the Adam Smith Consultancy Experience (S1). External status of clients rests partly on programme-page paraphrase [2][3].</t>
        </is>
      </c>
      <c r="AN165" s="77" t="inlineStr"/>
      <c r="AO165" s="77" t="inlineStr">
        <is>
          <t>UK</t>
        </is>
      </c>
      <c r="AP165" s="77" t="inlineStr">
        <is>
          <t>UK – Russell Group</t>
        </is>
      </c>
      <c r="AQ165" s="77" t="inlineStr">
        <is>
          <t>1–4 weeks</t>
        </is>
      </c>
      <c r="AR165" s="77" t="inlineStr">
        <is>
          <t>All/standard</t>
        </is>
      </c>
      <c r="AS165" s="77" t="inlineStr"/>
    </row>
    <row r="166">
      <c r="A166" s="77" t="inlineStr">
        <is>
          <t>RG08</t>
        </is>
      </c>
      <c r="B166" s="77" t="inlineStr">
        <is>
          <t>Glasgow</t>
        </is>
      </c>
      <c r="C166" s="77" t="inlineStr">
        <is>
          <t>Programme/course</t>
        </is>
      </c>
      <c r="D166" s="77" t="inlineStr">
        <is>
          <t>RG08-S03</t>
        </is>
      </c>
      <c r="E166" s="77" t="inlineStr"/>
      <c r="F166" s="77" t="inlineStr">
        <is>
          <t>No</t>
        </is>
      </c>
      <c r="G166" s="79" t="inlineStr">
        <is>
          <t>Integrating Business and Management in Practice</t>
        </is>
      </c>
      <c r="H166" s="77" t="inlineStr">
        <is>
          <t>Integrating Business and Management in Practice</t>
        </is>
      </c>
      <c r="I166" s="77" t="inlineStr">
        <is>
          <t>MGT4091</t>
        </is>
      </c>
      <c r="J166" s="77" t="inlineStr">
        <is>
          <t>Level 4 (Honours) Business &amp; Management capstone in which students apply their undergraduate learning to a real 'live' client organisation: groups hold a client engagement/interview meeting, construct and evaluate strategic recommendations for the client, and give a 30-minute group presentation to the client. Timetabled exclusively in Week 11 of semester 2.</t>
        </is>
      </c>
      <c r="K166" s="77" t="inlineStr">
        <is>
          <t>Adam Smith Business School (Management)</t>
        </is>
      </c>
      <c r="L166" s="77" t="inlineStr">
        <is>
          <t>Business &amp; Management Honours (likely the 'integrative experiential learning course' listed as an Honours core class)</t>
        </is>
      </c>
      <c r="M166" s="77" t="inlineStr">
        <is>
          <t>Business/management</t>
        </is>
      </c>
      <c r="N166" s="77" t="inlineStr">
        <is>
          <t>Undergraduate</t>
        </is>
      </c>
      <c r="O166" s="77" t="inlineStr">
        <is>
          <t>Level 4 (Honours)</t>
        </is>
      </c>
      <c r="P166" s="77" t="inlineStr">
        <is>
          <t>Business &amp; Management Honours students (programme listing not obtained)</t>
        </is>
      </c>
      <c r="Q166" s="77" t="inlineStr">
        <is>
          <t>Unclear</t>
        </is>
      </c>
      <c r="R166" s="77" t="inlineStr">
        <is>
          <t>Curricular</t>
        </is>
      </c>
      <c r="S166" s="77" t="inlineStr">
        <is>
          <t>15 credits, SCQF level 10; components/weightings not obtained (must submit at least 75% by weight of summative assessment).</t>
        </is>
      </c>
      <c r="T166" s="77" t="inlineStr">
        <is>
          <t>Timetabled exclusively in Week 11 of semester 2 (intensive)</t>
        </is>
      </c>
      <c r="U166" s="77" t="inlineStr">
        <is>
          <t>In person workshops with client meetings</t>
        </is>
      </c>
      <c r="V166" s="77" t="inlineStr">
        <is>
          <t>Yes</t>
        </is>
      </c>
      <c r="W166" s="77" t="inlineStr">
        <is>
          <t>Capstone applying learning to a live organisation; learning outcome to construct and evaluate strategic recommendations for a client organisation; group presentation to client [1].</t>
        </is>
      </c>
      <c r="X166" s="77" t="inlineStr">
        <is>
          <t>Yes</t>
        </is>
      </c>
      <c r="Y166" s="77" t="inlineStr">
        <is>
          <t>Aim to 'finesse group working skills and demonstrate these to an external client'; 30-minute group presentation to the client [1].</t>
        </is>
      </c>
      <c r="Z166" s="77" t="inlineStr">
        <is>
          <t>Yes</t>
        </is>
      </c>
      <c r="AA166" s="77" t="inlineStr">
        <is>
          <t>A real 'live' external client organisation is met (client engagement/interview, 60 mins) and receives the group's 30-minute presentation and recommendations [1].</t>
        </is>
      </c>
      <c r="AB166" s="77" t="inlineStr">
        <is>
          <t>Unclear</t>
        </is>
      </c>
      <c r="AC166" s="77" t="inlineStr">
        <is>
          <t>Live client: briefing/interview meeting; receives group presentation</t>
        </is>
      </c>
      <c r="AD166" s="77" t="inlineStr"/>
      <c r="AE166" s="77" t="inlineStr">
        <is>
          <t>Strategic recommendations; 30-minute group presentation to the client</t>
        </is>
      </c>
      <c r="AF166" s="77">
        <f>IF(OR(V166="No",X166="No",Z166="No"),"Outside strict definition",IF(AND(V166="Yes",X166="Yes",Z166="Yes"),"Meets all three","Potentially relevant; evidence incomplete"))</f>
        <v/>
      </c>
      <c r="AG166" s="77" t="inlineStr">
        <is>
          <t>Current delivery confirmed</t>
        </is>
      </c>
      <c r="AH166" s="77" t="inlineStr">
        <is>
          <t>2025/26 (course entry); listed in 2026-27 Management course list</t>
        </is>
      </c>
      <c r="AI166" s="77" t="inlineStr">
        <is>
          <t>Yes</t>
        </is>
      </c>
      <c r="AJ166" s="77">
        <f>IF(AND(AI166="Yes",AF166="Meets all three",AG166="Current delivery confirmed"),"Yes","No")</f>
        <v/>
      </c>
      <c r="AK166" s="77" t="inlineStr"/>
      <c r="AL166" s="77" t="inlineStr">
        <is>
          <t>RG08-S03-R1; RG08-S03-R2</t>
        </is>
      </c>
      <c r="AM166" s="77" t="inlineStr">
        <is>
          <t>Whether MGT4091 is the UG 'Small Business Consultancy Project' course card on the 2027 Business &amp; Management page (gla.ac.uk/undergraduate/degrees/businessmanagement/courses/smallbusinessconsultancyproject) or a separate course; whether it is the compulsory Honours 'integrative experiential learning course' [2]; assessment weightings; client types. Duration band reflects the single timetabled week; preparation outside Week 11 not evidenced. Business &amp; Management 2027 page (fetched) confirms an Honours core 'integrative experiential learning course' (no code given); the 'Small Business Consultancy Project' course card page content could not be obtained, so the link to MGT4091 remains unconfirmed.</t>
        </is>
      </c>
      <c r="AN166" s="77" t="inlineStr"/>
      <c r="AO166" s="77" t="inlineStr">
        <is>
          <t>UK</t>
        </is>
      </c>
      <c r="AP166" s="77" t="inlineStr">
        <is>
          <t>UK – Russell Group</t>
        </is>
      </c>
      <c r="AQ166" s="77" t="inlineStr">
        <is>
          <t>&lt;1 week</t>
        </is>
      </c>
      <c r="AR166" s="77" t="inlineStr">
        <is>
          <t>All/standard</t>
        </is>
      </c>
      <c r="AS166" s="77" t="inlineStr"/>
    </row>
    <row r="167">
      <c r="A167" s="77" t="inlineStr">
        <is>
          <t>RG08</t>
        </is>
      </c>
      <c r="B167" s="77" t="inlineStr">
        <is>
          <t>Glasgow</t>
        </is>
      </c>
      <c r="C167" s="77" t="inlineStr">
        <is>
          <t>Programme/course</t>
        </is>
      </c>
      <c r="D167" s="77" t="inlineStr">
        <is>
          <t>RG08-S04</t>
        </is>
      </c>
      <c r="E167" s="77" t="inlineStr"/>
      <c r="F167" s="77" t="inlineStr">
        <is>
          <t>No</t>
        </is>
      </c>
      <c r="G167" s="79" t="inlineStr">
        <is>
          <t>International Management Solutions</t>
        </is>
      </c>
      <c r="H167" s="77" t="inlineStr">
        <is>
          <t>International Management Solutions</t>
        </is>
      </c>
      <c r="I167" s="77" t="inlineStr">
        <is>
          <t>MGT5181</t>
        </is>
      </c>
      <c r="J167" s="77" t="inlineStr">
        <is>
          <t>PGT course (associated with MSc International Business) built around a live, team-based consultancy project for client organisations seeking to internationalise: teams assess market opportunities and barriers, compare locations and foreign-market entry strategies using digital research tools, under academic supervision, and deliver a group report and group presentation; each team has an online client introduction meeting.</t>
        </is>
      </c>
      <c r="K167" s="77" t="inlineStr">
        <is>
          <t>Adam Smith Business School (Management)</t>
        </is>
      </c>
      <c r="L167" s="77" t="inlineStr">
        <is>
          <t>MSc International Business (other associated programmes not confirmed)</t>
        </is>
      </c>
      <c r="M167" s="77" t="inlineStr">
        <is>
          <t>Business/management</t>
        </is>
      </c>
      <c r="N167" s="77" t="inlineStr">
        <is>
          <t>Postgraduate taught</t>
        </is>
      </c>
      <c r="O167" s="77" t="inlineStr">
        <is>
          <t>MSc</t>
        </is>
      </c>
      <c r="P167" s="77" t="inlineStr">
        <is>
          <t>Not obtained</t>
        </is>
      </c>
      <c r="Q167" s="77" t="inlineStr">
        <is>
          <t>Unclear</t>
        </is>
      </c>
      <c r="R167" s="77" t="inlineStr">
        <is>
          <t>Curricular</t>
        </is>
      </c>
      <c r="S167" s="77" t="inlineStr">
        <is>
          <t>20 credits, SCQF 11, Semester 2. Group report 6,300 words (60%); group oral presentation 30 min incl. Q&amp;A (25%); individual essay (15%).</t>
        </is>
      </c>
      <c r="T167" s="77" t="inlineStr">
        <is>
          <t>Semester 2; 8 x 2-hour practical classes plus team client introduction meeting</t>
        </is>
      </c>
      <c r="U167" s="77" t="inlineStr">
        <is>
          <t>In person classes; online client meeting</t>
        </is>
      </c>
      <c r="V167" s="77" t="inlineStr">
        <is>
          <t>Yes</t>
        </is>
      </c>
      <c r="W167" s="77" t="inlineStr">
        <is>
          <t>Live consultancy project testing market opportunities and entry strategies for a client, with group report and presentation [1].</t>
        </is>
      </c>
      <c r="X167" s="77" t="inlineStr">
        <is>
          <t>Yes</t>
        </is>
      </c>
      <c r="Y167" s="77" t="inlineStr">
        <is>
          <t>Team-based project; group report (60%) and group oral presentation (25%) [1].</t>
        </is>
      </c>
      <c r="Z167" s="77" t="inlineStr">
        <is>
          <t>Yes</t>
        </is>
      </c>
      <c r="AA167" s="77" t="inlineStr">
        <is>
          <t>Course works 'with clients that are seeking to internationalise'; each team has a one-hour online client introduction meeting [1]; programme page describes internationalisation consultancy projects with real companies [2].</t>
        </is>
      </c>
      <c r="AB167" s="77" t="inlineStr">
        <is>
          <t>Business/commercial</t>
        </is>
      </c>
      <c r="AC167" s="77" t="inlineStr">
        <is>
          <t>Client firm briefs team (introduction meeting) and is the subject/recipient of the consultancy</t>
        </is>
      </c>
      <c r="AD167" s="77" t="inlineStr"/>
      <c r="AE167" s="77" t="inlineStr">
        <is>
          <t>Group consultancy report + group presentation; individual essay</t>
        </is>
      </c>
      <c r="AF167" s="77">
        <f>IF(OR(V167="No",X167="No",Z167="No"),"Outside strict definition",IF(AND(V167="Yes",X167="Yes",Z167="Yes"),"Meets all three","Potentially relevant; evidence incomplete"))</f>
        <v/>
      </c>
      <c r="AG167" s="77" t="inlineStr">
        <is>
          <t>Current delivery confirmed</t>
        </is>
      </c>
      <c r="AH167" s="77" t="inlineStr">
        <is>
          <t>2026/27</t>
        </is>
      </c>
      <c r="AI167" s="77" t="inlineStr">
        <is>
          <t>Yes</t>
        </is>
      </c>
      <c r="AJ167" s="77">
        <f>IF(AND(AI167="Yes",AF167="Meets all three",AG167="Current delivery confirmed"),"Yes","No")</f>
        <v/>
      </c>
      <c r="AK167" s="77" t="inlineStr"/>
      <c r="AL167" s="77" t="inlineStr">
        <is>
          <t>RG08-S04-R1; RG08-S04-R2</t>
        </is>
      </c>
      <c r="AM167" s="77" t="inlineStr">
        <is>
          <t>Whether compulsory on MSc International Business; whether the client receives/assesses the presentation; partner type 'Business/commercial' rests on 'firms'/'real companies' wording in summaries [1][2].</t>
        </is>
      </c>
      <c r="AN167" s="77" t="inlineStr"/>
      <c r="AO167" s="77" t="inlineStr">
        <is>
          <t>UK</t>
        </is>
      </c>
      <c r="AP167" s="77" t="inlineStr">
        <is>
          <t>UK – Russell Group</t>
        </is>
      </c>
      <c r="AQ167" s="77" t="inlineStr">
        <is>
          <t>~1 term/semester</t>
        </is>
      </c>
      <c r="AR167" s="77" t="inlineStr">
        <is>
          <t>All/standard</t>
        </is>
      </c>
      <c r="AS167" s="77" t="inlineStr"/>
    </row>
    <row r="168">
      <c r="A168" s="77" t="inlineStr">
        <is>
          <t>RG08</t>
        </is>
      </c>
      <c r="B168" s="77" t="inlineStr">
        <is>
          <t>Glasgow</t>
        </is>
      </c>
      <c r="C168" s="77" t="inlineStr">
        <is>
          <t>Programme/course</t>
        </is>
      </c>
      <c r="D168" s="77" t="inlineStr">
        <is>
          <t>RG08-S05</t>
        </is>
      </c>
      <c r="E168" s="77" t="inlineStr"/>
      <c r="F168" s="77" t="inlineStr">
        <is>
          <t>No</t>
        </is>
      </c>
      <c r="G168" s="79" t="inlineStr">
        <is>
          <t>Team Project 3 (Software Team Project)</t>
        </is>
      </c>
      <c r="H168" s="77" t="inlineStr">
        <is>
          <t>Team Project 3 (Software Team Project)</t>
        </is>
      </c>
      <c r="I168" s="77" t="inlineStr">
        <is>
          <t>COMPSCI3004</t>
        </is>
      </c>
      <c r="J168" s="77" t="inlineStr">
        <is>
          <t>Year-long third-year team software project for Computer Science and Software Engineering students with real customers: customers submit projects, students bid, the customer selects a team; teams work one day a week, meet the customer regularly on requirements and progress, and deliver a software product. Senior students mentor teams.</t>
        </is>
      </c>
      <c r="K168" s="77" t="inlineStr">
        <is>
          <t>School of Computing Science</t>
        </is>
      </c>
      <c r="L168" s="77" t="inlineStr">
        <is>
          <t>Third-year Computer Science and Software Engineering students</t>
        </is>
      </c>
      <c r="M168" s="77" t="inlineStr">
        <is>
          <t>Engineering/computing</t>
        </is>
      </c>
      <c r="N168" s="77" t="inlineStr">
        <is>
          <t>Undergraduate</t>
        </is>
      </c>
      <c r="O168" s="77" t="inlineStr">
        <is>
          <t>Year 3</t>
        </is>
      </c>
      <c r="P168" s="77" t="inlineStr">
        <is>
          <t>Entry requirements and co-requisite (Professional Software Development (H)) per catalogue</t>
        </is>
      </c>
      <c r="Q168" s="77" t="inlineStr">
        <is>
          <t>Unclear</t>
        </is>
      </c>
      <c r="R168" s="77" t="inlineStr">
        <is>
          <t>Curricular</t>
        </is>
      </c>
      <c r="S168" s="77" t="inlineStr">
        <is>
          <t>30 credits; four 25% components: progress demonstrations/requirements reviews, software engineering practice, final software product, case-study dissertation on team experience</t>
        </is>
      </c>
      <c r="T168" s="77" t="inlineStr">
        <is>
          <t>Year-long (one day per week)</t>
        </is>
      </c>
      <c r="U168" s="77" t="inlineStr">
        <is>
          <t>In person team lab-based, flipped classroom</t>
        </is>
      </c>
      <c r="V168" s="77" t="inlineStr">
        <is>
          <t>Yes</t>
        </is>
      </c>
      <c r="W168" s="77" t="inlineStr">
        <is>
          <t>Final software product for a customer's project [1][2].</t>
        </is>
      </c>
      <c r="X168" s="77" t="inlineStr">
        <is>
          <t>Yes</t>
        </is>
      </c>
      <c r="Y168" s="77" t="inlineStr">
        <is>
          <t>'substantial team based software project'; customer selects a team [1][2].</t>
        </is>
      </c>
      <c r="Z168" s="77" t="inlineStr">
        <is>
          <t>Yes</t>
        </is>
      </c>
      <c r="AA168" s="77" t="inlineStr">
        <is>
          <t>Customers submit projects, select a team, and meet students regularly on requirements and progress [1]; students work with a customer to elaborate and refine requirements [2].</t>
        </is>
      </c>
      <c r="AB168" s="77" t="inlineStr">
        <is>
          <t>Unclear</t>
        </is>
      </c>
      <c r="AC168" s="77" t="inlineStr">
        <is>
          <t>Customer supplies project, selects team, meets regularly</t>
        </is>
      </c>
      <c r="AD168" s="77" t="inlineStr"/>
      <c r="AE168" s="77" t="inlineStr">
        <is>
          <t>Working software product plus case-study dissertation</t>
        </is>
      </c>
      <c r="AF168" s="77">
        <f>IF(OR(V168="No",X168="No",Z168="No"),"Outside strict definition",IF(AND(V168="Yes",X168="Yes",Z168="Yes"),"Meets all three","Potentially relevant; evidence incomplete"))</f>
        <v/>
      </c>
      <c r="AG168" s="77" t="inlineStr">
        <is>
          <t>Current delivery confirmed</t>
        </is>
      </c>
      <c r="AH168" s="77" t="inlineStr">
        <is>
          <t>2026/27</t>
        </is>
      </c>
      <c r="AI168" s="77" t="inlineStr">
        <is>
          <t>Yes</t>
        </is>
      </c>
      <c r="AJ168" s="77">
        <f>IF(AND(AI168="Yes",AF168="Meets all three",AG168="Current delivery confirmed"),"Yes","No")</f>
        <v/>
      </c>
      <c r="AK168" s="77" t="inlineStr"/>
      <c r="AL168" s="77" t="inlineStr">
        <is>
          <t>RG08-S05-R1; RG08-S05-R2</t>
        </is>
      </c>
      <c r="AM168" s="77" t="inlineStr">
        <is>
          <t>Customers described as 'real customers'; sector/internal-vs-external mix not stated (some may be university staff). Compulsory status not stated. Software Team Project page undated.</t>
        </is>
      </c>
      <c r="AN168" s="77" t="inlineStr"/>
      <c r="AO168" s="77" t="inlineStr">
        <is>
          <t>UK</t>
        </is>
      </c>
      <c r="AP168" s="77" t="inlineStr">
        <is>
          <t>UK – Russell Group</t>
        </is>
      </c>
      <c r="AQ168" s="77" t="inlineStr">
        <is>
          <t>&gt;1 term</t>
        </is>
      </c>
      <c r="AR168" s="77" t="inlineStr">
        <is>
          <t>All/standard</t>
        </is>
      </c>
      <c r="AS168" s="77" t="inlineStr"/>
    </row>
    <row r="169">
      <c r="A169" s="77" t="inlineStr">
        <is>
          <t>RG08</t>
        </is>
      </c>
      <c r="B169" s="77" t="inlineStr">
        <is>
          <t>Glasgow</t>
        </is>
      </c>
      <c r="C169" s="77" t="inlineStr">
        <is>
          <t>Programme/course</t>
        </is>
      </c>
      <c r="D169" s="77" t="inlineStr">
        <is>
          <t>RG08-S06</t>
        </is>
      </c>
      <c r="E169" s="77" t="inlineStr"/>
      <c r="F169" s="77" t="inlineStr">
        <is>
          <t>No</t>
        </is>
      </c>
      <c r="G169" s="79" t="inlineStr">
        <is>
          <t>Entrepreneurial Ventures Management &amp; Growth</t>
        </is>
      </c>
      <c r="H169" s="77" t="inlineStr">
        <is>
          <t>Entrepreneurial Ventures Management &amp; Growth</t>
        </is>
      </c>
      <c r="I169" s="77" t="inlineStr">
        <is>
          <t>MGT4019</t>
        </is>
      </c>
      <c r="J169" s="77" t="inlineStr">
        <is>
          <t>UG Business course in which randomised teams of 4-5 each solve a real consultancy issue for a single client organisation (charities, social enterprises), with a practising consultant mentor per team; teams present to the teaching team then to their client and submit a report.</t>
        </is>
      </c>
      <c r="K169" s="77" t="inlineStr">
        <is>
          <t>Adam Smith Business School</t>
        </is>
      </c>
      <c r="L169" s="77" t="inlineStr">
        <is>
          <t>Third- and fourth-year undergraduates</t>
        </is>
      </c>
      <c r="M169" s="77" t="inlineStr">
        <is>
          <t>Business/management</t>
        </is>
      </c>
      <c r="N169" s="77" t="inlineStr">
        <is>
          <t>Undergraduate</t>
        </is>
      </c>
      <c r="O169" s="77" t="inlineStr">
        <is>
          <t>Years 3-4</t>
        </is>
      </c>
      <c r="P169" s="77" t="inlineStr">
        <is>
          <t>Not obtained</t>
        </is>
      </c>
      <c r="Q169" s="77" t="inlineStr">
        <is>
          <t>Optional/elective</t>
        </is>
      </c>
      <c r="R169" s="77" t="inlineStr">
        <is>
          <t>Curricular</t>
        </is>
      </c>
      <c r="S169" s="77" t="inlineStr">
        <is>
          <t>Not obtained (presentation, written report, individual reflection)</t>
        </is>
      </c>
      <c r="T169" s="77" t="inlineStr">
        <is>
          <t>Weeks 5-10 of a term (per case study)</t>
        </is>
      </c>
      <c r="U169" s="77" t="inlineStr">
        <is>
          <t>Teams with consultant mentors; client presentation week 9-10</t>
        </is>
      </c>
      <c r="V169" s="77" t="inlineStr">
        <is>
          <t>Yes</t>
        </is>
      </c>
      <c r="W169" s="77" t="inlineStr">
        <is>
          <t>Each group solves a real consultancy issue; report and presentation [1].</t>
        </is>
      </c>
      <c r="X169" s="77" t="inlineStr">
        <is>
          <t>Yes</t>
        </is>
      </c>
      <c r="Y169" s="77" t="inlineStr">
        <is>
          <t>Randomised teams of four or five [1].</t>
        </is>
      </c>
      <c r="Z169" s="77" t="inlineStr">
        <is>
          <t>Yes</t>
        </is>
      </c>
      <c r="AA169" s="77" t="inlineStr">
        <is>
          <t>Single real client organisation per group (charities/social enterprises); groups present to clients [1].</t>
        </is>
      </c>
      <c r="AB169" s="77" t="inlineStr">
        <is>
          <t>Charity/community</t>
        </is>
      </c>
      <c r="AC169" s="77" t="inlineStr">
        <is>
          <t>Client with real issue; receives presentation</t>
        </is>
      </c>
      <c r="AD169" s="77" t="inlineStr"/>
      <c r="AE169" s="77" t="inlineStr">
        <is>
          <t>Report, client presentation, individual reflection</t>
        </is>
      </c>
      <c r="AF169" s="77">
        <f>IF(OR(V169="No",X169="No",Z169="No"),"Outside strict definition",IF(AND(V169="Yes",X169="Yes",Z169="Yes"),"Meets all three","Potentially relevant; evidence incomplete"))</f>
        <v/>
      </c>
      <c r="AG169" s="77" t="inlineStr">
        <is>
          <t>Current status unclear</t>
        </is>
      </c>
      <c r="AH169" s="77" t="inlineStr">
        <is>
          <t>2023 (case study references)</t>
        </is>
      </c>
      <c r="AI169" s="77" t="inlineStr">
        <is>
          <t>Yes</t>
        </is>
      </c>
      <c r="AJ169" s="77">
        <f>IF(AND(AI169="Yes",AF169="Meets all three",AG169="Current delivery confirmed"),"Yes","No")</f>
        <v/>
      </c>
      <c r="AK169" s="77" t="inlineStr">
        <is>
          <t>50 students in the class (undated case study)</t>
        </is>
      </c>
      <c r="AL169" s="77" t="inlineStr">
        <is>
          <t>RG08-S06-R1</t>
        </is>
      </c>
      <c r="AM169" s="77" t="inlineStr">
        <is>
          <t>Case study undated and references 2023 and pandemic online delivery; course catalogue entry not checked, so current delivery unconfirmed; optional status inferred, not stated. Partner type 'charities and social enterprises' may not be exhaustive.</t>
        </is>
      </c>
      <c r="AN169" s="77" t="inlineStr"/>
      <c r="AO169" s="77" t="inlineStr">
        <is>
          <t>UK</t>
        </is>
      </c>
      <c r="AP169" s="77" t="inlineStr">
        <is>
          <t>UK – Russell Group</t>
        </is>
      </c>
      <c r="AQ169" s="77" t="inlineStr">
        <is>
          <t>~1 term/semester</t>
        </is>
      </c>
      <c r="AR169" s="77" t="inlineStr">
        <is>
          <t>All/standard</t>
        </is>
      </c>
      <c r="AS169" s="77" t="inlineStr"/>
    </row>
    <row r="170">
      <c r="A170" s="77" t="inlineStr">
        <is>
          <t>RG09</t>
        </is>
      </c>
      <c r="B170" s="77" t="inlineStr">
        <is>
          <t>Imperial College London</t>
        </is>
      </c>
      <c r="C170" s="77" t="inlineStr">
        <is>
          <t>Faculty/school</t>
        </is>
      </c>
      <c r="D170" s="77" t="inlineStr">
        <is>
          <t>RG09-S01</t>
        </is>
      </c>
      <c r="E170" s="77" t="inlineStr"/>
      <c r="F170" s="77" t="inlineStr">
        <is>
          <t>Yes</t>
        </is>
      </c>
      <c r="G170" s="79" t="inlineStr">
        <is>
          <t>Imperial Business School MSc Group Consulting Projects</t>
        </is>
      </c>
      <c r="H170" s="77" t="inlineStr">
        <is>
          <t>MSc Group Consulting Projects (cross-MSc client scheme)</t>
        </is>
      </c>
      <c r="I170" s="77" t="inlineStr"/>
      <c r="J170" s="77" t="inlineStr">
        <is>
          <t>Business School scheme in which organisations submit real business briefs; a team of 5-7 MSc students (drawn from seven MSc programmes including Management, Strategic Marketing, Business Analytics and Global Health Management) bids for and works on the brief for four to five weeks in June-July, delivering evidence-based recommendations presented to a panel of academics and company representatives. Free to the organisation.</t>
        </is>
      </c>
      <c r="K170" s="77" t="inlineStr">
        <is>
          <t>Imperial College Business School (Corporate Relations / Employer Relations)</t>
        </is>
      </c>
      <c r="L170" s="77" t="inlineStr">
        <is>
          <t>Seven Business School MSc programmes (Management, Strategic Marketing, Business Analytics, Global Health Management named)</t>
        </is>
      </c>
      <c r="M170" s="77" t="inlineStr">
        <is>
          <t>Business/management</t>
        </is>
      </c>
      <c r="N170" s="77" t="inlineStr">
        <is>
          <t>Postgraduate taught</t>
        </is>
      </c>
      <c r="O170" s="77" t="inlineStr">
        <is>
          <t>MSc, summer term</t>
        </is>
      </c>
      <c r="P170" s="77" t="inlineStr">
        <is>
          <t>Students of participating Business School MSc programmes only.</t>
        </is>
      </c>
      <c r="Q170" s="77" t="inlineStr">
        <is>
          <t>Optional/elective</t>
        </is>
      </c>
      <c r="R170" s="77" t="inlineStr">
        <is>
          <t>Curricular</t>
        </is>
      </c>
      <c r="S170" s="77" t="inlineStr">
        <is>
          <t>Credit varies by programme (e.g. 10 ECTS for Strategic Marketing Consulting Project); assessed within the programme capstone.</t>
        </is>
      </c>
      <c r="T170" s="77" t="inlineStr">
        <is>
          <t>4-5 weeks (June-July)</t>
        </is>
      </c>
      <c r="U170" s="77" t="inlineStr">
        <is>
          <t>Team consulting project for a live client; in-person, remote or hybrid</t>
        </is>
      </c>
      <c r="V170" s="77" t="inlineStr">
        <is>
          <t>Yes</t>
        </is>
      </c>
      <c r="W170" s="77" t="inlineStr">
        <is>
          <t>Real business challenge supplied by organisation; recommendations delivered (src 1, 3).</t>
        </is>
      </c>
      <c r="X170" s="77" t="inlineStr">
        <is>
          <t>Yes</t>
        </is>
      </c>
      <c r="Y170" s="77" t="inlineStr">
        <is>
          <t>Teams of five to seven MSc students (src 2, 3).</t>
        </is>
      </c>
      <c r="Z170" s="77" t="inlineStr">
        <is>
          <t>Yes</t>
        </is>
      </c>
      <c r="AA170" s="77" t="inlineStr">
        <is>
          <t>Companies submit briefs, work with the team, and company representatives sit on the final presentation panel (src 1); 87 companies partnered in a previous summer (src 4).</t>
        </is>
      </c>
      <c r="AB170" s="77" t="inlineStr">
        <is>
          <t>Business/commercial</t>
        </is>
      </c>
      <c r="AC170" s="77" t="inlineStr">
        <is>
          <t>Supplies brief/live problem; receives and hears recommendations; panel participation.</t>
        </is>
      </c>
      <c r="AD170" s="77" t="inlineStr">
        <is>
          <t>AlixPartners (one of 87 companies in a previous summer; year not shown on page extract, src 4).</t>
        </is>
      </c>
      <c r="AE170" s="77" t="inlineStr">
        <is>
          <t>Evidence-based recommendations / consulting report and presentation to client panel</t>
        </is>
      </c>
      <c r="AF170" s="77">
        <f>IF(OR(V170="No",X170="No",Z170="No"),"Outside strict definition",IF(AND(V170="Yes",X170="Yes",Z170="Yes"),"Meets all three","Potentially relevant; evidence incomplete"))</f>
        <v/>
      </c>
      <c r="AG170" s="77" t="inlineStr">
        <is>
          <t>Current delivery confirmed</t>
        </is>
      </c>
      <c r="AH170" s="77" t="inlineStr">
        <is>
          <t>2026</t>
        </is>
      </c>
      <c r="AI170" s="77" t="inlineStr">
        <is>
          <t>No</t>
        </is>
      </c>
      <c r="AJ170" s="77">
        <f>IF(AND(AI170="Yes",AF170="Meets all three",AG170="Current delivery confirmed"),"Yes","No")</f>
        <v/>
      </c>
      <c r="AK170" s="77" t="inlineStr">
        <is>
          <t>87 companies partnered (unit: companies; previous summer, year not stated on the extract; src 4).</t>
        </is>
      </c>
      <c r="AL170" s="77" t="inlineStr">
        <is>
          <t>RG09-S01-R1; RG09-S01-R2; RG09-S01-R3; RG09-S01-R4</t>
        </is>
      </c>
      <c r="AM170" s="77" t="inlineStr">
        <is>
          <t>Page extracts are search summaries (no verbatim quote); the 2026 call is an announcement of June-July 2026 delivery rather than a cohort report. Student numbers not published. Umbrella: children counted instead.</t>
        </is>
      </c>
      <c r="AN170" s="77" t="inlineStr"/>
      <c r="AO170" s="77" t="inlineStr">
        <is>
          <t>UK</t>
        </is>
      </c>
      <c r="AP170" s="77" t="inlineStr">
        <is>
          <t>UK – Russell Group</t>
        </is>
      </c>
      <c r="AQ170" s="77" t="inlineStr">
        <is>
          <t>1-4 weeks</t>
        </is>
      </c>
      <c r="AR170" s="77" t="inlineStr">
        <is>
          <t>All/standard</t>
        </is>
      </c>
      <c r="AS170" s="77" t="inlineStr">
        <is>
          <t>No (umbrella; children counted)</t>
        </is>
      </c>
    </row>
    <row r="171">
      <c r="A171" s="77" t="inlineStr">
        <is>
          <t>RG09</t>
        </is>
      </c>
      <c r="B171" s="77" t="inlineStr">
        <is>
          <t>Imperial College London</t>
        </is>
      </c>
      <c r="C171" s="77" t="inlineStr">
        <is>
          <t>Programme/course</t>
        </is>
      </c>
      <c r="D171" s="77" t="inlineStr">
        <is>
          <t>RG09-S02</t>
        </is>
      </c>
      <c r="E171" s="77" t="inlineStr">
        <is>
          <t>RG09-S01</t>
        </is>
      </c>
      <c r="F171" s="77" t="inlineStr">
        <is>
          <t>No</t>
        </is>
      </c>
      <c r="G171" s="79" t="inlineStr">
        <is>
          <t>Strategic Marketing Consulting Project</t>
        </is>
      </c>
      <c r="H171" s="77" t="inlineStr">
        <is>
          <t>MSc Strategic Marketing Consulting Project</t>
        </is>
      </c>
      <c r="I171" s="77" t="inlineStr">
        <is>
          <t>BUSI70292</t>
        </is>
      </c>
      <c r="J171" s="77" t="inlineStr">
        <is>
          <t>MSc Strategic Marketing students may choose, in the summer term, a Strategic Marketing Consulting Project (alternative to Case Study or Work Placement), working with a corporate sponsor/client in a team over about six weeks (past cohort).</t>
        </is>
      </c>
      <c r="K171" s="77" t="inlineStr">
        <is>
          <t>Imperial College Business School</t>
        </is>
      </c>
      <c r="L171" s="77" t="inlineStr">
        <is>
          <t>MSc Strategic Marketing (12-month route)</t>
        </is>
      </c>
      <c r="M171" s="77" t="inlineStr">
        <is>
          <t>Business/management</t>
        </is>
      </c>
      <c r="N171" s="77" t="inlineStr">
        <is>
          <t>Postgraduate taught</t>
        </is>
      </c>
      <c r="O171" s="77" t="inlineStr">
        <is>
          <t>MSc (summer term/summer period)</t>
        </is>
      </c>
      <c r="P171" s="77" t="inlineStr">
        <is>
          <t>Students on the named MSc programme; allocation by bidding and academic panel.</t>
        </is>
      </c>
      <c r="Q171" s="77" t="inlineStr">
        <is>
          <t>Optional/elective</t>
        </is>
      </c>
      <c r="R171" s="77" t="inlineStr">
        <is>
          <t>Curricular</t>
        </is>
      </c>
      <c r="S171" s="77" t="inlineStr">
        <is>
          <t>10 ECTS elective (Elective group C), Summer term</t>
        </is>
      </c>
      <c r="T171" s="77" t="inlineStr">
        <is>
          <t>June-July (past cohort: six weeks)</t>
        </is>
      </c>
      <c r="U171" s="77" t="inlineStr">
        <is>
          <t>Group consulting project for a client organisation; in-person, remote or hybrid</t>
        </is>
      </c>
      <c r="V171" s="77" t="inlineStr">
        <is>
          <t>Yes</t>
        </is>
      </c>
      <c r="W171" s="77" t="inlineStr">
        <is>
          <t>Module BUSI70292 listed in 2025-26 spec (src 1); client project (src 3).</t>
        </is>
      </c>
      <c r="X171" s="77" t="inlineStr">
        <is>
          <t>Yes</t>
        </is>
      </c>
      <c r="Y171" s="77" t="inlineStr">
        <is>
          <t>Umbrella scheme: teams of 5-7 across participating MSc programmes incl. Strategic Marketing (src 2).</t>
        </is>
      </c>
      <c r="Z171" s="77" t="inlineStr">
        <is>
          <t>Yes</t>
        </is>
      </c>
      <c r="AA171" s="77" t="inlineStr">
        <is>
          <t>Students work closely with the client from an assigned company (src 3); company panel hears final recommendations (src 2).</t>
        </is>
      </c>
      <c r="AB171" s="77" t="inlineStr">
        <is>
          <t>Business/commercial</t>
        </is>
      </c>
      <c r="AC171" s="77" t="inlineStr">
        <is>
          <t>Corporate sponsor supplies brief and works with team; company representatives on final panel.</t>
        </is>
      </c>
      <c r="AD171" s="77" t="inlineStr"/>
      <c r="AE171" s="77" t="inlineStr">
        <is>
          <t>Consulting recommendations/report and presentation</t>
        </is>
      </c>
      <c r="AF171" s="77">
        <f>IF(OR(V171="No",X171="No",Z171="No"),"Outside strict definition",IF(AND(V171="Yes",X171="Yes",Z171="Yes"),"Meets all three","Potentially relevant; evidence incomplete"))</f>
        <v/>
      </c>
      <c r="AG171" s="77" t="inlineStr">
        <is>
          <t>Current delivery confirmed</t>
        </is>
      </c>
      <c r="AH171" s="77" t="inlineStr">
        <is>
          <t>2026</t>
        </is>
      </c>
      <c r="AI171" s="77" t="inlineStr">
        <is>
          <t>Yes</t>
        </is>
      </c>
      <c r="AJ171" s="77">
        <f>IF(AND(AI171="Yes",AF171="Meets all three",AG171="Current delivery confirmed"),"Yes","No")</f>
        <v/>
      </c>
      <c r="AK171" s="77" t="inlineStr"/>
      <c r="AL171" s="77" t="inlineStr">
        <is>
          <t>RG09-S02-R1; RG09-S02-R2; RG09-S02-R3</t>
        </is>
      </c>
      <c r="AM171" s="77" t="inlineStr">
        <is>
          <t>Group format for this programme relies on the umbrella scheme page naming Strategic Marketing among participating MSc programmes (src 1 of S1 repeated as src 2); 2025-26 delivery shown by spec listing and 2026 call, not by a cohort report.</t>
        </is>
      </c>
      <c r="AN171" s="77" t="inlineStr"/>
      <c r="AO171" s="77" t="inlineStr">
        <is>
          <t>UK</t>
        </is>
      </c>
      <c r="AP171" s="77" t="inlineStr">
        <is>
          <t>UK – Russell Group</t>
        </is>
      </c>
      <c r="AQ171" s="77" t="inlineStr">
        <is>
          <t>1-4 weeks</t>
        </is>
      </c>
      <c r="AR171" s="77" t="inlineStr">
        <is>
          <t>All/standard</t>
        </is>
      </c>
      <c r="AS171" s="77" t="inlineStr"/>
    </row>
    <row r="172">
      <c r="A172" s="77" t="inlineStr">
        <is>
          <t>RG09</t>
        </is>
      </c>
      <c r="B172" s="77" t="inlineStr">
        <is>
          <t>Imperial College London</t>
        </is>
      </c>
      <c r="C172" s="77" t="inlineStr">
        <is>
          <t>Programme/course</t>
        </is>
      </c>
      <c r="D172" s="77" t="inlineStr">
        <is>
          <t>RG09-S03</t>
        </is>
      </c>
      <c r="E172" s="77" t="inlineStr">
        <is>
          <t>RG09-S01</t>
        </is>
      </c>
      <c r="F172" s="77" t="inlineStr">
        <is>
          <t>No</t>
        </is>
      </c>
      <c r="G172" s="79" t="inlineStr">
        <is>
          <t>MSc Business Analytics &amp; AI Consulting Project (capstone option)</t>
        </is>
      </c>
      <c r="H172" s="77" t="inlineStr">
        <is>
          <t>MSc Business Analytics &amp; AI consulting project</t>
        </is>
      </c>
      <c r="I172" s="77" t="inlineStr"/>
      <c r="J172" s="77" t="inlineStr">
        <is>
          <t>In the summer-term capstone, MSc Business Analytics &amp; AI students choose either a Work Placement or a Consulting Project, described as a substantial group-based project undertaken for a real client, managed from inception to completion.</t>
        </is>
      </c>
      <c r="K172" s="77" t="inlineStr">
        <is>
          <t>Imperial College Business School</t>
        </is>
      </c>
      <c r="L172" s="77" t="inlineStr">
        <is>
          <t>MSc Business Analytics &amp; AI (campus); online variant has its own spec</t>
        </is>
      </c>
      <c r="M172" s="77" t="inlineStr">
        <is>
          <t>Business/management</t>
        </is>
      </c>
      <c r="N172" s="77" t="inlineStr">
        <is>
          <t>Postgraduate taught</t>
        </is>
      </c>
      <c r="O172" s="77" t="inlineStr">
        <is>
          <t>MSc (summer term/summer period)</t>
        </is>
      </c>
      <c r="P172" s="77" t="inlineStr">
        <is>
          <t>Students on the named MSc programme; allocation by bidding and academic panel.</t>
        </is>
      </c>
      <c r="Q172" s="77" t="inlineStr">
        <is>
          <t>Optional/elective</t>
        </is>
      </c>
      <c r="R172" s="77" t="inlineStr">
        <is>
          <t>Curricular</t>
        </is>
      </c>
      <c r="S172" s="77" t="inlineStr">
        <is>
          <t>Capstone; credit not extracted</t>
        </is>
      </c>
      <c r="T172" s="77" t="inlineStr">
        <is>
          <t>Summer term (June-July)</t>
        </is>
      </c>
      <c r="U172" s="77" t="inlineStr">
        <is>
          <t>Group consulting project for a client organisation; in-person, remote or hybrid</t>
        </is>
      </c>
      <c r="V172" s="77" t="inlineStr">
        <is>
          <t>Yes</t>
        </is>
      </c>
      <c r="W172" s="77" t="inlineStr">
        <is>
          <t>Consulting Project is a substantial group-based project for a real client (src 1).</t>
        </is>
      </c>
      <c r="X172" s="77" t="inlineStr">
        <is>
          <t>Yes</t>
        </is>
      </c>
      <c r="Y172" s="77" t="inlineStr">
        <is>
          <t>'group-based project' (src 1); teams 5-7 (S1 src 2).</t>
        </is>
      </c>
      <c r="Z172" s="77" t="inlineStr">
        <is>
          <t>Yes</t>
        </is>
      </c>
      <c r="AA172" s="77" t="inlineStr">
        <is>
          <t>Real client; organisations that have collaborated include Agilisys, Burberry, Expedia, Johnson and Johnson, PropertyScape, Trench Capital, 55 UK (src 1, no year).</t>
        </is>
      </c>
      <c r="AB172" s="77" t="inlineStr">
        <is>
          <t>Business/commercial</t>
        </is>
      </c>
      <c r="AC172" s="77" t="inlineStr">
        <is>
          <t>Real client supplies brief; receives recommendations.</t>
        </is>
      </c>
      <c r="AD172" s="77" t="inlineStr">
        <is>
          <t>Agilisys, Burberry, Expedia, Johnson and Johnson, PropertyScape, Trench Capital, 55 UK (programme page, year not stated).</t>
        </is>
      </c>
      <c r="AE172" s="77" t="inlineStr">
        <is>
          <t>Consulting project report/recommendations</t>
        </is>
      </c>
      <c r="AF172" s="77">
        <f>IF(OR(V172="No",X172="No",Z172="No"),"Outside strict definition",IF(AND(V172="Yes",X172="Yes",Z172="Yes"),"Meets all three","Potentially relevant; evidence incomplete"))</f>
        <v/>
      </c>
      <c r="AG172" s="77" t="inlineStr">
        <is>
          <t>Current delivery confirmed</t>
        </is>
      </c>
      <c r="AH172" s="77" t="inlineStr">
        <is>
          <t>2026</t>
        </is>
      </c>
      <c r="AI172" s="77" t="inlineStr">
        <is>
          <t>Yes</t>
        </is>
      </c>
      <c r="AJ172" s="77">
        <f>IF(AND(AI172="Yes",AF172="Meets all three",AG172="Current delivery confirmed"),"Yes","No")</f>
        <v/>
      </c>
      <c r="AK172" s="77" t="inlineStr"/>
      <c r="AL172" s="77" t="inlineStr">
        <is>
          <t>RG09-S03-R1; RG09-S03-R2</t>
        </is>
      </c>
      <c r="AM172" s="77" t="inlineStr">
        <is>
          <t>Credit weighting and module code not extracted; client list on page not year-specific; no cohort size.</t>
        </is>
      </c>
      <c r="AN172" s="77" t="inlineStr"/>
      <c r="AO172" s="77" t="inlineStr">
        <is>
          <t>UK</t>
        </is>
      </c>
      <c r="AP172" s="77" t="inlineStr">
        <is>
          <t>UK – Russell Group</t>
        </is>
      </c>
      <c r="AQ172" s="77" t="inlineStr">
        <is>
          <t>1-4 weeks</t>
        </is>
      </c>
      <c r="AR172" s="77" t="inlineStr">
        <is>
          <t>All/standard</t>
        </is>
      </c>
      <c r="AS172" s="77" t="inlineStr"/>
    </row>
    <row r="173">
      <c r="A173" s="77" t="inlineStr">
        <is>
          <t>RG09</t>
        </is>
      </c>
      <c r="B173" s="77" t="inlineStr">
        <is>
          <t>Imperial College London</t>
        </is>
      </c>
      <c r="C173" s="77" t="inlineStr">
        <is>
          <t>Programme/course</t>
        </is>
      </c>
      <c r="D173" s="77" t="inlineStr">
        <is>
          <t>RG09-S04</t>
        </is>
      </c>
      <c r="E173" s="77" t="inlineStr">
        <is>
          <t>RG09-S01</t>
        </is>
      </c>
      <c r="F173" s="77" t="inlineStr">
        <is>
          <t>No</t>
        </is>
      </c>
      <c r="G173" s="79" t="inlineStr">
        <is>
          <t>MSc Management Consulting Project</t>
        </is>
      </c>
      <c r="H173" s="77" t="inlineStr">
        <is>
          <t>MSc in Management (MiM) consulting project</t>
        </is>
      </c>
      <c r="I173" s="77" t="inlineStr"/>
      <c r="J173" s="77" t="inlineStr">
        <is>
          <t>MiM students undertake a consulting project (July-August on the programme page) as a substantial group-based project for an actual client; past cohort worked with global companies (e.g. Lamborghini, Capco per older blog).</t>
        </is>
      </c>
      <c r="K173" s="77" t="inlineStr">
        <is>
          <t>Imperial College Business School</t>
        </is>
      </c>
      <c r="L173" s="77" t="inlineStr">
        <is>
          <t>MSc Management (MiM)</t>
        </is>
      </c>
      <c r="M173" s="77" t="inlineStr">
        <is>
          <t>Business/management</t>
        </is>
      </c>
      <c r="N173" s="77" t="inlineStr">
        <is>
          <t>Postgraduate taught</t>
        </is>
      </c>
      <c r="O173" s="77" t="inlineStr">
        <is>
          <t>MSc (summer term/summer period)</t>
        </is>
      </c>
      <c r="P173" s="77" t="inlineStr">
        <is>
          <t>Students on the named MSc programme; allocation by bidding and academic panel.</t>
        </is>
      </c>
      <c r="Q173" s="77" t="inlineStr">
        <is>
          <t>Optional/elective</t>
        </is>
      </c>
      <c r="R173" s="77" t="inlineStr">
        <is>
          <t>Curricular</t>
        </is>
      </c>
      <c r="S173" s="77" t="inlineStr">
        <is>
          <t>Credit not extracted</t>
        </is>
      </c>
      <c r="T173" s="77" t="inlineStr">
        <is>
          <t>July-August (programme page); older cohort three weeks</t>
        </is>
      </c>
      <c r="U173" s="77" t="inlineStr">
        <is>
          <t>Group consulting project for a client organisation; in-person, remote or hybrid</t>
        </is>
      </c>
      <c r="V173" s="77" t="inlineStr">
        <is>
          <t>Yes</t>
        </is>
      </c>
      <c r="W173" s="77" t="inlineStr">
        <is>
          <t>Consulting project for an actual client (src 1).</t>
        </is>
      </c>
      <c r="X173" s="77" t="inlineStr">
        <is>
          <t>Yes</t>
        </is>
      </c>
      <c r="Y173" s="77" t="inlineStr">
        <is>
          <t>Group-based (src 1); teams of 5-7 (S1 src 2).</t>
        </is>
      </c>
      <c r="Z173" s="77" t="inlineStr">
        <is>
          <t>Yes</t>
        </is>
      </c>
      <c r="AA173" s="77" t="inlineStr">
        <is>
          <t>Actual client (src 1); past clients include Lamborghini and Capco (src 2, several years old).</t>
        </is>
      </c>
      <c r="AB173" s="77" t="inlineStr">
        <is>
          <t>Business/commercial</t>
        </is>
      </c>
      <c r="AC173" s="77" t="inlineStr">
        <is>
          <t>Client supplies brief and receives recommendations.</t>
        </is>
      </c>
      <c r="AD173" s="77" t="inlineStr">
        <is>
          <t>Lamborghini, Capco (past cohort, blog undated/several years old)</t>
        </is>
      </c>
      <c r="AE173" s="77" t="inlineStr">
        <is>
          <t>Consulting recommendations</t>
        </is>
      </c>
      <c r="AF173" s="77">
        <f>IF(OR(V173="No",X173="No",Z173="No"),"Outside strict definition",IF(AND(V173="Yes",X173="Yes",Z173="Yes"),"Meets all three","Potentially relevant; evidence incomplete"))</f>
        <v/>
      </c>
      <c r="AG173" s="77" t="inlineStr">
        <is>
          <t>Current delivery confirmed</t>
        </is>
      </c>
      <c r="AH173" s="77" t="inlineStr">
        <is>
          <t>2026</t>
        </is>
      </c>
      <c r="AI173" s="77" t="inlineStr">
        <is>
          <t>Yes</t>
        </is>
      </c>
      <c r="AJ173" s="77">
        <f>IF(AND(AI173="Yes",AF173="Meets all three",AG173="Current delivery confirmed"),"Yes","No")</f>
        <v/>
      </c>
      <c r="AK173" s="77" t="inlineStr"/>
      <c r="AL173" s="77" t="inlineStr">
        <is>
          <t>RG09-S04-R1; RG09-S04-R2; RG09-S04-R3</t>
        </is>
      </c>
      <c r="AM173" s="77" t="inlineStr">
        <is>
          <t>Credit and module code not extracted; named clients are from an older blog; whether consulting project is compulsory or one of capstone options for MiM not confirmed.</t>
        </is>
      </c>
      <c r="AN173" s="77" t="inlineStr"/>
      <c r="AO173" s="77" t="inlineStr">
        <is>
          <t>UK</t>
        </is>
      </c>
      <c r="AP173" s="77" t="inlineStr">
        <is>
          <t>UK – Russell Group</t>
        </is>
      </c>
      <c r="AQ173" s="77" t="inlineStr">
        <is>
          <t>1-4 weeks</t>
        </is>
      </c>
      <c r="AR173" s="77" t="inlineStr">
        <is>
          <t>All/standard</t>
        </is>
      </c>
      <c r="AS173" s="77" t="inlineStr"/>
    </row>
    <row r="174">
      <c r="A174" s="77" t="inlineStr">
        <is>
          <t>RG09</t>
        </is>
      </c>
      <c r="B174" s="77" t="inlineStr">
        <is>
          <t>Imperial College London</t>
        </is>
      </c>
      <c r="C174" s="77" t="inlineStr">
        <is>
          <t>Programme/course</t>
        </is>
      </c>
      <c r="D174" s="77" t="inlineStr">
        <is>
          <t>RG09-S05</t>
        </is>
      </c>
      <c r="E174" s="77" t="inlineStr">
        <is>
          <t>RG09-S01</t>
        </is>
      </c>
      <c r="F174" s="77" t="inlineStr">
        <is>
          <t>No</t>
        </is>
      </c>
      <c r="G174" s="79" t="inlineStr">
        <is>
          <t>Consulting Project (MSc Economics &amp; Strategy for Business)</t>
        </is>
      </c>
      <c r="H174" s="77" t="inlineStr">
        <is>
          <t>MSc Economics &amp; Strategy for Business Consulting Project</t>
        </is>
      </c>
      <c r="I174" s="77" t="inlineStr"/>
      <c r="J174" s="77" t="inlineStr">
        <is>
          <t>A substantial group-based consulting project for a real client, June-July, within the MSc Economics &amp; Strategy for Business.</t>
        </is>
      </c>
      <c r="K174" s="77" t="inlineStr">
        <is>
          <t>Imperial College Business School</t>
        </is>
      </c>
      <c r="L174" s="77" t="inlineStr">
        <is>
          <t>MSc Economics &amp; Strategy for Business</t>
        </is>
      </c>
      <c r="M174" s="77" t="inlineStr">
        <is>
          <t>Business/management</t>
        </is>
      </c>
      <c r="N174" s="77" t="inlineStr">
        <is>
          <t>Postgraduate taught</t>
        </is>
      </c>
      <c r="O174" s="77" t="inlineStr">
        <is>
          <t>MSc (summer term/summer period)</t>
        </is>
      </c>
      <c r="P174" s="77" t="inlineStr">
        <is>
          <t>Students on the named MSc programme; allocation by bidding and academic panel.</t>
        </is>
      </c>
      <c r="Q174" s="77" t="inlineStr">
        <is>
          <t>Optional/elective</t>
        </is>
      </c>
      <c r="R174" s="77" t="inlineStr">
        <is>
          <t>Curricular</t>
        </is>
      </c>
      <c r="S174" s="77" t="inlineStr">
        <is>
          <t>Not extracted (2025-26 spec L100T exists)</t>
        </is>
      </c>
      <c r="T174" s="77" t="inlineStr">
        <is>
          <t>June-July</t>
        </is>
      </c>
      <c r="U174" s="77" t="inlineStr">
        <is>
          <t>Group consulting project for a client organisation; in-person, remote or hybrid</t>
        </is>
      </c>
      <c r="V174" s="77" t="inlineStr">
        <is>
          <t>Yes</t>
        </is>
      </c>
      <c r="W174" s="77" t="inlineStr">
        <is>
          <t>Substantial group-based project for a real client (src 1).</t>
        </is>
      </c>
      <c r="X174" s="77" t="inlineStr">
        <is>
          <t>Yes</t>
        </is>
      </c>
      <c r="Y174" s="77" t="inlineStr">
        <is>
          <t>Group-based (src 1).</t>
        </is>
      </c>
      <c r="Z174" s="77" t="inlineStr">
        <is>
          <t>Yes</t>
        </is>
      </c>
      <c r="AA174" s="77" t="inlineStr">
        <is>
          <t>Real client (src 1); no named clients.</t>
        </is>
      </c>
      <c r="AB174" s="77" t="inlineStr">
        <is>
          <t>Business/commercial</t>
        </is>
      </c>
      <c r="AC174" s="77" t="inlineStr">
        <is>
          <t>Client supplies brief.</t>
        </is>
      </c>
      <c r="AD174" s="77" t="inlineStr"/>
      <c r="AE174" s="77" t="inlineStr">
        <is>
          <t>Consulting project report</t>
        </is>
      </c>
      <c r="AF174" s="77">
        <f>IF(OR(V174="No",X174="No",Z174="No"),"Outside strict definition",IF(AND(V174="Yes",X174="Yes",Z174="Yes"),"Meets all three","Potentially relevant; evidence incomplete"))</f>
        <v/>
      </c>
      <c r="AG174" s="77" t="inlineStr">
        <is>
          <t>Current status unclear</t>
        </is>
      </c>
      <c r="AH174" s="77" t="inlineStr">
        <is>
          <t>2025/26 (programme spec exists; project delivery undated)</t>
        </is>
      </c>
      <c r="AI174" s="77" t="inlineStr">
        <is>
          <t>Yes</t>
        </is>
      </c>
      <c r="AJ174" s="77">
        <f>IF(AND(AI174="Yes",AF174="Meets all three",AG174="Current delivery confirmed"),"Yes","No")</f>
        <v/>
      </c>
      <c r="AK174" s="77" t="inlineStr"/>
      <c r="AL174" s="77" t="inlineStr">
        <is>
          <t>RG09-S05-R1</t>
        </is>
      </c>
      <c r="AM174" s="77" t="inlineStr">
        <is>
          <t>Current delivery for this programme not tied to a dated cohort source; whether compulsory not extracted; credit unknown.</t>
        </is>
      </c>
      <c r="AN174" s="77" t="inlineStr"/>
      <c r="AO174" s="77" t="inlineStr">
        <is>
          <t>UK</t>
        </is>
      </c>
      <c r="AP174" s="77" t="inlineStr">
        <is>
          <t>UK – Russell Group</t>
        </is>
      </c>
      <c r="AQ174" s="77" t="inlineStr">
        <is>
          <t>1-4 weeks</t>
        </is>
      </c>
      <c r="AR174" s="77" t="inlineStr">
        <is>
          <t>All/standard</t>
        </is>
      </c>
      <c r="AS174" s="77" t="inlineStr"/>
    </row>
    <row r="175">
      <c r="A175" s="77" t="inlineStr">
        <is>
          <t>RG09</t>
        </is>
      </c>
      <c r="B175" s="77" t="inlineStr">
        <is>
          <t>Imperial College London</t>
        </is>
      </c>
      <c r="C175" s="77" t="inlineStr">
        <is>
          <t>Programme/course</t>
        </is>
      </c>
      <c r="D175" s="77" t="inlineStr">
        <is>
          <t>RG09-S06</t>
        </is>
      </c>
      <c r="E175" s="77" t="inlineStr">
        <is>
          <t>RG09-S01</t>
        </is>
      </c>
      <c r="F175" s="77" t="inlineStr">
        <is>
          <t>No</t>
        </is>
      </c>
      <c r="G175" s="79" t="inlineStr">
        <is>
          <t>Consulting Project (MSc Climate Change, Management &amp; Finance)</t>
        </is>
      </c>
      <c r="H175" s="77" t="inlineStr">
        <is>
          <t>MSc Climate Change, Management &amp; Finance consulting project</t>
        </is>
      </c>
      <c r="I175" s="77" t="inlineStr"/>
      <c r="J175" s="77" t="inlineStr">
        <is>
          <t>Summer-term option: a client-based consulting project delivered for a real client by a team, as alternative to a work placement; example: decarbonisation strategy for a global food company.</t>
        </is>
      </c>
      <c r="K175" s="77" t="inlineStr">
        <is>
          <t>Imperial College Business School</t>
        </is>
      </c>
      <c r="L175" s="77" t="inlineStr">
        <is>
          <t>MSc Climate Change, Management &amp; Finance</t>
        </is>
      </c>
      <c r="M175" s="77" t="inlineStr">
        <is>
          <t>Business/management</t>
        </is>
      </c>
      <c r="N175" s="77" t="inlineStr">
        <is>
          <t>Postgraduate taught</t>
        </is>
      </c>
      <c r="O175" s="77" t="inlineStr">
        <is>
          <t>MSc (summer term/summer period)</t>
        </is>
      </c>
      <c r="P175" s="77" t="inlineStr">
        <is>
          <t>Students on the named MSc programme; allocation by bidding and academic panel.</t>
        </is>
      </c>
      <c r="Q175" s="77" t="inlineStr">
        <is>
          <t>Optional/elective</t>
        </is>
      </c>
      <c r="R175" s="77" t="inlineStr">
        <is>
          <t>Curricular</t>
        </is>
      </c>
      <c r="S175" s="77" t="inlineStr">
        <is>
          <t>Not extracted</t>
        </is>
      </c>
      <c r="T175" s="77" t="inlineStr">
        <is>
          <t>Summer term/vacation</t>
        </is>
      </c>
      <c r="U175" s="77" t="inlineStr">
        <is>
          <t>Group consulting project for a client organisation; in-person, remote or hybrid</t>
        </is>
      </c>
      <c r="V175" s="77" t="inlineStr">
        <is>
          <t>Yes</t>
        </is>
      </c>
      <c r="W175" s="77" t="inlineStr">
        <is>
          <t>Consulting project delivered for a real client (src 1).</t>
        </is>
      </c>
      <c r="X175" s="77" t="inlineStr">
        <is>
          <t>Yes</t>
        </is>
      </c>
      <c r="Y175" s="77" t="inlineStr">
        <is>
          <t>Students combine programme material with a specific problem 'as part of a team' (src 1).</t>
        </is>
      </c>
      <c r="Z175" s="77" t="inlineStr">
        <is>
          <t>Yes</t>
        </is>
      </c>
      <c r="AA175" s="77" t="inlineStr">
        <is>
          <t>Real client; partner companies (student blog example) (src 1).</t>
        </is>
      </c>
      <c r="AB175" s="77" t="inlineStr">
        <is>
          <t>Business/commercial</t>
        </is>
      </c>
      <c r="AC175" s="77" t="inlineStr">
        <is>
          <t>Client supplies problem.</t>
        </is>
      </c>
      <c r="AD175" s="77" t="inlineStr">
        <is>
          <t>Unnamed global food company (student blog example)</t>
        </is>
      </c>
      <c r="AE175" s="77" t="inlineStr">
        <is>
          <t>Consulting project output (e.g. decarbonisation strategy)</t>
        </is>
      </c>
      <c r="AF175" s="77">
        <f>IF(OR(V175="No",X175="No",Z175="No"),"Outside strict definition",IF(AND(V175="Yes",X175="Yes",Z175="Yes"),"Meets all three","Potentially relevant; evidence incomplete"))</f>
        <v/>
      </c>
      <c r="AG175" s="77" t="inlineStr">
        <is>
          <t>Current status unclear</t>
        </is>
      </c>
      <c r="AH175" s="77" t="inlineStr">
        <is>
          <t>2025/26 (programme spec only)</t>
        </is>
      </c>
      <c r="AI175" s="77" t="inlineStr">
        <is>
          <t>Yes</t>
        </is>
      </c>
      <c r="AJ175" s="77">
        <f>IF(AND(AI175="Yes",AF175="Meets all three",AG175="Current delivery confirmed"),"Yes","No")</f>
        <v/>
      </c>
      <c r="AK175" s="77" t="inlineStr"/>
      <c r="AL175" s="77" t="inlineStr">
        <is>
          <t>RG09-S06-R1</t>
        </is>
      </c>
      <c r="AM175" s="77" t="inlineStr">
        <is>
          <t>Credit, module code and current-year cohort not evidenced; team size and client list not found; page undated.</t>
        </is>
      </c>
      <c r="AN175" s="77" t="inlineStr"/>
      <c r="AO175" s="77" t="inlineStr">
        <is>
          <t>UK</t>
        </is>
      </c>
      <c r="AP175" s="77" t="inlineStr">
        <is>
          <t>UK – Russell Group</t>
        </is>
      </c>
      <c r="AQ175" s="77" t="inlineStr">
        <is>
          <t>Unclear</t>
        </is>
      </c>
      <c r="AR175" s="77" t="inlineStr">
        <is>
          <t>All/standard</t>
        </is>
      </c>
      <c r="AS175" s="77" t="inlineStr"/>
    </row>
    <row r="176">
      <c r="A176" s="77" t="inlineStr">
        <is>
          <t>RG09</t>
        </is>
      </c>
      <c r="B176" s="77" t="inlineStr">
        <is>
          <t>Imperial College London</t>
        </is>
      </c>
      <c r="C176" s="77" t="inlineStr">
        <is>
          <t>Programme/course</t>
        </is>
      </c>
      <c r="D176" s="77" t="inlineStr">
        <is>
          <t>RG09-S07</t>
        </is>
      </c>
      <c r="E176" s="77" t="inlineStr"/>
      <c r="F176" s="77" t="inlineStr">
        <is>
          <t>No</t>
        </is>
      </c>
      <c r="G176" s="79" t="inlineStr">
        <is>
          <t>Third-year MEng Group Project (Electrical and Electronic Engineering)</t>
        </is>
      </c>
      <c r="H176" s="77" t="inlineStr">
        <is>
          <t>EEE 3rd-year industry-proposed group project</t>
        </is>
      </c>
      <c r="I176" s="77" t="inlineStr"/>
      <c r="J176" s="77" t="inlineStr">
        <is>
          <t>Third-year MEng EEE students who do not take an industrial placement undertake a summer-term group project (about April-June). All projects are proposed by industry and addressed by groups of 5-7 students; each group has an industrial and an academic supervisor who guide and assess; work done at Imperial.</t>
        </is>
      </c>
      <c r="K176" s="77" t="inlineStr">
        <is>
          <t>Department of Electrical and Electronic Engineering</t>
        </is>
      </c>
      <c r="L176" s="77" t="inlineStr">
        <is>
          <t>MEng EEE / Electronic and Information Engineering / EEE with Management (third-year students not on placement)</t>
        </is>
      </c>
      <c r="M176" s="77" t="inlineStr">
        <is>
          <t>Engineering/computing</t>
        </is>
      </c>
      <c r="N176" s="77" t="inlineStr">
        <is>
          <t>Undergraduate</t>
        </is>
      </c>
      <c r="O176" s="77" t="inlineStr">
        <is>
          <t>Year 3 (MEng)</t>
        </is>
      </c>
      <c r="P176" s="77" t="inlineStr">
        <is>
          <t>MEng students who choose not to undertake an industrial placement.</t>
        </is>
      </c>
      <c r="Q176" s="77" t="inlineStr">
        <is>
          <t>Optional/elective</t>
        </is>
      </c>
      <c r="R176" s="77" t="inlineStr">
        <is>
          <t>Curricular</t>
        </is>
      </c>
      <c r="S176" s="77" t="inlineStr">
        <is>
          <t>Part of third-year MEng; credit not extracted</t>
        </is>
      </c>
      <c r="T176" s="77" t="inlineStr">
        <is>
          <t>Summer term (about April-June); 2024-25 spec: 3 month</t>
        </is>
      </c>
      <c r="U176" s="77" t="inlineStr">
        <is>
          <t>On-campus team project supervised by industry + academic</t>
        </is>
      </c>
      <c r="V176" s="77" t="inlineStr">
        <is>
          <t>Yes</t>
        </is>
      </c>
      <c r="W176" s="77" t="inlineStr">
        <is>
          <t>Projects proposed by industry, design/prototype (src 1, 2).</t>
        </is>
      </c>
      <c r="X176" s="77" t="inlineStr">
        <is>
          <t>Yes</t>
        </is>
      </c>
      <c r="Y176" s="77" t="inlineStr">
        <is>
          <t>Groups of 5 to 7 students (src 1).</t>
        </is>
      </c>
      <c r="Z176" s="77" t="inlineStr">
        <is>
          <t>Yes</t>
        </is>
      </c>
      <c r="AA176" s="77" t="inlineStr">
        <is>
          <t>All projects proposed by industry; supervised by industry; industrial supervisor guides and assesses outcomes (src 1).</t>
        </is>
      </c>
      <c r="AB176" s="77" t="inlineStr">
        <is>
          <t>Business/commercial</t>
        </is>
      </c>
      <c r="AC176" s="77" t="inlineStr">
        <is>
          <t>Proposes project, industrial supervisor, assessment input.</t>
        </is>
      </c>
      <c r="AD176" s="77" t="inlineStr"/>
      <c r="AE176" s="77" t="inlineStr">
        <is>
          <t>Design/prototype and report (not specified in extract)</t>
        </is>
      </c>
      <c r="AF176" s="77">
        <f>IF(OR(V176="No",X176="No",Z176="No"),"Outside strict definition",IF(AND(V176="Yes",X176="Yes",Z176="Yes"),"Meets all three","Potentially relevant; evidence incomplete"))</f>
        <v/>
      </c>
      <c r="AG176" s="77" t="inlineStr">
        <is>
          <t>Current status unclear</t>
        </is>
      </c>
      <c r="AH176" s="77" t="inlineStr">
        <is>
          <t>2024/25</t>
        </is>
      </c>
      <c r="AI176" s="77" t="inlineStr">
        <is>
          <t>Yes</t>
        </is>
      </c>
      <c r="AJ176" s="77">
        <f>IF(AND(AI176="Yes",AF176="Meets all three",AG176="Current delivery confirmed"),"Yes","No")</f>
        <v/>
      </c>
      <c r="AK176" s="77" t="inlineStr"/>
      <c r="AL176" s="77" t="inlineStr">
        <is>
          <t>RG09-S07-R1; RG09-S07-R2</t>
        </is>
      </c>
      <c r="AM176" s="77" t="inlineStr">
        <is>
          <t>Handbook page undated; 2025-26 specification extract refers only generally to design projects (team of 6-8) so 2025/26 delivery of this option not corroborated; 2024-25 spec describes the 3 month industry-proposed group project option. Credit not extracted.</t>
        </is>
      </c>
      <c r="AN176" s="77" t="inlineStr"/>
      <c r="AO176" s="77" t="inlineStr">
        <is>
          <t>UK</t>
        </is>
      </c>
      <c r="AP176" s="77" t="inlineStr">
        <is>
          <t>UK – Russell Group</t>
        </is>
      </c>
      <c r="AQ176" s="77" t="inlineStr">
        <is>
          <t>~1 term/semester</t>
        </is>
      </c>
      <c r="AR176" s="77" t="inlineStr">
        <is>
          <t>All/standard</t>
        </is>
      </c>
      <c r="AS176" s="77" t="inlineStr"/>
    </row>
    <row r="177">
      <c r="A177" s="77" t="inlineStr">
        <is>
          <t>RG09</t>
        </is>
      </c>
      <c r="B177" s="77" t="inlineStr">
        <is>
          <t>Imperial College London</t>
        </is>
      </c>
      <c r="C177" s="77" t="inlineStr">
        <is>
          <t>Programme/course</t>
        </is>
      </c>
      <c r="D177" s="77" t="inlineStr">
        <is>
          <t>RG09-S08</t>
        </is>
      </c>
      <c r="E177" s="77" t="inlineStr"/>
      <c r="F177" s="77" t="inlineStr">
        <is>
          <t>No</t>
        </is>
      </c>
      <c r="G177" s="79" t="inlineStr">
        <is>
          <t>Year 3 Software Engineering Group Project</t>
        </is>
      </c>
      <c r="H177" s="77" t="inlineStr">
        <is>
          <t>Third-year Software Engineering Group Project</t>
        </is>
      </c>
      <c r="I177" s="77" t="inlineStr">
        <is>
          <t>COMP60021</t>
        </is>
      </c>
      <c r="J177" s="77" t="inlineStr">
        <is>
          <t>Teams build software for a customer in four two-week iterations over a term, agreeing requirements with the customer each iteration, with consultations from an industrial software engineer; many (not all) projects are proposed by industry collaborators.</t>
        </is>
      </c>
      <c r="K177" s="77" t="inlineStr">
        <is>
          <t>Department of Computing</t>
        </is>
      </c>
      <c r="L177" s="77" t="inlineStr">
        <is>
          <t>Computing MEng/BEng and joint degrees (Year 3); MSc students also take software engineering group project</t>
        </is>
      </c>
      <c r="M177" s="77" t="inlineStr">
        <is>
          <t>Engineering/computing</t>
        </is>
      </c>
      <c r="N177" s="77" t="inlineStr">
        <is>
          <t>Undergraduate</t>
        </is>
      </c>
      <c r="O177" s="77" t="inlineStr">
        <is>
          <t>Year 3</t>
        </is>
      </c>
      <c r="P177" s="77" t="inlineStr">
        <is>
          <t>Computing programmes where listed as elective.</t>
        </is>
      </c>
      <c r="Q177" s="77" t="inlineStr">
        <is>
          <t>Optional/elective</t>
        </is>
      </c>
      <c r="R177" s="77" t="inlineStr">
        <is>
          <t>Curricular</t>
        </is>
      </c>
      <c r="S177" s="77" t="inlineStr">
        <is>
          <t>10 ECTS elective, Spring term (2025-26 MEng/BEng specs); marked by assessors with customer input and peer assessment</t>
        </is>
      </c>
      <c r="T177" s="77" t="inlineStr">
        <is>
          <t>One term (Spring), four two-week iterations</t>
        </is>
      </c>
      <c r="U177" s="77" t="inlineStr">
        <is>
          <t>Team software project with customer</t>
        </is>
      </c>
      <c r="V177" s="77" t="inlineStr">
        <is>
          <t>Yes</t>
        </is>
      </c>
      <c r="W177" s="77" t="inlineStr">
        <is>
          <t>Team develops and manages a relatively large-scale software project for a customer (src 1).</t>
        </is>
      </c>
      <c r="X177" s="77" t="inlineStr">
        <is>
          <t>Yes</t>
        </is>
      </c>
      <c r="Y177" s="77" t="inlineStr">
        <is>
          <t>Team project; projects suitable for 4-6 students; peer assessment (src 1, 2).</t>
        </is>
      </c>
      <c r="Z177" s="77" t="inlineStr">
        <is>
          <t>Unclear</t>
        </is>
      </c>
      <c r="AA177" s="77" t="inlineStr">
        <is>
          <t>Many of the group projects are proposed by industry collaborators; industrial partner commits two or three meetings and ad hoc email support; customer gives oral feedback and input to marking (src 1, 2). Not stated that all projects have external customers.</t>
        </is>
      </c>
      <c r="AB177" s="77" t="inlineStr">
        <is>
          <t>Business/commercial</t>
        </is>
      </c>
      <c r="AC177" s="77" t="inlineStr">
        <is>
          <t>Proposes project; acts as customer; feedback/input to assessment.</t>
        </is>
      </c>
      <c r="AD177" s="77" t="inlineStr"/>
      <c r="AE177" s="77" t="inlineStr">
        <is>
          <t>Working software, report and presentation</t>
        </is>
      </c>
      <c r="AF177" s="77">
        <f>IF(OR(V177="No",X177="No",Z177="No"),"Outside strict definition",IF(AND(V177="Yes",X177="Yes",Z177="Yes"),"Meets all three","Potentially relevant; evidence incomplete"))</f>
        <v/>
      </c>
      <c r="AG177" s="77" t="inlineStr">
        <is>
          <t>Current delivery confirmed</t>
        </is>
      </c>
      <c r="AH177" s="77" t="inlineStr">
        <is>
          <t>2025/26</t>
        </is>
      </c>
      <c r="AI177" s="77" t="inlineStr">
        <is>
          <t>Yes</t>
        </is>
      </c>
      <c r="AJ177" s="77">
        <f>IF(AND(AI177="Yes",AF177="Meets all three",AG177="Current delivery confirmed"),"Yes","No")</f>
        <v/>
      </c>
      <c r="AK177" s="77" t="inlineStr"/>
      <c r="AL177" s="77" t="inlineStr">
        <is>
          <t>RG09-S08-R1; RG09-S08-R2; RG09-S08-R3</t>
        </is>
      </c>
      <c r="AM177" s="77" t="inlineStr">
        <is>
          <t>Share of projects with external industrial customers (vs internal) not stated, so C is Unclear; 'many' proposed by industry only.</t>
        </is>
      </c>
      <c r="AN177" s="77" t="inlineStr"/>
      <c r="AO177" s="77" t="inlineStr">
        <is>
          <t>UK</t>
        </is>
      </c>
      <c r="AP177" s="77" t="inlineStr">
        <is>
          <t>UK – Russell Group</t>
        </is>
      </c>
      <c r="AQ177" s="77" t="inlineStr">
        <is>
          <t>~1 term/semester</t>
        </is>
      </c>
      <c r="AR177" s="77" t="inlineStr">
        <is>
          <t>Some projects</t>
        </is>
      </c>
      <c r="AS177" s="77" t="inlineStr"/>
    </row>
    <row r="178">
      <c r="A178" s="77" t="inlineStr">
        <is>
          <t>RG09</t>
        </is>
      </c>
      <c r="B178" s="77" t="inlineStr">
        <is>
          <t>Imperial College London</t>
        </is>
      </c>
      <c r="C178" s="77" t="inlineStr">
        <is>
          <t>Programme/course</t>
        </is>
      </c>
      <c r="D178" s="77" t="inlineStr">
        <is>
          <t>RG09-S09</t>
        </is>
      </c>
      <c r="E178" s="77" t="inlineStr"/>
      <c r="F178" s="77" t="inlineStr">
        <is>
          <t>No</t>
        </is>
      </c>
      <c r="G178" s="79" t="inlineStr">
        <is>
          <t>Third Year Group Design Project (Civil and Environmental Engineering)</t>
        </is>
      </c>
      <c r="H178" s="77" t="inlineStr">
        <is>
          <t>Civil Engineering Third Year Group Design Project</t>
        </is>
      </c>
      <c r="I178" s="77" t="inlineStr">
        <is>
          <t>Civil Engineering Design 3</t>
        </is>
      </c>
      <c r="J178" s="77" t="inlineStr">
        <is>
          <t>Intensive group design activity after summer-term exams in which Year 3 students work in teams on 'real' multi-faceted civil engineering projects; industry supervision sought via department industry links.</t>
        </is>
      </c>
      <c r="K178" s="77" t="inlineStr">
        <is>
          <t>Department of Civil and Environmental Engineering</t>
        </is>
      </c>
      <c r="L178" s="77" t="inlineStr">
        <is>
          <t>MEng Civil Engineering Year 3</t>
        </is>
      </c>
      <c r="M178" s="77" t="inlineStr">
        <is>
          <t>Engineering/computing</t>
        </is>
      </c>
      <c r="N178" s="77" t="inlineStr">
        <is>
          <t>Undergraduate</t>
        </is>
      </c>
      <c r="O178" s="77" t="inlineStr">
        <is>
          <t>Year 3</t>
        </is>
      </c>
      <c r="P178" s="77" t="inlineStr"/>
      <c r="Q178" s="77" t="inlineStr">
        <is>
          <t>Compulsory within specified programmes</t>
        </is>
      </c>
      <c r="R178" s="77" t="inlineStr">
        <is>
          <t>Curricular</t>
        </is>
      </c>
      <c r="S178" s="77" t="inlineStr">
        <is>
          <t>Core module Civil Engineering Design 3 (credit not extracted)</t>
        </is>
      </c>
      <c r="T178" s="77" t="inlineStr">
        <is>
          <t>Four weeks (department page); another page states 5.5 weeks</t>
        </is>
      </c>
      <c r="U178" s="77" t="inlineStr">
        <is>
          <t>Team design project with presentation and poster session</t>
        </is>
      </c>
      <c r="V178" s="77" t="inlineStr">
        <is>
          <t>Yes</t>
        </is>
      </c>
      <c r="W178" s="77" t="inlineStr">
        <is>
          <t>Engage students in 'real' multi-faceted Civil Engineering projects (src 1).</t>
        </is>
      </c>
      <c r="X178" s="77" t="inlineStr">
        <is>
          <t>Yes</t>
        </is>
      </c>
      <c r="Y178" s="77" t="inlineStr">
        <is>
          <t>Develop team working skills; students work in teams (src 1).</t>
        </is>
      </c>
      <c r="Z178" s="77" t="inlineStr">
        <is>
          <t>Unclear</t>
        </is>
      </c>
      <c r="AA178" s="77" t="inlineStr">
        <is>
          <t>Course page says module involves industrial partnering; department seeks industry supervisors for Year 3 Group Design Projects (src 2). No evidence that external organisations set briefs or assess every group.</t>
        </is>
      </c>
      <c r="AB178" s="77" t="inlineStr">
        <is>
          <t>Unclear</t>
        </is>
      </c>
      <c r="AC178" s="77" t="inlineStr">
        <is>
          <t>Industry supervision sought; exact role not evidenced.</t>
        </is>
      </c>
      <c r="AD178" s="77" t="inlineStr"/>
      <c r="AE178" s="77" t="inlineStr">
        <is>
          <t>Design report, presentation and poster</t>
        </is>
      </c>
      <c r="AF178" s="77">
        <f>IF(OR(V178="No",X178="No",Z178="No"),"Outside strict definition",IF(AND(V178="Yes",X178="Yes",Z178="Yes"),"Meets all three","Potentially relevant; evidence incomplete"))</f>
        <v/>
      </c>
      <c r="AG178" s="77" t="inlineStr">
        <is>
          <t>Current status unclear</t>
        </is>
      </c>
      <c r="AH178" s="77" t="inlineStr">
        <is>
          <t>undated</t>
        </is>
      </c>
      <c r="AI178" s="77" t="inlineStr">
        <is>
          <t>Yes</t>
        </is>
      </c>
      <c r="AJ178" s="77">
        <f>IF(AND(AI178="Yes",AF178="Meets all three",AG178="Current delivery confirmed"),"Yes","No")</f>
        <v/>
      </c>
      <c r="AK178" s="77" t="inlineStr"/>
      <c r="AL178" s="77" t="inlineStr">
        <is>
          <t>RG09-S09-R1; RG09-S09-R2</t>
        </is>
      </c>
      <c r="AM178" s="77" t="inlineStr">
        <is>
          <t>Industry role, share of projects with external supervisors/clients, current-year delivery, credit, and whether compulsory are unconfirmed; duration discrepancy 4 vs 5.5 weeks.</t>
        </is>
      </c>
      <c r="AN178" s="77" t="inlineStr"/>
      <c r="AO178" s="77" t="inlineStr">
        <is>
          <t>UK</t>
        </is>
      </c>
      <c r="AP178" s="77" t="inlineStr">
        <is>
          <t>UK – Russell Group</t>
        </is>
      </c>
      <c r="AQ178" s="77" t="inlineStr">
        <is>
          <t>1-4 weeks</t>
        </is>
      </c>
      <c r="AR178" s="77" t="inlineStr">
        <is>
          <t>Unclear</t>
        </is>
      </c>
      <c r="AS178" s="77" t="inlineStr"/>
    </row>
    <row r="179">
      <c r="A179" s="77" t="inlineStr">
        <is>
          <t>RG09</t>
        </is>
      </c>
      <c r="B179" s="77" t="inlineStr">
        <is>
          <t>Imperial College London</t>
        </is>
      </c>
      <c r="C179" s="77" t="inlineStr">
        <is>
          <t>Programme/course</t>
        </is>
      </c>
      <c r="D179" s="77" t="inlineStr">
        <is>
          <t>RG09-S10</t>
        </is>
      </c>
      <c r="E179" s="77" t="inlineStr"/>
      <c r="F179" s="77" t="inlineStr">
        <is>
          <t>No</t>
        </is>
      </c>
      <c r="G179" s="79" t="inlineStr">
        <is>
          <t>Group Design Project (MSc Transport / Transport with Data Science)</t>
        </is>
      </c>
      <c r="H179" s="77" t="inlineStr">
        <is>
          <t>MSc Transport Group Design Project</t>
        </is>
      </c>
      <c r="I179" s="77" t="inlineStr"/>
      <c r="J179" s="77" t="inlineStr">
        <is>
          <t>Four-week full-time summer group design project in which teams work with clients to develop briefs into a feasibility and outline design study of a transport engineering problem; MSc Transport with Data Science students also have a partner project with World Bank project teams.</t>
        </is>
      </c>
      <c r="K179" s="77" t="inlineStr">
        <is>
          <t>Department of Civil and Environmental Engineering</t>
        </is>
      </c>
      <c r="L179" s="77" t="inlineStr">
        <is>
          <t>MSc Transport; MSc Transport with Data Science</t>
        </is>
      </c>
      <c r="M179" s="77" t="inlineStr">
        <is>
          <t>Engineering/computing</t>
        </is>
      </c>
      <c r="N179" s="77" t="inlineStr">
        <is>
          <t>Postgraduate taught</t>
        </is>
      </c>
      <c r="O179" s="77" t="inlineStr">
        <is>
          <t>MSc, summer</t>
        </is>
      </c>
      <c r="P179" s="77" t="inlineStr"/>
      <c r="Q179" s="77" t="inlineStr">
        <is>
          <t>Compulsory within specified programmes</t>
        </is>
      </c>
      <c r="R179" s="77" t="inlineStr">
        <is>
          <t>Curricular</t>
        </is>
      </c>
      <c r="S179" s="77" t="inlineStr">
        <is>
          <t>Not extracted</t>
        </is>
      </c>
      <c r="T179" s="77" t="inlineStr">
        <is>
          <t>Four weeks full-time</t>
        </is>
      </c>
      <c r="U179" s="77" t="inlineStr">
        <is>
          <t>Team design project</t>
        </is>
      </c>
      <c r="V179" s="77" t="inlineStr">
        <is>
          <t>Yes</t>
        </is>
      </c>
      <c r="W179" s="77" t="inlineStr">
        <is>
          <t>Feasibility and outline design study from client briefs (src 1).</t>
        </is>
      </c>
      <c r="X179" s="77" t="inlineStr">
        <is>
          <t>Yes</t>
        </is>
      </c>
      <c r="Y179" s="77" t="inlineStr">
        <is>
          <t>Work in teams on a significant piece of transport engineering design (src 1).</t>
        </is>
      </c>
      <c r="Z179" s="77" t="inlineStr">
        <is>
          <t>Unclear</t>
        </is>
      </c>
      <c r="AA179" s="77" t="inlineStr">
        <is>
          <t>Teams work with clients; page cites industrial partnership on projects; separate World Bank partner project (src 1, 2). Identity/external status of clients for the Group Design Project not evidenced.</t>
        </is>
      </c>
      <c r="AB179" s="77" t="inlineStr">
        <is>
          <t>Unclear</t>
        </is>
      </c>
      <c r="AC179" s="77" t="inlineStr">
        <is>
          <t>Clients develop briefs with students; World Bank teams on partner project (group status not shown).</t>
        </is>
      </c>
      <c r="AD179" s="77" t="inlineStr">
        <is>
          <t>World Bank (partner project, Transport with Data Science; year not stated)</t>
        </is>
      </c>
      <c r="AE179" s="77" t="inlineStr">
        <is>
          <t>Feasibility and outline design study</t>
        </is>
      </c>
      <c r="AF179" s="77">
        <f>IF(OR(V179="No",X179="No",Z179="No"),"Outside strict definition",IF(AND(V179="Yes",X179="Yes",Z179="Yes"),"Meets all three","Potentially relevant; evidence incomplete"))</f>
        <v/>
      </c>
      <c r="AG179" s="77" t="inlineStr">
        <is>
          <t>Current status unclear</t>
        </is>
      </c>
      <c r="AH179" s="77" t="inlineStr">
        <is>
          <t>2024/25</t>
        </is>
      </c>
      <c r="AI179" s="77" t="inlineStr">
        <is>
          <t>Yes</t>
        </is>
      </c>
      <c r="AJ179" s="77">
        <f>IF(AND(AI179="Yes",AF179="Meets all three",AG179="Current delivery confirmed"),"Yes","No")</f>
        <v/>
      </c>
      <c r="AK179" s="77" t="inlineStr"/>
      <c r="AL179" s="77" t="inlineStr">
        <is>
          <t>RG09-S10-R1; RG09-S10-R2</t>
        </is>
      </c>
      <c r="AM179" s="77" t="inlineStr">
        <is>
          <t>Who the 'clients' are (external vs staff), 2025/26 delivery for Transport with Data Science (2024-25 spec seen; 2025-26 Transport spec exists), credit.</t>
        </is>
      </c>
      <c r="AN179" s="77" t="inlineStr"/>
      <c r="AO179" s="77" t="inlineStr">
        <is>
          <t>UK</t>
        </is>
      </c>
      <c r="AP179" s="77" t="inlineStr">
        <is>
          <t>UK – Russell Group</t>
        </is>
      </c>
      <c r="AQ179" s="77" t="inlineStr">
        <is>
          <t>1-4 weeks</t>
        </is>
      </c>
      <c r="AR179" s="77" t="inlineStr">
        <is>
          <t>Unclear</t>
        </is>
      </c>
      <c r="AS179" s="77" t="inlineStr"/>
    </row>
    <row r="180">
      <c r="A180" s="77" t="inlineStr">
        <is>
          <t>RG09</t>
        </is>
      </c>
      <c r="B180" s="77" t="inlineStr">
        <is>
          <t>Imperial College London</t>
        </is>
      </c>
      <c r="C180" s="77" t="inlineStr">
        <is>
          <t>Programme/course</t>
        </is>
      </c>
      <c r="D180" s="77" t="inlineStr">
        <is>
          <t>RG09-S11</t>
        </is>
      </c>
      <c r="E180" s="77" t="inlineStr"/>
      <c r="F180" s="77" t="inlineStr">
        <is>
          <t>No</t>
        </is>
      </c>
      <c r="G180" s="79" t="inlineStr">
        <is>
          <t>Hounslow Heath Project (MSc Environmental Technology: Environmental Assessment and Management option)</t>
        </is>
      </c>
      <c r="H180" s="77" t="inlineStr">
        <is>
          <t>Hounslow Heath contaminated-land group project for Hounslow Borough Council</t>
        </is>
      </c>
      <c r="I180" s="77" t="inlineStr"/>
      <c r="J180" s="77" t="inlineStr">
        <is>
          <t>Group case-study project on contaminated land/water near Heathrow run for Hounslow Borough Council; assessed by a group technical report to a real client, team presentations to the client on completion, and an individual interview. Undertaken in collaboration with the Integrated Water Management option.</t>
        </is>
      </c>
      <c r="K180" s="77" t="inlineStr">
        <is>
          <t>Centre for Environmental Policy (Faculty of Natural Sciences)</t>
        </is>
      </c>
      <c r="L180" s="77" t="inlineStr">
        <is>
          <t>MSc Environmental Technology, Environmental Assessment and Management (EAM) option (IWM students collaborate)</t>
        </is>
      </c>
      <c r="M180" s="77" t="inlineStr">
        <is>
          <t>Science</t>
        </is>
      </c>
      <c r="N180" s="77" t="inlineStr">
        <is>
          <t>Postgraduate taught</t>
        </is>
      </c>
      <c r="O180" s="77" t="inlineStr">
        <is>
          <t>MSc</t>
        </is>
      </c>
      <c r="P180" s="77" t="inlineStr">
        <is>
          <t>Students on EAM option (and IWM collaboration).</t>
        </is>
      </c>
      <c r="Q180" s="77" t="inlineStr">
        <is>
          <t>Compulsory within specified programmes</t>
        </is>
      </c>
      <c r="R180" s="77" t="inlineStr">
        <is>
          <t>Curricular</t>
        </is>
      </c>
      <c r="S180" s="77" t="inlineStr">
        <is>
          <t>Group technical report to client + individual interview (weighting not extracted)</t>
        </is>
      </c>
      <c r="T180" s="77" t="inlineStr">
        <is>
          <t>Part of option coursework (length not extracted)</t>
        </is>
      </c>
      <c r="U180" s="77" t="inlineStr">
        <is>
          <t>Team project with client presentation</t>
        </is>
      </c>
      <c r="V180" s="77" t="inlineStr">
        <is>
          <t>Yes</t>
        </is>
      </c>
      <c r="W180" s="77" t="inlineStr">
        <is>
          <t>Group technical report to a real client on contaminated land (src 1).</t>
        </is>
      </c>
      <c r="X180" s="77" t="inlineStr">
        <is>
          <t>Yes</t>
        </is>
      </c>
      <c r="Y180" s="77" t="inlineStr">
        <is>
          <t>Group technical report and team presentations to the client (src 1).</t>
        </is>
      </c>
      <c r="Z180" s="77" t="inlineStr">
        <is>
          <t>Yes</t>
        </is>
      </c>
      <c r="AA180" s="77" t="inlineStr">
        <is>
          <t>Project is run for Hounslow Borough Council; team presentations are made to the client on completion; a group technical report to a real client (src 1, 2).</t>
        </is>
      </c>
      <c r="AB180" s="77" t="inlineStr">
        <is>
          <t>Public sector</t>
        </is>
      </c>
      <c r="AC180" s="77" t="inlineStr">
        <is>
          <t>Real client: receives team presentations and report; collaboration in project.</t>
        </is>
      </c>
      <c r="AD180" s="77" t="inlineStr">
        <is>
          <t>Hounslow Borough Council (2025-26 spec)</t>
        </is>
      </c>
      <c r="AE180" s="77" t="inlineStr">
        <is>
          <t>Group technical report and client presentation</t>
        </is>
      </c>
      <c r="AF180" s="77">
        <f>IF(OR(V180="No",X180="No",Z180="No"),"Outside strict definition",IF(AND(V180="Yes",X180="Yes",Z180="Yes"),"Meets all three","Potentially relevant; evidence incomplete"))</f>
        <v/>
      </c>
      <c r="AG180" s="77" t="inlineStr">
        <is>
          <t>Current delivery confirmed</t>
        </is>
      </c>
      <c r="AH180" s="77" t="inlineStr">
        <is>
          <t>2025/26</t>
        </is>
      </c>
      <c r="AI180" s="77" t="inlineStr">
        <is>
          <t>Yes</t>
        </is>
      </c>
      <c r="AJ180" s="77">
        <f>IF(AND(AI180="Yes",AF180="Meets all three",AG180="Current delivery confirmed"),"Yes","No")</f>
        <v/>
      </c>
      <c r="AK180" s="77" t="inlineStr"/>
      <c r="AL180" s="77" t="inlineStr">
        <is>
          <t>RG09-S11-R1; RG09-S11-R2</t>
        </is>
      </c>
      <c r="AM180" s="77" t="inlineStr">
        <is>
          <t>Duration/credit weighting not extracted; programme renamed MSc Sustainability, Environmental Policy and Innovation from 2027 so arrangements may change; Integrated Water Management's own case study is simulated (not counted).</t>
        </is>
      </c>
      <c r="AN180" s="77" t="inlineStr"/>
      <c r="AO180" s="77" t="inlineStr">
        <is>
          <t>UK</t>
        </is>
      </c>
      <c r="AP180" s="77" t="inlineStr">
        <is>
          <t>UK – Russell Group</t>
        </is>
      </c>
      <c r="AQ180" s="77" t="inlineStr">
        <is>
          <t>Unclear</t>
        </is>
      </c>
      <c r="AR180" s="77" t="inlineStr">
        <is>
          <t>All/standard</t>
        </is>
      </c>
      <c r="AS180" s="77" t="inlineStr"/>
    </row>
    <row r="181">
      <c r="A181" s="77" t="inlineStr">
        <is>
          <t>RG10</t>
        </is>
      </c>
      <c r="B181" s="77" t="inlineStr">
        <is>
          <t>King’s College London</t>
        </is>
      </c>
      <c r="C181" s="77" t="inlineStr">
        <is>
          <t>Faculty/school</t>
        </is>
      </c>
      <c r="D181" s="77" t="inlineStr">
        <is>
          <t>RG10-S01</t>
        </is>
      </c>
      <c r="E181" s="77" t="inlineStr"/>
      <c r="F181" s="77" t="inlineStr">
        <is>
          <t>No</t>
        </is>
      </c>
      <c r="G181" s="79" t="inlineStr">
        <is>
          <t>King's Business School Consultancy (Strategy consultancy support for London enterprises; originally Business Consultancy Scheme)</t>
        </is>
      </c>
      <c r="H181" s="77" t="inlineStr">
        <is>
          <t>King's Business School Consultancy</t>
        </is>
      </c>
      <c r="I181" s="77" t="inlineStr"/>
      <c r="J181" s="77" t="inlineStr">
        <is>
          <t>King's Business School offers up to 15 enterprises in its local boroughs free consultancy. Each enterprise gets a team of 3-4 final-year undergraduate consultants from economics, business and/or management degrees. Topics include HR planning, marketing and social media, financial analysis, strategy and data analysis. Teams finish by delivering a final analysis and recommendations as a presentation and written report to the client. Projects are supervised by the Vice Dean Education. The scheme started as a pilot with Westminster City Council: 18 final-year students from BSc Business Management and BSc Economics &amp; Management were selected and split into five groups.</t>
        </is>
      </c>
      <c r="K181" s="77" t="inlineStr">
        <is>
          <t>King's Business School</t>
        </is>
      </c>
      <c r="L181" s="77" t="inlineStr">
        <is>
          <t>Final-year undergraduates on economics, business and/or management degrees (pilot: BSc Business Management, BSc Economics &amp; Management)</t>
        </is>
      </c>
      <c r="M181" s="77" t="inlineStr">
        <is>
          <t>Business/management</t>
        </is>
      </c>
      <c r="N181" s="77" t="inlineStr">
        <is>
          <t>Undergraduate</t>
        </is>
      </c>
      <c r="O181" s="77" t="inlineStr">
        <is>
          <t>Final year</t>
        </is>
      </c>
      <c r="P181" s="77" t="inlineStr">
        <is>
          <t>Final-year KBS economics/business/management undergraduates; pilot students were selected</t>
        </is>
      </c>
      <c r="Q181" s="77" t="inlineStr">
        <is>
          <t>Selective/competitive</t>
        </is>
      </c>
      <c r="R181" s="77" t="inlineStr">
        <is>
          <t>Unclear</t>
        </is>
      </c>
      <c r="S181" s="77" t="inlineStr">
        <is>
          <t>No credit or assessment evidenced</t>
        </is>
      </c>
      <c r="T181" s="77" t="inlineStr">
        <is>
          <t>Programme length not stated; a 'summer 2026 programme' is advertised, and one result also mentions a closing week of w/c 30 November</t>
        </is>
      </c>
      <c r="U181" s="77" t="inlineStr">
        <is>
          <t>Consultancy teams working with local enterprises; presentation + written report</t>
        </is>
      </c>
      <c r="V181" s="77" t="inlineStr">
        <is>
          <t>Yes</t>
        </is>
      </c>
      <c r="W181" s="77" t="inlineStr">
        <is>
          <t>Defined consultancy brief for an enterprise, ending in final analysis and recommendations as a presentation and written report [1].</t>
        </is>
      </c>
      <c r="X181" s="77" t="inlineStr">
        <is>
          <t>Yes</t>
        </is>
      </c>
      <c r="Y181" s="77" t="inlineStr">
        <is>
          <t>'a student consultancy team of three to four students' per enterprise [1]; pilot students split into five groups [2].</t>
        </is>
      </c>
      <c r="Z181" s="77" t="inlineStr">
        <is>
          <t>Yes</t>
        </is>
      </c>
      <c r="AA181" s="77" t="inlineStr">
        <is>
          <t>Local enterprises are the clients: they receive free consultancy, and the presentation and written report are delivered to them; students may sign NDAs at the client's request [1].</t>
        </is>
      </c>
      <c r="AB181" s="77" t="inlineStr">
        <is>
          <t>Business/commercial</t>
        </is>
      </c>
      <c r="AC181" s="77" t="inlineStr">
        <is>
          <t>Client enterprise sets the business issue and receives the recommendations; the pilot was run in partnership with Westminster City Council (public sector)</t>
        </is>
      </c>
      <c r="AD181" s="77" t="inlineStr">
        <is>
          <t>Westminster City Council (pilot partner; year not shown in extract)</t>
        </is>
      </c>
      <c r="AE181" s="77" t="inlineStr">
        <is>
          <t>Client presentation + written report of recommendations</t>
        </is>
      </c>
      <c r="AF181" s="77">
        <f>IF(OR(V181="No",X181="No",Z181="No"),"Outside strict definition",IF(AND(V181="Yes",X181="Yes",Z181="Yes"),"Meets all three","Potentially relevant; evidence incomplete"))</f>
        <v/>
      </c>
      <c r="AG181" s="77" t="inlineStr">
        <is>
          <t>Current delivery confirmed</t>
        </is>
      </c>
      <c r="AH181" s="77" t="inlineStr">
        <is>
          <t>2026</t>
        </is>
      </c>
      <c r="AI181" s="77" t="inlineStr">
        <is>
          <t>Yes</t>
        </is>
      </c>
      <c r="AJ181" s="77">
        <f>IF(AND(AI181="Yes",AF181="Meets all three",AG181="Current delivery confirmed"),"Yes","No")</f>
        <v/>
      </c>
      <c r="AK181" s="77" t="inlineStr">
        <is>
          <t>Up to 15 enterprises per round (capacity, page undated); pilot: 18 students in 5 groups (year not shown)</t>
        </is>
      </c>
      <c r="AL181" s="77" t="inlineStr">
        <is>
          <t>RG10-S01-R1; RG10-S01-R2</t>
        </is>
      </c>
      <c r="AM181" s="77" t="inlineStr">
        <is>
          <t>Whether the scheme carries credit; exact timing (the summer 2026 call conflicts with the 'w/c 30 November' close); how students are selected now. Current status rests on the page saying applications for the summer 2026 programme are open.</t>
        </is>
      </c>
      <c r="AN181" s="77" t="inlineStr"/>
      <c r="AO181" s="77" t="inlineStr">
        <is>
          <t>UK</t>
        </is>
      </c>
      <c r="AP181" s="77" t="inlineStr">
        <is>
          <t>UK – Russell Group</t>
        </is>
      </c>
      <c r="AQ181" s="77" t="inlineStr">
        <is>
          <t>Unclear</t>
        </is>
      </c>
      <c r="AR181" s="77" t="inlineStr">
        <is>
          <t>All/standard</t>
        </is>
      </c>
      <c r="AS181" s="77" t="inlineStr"/>
    </row>
    <row r="182">
      <c r="A182" s="77" t="inlineStr">
        <is>
          <t>RG10</t>
        </is>
      </c>
      <c r="B182" s="77" t="inlineStr">
        <is>
          <t>King’s College London</t>
        </is>
      </c>
      <c r="C182" s="77" t="inlineStr">
        <is>
          <t>Programme/course</t>
        </is>
      </c>
      <c r="D182" s="77" t="inlineStr">
        <is>
          <t>RG10-S02</t>
        </is>
      </c>
      <c r="E182" s="77" t="inlineStr"/>
      <c r="F182" s="77" t="inlineStr">
        <is>
          <t>No</t>
        </is>
      </c>
      <c r="G182" s="79" t="inlineStr">
        <is>
          <t>PPM Consultancy</t>
        </is>
      </c>
      <c r="H182" s="77" t="inlineStr">
        <is>
          <t>PPM Consultancy (MSc Public Policy &amp; Management)</t>
        </is>
      </c>
      <c r="I182" s="77" t="inlineStr"/>
      <c r="J182" s="77" t="inlineStr">
        <is>
          <t>An optional 15-credit module on the MSc Public Policy &amp; Management. Students work on a real consulting project and propose solutions to current public policy and management problems. They also learn from practitioners who consult in the public and third sectors. King's works with public-sector and third-sector partners to generate the projects each year. Delivered as 10 two-hour workshops, January-April 2026.</t>
        </is>
      </c>
      <c r="K182" s="77" t="inlineStr">
        <is>
          <t>King's Business School, Department of Public Services Management &amp; Organisation</t>
        </is>
      </c>
      <c r="L182" s="77" t="inlineStr">
        <is>
          <t>MSc Public Policy &amp; Management</t>
        </is>
      </c>
      <c r="M182" s="77" t="inlineStr">
        <is>
          <t>Business/management; Arts/humanities/social sciences</t>
        </is>
      </c>
      <c r="N182" s="77" t="inlineStr">
        <is>
          <t>Postgraduate taught</t>
        </is>
      </c>
      <c r="O182" s="77" t="inlineStr">
        <is>
          <t>1-year MSc</t>
        </is>
      </c>
      <c r="P182" s="77" t="inlineStr">
        <is>
          <t>MSc PPM students (optional module)</t>
        </is>
      </c>
      <c r="Q182" s="77" t="inlineStr">
        <is>
          <t>Optional/elective</t>
        </is>
      </c>
      <c r="R182" s="77" t="inlineStr">
        <is>
          <t>Curricular</t>
        </is>
      </c>
      <c r="S182" s="77" t="inlineStr">
        <is>
          <t>15 credits; assessment components not found</t>
        </is>
      </c>
      <c r="T182" s="77" t="inlineStr">
        <is>
          <t>January-April 2026 (10 x 2-hour workshops)</t>
        </is>
      </c>
      <c r="U182" s="77" t="inlineStr">
        <is>
          <t>Workshops plus live consulting project</t>
        </is>
      </c>
      <c r="V182" s="77" t="inlineStr">
        <is>
          <t>Yes</t>
        </is>
      </c>
      <c r="W182" s="77" t="inlineStr">
        <is>
          <t>'real consulting project' with proposed solutions to contemporary public policy and management problems [1][2].</t>
        </is>
      </c>
      <c r="X182" s="77" t="inlineStr">
        <is>
          <t>Unclear</t>
        </is>
      </c>
      <c r="Y182" s="77" t="inlineStr">
        <is>
          <t>No source found describing project teams or team sizes for this module. The programme mentions collective projects generally, but that is not module-specific [1].</t>
        </is>
      </c>
      <c r="Z182" s="77" t="inlineStr">
        <is>
          <t>Yes</t>
        </is>
      </c>
      <c r="AA182" s="77" t="inlineStr">
        <is>
          <t>Named public and third-sector partners generate the projects each year [1].</t>
        </is>
      </c>
      <c r="AB182" s="77" t="inlineStr">
        <is>
          <t>Mixed</t>
        </is>
      </c>
      <c r="AC182" s="77" t="inlineStr">
        <is>
          <t>Partner organisations generate the consulting projects each year (NHS trusts, local authority, charities/social enterprises)</t>
        </is>
      </c>
      <c r="AD182" s="77" t="inlineStr">
        <is>
          <t>Guy's &amp; St Thomas' NHS Foundation Trust, King's College Hospital NHS Trust, Health Education England, London Borough of Hackney, Think Forward, Aymara Social Enterprise (undated list)</t>
        </is>
      </c>
      <c r="AE182" s="77" t="inlineStr">
        <is>
          <t>Proposed solutions/consulting outputs (form not stated)</t>
        </is>
      </c>
      <c r="AF182" s="77">
        <f>IF(OR(V182="No",X182="No",Z182="No"),"Outside strict definition",IF(AND(V182="Yes",X182="Yes",Z182="Yes"),"Meets all three","Potentially relevant; evidence incomplete"))</f>
        <v/>
      </c>
      <c r="AG182" s="77" t="inlineStr">
        <is>
          <t>Current delivery confirmed</t>
        </is>
      </c>
      <c r="AH182" s="77" t="inlineStr">
        <is>
          <t>2025/26</t>
        </is>
      </c>
      <c r="AI182" s="77" t="inlineStr">
        <is>
          <t>Yes</t>
        </is>
      </c>
      <c r="AJ182" s="77">
        <f>IF(AND(AI182="Yes",AF182="Meets all three",AG182="Current delivery confirmed"),"Yes","No")</f>
        <v/>
      </c>
      <c r="AK182" s="77" t="inlineStr"/>
      <c r="AL182" s="77" t="inlineStr">
        <is>
          <t>RG10-S02-R1; RG10-S02-R2</t>
        </is>
      </c>
      <c r="AM182" s="77" t="inlineStr">
        <is>
          <t>Whether students work in teams; assessment and deliverable format; whether it runs in 2026/27.</t>
        </is>
      </c>
      <c r="AN182" s="77" t="inlineStr"/>
      <c r="AO182" s="77" t="inlineStr">
        <is>
          <t>UK</t>
        </is>
      </c>
      <c r="AP182" s="77" t="inlineStr">
        <is>
          <t>UK – Russell Group</t>
        </is>
      </c>
      <c r="AQ182" s="77" t="inlineStr">
        <is>
          <t>~1 term/semester</t>
        </is>
      </c>
      <c r="AR182" s="77" t="inlineStr">
        <is>
          <t>All/standard</t>
        </is>
      </c>
      <c r="AS182" s="77" t="inlineStr"/>
    </row>
    <row r="183">
      <c r="A183" s="77" t="inlineStr">
        <is>
          <t>RG10</t>
        </is>
      </c>
      <c r="B183" s="77" t="inlineStr">
        <is>
          <t>King’s College London</t>
        </is>
      </c>
      <c r="C183" s="77" t="inlineStr">
        <is>
          <t>Programme/course</t>
        </is>
      </c>
      <c r="D183" s="77" t="inlineStr">
        <is>
          <t>RG10-S03</t>
        </is>
      </c>
      <c r="E183" s="77" t="inlineStr"/>
      <c r="F183" s="77" t="inlineStr">
        <is>
          <t>No</t>
        </is>
      </c>
      <c r="G183" s="79" t="inlineStr">
        <is>
          <t>Business Consulting Project (MSc International Management)</t>
        </is>
      </c>
      <c r="H183" s="77" t="inlineStr">
        <is>
          <t>Business Consulting Project</t>
        </is>
      </c>
      <c r="I183" s="77" t="inlineStr"/>
      <c r="J183" s="77" t="inlineStr">
        <is>
          <t>One of three 45-credit summer project options on the MSc International Management; the others are the Business Research Project and the Business Experience Project. Students apply competitively to work as business consultants with a local business on a live issue that the business has identified. Support is 2 project workshops and 4 hours of faculty supervision.</t>
        </is>
      </c>
      <c r="K183" s="77" t="inlineStr">
        <is>
          <t>King's Business School</t>
        </is>
      </c>
      <c r="L183" s="77" t="inlineStr">
        <is>
          <t>MSc International Management</t>
        </is>
      </c>
      <c r="M183" s="77" t="inlineStr">
        <is>
          <t>Business/management</t>
        </is>
      </c>
      <c r="N183" s="77" t="inlineStr">
        <is>
          <t>Postgraduate taught</t>
        </is>
      </c>
      <c r="O183" s="77" t="inlineStr">
        <is>
          <t>Summer (final stage) of 1-year MSc</t>
        </is>
      </c>
      <c r="P183" s="77" t="inlineStr">
        <is>
          <t>MSc International Management students; entry by competitive application</t>
        </is>
      </c>
      <c r="Q183" s="77" t="inlineStr">
        <is>
          <t>Selective/competitive</t>
        </is>
      </c>
      <c r="R183" s="77" t="inlineStr">
        <is>
          <t>Curricular</t>
        </is>
      </c>
      <c r="S183" s="77" t="inlineStr">
        <is>
          <t>45 credits</t>
        </is>
      </c>
      <c r="T183" s="77" t="inlineStr">
        <is>
          <t>Summer</t>
        </is>
      </c>
      <c r="U183" s="77" t="inlineStr">
        <is>
          <t>Consultancy with a local business; 2 workshops + 4 hours supervision</t>
        </is>
      </c>
      <c r="V183" s="77" t="inlineStr">
        <is>
          <t>Yes</t>
        </is>
      </c>
      <c r="W183" s="77" t="inlineStr">
        <is>
          <t>Consultancy on 'a live issue they have identified' for a local business; 45-credit project [1].</t>
        </is>
      </c>
      <c r="X183" s="77" t="inlineStr">
        <is>
          <t>Unclear</t>
        </is>
      </c>
      <c r="Y183" s="77" t="inlineStr">
        <is>
          <t>Extract says students work 'as a business consultant'; teams are not mentioned [1].</t>
        </is>
      </c>
      <c r="Z183" s="77" t="inlineStr">
        <is>
          <t>Yes</t>
        </is>
      </c>
      <c r="AA183" s="77" t="inlineStr">
        <is>
          <t>A local business identifies the live issue and acts as client [1].</t>
        </is>
      </c>
      <c r="AB183" s="77" t="inlineStr">
        <is>
          <t>Business/commercial</t>
        </is>
      </c>
      <c r="AC183" s="77" t="inlineStr">
        <is>
          <t>Client business supplies the live issue</t>
        </is>
      </c>
      <c r="AD183" s="77" t="inlineStr"/>
      <c r="AE183" s="77" t="inlineStr">
        <is>
          <t>Not stated</t>
        </is>
      </c>
      <c r="AF183" s="77">
        <f>IF(OR(V183="No",X183="No",Z183="No"),"Outside strict definition",IF(AND(V183="Yes",X183="Yes",Z183="Yes"),"Meets all three","Potentially relevant; evidence incomplete"))</f>
        <v/>
      </c>
      <c r="AG183" s="77" t="inlineStr">
        <is>
          <t>Current status unclear</t>
        </is>
      </c>
      <c r="AH183" s="77" t="inlineStr"/>
      <c r="AI183" s="77" t="inlineStr">
        <is>
          <t>Yes</t>
        </is>
      </c>
      <c r="AJ183" s="77">
        <f>IF(AND(AI183="Yes",AF183="Meets all three",AG183="Current delivery confirmed"),"Yes","No")</f>
        <v/>
      </c>
      <c r="AK183" s="77" t="inlineStr"/>
      <c r="AL183" s="77" t="inlineStr">
        <is>
          <t>RG10-S03-R1</t>
        </is>
      </c>
      <c r="AM183" s="77" t="inlineStr">
        <is>
          <t>Group vs individual consulting; output and assessment; dated evidence of a 2025/26 or 2026/27 run (course page is un-yeared and no dated corroboration was found).</t>
        </is>
      </c>
      <c r="AN183" s="77" t="inlineStr"/>
      <c r="AO183" s="77" t="inlineStr">
        <is>
          <t>UK</t>
        </is>
      </c>
      <c r="AP183" s="77" t="inlineStr">
        <is>
          <t>UK – Russell Group</t>
        </is>
      </c>
      <c r="AQ183" s="77" t="inlineStr">
        <is>
          <t>~1 term/semester</t>
        </is>
      </c>
      <c r="AR183" s="77" t="inlineStr">
        <is>
          <t>All/standard</t>
        </is>
      </c>
      <c r="AS183" s="77" t="inlineStr"/>
    </row>
    <row r="184">
      <c r="A184" s="77" t="inlineStr">
        <is>
          <t>RG10</t>
        </is>
      </c>
      <c r="B184" s="77" t="inlineStr">
        <is>
          <t>King’s College London</t>
        </is>
      </c>
      <c r="C184" s="77" t="inlineStr">
        <is>
          <t>Programme/course</t>
        </is>
      </c>
      <c r="D184" s="77" t="inlineStr">
        <is>
          <t>RG10-S04</t>
        </is>
      </c>
      <c r="E184" s="77" t="inlineStr"/>
      <c r="F184" s="77" t="inlineStr">
        <is>
          <t>No</t>
        </is>
      </c>
      <c r="G184" s="79" t="inlineStr">
        <is>
          <t>Live consulting project with Benifex (Online MSc Global Human Resource Management)</t>
        </is>
      </c>
      <c r="H184" s="77" t="inlineStr">
        <is>
          <t>Online consulting project</t>
        </is>
      </c>
      <c r="I184" s="77" t="inlineStr"/>
      <c r="J184" s="77" t="inlineStr">
        <is>
          <t>A newer module on the online MSc Global Human Resource Management. Students work on a live organisational challenge, acting as HR consultants for the employee-benefits platform Benifex.</t>
        </is>
      </c>
      <c r="K184" s="77" t="inlineStr">
        <is>
          <t>King's Business School (online)</t>
        </is>
      </c>
      <c r="L184" s="77" t="inlineStr">
        <is>
          <t>Online MSc Global Human Resource Management</t>
        </is>
      </c>
      <c r="M184" s="77" t="inlineStr">
        <is>
          <t>Business/management</t>
        </is>
      </c>
      <c r="N184" s="77" t="inlineStr">
        <is>
          <t>Postgraduate taught</t>
        </is>
      </c>
      <c r="O184" s="77" t="inlineStr"/>
      <c r="P184" s="77" t="inlineStr"/>
      <c r="Q184" s="77" t="inlineStr">
        <is>
          <t>Unclear</t>
        </is>
      </c>
      <c r="R184" s="77" t="inlineStr">
        <is>
          <t>Curricular</t>
        </is>
      </c>
      <c r="S184" s="77" t="inlineStr"/>
      <c r="T184" s="77" t="inlineStr"/>
      <c r="U184" s="77" t="inlineStr">
        <is>
          <t>Online</t>
        </is>
      </c>
      <c r="V184" s="77" t="inlineStr">
        <is>
          <t>Unclear</t>
        </is>
      </c>
      <c r="W184" s="77" t="inlineStr">
        <is>
          <t>Live organisational challenge in a consultant role, but no deliverable is evidenced [1].</t>
        </is>
      </c>
      <c r="X184" s="77" t="inlineStr">
        <is>
          <t>Unclear</t>
        </is>
      </c>
      <c r="Y184" s="77" t="inlineStr">
        <is>
          <t>No team evidence found.</t>
        </is>
      </c>
      <c r="Z184" s="77" t="inlineStr">
        <is>
          <t>Yes</t>
        </is>
      </c>
      <c r="AA184" s="77" t="inlineStr">
        <is>
          <t>Benifex supplies the live organisational challenge, and students act as its HR consultants [1].</t>
        </is>
      </c>
      <c r="AB184" s="77" t="inlineStr">
        <is>
          <t>Business/commercial</t>
        </is>
      </c>
      <c r="AC184" s="77" t="inlineStr">
        <is>
          <t>Company supplies the live challenge</t>
        </is>
      </c>
      <c r="AD184" s="77" t="inlineStr">
        <is>
          <t>Benifex (news article, undated)</t>
        </is>
      </c>
      <c r="AE184" s="77" t="inlineStr"/>
      <c r="AF184" s="77">
        <f>IF(OR(V184="No",X184="No",Z184="No"),"Outside strict definition",IF(AND(V184="Yes",X184="Yes",Z184="Yes"),"Meets all three","Potentially relevant; evidence incomplete"))</f>
        <v/>
      </c>
      <c r="AG184" s="77" t="inlineStr">
        <is>
          <t>Current status unclear</t>
        </is>
      </c>
      <c r="AH184" s="77" t="inlineStr"/>
      <c r="AI184" s="77" t="inlineStr">
        <is>
          <t>Yes</t>
        </is>
      </c>
      <c r="AJ184" s="77">
        <f>IF(AND(AI184="Yes",AF184="Meets all three",AG184="Current delivery confirmed"),"Yes","No")</f>
        <v/>
      </c>
      <c r="AK184" s="77" t="inlineStr"/>
      <c r="AL184" s="77" t="inlineStr">
        <is>
          <t>RG10-S04-R1</t>
        </is>
      </c>
      <c r="AM184" s="77" t="inlineStr">
        <is>
          <t>Module name and code, deliverable, team structure, launch year and whether other clients replace Benifex in later runs. Only a search-summary paraphrase of the news item was obtained.</t>
        </is>
      </c>
      <c r="AN184" s="77" t="inlineStr"/>
      <c r="AO184" s="77" t="inlineStr">
        <is>
          <t>UK</t>
        </is>
      </c>
      <c r="AP184" s="77" t="inlineStr">
        <is>
          <t>UK – Russell Group</t>
        </is>
      </c>
      <c r="AQ184" s="77" t="inlineStr">
        <is>
          <t>Unclear</t>
        </is>
      </c>
      <c r="AR184" s="77" t="inlineStr">
        <is>
          <t>Unclear</t>
        </is>
      </c>
      <c r="AS184" s="77" t="inlineStr"/>
    </row>
    <row r="185">
      <c r="A185" s="77" t="inlineStr">
        <is>
          <t>RG10</t>
        </is>
      </c>
      <c r="B185" s="77" t="inlineStr">
        <is>
          <t>King’s College London</t>
        </is>
      </c>
      <c r="C185" s="77" t="inlineStr">
        <is>
          <t>Faculty/school</t>
        </is>
      </c>
      <c r="D185" s="77" t="inlineStr">
        <is>
          <t>RG10-S05</t>
        </is>
      </c>
      <c r="E185" s="77" t="inlineStr"/>
      <c r="F185" s="77" t="inlineStr">
        <is>
          <t>No</t>
        </is>
      </c>
      <c r="G185" s="79" t="inlineStr">
        <is>
          <t>Knowledge Exchange Projects (KEPs)</t>
        </is>
      </c>
      <c r="H185" s="77" t="inlineStr">
        <is>
          <t>Knowledge Exchange Projects</t>
        </is>
      </c>
      <c r="I185" s="77" t="inlineStr"/>
      <c r="J185" s="77" t="inlineStr">
        <is>
          <t>Department of Informatics scheme. Private and public-sector organisations propose projects, which academics develop into full briefs. Each brief is assigned to up to five final-year undergraduate (Year 3/4) or MSc students. Students spend about six months building new software, code or prototypes under academic supervision. Partners supply software and data, attend a kick-off meeting and two supervision sessions, and receive a copy of the outputs.</t>
        </is>
      </c>
      <c r="K185" s="77" t="inlineStr">
        <is>
          <t>Department of Informatics (Faculty of Natural, Mathematical &amp; Engineering Sciences)</t>
        </is>
      </c>
      <c r="L185" s="77" t="inlineStr">
        <is>
          <t>Final-year Informatics undergraduates (Year 3, Year 4/MSci) and MSc students; the 2025 call targeted final-year AI undergraduates</t>
        </is>
      </c>
      <c r="M185" s="77" t="inlineStr">
        <is>
          <t>Engineering/computing</t>
        </is>
      </c>
      <c r="N185" s="77" t="inlineStr">
        <is>
          <t>Mixed</t>
        </is>
      </c>
      <c r="O185" s="77" t="inlineStr">
        <is>
          <t>Final year UG; MSc</t>
        </is>
      </c>
      <c r="P185" s="77" t="inlineStr">
        <is>
          <t>Informatics students; allocation by skills and interests</t>
        </is>
      </c>
      <c r="Q185" s="77" t="inlineStr">
        <is>
          <t>Unclear</t>
        </is>
      </c>
      <c r="R185" s="77" t="inlineStr">
        <is>
          <t>Unclear</t>
        </is>
      </c>
      <c r="S185" s="77" t="inlineStr">
        <is>
          <t>Not stated (likely the final-year/MSc project, unconfirmed)</t>
        </is>
      </c>
      <c r="T185" s="77" t="inlineStr">
        <is>
          <t>About six months</t>
        </is>
      </c>
      <c r="U185" s="77" t="inlineStr">
        <is>
          <t>Supervised project with partner kick-off and supervision sessions</t>
        </is>
      </c>
      <c r="V185" s="77" t="inlineStr">
        <is>
          <t>Yes</t>
        </is>
      </c>
      <c r="W185" s="77" t="inlineStr">
        <is>
          <t>Partner briefs developed into full project briefs; students build software, code or prototypes, and the partner receives a copy of the outputs [1].</t>
        </is>
      </c>
      <c r="X185" s="77" t="inlineStr">
        <is>
          <t>Unclear</t>
        </is>
      </c>
      <c r="Y185" s="77" t="inlineStr">
        <is>
          <t>'Each brief is assigned to up to five students' [1]. This does not say whether those students produce one joint output or separate individual final-year projects on the same brief.</t>
        </is>
      </c>
      <c r="Z185" s="77" t="inlineStr">
        <is>
          <t>Yes</t>
        </is>
      </c>
      <c r="AA185" s="77" t="inlineStr">
        <is>
          <t>The partner submits the proposal, supplies software and data, attends the kick-off and two supervision sessions, and receives the outputs [1]. The 2025 call asked organisations to submit real-world challenges for final-year AI undergraduates starting October 2025 [2].</t>
        </is>
      </c>
      <c r="AB185" s="77" t="inlineStr">
        <is>
          <t>Mixed</t>
        </is>
      </c>
      <c r="AC185" s="77" t="inlineStr">
        <is>
          <t>Proposes the brief, supplies data, joins supervision, receives outputs</t>
        </is>
      </c>
      <c r="AD185" s="77" t="inlineStr"/>
      <c r="AE185" s="77" t="inlineStr">
        <is>
          <t>Software, code or prototype</t>
        </is>
      </c>
      <c r="AF185" s="77">
        <f>IF(OR(V185="No",X185="No",Z185="No"),"Outside strict definition",IF(AND(V185="Yes",X185="Yes",Z185="Yes"),"Meets all three","Potentially relevant; evidence incomplete"))</f>
        <v/>
      </c>
      <c r="AG185" s="77" t="inlineStr">
        <is>
          <t>Current delivery confirmed</t>
        </is>
      </c>
      <c r="AH185" s="77" t="inlineStr">
        <is>
          <t>2025/26</t>
        </is>
      </c>
      <c r="AI185" s="77" t="inlineStr">
        <is>
          <t>Yes</t>
        </is>
      </c>
      <c r="AJ185" s="77">
        <f>IF(AND(AI185="Yes",AF185="Meets all three",AG185="Current delivery confirmed"),"Yes","No")</f>
        <v/>
      </c>
      <c r="AK185" s="77" t="inlineStr">
        <is>
          <t>Over 90 KEPs delivered since 2022 (cumulative projects, as stated on page)</t>
        </is>
      </c>
      <c r="AL185" s="77" t="inlineStr">
        <is>
          <t>RG10-S05-R1; RG10-S05-R2; RG10-S05-R3</t>
        </is>
      </c>
      <c r="AM185" s="77" t="inlineStr">
        <is>
          <t>Team vs individual working; credit and module mapping; whether it is compulsory or optional within the final-year project.</t>
        </is>
      </c>
      <c r="AN185" s="77" t="inlineStr"/>
      <c r="AO185" s="77" t="inlineStr">
        <is>
          <t>UK</t>
        </is>
      </c>
      <c r="AP185" s="77" t="inlineStr">
        <is>
          <t>UK – Russell Group</t>
        </is>
      </c>
      <c r="AQ185" s="77" t="inlineStr">
        <is>
          <t>&gt;1 term</t>
        </is>
      </c>
      <c r="AR185" s="77" t="inlineStr">
        <is>
          <t>All/standard</t>
        </is>
      </c>
      <c r="AS185" s="77" t="inlineStr"/>
    </row>
    <row r="186">
      <c r="A186" s="77" t="inlineStr">
        <is>
          <t>RG10</t>
        </is>
      </c>
      <c r="B186" s="77" t="inlineStr">
        <is>
          <t>King’s College London</t>
        </is>
      </c>
      <c r="C186" s="77" t="inlineStr">
        <is>
          <t>Programme/course</t>
        </is>
      </c>
      <c r="D186" s="77" t="inlineStr">
        <is>
          <t>RG10-S06</t>
        </is>
      </c>
      <c r="E186" s="77" t="inlineStr"/>
      <c r="F186" s="77" t="inlineStr">
        <is>
          <t>No</t>
        </is>
      </c>
      <c r="G186" s="79" t="inlineStr">
        <is>
          <t>MSc Advanced Software Engineering team project for external partners (incl. AWS Impact Accelerator challenges)</t>
        </is>
      </c>
      <c r="H186" s="77" t="inlineStr">
        <is>
          <t>Advanced Software Engineering external-partner team project</t>
        </is>
      </c>
      <c r="I186" s="77" t="inlineStr"/>
      <c r="J186" s="77" t="inlineStr">
        <is>
          <t>On the MSc Advanced Software Engineering, students join a mixed-background team to build a software solution for an external partner, in sectors from computing and law to aviation and government. Informatics material also describes second-semester work on problems set by public-sector challenge sponsors, with mentors from King's and AWS (the AWS Impact Accelerator). In one example, final-year master's students worked with Richmond and Wandsworth Councils on AWS-based digital solutions for social care and Deprivation of Liberty Safeguards.</t>
        </is>
      </c>
      <c r="K186" s="77" t="inlineStr">
        <is>
          <t>Department of Informatics</t>
        </is>
      </c>
      <c r="L186" s="77" t="inlineStr">
        <is>
          <t>MSc Advanced Software Engineering (AWS strand: final-year master's students)</t>
        </is>
      </c>
      <c r="M186" s="77" t="inlineStr">
        <is>
          <t>Engineering/computing</t>
        </is>
      </c>
      <c r="N186" s="77" t="inlineStr">
        <is>
          <t>Postgraduate taught</t>
        </is>
      </c>
      <c r="O186" s="77" t="inlineStr">
        <is>
          <t>1-year MSc, semester 2</t>
        </is>
      </c>
      <c r="P186" s="77" t="inlineStr"/>
      <c r="Q186" s="77" t="inlineStr">
        <is>
          <t>Unclear</t>
        </is>
      </c>
      <c r="R186" s="77" t="inlineStr">
        <is>
          <t>Curricular</t>
        </is>
      </c>
      <c r="S186" s="77" t="inlineStr">
        <is>
          <t>Module/credit not identified (separate from the 60-credit individual project)</t>
        </is>
      </c>
      <c r="T186" s="77" t="inlineStr">
        <is>
          <t>Semester 2 (AWS strand)</t>
        </is>
      </c>
      <c r="U186" s="77" t="inlineStr">
        <is>
          <t>Team software project with academic supervisor and domain advisor</t>
        </is>
      </c>
      <c r="V186" s="77" t="inlineStr">
        <is>
          <t>Yes</t>
        </is>
      </c>
      <c r="W186" s="77" t="inlineStr">
        <is>
          <t>'develop a software solution for one of our external partners' [1]; councils' digital solutions [2].</t>
        </is>
      </c>
      <c r="X186" s="77" t="inlineStr">
        <is>
          <t>Yes</t>
        </is>
      </c>
      <c r="Y186" s="77" t="inlineStr">
        <is>
          <t>'join a team of students with varied backgrounds to develop a software solution' [1].</t>
        </is>
      </c>
      <c r="Z186" s="77" t="inlineStr">
        <is>
          <t>Yes</t>
        </is>
      </c>
      <c r="AA186" s="77" t="inlineStr">
        <is>
          <t>External partners are the recipients of the team's software solution [1]; public-sector challenge sponsors set the problems, and AWS mentors take part [2].</t>
        </is>
      </c>
      <c r="AB186" s="77" t="inlineStr">
        <is>
          <t>Mixed</t>
        </is>
      </c>
      <c r="AC186" s="77" t="inlineStr">
        <is>
          <t>Partner sets the problem and receives the solution; AWS provides mentors and technology in the Impact Accelerator strand</t>
        </is>
      </c>
      <c r="AD186" s="77" t="inlineStr">
        <is>
          <t>Richmond Council and Wandsworth Council with AWS (year not shown); course page names IBM, Terranova Software, Aerogility as companies students can work with</t>
        </is>
      </c>
      <c r="AE186" s="77" t="inlineStr">
        <is>
          <t>Software solution / digital prototype</t>
        </is>
      </c>
      <c r="AF186" s="77">
        <f>IF(OR(V186="No",X186="No",Z186="No"),"Outside strict definition",IF(AND(V186="Yes",X186="Yes",Z186="Yes"),"Meets all three","Potentially relevant; evidence incomplete"))</f>
        <v/>
      </c>
      <c r="AG186" s="77" t="inlineStr">
        <is>
          <t>Current status unclear</t>
        </is>
      </c>
      <c r="AH186" s="77" t="inlineStr"/>
      <c r="AI186" s="77" t="inlineStr">
        <is>
          <t>Yes</t>
        </is>
      </c>
      <c r="AJ186" s="77">
        <f>IF(AND(AI186="Yes",AF186="Meets all three",AG186="Current delivery confirmed"),"Yes","No")</f>
        <v/>
      </c>
      <c r="AK186" s="77" t="inlineStr"/>
      <c r="AL186" s="77" t="inlineStr">
        <is>
          <t>RG10-S06-R1; RG10-S06-R2; RG10-S06-R3</t>
        </is>
      </c>
      <c r="AM186" s="77" t="inlineStr">
        <is>
          <t>Module name/code and credits; the course page is un-yeared, and the Feb 2026 student blog only mentions group work generally, not partner projects; year of the AWS/council projects not shown. May overlap with the KEP scheme (S5), but it is described as a team route.</t>
        </is>
      </c>
      <c r="AN186" s="77" t="inlineStr"/>
      <c r="AO186" s="77" t="inlineStr">
        <is>
          <t>UK</t>
        </is>
      </c>
      <c r="AP186" s="77" t="inlineStr">
        <is>
          <t>UK – Russell Group</t>
        </is>
      </c>
      <c r="AQ186" s="77" t="inlineStr">
        <is>
          <t>~1 term/semester</t>
        </is>
      </c>
      <c r="AR186" s="77" t="inlineStr">
        <is>
          <t>All/standard</t>
        </is>
      </c>
      <c r="AS186" s="77" t="inlineStr"/>
    </row>
    <row r="187">
      <c r="A187" s="77" t="inlineStr">
        <is>
          <t>RG10</t>
        </is>
      </c>
      <c r="B187" s="77" t="inlineStr">
        <is>
          <t>King’s College London</t>
        </is>
      </c>
      <c r="C187" s="77" t="inlineStr">
        <is>
          <t>Programme/course</t>
        </is>
      </c>
      <c r="D187" s="77" t="inlineStr">
        <is>
          <t>RG10-S07</t>
        </is>
      </c>
      <c r="E187" s="77" t="inlineStr"/>
      <c r="F187" s="77" t="inlineStr">
        <is>
          <t>No</t>
        </is>
      </c>
      <c r="G187" s="79" t="inlineStr">
        <is>
          <t>Software Engineering Group Project</t>
        </is>
      </c>
      <c r="H187" s="77" t="inlineStr">
        <is>
          <t>Software Engineering Group Project</t>
        </is>
      </c>
      <c r="I187" s="77" t="inlineStr">
        <is>
          <t>5CCS2SEG</t>
        </is>
      </c>
      <c r="J187" s="77" t="inlineStr">
        <is>
          <t>A Level 5 (second-year) module in which undergraduate Computer Science students build a substantial software system as a team. No source found showing that external clients set or receive the projects.</t>
        </is>
      </c>
      <c r="K187" s="77" t="inlineStr">
        <is>
          <t>Department of Informatics</t>
        </is>
      </c>
      <c r="L187" s="77" t="inlineStr">
        <is>
          <t>BSc/MSci Computer Science and related Informatics degrees</t>
        </is>
      </c>
      <c r="M187" s="77" t="inlineStr">
        <is>
          <t>Engineering/computing</t>
        </is>
      </c>
      <c r="N187" s="77" t="inlineStr">
        <is>
          <t>Undergraduate</t>
        </is>
      </c>
      <c r="O187" s="77" t="inlineStr">
        <is>
          <t>Year 2</t>
        </is>
      </c>
      <c r="P187" s="77" t="inlineStr"/>
      <c r="Q187" s="77" t="inlineStr">
        <is>
          <t>Unclear</t>
        </is>
      </c>
      <c r="R187" s="77" t="inlineStr">
        <is>
          <t>Curricular</t>
        </is>
      </c>
      <c r="S187" s="77" t="inlineStr">
        <is>
          <t>Not obtained</t>
        </is>
      </c>
      <c r="T187" s="77" t="inlineStr"/>
      <c r="U187" s="77" t="inlineStr">
        <is>
          <t>Team software development</t>
        </is>
      </c>
      <c r="V187" s="77" t="inlineStr">
        <is>
          <t>Yes</t>
        </is>
      </c>
      <c r="W187" s="77" t="inlineStr">
        <is>
          <t>Develop 'a substantial software system' [2].</t>
        </is>
      </c>
      <c r="X187" s="77" t="inlineStr">
        <is>
          <t>Yes</t>
        </is>
      </c>
      <c r="Y187" s="77" t="inlineStr">
        <is>
          <t>'you'll also work as part of a team to develop a substantial software system' [2].</t>
        </is>
      </c>
      <c r="Z187" s="77" t="inlineStr">
        <is>
          <t>Unclear</t>
        </is>
      </c>
      <c r="AA187" s="77" t="inlineStr">
        <is>
          <t>No module-level evidence of external clients. The Informatics department says some student projects are co-designed with external partners, but that is not tied to this module.</t>
        </is>
      </c>
      <c r="AB187" s="77" t="inlineStr">
        <is>
          <t>Unclear</t>
        </is>
      </c>
      <c r="AC187" s="77" t="inlineStr"/>
      <c r="AD187" s="77" t="inlineStr"/>
      <c r="AE187" s="77" t="inlineStr"/>
      <c r="AF187" s="77">
        <f>IF(OR(V187="No",X187="No",Z187="No"),"Outside strict definition",IF(AND(V187="Yes",X187="Yes",Z187="Yes"),"Meets all three","Potentially relevant; evidence incomplete"))</f>
        <v/>
      </c>
      <c r="AG187" s="77" t="inlineStr">
        <is>
          <t>Current status unclear</t>
        </is>
      </c>
      <c r="AH187" s="77" t="inlineStr"/>
      <c r="AI187" s="77" t="inlineStr">
        <is>
          <t>Yes</t>
        </is>
      </c>
      <c r="AJ187" s="77">
        <f>IF(AND(AI187="Yes",AF187="Meets all three",AG187="Current delivery confirmed"),"Yes","No")</f>
        <v/>
      </c>
      <c r="AK187" s="77" t="inlineStr"/>
      <c r="AL187" s="77" t="inlineStr">
        <is>
          <t>RG10-S07-R1; RG10-S07-R2</t>
        </is>
      </c>
      <c r="AM187" s="77" t="inlineStr">
        <is>
          <t>Whether clients are external organisations; the handbook URL is an older site structure.</t>
        </is>
      </c>
      <c r="AN187" s="77" t="inlineStr"/>
      <c r="AO187" s="77" t="inlineStr">
        <is>
          <t>UK</t>
        </is>
      </c>
      <c r="AP187" s="77" t="inlineStr">
        <is>
          <t>UK – Russell Group</t>
        </is>
      </c>
      <c r="AQ187" s="77" t="inlineStr">
        <is>
          <t>Unclear</t>
        </is>
      </c>
      <c r="AR187" s="77" t="inlineStr">
        <is>
          <t>Unclear</t>
        </is>
      </c>
      <c r="AS187" s="77" t="inlineStr"/>
    </row>
    <row r="188">
      <c r="A188" s="77" t="inlineStr">
        <is>
          <t>RG10</t>
        </is>
      </c>
      <c r="B188" s="77" t="inlineStr">
        <is>
          <t>King’s College London</t>
        </is>
      </c>
      <c r="C188" s="77" t="inlineStr">
        <is>
          <t>Programme/course</t>
        </is>
      </c>
      <c r="D188" s="77" t="inlineStr">
        <is>
          <t>RG10-S08</t>
        </is>
      </c>
      <c r="E188" s="77" t="inlineStr"/>
      <c r="F188" s="77" t="inlineStr">
        <is>
          <t>No</t>
        </is>
      </c>
      <c r="G188" s="79" t="inlineStr">
        <is>
          <t>Major group project (General Engineering MEng)</t>
        </is>
      </c>
      <c r="H188" s="77" t="inlineStr">
        <is>
          <t>Engineering MEng group project</t>
        </is>
      </c>
      <c r="I188" s="77" t="inlineStr"/>
      <c r="J188" s="77" t="inlineStr">
        <is>
          <t>The General Engineering MEng ends with a major group project, taken alongside students from the Electrical Engineering MEng and MSc Robotics. Projects address real-world themes such as health and wellbeing technology, environmental action, and automotive and future mobility, and are carried out in the Engineering Project Space. No sponsoring organisations were evidenced.</t>
        </is>
      </c>
      <c r="K188" s="77" t="inlineStr">
        <is>
          <t>Department of Engineering</t>
        </is>
      </c>
      <c r="L188" s="77" t="inlineStr">
        <is>
          <t>General Engineering MEng, Electrical Engineering MEng, MSc Robotics</t>
        </is>
      </c>
      <c r="M188" s="77" t="inlineStr">
        <is>
          <t>Engineering/computing</t>
        </is>
      </c>
      <c r="N188" s="77" t="inlineStr">
        <is>
          <t>Mixed</t>
        </is>
      </c>
      <c r="O188" s="77" t="inlineStr">
        <is>
          <t>Final year MEng; MSc</t>
        </is>
      </c>
      <c r="P188" s="77" t="inlineStr"/>
      <c r="Q188" s="77" t="inlineStr">
        <is>
          <t>Compulsory within specified programmes</t>
        </is>
      </c>
      <c r="R188" s="77" t="inlineStr">
        <is>
          <t>Curricular</t>
        </is>
      </c>
      <c r="S188" s="77" t="inlineStr"/>
      <c r="T188" s="77" t="inlineStr"/>
      <c r="U188" s="77" t="inlineStr">
        <is>
          <t>Team project in dedicated project space</t>
        </is>
      </c>
      <c r="V188" s="77" t="inlineStr">
        <is>
          <t>Yes</t>
        </is>
      </c>
      <c r="W188" s="77" t="inlineStr">
        <is>
          <t>Major project on real-world problems [1].</t>
        </is>
      </c>
      <c r="X188" s="77" t="inlineStr">
        <is>
          <t>Yes</t>
        </is>
      </c>
      <c r="Y188" s="77" t="inlineStr">
        <is>
          <t>'major group project' undertaken with a mixed cohort [1].</t>
        </is>
      </c>
      <c r="Z188" s="77" t="inlineStr">
        <is>
          <t>Unclear</t>
        </is>
      </c>
      <c r="AA188" s="77" t="inlineStr">
        <is>
          <t>Themes are 'real-world', but no external organisation is shown setting briefs or receiving outputs. Departmental industry ties (Ericsson, BT, JLR, Caterpillar) are research-based [2].</t>
        </is>
      </c>
      <c r="AB188" s="77" t="inlineStr">
        <is>
          <t>Unclear</t>
        </is>
      </c>
      <c r="AC188" s="77" t="inlineStr"/>
      <c r="AD188" s="77" t="inlineStr"/>
      <c r="AE188" s="77" t="inlineStr"/>
      <c r="AF188" s="77">
        <f>IF(OR(V188="No",X188="No",Z188="No"),"Outside strict definition",IF(AND(V188="Yes",X188="Yes",Z188="Yes"),"Meets all three","Potentially relevant; evidence incomplete"))</f>
        <v/>
      </c>
      <c r="AG188" s="77" t="inlineStr">
        <is>
          <t>Current status unclear</t>
        </is>
      </c>
      <c r="AH188" s="77" t="inlineStr"/>
      <c r="AI188" s="77" t="inlineStr">
        <is>
          <t>Yes</t>
        </is>
      </c>
      <c r="AJ188" s="77">
        <f>IF(AND(AI188="Yes",AF188="Meets all three",AG188="Current delivery confirmed"),"Yes","No")</f>
        <v/>
      </c>
      <c r="AK188" s="77" t="inlineStr"/>
      <c r="AL188" s="77" t="inlineStr">
        <is>
          <t>RG10-S08-R1; RG10-S08-R2</t>
        </is>
      </c>
      <c r="AM188" s="77" t="inlineStr">
        <is>
          <t>Whether industry sponsors set the group-project briefs; compulsory status inferred from 'ends with a major group project' (check); no dated source found.</t>
        </is>
      </c>
      <c r="AN188" s="77" t="inlineStr"/>
      <c r="AO188" s="77" t="inlineStr">
        <is>
          <t>UK</t>
        </is>
      </c>
      <c r="AP188" s="77" t="inlineStr">
        <is>
          <t>UK – Russell Group</t>
        </is>
      </c>
      <c r="AQ188" s="77" t="inlineStr">
        <is>
          <t>Unclear</t>
        </is>
      </c>
      <c r="AR188" s="77" t="inlineStr">
        <is>
          <t>Unclear</t>
        </is>
      </c>
      <c r="AS188" s="77" t="inlineStr"/>
    </row>
    <row r="189">
      <c r="A189" s="77" t="inlineStr">
        <is>
          <t>RG10</t>
        </is>
      </c>
      <c r="B189" s="77" t="inlineStr">
        <is>
          <t>King’s College London</t>
        </is>
      </c>
      <c r="C189" s="77" t="inlineStr">
        <is>
          <t>University-wide</t>
        </is>
      </c>
      <c r="D189" s="77" t="inlineStr">
        <is>
          <t>RG10-S09</t>
        </is>
      </c>
      <c r="E189" s="77" t="inlineStr"/>
      <c r="F189" s="77" t="inlineStr">
        <is>
          <t>No</t>
        </is>
      </c>
      <c r="G189" s="79" t="inlineStr">
        <is>
          <t>Insights Programme - Virtual Micro Internships</t>
        </is>
      </c>
      <c r="H189" s="77" t="inlineStr">
        <is>
          <t>Insights Programme (Virtual Micro Internships)</t>
        </is>
      </c>
      <c r="I189" s="77" t="inlineStr"/>
      <c r="J189" s="77" t="inlineStr">
        <is>
          <t>King's Careers &amp; Employability work-related learning programme. Employers propose a specific industry project, and students work in groups for two weeks (25 hours) in spring and summer on the Practera platform. Students return reports to the employer, for example technical reports on sustainability or growth strategy. Support is given to students and employers before and during the project.</t>
        </is>
      </c>
      <c r="K189" s="77" t="inlineStr">
        <is>
          <t>King's Careers &amp; Employability (Work-related Learning)</t>
        </is>
      </c>
      <c r="L189" s="77" t="inlineStr">
        <is>
          <t>Final-year undergraduates across all nine faculties (one source says the offer is for final-year UGs or PhD students from under-represented communities)</t>
        </is>
      </c>
      <c r="M189" s="77" t="inlineStr">
        <is>
          <t>Central provision</t>
        </is>
      </c>
      <c r="N189" s="77" t="inlineStr">
        <is>
          <t>Undergraduate</t>
        </is>
      </c>
      <c r="O189" s="77" t="inlineStr">
        <is>
          <t>Final year</t>
        </is>
      </c>
      <c r="P189" s="77" t="inlineStr">
        <is>
          <t>Final-year UGs; possibly targeted at under-represented groups (sources conflict)</t>
        </is>
      </c>
      <c r="Q189" s="77" t="inlineStr">
        <is>
          <t>Optional/elective</t>
        </is>
      </c>
      <c r="R189" s="77" t="inlineStr">
        <is>
          <t>Extracurricular</t>
        </is>
      </c>
      <c r="S189" s="77" t="inlineStr">
        <is>
          <t>No credit</t>
        </is>
      </c>
      <c r="T189" s="77" t="inlineStr">
        <is>
          <t>2 weeks (25 hours)</t>
        </is>
      </c>
      <c r="U189" s="77" t="inlineStr">
        <is>
          <t>Virtual, on the Practera platform, with live employer brief</t>
        </is>
      </c>
      <c r="V189" s="77" t="inlineStr">
        <is>
          <t>Yes</t>
        </is>
      </c>
      <c r="W189" s="77" t="inlineStr">
        <is>
          <t>'industry-relevant project proposed by the employer'; students return reports such as technical reports on sustainability and growth strategy [1].</t>
        </is>
      </c>
      <c r="X189" s="77" t="inlineStr">
        <is>
          <t>Yes</t>
        </is>
      </c>
      <c r="Y189" s="77" t="inlineStr">
        <is>
          <t>'students work in groups' [1].</t>
        </is>
      </c>
      <c r="Z189" s="77" t="inlineStr">
        <is>
          <t>Yes</t>
        </is>
      </c>
      <c r="AA189" s="77" t="inlineStr">
        <is>
          <t>Employers propose the project brief and receive the students' reports, with support throughout. This is a live brief, not a pre-built simulation [1].</t>
        </is>
      </c>
      <c r="AB189" s="77" t="inlineStr">
        <is>
          <t>Business/commercial</t>
        </is>
      </c>
      <c r="AC189" s="77" t="inlineStr">
        <is>
          <t>Employer proposes the brief and receives the output</t>
        </is>
      </c>
      <c r="AD189" s="77" t="inlineStr"/>
      <c r="AE189" s="77" t="inlineStr">
        <is>
          <t>Group report (e.g. technical report) to employer</t>
        </is>
      </c>
      <c r="AF189" s="77">
        <f>IF(OR(V189="No",X189="No",Z189="No"),"Outside strict definition",IF(AND(V189="Yes",X189="Yes",Z189="Yes"),"Meets all three","Potentially relevant; evidence incomplete"))</f>
        <v/>
      </c>
      <c r="AG189" s="77" t="inlineStr">
        <is>
          <t>Current status unclear</t>
        </is>
      </c>
      <c r="AH189" s="77" t="inlineStr"/>
      <c r="AI189" s="77" t="inlineStr">
        <is>
          <t>Yes</t>
        </is>
      </c>
      <c r="AJ189" s="77">
        <f>IF(AND(AI189="Yes",AF189="Meets all three",AG189="Current delivery confirmed"),"Yes","No")</f>
        <v/>
      </c>
      <c r="AK189" s="77" t="inlineStr"/>
      <c r="AL189" s="77" t="inlineStr">
        <is>
          <t>RG10-S09-R1; RG10-S09-R2</t>
        </is>
      </c>
      <c r="AM189" s="77" t="inlineStr">
        <is>
          <t>No dated 2025/26 or 2026/27 run found; the target cohort conflicts (all final-year UGs vs under-represented groups); the launch article is undated.</t>
        </is>
      </c>
      <c r="AN189" s="77" t="inlineStr"/>
      <c r="AO189" s="77" t="inlineStr">
        <is>
          <t>UK</t>
        </is>
      </c>
      <c r="AP189" s="77" t="inlineStr">
        <is>
          <t>UK – Russell Group</t>
        </is>
      </c>
      <c r="AQ189" s="77" t="inlineStr">
        <is>
          <t>1–4 weeks</t>
        </is>
      </c>
      <c r="AR189" s="77" t="inlineStr">
        <is>
          <t>All/standard</t>
        </is>
      </c>
      <c r="AS189" s="77" t="inlineStr"/>
    </row>
    <row r="190">
      <c r="A190" s="77" t="inlineStr">
        <is>
          <t>RG10</t>
        </is>
      </c>
      <c r="B190" s="77" t="inlineStr">
        <is>
          <t>King’s College London</t>
        </is>
      </c>
      <c r="C190" s="77" t="inlineStr">
        <is>
          <t>Unclear</t>
        </is>
      </c>
      <c r="D190" s="77" t="inlineStr">
        <is>
          <t>RG10-S10</t>
        </is>
      </c>
      <c r="E190" s="77" t="inlineStr"/>
      <c r="F190" s="77" t="inlineStr">
        <is>
          <t>No</t>
        </is>
      </c>
      <c r="G190" s="79" t="inlineStr">
        <is>
          <t>Business Challenges &amp; Projects (Virtual Business Projects)</t>
        </is>
      </c>
      <c r="H190" s="77" t="inlineStr">
        <is>
          <t>Virtual Business Projects</t>
        </is>
      </c>
      <c r="I190" s="77" t="inlineStr"/>
      <c r="J190" s="77" t="inlineStr">
        <is>
          <t>Employer-facing page describing Virtual Business Projects. Participants solve challenges posed directly by employers, in groups, on topics such as ESG, international business development and branding. Probably the same Insights offer as S9.</t>
        </is>
      </c>
      <c r="K190" s="77" t="inlineStr">
        <is>
          <t>King's Careers &amp; Employability</t>
        </is>
      </c>
      <c r="L190" s="77" t="inlineStr"/>
      <c r="M190" s="77" t="inlineStr">
        <is>
          <t>Central provision</t>
        </is>
      </c>
      <c r="N190" s="77" t="inlineStr">
        <is>
          <t>Unclear</t>
        </is>
      </c>
      <c r="O190" s="77" t="inlineStr"/>
      <c r="P190" s="77" t="inlineStr"/>
      <c r="Q190" s="77" t="inlineStr">
        <is>
          <t>Optional/elective</t>
        </is>
      </c>
      <c r="R190" s="77" t="inlineStr">
        <is>
          <t>Extracurricular</t>
        </is>
      </c>
      <c r="S190" s="77" t="inlineStr"/>
      <c r="T190" s="77" t="inlineStr"/>
      <c r="U190" s="77" t="inlineStr"/>
      <c r="V190" s="77" t="inlineStr">
        <is>
          <t>Yes</t>
        </is>
      </c>
      <c r="W190" s="77" t="inlineStr">
        <is>
          <t>Challenges posed by employers on defined topics [1].</t>
        </is>
      </c>
      <c r="X190" s="77" t="inlineStr">
        <is>
          <t>Yes</t>
        </is>
      </c>
      <c r="Y190" s="77" t="inlineStr">
        <is>
          <t>'solve challenges in groups' [1].</t>
        </is>
      </c>
      <c r="Z190" s="77" t="inlineStr">
        <is>
          <t>Yes</t>
        </is>
      </c>
      <c r="AA190" s="77" t="inlineStr">
        <is>
          <t>Challenges 'posed directly by employers' [1].</t>
        </is>
      </c>
      <c r="AB190" s="77" t="inlineStr">
        <is>
          <t>Business/commercial</t>
        </is>
      </c>
      <c r="AC190" s="77" t="inlineStr"/>
      <c r="AD190" s="77" t="inlineStr"/>
      <c r="AE190" s="77" t="inlineStr"/>
      <c r="AF190" s="77">
        <f>IF(OR(V190="No",X190="No",Z190="No"),"Outside strict definition",IF(AND(V190="Yes",X190="Yes",Z190="Yes"),"Meets all three","Potentially relevant; evidence incomplete"))</f>
        <v/>
      </c>
      <c r="AG190" s="77" t="inlineStr">
        <is>
          <t>Current status unclear</t>
        </is>
      </c>
      <c r="AH190" s="77" t="inlineStr"/>
      <c r="AI190" s="77" t="inlineStr">
        <is>
          <t>No</t>
        </is>
      </c>
      <c r="AJ190" s="77">
        <f>IF(AND(AI190="Yes",AF190="Meets all three",AG190="Current delivery confirmed"),"Yes","No")</f>
        <v/>
      </c>
      <c r="AK190" s="77" t="inlineStr"/>
      <c r="AL190" s="77" t="inlineStr">
        <is>
          <t>RG10-S10-R1</t>
        </is>
      </c>
      <c r="AM190" s="77" t="inlineStr">
        <is>
          <t>Probably the partner-facing description of the Insights Programme (S9).</t>
        </is>
      </c>
      <c r="AN190" s="77" t="inlineStr"/>
      <c r="AO190" s="77" t="inlineStr">
        <is>
          <t>UK</t>
        </is>
      </c>
      <c r="AP190" s="77" t="inlineStr">
        <is>
          <t>UK – Russell Group</t>
        </is>
      </c>
      <c r="AQ190" s="77" t="inlineStr">
        <is>
          <t>Unclear</t>
        </is>
      </c>
      <c r="AR190" s="77" t="inlineStr">
        <is>
          <t>All/standard</t>
        </is>
      </c>
      <c r="AS190" s="77" t="inlineStr">
        <is>
          <t>No (possible duplicate of RG10-S09)</t>
        </is>
      </c>
    </row>
    <row r="191">
      <c r="A191" s="77" t="inlineStr">
        <is>
          <t>RG10</t>
        </is>
      </c>
      <c r="B191" s="77" t="inlineStr">
        <is>
          <t>King’s College London</t>
        </is>
      </c>
      <c r="C191" s="77" t="inlineStr">
        <is>
          <t>Unclear</t>
        </is>
      </c>
      <c r="D191" s="77" t="inlineStr">
        <is>
          <t>RG10-S11</t>
        </is>
      </c>
      <c r="E191" s="77" t="inlineStr"/>
      <c r="F191" s="77" t="inlineStr">
        <is>
          <t>Yes</t>
        </is>
      </c>
      <c r="G191" s="79" t="inlineStr">
        <is>
          <t>King's Civic Leadership Academy (CLA)</t>
        </is>
      </c>
      <c r="H191" s="77" t="inlineStr">
        <is>
          <t>King's Civic Leadership Academy</t>
        </is>
      </c>
      <c r="I191" s="77" t="inlineStr"/>
      <c r="J191" s="77" t="inlineStr">
        <is>
          <t>Leadership programme pairing London charities ('Community Partners') with undergraduates. When launched it was described as pairing charities with teams of undergraduates for a year, with students spending about five hours a week in term time on an issue the charity lacked resources to tackle. The 2025-26 cycle has a 3-day Kickstarter for 100 students (February 2026), where partners can run a 'Community challenge' with student groups, and a 6-week (210-hour) project-based internship for 50 students (May-July 2026).</t>
        </is>
      </c>
      <c r="K191" s="77" t="inlineStr">
        <is>
          <t>King's (social mobility / King's Local civic engagement)</t>
        </is>
      </c>
      <c r="L191" s="77" t="inlineStr">
        <is>
          <t>Non-final-year undergraduates</t>
        </is>
      </c>
      <c r="M191" s="77" t="inlineStr">
        <is>
          <t>Central provision</t>
        </is>
      </c>
      <c r="N191" s="77" t="inlineStr">
        <is>
          <t>Undergraduate</t>
        </is>
      </c>
      <c r="O191" s="77" t="inlineStr">
        <is>
          <t>Non-final year</t>
        </is>
      </c>
      <c r="P191" s="77" t="inlineStr">
        <is>
          <t>Non-final-year UGs; selective (100 Kickstarter / 50 internship places); listed under social-mobility programmes, so it may target widening-participation students</t>
        </is>
      </c>
      <c r="Q191" s="77" t="inlineStr">
        <is>
          <t>Selective/competitive</t>
        </is>
      </c>
      <c r="R191" s="77" t="inlineStr">
        <is>
          <t>Extracurricular</t>
        </is>
      </c>
      <c r="S191" s="77" t="inlineStr"/>
      <c r="T191" s="77" t="inlineStr"/>
      <c r="U191" s="77" t="inlineStr"/>
      <c r="V191" s="77" t="inlineStr">
        <is>
          <t>Yes</t>
        </is>
      </c>
      <c r="W191" s="77" t="inlineStr">
        <is>
          <t>See children.</t>
        </is>
      </c>
      <c r="X191" s="77" t="inlineStr">
        <is>
          <t>Unclear</t>
        </is>
      </c>
      <c r="Y191" s="77" t="inlineStr">
        <is>
          <t>See children.</t>
        </is>
      </c>
      <c r="Z191" s="77" t="inlineStr">
        <is>
          <t>Yes</t>
        </is>
      </c>
      <c r="AA191" s="77" t="inlineStr">
        <is>
          <t>Charity partners host students and supply issues/challenges [1][2].</t>
        </is>
      </c>
      <c r="AB191" s="77" t="inlineStr">
        <is>
          <t>Charity/community</t>
        </is>
      </c>
      <c r="AC191" s="77" t="inlineStr"/>
      <c r="AD191" s="77" t="inlineStr">
        <is>
          <t>Pecan, Young Barnet Foundation, Living Wage Foundation (among 18 charity partners; year not shown)</t>
        </is>
      </c>
      <c r="AE191" s="77" t="inlineStr"/>
      <c r="AF191" s="77">
        <f>IF(OR(V191="No",X191="No",Z191="No"),"Outside strict definition",IF(AND(V191="Yes",X191="Yes",Z191="Yes"),"Meets all three","Potentially relevant; evidence incomplete"))</f>
        <v/>
      </c>
      <c r="AG191" s="77" t="inlineStr">
        <is>
          <t>Current delivery confirmed</t>
        </is>
      </c>
      <c r="AH191" s="77" t="inlineStr">
        <is>
          <t>2025/26</t>
        </is>
      </c>
      <c r="AI191" s="77" t="inlineStr">
        <is>
          <t>No</t>
        </is>
      </c>
      <c r="AJ191" s="77">
        <f>IF(AND(AI191="Yes",AF191="Meets all three",AG191="Current delivery confirmed"),"Yes","No")</f>
        <v/>
      </c>
      <c r="AK191" s="77" t="inlineStr">
        <is>
          <t>2025-26 capacity: 100 Kickstarter places, 50 internship places</t>
        </is>
      </c>
      <c r="AL191" s="77" t="inlineStr">
        <is>
          <t>RG10-S11-R1; RG10-S11-R2</t>
        </is>
      </c>
      <c r="AM191" s="77" t="inlineStr">
        <is>
          <t>Whether open to all undergraduates or targeted at under-represented groups.</t>
        </is>
      </c>
      <c r="AN191" s="77" t="inlineStr"/>
      <c r="AO191" s="77" t="inlineStr">
        <is>
          <t>UK</t>
        </is>
      </c>
      <c r="AP191" s="77" t="inlineStr">
        <is>
          <t>UK – Russell Group</t>
        </is>
      </c>
      <c r="AQ191" s="77" t="inlineStr">
        <is>
          <t>&gt;1 term</t>
        </is>
      </c>
      <c r="AR191" s="77" t="inlineStr">
        <is>
          <t>All/standard</t>
        </is>
      </c>
      <c r="AS191" s="77" t="inlineStr">
        <is>
          <t>No (umbrella; children counted)</t>
        </is>
      </c>
    </row>
    <row r="192">
      <c r="A192" s="77" t="inlineStr">
        <is>
          <t>RG10</t>
        </is>
      </c>
      <c r="B192" s="77" t="inlineStr">
        <is>
          <t>King’s College London</t>
        </is>
      </c>
      <c r="C192" s="77" t="inlineStr">
        <is>
          <t>Unclear</t>
        </is>
      </c>
      <c r="D192" s="77" t="inlineStr">
        <is>
          <t>RG10-S12</t>
        </is>
      </c>
      <c r="E192" s="77" t="inlineStr">
        <is>
          <t>RG10-S11</t>
        </is>
      </c>
      <c r="F192" s="77" t="inlineStr">
        <is>
          <t>No</t>
        </is>
      </c>
      <c r="G192" s="79" t="inlineStr">
        <is>
          <t>CLA Kickstarter - Community challenge</t>
        </is>
      </c>
      <c r="H192" s="77" t="inlineStr">
        <is>
          <t>CLA Kickstarter community challenge</t>
        </is>
      </c>
      <c r="I192" s="77" t="inlineStr"/>
      <c r="J192" s="77" t="inlineStr">
        <is>
          <t>During the 3-day Kickstarter (February 2026), Community Partners can run a 'Community challenge' with student groups or host students at their offices.</t>
        </is>
      </c>
      <c r="K192" s="77" t="inlineStr">
        <is>
          <t>King's Civic Leadership Academy</t>
        </is>
      </c>
      <c r="L192" s="77" t="inlineStr">
        <is>
          <t>Non-final-year undergraduates selected for CLA</t>
        </is>
      </c>
      <c r="M192" s="77" t="inlineStr">
        <is>
          <t>Central provision</t>
        </is>
      </c>
      <c r="N192" s="77" t="inlineStr">
        <is>
          <t>Undergraduate</t>
        </is>
      </c>
      <c r="O192" s="77" t="inlineStr"/>
      <c r="P192" s="77" t="inlineStr"/>
      <c r="Q192" s="77" t="inlineStr">
        <is>
          <t>Selective/competitive</t>
        </is>
      </c>
      <c r="R192" s="77" t="inlineStr">
        <is>
          <t>Extracurricular</t>
        </is>
      </c>
      <c r="S192" s="77" t="inlineStr"/>
      <c r="T192" s="77" t="inlineStr">
        <is>
          <t>3 days (Feb 2026)</t>
        </is>
      </c>
      <c r="U192" s="77" t="inlineStr"/>
      <c r="V192" s="77" t="inlineStr">
        <is>
          <t>Unclear</t>
        </is>
      </c>
      <c r="W192" s="77" t="inlineStr">
        <is>
          <t>A 3-day challenge format; no defined output for the organisation is evidenced [1].</t>
        </is>
      </c>
      <c r="X192" s="77" t="inlineStr">
        <is>
          <t>Yes</t>
        </is>
      </c>
      <c r="Y192" s="77" t="inlineStr">
        <is>
          <t>'Community challenge' run 'with student groups' [1].</t>
        </is>
      </c>
      <c r="Z192" s="77" t="inlineStr">
        <is>
          <t>Yes</t>
        </is>
      </c>
      <c r="AA192" s="77" t="inlineStr">
        <is>
          <t>Community Partner organisations run the challenge [1].</t>
        </is>
      </c>
      <c r="AB192" s="77" t="inlineStr">
        <is>
          <t>Charity/community</t>
        </is>
      </c>
      <c r="AC192" s="77" t="inlineStr">
        <is>
          <t>Sets and runs the challenge</t>
        </is>
      </c>
      <c r="AD192" s="77" t="inlineStr"/>
      <c r="AE192" s="77" t="inlineStr"/>
      <c r="AF192" s="77">
        <f>IF(OR(V192="No",X192="No",Z192="No"),"Outside strict definition",IF(AND(V192="Yes",X192="Yes",Z192="Yes"),"Meets all three","Potentially relevant; evidence incomplete"))</f>
        <v/>
      </c>
      <c r="AG192" s="77" t="inlineStr">
        <is>
          <t>Current delivery confirmed</t>
        </is>
      </c>
      <c r="AH192" s="77" t="inlineStr">
        <is>
          <t>2025/26</t>
        </is>
      </c>
      <c r="AI192" s="77" t="inlineStr">
        <is>
          <t>Yes</t>
        </is>
      </c>
      <c r="AJ192" s="77">
        <f>IF(AND(AI192="Yes",AF192="Meets all three",AG192="Current delivery confirmed"),"Yes","No")</f>
        <v/>
      </c>
      <c r="AK192" s="77" t="inlineStr"/>
      <c r="AL192" s="77" t="inlineStr">
        <is>
          <t>RG10-S12-R1</t>
        </is>
      </c>
      <c r="AM192" s="77" t="inlineStr">
        <is>
          <t>Output of the challenge is not evidenced, so A is Unclear. Partners could alternatively host office visits; this record covers only the partner-run 'Community challenge' option, where the partner sets the challenge by definition.</t>
        </is>
      </c>
      <c r="AN192" s="77" t="inlineStr"/>
      <c r="AO192" s="77" t="inlineStr">
        <is>
          <t>UK</t>
        </is>
      </c>
      <c r="AP192" s="77" t="inlineStr">
        <is>
          <t>UK – Russell Group</t>
        </is>
      </c>
      <c r="AQ192" s="77" t="inlineStr">
        <is>
          <t>&lt;1 week</t>
        </is>
      </c>
      <c r="AR192" s="77" t="inlineStr">
        <is>
          <t>All/standard</t>
        </is>
      </c>
      <c r="AS192" s="77" t="inlineStr"/>
    </row>
    <row r="193">
      <c r="A193" s="77" t="inlineStr">
        <is>
          <t>RG10</t>
        </is>
      </c>
      <c r="B193" s="77" t="inlineStr">
        <is>
          <t>King’s College London</t>
        </is>
      </c>
      <c r="C193" s="77" t="inlineStr">
        <is>
          <t>Unclear</t>
        </is>
      </c>
      <c r="D193" s="77" t="inlineStr">
        <is>
          <t>RG10-S13</t>
        </is>
      </c>
      <c r="E193" s="77" t="inlineStr">
        <is>
          <t>RG10-S11</t>
        </is>
      </c>
      <c r="F193" s="77" t="inlineStr">
        <is>
          <t>No</t>
        </is>
      </c>
      <c r="G193" s="79" t="inlineStr">
        <is>
          <t>CLA project-based internship with a community organisation</t>
        </is>
      </c>
      <c r="H193" s="77" t="inlineStr">
        <is>
          <t>CLA charity internship</t>
        </is>
      </c>
      <c r="I193" s="77" t="inlineStr"/>
      <c r="J193" s="77" t="inlineStr">
        <is>
          <t>A 6-week, 210-hour project-based internship with a London community organisation, May-July 2026, for 50 students, working on an issue the charity has lacked the resources to tackle.</t>
        </is>
      </c>
      <c r="K193" s="77" t="inlineStr">
        <is>
          <t>King's Civic Leadership Academy</t>
        </is>
      </c>
      <c r="L193" s="77" t="inlineStr">
        <is>
          <t>Non-final-year undergraduates selected for CLA</t>
        </is>
      </c>
      <c r="M193" s="77" t="inlineStr">
        <is>
          <t>Central provision</t>
        </is>
      </c>
      <c r="N193" s="77" t="inlineStr">
        <is>
          <t>Undergraduate</t>
        </is>
      </c>
      <c r="O193" s="77" t="inlineStr"/>
      <c r="P193" s="77" t="inlineStr"/>
      <c r="Q193" s="77" t="inlineStr">
        <is>
          <t>Selective/competitive</t>
        </is>
      </c>
      <c r="R193" s="77" t="inlineStr">
        <is>
          <t>Extracurricular</t>
        </is>
      </c>
      <c r="S193" s="77" t="inlineStr"/>
      <c r="T193" s="77" t="inlineStr">
        <is>
          <t>6 weeks / 210 hours</t>
        </is>
      </c>
      <c r="U193" s="77" t="inlineStr"/>
      <c r="V193" s="77" t="inlineStr">
        <is>
          <t>Yes</t>
        </is>
      </c>
      <c r="W193" s="77" t="inlineStr">
        <is>
          <t>'project-based internship' on an issue the charity lacked resources to tackle [1][2].</t>
        </is>
      </c>
      <c r="X193" s="77" t="inlineStr">
        <is>
          <t>Unclear</t>
        </is>
      </c>
      <c r="Y193" s="77" t="inlineStr">
        <is>
          <t>The launch article describes 'teams of talented undergraduates' [2], but the 2025-26 internship description does not say whether students work as a team or individually per charity [1].</t>
        </is>
      </c>
      <c r="Z193" s="77" t="inlineStr">
        <is>
          <t>Yes</t>
        </is>
      </c>
      <c r="AA193" s="77" t="inlineStr">
        <is>
          <t>Charity hosts the intern and sets the issue [1][2].</t>
        </is>
      </c>
      <c r="AB193" s="77" t="inlineStr">
        <is>
          <t>Charity/community</t>
        </is>
      </c>
      <c r="AC193" s="77" t="inlineStr">
        <is>
          <t>Hosts and sets the project</t>
        </is>
      </c>
      <c r="AD193" s="77" t="inlineStr">
        <is>
          <t>Pecan, Young Barnet Foundation, Living Wage Foundation (year not shown)</t>
        </is>
      </c>
      <c r="AE193" s="77" t="inlineStr"/>
      <c r="AF193" s="77">
        <f>IF(OR(V193="No",X193="No",Z193="No"),"Outside strict definition",IF(AND(V193="Yes",X193="Yes",Z193="Yes"),"Meets all three","Potentially relevant; evidence incomplete"))</f>
        <v/>
      </c>
      <c r="AG193" s="77" t="inlineStr">
        <is>
          <t>Current delivery confirmed</t>
        </is>
      </c>
      <c r="AH193" s="77" t="inlineStr">
        <is>
          <t>2025/26</t>
        </is>
      </c>
      <c r="AI193" s="77" t="inlineStr">
        <is>
          <t>Yes</t>
        </is>
      </c>
      <c r="AJ193" s="77">
        <f>IF(AND(AI193="Yes",AF193="Meets all three",AG193="Current delivery confirmed"),"Yes","No")</f>
        <v/>
      </c>
      <c r="AK193" s="77" t="inlineStr"/>
      <c r="AL193" s="77" t="inlineStr">
        <is>
          <t>RG10-S13-R1; RG10-S13-R2</t>
        </is>
      </c>
      <c r="AM193" s="77" t="inlineStr">
        <is>
          <t>Team vs individual placement. duration_band left Unclear because 6 weeks full-time (210 hours) falls between the '1–4 weeks' and '~1 term' bands.</t>
        </is>
      </c>
      <c r="AN193" s="77" t="inlineStr"/>
      <c r="AO193" s="77" t="inlineStr">
        <is>
          <t>UK</t>
        </is>
      </c>
      <c r="AP193" s="77" t="inlineStr">
        <is>
          <t>UK – Russell Group</t>
        </is>
      </c>
      <c r="AQ193" s="77" t="inlineStr">
        <is>
          <t>Unclear</t>
        </is>
      </c>
      <c r="AR193" s="77" t="inlineStr">
        <is>
          <t>All/standard</t>
        </is>
      </c>
      <c r="AS193" s="77" t="inlineStr"/>
    </row>
    <row r="194">
      <c r="A194" s="77" t="inlineStr">
        <is>
          <t>RG10</t>
        </is>
      </c>
      <c r="B194" s="77" t="inlineStr">
        <is>
          <t>King’s College London</t>
        </is>
      </c>
      <c r="C194" s="77" t="inlineStr">
        <is>
          <t>Unclear</t>
        </is>
      </c>
      <c r="D194" s="77" t="inlineStr">
        <is>
          <t>RG10-S14</t>
        </is>
      </c>
      <c r="E194" s="77" t="inlineStr"/>
      <c r="F194" s="77" t="inlineStr">
        <is>
          <t>No</t>
        </is>
      </c>
      <c r="G194" s="79" t="inlineStr">
        <is>
          <t>King's Civic Challenge</t>
        </is>
      </c>
      <c r="H194" s="77" t="inlineStr">
        <is>
          <t>King's Civic Challenge</t>
        </is>
      </c>
      <c r="I194" s="77" t="inlineStr"/>
      <c r="J194" s="77" t="inlineStr">
        <is>
          <t>Students and staff team up with a local community partner (charities in Lambeth, Southwark and Westminster), supported by an alumni mentor. Teams are trained to refine a project idea addressing a community challenge, then pitch to a panel of judges for funding of up to £5,000 to deliver it. There is also a Community Choice award.</t>
        </is>
      </c>
      <c r="K194" s="77" t="inlineStr">
        <is>
          <t>King's (civic engagement / King's Local)</t>
        </is>
      </c>
      <c r="L194" s="77" t="inlineStr"/>
      <c r="M194" s="77" t="inlineStr">
        <is>
          <t>Central provision</t>
        </is>
      </c>
      <c r="N194" s="77" t="inlineStr">
        <is>
          <t>Mixed</t>
        </is>
      </c>
      <c r="O194" s="77" t="inlineStr"/>
      <c r="P194" s="77" t="inlineStr"/>
      <c r="Q194" s="77" t="inlineStr">
        <is>
          <t>Selective/competitive</t>
        </is>
      </c>
      <c r="R194" s="77" t="inlineStr">
        <is>
          <t>Extracurricular</t>
        </is>
      </c>
      <c r="S194" s="77" t="inlineStr"/>
      <c r="T194" s="77" t="inlineStr"/>
      <c r="U194" s="77" t="inlineStr"/>
      <c r="V194" s="77" t="inlineStr">
        <is>
          <t>Yes</t>
        </is>
      </c>
      <c r="W194" s="77" t="inlineStr">
        <is>
          <t>Team develops a project to address a partner's community challenge and pitches it for delivery funding [1][2].</t>
        </is>
      </c>
      <c r="X194" s="77" t="inlineStr">
        <is>
          <t>Yes</t>
        </is>
      </c>
      <c r="Y194" s="77" t="inlineStr">
        <is>
          <t>Teams of students and staff ('teams up students, staff and local communities') [1][2]. Teams include staff.</t>
        </is>
      </c>
      <c r="Z194" s="77" t="inlineStr">
        <is>
          <t>Yes</t>
        </is>
      </c>
      <c r="AA194" s="77" t="inlineStr">
        <is>
          <t>A community partner is a member of each team and co-develops the project [2][3].</t>
        </is>
      </c>
      <c r="AB194" s="77" t="inlineStr">
        <is>
          <t>Charity/community</t>
        </is>
      </c>
      <c r="AC194" s="77" t="inlineStr">
        <is>
          <t>Co-develops the project with the team and benefits from the funded project</t>
        </is>
      </c>
      <c r="AD194" s="77" t="inlineStr"/>
      <c r="AE194" s="77" t="inlineStr"/>
      <c r="AF194" s="77">
        <f>IF(OR(V194="No",X194="No",Z194="No"),"Outside strict definition",IF(AND(V194="Yes",X194="Yes",Z194="Yes"),"Meets all three","Potentially relevant; evidence incomplete"))</f>
        <v/>
      </c>
      <c r="AG194" s="77" t="inlineStr">
        <is>
          <t>Current status unclear</t>
        </is>
      </c>
      <c r="AH194" s="77" t="inlineStr"/>
      <c r="AI194" s="77" t="inlineStr">
        <is>
          <t>Yes</t>
        </is>
      </c>
      <c r="AJ194" s="77">
        <f>IF(AND(AI194="Yes",AF194="Meets all three",AG194="Current delivery confirmed"),"Yes","No")</f>
        <v/>
      </c>
      <c r="AK194" s="77" t="inlineStr"/>
      <c r="AL194" s="77" t="inlineStr">
        <is>
          <t>RG10-S14-R1; RG10-S14-R2; RG10-S14-R3</t>
        </is>
      </c>
      <c r="AM194" s="77" t="inlineStr">
        <is>
          <t>No 2025/26 or 2026/27 round found; news items undated in results (may be historical only). Eligibility (all students?) not confirmed.</t>
        </is>
      </c>
      <c r="AN194" s="77" t="inlineStr"/>
      <c r="AO194" s="77" t="inlineStr">
        <is>
          <t>UK</t>
        </is>
      </c>
      <c r="AP194" s="77" t="inlineStr">
        <is>
          <t>UK – Russell Group</t>
        </is>
      </c>
      <c r="AQ194" s="77" t="inlineStr">
        <is>
          <t>Unclear</t>
        </is>
      </c>
      <c r="AR194" s="77" t="inlineStr">
        <is>
          <t>All/standard</t>
        </is>
      </c>
      <c r="AS194" s="77" t="inlineStr"/>
    </row>
    <row r="195">
      <c r="A195" s="77" t="inlineStr">
        <is>
          <t>RG10</t>
        </is>
      </c>
      <c r="B195" s="77" t="inlineStr">
        <is>
          <t>King’s College London</t>
        </is>
      </c>
      <c r="C195" s="77" t="inlineStr">
        <is>
          <t>University-wide</t>
        </is>
      </c>
      <c r="D195" s="77" t="inlineStr">
        <is>
          <t>RG10-S15</t>
        </is>
      </c>
      <c r="E195" s="77" t="inlineStr"/>
      <c r="F195" s="77" t="inlineStr">
        <is>
          <t>No</t>
        </is>
      </c>
      <c r="G195" s="79" t="inlineStr">
        <is>
          <t>KPRI Parliamentary Internship Scheme: Policy Lab</t>
        </is>
      </c>
      <c r="H195" s="77" t="inlineStr">
        <is>
          <t>Policy Lab</t>
        </is>
      </c>
      <c r="I195" s="77" t="inlineStr"/>
      <c r="J195" s="77" t="inlineStr">
        <is>
          <t>Six-week King's Edge activity: a small cross-disciplinary team of King's students responds to a live policy question tied to House of Lords business, supported by King's Parliamentary Researchers, and produces a co-authored policy briefing for interested peers.</t>
        </is>
      </c>
      <c r="K195" s="77" t="inlineStr">
        <is>
          <t>King's Edge / KPRI</t>
        </is>
      </c>
      <c r="L195" s="77" t="inlineStr">
        <is>
          <t>All King's students</t>
        </is>
      </c>
      <c r="M195" s="77" t="inlineStr">
        <is>
          <t>Central provision</t>
        </is>
      </c>
      <c r="N195" s="77" t="inlineStr">
        <is>
          <t>Mixed</t>
        </is>
      </c>
      <c r="O195" s="77" t="inlineStr"/>
      <c r="P195" s="77" t="inlineStr">
        <is>
          <t>Open to all King's students; page says activity now full</t>
        </is>
      </c>
      <c r="Q195" s="77" t="inlineStr">
        <is>
          <t>Optional/elective</t>
        </is>
      </c>
      <c r="R195" s="77" t="inlineStr">
        <is>
          <t>Extracurricular</t>
        </is>
      </c>
      <c r="S195" s="77" t="inlineStr">
        <is>
          <t>140 K Points; no academic credit</t>
        </is>
      </c>
      <c r="T195" s="77" t="inlineStr">
        <is>
          <t>6 weeks, 28 May-2 July 2026, ~5 hrs/week</t>
        </is>
      </c>
      <c r="U195" s="77" t="inlineStr">
        <is>
          <t>Team project with weekly check-ins</t>
        </is>
      </c>
      <c r="V195" s="77" t="inlineStr">
        <is>
          <t>Yes</t>
        </is>
      </c>
      <c r="W195" s="77" t="inlineStr">
        <is>
          <t>Live policy question; co-authored policy briefing [1].</t>
        </is>
      </c>
      <c r="X195" s="77" t="inlineStr">
        <is>
          <t>Yes</t>
        </is>
      </c>
      <c r="Y195" s="77" t="inlineStr">
        <is>
          <t>'small, cross-disciplinary team' producing a co-authored briefing [1].</t>
        </is>
      </c>
      <c r="Z195" s="77" t="inlineStr">
        <is>
          <t>Unclear</t>
        </is>
      </c>
      <c r="AA195" s="77" t="inlineStr">
        <is>
          <t>Briefing goes to interested peers (individual parliamentarians) via King's network; no external organisation is shown setting the brief; themes shaped around the King's Speech, and who chooses the question is not stated [1].</t>
        </is>
      </c>
      <c r="AB195" s="77" t="inlineStr">
        <is>
          <t>Public sector</t>
        </is>
      </c>
      <c r="AC195" s="77" t="inlineStr">
        <is>
          <t>Recipients are peers; not a client organisation</t>
        </is>
      </c>
      <c r="AD195" s="77" t="inlineStr"/>
      <c r="AE195" s="77" t="inlineStr">
        <is>
          <t>Co-authored policy briefing</t>
        </is>
      </c>
      <c r="AF195" s="77">
        <f>IF(OR(V195="No",X195="No",Z195="No"),"Outside strict definition",IF(AND(V195="Yes",X195="Yes",Z195="Yes"),"Meets all three","Potentially relevant; evidence incomplete"))</f>
        <v/>
      </c>
      <c r="AG195" s="77" t="inlineStr">
        <is>
          <t>Current delivery confirmed</t>
        </is>
      </c>
      <c r="AH195" s="77" t="inlineStr">
        <is>
          <t>2026</t>
        </is>
      </c>
      <c r="AI195" s="77" t="inlineStr">
        <is>
          <t>Yes</t>
        </is>
      </c>
      <c r="AJ195" s="77">
        <f>IF(AND(AI195="Yes",AF195="Meets all three",AG195="Current delivery confirmed"),"Yes","No")</f>
        <v/>
      </c>
      <c r="AK195" s="77" t="inlineStr"/>
      <c r="AL195" s="77" t="inlineStr">
        <is>
          <t>RG10-S15-R1</t>
        </is>
      </c>
      <c r="AM195" s="77" t="inlineStr">
        <is>
          <t>Whether peers/House of Lords act as commissioner; the supporting researchers are King's staff.</t>
        </is>
      </c>
      <c r="AN195" s="77" t="inlineStr"/>
      <c r="AO195" s="77" t="inlineStr">
        <is>
          <t>UK</t>
        </is>
      </c>
      <c r="AP195" s="77" t="inlineStr">
        <is>
          <t>UK – Russell Group</t>
        </is>
      </c>
      <c r="AQ195" s="77" t="inlineStr">
        <is>
          <t>1–4 weeks</t>
        </is>
      </c>
      <c r="AR195" s="77" t="inlineStr">
        <is>
          <t>Unclear</t>
        </is>
      </c>
      <c r="AS195" s="77" t="inlineStr"/>
    </row>
    <row r="196">
      <c r="A196" s="77" t="inlineStr">
        <is>
          <t>RG10</t>
        </is>
      </c>
      <c r="B196" s="77" t="inlineStr">
        <is>
          <t>King’s College London</t>
        </is>
      </c>
      <c r="C196" s="77" t="inlineStr">
        <is>
          <t>University-wide</t>
        </is>
      </c>
      <c r="D196" s="77" t="inlineStr">
        <is>
          <t>RG10-S16</t>
        </is>
      </c>
      <c r="E196" s="77" t="inlineStr"/>
      <c r="F196" s="77" t="inlineStr">
        <is>
          <t>No</t>
        </is>
      </c>
      <c r="G196" s="79" t="inlineStr">
        <is>
          <t>Community Impact Lab</t>
        </is>
      </c>
      <c r="H196" s="77" t="inlineStr">
        <is>
          <t>Community Impact Lab</t>
        </is>
      </c>
      <c r="I196" s="77" t="inlineStr"/>
      <c r="J196" s="77" t="inlineStr">
        <is>
          <t>Two one-day events a year run by King's Volunteering and the Entrepreneurship Institute. Charities bring a live problem; student teams analyse it, generate ideas and present practical recommendations to the organisation at the end of the day. First event: 70+ students from different faculties, five charity partners (Serve On, Refugee Education UK, Screen Share UK, Carers UK, Volunteer Centre Kensington and Chelsea).</t>
        </is>
      </c>
      <c r="K196" s="77" t="inlineStr">
        <is>
          <t>King's Volunteering with Entrepreneurship Institute</t>
        </is>
      </c>
      <c r="L196" s="77" t="inlineStr">
        <is>
          <t>Students from different faculties (eligibility rules not seen)</t>
        </is>
      </c>
      <c r="M196" s="77" t="inlineStr">
        <is>
          <t>Central provision</t>
        </is>
      </c>
      <c r="N196" s="77" t="inlineStr">
        <is>
          <t>Unclear</t>
        </is>
      </c>
      <c r="O196" s="77" t="inlineStr"/>
      <c r="P196" s="77" t="inlineStr">
        <is>
          <t>Not stated in extract</t>
        </is>
      </c>
      <c r="Q196" s="77" t="inlineStr">
        <is>
          <t>Optional/elective</t>
        </is>
      </c>
      <c r="R196" s="77" t="inlineStr">
        <is>
          <t>Extracurricular</t>
        </is>
      </c>
      <c r="S196" s="77" t="inlineStr">
        <is>
          <t>None evidenced</t>
        </is>
      </c>
      <c r="T196" s="77" t="inlineStr">
        <is>
          <t>One day per event</t>
        </is>
      </c>
      <c r="U196" s="77" t="inlineStr">
        <is>
          <t>Workshop-style challenge day</t>
        </is>
      </c>
      <c r="V196" s="77" t="inlineStr">
        <is>
          <t>Yes</t>
        </is>
      </c>
      <c r="W196" s="77" t="inlineStr">
        <is>
          <t>Teams develop recommendations for a charity's live challenge and present them [1].</t>
        </is>
      </c>
      <c r="X196" s="77" t="inlineStr">
        <is>
          <t>Yes</t>
        </is>
      </c>
      <c r="Y196" s="77" t="inlineStr">
        <is>
          <t>'Teams analyse the challenge' [1].</t>
        </is>
      </c>
      <c r="Z196" s="77" t="inlineStr">
        <is>
          <t>Yes</t>
        </is>
      </c>
      <c r="AA196" s="77" t="inlineStr">
        <is>
          <t>Charity partners bring the live problem and receive the end-of-day presentation [1].</t>
        </is>
      </c>
      <c r="AB196" s="77" t="inlineStr">
        <is>
          <t>Charity/community</t>
        </is>
      </c>
      <c r="AC196" s="77" t="inlineStr">
        <is>
          <t>Sets challenge, receives recommendations</t>
        </is>
      </c>
      <c r="AD196" s="77" t="inlineStr">
        <is>
          <t>Serve On, Refugee Education UK, Screen Share UK, Carers UK, Volunteer Centre Kensington and Chelsea (first event, year not shown)</t>
        </is>
      </c>
      <c r="AE196" s="77" t="inlineStr">
        <is>
          <t>Presented recommendations</t>
        </is>
      </c>
      <c r="AF196" s="77">
        <f>IF(OR(V196="No",X196="No",Z196="No"),"Outside strict definition",IF(AND(V196="Yes",X196="Yes",Z196="Yes"),"Meets all three","Potentially relevant; evidence incomplete"))</f>
        <v/>
      </c>
      <c r="AG196" s="77" t="inlineStr">
        <is>
          <t>Current status unclear</t>
        </is>
      </c>
      <c r="AH196" s="77" t="inlineStr"/>
      <c r="AI196" s="77" t="inlineStr">
        <is>
          <t>Yes</t>
        </is>
      </c>
      <c r="AJ196" s="77">
        <f>IF(AND(AI196="Yes",AF196="Meets all three",AG196="Current delivery confirmed"),"Yes","No")</f>
        <v/>
      </c>
      <c r="AK196" s="77" t="inlineStr"/>
      <c r="AL196" s="77" t="inlineStr">
        <is>
          <t>RG10-S16-R1</t>
        </is>
      </c>
      <c r="AM196" s="77" t="inlineStr">
        <is>
          <t>Date of events; eligibility; depth of a one-day output.</t>
        </is>
      </c>
      <c r="AN196" s="77" t="inlineStr"/>
      <c r="AO196" s="77" t="inlineStr">
        <is>
          <t>UK</t>
        </is>
      </c>
      <c r="AP196" s="77" t="inlineStr">
        <is>
          <t>UK – Russell Group</t>
        </is>
      </c>
      <c r="AQ196" s="77" t="inlineStr">
        <is>
          <t>&lt;1 week</t>
        </is>
      </c>
      <c r="AR196" s="77" t="inlineStr">
        <is>
          <t>All/standard</t>
        </is>
      </c>
      <c r="AS196" s="77" t="inlineStr"/>
    </row>
    <row r="197">
      <c r="A197" s="77" t="inlineStr">
        <is>
          <t>RG11</t>
        </is>
      </c>
      <c r="B197" s="77" t="inlineStr">
        <is>
          <t>Leeds</t>
        </is>
      </c>
      <c r="C197" s="77" t="inlineStr">
        <is>
          <t>University-wide</t>
        </is>
      </c>
      <c r="D197" s="77" t="inlineStr">
        <is>
          <t>RG11-S01</t>
        </is>
      </c>
      <c r="E197" s="77" t="inlineStr"/>
      <c r="F197" s="77" t="inlineStr">
        <is>
          <t>No</t>
        </is>
      </c>
      <c r="G197" s="79" t="inlineStr">
        <is>
          <t>LUBS3013 Enterprise Consultancy (Leeds Enterprise Consultancy Project)</t>
        </is>
      </c>
      <c r="H197" s="77" t="inlineStr">
        <is>
          <t>Enterprise Consultancy</t>
        </is>
      </c>
      <c r="I197" s="77" t="inlineStr">
        <is>
          <t>LUBS3013</t>
        </is>
      </c>
      <c r="J197" s="77" t="inlineStr">
        <is>
          <t>Final-year undergraduates, working in student teams, deliver a project to a consultancy brief supplied by a small business or social enterprise that has applied to the Centre for Enterprise and Entrepreneurship Studies (business development, innovation or new-market focus). Assessed by a group client report plus an individual reflective log. Also compulsory within the BSc/MBiol Biological Sciences (Biotechnology with Enterprise) degrees.</t>
        </is>
      </c>
      <c r="K197" s="77" t="inlineStr">
        <is>
          <t>Leeds University Business School (Centre for Enterprise and Entrepreneurship Studies)</t>
        </is>
      </c>
      <c r="L197" s="77" t="inlineStr">
        <is>
          <t>Final-year undergraduates across the University (also approved as a Discovery module); compulsory in Biological Sciences (Biotechnology with Enterprise)</t>
        </is>
      </c>
      <c r="M197" s="77" t="inlineStr">
        <is>
          <t>Business/management; Central provision; Science</t>
        </is>
      </c>
      <c r="N197" s="77" t="inlineStr">
        <is>
          <t>Undergraduate</t>
        </is>
      </c>
      <c r="O197" s="77" t="inlineStr">
        <is>
          <t>Final year (Level 3)</t>
        </is>
      </c>
      <c r="P197" s="77" t="inlineStr">
        <is>
          <t>Final-year undergraduate students; subject to programme rules / Discovery module enrolment</t>
        </is>
      </c>
      <c r="Q197" s="77" t="inlineStr">
        <is>
          <t>Optional/elective</t>
        </is>
      </c>
      <c r="R197" s="77" t="inlineStr">
        <is>
          <t>Curricular</t>
        </is>
      </c>
      <c r="S197" s="77" t="inlineStr">
        <is>
          <t>20 credits, Semester 1 (2025/26 catalogue). Group client report (3,000 words, 50%) + individual reflective log (2,500 words, 50%) per search summary of catalogue.</t>
        </is>
      </c>
      <c r="T197" s="77" t="inlineStr">
        <is>
          <t>Client project over a 6-8 week period within a Semester 1 module</t>
        </is>
      </c>
      <c r="U197" s="77" t="inlineStr">
        <is>
          <t>In-person/hybrid module; student teams work with an enterprise client</t>
        </is>
      </c>
      <c r="V197" s="77" t="inlineStr">
        <is>
          <t>Yes</t>
        </is>
      </c>
      <c r="W197" s="77" t="inlineStr">
        <is>
          <t>Student team 'delivers a project to an enterprise's consultancy brief over a 6-8 week period' with a client report as output (sources 1, 2).</t>
        </is>
      </c>
      <c r="X197" s="77" t="inlineStr">
        <is>
          <t>Yes</t>
        </is>
      </c>
      <c r="Y197" s="77" t="inlineStr">
        <is>
          <t>'student team'; assessed by a group client report (sources 1, 2).</t>
        </is>
      </c>
      <c r="Z197" s="77" t="inlineStr">
        <is>
          <t>Yes</t>
        </is>
      </c>
      <c r="AA197" s="77" t="inlineStr">
        <is>
          <t>Small businesses and social enterprises apply to the Centre with a project proposal and act as client; a charity client reported implementing most recommendations; a cafe client trialled a student team's layout proposal (sources 1, 3).</t>
        </is>
      </c>
      <c r="AB197" s="77" t="inlineStr">
        <is>
          <t>Mixed</t>
        </is>
      </c>
      <c r="AC197" s="77" t="inlineStr">
        <is>
          <t>Small businesses and social enterprises/charities apply, supply the consultancy brief and receive the team's client report</t>
        </is>
      </c>
      <c r="AD197" s="77" t="inlineStr">
        <is>
          <t>Better Giving Partnership (charity client, case study; year not confirmed)</t>
        </is>
      </c>
      <c r="AE197" s="77" t="inlineStr">
        <is>
          <t>Group consultancy/client report with recommendations (plus individual reflective log)</t>
        </is>
      </c>
      <c r="AF197" s="77">
        <f>IF(OR(V197="No",X197="No",Z197="No"),"Outside strict definition",IF(AND(V197="Yes",X197="Yes",Z197="Yes"),"Meets all three","Potentially relevant; evidence incomplete"))</f>
        <v/>
      </c>
      <c r="AG197" s="77" t="inlineStr">
        <is>
          <t>Current delivery confirmed</t>
        </is>
      </c>
      <c r="AH197" s="77" t="inlineStr">
        <is>
          <t>2025/26</t>
        </is>
      </c>
      <c r="AI197" s="77" t="inlineStr">
        <is>
          <t>Yes</t>
        </is>
      </c>
      <c r="AJ197" s="77">
        <f>IF(AND(AI197="Yes",AF197="Meets all three",AG197="Current delivery confirmed"),"Yes","No")</f>
        <v/>
      </c>
      <c r="AK197" s="77" t="inlineStr">
        <is>
          <t>Class size 130 (2025/26 catalogue; capacity, not enrolment)</t>
        </is>
      </c>
      <c r="AL197" s="77" t="inlineStr">
        <is>
          <t>RG11-S01-R1; RG11-S01-R2; RG11-S01-R3; RG11-S01-R4</t>
        </is>
      </c>
      <c r="AM197" s="77" t="inlineStr">
        <is>
          <t>Number of client organisations per year not published. Duration band reflects the 6-8 week client project inside a longer module (band conservative). Note: the Biological Sciences (Biotechnology with Enterprise) programme pages describe this module as compulsory within that degree (source 4).</t>
        </is>
      </c>
      <c r="AN197" s="77" t="inlineStr"/>
      <c r="AO197" s="77" t="inlineStr">
        <is>
          <t>UK</t>
        </is>
      </c>
      <c r="AP197" s="77" t="inlineStr">
        <is>
          <t>UK – Russell Group</t>
        </is>
      </c>
      <c r="AQ197" s="77" t="inlineStr">
        <is>
          <t>1–4 weeks</t>
        </is>
      </c>
      <c r="AR197" s="77" t="inlineStr">
        <is>
          <t>All/standard</t>
        </is>
      </c>
      <c r="AS197" s="77" t="inlineStr"/>
    </row>
    <row r="198">
      <c r="A198" s="77" t="inlineStr">
        <is>
          <t>RG11</t>
        </is>
      </c>
      <c r="B198" s="77" t="inlineStr">
        <is>
          <t>Leeds</t>
        </is>
      </c>
      <c r="C198" s="77" t="inlineStr">
        <is>
          <t>University-wide</t>
        </is>
      </c>
      <c r="D198" s="77" t="inlineStr">
        <is>
          <t>RG11-S02</t>
        </is>
      </c>
      <c r="E198" s="77" t="inlineStr"/>
      <c r="F198" s="77" t="inlineStr">
        <is>
          <t>No</t>
        </is>
      </c>
      <c r="G198" s="79" t="inlineStr">
        <is>
          <t>Leeds Global Industry Programme (postgraduate)</t>
        </is>
      </c>
      <c r="H198" s="77" t="inlineStr">
        <is>
          <t>Leeds Global Industry Programme</t>
        </is>
      </c>
      <c r="I198" s="77" t="inlineStr"/>
      <c r="J198" s="77" t="inlineStr">
        <is>
          <t>Online consulting-style programme in which multidisciplinary teams of 5-8 taught postgraduates receive a live brief from a UK or overseas company, research and develop solutions, and present findings in a professional consultancy report; participants get feedback and a digital badge/certificate. Guaranteed for on-campus taught postgraduates (not MBA); EPS students instead take S3.</t>
        </is>
      </c>
      <c r="K198" s="77" t="inlineStr">
        <is>
          <t>Careers / Leeds University Business School Employability and Opportunity team (central programme)</t>
        </is>
      </c>
      <c r="L198" s="77" t="inlineStr">
        <is>
          <t>All on-campus taught postgraduate students, UK and international, except Leeds MBA; Faculty of Engineering and Physical Sciences students offered the embedded 8-week programme (S3) instead</t>
        </is>
      </c>
      <c r="M198" s="77" t="inlineStr">
        <is>
          <t>Central provision; Business/management; Arts/humanities/social sciences; Other (law, health, design, architecture…)</t>
        </is>
      </c>
      <c r="N198" s="77" t="inlineStr">
        <is>
          <t>Postgraduate taught</t>
        </is>
      </c>
      <c r="O198" s="77" t="inlineStr">
        <is>
          <t>Taught postgraduate year</t>
        </is>
      </c>
      <c r="P198" s="77" t="inlineStr">
        <is>
          <t>On-campus PGT students; excludes MBA; EPS students take the embedded alternative</t>
        </is>
      </c>
      <c r="Q198" s="77" t="inlineStr">
        <is>
          <t>Unclear</t>
        </is>
      </c>
      <c r="R198" s="77" t="inlineStr">
        <is>
          <t>Unclear</t>
        </is>
      </c>
      <c r="S198" s="77" t="inlineStr">
        <is>
          <t>Digital badge and certificate; credit/assessment status not stated in the extracts.</t>
        </is>
      </c>
      <c r="T198" s="77" t="inlineStr">
        <is>
          <t>Described as a 2-week online programme on several Masters pages; other pages give different formats</t>
        </is>
      </c>
      <c r="U198" s="77" t="inlineStr">
        <is>
          <t>Online, multi-disciplinary teams of 5-8</t>
        </is>
      </c>
      <c r="V198" s="77" t="inlineStr">
        <is>
          <t>Yes</t>
        </is>
      </c>
      <c r="W198" s="77" t="inlineStr">
        <is>
          <t>Teams receive a live company brief and produce a professional consultancy report (sources 1, 2).</t>
        </is>
      </c>
      <c r="X198" s="77" t="inlineStr">
        <is>
          <t>Yes</t>
        </is>
      </c>
      <c r="Y198" s="77" t="inlineStr">
        <is>
          <t>'small groups of five to eight students' in a multi-disciplinary team (source 1).</t>
        </is>
      </c>
      <c r="Z198" s="77" t="inlineStr">
        <is>
          <t>Yes</t>
        </is>
      </c>
      <c r="AA198" s="77" t="inlineStr">
        <is>
          <t>Companies supply the live brief; a partner company's comments on the 2024/25 cohort quoted in the programme news item (sources 1, 3). Whether students present directly to the company is not stated.</t>
        </is>
      </c>
      <c r="AB198" s="77" t="inlineStr">
        <is>
          <t>Business/commercial</t>
        </is>
      </c>
      <c r="AC198" s="77" t="inlineStr">
        <is>
          <t>Supplies live company brief (UK and overseas organisations); comments on performance</t>
        </is>
      </c>
      <c r="AD198" s="77" t="inlineStr">
        <is>
          <t>Partner companies from Spain, Nigeria, Canada, Singapore and elsewhere (2024/25 news; individual names not captured)</t>
        </is>
      </c>
      <c r="AE198" s="77" t="inlineStr">
        <is>
          <t>Professional consultancy report</t>
        </is>
      </c>
      <c r="AF198" s="77">
        <f>IF(OR(V198="No",X198="No",Z198="No"),"Outside strict definition",IF(AND(V198="Yes",X198="Yes",Z198="Yes"),"Meets all three","Potentially relevant; evidence incomplete"))</f>
        <v/>
      </c>
      <c r="AG198" s="77" t="inlineStr">
        <is>
          <t>Current delivery confirmed</t>
        </is>
      </c>
      <c r="AH198" s="77" t="inlineStr">
        <is>
          <t>2025/26</t>
        </is>
      </c>
      <c r="AI198" s="77" t="inlineStr">
        <is>
          <t>Yes</t>
        </is>
      </c>
      <c r="AJ198" s="77">
        <f>IF(AND(AI198="Yes",AF198="Meets all three",AG198="Current delivery confirmed"),"Yes","No")</f>
        <v/>
      </c>
      <c r="AK198" s="77" t="inlineStr">
        <is>
          <t>2024/25 expansion aimed to engage 200 students across two cohorts (Nov 2024 and Feb 2025) (target, not outcome)</t>
        </is>
      </c>
      <c r="AL198" s="77" t="inlineStr">
        <is>
          <t>RG11-S02-R1; RG11-S02-R2; RG11-S02-R3</t>
        </is>
      </c>
      <c r="AM198" s="77" t="inlineStr">
        <is>
          <t>Credit/assessment status and whether compulsory are not stated; some pages give a 2-week format. Whether the client receives the output directly is not stated (employer role limited to brief-setting and comment).</t>
        </is>
      </c>
      <c r="AN198" s="77" t="inlineStr"/>
      <c r="AO198" s="77" t="inlineStr">
        <is>
          <t>UK</t>
        </is>
      </c>
      <c r="AP198" s="77" t="inlineStr">
        <is>
          <t>UK – Russell Group</t>
        </is>
      </c>
      <c r="AQ198" s="77" t="inlineStr">
        <is>
          <t>1–4 weeks</t>
        </is>
      </c>
      <c r="AR198" s="77" t="inlineStr">
        <is>
          <t>All/standard</t>
        </is>
      </c>
      <c r="AS198" s="77" t="inlineStr"/>
    </row>
    <row r="199">
      <c r="A199" s="77" t="inlineStr">
        <is>
          <t>RG11</t>
        </is>
      </c>
      <c r="B199" s="77" t="inlineStr">
        <is>
          <t>Leeds</t>
        </is>
      </c>
      <c r="C199" s="77" t="inlineStr">
        <is>
          <t>Faculty/school</t>
        </is>
      </c>
      <c r="D199" s="77" t="inlineStr">
        <is>
          <t>RG11-S03</t>
        </is>
      </c>
      <c r="E199" s="77" t="inlineStr"/>
      <c r="F199" s="77" t="inlineStr">
        <is>
          <t>No</t>
        </is>
      </c>
      <c r="G199" s="79" t="inlineStr">
        <is>
          <t>EPS Embedded Virtual Work Experience</t>
        </is>
      </c>
      <c r="H199" s="77" t="inlineStr">
        <is>
          <t>Embedded virtual work experience (Engineering and Physical Sciences, postgraduate)</t>
        </is>
      </c>
      <c r="I199" s="77" t="inlineStr"/>
      <c r="J199" s="77" t="inlineStr">
        <is>
          <t>Eight-week part-time online programme in which a team of five students from the same course solves a real business problem set by an assigned company; academic tutor and EPS Employability Team support; company gives feedback on performance; short pass/fail reflective assignment.</t>
        </is>
      </c>
      <c r="K199" s="77" t="inlineStr">
        <is>
          <t>Faculty of Engineering and Physical Sciences Employability Team</t>
        </is>
      </c>
      <c r="L199" s="77" t="inlineStr">
        <is>
          <t>EPS taught postgraduate (MSc) students (e.g. Computer Science, Chemistry, Electronic Engineering, Mathematics/Data Science MSc pages); several course pages call it optional</t>
        </is>
      </c>
      <c r="M199" s="77" t="inlineStr">
        <is>
          <t>Engineering/computing; Science</t>
        </is>
      </c>
      <c r="N199" s="77" t="inlineStr">
        <is>
          <t>Postgraduate taught</t>
        </is>
      </c>
      <c r="O199" s="77" t="inlineStr">
        <is>
          <t>Near end of MSc, from August</t>
        </is>
      </c>
      <c r="P199" s="77" t="inlineStr">
        <is>
          <t>Progression requirements (e.g. no outstanding resits)</t>
        </is>
      </c>
      <c r="Q199" s="77" t="inlineStr">
        <is>
          <t>Optional/elective</t>
        </is>
      </c>
      <c r="R199" s="77" t="inlineStr">
        <is>
          <t>Curricular</t>
        </is>
      </c>
      <c r="S199" s="77" t="inlineStr">
        <is>
          <t>Short reflective assignment graded pass/fail by academic tutor</t>
        </is>
      </c>
      <c r="T199" s="77" t="inlineStr">
        <is>
          <t>8 weeks part-time</t>
        </is>
      </c>
      <c r="U199" s="77" t="inlineStr">
        <is>
          <t>Online, team of five</t>
        </is>
      </c>
      <c r="V199" s="77" t="inlineStr">
        <is>
          <t>Yes</t>
        </is>
      </c>
      <c r="W199" s="77" t="inlineStr">
        <is>
          <t>Students 'solve real business problems' set by an assigned company (source 1).</t>
        </is>
      </c>
      <c r="X199" s="77" t="inlineStr">
        <is>
          <t>Yes</t>
        </is>
      </c>
      <c r="Y199" s="77" t="inlineStr">
        <is>
          <t>Team of five students from the same course (source 1).</t>
        </is>
      </c>
      <c r="Z199" s="77" t="inlineStr">
        <is>
          <t>Yes</t>
        </is>
      </c>
      <c r="AA199" s="77" t="inlineStr">
        <is>
          <t>Assigned company sets the problem and gives feedback on performance; placement with a company guaranteed (source 1).</t>
        </is>
      </c>
      <c r="AB199" s="77" t="inlineStr">
        <is>
          <t>Business/commercial</t>
        </is>
      </c>
      <c r="AC199" s="77" t="inlineStr">
        <is>
          <t>Sets business problem; gives performance feedback</t>
        </is>
      </c>
      <c r="AD199" s="77" t="inlineStr"/>
      <c r="AE199" s="77" t="inlineStr">
        <is>
          <t>Team solution to company business problem (output form not specified)</t>
        </is>
      </c>
      <c r="AF199" s="77">
        <f>IF(OR(V199="No",X199="No",Z199="No"),"Outside strict definition",IF(AND(V199="Yes",X199="Yes",Z199="Yes"),"Meets all three","Potentially relevant; evidence incomplete"))</f>
        <v/>
      </c>
      <c r="AG199" s="77" t="inlineStr">
        <is>
          <t>Current delivery confirmed</t>
        </is>
      </c>
      <c r="AH199" s="77" t="inlineStr">
        <is>
          <t>2025/26</t>
        </is>
      </c>
      <c r="AI199" s="77" t="inlineStr">
        <is>
          <t>Yes</t>
        </is>
      </c>
      <c r="AJ199" s="77">
        <f>IF(AND(AI199="Yes",AF199="Meets all three",AG199="Current delivery confirmed"),"Yes","No")</f>
        <v/>
      </c>
      <c r="AK199" s="77" t="inlineStr"/>
      <c r="AL199" s="77" t="inlineStr">
        <is>
          <t>RG11-S03-R1; RG11-S03-R2; RG11-S03-R3</t>
        </is>
      </c>
      <c r="AM199" s="77" t="inlineStr">
        <is>
          <t>Faculty page undated; delivery in 2025/26 corroborated by the central 2025-26 Global Industry Programme page stating EPS students are offered the embedded programme instead (S2 source 1). Some MSc pages are very old. Exact deliverable and presentation to company not stated.</t>
        </is>
      </c>
      <c r="AN199" s="77" t="inlineStr"/>
      <c r="AO199" s="77" t="inlineStr">
        <is>
          <t>UK</t>
        </is>
      </c>
      <c r="AP199" s="77" t="inlineStr">
        <is>
          <t>UK – Russell Group</t>
        </is>
      </c>
      <c r="AQ199" s="77" t="inlineStr">
        <is>
          <t>~1 term/semester</t>
        </is>
      </c>
      <c r="AR199" s="77" t="inlineStr">
        <is>
          <t>All/standard</t>
        </is>
      </c>
      <c r="AS199" s="77" t="inlineStr"/>
    </row>
    <row r="200">
      <c r="A200" s="77" t="inlineStr">
        <is>
          <t>RG11</t>
        </is>
      </c>
      <c r="B200" s="77" t="inlineStr">
        <is>
          <t>Leeds</t>
        </is>
      </c>
      <c r="C200" s="77" t="inlineStr">
        <is>
          <t>Programme/course</t>
        </is>
      </c>
      <c r="D200" s="77" t="inlineStr">
        <is>
          <t>RG11-S04</t>
        </is>
      </c>
      <c r="E200" s="77" t="inlineStr"/>
      <c r="F200" s="77" t="inlineStr">
        <is>
          <t>No</t>
        </is>
      </c>
      <c r="G200" s="79" t="inlineStr">
        <is>
          <t>MECH5080M Team Project (MEng major team project with industrial partner)</t>
        </is>
      </c>
      <c r="H200" s="77" t="inlineStr">
        <is>
          <t>Mechanical Engineering MEng Team Project</t>
        </is>
      </c>
      <c r="I200" s="77" t="inlineStr">
        <is>
          <t>MECH5080M</t>
        </is>
      </c>
      <c r="J200" s="77" t="inlineStr">
        <is>
          <t>Advanced engineering project in groups of 3-6, supervised by staff and mentored by an industry collaborator who acts as the customer; teams develop a tender or business plan. Example topics include cooling channels for turbine blades (Rolls-Royce), hydrogen aircraft optimisation (Airbus), rocket base drag (MBDA).</t>
        </is>
      </c>
      <c r="K200" s="77" t="inlineStr">
        <is>
          <t>School of Mechanical Engineering</t>
        </is>
      </c>
      <c r="L200" s="77" t="inlineStr">
        <is>
          <t>Mechanical Engineering MEng; also described for Mechatronics and Robotics MEng and Industrial variants (Year 4 or 5 depending on variant)</t>
        </is>
      </c>
      <c r="M200" s="77" t="inlineStr">
        <is>
          <t>Engineering/computing</t>
        </is>
      </c>
      <c r="N200" s="77" t="inlineStr">
        <is>
          <t>Undergraduate</t>
        </is>
      </c>
      <c r="O200" s="77" t="inlineStr">
        <is>
          <t>Year 4 (Year 5 for Industrial variants)</t>
        </is>
      </c>
      <c r="P200" s="77" t="inlineStr">
        <is>
          <t>MEng students</t>
        </is>
      </c>
      <c r="Q200" s="77" t="inlineStr">
        <is>
          <t>Compulsory within specified programmes</t>
        </is>
      </c>
      <c r="R200" s="77" t="inlineStr">
        <is>
          <t>Curricular</t>
        </is>
      </c>
      <c r="S200" s="77" t="inlineStr">
        <is>
          <t>45 credits, Semesters 1 and 2, pass for progression (2025/26 programme listing)</t>
        </is>
      </c>
      <c r="T200" s="77" t="inlineStr">
        <is>
          <t>Two semesters</t>
        </is>
      </c>
      <c r="U200" s="77" t="inlineStr">
        <is>
          <t>In-person team project</t>
        </is>
      </c>
      <c r="V200" s="77" t="inlineStr">
        <is>
          <t>Yes</t>
        </is>
      </c>
      <c r="W200" s="77" t="inlineStr">
        <is>
          <t>Tender/business plan format emulating professional practice (sources 1, 2).</t>
        </is>
      </c>
      <c r="X200" s="77" t="inlineStr">
        <is>
          <t>Yes</t>
        </is>
      </c>
      <c r="Y200" s="77" t="inlineStr">
        <is>
          <t>Groups of 3 to 6 (source 1).</t>
        </is>
      </c>
      <c r="Z200" s="77" t="inlineStr">
        <is>
          <t>Yes</t>
        </is>
      </c>
      <c r="AA200" s="77" t="inlineStr">
        <is>
          <t>'mentored by a collaborator from industry'; industry mentors act as customers; students 'work closely with one of our industrial partners' (sources 1, 2).</t>
        </is>
      </c>
      <c r="AB200" s="77" t="inlineStr">
        <is>
          <t>Business/commercial</t>
        </is>
      </c>
      <c r="AC200" s="77" t="inlineStr">
        <is>
          <t>Industry collaborator mentors team and acts as customer; supplies project topic</t>
        </is>
      </c>
      <c r="AD200" s="77" t="inlineStr">
        <is>
          <t>Rolls-Royce, Airbus, MBDA (example project titles; year not stated)</t>
        </is>
      </c>
      <c r="AE200" s="77" t="inlineStr">
        <is>
          <t>Engineering solution with tender/business plan</t>
        </is>
      </c>
      <c r="AF200" s="77">
        <f>IF(OR(V200="No",X200="No",Z200="No"),"Outside strict definition",IF(AND(V200="Yes",X200="Yes",Z200="Yes"),"Meets all three","Potentially relevant; evidence incomplete"))</f>
        <v/>
      </c>
      <c r="AG200" s="77" t="inlineStr">
        <is>
          <t>Current delivery confirmed</t>
        </is>
      </c>
      <c r="AH200" s="77" t="inlineStr">
        <is>
          <t>2025/26</t>
        </is>
      </c>
      <c r="AI200" s="77" t="inlineStr">
        <is>
          <t>Yes</t>
        </is>
      </c>
      <c r="AJ200" s="77">
        <f>IF(AND(AI200="Yes",AF200="Meets all three",AG200="Current delivery confirmed"),"Yes","No")</f>
        <v/>
      </c>
      <c r="AK200" s="77" t="inlineStr">
        <is>
          <t>Class size 240 (catalogue; capacity)</t>
        </is>
      </c>
      <c r="AL200" s="77" t="inlineStr">
        <is>
          <t>RG11-S04-R1; RG11-S04-R2; RG11-S04-R3</t>
        </is>
      </c>
      <c r="AM200" s="77" t="inlineStr">
        <is>
          <t>Named partner examples undated; whether every team has an external (not internal) mentor is stated as the norm but not quantified.</t>
        </is>
      </c>
      <c r="AN200" s="77" t="inlineStr"/>
      <c r="AO200" s="77" t="inlineStr">
        <is>
          <t>UK</t>
        </is>
      </c>
      <c r="AP200" s="77" t="inlineStr">
        <is>
          <t>UK – Russell Group</t>
        </is>
      </c>
      <c r="AQ200" s="77" t="inlineStr">
        <is>
          <t>&gt;1 term</t>
        </is>
      </c>
      <c r="AR200" s="77" t="inlineStr">
        <is>
          <t>All/standard</t>
        </is>
      </c>
      <c r="AS200" s="77" t="inlineStr"/>
    </row>
    <row r="201">
      <c r="A201" s="77" t="inlineStr">
        <is>
          <t>RG11</t>
        </is>
      </c>
      <c r="B201" s="77" t="inlineStr">
        <is>
          <t>Leeds</t>
        </is>
      </c>
      <c r="C201" s="77" t="inlineStr">
        <is>
          <t>Programme/course</t>
        </is>
      </c>
      <c r="D201" s="77" t="inlineStr">
        <is>
          <t>RG11-S05</t>
        </is>
      </c>
      <c r="E201" s="77" t="inlineStr"/>
      <c r="F201" s="77" t="inlineStr">
        <is>
          <t>No</t>
        </is>
      </c>
      <c r="G201" s="79" t="inlineStr">
        <is>
          <t>Civil Engineering Integrated Design Project (Year 4 MEng)</t>
        </is>
      </c>
      <c r="H201" s="77" t="inlineStr">
        <is>
          <t>Civil Engineering Integrated Design Project 4</t>
        </is>
      </c>
      <c r="I201" s="77" t="inlineStr">
        <is>
          <t>IDP4 (code not captured)</t>
        </is>
      </c>
      <c r="J201" s="77" t="inlineStr">
        <is>
          <t>Year 4 MEng groups usually work on a real-life problem proposed by an industrial partner, who acts as client; external engineers advise on technical issues. Staged outputs from option study to detailed design; groups present to the module team and industry partner, with top groups re-presenting at the partner's offices.</t>
        </is>
      </c>
      <c r="K201" s="77" t="inlineStr">
        <is>
          <t>School of Civil Engineering</t>
        </is>
      </c>
      <c r="L201" s="77" t="inlineStr">
        <is>
          <t>Civil Engineering MEng variants (Civil, Civil &amp; Structural, with Project Management, with Transport)</t>
        </is>
      </c>
      <c r="M201" s="77" t="inlineStr">
        <is>
          <t>Engineering/computing</t>
        </is>
      </c>
      <c r="N201" s="77" t="inlineStr">
        <is>
          <t>Undergraduate</t>
        </is>
      </c>
      <c r="O201" s="77" t="inlineStr">
        <is>
          <t>Year 4</t>
        </is>
      </c>
      <c r="P201" s="77" t="inlineStr">
        <is>
          <t>MEng civil engineering programmes</t>
        </is>
      </c>
      <c r="Q201" s="77" t="inlineStr">
        <is>
          <t>Compulsory within specified programmes</t>
        </is>
      </c>
      <c r="R201" s="77" t="inlineStr">
        <is>
          <t>Curricular</t>
        </is>
      </c>
      <c r="S201" s="77" t="inlineStr">
        <is>
          <t>30 credits, Semester 1 (per search summary of catalogue listing; year of listing not confirmed)</t>
        </is>
      </c>
      <c r="T201" s="77" t="inlineStr">
        <is>
          <t>Semester 1</t>
        </is>
      </c>
      <c r="U201" s="77" t="inlineStr">
        <is>
          <t>In-person group design project</t>
        </is>
      </c>
      <c r="V201" s="77" t="inlineStr">
        <is>
          <t>Yes</t>
        </is>
      </c>
      <c r="W201" s="77" t="inlineStr">
        <is>
          <t>Staged design deliverables for a partner-set problem (source 1).</t>
        </is>
      </c>
      <c r="X201" s="77" t="inlineStr">
        <is>
          <t>Yes</t>
        </is>
      </c>
      <c r="Y201" s="77" t="inlineStr">
        <is>
          <t>'Groups' present reports/presentations (source 1).</t>
        </is>
      </c>
      <c r="Z201" s="77" t="inlineStr">
        <is>
          <t>Yes</t>
        </is>
      </c>
      <c r="AA201" s="77" t="inlineStr">
        <is>
          <t>Industrial partner proposes the problem, acts as client and receives presentations; external engineers advise (source 1). 'usually' indicates standard but not absolute.</t>
        </is>
      </c>
      <c r="AB201" s="77" t="inlineStr">
        <is>
          <t>Business/commercial</t>
        </is>
      </c>
      <c r="AC201" s="77" t="inlineStr">
        <is>
          <t>Proposes brief, acts as client, receives presentations at their offices</t>
        </is>
      </c>
      <c r="AD201" s="77" t="inlineStr"/>
      <c r="AE201" s="77" t="inlineStr">
        <is>
          <t>Option study, holistic report, detailed design, presentation</t>
        </is>
      </c>
      <c r="AF201" s="77">
        <f>IF(OR(V201="No",X201="No",Z201="No"),"Outside strict definition",IF(AND(V201="Yes",X201="Yes",Z201="Yes"),"Meets all three","Potentially relevant; evidence incomplete"))</f>
        <v/>
      </c>
      <c r="AG201" s="77" t="inlineStr">
        <is>
          <t>Current status unclear</t>
        </is>
      </c>
      <c r="AH201" s="77" t="inlineStr">
        <is>
          <t>undated</t>
        </is>
      </c>
      <c r="AI201" s="77" t="inlineStr">
        <is>
          <t>Yes</t>
        </is>
      </c>
      <c r="AJ201" s="77">
        <f>IF(AND(AI201="Yes",AF201="Meets all three",AG201="Current delivery confirmed"),"Yes","No")</f>
        <v/>
      </c>
      <c r="AK201" s="77" t="inlineStr"/>
      <c r="AL201" s="77" t="inlineStr">
        <is>
          <t>RG11-S05-R1</t>
        </is>
      </c>
      <c r="AM201" s="77" t="inlineStr">
        <is>
          <t>Page describing partner-client model is undated; no 2025/26 or 2026/27 catalogue entry for this module was retrieved (the 2025/26 results showed Architecture Design Studio modules instead). Module code not captured.</t>
        </is>
      </c>
      <c r="AN201" s="77" t="inlineStr"/>
      <c r="AO201" s="77" t="inlineStr">
        <is>
          <t>UK</t>
        </is>
      </c>
      <c r="AP201" s="77" t="inlineStr">
        <is>
          <t>UK – Russell Group</t>
        </is>
      </c>
      <c r="AQ201" s="77" t="inlineStr">
        <is>
          <t>~1 term/semester</t>
        </is>
      </c>
      <c r="AR201" s="77" t="inlineStr">
        <is>
          <t>All/standard</t>
        </is>
      </c>
      <c r="AS201" s="77" t="inlineStr"/>
    </row>
    <row r="202">
      <c r="A202" s="77" t="inlineStr">
        <is>
          <t>RG11</t>
        </is>
      </c>
      <c r="B202" s="77" t="inlineStr">
        <is>
          <t>Leeds</t>
        </is>
      </c>
      <c r="C202" s="77" t="inlineStr">
        <is>
          <t>Unclear</t>
        </is>
      </c>
      <c r="D202" s="77" t="inlineStr">
        <is>
          <t>RG11-S06</t>
        </is>
      </c>
      <c r="E202" s="77" t="inlineStr"/>
      <c r="F202" s="77" t="inlineStr">
        <is>
          <t>No</t>
        </is>
      </c>
      <c r="G202" s="79" t="inlineStr">
        <is>
          <t>FOAH5000M Engaging the Modern City: The Civic Researcher</t>
        </is>
      </c>
      <c r="H202" s="77" t="inlineStr">
        <is>
          <t>Engaging the Modern City: The Civic Researcher</t>
        </is>
      </c>
      <c r="I202" s="77" t="inlineStr">
        <is>
          <t>FOAH5000M</t>
        </is>
      </c>
      <c r="J202" s="77" t="inlineStr">
        <is>
          <t>Interdisciplinary student groups negotiate project briefs with Leeds-based politics, culture and third-sector organisations and produce external-facing outputs (consultancy reports, data analysis, policy briefs, artistic interventions, exhibitions, online resources), presenting at a showcase.</t>
        </is>
      </c>
      <c r="K202" s="77" t="inlineStr">
        <is>
          <t>Faculty of Arts, Humanities and Cultures (module FOAH)</t>
        </is>
      </c>
      <c r="L202" s="77" t="inlineStr">
        <is>
          <t>Taught postgraduate students; programme list not captured (appears in cultural/engagement MAs)</t>
        </is>
      </c>
      <c r="M202" s="77" t="inlineStr">
        <is>
          <t>Arts/humanities/social sciences</t>
        </is>
      </c>
      <c r="N202" s="77" t="inlineStr">
        <is>
          <t>Postgraduate taught</t>
        </is>
      </c>
      <c r="O202" s="77" t="inlineStr"/>
      <c r="P202" s="77" t="inlineStr">
        <is>
          <t>Taught postgraduate; programme eligibility unconfirmed</t>
        </is>
      </c>
      <c r="Q202" s="77" t="inlineStr">
        <is>
          <t>Unclear</t>
        </is>
      </c>
      <c r="R202" s="77" t="inlineStr">
        <is>
          <t>Curricular</t>
        </is>
      </c>
      <c r="S202" s="77" t="inlineStr">
        <is>
          <t>30 credits, Semester 2 (2025/26). Reflective log 20% (individual), group portfolio 50%, showcase presentation 30% (75% panel of academic and external leads, 25% peer).</t>
        </is>
      </c>
      <c r="T202" s="77" t="inlineStr">
        <is>
          <t>One semester (Semester 2)</t>
        </is>
      </c>
      <c r="U202" s="77" t="inlineStr">
        <is>
          <t>In-person project groups</t>
        </is>
      </c>
      <c r="V202" s="77" t="inlineStr">
        <is>
          <t>Yes</t>
        </is>
      </c>
      <c r="W202" s="77" t="inlineStr">
        <is>
          <t>Negotiated project brief; outputs such as consultancy reports/policy briefs (source 1).</t>
        </is>
      </c>
      <c r="X202" s="77" t="inlineStr">
        <is>
          <t>Yes</t>
        </is>
      </c>
      <c r="Y202" s="77" t="inlineStr">
        <is>
          <t>'student groups'; group portfolio 50% (source 1).</t>
        </is>
      </c>
      <c r="Z202" s="77" t="inlineStr">
        <is>
          <t>Yes</t>
        </is>
      </c>
      <c r="AA202" s="77" t="inlineStr">
        <is>
          <t>Leeds-based organisations negotiate briefs with groups; showcase marked by a panel of academic and external leads; organisations include Leeds Playhouse and The Works Skatepark (source 1).</t>
        </is>
      </c>
      <c r="AB202" s="77" t="inlineStr">
        <is>
          <t>Mixed</t>
        </is>
      </c>
      <c r="AC202" s="77" t="inlineStr">
        <is>
          <t>Negotiates/co-articulates project brief; sits on assessment panel; receives output</t>
        </is>
      </c>
      <c r="AD202" s="77" t="inlineStr">
        <is>
          <t>Leeds Playhouse, The Works Skatepark (catalogue); East Street Arts (alumni profile, year unclear)</t>
        </is>
      </c>
      <c r="AE202" s="77" t="inlineStr">
        <is>
          <t>Group portfolio and external-facing research-led output</t>
        </is>
      </c>
      <c r="AF202" s="77">
        <f>IF(OR(V202="No",X202="No",Z202="No"),"Outside strict definition",IF(AND(V202="Yes",X202="Yes",Z202="Yes"),"Meets all three","Potentially relevant; evidence incomplete"))</f>
        <v/>
      </c>
      <c r="AG202" s="77" t="inlineStr">
        <is>
          <t>Current delivery confirmed</t>
        </is>
      </c>
      <c r="AH202" s="77" t="inlineStr">
        <is>
          <t>2025/26</t>
        </is>
      </c>
      <c r="AI202" s="77" t="inlineStr">
        <is>
          <t>Yes</t>
        </is>
      </c>
      <c r="AJ202" s="77">
        <f>IF(AND(AI202="Yes",AF202="Meets all three",AG202="Current delivery confirmed"),"Yes","No")</f>
        <v/>
      </c>
      <c r="AK202" s="77" t="inlineStr"/>
      <c r="AL202" s="77" t="inlineStr">
        <is>
          <t>RG11-S06-R1; RG11-S06-R2</t>
        </is>
      </c>
      <c r="AM202" s="77" t="inlineStr">
        <is>
          <t>Which programmes the module serves and whether compulsory/optional not retrieved; reach marked Unclear.</t>
        </is>
      </c>
      <c r="AN202" s="77" t="inlineStr"/>
      <c r="AO202" s="77" t="inlineStr">
        <is>
          <t>UK</t>
        </is>
      </c>
      <c r="AP202" s="77" t="inlineStr">
        <is>
          <t>UK – Russell Group</t>
        </is>
      </c>
      <c r="AQ202" s="77" t="inlineStr">
        <is>
          <t>~1 term/semester</t>
        </is>
      </c>
      <c r="AR202" s="77" t="inlineStr">
        <is>
          <t>All/standard</t>
        </is>
      </c>
      <c r="AS202" s="77" t="inlineStr"/>
    </row>
    <row r="203">
      <c r="A203" s="77" t="inlineStr">
        <is>
          <t>RG11</t>
        </is>
      </c>
      <c r="B203" s="77" t="inlineStr">
        <is>
          <t>Leeds</t>
        </is>
      </c>
      <c r="C203" s="77" t="inlineStr">
        <is>
          <t>Programme/course</t>
        </is>
      </c>
      <c r="D203" s="77" t="inlineStr">
        <is>
          <t>RG11-S07</t>
        </is>
      </c>
      <c r="E203" s="77" t="inlineStr"/>
      <c r="F203" s="77" t="inlineStr">
        <is>
          <t>No</t>
        </is>
      </c>
      <c r="G203" s="79" t="inlineStr">
        <is>
          <t>Placements in Context (MA Arts Management and Heritage Studies)</t>
        </is>
      </c>
      <c r="H203" s="77" t="inlineStr">
        <is>
          <t>Placements in Context / Projects with Cultural Organisations</t>
        </is>
      </c>
      <c r="I203" s="77" t="inlineStr"/>
      <c r="J203" s="77" t="inlineStr">
        <is>
          <t>Optional 30-credit module in which students deliver a collaborative group project responding to a brief set by a gallery, museum or heritage partner, presenting at an annual school event.</t>
        </is>
      </c>
      <c r="K203" s="77" t="inlineStr">
        <is>
          <t>School of Fine Art, History of Art and Cultural Studies (Centre for Critical Studies in Museums, Galleries and Heritage)</t>
        </is>
      </c>
      <c r="L203" s="77" t="inlineStr">
        <is>
          <t>MA Arts Management and Heritage Studies; related MA Art Gallery and Museum Studies</t>
        </is>
      </c>
      <c r="M203" s="77" t="inlineStr">
        <is>
          <t>Arts/humanities/social sciences</t>
        </is>
      </c>
      <c r="N203" s="77" t="inlineStr">
        <is>
          <t>Postgraduate taught</t>
        </is>
      </c>
      <c r="O203" s="77" t="inlineStr"/>
      <c r="P203" s="77" t="inlineStr"/>
      <c r="Q203" s="77" t="inlineStr">
        <is>
          <t>Optional/elective</t>
        </is>
      </c>
      <c r="R203" s="77" t="inlineStr">
        <is>
          <t>Curricular</t>
        </is>
      </c>
      <c r="S203" s="77" t="inlineStr">
        <is>
          <t>30 credits, Semester 2</t>
        </is>
      </c>
      <c r="T203" s="77" t="inlineStr">
        <is>
          <t>Semester 2</t>
        </is>
      </c>
      <c r="U203" s="77" t="inlineStr">
        <is>
          <t>Group project with partner</t>
        </is>
      </c>
      <c r="V203" s="77" t="inlineStr">
        <is>
          <t>Yes</t>
        </is>
      </c>
      <c r="W203" s="77" t="inlineStr">
        <is>
          <t>Group project responding to a partner brief (source 1).</t>
        </is>
      </c>
      <c r="X203" s="77" t="inlineStr">
        <is>
          <t>Yes</t>
        </is>
      </c>
      <c r="Y203" s="77" t="inlineStr">
        <is>
          <t>'collaborative group project' (source 1).</t>
        </is>
      </c>
      <c r="Z203" s="77" t="inlineStr">
        <is>
          <t>Yes</t>
        </is>
      </c>
      <c r="AA203" s="77" t="inlineStr">
        <is>
          <t>Brief set by a gallery, museum or heritage partner; past partners include National Science and Media Museum, Leeds Museums and Galleries, Yorkshire Contemporary, Hyde Park Picture House (sources 1, 2).</t>
        </is>
      </c>
      <c r="AB203" s="77" t="inlineStr">
        <is>
          <t>Mixed</t>
        </is>
      </c>
      <c r="AC203" s="77" t="inlineStr">
        <is>
          <t>Sets the project brief (museums, galleries, heritage organisations)</t>
        </is>
      </c>
      <c r="AD203" s="77" t="inlineStr">
        <is>
          <t>National Science and Media Museum, Leeds Museums and Galleries, Yorkshire Contemporary, Hyde Park Picture House (past collaborations, years not stated)</t>
        </is>
      </c>
      <c r="AE203" s="77" t="inlineStr">
        <is>
          <t>Group project output for partner (form varies); presentation at annual event</t>
        </is>
      </c>
      <c r="AF203" s="77">
        <f>IF(OR(V203="No",X203="No",Z203="No"),"Outside strict definition",IF(AND(V203="Yes",X203="Yes",Z203="Yes"),"Meets all three","Potentially relevant; evidence incomplete"))</f>
        <v/>
      </c>
      <c r="AG203" s="77" t="inlineStr">
        <is>
          <t>Current status unclear</t>
        </is>
      </c>
      <c r="AH203" s="77" t="inlineStr">
        <is>
          <t>undated</t>
        </is>
      </c>
      <c r="AI203" s="77" t="inlineStr">
        <is>
          <t>Yes</t>
        </is>
      </c>
      <c r="AJ203" s="77">
        <f>IF(AND(AI203="Yes",AF203="Meets all three",AG203="Current delivery confirmed"),"Yes","No")</f>
        <v/>
      </c>
      <c r="AK203" s="77" t="inlineStr"/>
      <c r="AL203" s="77" t="inlineStr">
        <is>
          <t>RG11-S07-R1; RG11-S07-R2</t>
        </is>
      </c>
      <c r="AM203" s="77" t="inlineStr">
        <is>
          <t>Module code and 2025/26-2026/27 delivery evidence not retrieved; partner list and call-for-projects news are undated or old.</t>
        </is>
      </c>
      <c r="AN203" s="77" t="inlineStr"/>
      <c r="AO203" s="77" t="inlineStr">
        <is>
          <t>UK</t>
        </is>
      </c>
      <c r="AP203" s="77" t="inlineStr">
        <is>
          <t>UK – Russell Group</t>
        </is>
      </c>
      <c r="AQ203" s="77" t="inlineStr">
        <is>
          <t>~1 term/semester</t>
        </is>
      </c>
      <c r="AR203" s="77" t="inlineStr">
        <is>
          <t>All/standard</t>
        </is>
      </c>
      <c r="AS203" s="77" t="inlineStr"/>
    </row>
    <row r="204">
      <c r="A204" s="77" t="inlineStr">
        <is>
          <t>RG11</t>
        </is>
      </c>
      <c r="B204" s="77" t="inlineStr">
        <is>
          <t>Leeds</t>
        </is>
      </c>
      <c r="C204" s="77" t="inlineStr">
        <is>
          <t>Programme/course</t>
        </is>
      </c>
      <c r="D204" s="77" t="inlineStr">
        <is>
          <t>RG11-S08</t>
        </is>
      </c>
      <c r="E204" s="77" t="inlineStr"/>
      <c r="F204" s="77" t="inlineStr">
        <is>
          <t>No</t>
        </is>
      </c>
      <c r="G204" s="79" t="inlineStr">
        <is>
          <t>Leeds MBA Live Challenges (Consulting Challenge in Leading in Practice)</t>
        </is>
      </c>
      <c r="H204" s="77" t="inlineStr">
        <is>
          <t>Leeds MBA Consulting Challenge</t>
        </is>
      </c>
      <c r="I204" s="77" t="inlineStr"/>
      <c r="J204" s="77" t="inlineStr">
        <is>
          <t>MBA teams act as consultants to an external organisation (typically an SME, social enterprise or voluntary-sector body): meet the client, diagnose a significant problem, intervene or recommend next steps, mentored by Business School staff and practitioners. Two further challenges (New Venture, Innovation capstone) use briefs from larger firms and are not separately assessed here.</t>
        </is>
      </c>
      <c r="K204" s="77" t="inlineStr">
        <is>
          <t>Leeds University Business School (Leeds MBA)</t>
        </is>
      </c>
      <c r="L204" s="77" t="inlineStr">
        <is>
          <t>Leeds MBA</t>
        </is>
      </c>
      <c r="M204" s="77" t="inlineStr">
        <is>
          <t>Business/management</t>
        </is>
      </c>
      <c r="N204" s="77" t="inlineStr">
        <is>
          <t>Postgraduate taught</t>
        </is>
      </c>
      <c r="O204" s="77" t="inlineStr"/>
      <c r="P204" s="77" t="inlineStr">
        <is>
          <t>MBA students</t>
        </is>
      </c>
      <c r="Q204" s="77" t="inlineStr">
        <is>
          <t>Compulsory within specified programmes</t>
        </is>
      </c>
      <c r="R204" s="77" t="inlineStr">
        <is>
          <t>Curricular</t>
        </is>
      </c>
      <c r="S204" s="77" t="inlineStr">
        <is>
          <t>Within Leading in Practice module; credit weighting not retrieved</t>
        </is>
      </c>
      <c r="T204" s="77" t="inlineStr">
        <is>
          <t>Within a module; length not stated</t>
        </is>
      </c>
      <c r="U204" s="77" t="inlineStr">
        <is>
          <t>Team consulting</t>
        </is>
      </c>
      <c r="V204" s="77" t="inlineStr">
        <is>
          <t>Yes</t>
        </is>
      </c>
      <c r="W204" s="77" t="inlineStr">
        <is>
          <t>Diagnose problem and make intervention/recommendations for client (source 1).</t>
        </is>
      </c>
      <c r="X204" s="77" t="inlineStr">
        <is>
          <t>Yes</t>
        </is>
      </c>
      <c r="Y204" s="77" t="inlineStr">
        <is>
          <t>'Teams meet the client' (source 1).</t>
        </is>
      </c>
      <c r="Z204" s="77" t="inlineStr">
        <is>
          <t>Yes</t>
        </is>
      </c>
      <c r="AA204" s="77" t="inlineStr">
        <is>
          <t>External business/social enterprise/voluntary-sector client engaged; mentoring by practitioners (sources 1, 2).</t>
        </is>
      </c>
      <c r="AB204" s="77" t="inlineStr">
        <is>
          <t>Mixed</t>
        </is>
      </c>
      <c r="AC204" s="77" t="inlineStr">
        <is>
          <t>Acts as client; receives consultancy; practitioners mentor</t>
        </is>
      </c>
      <c r="AD204" s="77" t="inlineStr">
        <is>
          <t>Past listed partners incl. NHS Foundation Trust, Leeds City Council, Jet2.com, Deloitte (undated list)</t>
        </is>
      </c>
      <c r="AE204" s="77" t="inlineStr">
        <is>
          <t>Consultancy recommendations/intervention for client</t>
        </is>
      </c>
      <c r="AF204" s="77">
        <f>IF(OR(V204="No",X204="No",Z204="No"),"Outside strict definition",IF(AND(V204="Yes",X204="Yes",Z204="Yes"),"Meets all three","Potentially relevant; evidence incomplete"))</f>
        <v/>
      </c>
      <c r="AG204" s="77" t="inlineStr">
        <is>
          <t>Current status unclear</t>
        </is>
      </c>
      <c r="AH204" s="77" t="inlineStr">
        <is>
          <t>undated</t>
        </is>
      </c>
      <c r="AI204" s="77" t="inlineStr">
        <is>
          <t>Yes</t>
        </is>
      </c>
      <c r="AJ204" s="77">
        <f>IF(AND(AI204="Yes",AF204="Meets all three",AG204="Current delivery confirmed"),"Yes","No")</f>
        <v/>
      </c>
      <c r="AK204" s="77" t="inlineStr"/>
      <c r="AL204" s="77" t="inlineStr">
        <is>
          <t>RG11-S08-R1; RG11-S08-R2</t>
        </is>
      </c>
      <c r="AM204" s="77" t="inlineStr">
        <is>
          <t>Pages undated; no 2025/26 or 2026/27 cohort evidence retrieved; duration and credit weighting unknown.</t>
        </is>
      </c>
      <c r="AN204" s="77" t="inlineStr"/>
      <c r="AO204" s="77" t="inlineStr">
        <is>
          <t>UK</t>
        </is>
      </c>
      <c r="AP204" s="77" t="inlineStr">
        <is>
          <t>UK – Russell Group</t>
        </is>
      </c>
      <c r="AQ204" s="77" t="inlineStr">
        <is>
          <t>Unclear</t>
        </is>
      </c>
      <c r="AR204" s="77" t="inlineStr">
        <is>
          <t>All/standard</t>
        </is>
      </c>
      <c r="AS204" s="77" t="inlineStr"/>
    </row>
    <row r="205">
      <c r="A205" s="77" t="inlineStr">
        <is>
          <t>RG11</t>
        </is>
      </c>
      <c r="B205" s="77" t="inlineStr">
        <is>
          <t>Leeds</t>
        </is>
      </c>
      <c r="C205" s="77" t="inlineStr">
        <is>
          <t>Cross-faculty</t>
        </is>
      </c>
      <c r="D205" s="77" t="inlineStr">
        <is>
          <t>RG11-S09</t>
        </is>
      </c>
      <c r="E205" s="77" t="inlineStr"/>
      <c r="F205" s="77" t="inlineStr">
        <is>
          <t>No</t>
        </is>
      </c>
      <c r="G205" s="79" t="inlineStr">
        <is>
          <t>LUBS3990 Innovation Thinking and Practice</t>
        </is>
      </c>
      <c r="H205" s="77" t="inlineStr">
        <is>
          <t>Innovation Thinking and Practice</t>
        </is>
      </c>
      <c r="I205" s="77" t="inlineStr">
        <is>
          <t>LUBS3990</t>
        </is>
      </c>
      <c r="J205" s="77" t="inlineStr">
        <is>
          <t>10-credit Semester 1 module: interdisciplinary student teams (LUBS, Computer Science and Discovery students) tackle a real-world innovation challenge set by a partner organisation using design thinking, developing prototypes and pitching to a panel of industry and academic experts. Postgraduate sibling LUBS5723M (Creative and Innovative Thinking and Practice) follows a similar model but only a 2024/25 catalogue entry was retrieved.</t>
        </is>
      </c>
      <c r="K205" s="77" t="inlineStr">
        <is>
          <t>Leeds University Business School</t>
        </is>
      </c>
      <c r="L205" s="77" t="inlineStr">
        <is>
          <t>LUBS and School of Computer Science students plus Discovery module students from across the University</t>
        </is>
      </c>
      <c r="M205" s="77" t="inlineStr">
        <is>
          <t>Business/management; Engineering/computing; Central provision</t>
        </is>
      </c>
      <c r="N205" s="77" t="inlineStr">
        <is>
          <t>Undergraduate</t>
        </is>
      </c>
      <c r="O205" s="77" t="inlineStr">
        <is>
          <t>Final year</t>
        </is>
      </c>
      <c r="P205" s="77" t="inlineStr">
        <is>
          <t>Approved as a Discovery module; programme rules apply</t>
        </is>
      </c>
      <c r="Q205" s="77" t="inlineStr">
        <is>
          <t>Optional/elective</t>
        </is>
      </c>
      <c r="R205" s="77" t="inlineStr">
        <is>
          <t>Curricular</t>
        </is>
      </c>
      <c r="S205" s="77" t="inlineStr">
        <is>
          <t>10 credits; individual 2,000-word reflective essay 100%; team project and final team presentation not formally marked as a group (catalogue)</t>
        </is>
      </c>
      <c r="T205" s="77" t="inlineStr">
        <is>
          <t>Semester 1 (about 10 weeks of project work per news report)</t>
        </is>
      </c>
      <c r="U205" s="77" t="inlineStr">
        <is>
          <t>Eleven facilitated workshops; team project</t>
        </is>
      </c>
      <c r="V205" s="77" t="inlineStr">
        <is>
          <t>Yes</t>
        </is>
      </c>
      <c r="W205" s="77" t="inlineStr">
        <is>
          <t>Prototype and solution to a partner-set challenge pitched to panel (sources 1, 2).</t>
        </is>
      </c>
      <c r="X205" s="77" t="inlineStr">
        <is>
          <t>Yes</t>
        </is>
      </c>
      <c r="Y205" s="77" t="inlineStr">
        <is>
          <t>Team project with interdisciplinary teams; 40 teams reported in news; assessment individual (sources 1, 2).</t>
        </is>
      </c>
      <c r="Z205" s="77" t="inlineStr">
        <is>
          <t>Yes</t>
        </is>
      </c>
      <c r="AA205" s="77" t="inlineStr">
        <is>
          <t>Partner organisations co-develop/write the challenge briefs and sit on pitch panels (first direct, Co-op Food, OVO Energy, UNEP, Leeds City Council, KPMG, IBM) (source 2).</t>
        </is>
      </c>
      <c r="AB205" s="77" t="inlineStr">
        <is>
          <t>Mixed</t>
        </is>
      </c>
      <c r="AC205" s="77" t="inlineStr">
        <is>
          <t>Sets challenge brief; panel judges final pitch</t>
        </is>
      </c>
      <c r="AD205" s="77" t="inlineStr">
        <is>
          <t>first direct, Co-Op Food, OVO Energy, United Nations Environment Programme, Leeds City Council, KPMG, IBM (various cohorts; years not reliably dated)</t>
        </is>
      </c>
      <c r="AE205" s="77" t="inlineStr">
        <is>
          <t>Prototype/solution pitched to industry panel</t>
        </is>
      </c>
      <c r="AF205" s="77">
        <f>IF(OR(V205="No",X205="No",Z205="No"),"Outside strict definition",IF(AND(V205="Yes",X205="Yes",Z205="Yes"),"Meets all three","Potentially relevant; evidence incomplete"))</f>
        <v/>
      </c>
      <c r="AG205" s="77" t="inlineStr">
        <is>
          <t>Current status unclear</t>
        </is>
      </c>
      <c r="AH205" s="77" t="inlineStr">
        <is>
          <t>2025/26</t>
        </is>
      </c>
      <c r="AI205" s="77" t="inlineStr">
        <is>
          <t>Yes</t>
        </is>
      </c>
      <c r="AJ205" s="77">
        <f>IF(AND(AI205="Yes",AF205="Meets all three",AG205="Current delivery confirmed"),"Yes","No")</f>
        <v/>
      </c>
      <c r="AK205" s="77" t="inlineStr">
        <is>
          <t>Class size 280-320 listed in 2025/26 catalogue versions; news reports 320 students in 40 teams (year not reliably dated)</t>
        </is>
      </c>
      <c r="AL205" s="77" t="inlineStr">
        <is>
          <t>RG11-S09-R1; RG11-S09-R2; RG11-S09-R3; RG11-S09-R4</t>
        </is>
      </c>
      <c r="AM205" s="77" t="inlineStr">
        <is>
          <t>One 2025/26 catalogue version carries a 'discontinued in the selected year' note and class sizes conflict (280 vs 320); the 2026/27 catalogue URL exists but no content retrieved. News item dating is inconsistent. Treat current delivery as unconfirmed.</t>
        </is>
      </c>
      <c r="AN205" s="77" t="inlineStr"/>
      <c r="AO205" s="77" t="inlineStr">
        <is>
          <t>UK</t>
        </is>
      </c>
      <c r="AP205" s="77" t="inlineStr">
        <is>
          <t>UK – Russell Group</t>
        </is>
      </c>
      <c r="AQ205" s="77" t="inlineStr">
        <is>
          <t>~1 term/semester</t>
        </is>
      </c>
      <c r="AR205" s="77" t="inlineStr">
        <is>
          <t>All/standard</t>
        </is>
      </c>
      <c r="AS205" s="77" t="inlineStr"/>
    </row>
    <row r="206">
      <c r="A206" s="77" t="inlineStr">
        <is>
          <t>RG11</t>
        </is>
      </c>
      <c r="B206" s="77" t="inlineStr">
        <is>
          <t>Leeds</t>
        </is>
      </c>
      <c r="C206" s="77" t="inlineStr">
        <is>
          <t>Programme/course</t>
        </is>
      </c>
      <c r="D206" s="77" t="inlineStr">
        <is>
          <t>RG11-S10</t>
        </is>
      </c>
      <c r="E206" s="77" t="inlineStr"/>
      <c r="F206" s="77" t="inlineStr">
        <is>
          <t>No</t>
        </is>
      </c>
      <c r="G206" s="79" t="inlineStr">
        <is>
          <t>DESN3585 Collaborative Marketing and Promotion</t>
        </is>
      </c>
      <c r="H206" s="77" t="inlineStr">
        <is>
          <t>Collaborative Marketing and Promotion</t>
        </is>
      </c>
      <c r="I206" s="77" t="inlineStr">
        <is>
          <t>DESN3585</t>
        </is>
      </c>
      <c r="J206" s="77" t="inlineStr">
        <is>
          <t>Student teams design a marketing campaign for one of an international client's brands in response to a consultancy brief, with seminars involving tutors and the client and two interim presentations to the client; group project 40% plus individual reflective report 60%.</t>
        </is>
      </c>
      <c r="K206" s="77" t="inlineStr">
        <is>
          <t>School of Design</t>
        </is>
      </c>
      <c r="L206" s="77" t="inlineStr">
        <is>
          <t>Design/fashion marketing programmes (e.g. Fashion Marketing BA)</t>
        </is>
      </c>
      <c r="M206" s="77" t="inlineStr">
        <is>
          <t>Other (law, health, design, architecture…); Arts/humanities/social sciences</t>
        </is>
      </c>
      <c r="N206" s="77" t="inlineStr">
        <is>
          <t>Undergraduate</t>
        </is>
      </c>
      <c r="O206" s="77" t="inlineStr">
        <is>
          <t>Level 3</t>
        </is>
      </c>
      <c r="P206" s="77" t="inlineStr"/>
      <c r="Q206" s="77" t="inlineStr">
        <is>
          <t>Unclear</t>
        </is>
      </c>
      <c r="R206" s="77" t="inlineStr">
        <is>
          <t>Curricular</t>
        </is>
      </c>
      <c r="S206" s="77" t="inlineStr">
        <is>
          <t>20 credits; group project 40% (marketing materials and presentation), reflective report 60%</t>
        </is>
      </c>
      <c r="T206" s="77" t="inlineStr">
        <is>
          <t>Semesters 1 and 2</t>
        </is>
      </c>
      <c r="U206" s="77" t="inlineStr">
        <is>
          <t>Team project with client interaction</t>
        </is>
      </c>
      <c r="V206" s="77" t="inlineStr">
        <is>
          <t>Yes</t>
        </is>
      </c>
      <c r="W206" s="77" t="inlineStr">
        <is>
          <t>Campaign materials and presentation (source 1).</t>
        </is>
      </c>
      <c r="X206" s="77" t="inlineStr">
        <is>
          <t>Yes</t>
        </is>
      </c>
      <c r="Y206" s="77" t="inlineStr">
        <is>
          <t>'Students work in teams'; team-produced group project (source 1).</t>
        </is>
      </c>
      <c r="Z206" s="77" t="inlineStr">
        <is>
          <t>Unclear</t>
        </is>
      </c>
      <c r="AA206" s="77" t="inlineStr">
        <is>
          <t>Client gives feedback in seminars and two interim presentations, and an earlier (2021/22) catalogue describes an international fashion business; but no named external client or evidence the client is real rather than a teaching case.</t>
        </is>
      </c>
      <c r="AB206" s="77" t="inlineStr">
        <is>
          <t>Unclear</t>
        </is>
      </c>
      <c r="AC206" s="77" t="inlineStr">
        <is>
          <t>Client; formative feedback on interim presentations</t>
        </is>
      </c>
      <c r="AD206" s="77" t="inlineStr"/>
      <c r="AE206" s="77" t="inlineStr">
        <is>
          <t>Marketing campaign materials and presentation</t>
        </is>
      </c>
      <c r="AF206" s="77">
        <f>IF(OR(V206="No",X206="No",Z206="No"),"Outside strict definition",IF(AND(V206="Yes",X206="Yes",Z206="Yes"),"Meets all three","Potentially relevant; evidence incomplete"))</f>
        <v/>
      </c>
      <c r="AG206" s="77" t="inlineStr">
        <is>
          <t>Current status unclear</t>
        </is>
      </c>
      <c r="AH206" s="77" t="inlineStr">
        <is>
          <t>2026/27</t>
        </is>
      </c>
      <c r="AI206" s="77" t="inlineStr">
        <is>
          <t>Yes</t>
        </is>
      </c>
      <c r="AJ206" s="77">
        <f>IF(AND(AI206="Yes",AF206="Meets all three",AG206="Current delivery confirmed"),"Yes","No")</f>
        <v/>
      </c>
      <c r="AK206" s="77" t="inlineStr">
        <is>
          <t>Class size 48 (catalogue)</t>
        </is>
      </c>
      <c r="AL206" s="77" t="inlineStr">
        <is>
          <t>RG11-S10-R1</t>
        </is>
      </c>
      <c r="AM206" s="77" t="inlineStr">
        <is>
          <t>Client identity and whether it is a live external organisation not established; catalogue entries 2025/26 and 2026/27 exist but retrieved text appears to be 2024/25-labelled.</t>
        </is>
      </c>
      <c r="AN206" s="77" t="inlineStr"/>
      <c r="AO206" s="77" t="inlineStr">
        <is>
          <t>UK</t>
        </is>
      </c>
      <c r="AP206" s="77" t="inlineStr">
        <is>
          <t>UK – Russell Group</t>
        </is>
      </c>
      <c r="AQ206" s="77" t="inlineStr">
        <is>
          <t>Unclear</t>
        </is>
      </c>
      <c r="AR206" s="77" t="inlineStr">
        <is>
          <t>Unclear</t>
        </is>
      </c>
      <c r="AS206" s="77" t="inlineStr"/>
    </row>
    <row r="207">
      <c r="A207" s="77" t="inlineStr">
        <is>
          <t>RG11</t>
        </is>
      </c>
      <c r="B207" s="77" t="inlineStr">
        <is>
          <t>Leeds</t>
        </is>
      </c>
      <c r="C207" s="77" t="inlineStr">
        <is>
          <t>Programme/course</t>
        </is>
      </c>
      <c r="D207" s="77" t="inlineStr">
        <is>
          <t>RG11-S11</t>
        </is>
      </c>
      <c r="E207" s="77" t="inlineStr"/>
      <c r="F207" s="77" t="inlineStr">
        <is>
          <t>No</t>
        </is>
      </c>
      <c r="G207" s="79" t="inlineStr">
        <is>
          <t>COMP5530M Group Project (MEng Computer Science)</t>
        </is>
      </c>
      <c r="H207" s="77" t="inlineStr">
        <is>
          <t>Group Project (Computer Science MEng)</t>
        </is>
      </c>
      <c r="I207" s="77" t="inlineStr">
        <is>
          <t>COMP5530M</t>
        </is>
      </c>
      <c r="J207" s="77" t="inlineStr">
        <is>
          <t>Year 4 MEng teams define a problem and plan, code and manage a collective software project; course page labels it industry-based but module description pairs the team with an academic on research-led problems.</t>
        </is>
      </c>
      <c r="K207" s="77" t="inlineStr">
        <is>
          <t>School of Computer Science</t>
        </is>
      </c>
      <c r="L207" s="77" t="inlineStr">
        <is>
          <t>Computer Science MEng variants</t>
        </is>
      </c>
      <c r="M207" s="77" t="inlineStr">
        <is>
          <t>Engineering/computing</t>
        </is>
      </c>
      <c r="N207" s="77" t="inlineStr">
        <is>
          <t>Undergraduate</t>
        </is>
      </c>
      <c r="O207" s="77" t="inlineStr">
        <is>
          <t>Year 4</t>
        </is>
      </c>
      <c r="P207" s="77" t="inlineStr">
        <is>
          <t>MEng students</t>
        </is>
      </c>
      <c r="Q207" s="77" t="inlineStr">
        <is>
          <t>Compulsory within specified programmes</t>
        </is>
      </c>
      <c r="R207" s="77" t="inlineStr">
        <is>
          <t>Curricular</t>
        </is>
      </c>
      <c r="S207" s="77" t="inlineStr">
        <is>
          <t>30 credits (45 on some variants), Semesters 1-2</t>
        </is>
      </c>
      <c r="T207" s="77" t="inlineStr">
        <is>
          <t>Two semesters</t>
        </is>
      </c>
      <c r="U207" s="77" t="inlineStr">
        <is>
          <t>Team software project</t>
        </is>
      </c>
      <c r="V207" s="77" t="inlineStr">
        <is>
          <t>Yes</t>
        </is>
      </c>
      <c r="W207" s="77" t="inlineStr">
        <is>
          <t>Collective software project negotiated with supervisor (source 1).</t>
        </is>
      </c>
      <c r="X207" s="77" t="inlineStr">
        <is>
          <t>Yes</t>
        </is>
      </c>
      <c r="Y207" s="77" t="inlineStr">
        <is>
          <t>Working as part of a group on a major computing project (source 1).</t>
        </is>
      </c>
      <c r="Z207" s="77" t="inlineStr">
        <is>
          <t>Unclear</t>
        </is>
      </c>
      <c r="AA207" s="77" t="inlineStr">
        <is>
          <t>MEng page says 'industry-based group project' but module text says students are paired with an academic on problems tied to School research expertise; no named external client (sources 1, 2).</t>
        </is>
      </c>
      <c r="AB207" s="77" t="inlineStr">
        <is>
          <t>Unclear</t>
        </is>
      </c>
      <c r="AC207" s="77" t="inlineStr">
        <is>
          <t>Not evidenced</t>
        </is>
      </c>
      <c r="AD207" s="77" t="inlineStr"/>
      <c r="AE207" s="77" t="inlineStr">
        <is>
          <t>Software system</t>
        </is>
      </c>
      <c r="AF207" s="77">
        <f>IF(OR(V207="No",X207="No",Z207="No"),"Outside strict definition",IF(AND(V207="Yes",X207="Yes",Z207="Yes"),"Meets all three","Potentially relevant; evidence incomplete"))</f>
        <v/>
      </c>
      <c r="AG207" s="77" t="inlineStr">
        <is>
          <t>Current delivery confirmed</t>
        </is>
      </c>
      <c r="AH207" s="77" t="inlineStr">
        <is>
          <t>2025/26</t>
        </is>
      </c>
      <c r="AI207" s="77" t="inlineStr">
        <is>
          <t>Yes</t>
        </is>
      </c>
      <c r="AJ207" s="77">
        <f>IF(AND(AI207="Yes",AF207="Meets all three",AG207="Current delivery confirmed"),"Yes","No")</f>
        <v/>
      </c>
      <c r="AK207" s="77" t="inlineStr">
        <is>
          <t>Class size 70 (catalogue)</t>
        </is>
      </c>
      <c r="AL207" s="77" t="inlineStr">
        <is>
          <t>RG11-S11-R1; RG11-S11-R2</t>
        </is>
      </c>
      <c r="AM207" s="77" t="inlineStr">
        <is>
          <t>Whether external organisations supply briefs is unresolved; may be academic research clients (internal, would fail C).</t>
        </is>
      </c>
      <c r="AN207" s="77" t="inlineStr"/>
      <c r="AO207" s="77" t="inlineStr">
        <is>
          <t>UK</t>
        </is>
      </c>
      <c r="AP207" s="77" t="inlineStr">
        <is>
          <t>UK – Russell Group</t>
        </is>
      </c>
      <c r="AQ207" s="77" t="inlineStr">
        <is>
          <t>&gt;1 term</t>
        </is>
      </c>
      <c r="AR207" s="77" t="inlineStr">
        <is>
          <t>Unclear</t>
        </is>
      </c>
      <c r="AS207" s="77" t="inlineStr"/>
    </row>
    <row r="208">
      <c r="A208" s="77" t="inlineStr">
        <is>
          <t>RG11</t>
        </is>
      </c>
      <c r="B208" s="77" t="inlineStr">
        <is>
          <t>Leeds</t>
        </is>
      </c>
      <c r="C208" s="77" t="inlineStr">
        <is>
          <t>Programme/course</t>
        </is>
      </c>
      <c r="D208" s="77" t="inlineStr">
        <is>
          <t>RG11-S12</t>
        </is>
      </c>
      <c r="E208" s="77" t="inlineStr"/>
      <c r="F208" s="77" t="inlineStr">
        <is>
          <t>No</t>
        </is>
      </c>
      <c r="G208" s="79" t="inlineStr">
        <is>
          <t>Chemical Engineering Process Plant Design Project (Year 3)</t>
        </is>
      </c>
      <c r="H208" s="77" t="inlineStr">
        <is>
          <t>Chemical Engineering capstone design project</t>
        </is>
      </c>
      <c r="I208" s="77" t="inlineStr"/>
      <c r="J208" s="77" t="inlineStr">
        <is>
          <t>Third-year teams design a full chemical plant for an industrially relevant process, mentored by design consultants with weekly progress meetings; lectures by practising chemical engineers run alongside.</t>
        </is>
      </c>
      <c r="K208" s="77" t="inlineStr">
        <is>
          <t>School of Chemical and Process Engineering</t>
        </is>
      </c>
      <c r="L208" s="77" t="inlineStr">
        <is>
          <t>Chemical Engineering BEng/MEng variants</t>
        </is>
      </c>
      <c r="M208" s="77" t="inlineStr">
        <is>
          <t>Engineering/computing</t>
        </is>
      </c>
      <c r="N208" s="77" t="inlineStr">
        <is>
          <t>Undergraduate</t>
        </is>
      </c>
      <c r="O208" s="77" t="inlineStr">
        <is>
          <t>Year 3</t>
        </is>
      </c>
      <c r="P208" s="77" t="inlineStr"/>
      <c r="Q208" s="77" t="inlineStr">
        <is>
          <t>Compulsory within specified programmes</t>
        </is>
      </c>
      <c r="R208" s="77" t="inlineStr">
        <is>
          <t>Curricular</t>
        </is>
      </c>
      <c r="S208" s="77" t="inlineStr">
        <is>
          <t>20-40 credits depending on programme/year</t>
        </is>
      </c>
      <c r="T208" s="77" t="inlineStr">
        <is>
          <t>Year-long/semesters (not confirmed)</t>
        </is>
      </c>
      <c r="U208" s="77" t="inlineStr">
        <is>
          <t>Team design project</t>
        </is>
      </c>
      <c r="V208" s="77" t="inlineStr">
        <is>
          <t>Yes</t>
        </is>
      </c>
      <c r="W208" s="77" t="inlineStr">
        <is>
          <t>Full plant design (source 1).</t>
        </is>
      </c>
      <c r="X208" s="77" t="inlineStr">
        <is>
          <t>Yes</t>
        </is>
      </c>
      <c r="Y208" s="77" t="inlineStr">
        <is>
          <t>'work in a team' (source 1).</t>
        </is>
      </c>
      <c r="Z208" s="77" t="inlineStr">
        <is>
          <t>Unclear</t>
        </is>
      </c>
      <c r="AA208" s="77" t="inlineStr">
        <is>
          <t>Design consultants mentor teams weekly but whether they are external practitioners, and whether a client sets the brief, is not stated.</t>
        </is>
      </c>
      <c r="AB208" s="77" t="inlineStr">
        <is>
          <t>Unclear</t>
        </is>
      </c>
      <c r="AC208" s="77" t="inlineStr">
        <is>
          <t>Mentors (affiliation unclear)</t>
        </is>
      </c>
      <c r="AD208" s="77" t="inlineStr"/>
      <c r="AE208" s="77" t="inlineStr">
        <is>
          <t>Plant design report</t>
        </is>
      </c>
      <c r="AF208" s="77">
        <f>IF(OR(V208="No",X208="No",Z208="No"),"Outside strict definition",IF(AND(V208="Yes",X208="Yes",Z208="Yes"),"Meets all three","Potentially relevant; evidence incomplete"))</f>
        <v/>
      </c>
      <c r="AG208" s="77" t="inlineStr">
        <is>
          <t>Current status unclear</t>
        </is>
      </c>
      <c r="AH208" s="77" t="inlineStr">
        <is>
          <t>undated</t>
        </is>
      </c>
      <c r="AI208" s="77" t="inlineStr">
        <is>
          <t>Yes</t>
        </is>
      </c>
      <c r="AJ208" s="77">
        <f>IF(AND(AI208="Yes",AF208="Meets all three",AG208="Current delivery confirmed"),"Yes","No")</f>
        <v/>
      </c>
      <c r="AK208" s="77" t="inlineStr"/>
      <c r="AL208" s="77" t="inlineStr">
        <is>
          <t>RG11-S12-R1</t>
        </is>
      </c>
      <c r="AM208" s="77" t="inlineStr">
        <is>
          <t>No external client/brief setter evidenced; no dated delivery evidence.</t>
        </is>
      </c>
      <c r="AN208" s="77" t="inlineStr"/>
      <c r="AO208" s="77" t="inlineStr">
        <is>
          <t>UK</t>
        </is>
      </c>
      <c r="AP208" s="77" t="inlineStr">
        <is>
          <t>UK – Russell Group</t>
        </is>
      </c>
      <c r="AQ208" s="77" t="inlineStr">
        <is>
          <t>Unclear</t>
        </is>
      </c>
      <c r="AR208" s="77" t="inlineStr">
        <is>
          <t>Unclear</t>
        </is>
      </c>
      <c r="AS208" s="77" t="inlineStr"/>
    </row>
    <row r="209">
      <c r="A209" s="77" t="inlineStr">
        <is>
          <t>RG11</t>
        </is>
      </c>
      <c r="B209" s="77" t="inlineStr">
        <is>
          <t>Leeds</t>
        </is>
      </c>
      <c r="C209" s="77" t="inlineStr">
        <is>
          <t>Programme/course</t>
        </is>
      </c>
      <c r="D209" s="77" t="inlineStr">
        <is>
          <t>RG11-S13</t>
        </is>
      </c>
      <c r="E209" s="77" t="inlineStr"/>
      <c r="F209" s="77" t="inlineStr">
        <is>
          <t>No</t>
        </is>
      </c>
      <c r="G209" s="79" t="inlineStr">
        <is>
          <t>Marketing Consultancy Project (Marketing BSc, Year 3 optional)</t>
        </is>
      </c>
      <c r="H209" s="77" t="inlineStr">
        <is>
          <t>Marketing Consultancy Project</t>
        </is>
      </c>
      <c r="I209" s="77" t="inlineStr"/>
      <c r="J209" s="77" t="inlineStr">
        <is>
          <t>Optional 10-credit Year 3 module in which students work with a live client to investigate a real-life marketing issue; client receives a strategic and operational marketing plan.</t>
        </is>
      </c>
      <c r="K209" s="77" t="inlineStr">
        <is>
          <t>Leeds University Business School</t>
        </is>
      </c>
      <c r="L209" s="77" t="inlineStr">
        <is>
          <t>Marketing BSc</t>
        </is>
      </c>
      <c r="M209" s="77" t="inlineStr">
        <is>
          <t>Business/management</t>
        </is>
      </c>
      <c r="N209" s="77" t="inlineStr">
        <is>
          <t>Undergraduate</t>
        </is>
      </c>
      <c r="O209" s="77" t="inlineStr">
        <is>
          <t>Year 3</t>
        </is>
      </c>
      <c r="P209" s="77" t="inlineStr"/>
      <c r="Q209" s="77" t="inlineStr">
        <is>
          <t>Optional/elective</t>
        </is>
      </c>
      <c r="R209" s="77" t="inlineStr">
        <is>
          <t>Curricular</t>
        </is>
      </c>
      <c r="S209" s="77" t="inlineStr">
        <is>
          <t>10 credits</t>
        </is>
      </c>
      <c r="T209" s="77" t="inlineStr">
        <is>
          <t>Not stated</t>
        </is>
      </c>
      <c r="U209" s="77" t="inlineStr">
        <is>
          <t>Live client project</t>
        </is>
      </c>
      <c r="V209" s="77" t="inlineStr">
        <is>
          <t>Yes</t>
        </is>
      </c>
      <c r="W209" s="77" t="inlineStr">
        <is>
          <t>Marketing plan for client (source 1).</t>
        </is>
      </c>
      <c r="X209" s="77" t="inlineStr">
        <is>
          <t>Unclear</t>
        </is>
      </c>
      <c r="Y209" s="77" t="inlineStr">
        <is>
          <t>Individual vs team format not stated in extract.</t>
        </is>
      </c>
      <c r="Z209" s="77" t="inlineStr">
        <is>
          <t>Yes</t>
        </is>
      </c>
      <c r="AA209" s="77" t="inlineStr">
        <is>
          <t>Live client; receives marketing plan (source 1).</t>
        </is>
      </c>
      <c r="AB209" s="77" t="inlineStr">
        <is>
          <t>Unclear</t>
        </is>
      </c>
      <c r="AC209" s="77" t="inlineStr">
        <is>
          <t>Live client; receives plan</t>
        </is>
      </c>
      <c r="AD209" s="77" t="inlineStr"/>
      <c r="AE209" s="77" t="inlineStr">
        <is>
          <t>Strategic and operational marketing plan</t>
        </is>
      </c>
      <c r="AF209" s="77">
        <f>IF(OR(V209="No",X209="No",Z209="No"),"Outside strict definition",IF(AND(V209="Yes",X209="Yes",Z209="Yes"),"Meets all three","Potentially relevant; evidence incomplete"))</f>
        <v/>
      </c>
      <c r="AG209" s="77" t="inlineStr">
        <is>
          <t>Current status unclear</t>
        </is>
      </c>
      <c r="AH209" s="77" t="inlineStr">
        <is>
          <t>undated</t>
        </is>
      </c>
      <c r="AI209" s="77" t="inlineStr">
        <is>
          <t>Yes</t>
        </is>
      </c>
      <c r="AJ209" s="77">
        <f>IF(AND(AI209="Yes",AF209="Meets all three",AG209="Current delivery confirmed"),"Yes","No")</f>
        <v/>
      </c>
      <c r="AK209" s="77" t="inlineStr"/>
      <c r="AL209" s="77" t="inlineStr">
        <is>
          <t>RG11-S13-R1</t>
        </is>
      </c>
      <c r="AM209" s="77" t="inlineStr">
        <is>
          <t>Module code, group format, client type and delivery year not retrieved (LUBS2931 is Evidence-based Consultancy, a different module).</t>
        </is>
      </c>
      <c r="AN209" s="77" t="inlineStr"/>
      <c r="AO209" s="77" t="inlineStr">
        <is>
          <t>UK</t>
        </is>
      </c>
      <c r="AP209" s="77" t="inlineStr">
        <is>
          <t>UK – Russell Group</t>
        </is>
      </c>
      <c r="AQ209" s="77" t="inlineStr">
        <is>
          <t>Unclear</t>
        </is>
      </c>
      <c r="AR209" s="77" t="inlineStr">
        <is>
          <t>Unclear</t>
        </is>
      </c>
      <c r="AS209" s="77" t="inlineStr"/>
    </row>
    <row r="210">
      <c r="A210" s="77" t="inlineStr">
        <is>
          <t>RG12</t>
        </is>
      </c>
      <c r="B210" s="77" t="inlineStr">
        <is>
          <t>Liverpool</t>
        </is>
      </c>
      <c r="C210" s="77" t="inlineStr">
        <is>
          <t>University-wide</t>
        </is>
      </c>
      <c r="D210" s="77" t="inlineStr">
        <is>
          <t>RG12-S01</t>
        </is>
      </c>
      <c r="E210" s="77" t="inlineStr"/>
      <c r="F210" s="77" t="inlineStr">
        <is>
          <t>Yes</t>
        </is>
      </c>
      <c r="G210" s="79" t="inlineStr">
        <is>
          <t>Liverpool Launchpad employer-led Grand Challenges (Careers and Employability)</t>
        </is>
      </c>
      <c r="H210" s="77" t="inlineStr">
        <is>
          <t>Liverpool Launchpad Grand Challenges</t>
        </is>
      </c>
      <c r="I210" s="77" t="inlineStr"/>
      <c r="J210" s="77" t="inlineStr">
        <is>
          <t>Umbrella for central Careers and Employability employer-led team challenges (e.g. The Big Events Challenge with Culture Liverpool; Sustainable Innovation Challenge). Students work in teams on partner-set briefs and pitch to panels. Individual challenges are recorded as child routes.</t>
        </is>
      </c>
      <c r="K210" s="77" t="inlineStr">
        <is>
          <t>Careers and Employability</t>
        </is>
      </c>
      <c r="L210" s="77" t="inlineStr">
        <is>
          <t>Launchpad announced as open to all current University of Liverpool students; individual challenges have their own limits (places limited; some priority groups).</t>
        </is>
      </c>
      <c r="M210" s="77" t="inlineStr">
        <is>
          <t>Central provision</t>
        </is>
      </c>
      <c r="N210" s="77" t="inlineStr">
        <is>
          <t>Unclear</t>
        </is>
      </c>
      <c r="O210" s="77" t="inlineStr"/>
      <c r="P210" s="77" t="inlineStr"/>
      <c r="Q210" s="77" t="inlineStr">
        <is>
          <t>Selective/competitive</t>
        </is>
      </c>
      <c r="R210" s="77" t="inlineStr">
        <is>
          <t>Extracurricular</t>
        </is>
      </c>
      <c r="S210" s="77" t="inlineStr">
        <is>
          <t>No credit evidenced</t>
        </is>
      </c>
      <c r="T210" s="77" t="inlineStr">
        <is>
          <t>Varies by challenge</t>
        </is>
      </c>
      <c r="U210" s="77" t="inlineStr">
        <is>
          <t>Short employer challenges; pitches</t>
        </is>
      </c>
      <c r="V210" s="77" t="inlineStr">
        <is>
          <t>Yes</t>
        </is>
      </c>
      <c r="W210" s="77" t="inlineStr">
        <is>
          <t>Child challenges set briefs and require pitches (src 1,2).</t>
        </is>
      </c>
      <c r="X210" s="77" t="inlineStr">
        <is>
          <t>Yes</t>
        </is>
      </c>
      <c r="Y210" s="77" t="inlineStr">
        <is>
          <t>Teams in child challenges (src 1,2).</t>
        </is>
      </c>
      <c r="Z210" s="77" t="inlineStr">
        <is>
          <t>Yes</t>
        </is>
      </c>
      <c r="AA210" s="77" t="inlineStr">
        <is>
          <t>Partner-set briefs and expert feedback in child challenges (src 1,2).</t>
        </is>
      </c>
      <c r="AB210" s="77" t="inlineStr">
        <is>
          <t>Mixed</t>
        </is>
      </c>
      <c r="AC210" s="77" t="inlineStr"/>
      <c r="AD210" s="77" t="inlineStr"/>
      <c r="AE210" s="77" t="inlineStr"/>
      <c r="AF210" s="77">
        <f>IF(OR(V210="No",X210="No",Z210="No"),"Outside strict definition",IF(AND(V210="Yes",X210="Yes",Z210="Yes"),"Meets all three","Potentially relevant; evidence incomplete"))</f>
        <v/>
      </c>
      <c r="AG210" s="77" t="inlineStr">
        <is>
          <t>Current delivery confirmed</t>
        </is>
      </c>
      <c r="AH210" s="77" t="inlineStr">
        <is>
          <t>2026</t>
        </is>
      </c>
      <c r="AI210" s="77" t="inlineStr">
        <is>
          <t>No</t>
        </is>
      </c>
      <c r="AJ210" s="77">
        <f>IF(AND(AI210="Yes",AF210="Meets all three",AG210="Current delivery confirmed"),"Yes","No")</f>
        <v/>
      </c>
      <c r="AK210" s="77" t="inlineStr"/>
      <c r="AL210" s="77" t="inlineStr">
        <is>
          <t>RG12-S01-R1; RG12-S01-R2</t>
        </is>
      </c>
      <c r="AM210" s="77" t="inlineStr">
        <is>
          <t>The legacy 'Grand Challenges' URL (liverpool.ac.uk/careers/employers/campus-wide-initiatives/grand-challenges/) did not appear in any search result, so the legacy page could not be re-evidenced; Launchpad (Aug 2025) is the current umbrella that lists 'grand challenges'. Sources differ on whether Launchpad is for 'all current' vs 'new and returning' students; no source confirms every challenge is open to every student. Umbrella not counted.</t>
        </is>
      </c>
      <c r="AN210" s="77" t="inlineStr">
        <is>
          <t>Grand Challenges</t>
        </is>
      </c>
      <c r="AO210" s="77" t="inlineStr">
        <is>
          <t>UK</t>
        </is>
      </c>
      <c r="AP210" s="77" t="inlineStr">
        <is>
          <t>UK – Russell Group</t>
        </is>
      </c>
      <c r="AQ210" s="77" t="inlineStr">
        <is>
          <t>Unclear</t>
        </is>
      </c>
      <c r="AR210" s="77" t="inlineStr">
        <is>
          <t>Some projects</t>
        </is>
      </c>
      <c r="AS210" s="77" t="inlineStr">
        <is>
          <t>No (umbrella; children counted)</t>
        </is>
      </c>
    </row>
    <row r="211">
      <c r="A211" s="77" t="inlineStr">
        <is>
          <t>RG12</t>
        </is>
      </c>
      <c r="B211" s="77" t="inlineStr">
        <is>
          <t>Liverpool</t>
        </is>
      </c>
      <c r="C211" s="77" t="inlineStr">
        <is>
          <t>Unclear</t>
        </is>
      </c>
      <c r="D211" s="77" t="inlineStr">
        <is>
          <t>RG12-S02</t>
        </is>
      </c>
      <c r="E211" s="77" t="inlineStr">
        <is>
          <t>RG12-S01</t>
        </is>
      </c>
      <c r="F211" s="77" t="inlineStr">
        <is>
          <t>No</t>
        </is>
      </c>
      <c r="G211" s="79" t="inlineStr">
        <is>
          <t>The Big Events Challenge with Culture Liverpool</t>
        </is>
      </c>
      <c r="H211" s="77" t="inlineStr">
        <is>
          <t>The Big Events Challenge</t>
        </is>
      </c>
      <c r="I211" s="77" t="inlineStr"/>
      <c r="J211" s="77" t="inlineStr">
        <is>
          <t>Two-day challenge (March 2026) in which students in newly formed interdisciplinary teams responded to a genuine brief from Culture Liverpool on making large-scale Liverpool events (tied to e.g. Tour de France 2027) more accessible and inclusive. Industry experts rotated between groups giving feedback on day two; finalist teams pitched to a panel at St George's Hall (winning idea an accessibility app).</t>
        </is>
      </c>
      <c r="K211" s="77" t="inlineStr">
        <is>
          <t>Careers and Employability</t>
        </is>
      </c>
      <c r="L211" s="77" t="inlineStr">
        <is>
          <t>Interdisciplinary student teams; places limited, application deadline 26 January (Dec 2025 call). Eligibility criteria not stated in extracts.</t>
        </is>
      </c>
      <c r="M211" s="77" t="inlineStr">
        <is>
          <t>Central provision</t>
        </is>
      </c>
      <c r="N211" s="77" t="inlineStr">
        <is>
          <t>Unclear</t>
        </is>
      </c>
      <c r="O211" s="77" t="inlineStr"/>
      <c r="P211" s="77" t="inlineStr"/>
      <c r="Q211" s="77" t="inlineStr">
        <is>
          <t>Selective/competitive</t>
        </is>
      </c>
      <c r="R211" s="77" t="inlineStr">
        <is>
          <t>Extracurricular</t>
        </is>
      </c>
      <c r="S211" s="77" t="inlineStr">
        <is>
          <t>No credit evidenced</t>
        </is>
      </c>
      <c r="T211" s="77" t="inlineStr">
        <is>
          <t>2 days (March 2026)</t>
        </is>
      </c>
      <c r="U211" s="77" t="inlineStr">
        <is>
          <t>In person, two-day team challenge with finale pitch</t>
        </is>
      </c>
      <c r="V211" s="77" t="inlineStr">
        <is>
          <t>Yes</t>
        </is>
      </c>
      <c r="W211" s="77" t="inlineStr">
        <is>
          <t>Defined brief (accessibility/inclusion of large events) and pitched solutions to a panel (src 1,2). Very short format; output goes to a judging panel, recipient organisation's use of outputs not evidenced.</t>
        </is>
      </c>
      <c r="X211" s="77" t="inlineStr">
        <is>
          <t>Yes</t>
        </is>
      </c>
      <c r="Y211" s="77" t="inlineStr">
        <is>
          <t>Students 'worked in newly formed, interdisciplinary teams' (src 1).</t>
        </is>
      </c>
      <c r="Z211" s="77" t="inlineStr">
        <is>
          <t>Yes</t>
        </is>
      </c>
      <c r="AA211" s="77" t="inlineStr">
        <is>
          <t>Brief set by Culture Liverpool ('genuine brief rather than hypothetical'); industry experts gave feedback to groups; run in partnership with Culture Liverpool (src 1,2).</t>
        </is>
      </c>
      <c r="AB211" s="77" t="inlineStr">
        <is>
          <t>Unclear</t>
        </is>
      </c>
      <c r="AC211" s="77" t="inlineStr">
        <is>
          <t>Sets brief; supplies industry experts for feedback; partner in delivery.</t>
        </is>
      </c>
      <c r="AD211" s="77" t="inlineStr">
        <is>
          <t>Culture Liverpool (2026)</t>
        </is>
      </c>
      <c r="AE211" s="77" t="inlineStr">
        <is>
          <t>Team pitch of an idea (e.g. accessibility app) to finale panel</t>
        </is>
      </c>
      <c r="AF211" s="77">
        <f>IF(OR(V211="No",X211="No",Z211="No"),"Outside strict definition",IF(AND(V211="Yes",X211="Yes",Z211="Yes"),"Meets all three","Potentially relevant; evidence incomplete"))</f>
        <v/>
      </c>
      <c r="AG211" s="77" t="inlineStr">
        <is>
          <t>Current delivery confirmed</t>
        </is>
      </c>
      <c r="AH211" s="77" t="inlineStr">
        <is>
          <t>2026</t>
        </is>
      </c>
      <c r="AI211" s="77" t="inlineStr">
        <is>
          <t>Yes</t>
        </is>
      </c>
      <c r="AJ211" s="77">
        <f>IF(AND(AI211="Yes",AF211="Meets all three",AG211="Current delivery confirmed"),"Yes","No")</f>
        <v/>
      </c>
      <c r="AK211" s="77" t="inlineStr">
        <is>
          <t>Places limited; number not published in extracts.</t>
        </is>
      </c>
      <c r="AL211" s="77" t="inlineStr">
        <is>
          <t>RG12-S02-R1; RG12-S02-R2</t>
        </is>
      </c>
      <c r="AM211" s="77" t="inlineStr">
        <is>
          <t>Partner type of Culture Liverpool not stated in extracts (likely a city culture body but not evidenced). Whether challenge open to all students not stated. Only one brief/year evidenced; short duration.</t>
        </is>
      </c>
      <c r="AN211" s="77" t="inlineStr"/>
      <c r="AO211" s="77" t="inlineStr">
        <is>
          <t>UK</t>
        </is>
      </c>
      <c r="AP211" s="77" t="inlineStr">
        <is>
          <t>UK – Russell Group</t>
        </is>
      </c>
      <c r="AQ211" s="77" t="inlineStr">
        <is>
          <t>&lt;1 week</t>
        </is>
      </c>
      <c r="AR211" s="77" t="inlineStr">
        <is>
          <t>All/standard</t>
        </is>
      </c>
      <c r="AS211" s="77" t="inlineStr"/>
    </row>
    <row r="212">
      <c r="A212" s="77" t="inlineStr">
        <is>
          <t>RG12</t>
        </is>
      </c>
      <c r="B212" s="77" t="inlineStr">
        <is>
          <t>Liverpool</t>
        </is>
      </c>
      <c r="C212" s="77" t="inlineStr">
        <is>
          <t>University-wide</t>
        </is>
      </c>
      <c r="D212" s="77" t="inlineStr">
        <is>
          <t>RG12-S03</t>
        </is>
      </c>
      <c r="E212" s="77" t="inlineStr">
        <is>
          <t>RG12-S01</t>
        </is>
      </c>
      <c r="F212" s="77" t="inlineStr">
        <is>
          <t>No</t>
        </is>
      </c>
      <c r="G212" s="79" t="inlineStr">
        <is>
          <t>Sustainable Innovation Challenge</t>
        </is>
      </c>
      <c r="H212" s="77" t="inlineStr">
        <is>
          <t>Sustainable Innovation Challenge</t>
        </is>
      </c>
      <c r="I212" s="77" t="inlineStr"/>
      <c r="J212" s="77" t="inlineStr">
        <is>
          <t>Annual spring team-based programme: students work in teams on a sustainability/innovation brief with employer/mentor and innovation-adviser guidance, culminating in a pitch to a judging panel. 2026 edition (with Manchester Metropolitan, Ulster, Berlin School of Economics and Law and Manchester City FC) asked teams to reimagine CityLink, the pedestrian route between Holt Town and the Etihad Campus; Liverpool students travelled to Manchester 3-5 June 2026 (fully funded).</t>
        </is>
      </c>
      <c r="K212" s="77" t="inlineStr">
        <is>
          <t>Careers and Employability (EQ+)</t>
        </is>
      </c>
      <c r="L212" s="77" t="inlineStr">
        <is>
          <t>Open to students from across the University; all degree subjects welcome, no prior experience; places limited with priority to EQ+/widening participation students.</t>
        </is>
      </c>
      <c r="M212" s="77" t="inlineStr">
        <is>
          <t>Central provision</t>
        </is>
      </c>
      <c r="N212" s="77" t="inlineStr">
        <is>
          <t>Unclear</t>
        </is>
      </c>
      <c r="O212" s="77" t="inlineStr"/>
      <c r="P212" s="77" t="inlineStr"/>
      <c r="Q212" s="77" t="inlineStr">
        <is>
          <t>Selective/competitive</t>
        </is>
      </c>
      <c r="R212" s="77" t="inlineStr">
        <is>
          <t>Extracurricular</t>
        </is>
      </c>
      <c r="S212" s="77" t="inlineStr">
        <is>
          <t>No credit evidenced</t>
        </is>
      </c>
      <c r="T212" s="77" t="inlineStr">
        <is>
          <t>Annual spring programme including 3-day Manchester trip (June 2026)</t>
        </is>
      </c>
      <c r="U212" s="77" t="inlineStr">
        <is>
          <t>Multi-university team challenge; mentoring; final pitch</t>
        </is>
      </c>
      <c r="V212" s="77" t="inlineStr">
        <is>
          <t>Yes</t>
        </is>
      </c>
      <c r="W212" s="77" t="inlineStr">
        <is>
          <t>Team brief on a defined site problem (CityLink) with pitch to a panel (src 1,2).</t>
        </is>
      </c>
      <c r="X212" s="77" t="inlineStr">
        <is>
          <t>Yes</t>
        </is>
      </c>
      <c r="Y212" s="77" t="inlineStr">
        <is>
          <t>'Teams collaborate with peers from partner universities' (src 1).</t>
        </is>
      </c>
      <c r="Z212" s="77" t="inlineStr">
        <is>
          <t>Yes</t>
        </is>
      </c>
      <c r="AA212" s="77" t="inlineStr">
        <is>
          <t>Employers and industry mentors guide teams; 2026 brief delivered in partnership with Manchester City FC; pitch to judging panel (src 1,2). Exact split of who sets the brief not stated; recorded as partner-set/mentored.</t>
        </is>
      </c>
      <c r="AB212" s="77" t="inlineStr">
        <is>
          <t>Mixed</t>
        </is>
      </c>
      <c r="AC212" s="77" t="inlineStr">
        <is>
          <t>Industry mentors/employers guide teams; Manchester City FC partner on 2026 brief; judging panel.</t>
        </is>
      </c>
      <c r="AD212" s="77" t="inlineStr">
        <is>
          <t>Manchester City Football Club (2026); partner universities Manchester Metropolitan, Ulster, Berlin School of Economics and Law (2026)</t>
        </is>
      </c>
      <c r="AE212" s="77" t="inlineStr">
        <is>
          <t>Team pitch of solution/proposal</t>
        </is>
      </c>
      <c r="AF212" s="77">
        <f>IF(OR(V212="No",X212="No",Z212="No"),"Outside strict definition",IF(AND(V212="Yes",X212="Yes",Z212="Yes"),"Meets all three","Potentially relevant; evidence incomplete"))</f>
        <v/>
      </c>
      <c r="AG212" s="77" t="inlineStr">
        <is>
          <t>Current delivery confirmed</t>
        </is>
      </c>
      <c r="AH212" s="77" t="inlineStr">
        <is>
          <t>2026</t>
        </is>
      </c>
      <c r="AI212" s="77" t="inlineStr">
        <is>
          <t>Yes</t>
        </is>
      </c>
      <c r="AJ212" s="77">
        <f>IF(AND(AI212="Yes",AF212="Meets all three",AG212="Current delivery confirmed"),"Yes","No")</f>
        <v/>
      </c>
      <c r="AK212" s="77" t="inlineStr">
        <is>
          <t>Programme self-reports 80% of participants progressed to graduate roles, placements or further study (not a participation count).</t>
        </is>
      </c>
      <c r="AL212" s="77" t="inlineStr">
        <is>
          <t>RG12-S03-R1; RG12-S03-R2</t>
        </is>
      </c>
      <c r="AM212" s="77" t="inlineStr">
        <is>
          <t>Total programme length not stated; place numbers not published. Brief-setter role of Man City FC inferred from 'in partnership' wording; mentors/employers' participation is explicit.</t>
        </is>
      </c>
      <c r="AN212" s="77" t="inlineStr"/>
      <c r="AO212" s="77" t="inlineStr">
        <is>
          <t>UK</t>
        </is>
      </c>
      <c r="AP212" s="77" t="inlineStr">
        <is>
          <t>UK – Russell Group</t>
        </is>
      </c>
      <c r="AQ212" s="77" t="inlineStr">
        <is>
          <t>1–4 weeks</t>
        </is>
      </c>
      <c r="AR212" s="77" t="inlineStr">
        <is>
          <t>All/standard</t>
        </is>
      </c>
      <c r="AS212" s="77" t="inlineStr"/>
    </row>
    <row r="213">
      <c r="A213" s="77" t="inlineStr">
        <is>
          <t>RG12</t>
        </is>
      </c>
      <c r="B213" s="77" t="inlineStr">
        <is>
          <t>Liverpool</t>
        </is>
      </c>
      <c r="C213" s="77" t="inlineStr">
        <is>
          <t>Cross-faculty</t>
        </is>
      </c>
      <c r="D213" s="77" t="inlineStr">
        <is>
          <t>RG12-S04</t>
        </is>
      </c>
      <c r="E213" s="77" t="inlineStr"/>
      <c r="F213" s="77" t="inlineStr">
        <is>
          <t>Yes</t>
        </is>
      </c>
      <c r="G213" s="79" t="inlineStr">
        <is>
          <t>Real-World Challenges in Curriculum (Careers and Employability employer offer)</t>
        </is>
      </c>
      <c r="H213" s="77" t="inlineStr">
        <is>
          <t>Real-World Challenges in Curriculum</t>
        </is>
      </c>
      <c r="I213" s="77" t="inlineStr"/>
      <c r="J213" s="77" t="inlineStr">
        <is>
          <t>Central offer through which an employer's project is embedded within specific academic modules, co-developed with academics; students 'typically work in groups' as part of assessed curriculum activity. Specific delivering modules (e.g. MATH390) are recorded as child routes.</t>
        </is>
      </c>
      <c r="K213" s="77" t="inlineStr">
        <is>
          <t>Careers and Employability (Employer Connections)</t>
        </is>
      </c>
      <c r="L213" s="77" t="inlineStr">
        <is>
          <t>Targets particular degree disciplines per project; no list of participating modules published on the page.</t>
        </is>
      </c>
      <c r="M213" s="77" t="inlineStr">
        <is>
          <t>Central provision</t>
        </is>
      </c>
      <c r="N213" s="77" t="inlineStr">
        <is>
          <t>Unclear</t>
        </is>
      </c>
      <c r="O213" s="77" t="inlineStr"/>
      <c r="P213" s="77" t="inlineStr"/>
      <c r="Q213" s="77" t="inlineStr">
        <is>
          <t>Unclear</t>
        </is>
      </c>
      <c r="R213" s="77" t="inlineStr">
        <is>
          <t>Curricular</t>
        </is>
      </c>
      <c r="S213" s="77" t="inlineStr">
        <is>
          <t>Assessed module activity (module-specific)</t>
        </is>
      </c>
      <c r="T213" s="77" t="inlineStr">
        <is>
          <t>Module-length</t>
        </is>
      </c>
      <c r="U213" s="77" t="inlineStr">
        <is>
          <t>Employer project embedded in module</t>
        </is>
      </c>
      <c r="V213" s="77" t="inlineStr">
        <is>
          <t>Yes</t>
        </is>
      </c>
      <c r="W213" s="77" t="inlineStr">
        <is>
          <t>Employer project embedded in module (src 1).</t>
        </is>
      </c>
      <c r="X213" s="77" t="inlineStr">
        <is>
          <t>Yes</t>
        </is>
      </c>
      <c r="Y213" s="77" t="inlineStr">
        <is>
          <t>'Students typically work in groups' (src 1).</t>
        </is>
      </c>
      <c r="Z213" s="77" t="inlineStr">
        <is>
          <t>Yes</t>
        </is>
      </c>
      <c r="AA213" s="77" t="inlineStr">
        <is>
          <t>Employer brings current challenge (src 1).</t>
        </is>
      </c>
      <c r="AB213" s="77" t="inlineStr">
        <is>
          <t>Unclear</t>
        </is>
      </c>
      <c r="AC213" s="77" t="inlineStr"/>
      <c r="AD213" s="77" t="inlineStr"/>
      <c r="AE213" s="77" t="inlineStr"/>
      <c r="AF213" s="77">
        <f>IF(OR(V213="No",X213="No",Z213="No"),"Outside strict definition",IF(AND(V213="Yes",X213="Yes",Z213="Yes"),"Meets all three","Potentially relevant; evidence incomplete"))</f>
        <v/>
      </c>
      <c r="AG213" s="77" t="inlineStr">
        <is>
          <t>Current status unclear</t>
        </is>
      </c>
      <c r="AH213" s="77" t="inlineStr">
        <is>
          <t>undated</t>
        </is>
      </c>
      <c r="AI213" s="77" t="inlineStr">
        <is>
          <t>No</t>
        </is>
      </c>
      <c r="AJ213" s="77">
        <f>IF(AND(AI213="Yes",AF213="Meets all three",AG213="Current delivery confirmed"),"Yes","No")</f>
        <v/>
      </c>
      <c r="AK213" s="77" t="inlineStr"/>
      <c r="AL213" s="77" t="inlineStr">
        <is>
          <t>RG12-S04-R1</t>
        </is>
      </c>
      <c r="AM213" s="77" t="inlineStr">
        <is>
          <t>Employer-facing marketing page; participating modules not listed (only MATH390 identified via other sources). Umbrella, not counted.</t>
        </is>
      </c>
      <c r="AN213" s="77" t="inlineStr"/>
      <c r="AO213" s="77" t="inlineStr">
        <is>
          <t>UK</t>
        </is>
      </c>
      <c r="AP213" s="77" t="inlineStr">
        <is>
          <t>UK – Russell Group</t>
        </is>
      </c>
      <c r="AQ213" s="77" t="inlineStr">
        <is>
          <t>Unclear</t>
        </is>
      </c>
      <c r="AR213" s="77" t="inlineStr">
        <is>
          <t>Unclear</t>
        </is>
      </c>
      <c r="AS213" s="77" t="inlineStr">
        <is>
          <t>No (umbrella; children counted)</t>
        </is>
      </c>
    </row>
    <row r="214">
      <c r="A214" s="77" t="inlineStr">
        <is>
          <t>RG12</t>
        </is>
      </c>
      <c r="B214" s="77" t="inlineStr">
        <is>
          <t>Liverpool</t>
        </is>
      </c>
      <c r="C214" s="77" t="inlineStr">
        <is>
          <t>Programme/course</t>
        </is>
      </c>
      <c r="D214" s="77" t="inlineStr">
        <is>
          <t>RG12-S05</t>
        </is>
      </c>
      <c r="E214" s="77" t="inlineStr">
        <is>
          <t>RG12-S04</t>
        </is>
      </c>
      <c r="F214" s="77" t="inlineStr">
        <is>
          <t>No</t>
        </is>
      </c>
      <c r="G214" s="79" t="inlineStr">
        <is>
          <t>Professional Projects and Employability in Mathematics</t>
        </is>
      </c>
      <c r="H214" s="77" t="inlineStr">
        <is>
          <t>Professional Projects and Employability in Mathematics</t>
        </is>
      </c>
      <c r="I214" s="77" t="inlineStr">
        <is>
          <t>MATH390</t>
        </is>
      </c>
      <c r="J214" s="77" t="inlineStr">
        <is>
          <t>Year 3 module in which students work in groups on three authentic mathematical projects set by employers (one a time-constrained one-week/lab-session investigation), producing client reports and group presentations, plus reflective writing and an individual employability portfolio. Industrial partners co-design projects from real questions in their organisations, give input on reports and presentations and lead the Q&amp;A.</t>
        </is>
      </c>
      <c r="K214" s="77" t="inlineStr">
        <is>
          <t>Department of Mathematical Sciences</t>
        </is>
      </c>
      <c r="L214" s="77" t="inlineStr">
        <is>
          <t>Optional year 3 module in several Mathematics programmes (including Mathematics and Computer Science).</t>
        </is>
      </c>
      <c r="M214" s="77" t="inlineStr">
        <is>
          <t>Science</t>
        </is>
      </c>
      <c r="N214" s="77" t="inlineStr">
        <is>
          <t>Undergraduate</t>
        </is>
      </c>
      <c r="O214" s="77" t="inlineStr">
        <is>
          <t>Year 3 (Level 6)</t>
        </is>
      </c>
      <c r="P214" s="77" t="inlineStr"/>
      <c r="Q214" s="77" t="inlineStr">
        <is>
          <t>Optional/elective</t>
        </is>
      </c>
      <c r="R214" s="77" t="inlineStr">
        <is>
          <t>Curricular</t>
        </is>
      </c>
      <c r="S214" s="77" t="inlineStr">
        <is>
          <t>15 credits, semester 1; assessed by three group projects, reflective pieces and individual portfolio</t>
        </is>
      </c>
      <c r="T214" s="77" t="inlineStr">
        <is>
          <t>One semester</t>
        </is>
      </c>
      <c r="U214" s="77" t="inlineStr">
        <is>
          <t>PC-lab based active learning with employer projects</t>
        </is>
      </c>
      <c r="V214" s="77" t="inlineStr">
        <is>
          <t>Yes</t>
        </is>
      </c>
      <c r="W214" s="77" t="inlineStr">
        <is>
          <t>Three authentic employer-set projects with client reports (src 1,2).</t>
        </is>
      </c>
      <c r="X214" s="77" t="inlineStr">
        <is>
          <t>Yes</t>
        </is>
      </c>
      <c r="Y214" s="77" t="inlineStr">
        <is>
          <t>'Students work in groups on authentic mathematical projects set by employers' (src 1,2).</t>
        </is>
      </c>
      <c r="Z214" s="77" t="inlineStr">
        <is>
          <t>Yes</t>
        </is>
      </c>
      <c r="AA214" s="77" t="inlineStr">
        <is>
          <t>Employers set projects, input on reports/presentations, lead Q&amp;A (src 2).</t>
        </is>
      </c>
      <c r="AB214" s="77" t="inlineStr">
        <is>
          <t>Unclear</t>
        </is>
      </c>
      <c r="AC214" s="77" t="inlineStr">
        <is>
          <t>Co-design projects from real questions in their organisations; feedback and Q&amp;A on presentations.</t>
        </is>
      </c>
      <c r="AD214" s="77" t="inlineStr">
        <is>
          <t>Not named in extracts for current year (a 2021-era Shop Direct example surfaced in a search summary but was not tied to a source).</t>
        </is>
      </c>
      <c r="AE214" s="77" t="inlineStr">
        <is>
          <t>Client reports and group presentations</t>
        </is>
      </c>
      <c r="AF214" s="77">
        <f>IF(OR(V214="No",X214="No",Z214="No"),"Outside strict definition",IF(AND(V214="Yes",X214="Yes",Z214="Yes"),"Meets all three","Potentially relevant; evidence incomplete"))</f>
        <v/>
      </c>
      <c r="AG214" s="77" t="inlineStr">
        <is>
          <t>Current delivery confirmed</t>
        </is>
      </c>
      <c r="AH214" s="77" t="inlineStr">
        <is>
          <t>2025/26</t>
        </is>
      </c>
      <c r="AI214" s="77" t="inlineStr">
        <is>
          <t>Yes</t>
        </is>
      </c>
      <c r="AJ214" s="77">
        <f>IF(AND(AI214="Yes",AF214="Meets all three",AG214="Current delivery confirmed"),"Yes","No")</f>
        <v/>
      </c>
      <c r="AK214" s="77" t="inlineStr"/>
      <c r="AL214" s="77" t="inlineStr">
        <is>
          <t>RG12-S05-R1; RG12-S05-R2; RG12-S05-R3</t>
        </is>
      </c>
      <c r="AM214" s="77" t="inlineStr">
        <is>
          <t>Partner sector not specified (employers). Current delivery rests on a May 2025 course-update listing for Mathematics and Computer Science (src 3); a 2026-27 module-catalogue entry was reported in a search summary but not tied to a clear URL. Employer partners for 2025/26 not named.</t>
        </is>
      </c>
      <c r="AN214" s="77" t="inlineStr"/>
      <c r="AO214" s="77" t="inlineStr">
        <is>
          <t>UK</t>
        </is>
      </c>
      <c r="AP214" s="77" t="inlineStr">
        <is>
          <t>UK – Russell Group</t>
        </is>
      </c>
      <c r="AQ214" s="77" t="inlineStr">
        <is>
          <t>~1 term/semester</t>
        </is>
      </c>
      <c r="AR214" s="77" t="inlineStr">
        <is>
          <t>All/standard</t>
        </is>
      </c>
      <c r="AS214" s="77" t="inlineStr"/>
    </row>
    <row r="215">
      <c r="A215" s="77" t="inlineStr">
        <is>
          <t>RG12</t>
        </is>
      </c>
      <c r="B215" s="77" t="inlineStr">
        <is>
          <t>Liverpool</t>
        </is>
      </c>
      <c r="C215" s="77" t="inlineStr">
        <is>
          <t>Programme/course</t>
        </is>
      </c>
      <c r="D215" s="77" t="inlineStr">
        <is>
          <t>RG12-S06</t>
        </is>
      </c>
      <c r="E215" s="77" t="inlineStr"/>
      <c r="F215" s="77" t="inlineStr">
        <is>
          <t>No</t>
        </is>
      </c>
      <c r="G215" s="79" t="inlineStr">
        <is>
          <t>Electrical Engineering &amp; Electronics industry 'Dragons' Den' group project module</t>
        </is>
      </c>
      <c r="H215" s="77" t="inlineStr">
        <is>
          <t>EEE module group projects pitched to industry panel</t>
        </is>
      </c>
      <c r="I215" s="77" t="inlineStr"/>
      <c r="J215" s="77" t="inlineStr">
        <is>
          <t>In a Department of Electrical Engineering and Electronics module (leader Dr Munira Raja), student groups developed solutions/demonstrators to an industry-relevant problem and pitched to academic assessors and an industry panel (Crover, DefProc Engineering, Liverpool University NHS Foundation Trust, MBDA, STFC) who questioned them and gave feedback on market analysis, value proposition, implementation and viability.</t>
        </is>
      </c>
      <c r="K215" s="77" t="inlineStr">
        <is>
          <t>Department of Electrical Engineering and Electronics</t>
        </is>
      </c>
      <c r="L215" s="77" t="inlineStr">
        <is>
          <t>Module in EEE programmes (module code not stated in extract).</t>
        </is>
      </c>
      <c r="M215" s="77" t="inlineStr">
        <is>
          <t>Engineering/computing</t>
        </is>
      </c>
      <c r="N215" s="77" t="inlineStr">
        <is>
          <t>Undergraduate</t>
        </is>
      </c>
      <c r="O215" s="77" t="inlineStr"/>
      <c r="P215" s="77" t="inlineStr"/>
      <c r="Q215" s="77" t="inlineStr">
        <is>
          <t>Unclear</t>
        </is>
      </c>
      <c r="R215" s="77" t="inlineStr">
        <is>
          <t>Curricular</t>
        </is>
      </c>
      <c r="S215" s="77" t="inlineStr">
        <is>
          <t>Assessed module activity; weighting not stated</t>
        </is>
      </c>
      <c r="T215" s="77" t="inlineStr">
        <is>
          <t>Module-length with pitch session</t>
        </is>
      </c>
      <c r="U215" s="77" t="inlineStr">
        <is>
          <t>Group projects with industry panel pitch</t>
        </is>
      </c>
      <c r="V215" s="77" t="inlineStr">
        <is>
          <t>Yes</t>
        </is>
      </c>
      <c r="W215" s="77" t="inlineStr">
        <is>
          <t>Groups developed solutions/demonstrators to an industry-relevant problem (src 1).</t>
        </is>
      </c>
      <c r="X215" s="77" t="inlineStr">
        <is>
          <t>Yes</t>
        </is>
      </c>
      <c r="Y215" s="77" t="inlineStr">
        <is>
          <t>'Students worked in groups' (src 1).</t>
        </is>
      </c>
      <c r="Z215" s="77" t="inlineStr">
        <is>
          <t>Yes</t>
        </is>
      </c>
      <c r="AA215" s="77" t="inlineStr">
        <is>
          <t>Industry representatives sat as 'dragons', questioned groups and gave feedback on viability (src 1); who set the problem not stated.</t>
        </is>
      </c>
      <c r="AB215" s="77" t="inlineStr">
        <is>
          <t>Mixed</t>
        </is>
      </c>
      <c r="AC215" s="77" t="inlineStr">
        <is>
          <t>Receive pitches, question and give feedback; assess alongside academics.</t>
        </is>
      </c>
      <c r="AD215" s="77" t="inlineStr">
        <is>
          <t>Crover, DefProc Engineering, Liverpool University NHS Foundation Trust, MBDA, STFC (undated session)</t>
        </is>
      </c>
      <c r="AE215" s="77" t="inlineStr">
        <is>
          <t>Group solution/demonstrator and pitch</t>
        </is>
      </c>
      <c r="AF215" s="77">
        <f>IF(OR(V215="No",X215="No",Z215="No"),"Outside strict definition",IF(AND(V215="Yes",X215="Yes",Z215="Yes"),"Meets all three","Potentially relevant; evidence incomplete"))</f>
        <v/>
      </c>
      <c r="AG215" s="77" t="inlineStr">
        <is>
          <t>Current status unclear</t>
        </is>
      </c>
      <c r="AH215" s="77" t="inlineStr">
        <is>
          <t>undated</t>
        </is>
      </c>
      <c r="AI215" s="77" t="inlineStr">
        <is>
          <t>Yes</t>
        </is>
      </c>
      <c r="AJ215" s="77">
        <f>IF(AND(AI215="Yes",AF215="Meets all three",AG215="Current delivery confirmed"),"Yes","No")</f>
        <v/>
      </c>
      <c r="AK215" s="77" t="inlineStr"/>
      <c r="AL215" s="77" t="inlineStr">
        <is>
          <t>RG12-S06-R1</t>
        </is>
      </c>
      <c r="AM215" s="77" t="inlineStr">
        <is>
          <t>Case-study page undated; module code, year and compulsory/optional status not stated. Not known whether the session recurs. Related: ELEC273 Applied Design &amp; Industrial Awareness; a MEng group project 'based on the needs of industry' (course page only, no client evidence).</t>
        </is>
      </c>
      <c r="AN215" s="77" t="inlineStr"/>
      <c r="AO215" s="77" t="inlineStr">
        <is>
          <t>UK</t>
        </is>
      </c>
      <c r="AP215" s="77" t="inlineStr">
        <is>
          <t>UK – Russell Group</t>
        </is>
      </c>
      <c r="AQ215" s="77" t="inlineStr">
        <is>
          <t>Unclear</t>
        </is>
      </c>
      <c r="AR215" s="77" t="inlineStr">
        <is>
          <t>Unclear</t>
        </is>
      </c>
      <c r="AS215" s="77" t="inlineStr"/>
    </row>
    <row r="216">
      <c r="A216" s="77" t="inlineStr">
        <is>
          <t>RG12</t>
        </is>
      </c>
      <c r="B216" s="77" t="inlineStr">
        <is>
          <t>Liverpool</t>
        </is>
      </c>
      <c r="C216" s="77" t="inlineStr">
        <is>
          <t>Programme/course</t>
        </is>
      </c>
      <c r="D216" s="77" t="inlineStr">
        <is>
          <t>RG12-S07</t>
        </is>
      </c>
      <c r="E216" s="77" t="inlineStr"/>
      <c r="F216" s="77" t="inlineStr">
        <is>
          <t>No</t>
        </is>
      </c>
      <c r="G216" s="79" t="inlineStr">
        <is>
          <t>HRM Consultancy Day Workshop (MSc Human Resource Management)</t>
        </is>
      </c>
      <c r="H216" s="77" t="inlineStr">
        <is>
          <t>HRM Consultancy Day</t>
        </is>
      </c>
      <c r="I216" s="77" t="inlineStr"/>
      <c r="J216" s="77" t="inlineStr">
        <is>
          <t>Annual one-day workshop within the 'HRM: Academic and Practitioner Perspectives' module: about 50 MSc HRM students heard organisation briefings from clients (Enterprise Mobility, BDO, Hilton in 2025) about a current live problem, split into teams and spent about two hours developing tailored strategies, presented to an external independent panel that gave feedback.</t>
        </is>
      </c>
      <c r="K216" s="77" t="inlineStr">
        <is>
          <t>University of Liverpool Management School</t>
        </is>
      </c>
      <c r="L216" s="77" t="inlineStr">
        <is>
          <t>MSc Human Resource Management students.</t>
        </is>
      </c>
      <c r="M216" s="77" t="inlineStr">
        <is>
          <t>Business/management</t>
        </is>
      </c>
      <c r="N216" s="77" t="inlineStr">
        <is>
          <t>Postgraduate taught</t>
        </is>
      </c>
      <c r="O216" s="77" t="inlineStr"/>
      <c r="P216" s="77" t="inlineStr"/>
      <c r="Q216" s="77" t="inlineStr">
        <is>
          <t>Unclear</t>
        </is>
      </c>
      <c r="R216" s="77" t="inlineStr">
        <is>
          <t>Curricular</t>
        </is>
      </c>
      <c r="S216" s="77" t="inlineStr">
        <is>
          <t>Part of 'HRM: Academic and Practitioner Perspectives' module; assessment weight not stated</t>
        </is>
      </c>
      <c r="T216" s="77" t="inlineStr">
        <is>
          <t>1 day</t>
        </is>
      </c>
      <c r="U216" s="77" t="inlineStr">
        <is>
          <t>On-campus workshop</t>
        </is>
      </c>
      <c r="V216" s="77" t="inlineStr">
        <is>
          <t>Yes</t>
        </is>
      </c>
      <c r="W216" s="77" t="inlineStr">
        <is>
          <t>Defined live problem and tailored strategy presentation (src 1); very short, so A is borderline.</t>
        </is>
      </c>
      <c r="X216" s="77" t="inlineStr">
        <is>
          <t>Yes</t>
        </is>
      </c>
      <c r="Y216" s="77" t="inlineStr">
        <is>
          <t>Students 'split into teams' (src 1).</t>
        </is>
      </c>
      <c r="Z216" s="77" t="inlineStr">
        <is>
          <t>Yes</t>
        </is>
      </c>
      <c r="AA216" s="77" t="inlineStr">
        <is>
          <t>Client organisations briefed students on a current live problem; external independent panel gave feedback (src 1).</t>
        </is>
      </c>
      <c r="AB216" s="77" t="inlineStr">
        <is>
          <t>Business/commercial</t>
        </is>
      </c>
      <c r="AC216" s="77" t="inlineStr">
        <is>
          <t>Present live problem; panel feedback.</t>
        </is>
      </c>
      <c r="AD216" s="77" t="inlineStr">
        <is>
          <t>Enterprise Mobility, BDO, Hilton (2025)</t>
        </is>
      </c>
      <c r="AE216" s="77" t="inlineStr">
        <is>
          <t>Team HR strategy presentation</t>
        </is>
      </c>
      <c r="AF216" s="77">
        <f>IF(OR(V216="No",X216="No",Z216="No"),"Outside strict definition",IF(AND(V216="Yes",X216="Yes",Z216="Yes"),"Meets all three","Potentially relevant; evidence incomplete"))</f>
        <v/>
      </c>
      <c r="AG216" s="77" t="inlineStr">
        <is>
          <t>Current status unclear</t>
        </is>
      </c>
      <c r="AH216" s="77" t="inlineStr">
        <is>
          <t>2024/25 (March 2025)</t>
        </is>
      </c>
      <c r="AI216" s="77" t="inlineStr">
        <is>
          <t>Yes</t>
        </is>
      </c>
      <c r="AJ216" s="77">
        <f>IF(AND(AI216="Yes",AF216="Meets all three",AG216="Current delivery confirmed"),"Yes","No")</f>
        <v/>
      </c>
      <c r="AK216" s="77" t="inlineStr">
        <is>
          <t>About 50 students (2025).</t>
        </is>
      </c>
      <c r="AL216" s="77" t="inlineStr">
        <is>
          <t>RG12-S07-R1</t>
        </is>
      </c>
      <c r="AM216" s="77" t="inlineStr">
        <is>
          <t>Latest evidenced run is March 2025 (third consecutive annual run); no 2025/26 evidence found. Compulsory status within module/programme not stated. Recipient of output is the panel, not clearly the client.</t>
        </is>
      </c>
      <c r="AN216" s="77" t="inlineStr"/>
      <c r="AO216" s="77" t="inlineStr">
        <is>
          <t>UK</t>
        </is>
      </c>
      <c r="AP216" s="77" t="inlineStr">
        <is>
          <t>UK – Russell Group</t>
        </is>
      </c>
      <c r="AQ216" s="77" t="inlineStr">
        <is>
          <t>&lt;1 week</t>
        </is>
      </c>
      <c r="AR216" s="77" t="inlineStr">
        <is>
          <t>All/standard</t>
        </is>
      </c>
      <c r="AS216" s="77" t="inlineStr"/>
    </row>
    <row r="217">
      <c r="A217" s="77" t="inlineStr">
        <is>
          <t>RG12</t>
        </is>
      </c>
      <c r="B217" s="77" t="inlineStr">
        <is>
          <t>Liverpool</t>
        </is>
      </c>
      <c r="C217" s="77" t="inlineStr">
        <is>
          <t>Programme/course</t>
        </is>
      </c>
      <c r="D217" s="77" t="inlineStr">
        <is>
          <t>RG12-S08</t>
        </is>
      </c>
      <c r="E217" s="77" t="inlineStr"/>
      <c r="F217" s="77" t="inlineStr">
        <is>
          <t>No</t>
        </is>
      </c>
      <c r="G217" s="79" t="inlineStr">
        <is>
          <t>Liverpool MBA consultancy-based project (with ULMS850 Management Consulting in Practice)</t>
        </is>
      </c>
      <c r="H217" s="77" t="inlineStr">
        <is>
          <t>MBA consultancy-based project</t>
        </is>
      </c>
      <c r="I217" s="77" t="inlineStr">
        <is>
          <t>ULMS850</t>
        </is>
      </c>
      <c r="J217" s="77" t="inlineStr">
        <is>
          <t>MBA candidates may choose a consultancy-based project instead of a dissertation: ULMS850 (optional, 10 credits, Jan-Apr) introduces project work in small groups; students then identify and secure a client organisation and complete the project over the summer with an academic advisor, producing a 10,000-word report including a 1,000-word output in a client-agreed format. The Football Industries MBA has a similar option.</t>
        </is>
      </c>
      <c r="K217" s="77" t="inlineStr">
        <is>
          <t>University of Liverpool Management School</t>
        </is>
      </c>
      <c r="L217" s="77" t="inlineStr">
        <is>
          <t>Liverpool MBA (and MBA Football Industries) candidates choosing the consultancy route.</t>
        </is>
      </c>
      <c r="M217" s="77" t="inlineStr">
        <is>
          <t>Business/management</t>
        </is>
      </c>
      <c r="N217" s="77" t="inlineStr">
        <is>
          <t>Postgraduate taught</t>
        </is>
      </c>
      <c r="O217" s="77" t="inlineStr"/>
      <c r="P217" s="77" t="inlineStr"/>
      <c r="Q217" s="77" t="inlineStr">
        <is>
          <t>Optional/elective</t>
        </is>
      </c>
      <c r="R217" s="77" t="inlineStr">
        <is>
          <t>Curricular</t>
        </is>
      </c>
      <c r="S217" s="77" t="inlineStr">
        <is>
          <t>ULMS850 10 credits; project report 10,000 words</t>
        </is>
      </c>
      <c r="T217" s="77" t="inlineStr">
        <is>
          <t>Jan-Apr module plus summer project</t>
        </is>
      </c>
      <c r="U217" s="77" t="inlineStr">
        <is>
          <t>Module then client project</t>
        </is>
      </c>
      <c r="V217" s="77" t="inlineStr">
        <is>
          <t>Yes</t>
        </is>
      </c>
      <c r="W217" s="77" t="inlineStr">
        <is>
          <t>Client project with consultancy report and client-format output (src 1).</t>
        </is>
      </c>
      <c r="X217" s="77" t="inlineStr">
        <is>
          <t>Unclear</t>
        </is>
      </c>
      <c r="Y217" s="77" t="inlineStr">
        <is>
          <t>ULMS850 uses small groups for module project work but the summer client project appears to be individual with an advisor; cannot separate (src 1).</t>
        </is>
      </c>
      <c r="Z217" s="77" t="inlineStr">
        <is>
          <t>Yes</t>
        </is>
      </c>
      <c r="AA217" s="77" t="inlineStr">
        <is>
          <t>Student secures a client organisation, which acts as client; outputs in client-acceptable format (src 1). Clients are student-sourced; sectors include creative, pharma, tech, finance, charities, sports clubs.</t>
        </is>
      </c>
      <c r="AB217" s="77" t="inlineStr">
        <is>
          <t>Mixed</t>
        </is>
      </c>
      <c r="AC217" s="77" t="inlineStr">
        <is>
          <t>Client organisation for the project.</t>
        </is>
      </c>
      <c r="AD217" s="77" t="inlineStr"/>
      <c r="AE217" s="77" t="inlineStr">
        <is>
          <t>10,000-word consultancy report plus 1,000-word client output</t>
        </is>
      </c>
      <c r="AF217" s="77">
        <f>IF(OR(V217="No",X217="No",Z217="No"),"Outside strict definition",IF(AND(V217="Yes",X217="Yes",Z217="Yes"),"Meets all three","Potentially relevant; evidence incomplete"))</f>
        <v/>
      </c>
      <c r="AG217" s="77" t="inlineStr">
        <is>
          <t>Current status unclear</t>
        </is>
      </c>
      <c r="AH217" s="77" t="inlineStr">
        <is>
          <t>2023/24 (module page)</t>
        </is>
      </c>
      <c r="AI217" s="77" t="inlineStr">
        <is>
          <t>Yes</t>
        </is>
      </c>
      <c r="AJ217" s="77">
        <f>IF(AND(AI217="Yes",AF217="Meets all three",AG217="Current delivery confirmed"),"Yes","No")</f>
        <v/>
      </c>
      <c r="AK217" s="77" t="inlineStr"/>
      <c r="AL217" s="77" t="inlineStr">
        <is>
          <t>RG12-S08-R1</t>
        </is>
      </c>
      <c r="AM217" s="77" t="inlineStr">
        <is>
          <t>Group vs individual for the client project unresolved; module page seen is for 2023-24; programme page undated.</t>
        </is>
      </c>
      <c r="AN217" s="77" t="inlineStr"/>
      <c r="AO217" s="77" t="inlineStr">
        <is>
          <t>UK</t>
        </is>
      </c>
      <c r="AP217" s="77" t="inlineStr">
        <is>
          <t>UK – Russell Group</t>
        </is>
      </c>
      <c r="AQ217" s="77" t="inlineStr">
        <is>
          <t>&gt;1 term</t>
        </is>
      </c>
      <c r="AR217" s="77" t="inlineStr">
        <is>
          <t>All/standard</t>
        </is>
      </c>
      <c r="AS217" s="77" t="inlineStr"/>
    </row>
    <row r="218">
      <c r="A218" s="77" t="inlineStr">
        <is>
          <t>RG12</t>
        </is>
      </c>
      <c r="B218" s="77" t="inlineStr">
        <is>
          <t>Liverpool</t>
        </is>
      </c>
      <c r="C218" s="77" t="inlineStr">
        <is>
          <t>Programme/course</t>
        </is>
      </c>
      <c r="D218" s="77" t="inlineStr">
        <is>
          <t>RG12-S09</t>
        </is>
      </c>
      <c r="E218" s="77" t="inlineStr"/>
      <c r="F218" s="77" t="inlineStr">
        <is>
          <t>No</t>
        </is>
      </c>
      <c r="G218" s="79" t="inlineStr">
        <is>
          <t>International Business/Management Consultancy Project</t>
        </is>
      </c>
      <c r="H218" s="77" t="inlineStr">
        <is>
          <t>International Management Consultancy Project</t>
        </is>
      </c>
      <c r="I218" s="77" t="inlineStr">
        <is>
          <t>MKIB306</t>
        </is>
      </c>
      <c r="J218" s="77" t="inlineStr">
        <is>
          <t>30-credit year-long final-year module in which a client organisation presents the project brief and students present parts of their work to the client; assessment includes a client pitch (15 min, 20%) and client report (60%), both recorded as individual in the 2025-26 module record, while programme pages mention group reports/presentations.</t>
        </is>
      </c>
      <c r="K218" s="77" t="inlineStr">
        <is>
          <t>University of Liverpool Management School</t>
        </is>
      </c>
      <c r="L218" s="77" t="inlineStr">
        <is>
          <t>BA International Management/International Business programmes (listed compulsory on one page, optional elsewhere).</t>
        </is>
      </c>
      <c r="M218" s="77" t="inlineStr">
        <is>
          <t>Business/management</t>
        </is>
      </c>
      <c r="N218" s="77" t="inlineStr">
        <is>
          <t>Undergraduate</t>
        </is>
      </c>
      <c r="O218" s="77" t="inlineStr">
        <is>
          <t>Final year</t>
        </is>
      </c>
      <c r="P218" s="77" t="inlineStr"/>
      <c r="Q218" s="77" t="inlineStr">
        <is>
          <t>Optional/elective</t>
        </is>
      </c>
      <c r="R218" s="77" t="inlineStr">
        <is>
          <t>Curricular</t>
        </is>
      </c>
      <c r="S218" s="77" t="inlineStr">
        <is>
          <t>30 credits; pitch 20%, report 60%</t>
        </is>
      </c>
      <c r="T218" s="77" t="inlineStr">
        <is>
          <t>Year-long</t>
        </is>
      </c>
      <c r="U218" s="77" t="inlineStr">
        <is>
          <t>Client-brief consultancy module</t>
        </is>
      </c>
      <c r="V218" s="77" t="inlineStr">
        <is>
          <t>Yes</t>
        </is>
      </c>
      <c r="W218" s="77" t="inlineStr">
        <is>
          <t>Client brief and consultancy report (src 1).</t>
        </is>
      </c>
      <c r="X218" s="77" t="inlineStr">
        <is>
          <t>Unclear</t>
        </is>
      </c>
      <c r="Y218" s="77" t="inlineStr">
        <is>
          <t>Module record shows individual pitch and report; programme pages mention group presentations (src 1,2).</t>
        </is>
      </c>
      <c r="Z218" s="77" t="inlineStr">
        <is>
          <t>Yes</t>
        </is>
      </c>
      <c r="AA218" s="77" t="inlineStr">
        <is>
          <t>Client organisation presents the brief; students present to the client (src 1).</t>
        </is>
      </c>
      <c r="AB218" s="77" t="inlineStr">
        <is>
          <t>Unclear</t>
        </is>
      </c>
      <c r="AC218" s="77" t="inlineStr">
        <is>
          <t>Sets brief; receives presentation.</t>
        </is>
      </c>
      <c r="AD218" s="77" t="inlineStr"/>
      <c r="AE218" s="77" t="inlineStr">
        <is>
          <t>Client report and pitch</t>
        </is>
      </c>
      <c r="AF218" s="77">
        <f>IF(OR(V218="No",X218="No",Z218="No"),"Outside strict definition",IF(AND(V218="Yes",X218="Yes",Z218="Yes"),"Meets all three","Potentially relevant; evidence incomplete"))</f>
        <v/>
      </c>
      <c r="AG218" s="77" t="inlineStr">
        <is>
          <t>Current delivery confirmed</t>
        </is>
      </c>
      <c r="AH218" s="77" t="inlineStr">
        <is>
          <t>2025/26</t>
        </is>
      </c>
      <c r="AI218" s="77" t="inlineStr">
        <is>
          <t>Yes</t>
        </is>
      </c>
      <c r="AJ218" s="77">
        <f>IF(AND(AI218="Yes",AF218="Meets all three",AG218="Current delivery confirmed"),"Yes","No")</f>
        <v/>
      </c>
      <c r="AK218" s="77" t="inlineStr"/>
      <c r="AL218" s="77" t="inlineStr">
        <is>
          <t>RG12-S09-R1; RG12-S09-R2</t>
        </is>
      </c>
      <c r="AM218" s="77" t="inlineStr">
        <is>
          <t>Whether any assessed output is a team output not resolved; compulsory vs optional conflicts between pages; client sectors not named.</t>
        </is>
      </c>
      <c r="AN218" s="77" t="inlineStr"/>
      <c r="AO218" s="77" t="inlineStr">
        <is>
          <t>UK</t>
        </is>
      </c>
      <c r="AP218" s="77" t="inlineStr">
        <is>
          <t>UK – Russell Group</t>
        </is>
      </c>
      <c r="AQ218" s="77" t="inlineStr">
        <is>
          <t>&gt;1 term</t>
        </is>
      </c>
      <c r="AR218" s="77" t="inlineStr">
        <is>
          <t>All/standard</t>
        </is>
      </c>
      <c r="AS218" s="77" t="inlineStr"/>
    </row>
    <row r="219">
      <c r="A219" s="77" t="inlineStr">
        <is>
          <t>RG12</t>
        </is>
      </c>
      <c r="B219" s="77" t="inlineStr">
        <is>
          <t>Liverpool</t>
        </is>
      </c>
      <c r="C219" s="77" t="inlineStr">
        <is>
          <t>Faculty/school</t>
        </is>
      </c>
      <c r="D219" s="77" t="inlineStr">
        <is>
          <t>RG12-S10</t>
        </is>
      </c>
      <c r="E219" s="77" t="inlineStr"/>
      <c r="F219" s="77" t="inlineStr">
        <is>
          <t>No</t>
        </is>
      </c>
      <c r="G219" s="79" t="inlineStr">
        <is>
          <t>Management School Project Partners</t>
        </is>
      </c>
      <c r="H219" s="77" t="inlineStr">
        <is>
          <t>Project Partners</t>
        </is>
      </c>
      <c r="I219" s="77" t="inlineStr"/>
      <c r="J219" s="77" t="inlineStr">
        <is>
          <t>Management School scheme pairing organisations (no fee, time commitment) with undergraduate or postgraduate students on real business challenges under academic supervision; matching depends on student numbers and interests.</t>
        </is>
      </c>
      <c r="K219" s="77" t="inlineStr">
        <is>
          <t>Management School External Engagement team</t>
        </is>
      </c>
      <c r="L219" s="77" t="inlineStr">
        <is>
          <t>Management School UG and PG students.</t>
        </is>
      </c>
      <c r="M219" s="77" t="inlineStr">
        <is>
          <t>Business/management</t>
        </is>
      </c>
      <c r="N219" s="77" t="inlineStr">
        <is>
          <t>Mixed</t>
        </is>
      </c>
      <c r="O219" s="77" t="inlineStr"/>
      <c r="P219" s="77" t="inlineStr"/>
      <c r="Q219" s="77" t="inlineStr">
        <is>
          <t>Unclear</t>
        </is>
      </c>
      <c r="R219" s="77" t="inlineStr">
        <is>
          <t>Unclear</t>
        </is>
      </c>
      <c r="S219" s="77" t="inlineStr">
        <is>
          <t>Not stated</t>
        </is>
      </c>
      <c r="T219" s="77" t="inlineStr">
        <is>
          <t>Not stated</t>
        </is>
      </c>
      <c r="U219" s="77" t="inlineStr">
        <is>
          <t>Organisation-matched student projects</t>
        </is>
      </c>
      <c r="V219" s="77" t="inlineStr">
        <is>
          <t>Yes</t>
        </is>
      </c>
      <c r="W219" s="77" t="inlineStr">
        <is>
          <t>Real business challenges with academic supervision (src 1).</t>
        </is>
      </c>
      <c r="X219" s="77" t="inlineStr">
        <is>
          <t>Unclear</t>
        </is>
      </c>
      <c r="Y219" s="77" t="inlineStr">
        <is>
          <t>'Matched with a student'; individual vs team not stated (src 1).</t>
        </is>
      </c>
      <c r="Z219" s="77" t="inlineStr">
        <is>
          <t>Yes</t>
        </is>
      </c>
      <c r="AA219" s="77" t="inlineStr">
        <is>
          <t>Organisations supply project and time (src 1).</t>
        </is>
      </c>
      <c r="AB219" s="77" t="inlineStr">
        <is>
          <t>Business/commercial</t>
        </is>
      </c>
      <c r="AC219" s="77" t="inlineStr">
        <is>
          <t>Supply project and time.</t>
        </is>
      </c>
      <c r="AD219" s="77" t="inlineStr"/>
      <c r="AE219" s="77" t="inlineStr"/>
      <c r="AF219" s="77">
        <f>IF(OR(V219="No",X219="No",Z219="No"),"Outside strict definition",IF(AND(V219="Yes",X219="Yes",Z219="Yes"),"Meets all three","Potentially relevant; evidence incomplete"))</f>
        <v/>
      </c>
      <c r="AG219" s="77" t="inlineStr">
        <is>
          <t>Current status unclear</t>
        </is>
      </c>
      <c r="AH219" s="77" t="inlineStr">
        <is>
          <t>undated</t>
        </is>
      </c>
      <c r="AI219" s="77" t="inlineStr">
        <is>
          <t>Yes</t>
        </is>
      </c>
      <c r="AJ219" s="77">
        <f>IF(AND(AI219="Yes",AF219="Meets all three",AG219="Current delivery confirmed"),"Yes","No")</f>
        <v/>
      </c>
      <c r="AK219" s="77" t="inlineStr"/>
      <c r="AL219" s="77" t="inlineStr">
        <is>
          <t>RG12-S10-R1</t>
        </is>
      </c>
      <c r="AM219" s="77" t="inlineStr">
        <is>
          <t>Whether projects are individual (likely dissertation/consultancy route) or team; no credit or cohort data; may overlap with MBA consultancy route and dissertations.</t>
        </is>
      </c>
      <c r="AN219" s="77" t="inlineStr"/>
      <c r="AO219" s="77" t="inlineStr">
        <is>
          <t>UK</t>
        </is>
      </c>
      <c r="AP219" s="77" t="inlineStr">
        <is>
          <t>UK – Russell Group</t>
        </is>
      </c>
      <c r="AQ219" s="77" t="inlineStr">
        <is>
          <t>Unclear</t>
        </is>
      </c>
      <c r="AR219" s="77" t="inlineStr">
        <is>
          <t>All/standard</t>
        </is>
      </c>
      <c r="AS219" s="77" t="inlineStr"/>
    </row>
    <row r="220">
      <c r="A220" s="77" t="inlineStr">
        <is>
          <t>RG12</t>
        </is>
      </c>
      <c r="B220" s="77" t="inlineStr">
        <is>
          <t>Liverpool</t>
        </is>
      </c>
      <c r="C220" s="77" t="inlineStr">
        <is>
          <t>Programme/course</t>
        </is>
      </c>
      <c r="D220" s="77" t="inlineStr">
        <is>
          <t>RG12-S11</t>
        </is>
      </c>
      <c r="E220" s="77" t="inlineStr"/>
      <c r="F220" s="77" t="inlineStr">
        <is>
          <t>No</t>
        </is>
      </c>
      <c r="G220" s="79" t="inlineStr">
        <is>
          <t>Spatial Planning in Action / Spatial Planning and Design Project (client-based group plan-making)</t>
        </is>
      </c>
      <c r="H220" s="77" t="inlineStr">
        <is>
          <t>Spatial Planning and Design Project</t>
        </is>
      </c>
      <c r="I220" s="77" t="inlineStr">
        <is>
          <t>ENVS467</t>
        </is>
      </c>
      <c r="J220" s="77" t="inlineStr">
        <is>
          <t>Year 4 MPlan and MCD module: each year a client-based group plan-making exercise across semester 2 with a residential field visit and meetings with local planning staff and stakeholders. Past clients listed on the department page include Canal and River Trust, St Helens Council, Mersey Travel, Atlantic Gateway, Morecambe Bay Partnership and North West Development Agency.</t>
        </is>
      </c>
      <c r="K220" s="77" t="inlineStr">
        <is>
          <t>Department of Geography and Planning</t>
        </is>
      </c>
      <c r="L220" s="77" t="inlineStr">
        <is>
          <t>MPlan Year 4 and Master of Civic Design (Town and Regional Planning / Urban Design and Planning).</t>
        </is>
      </c>
      <c r="M220" s="77" t="inlineStr">
        <is>
          <t>Arts/humanities/social sciences</t>
        </is>
      </c>
      <c r="N220" s="77" t="inlineStr">
        <is>
          <t>Postgraduate taught</t>
        </is>
      </c>
      <c r="O220" s="77" t="inlineStr">
        <is>
          <t>Year 4 MPlan / MCD</t>
        </is>
      </c>
      <c r="P220" s="77" t="inlineStr"/>
      <c r="Q220" s="77" t="inlineStr">
        <is>
          <t>Compulsory within specified programmes</t>
        </is>
      </c>
      <c r="R220" s="77" t="inlineStr">
        <is>
          <t>Curricular</t>
        </is>
      </c>
      <c r="S220" s="77" t="inlineStr">
        <is>
          <t>30 credits</t>
        </is>
      </c>
      <c r="T220" s="77" t="inlineStr">
        <is>
          <t>Semester 2</t>
        </is>
      </c>
      <c r="U220" s="77" t="inlineStr">
        <is>
          <t>Client group project with residential field visit</t>
        </is>
      </c>
      <c r="V220" s="77" t="inlineStr">
        <is>
          <t>Yes</t>
        </is>
      </c>
      <c r="W220" s="77" t="inlineStr">
        <is>
          <t>Client-based plan-making exercise (src 1).</t>
        </is>
      </c>
      <c r="X220" s="77" t="inlineStr">
        <is>
          <t>Yes</t>
        </is>
      </c>
      <c r="Y220" s="77" t="inlineStr">
        <is>
          <t>'Client based group plan making exercise' (src 1).</t>
        </is>
      </c>
      <c r="Z220" s="77" t="inlineStr">
        <is>
          <t>Yes</t>
        </is>
      </c>
      <c r="AA220" s="77" t="inlineStr">
        <is>
          <t>Named public-sector/charity clients; meetings with planning staff and stakeholders (src 1).</t>
        </is>
      </c>
      <c r="AB220" s="77" t="inlineStr">
        <is>
          <t>Mixed</t>
        </is>
      </c>
      <c r="AC220" s="77" t="inlineStr">
        <is>
          <t>Clients for plan-making brief; stakeholder meetings.</t>
        </is>
      </c>
      <c r="AD220" s="77" t="inlineStr">
        <is>
          <t>Canal and River Trust (charity), St Helens Council, Mersey Travel (undated list)</t>
        </is>
      </c>
      <c r="AE220" s="77" t="inlineStr">
        <is>
          <t>Group plan for client</t>
        </is>
      </c>
      <c r="AF220" s="77">
        <f>IF(OR(V220="No",X220="No",Z220="No"),"Outside strict definition",IF(AND(V220="Yes",X220="Yes",Z220="Yes"),"Meets all three","Potentially relevant; evidence incomplete"))</f>
        <v/>
      </c>
      <c r="AG220" s="77" t="inlineStr">
        <is>
          <t>Current status unclear</t>
        </is>
      </c>
      <c r="AH220" s="77" t="inlineStr">
        <is>
          <t>undated</t>
        </is>
      </c>
      <c r="AI220" s="77" t="inlineStr">
        <is>
          <t>Yes</t>
        </is>
      </c>
      <c r="AJ220" s="77">
        <f>IF(AND(AI220="Yes",AF220="Meets all three",AG220="Current delivery confirmed"),"Yes","No")</f>
        <v/>
      </c>
      <c r="AK220" s="77" t="inlineStr"/>
      <c r="AL220" s="77" t="inlineStr">
        <is>
          <t>RG12-S11-R1; RG12-S11-R2</t>
        </is>
      </c>
      <c r="AM220" s="77" t="inlineStr">
        <is>
          <t>Fieldwork page undated; client list varies by year and is not tied to a dated cohort; MPlan 2025 course page corroborates the module's compulsory status only for 2025 entry. Partner types mixed (council, charity): recorded as Mixed.</t>
        </is>
      </c>
      <c r="AN220" s="77" t="inlineStr"/>
      <c r="AO220" s="77" t="inlineStr">
        <is>
          <t>UK</t>
        </is>
      </c>
      <c r="AP220" s="77" t="inlineStr">
        <is>
          <t>UK – Russell Group</t>
        </is>
      </c>
      <c r="AQ220" s="77" t="inlineStr">
        <is>
          <t>~1 term/semester</t>
        </is>
      </c>
      <c r="AR220" s="77" t="inlineStr">
        <is>
          <t>All/standard</t>
        </is>
      </c>
      <c r="AS220" s="77" t="inlineStr"/>
    </row>
    <row r="221">
      <c r="A221" s="77" t="inlineStr">
        <is>
          <t>RG12</t>
        </is>
      </c>
      <c r="B221" s="77" t="inlineStr">
        <is>
          <t>Liverpool</t>
        </is>
      </c>
      <c r="C221" s="77" t="inlineStr">
        <is>
          <t>Programme/course</t>
        </is>
      </c>
      <c r="D221" s="77" t="inlineStr">
        <is>
          <t>RG12-S12</t>
        </is>
      </c>
      <c r="E221" s="77" t="inlineStr"/>
      <c r="F221" s="77" t="inlineStr">
        <is>
          <t>No</t>
        </is>
      </c>
      <c r="G221" s="79" t="inlineStr">
        <is>
          <t>Environmental Planning and Management Project (client-led group module)</t>
        </is>
      </c>
      <c r="H221" s="77" t="inlineStr">
        <is>
          <t>Environmental Planning and Management Project</t>
        </is>
      </c>
      <c r="I221" s="77" t="inlineStr">
        <is>
          <t>ENVS360 (BA Environment and Planning); ENVS560 (MSc Environmental Assessment and Management); SOES394/594 (MPlan)</t>
        </is>
      </c>
      <c r="J221" s="77" t="inlineStr">
        <is>
          <t>Client-led module where groups of students act as environmental consultants on a mini-project; each year a different client with a brief co-developed with the lecturer; deliverables are a report and presentation (MSc: tender document presented to client and at a departmental conference). The client reviews the work and the marker takes the client's view into account; outcomes have informed an IEMA steering group.</t>
        </is>
      </c>
      <c r="K221" s="77" t="inlineStr">
        <is>
          <t>Department of Geography and Planning</t>
        </is>
      </c>
      <c r="L221" s="77" t="inlineStr">
        <is>
          <t>BA Environment and Planning, MSc Environmental Assessment and Management, MPlan.</t>
        </is>
      </c>
      <c r="M221" s="77" t="inlineStr">
        <is>
          <t>Arts/humanities/social sciences</t>
        </is>
      </c>
      <c r="N221" s="77" t="inlineStr">
        <is>
          <t>Mixed</t>
        </is>
      </c>
      <c r="O221" s="77" t="inlineStr"/>
      <c r="P221" s="77" t="inlineStr"/>
      <c r="Q221" s="77" t="inlineStr">
        <is>
          <t>Unclear</t>
        </is>
      </c>
      <c r="R221" s="77" t="inlineStr">
        <is>
          <t>Curricular</t>
        </is>
      </c>
      <c r="S221" s="77" t="inlineStr">
        <is>
          <t>Not stated in extract</t>
        </is>
      </c>
      <c r="T221" s="77" t="inlineStr">
        <is>
          <t>Module-length (semester)</t>
        </is>
      </c>
      <c r="U221" s="77" t="inlineStr">
        <is>
          <t>Group consultancy mini-project</t>
        </is>
      </c>
      <c r="V221" s="77" t="inlineStr">
        <is>
          <t>Yes</t>
        </is>
      </c>
      <c r="W221" s="77" t="inlineStr">
        <is>
          <t>Brief-based mini-project with report/presentation or tender (src 1,2).</t>
        </is>
      </c>
      <c r="X221" s="77" t="inlineStr">
        <is>
          <t>Yes</t>
        </is>
      </c>
      <c r="Y221" s="77" t="inlineStr">
        <is>
          <t>Groups of environmental consultants; marking considers group member strengths (src 1).</t>
        </is>
      </c>
      <c r="Z221" s="77" t="inlineStr">
        <is>
          <t>Yes</t>
        </is>
      </c>
      <c r="AA221" s="77" t="inlineStr">
        <is>
          <t>Client co-develops the brief, reviews work and feeds into marking (src 1).</t>
        </is>
      </c>
      <c r="AB221" s="77" t="inlineStr">
        <is>
          <t>Unclear</t>
        </is>
      </c>
      <c r="AC221" s="77" t="inlineStr">
        <is>
          <t>Co-develop brief; review work; influence marking.</t>
        </is>
      </c>
      <c r="AD221" s="77" t="inlineStr"/>
      <c r="AE221" s="77" t="inlineStr">
        <is>
          <t>Group report and presentation (tender for MSc)</t>
        </is>
      </c>
      <c r="AF221" s="77">
        <f>IF(OR(V221="No",X221="No",Z221="No"),"Outside strict definition",IF(AND(V221="Yes",X221="Yes",Z221="Yes"),"Meets all three","Potentially relevant; evidence incomplete"))</f>
        <v/>
      </c>
      <c r="AG221" s="77" t="inlineStr">
        <is>
          <t>Current status unclear</t>
        </is>
      </c>
      <c r="AH221" s="77" t="inlineStr">
        <is>
          <t>2021 (award) / undated</t>
        </is>
      </c>
      <c r="AI221" s="77" t="inlineStr">
        <is>
          <t>Yes</t>
        </is>
      </c>
      <c r="AJ221" s="77">
        <f>IF(AND(AI221="Yes",AF221="Meets all three",AG221="Current delivery confirmed"),"Yes","No")</f>
        <v/>
      </c>
      <c r="AK221" s="77" t="inlineStr"/>
      <c r="AL221" s="77" t="inlineStr">
        <is>
          <t>RG12-S12-R1; RG12-S12-R2</t>
        </is>
      </c>
      <c r="AM221" s="77" t="inlineStr">
        <is>
          <t>Case study undated and client identities not named; participation requirement per programme not evidenced. Programme pages (MPlan 2026 update) still list the module but delivery year unconfirmed.</t>
        </is>
      </c>
      <c r="AN221" s="77" t="inlineStr"/>
      <c r="AO221" s="77" t="inlineStr">
        <is>
          <t>UK</t>
        </is>
      </c>
      <c r="AP221" s="77" t="inlineStr">
        <is>
          <t>UK – Russell Group</t>
        </is>
      </c>
      <c r="AQ221" s="77" t="inlineStr">
        <is>
          <t>~1 term/semester</t>
        </is>
      </c>
      <c r="AR221" s="77" t="inlineStr">
        <is>
          <t>All/standard</t>
        </is>
      </c>
      <c r="AS221" s="77" t="inlineStr"/>
    </row>
    <row r="222">
      <c r="A222" s="77" t="inlineStr">
        <is>
          <t>RG12</t>
        </is>
      </c>
      <c r="B222" s="77" t="inlineStr">
        <is>
          <t>Liverpool</t>
        </is>
      </c>
      <c r="C222" s="77" t="inlineStr">
        <is>
          <t>Programme/course</t>
        </is>
      </c>
      <c r="D222" s="77" t="inlineStr">
        <is>
          <t>RG12-S13</t>
        </is>
      </c>
      <c r="E222" s="77" t="inlineStr"/>
      <c r="F222" s="77" t="inlineStr">
        <is>
          <t>No</t>
        </is>
      </c>
      <c r="G222" s="79" t="inlineStr">
        <is>
          <t>Ideas for Huyton: BA3 Studio Pen &amp; Inc live collaboration with Knowsley Council</t>
        </is>
      </c>
      <c r="H222" s="77" t="inlineStr">
        <is>
          <t>Ideas for Huyton architecture studio</t>
        </is>
      </c>
      <c r="I222" s="77" t="inlineStr"/>
      <c r="J222" s="77" t="inlineStr">
        <is>
          <t>Live architecture design studio collaboration with Knowsley Metropolitan Borough Council on regeneration of Huyton village high street (about 30 students in 2021-22; cycles to 2023-24): strategic micro-plan and meanwhile uses, then a permanent community hub proposal; student work exhibited at Huyton Village Green (June 2024) and council committed to act on two meanwhile ideas.</t>
        </is>
      </c>
      <c r="K222" s="77" t="inlineStr">
        <is>
          <t>Liverpool School of Architecture</t>
        </is>
      </c>
      <c r="L222" s="77" t="inlineStr">
        <is>
          <t>BA3 Architecture studio (Pen &amp; Inc).</t>
        </is>
      </c>
      <c r="M222" s="77" t="inlineStr">
        <is>
          <t>Other (law, health, design, architecture…)</t>
        </is>
      </c>
      <c r="N222" s="77" t="inlineStr">
        <is>
          <t>Undergraduate</t>
        </is>
      </c>
      <c r="O222" s="77" t="inlineStr">
        <is>
          <t>BA3</t>
        </is>
      </c>
      <c r="P222" s="77" t="inlineStr"/>
      <c r="Q222" s="77" t="inlineStr">
        <is>
          <t>Unclear</t>
        </is>
      </c>
      <c r="R222" s="77" t="inlineStr">
        <is>
          <t>Curricular</t>
        </is>
      </c>
      <c r="S222" s="77" t="inlineStr">
        <is>
          <t>Studio; not stated</t>
        </is>
      </c>
      <c r="T222" s="77" t="inlineStr">
        <is>
          <t>Academic year cycles (2021-22 to 2023-24)</t>
        </is>
      </c>
      <c r="U222" s="77" t="inlineStr">
        <is>
          <t>Design studio with council and stakeholders</t>
        </is>
      </c>
      <c r="V222" s="77" t="inlineStr">
        <is>
          <t>Yes</t>
        </is>
      </c>
      <c r="W222" s="77" t="inlineStr">
        <is>
          <t>Defined design briefs with outputs (micro-plan, hub) and exhibition (src 1).</t>
        </is>
      </c>
      <c r="X222" s="77" t="inlineStr">
        <is>
          <t>Unclear</t>
        </is>
      </c>
      <c r="Y222" s="77" t="inlineStr">
        <is>
          <t>Studio work; team vs individual designs not stated (src 1).</t>
        </is>
      </c>
      <c r="Z222" s="77" t="inlineStr">
        <is>
          <t>Yes</t>
        </is>
      </c>
      <c r="AA222" s="77" t="inlineStr">
        <is>
          <t>Knowsley Council and local stakeholders engaged; council acts on ideas; exhibition/launch for council members (src 1).</t>
        </is>
      </c>
      <c r="AB222" s="77" t="inlineStr">
        <is>
          <t>Public sector</t>
        </is>
      </c>
      <c r="AC222" s="77" t="inlineStr">
        <is>
          <t>Live client/collaborator; receives proposals.</t>
        </is>
      </c>
      <c r="AD222" s="77" t="inlineStr">
        <is>
          <t>Knowsley MBC; Architectural Emporium; One Day Regeneration</t>
        </is>
      </c>
      <c r="AE222" s="77" t="inlineStr">
        <is>
          <t>Design proposals, exhibition, catalogue</t>
        </is>
      </c>
      <c r="AF222" s="77">
        <f>IF(OR(V222="No",X222="No",Z222="No"),"Outside strict definition",IF(AND(V222="Yes",X222="Yes",Z222="Yes"),"Meets all three","Potentially relevant; evidence incomplete"))</f>
        <v/>
      </c>
      <c r="AG222" s="77" t="inlineStr">
        <is>
          <t>Current status unclear</t>
        </is>
      </c>
      <c r="AH222" s="77" t="inlineStr">
        <is>
          <t>2023/24</t>
        </is>
      </c>
      <c r="AI222" s="77" t="inlineStr">
        <is>
          <t>Yes</t>
        </is>
      </c>
      <c r="AJ222" s="77">
        <f>IF(AND(AI222="Yes",AF222="Meets all three",AG222="Current delivery confirmed"),"Yes","No")</f>
        <v/>
      </c>
      <c r="AK222" s="77" t="inlineStr"/>
      <c r="AL222" s="77" t="inlineStr">
        <is>
          <t>RG12-S13-R1</t>
        </is>
      </c>
      <c r="AM222" s="77" t="inlineStr">
        <is>
          <t>Whether students work in teams; whether studio runs in 2025/26; other live studios in the School likely (see gaps).</t>
        </is>
      </c>
      <c r="AN222" s="77" t="inlineStr"/>
      <c r="AO222" s="77" t="inlineStr">
        <is>
          <t>UK</t>
        </is>
      </c>
      <c r="AP222" s="77" t="inlineStr">
        <is>
          <t>UK – Russell Group</t>
        </is>
      </c>
      <c r="AQ222" s="77" t="inlineStr">
        <is>
          <t>&gt;1 term</t>
        </is>
      </c>
      <c r="AR222" s="77" t="inlineStr">
        <is>
          <t>Some projects</t>
        </is>
      </c>
      <c r="AS222" s="77" t="inlineStr"/>
    </row>
    <row r="223">
      <c r="A223" s="77" t="inlineStr">
        <is>
          <t>RG12</t>
        </is>
      </c>
      <c r="B223" s="77" t="inlineStr">
        <is>
          <t>Liverpool</t>
        </is>
      </c>
      <c r="C223" s="77" t="inlineStr">
        <is>
          <t>Programme/course</t>
        </is>
      </c>
      <c r="D223" s="77" t="inlineStr">
        <is>
          <t>RG12-S14</t>
        </is>
      </c>
      <c r="E223" s="77" t="inlineStr"/>
      <c r="F223" s="77" t="inlineStr">
        <is>
          <t>No</t>
        </is>
      </c>
      <c r="G223" s="79" t="inlineStr">
        <is>
          <t>Constructionarium (Civil Engineering)</t>
        </is>
      </c>
      <c r="H223" s="77" t="inlineStr">
        <is>
          <t>Constructionarium</t>
        </is>
      </c>
      <c r="I223" s="77" t="inlineStr"/>
      <c r="J223" s="77" t="inlineStr">
        <is>
          <t>Week-long hands-on construction project at a teaching site in which civil engineering students work as a group (e.g. scale model of Millau viaduct per a student testimonial) with an industry mentor (a Murphy Group mentor appears in a University photo caption); students pay up to GBP 250.</t>
        </is>
      </c>
      <c r="K223" s="77" t="inlineStr">
        <is>
          <t>Department of Civil Engineering</t>
        </is>
      </c>
      <c r="L223" s="77" t="inlineStr">
        <is>
          <t>Civil Engineering programmes (year given as 2 or 3 on different pages).</t>
        </is>
      </c>
      <c r="M223" s="77" t="inlineStr">
        <is>
          <t>Engineering/computing</t>
        </is>
      </c>
      <c r="N223" s="77" t="inlineStr">
        <is>
          <t>Undergraduate</t>
        </is>
      </c>
      <c r="O223" s="77" t="inlineStr"/>
      <c r="P223" s="77" t="inlineStr"/>
      <c r="Q223" s="77" t="inlineStr">
        <is>
          <t>Unclear</t>
        </is>
      </c>
      <c r="R223" s="77" t="inlineStr">
        <is>
          <t>Curricular</t>
        </is>
      </c>
      <c r="S223" s="77" t="inlineStr">
        <is>
          <t>Not stated</t>
        </is>
      </c>
      <c r="T223" s="77" t="inlineStr">
        <is>
          <t>1 week</t>
        </is>
      </c>
      <c r="U223" s="77" t="inlineStr">
        <is>
          <t>Residential site-based build</t>
        </is>
      </c>
      <c r="V223" s="77" t="inlineStr">
        <is>
          <t>Yes</t>
        </is>
      </c>
      <c r="W223" s="77" t="inlineStr">
        <is>
          <t>Bounded construction build with method statement (src 1).</t>
        </is>
      </c>
      <c r="X223" s="77" t="inlineStr">
        <is>
          <t>Yes</t>
        </is>
      </c>
      <c r="Y223" s="77" t="inlineStr">
        <is>
          <t>Students 'built a scale model' as a group (testimonial) (src 1).</t>
        </is>
      </c>
      <c r="Z223" s="77" t="inlineStr">
        <is>
          <t>Unclear</t>
        </is>
      </c>
      <c r="AA223" s="77" t="inlineStr">
        <is>
          <t>Only evidence is a photo caption referencing a Murphy Group industry mentor; role not documented on a page.</t>
        </is>
      </c>
      <c r="AB223" s="77" t="inlineStr">
        <is>
          <t>Business/commercial</t>
        </is>
      </c>
      <c r="AC223" s="77" t="inlineStr"/>
      <c r="AD223" s="77" t="inlineStr"/>
      <c r="AE223" s="77" t="inlineStr"/>
      <c r="AF223" s="77">
        <f>IF(OR(V223="No",X223="No",Z223="No"),"Outside strict definition",IF(AND(V223="Yes",X223="Yes",Z223="Yes"),"Meets all three","Potentially relevant; evidence incomplete"))</f>
        <v/>
      </c>
      <c r="AG223" s="77" t="inlineStr">
        <is>
          <t>Current status unclear</t>
        </is>
      </c>
      <c r="AH223" s="77" t="inlineStr">
        <is>
          <t>undated</t>
        </is>
      </c>
      <c r="AI223" s="77" t="inlineStr">
        <is>
          <t>Yes</t>
        </is>
      </c>
      <c r="AJ223" s="77">
        <f>IF(AND(AI223="Yes",AF223="Meets all three",AG223="Current delivery confirmed"),"Yes","No")</f>
        <v/>
      </c>
      <c r="AK223" s="77" t="inlineStr"/>
      <c r="AL223" s="77" t="inlineStr">
        <is>
          <t>RG12-S14-R1</t>
        </is>
      </c>
      <c r="AM223" s="77" t="inlineStr">
        <is>
          <t>Mentor role undocumented; year of study conflict; the build is a teaching exercise run by a national programme, not a Liverpool-client brief.</t>
        </is>
      </c>
      <c r="AN223" s="77" t="inlineStr"/>
      <c r="AO223" s="77" t="inlineStr">
        <is>
          <t>UK</t>
        </is>
      </c>
      <c r="AP223" s="77" t="inlineStr">
        <is>
          <t>UK – Russell Group</t>
        </is>
      </c>
      <c r="AQ223" s="77" t="inlineStr">
        <is>
          <t>1–4 weeks</t>
        </is>
      </c>
      <c r="AR223" s="77" t="inlineStr">
        <is>
          <t>Unclear</t>
        </is>
      </c>
      <c r="AS223" s="77" t="inlineStr"/>
    </row>
    <row r="224">
      <c r="A224" s="77" t="inlineStr">
        <is>
          <t>RG13</t>
        </is>
      </c>
      <c r="B224" s="77" t="inlineStr">
        <is>
          <t>London School of Economics</t>
        </is>
      </c>
      <c r="C224" s="77" t="inlineStr">
        <is>
          <t>University-wide</t>
        </is>
      </c>
      <c r="D224" s="77" t="inlineStr">
        <is>
          <t>RG13-S01</t>
        </is>
      </c>
      <c r="E224" s="77" t="inlineStr"/>
      <c r="F224" s="77" t="inlineStr">
        <is>
          <t>No</t>
        </is>
      </c>
      <c r="G224" s="79" t="inlineStr">
        <is>
          <t>LSE100: The LSE Course</t>
        </is>
      </c>
      <c r="H224" s="77" t="inlineStr">
        <is>
          <t>LSE100: The LSE Course</t>
        </is>
      </c>
      <c r="I224" s="77" t="inlineStr">
        <is>
          <t>LSE100 (LSE100A/B/C themed variants)</t>
        </is>
      </c>
      <c r="J224" s="77" t="inlineStr">
        <is>
          <t>Compulsory first-year interdisciplinary course (themes in 2025/26: climate futures, controlling AI, fair society). In Winter Term students work in seminar-allocated groups of 4-5 to analyse a system and propose a change, written up as a policy proposal addressed to governmental/institutional actors or a strategic plan for a social movement/activist organisation, delivered as a group digital report and a seminar presentation. The 'target audience' is chosen within the brief; no evidence that an external organisation sets the brief, receives the output or assesses it.</t>
        </is>
      </c>
      <c r="K224" s="77" t="inlineStr">
        <is>
          <t>LSE100 (central, School-level course)</t>
        </is>
      </c>
      <c r="L224" s="77" t="inlineStr">
        <is>
          <t>All undergraduate programmes</t>
        </is>
      </c>
      <c r="M224" s="77" t="inlineStr">
        <is>
          <t>Central provision</t>
        </is>
      </c>
      <c r="N224" s="77" t="inlineStr">
        <is>
          <t>Undergraduate</t>
        </is>
      </c>
      <c r="O224" s="77" t="inlineStr">
        <is>
          <t>Year 1</t>
        </is>
      </c>
      <c r="P224" s="77" t="inlineStr">
        <is>
          <t>All first-year LSE undergraduates (not postgraduates). Counts as one half-unit-equivalent first-year mark (not towards classification for LLB).</t>
        </is>
      </c>
      <c r="Q224" s="77" t="inlineStr">
        <is>
          <t>Compulsory for all students (at stated level)</t>
        </is>
      </c>
      <c r="R224" s="77" t="inlineStr">
        <is>
          <t>Curricular</t>
        </is>
      </c>
      <c r="S224" s="77" t="inlineStr">
        <is>
          <t>Half-unit equivalent. 2025/26 LSE100A: critical evaluation 50% (1,000 words) + project 50% (3,000 words). 2024 policy: group project mark = presentation 25% + digital report 75%; single group mark.</t>
        </is>
      </c>
      <c r="T224" s="77" t="inlineStr">
        <is>
          <t>Autumn and Winter Terms; group project over Winter Term</t>
        </is>
      </c>
      <c r="U224" s="77" t="inlineStr">
        <is>
          <t>In person seminars</t>
        </is>
      </c>
      <c r="V224" s="77" t="inlineStr">
        <is>
          <t>Yes</t>
        </is>
      </c>
      <c r="W224" s="77" t="inlineStr">
        <is>
          <t>Group research project with defined task (analyse a system, propose a policy proposal or strategic plan) and identifiable outputs: digital report and presentation [1][2][3].</t>
        </is>
      </c>
      <c r="X224" s="77" t="inlineStr">
        <is>
          <t>Yes</t>
        </is>
      </c>
      <c r="Y224" s="77" t="inlineStr">
        <is>
          <t>Groups of 4-5 students allocated by seminar teacher; single group mark for joint digital report and presentation [1][2].</t>
        </is>
      </c>
      <c r="Z224" s="77" t="inlineStr">
        <is>
          <t>No</t>
        </is>
      </c>
      <c r="AA224" s="77" t="inlineStr">
        <is>
          <t>Proposal is written 'for a target audience' (governmental/institutional actors or a social movement/activist organisation) defined within the course brief; no source shows an external organisation supplying a brief, receiving outputs or assessing. Assessed by seminar teachers [1][2]. Marked No on the positive evidence of an academically set, audience-addressed (hypothetical client) design; would change only if a cohort-specific partner is evidenced.</t>
        </is>
      </c>
      <c r="AB224" s="77" t="inlineStr">
        <is>
          <t>None</t>
        </is>
      </c>
      <c r="AC224" s="77" t="inlineStr">
        <is>
          <t>None evidenced</t>
        </is>
      </c>
      <c r="AD224" s="77" t="inlineStr"/>
      <c r="AE224" s="77" t="inlineStr">
        <is>
          <t>Group digital report + 10-minute group presentation</t>
        </is>
      </c>
      <c r="AF224" s="77">
        <f>IF(OR(V224="No",X224="No",Z224="No"),"Outside strict definition",IF(AND(V224="Yes",X224="Yes",Z224="Yes"),"Meets all three","Potentially relevant; evidence incomplete"))</f>
        <v/>
      </c>
      <c r="AG224" s="77" t="inlineStr">
        <is>
          <t>Current delivery confirmed</t>
        </is>
      </c>
      <c r="AH224" s="77" t="inlineStr">
        <is>
          <t>2025/26</t>
        </is>
      </c>
      <c r="AI224" s="77" t="inlineStr">
        <is>
          <t>Yes</t>
        </is>
      </c>
      <c r="AJ224" s="77">
        <f>IF(AND(AI224="Yes",AF224="Meets all three",AG224="Current delivery confirmed"),"Yes","No")</f>
        <v/>
      </c>
      <c r="AK224" s="77" t="inlineStr"/>
      <c r="AL224" s="77" t="inlineStr">
        <is>
          <t>RG13-S01-R1; RG13-S01-R2; RG13-S01-R3; RG13-S01-R4</t>
        </is>
      </c>
      <c r="AM224" s="77" t="inlineStr">
        <is>
          <t>Whether any individual LSE100 themes involve external organisations as audiences/judges (Moodle-only material).</t>
        </is>
      </c>
      <c r="AN224" s="77" t="inlineStr">
        <is>
          <t>LSE100</t>
        </is>
      </c>
      <c r="AO224" s="77" t="inlineStr">
        <is>
          <t>UK</t>
        </is>
      </c>
      <c r="AP224" s="77" t="inlineStr">
        <is>
          <t>UK – Russell Group</t>
        </is>
      </c>
      <c r="AQ224" s="77" t="inlineStr">
        <is>
          <t>Unclear</t>
        </is>
      </c>
      <c r="AR224" s="77" t="inlineStr">
        <is>
          <t>Unclear</t>
        </is>
      </c>
      <c r="AS224" s="77" t="inlineStr"/>
    </row>
    <row r="225">
      <c r="A225" s="77" t="inlineStr">
        <is>
          <t>RG13</t>
        </is>
      </c>
      <c r="B225" s="77" t="inlineStr">
        <is>
          <t>London School of Economics</t>
        </is>
      </c>
      <c r="C225" s="77" t="inlineStr">
        <is>
          <t>University-wide</t>
        </is>
      </c>
      <c r="D225" s="77" t="inlineStr">
        <is>
          <t>RG13-S02</t>
        </is>
      </c>
      <c r="E225" s="77" t="inlineStr"/>
      <c r="F225" s="77" t="inlineStr">
        <is>
          <t>No</t>
        </is>
      </c>
      <c r="G225" s="79" t="inlineStr">
        <is>
          <t>Future17</t>
        </is>
      </c>
      <c r="H225" s="77" t="inlineStr">
        <is>
          <t>Future17</t>
        </is>
      </c>
      <c r="I225" s="77" t="inlineStr"/>
      <c r="J225" s="77" t="inlineStr">
        <is>
          <t>International online experiential programme delivered by QS with a consortium of universities and promoted to LSE students via the LSE100 pages. LSE undergraduates join international teams of about five students (with 1-2 academic mentors) for ~12 weeks to work on a UN SDG challenge set by a business, charity or NGO partner, ending in a solutions showcase.</t>
        </is>
      </c>
      <c r="K225" s="77" t="inlineStr">
        <is>
          <t>LSE100 (LSE recruitment) / QS and international university consortium (delivery)</t>
        </is>
      </c>
      <c r="L225" s="77" t="inlineStr">
        <is>
          <t>All LSE undergraduate programmes</t>
        </is>
      </c>
      <c r="M225" s="77" t="inlineStr">
        <is>
          <t>Central provision</t>
        </is>
      </c>
      <c r="N225" s="77" t="inlineStr">
        <is>
          <t>Undergraduate</t>
        </is>
      </c>
      <c r="O225" s="77" t="inlineStr">
        <is>
          <t>Any undergraduate year (not restricted in evidence)</t>
        </is>
      </c>
      <c r="P225" s="77" t="inlineStr">
        <is>
          <t>Open to all LSE undergraduates via application; criteria: interest in SDGs, collaboration/communication, leadership potential, analytical skills.</t>
        </is>
      </c>
      <c r="Q225" s="77" t="inlineStr">
        <is>
          <t>Selective/competitive</t>
        </is>
      </c>
      <c r="R225" s="77" t="inlineStr">
        <is>
          <t>Unclear</t>
        </is>
      </c>
      <c r="S225" s="77" t="inlineStr">
        <is>
          <t>No evidence of credit; described as accessible 'alongside your studies' (probably extracurricular).</t>
        </is>
      </c>
      <c r="T225" s="77" t="inlineStr">
        <is>
          <t>~12 weeks; LSE recruits two cohorts per academic year</t>
        </is>
      </c>
      <c r="U225" s="77" t="inlineStr">
        <is>
          <t>Fully online, international teams</t>
        </is>
      </c>
      <c r="V225" s="77" t="inlineStr">
        <is>
          <t>Yes</t>
        </is>
      </c>
      <c r="W225" s="77" t="inlineStr">
        <is>
          <t>Teams address a specific sustainability challenge set by a partner and present solutions at the Future17 Solution Showcase [1].</t>
        </is>
      </c>
      <c r="X225" s="77" t="inlineStr">
        <is>
          <t>Yes</t>
        </is>
      </c>
      <c r="Y225" s="77" t="inlineStr">
        <is>
          <t>Students work in teams of about five with students from other universities, each team with 1-2 academic mentors [1].</t>
        </is>
      </c>
      <c r="Z225" s="77" t="inlineStr">
        <is>
          <t>Yes</t>
        </is>
      </c>
      <c r="AA225" s="77" t="inlineStr">
        <is>
          <t>Challenges are set by global organisations (business, charity or NGO partners); students work with the partner on its SDG challenge [1].</t>
        </is>
      </c>
      <c r="AB225" s="77" t="inlineStr">
        <is>
          <t>Mixed</t>
        </is>
      </c>
      <c r="AC225" s="77" t="inlineStr">
        <is>
          <t>Sets live challenge; works with team; receives solutions at showcase</t>
        </is>
      </c>
      <c r="AD225" s="77" t="inlineStr"/>
      <c r="AE225" s="77" t="inlineStr">
        <is>
          <t>Solution/recommendations presented at Future17 Solution Showcase</t>
        </is>
      </c>
      <c r="AF225" s="77">
        <f>IF(OR(V225="No",X225="No",Z225="No"),"Outside strict definition",IF(AND(V225="Yes",X225="Yes",Z225="Yes"),"Meets all three","Potentially relevant; evidence incomplete"))</f>
        <v/>
      </c>
      <c r="AG225" s="77" t="inlineStr">
        <is>
          <t>Current delivery confirmed</t>
        </is>
      </c>
      <c r="AH225" s="77" t="inlineStr">
        <is>
          <t>2026/27 (application call closing 7 Sept 2026)</t>
        </is>
      </c>
      <c r="AI225" s="77" t="inlineStr">
        <is>
          <t>Yes</t>
        </is>
      </c>
      <c r="AJ225" s="77">
        <f>IF(AND(AI225="Yes",AF225="Meets all three",AG225="Current delivery confirmed"),"Yes","No")</f>
        <v/>
      </c>
      <c r="AK225" s="77" t="inlineStr"/>
      <c r="AL225" s="77" t="inlineStr">
        <is>
          <t>RG13-S02-R1</t>
        </is>
      </c>
      <c r="AM225" s="77" t="inlineStr">
        <is>
          <t>Credit status; number of LSE participants; named partner organisations for LSE cohorts; whether the September 2026 call is for the autumn 2026 cohort (assumed).</t>
        </is>
      </c>
      <c r="AN225" s="77" t="inlineStr">
        <is>
          <t>Future17</t>
        </is>
      </c>
      <c r="AO225" s="77" t="inlineStr">
        <is>
          <t>UK</t>
        </is>
      </c>
      <c r="AP225" s="77" t="inlineStr">
        <is>
          <t>UK – Russell Group</t>
        </is>
      </c>
      <c r="AQ225" s="77" t="inlineStr">
        <is>
          <t>Unclear</t>
        </is>
      </c>
      <c r="AR225" s="77" t="inlineStr">
        <is>
          <t>Unclear</t>
        </is>
      </c>
      <c r="AS225" s="77" t="inlineStr"/>
    </row>
    <row r="226">
      <c r="A226" s="77" t="inlineStr">
        <is>
          <t>RG13</t>
        </is>
      </c>
      <c r="B226" s="77" t="inlineStr">
        <is>
          <t>London School of Economics</t>
        </is>
      </c>
      <c r="C226" s="77" t="inlineStr">
        <is>
          <t>University-wide</t>
        </is>
      </c>
      <c r="D226" s="77" t="inlineStr">
        <is>
          <t>RG13-S03</t>
        </is>
      </c>
      <c r="E226" s="77" t="inlineStr"/>
      <c r="F226" s="77" t="inlineStr">
        <is>
          <t>No</t>
        </is>
      </c>
      <c r="G226" s="79" t="inlineStr">
        <is>
          <t>LSE Community Engagement Programme (CEP)</t>
        </is>
      </c>
      <c r="H226" s="77" t="inlineStr">
        <is>
          <t>LSE Community Engagement Programme (CEP)</t>
        </is>
      </c>
      <c r="I226" s="77" t="inlineStr"/>
      <c r="J226" s="77" t="inlineStr">
        <is>
          <t>LSE Volunteer Centre consultancy challenge: student teams (reported as 6-7 students) act as volunteer consultants to UK or overseas charities, investigating a charity-set problem (e.g. fundraising strategy, attracting younger audiences, inclusivity, marketing strategy), liaising with the charity as client and delivering a consultancy report and presentation, supported by an LSE alumni mentor.</t>
        </is>
      </c>
      <c r="K226" s="77" t="inlineStr">
        <is>
          <t>LSE Volunteer Centre (LSE Careers)</t>
        </is>
      </c>
      <c r="L226" s="77" t="inlineStr">
        <is>
          <t>All current LSE students</t>
        </is>
      </c>
      <c r="M226" s="77" t="inlineStr">
        <is>
          <t>Central provision</t>
        </is>
      </c>
      <c r="N226" s="77" t="inlineStr">
        <is>
          <t>Mixed</t>
        </is>
      </c>
      <c r="O226" s="77" t="inlineStr">
        <is>
          <t>Any</t>
        </is>
      </c>
      <c r="P226" s="77" t="inlineStr">
        <is>
          <t>Current LSE students; application via CareerHub</t>
        </is>
      </c>
      <c r="Q226" s="77" t="inlineStr">
        <is>
          <t>Selective/competitive</t>
        </is>
      </c>
      <c r="R226" s="77" t="inlineStr">
        <is>
          <t>Extracurricular</t>
        </is>
      </c>
      <c r="S226" s="77" t="inlineStr">
        <is>
          <t>None (extracurricular)</t>
        </is>
      </c>
      <c r="T226" s="77" t="inlineStr">
        <is>
          <t>c. 10-16 weeks (26 Nov 2025-25 Mar 2026; 13 Jan-17 Mar 2027)</t>
        </is>
      </c>
      <c r="U226" s="77" t="inlineStr">
        <is>
          <t>Team consultancy, hybrid</t>
        </is>
      </c>
      <c r="V226" s="77" t="inlineStr">
        <is>
          <t>Yes</t>
        </is>
      </c>
      <c r="W226" s="77" t="inlineStr">
        <is>
          <t>Teams answer a charity's project brief and produce actionable recommendations in consultancy reports and presentations [1][2].</t>
        </is>
      </c>
      <c r="X226" s="77" t="inlineStr">
        <is>
          <t>Yes</t>
        </is>
      </c>
      <c r="Y226" s="77" t="inlineStr">
        <is>
          <t>Delivered by student teams; team support from Volunteer Centre, alumni mentor and the charity [1][2].</t>
        </is>
      </c>
      <c r="Z226" s="77" t="inlineStr">
        <is>
          <t>Yes</t>
        </is>
      </c>
      <c r="AA226" s="77" t="inlineStr">
        <is>
          <t>Charities apply with project briefs, act as clients with whom teams liaise, and receive the consultancy report/presentation [1][2][3].</t>
        </is>
      </c>
      <c r="AB226" s="77" t="inlineStr">
        <is>
          <t>Charity/community</t>
        </is>
      </c>
      <c r="AC226" s="77" t="inlineStr">
        <is>
          <t>Client: sets brief, liaises with team, receives report/presentation</t>
        </is>
      </c>
      <c r="AD226" s="77" t="inlineStr"/>
      <c r="AE226" s="77" t="inlineStr">
        <is>
          <t>Consultancy report and presentation to the charity</t>
        </is>
      </c>
      <c r="AF226" s="77">
        <f>IF(OR(V226="No",X226="No",Z226="No"),"Outside strict definition",IF(AND(V226="Yes",X226="Yes",Z226="Yes"),"Meets all three","Potentially relevant; evidence incomplete"))</f>
        <v/>
      </c>
      <c r="AG226" s="77" t="inlineStr">
        <is>
          <t>Current delivery confirmed</t>
        </is>
      </c>
      <c r="AH226" s="77" t="inlineStr">
        <is>
          <t>2025/26 (ran Nov 2025-Mar 2026); 2026/27 round recruiting</t>
        </is>
      </c>
      <c r="AI226" s="77" t="inlineStr">
        <is>
          <t>Yes</t>
        </is>
      </c>
      <c r="AJ226" s="77">
        <f>IF(AND(AI226="Yes",AF226="Meets all three",AG226="Current delivery confirmed"),"Yes","No")</f>
        <v/>
      </c>
      <c r="AK226" s="77" t="inlineStr">
        <is>
          <t>Team size 6-7 students reported in Volunteer Centre blog posts (2023-2024); number of teams/charities not published in sources found.</t>
        </is>
      </c>
      <c r="AL226" s="77" t="inlineStr">
        <is>
          <t>RG13-S03-R1; RG13-S03-R2; RG13-S03-R3</t>
        </is>
      </c>
      <c r="AM226" s="77" t="inlineStr"/>
      <c r="AN226" s="77" t="inlineStr"/>
      <c r="AO226" s="77" t="inlineStr">
        <is>
          <t>UK</t>
        </is>
      </c>
      <c r="AP226" s="77" t="inlineStr">
        <is>
          <t>UK – Russell Group</t>
        </is>
      </c>
      <c r="AQ226" s="77" t="inlineStr">
        <is>
          <t>Unclear</t>
        </is>
      </c>
      <c r="AR226" s="77" t="inlineStr">
        <is>
          <t>Unclear</t>
        </is>
      </c>
      <c r="AS226" s="77" t="inlineStr"/>
    </row>
    <row r="227">
      <c r="A227" s="77" t="inlineStr">
        <is>
          <t>RG13</t>
        </is>
      </c>
      <c r="B227" s="77" t="inlineStr">
        <is>
          <t>London School of Economics</t>
        </is>
      </c>
      <c r="C227" s="77" t="inlineStr">
        <is>
          <t>University-wide</t>
        </is>
      </c>
      <c r="D227" s="77" t="inlineStr">
        <is>
          <t>RG13-S04</t>
        </is>
      </c>
      <c r="E227" s="77" t="inlineStr"/>
      <c r="F227" s="77" t="inlineStr">
        <is>
          <t>No</t>
        </is>
      </c>
      <c r="G227" s="79" t="inlineStr">
        <is>
          <t>Research Volunteering Scheme (RVS)</t>
        </is>
      </c>
      <c r="H227" s="77" t="inlineStr">
        <is>
          <t>Research Volunteering Scheme (RVS)</t>
        </is>
      </c>
      <c r="I227" s="77" t="inlineStr"/>
      <c r="J227" s="77" t="inlineStr">
        <is>
          <t>LSE Volunteer Centre scheme in which teams of LSE postgraduates answer a research question posed by a charity (e.g. rapid evidence reviews on prison overcrowding; root causes of violence against women), producing a secondary-research paper (literature review) and presenting it to the charity partner.</t>
        </is>
      </c>
      <c r="K227" s="77" t="inlineStr">
        <is>
          <t>LSE Volunteer Centre (LSE Careers)</t>
        </is>
      </c>
      <c r="L227" s="77" t="inlineStr">
        <is>
          <t>All current LSE postgraduate students</t>
        </is>
      </c>
      <c r="M227" s="77" t="inlineStr">
        <is>
          <t>Central provision</t>
        </is>
      </c>
      <c r="N227" s="77" t="inlineStr">
        <is>
          <t>Mixed</t>
        </is>
      </c>
      <c r="O227" s="77" t="inlineStr">
        <is>
          <t>Any postgraduate year</t>
        </is>
      </c>
      <c r="P227" s="77" t="inlineStr">
        <is>
          <t>Postgraduates only (taught and research); current LSE students</t>
        </is>
      </c>
      <c r="Q227" s="77" t="inlineStr">
        <is>
          <t>Selective/competitive</t>
        </is>
      </c>
      <c r="R227" s="77" t="inlineStr">
        <is>
          <t>Extracurricular</t>
        </is>
      </c>
      <c r="S227" s="77" t="inlineStr">
        <is>
          <t>None (extracurricular)</t>
        </is>
      </c>
      <c r="T227" s="77" t="inlineStr">
        <is>
          <t>November to March (2025/26: 12 Nov 2025 - mid-March 2026)</t>
        </is>
      </c>
      <c r="U227" s="77" t="inlineStr">
        <is>
          <t>Team research project</t>
        </is>
      </c>
      <c r="V227" s="77" t="inlineStr">
        <is>
          <t>Yes</t>
        </is>
      </c>
      <c r="W227" s="77" t="inlineStr">
        <is>
          <t>Each team answers a defined charity research question and submits a research paper, plus a presentation [1].</t>
        </is>
      </c>
      <c r="X227" s="77" t="inlineStr">
        <is>
          <t>Yes</t>
        </is>
      </c>
      <c r="Y227" s="77" t="inlineStr">
        <is>
          <t>'Teams of LSE postgraduates' answer each question [1].</t>
        </is>
      </c>
      <c r="Z227" s="77" t="inlineStr">
        <is>
          <t>Yes</t>
        </is>
      </c>
      <c r="AA227" s="77" t="inlineStr">
        <is>
          <t>Charities apply to submit the academic question and receive the paper and presentation [1][2].</t>
        </is>
      </c>
      <c r="AB227" s="77" t="inlineStr">
        <is>
          <t>Charity/community</t>
        </is>
      </c>
      <c r="AC227" s="77" t="inlineStr">
        <is>
          <t>Poses research question; receives research paper and presentation</t>
        </is>
      </c>
      <c r="AD227" s="77" t="inlineStr"/>
      <c r="AE227" s="77" t="inlineStr">
        <is>
          <t>Secondary-research paper (literature review) + presentation to charity</t>
        </is>
      </c>
      <c r="AF227" s="77">
        <f>IF(OR(V227="No",X227="No",Z227="No"),"Outside strict definition",IF(AND(V227="Yes",X227="Yes",Z227="Yes"),"Meets all three","Potentially relevant; evidence incomplete"))</f>
        <v/>
      </c>
      <c r="AG227" s="77" t="inlineStr">
        <is>
          <t>Current delivery confirmed</t>
        </is>
      </c>
      <c r="AH227" s="77" t="inlineStr">
        <is>
          <t>2025/26 (2026/27 round recruiting)</t>
        </is>
      </c>
      <c r="AI227" s="77" t="inlineStr">
        <is>
          <t>Yes</t>
        </is>
      </c>
      <c r="AJ227" s="77">
        <f>IF(AND(AI227="Yes",AF227="Meets all three",AG227="Current delivery confirmed"),"Yes","No")</f>
        <v/>
      </c>
      <c r="AK227" s="77" t="inlineStr">
        <is>
          <t>10 charity questions (projects), 2025/26 round [1].</t>
        </is>
      </c>
      <c r="AL227" s="77" t="inlineStr">
        <is>
          <t>RG13-S04-R1; RG13-S04-R2; RG13-S04-R3</t>
        </is>
      </c>
      <c r="AM227" s="77" t="inlineStr">
        <is>
          <t>Student level is postgraduate only (taught + research), recorded as Mixed; borderline on 'substantive project' because output is a literature review.</t>
        </is>
      </c>
      <c r="AN227" s="77" t="inlineStr"/>
      <c r="AO227" s="77" t="inlineStr">
        <is>
          <t>UK</t>
        </is>
      </c>
      <c r="AP227" s="77" t="inlineStr">
        <is>
          <t>UK – Russell Group</t>
        </is>
      </c>
      <c r="AQ227" s="77" t="inlineStr">
        <is>
          <t>Unclear</t>
        </is>
      </c>
      <c r="AR227" s="77" t="inlineStr">
        <is>
          <t>Unclear</t>
        </is>
      </c>
      <c r="AS227" s="77" t="inlineStr"/>
    </row>
    <row r="228">
      <c r="A228" s="77" t="inlineStr">
        <is>
          <t>RG13</t>
        </is>
      </c>
      <c r="B228" s="77" t="inlineStr">
        <is>
          <t>London School of Economics</t>
        </is>
      </c>
      <c r="C228" s="77" t="inlineStr">
        <is>
          <t>Faculty/school</t>
        </is>
      </c>
      <c r="D228" s="77" t="inlineStr">
        <is>
          <t>RG13-S05</t>
        </is>
      </c>
      <c r="E228" s="77" t="inlineStr"/>
      <c r="F228" s="77" t="inlineStr">
        <is>
          <t>Yes</t>
        </is>
      </c>
      <c r="G228" s="79" t="inlineStr">
        <is>
          <t>Department of Management Business Projects (Employer Partnerships)</t>
        </is>
      </c>
      <c r="H228" s="77" t="inlineStr">
        <is>
          <t>Department of Management Business Projects (Employer Partnerships)</t>
        </is>
      </c>
      <c r="I228" s="77" t="inlineStr"/>
      <c r="J228" s="77" t="inlineStr">
        <is>
          <t>Department of Management umbrella through which organisations sponsor business projects across five programme streams (GMiM, HRO Links, CEMS/MBA, Marketing Action Learning Projects, Open Innovation) with differing scope, duration and group size. Sponsors supply the brief and a project supervisor and receive a final presentation and/or business report; no charge to sponsors.</t>
        </is>
      </c>
      <c r="K228" s="77" t="inlineStr">
        <is>
          <t>Department of Management, Employer Relations</t>
        </is>
      </c>
      <c r="L228" s="77" t="inlineStr">
        <is>
          <t>Students on specified Department of Management MSc programmes</t>
        </is>
      </c>
      <c r="M228" s="77" t="inlineStr">
        <is>
          <t>Business/management</t>
        </is>
      </c>
      <c r="N228" s="77" t="inlineStr">
        <is>
          <t>Postgraduate taught</t>
        </is>
      </c>
      <c r="O228" s="77" t="inlineStr"/>
      <c r="P228" s="77" t="inlineStr"/>
      <c r="Q228" s="77" t="inlineStr">
        <is>
          <t>Compulsory within specified programmes</t>
        </is>
      </c>
      <c r="R228" s="77" t="inlineStr">
        <is>
          <t>Curricular</t>
        </is>
      </c>
      <c r="S228" s="77" t="inlineStr"/>
      <c r="T228" s="77" t="inlineStr"/>
      <c r="U228" s="77" t="inlineStr"/>
      <c r="V228" s="77" t="inlineStr">
        <is>
          <t>Yes</t>
        </is>
      </c>
      <c r="W228" s="77" t="inlineStr">
        <is>
          <t>Students work on a business project or challenge provided by an organisation [1].</t>
        </is>
      </c>
      <c r="X228" s="77" t="inlineStr">
        <is>
          <t>Yes</t>
        </is>
      </c>
      <c r="Y228" s="77" t="inlineStr">
        <is>
          <t>GMiM projects 4-6 students; HRO Links teams of two [1].</t>
        </is>
      </c>
      <c r="Z228" s="77" t="inlineStr">
        <is>
          <t>Yes</t>
        </is>
      </c>
      <c r="AA228" s="77" t="inlineStr">
        <is>
          <t>Sponsors supply the brief and a Project Supervisor who checks in throughout; students give final presentation and/or business report to the organisation [1].</t>
        </is>
      </c>
      <c r="AB228" s="77" t="inlineStr">
        <is>
          <t>Mixed</t>
        </is>
      </c>
      <c r="AC228" s="77" t="inlineStr">
        <is>
          <t>Sponsor/client</t>
        </is>
      </c>
      <c r="AD228" s="77" t="inlineStr"/>
      <c r="AE228" s="77" t="inlineStr"/>
      <c r="AF228" s="77">
        <f>IF(OR(V228="No",X228="No",Z228="No"),"Outside strict definition",IF(AND(V228="Yes",X228="Yes",Z228="Yes"),"Meets all three","Potentially relevant; evidence incomplete"))</f>
        <v/>
      </c>
      <c r="AG228" s="77" t="inlineStr">
        <is>
          <t>Current delivery confirmed</t>
        </is>
      </c>
      <c r="AH228" s="77" t="inlineStr">
        <is>
          <t>2026/27 (GMiM proposals due 26 Aug 2026; projects Oct 2026-Jan 2027)</t>
        </is>
      </c>
      <c r="AI228" s="77" t="inlineStr">
        <is>
          <t>No</t>
        </is>
      </c>
      <c r="AJ228" s="77">
        <f>IF(AND(AI228="Yes",AF228="Meets all three",AG228="Current delivery confirmed"),"Yes","No")</f>
        <v/>
      </c>
      <c r="AK228" s="77" t="inlineStr"/>
      <c r="AL228" s="77" t="inlineStr">
        <is>
          <t>RG13-S05-R1</t>
        </is>
      </c>
      <c r="AM228" s="77" t="inlineStr">
        <is>
          <t>Open Innovation (OI) stream not separately evidenced (programme/course not identified).</t>
        </is>
      </c>
      <c r="AN228" s="77" t="inlineStr"/>
      <c r="AO228" s="77" t="inlineStr">
        <is>
          <t>UK</t>
        </is>
      </c>
      <c r="AP228" s="77" t="inlineStr">
        <is>
          <t>UK – Russell Group</t>
        </is>
      </c>
      <c r="AQ228" s="77" t="inlineStr">
        <is>
          <t>Unclear</t>
        </is>
      </c>
      <c r="AR228" s="77" t="inlineStr">
        <is>
          <t>Unclear</t>
        </is>
      </c>
      <c r="AS228" s="77" t="inlineStr">
        <is>
          <t>No (umbrella; children counted)</t>
        </is>
      </c>
    </row>
    <row r="229">
      <c r="A229" s="77" t="inlineStr">
        <is>
          <t>RG13</t>
        </is>
      </c>
      <c r="B229" s="77" t="inlineStr">
        <is>
          <t>London School of Economics</t>
        </is>
      </c>
      <c r="C229" s="77" t="inlineStr">
        <is>
          <t>Programme/course</t>
        </is>
      </c>
      <c r="D229" s="77" t="inlineStr">
        <is>
          <t>RG13-S06</t>
        </is>
      </c>
      <c r="E229" s="77" t="inlineStr">
        <is>
          <t>RG13-S05</t>
        </is>
      </c>
      <c r="F229" s="77" t="inlineStr">
        <is>
          <t>No</t>
        </is>
      </c>
      <c r="G229" s="79" t="inlineStr">
        <is>
          <t>GMiM Capstone Course - Management in Action</t>
        </is>
      </c>
      <c r="H229" s="77" t="inlineStr">
        <is>
          <t>GMiM Capstone Course - Management in Action</t>
        </is>
      </c>
      <c r="I229" s="77" t="inlineStr">
        <is>
          <t>MG488B (with MG488A)</t>
        </is>
      </c>
      <c r="J229" s="77" t="inlineStr">
        <is>
          <t>Second-year Global Master's in Management capstone: LSE-sourced client projects from large multinationals to small social enterprises (UK and global), allocated to groups of 4-6; groups manage the client, submit an interim presentation to faculty coaches and deliver a c.30-minute oral presentation plus slide deck with appendices.</t>
        </is>
      </c>
      <c r="K229" s="77" t="inlineStr">
        <is>
          <t>Department of Management</t>
        </is>
      </c>
      <c r="L229" s="77" t="inlineStr">
        <is>
          <t>Global Master's in Management (GMiM)</t>
        </is>
      </c>
      <c r="M229" s="77" t="inlineStr">
        <is>
          <t>Business/management</t>
        </is>
      </c>
      <c r="N229" s="77" t="inlineStr">
        <is>
          <t>Postgraduate taught</t>
        </is>
      </c>
      <c r="O229" s="77" t="inlineStr">
        <is>
          <t>Year 2 of GMiM</t>
        </is>
      </c>
      <c r="P229" s="77" t="inlineStr"/>
      <c r="Q229" s="77" t="inlineStr">
        <is>
          <t>Compulsory within specified programmes</t>
        </is>
      </c>
      <c r="R229" s="77" t="inlineStr">
        <is>
          <t>Curricular</t>
        </is>
      </c>
      <c r="S229" s="77" t="inlineStr">
        <is>
          <t>Capstone project 65% of combined grade; MG488A 35% (participation 10%, 2,000-word essay 25%). Criteria include 'Effectiveness of Client Management'.</t>
        </is>
      </c>
      <c r="T229" s="77" t="inlineStr">
        <is>
          <t>Autumn Term (Oct-Jan)</t>
        </is>
      </c>
      <c r="U229" s="77" t="inlineStr">
        <is>
          <t>Team consultancy project</t>
        </is>
      </c>
      <c r="V229" s="77" t="inlineStr">
        <is>
          <t>Yes</t>
        </is>
      </c>
      <c r="W229" s="77" t="inlineStr">
        <is>
          <t>Client project with scoped objectives, research methodology and recommendations; assessed via oral presentation and slides [1].</t>
        </is>
      </c>
      <c r="X229" s="77" t="inlineStr">
        <is>
          <t>Yes</t>
        </is>
      </c>
      <c r="Y229" s="77" t="inlineStr">
        <is>
          <t>Projects allocated, on average, to groups of 4-6 students; group assessment [1][2].</t>
        </is>
      </c>
      <c r="Z229" s="77" t="inlineStr">
        <is>
          <t>Yes</t>
        </is>
      </c>
      <c r="AA229" s="77" t="inlineStr">
        <is>
          <t>Projects sourced by LSE from client partners; client management assessed; final presentations to sponsors [1][2].</t>
        </is>
      </c>
      <c r="AB229" s="77" t="inlineStr">
        <is>
          <t>Mixed</t>
        </is>
      </c>
      <c r="AC229" s="77" t="inlineStr">
        <is>
          <t>Client: supplies business problem, interacts with team, receives presentation</t>
        </is>
      </c>
      <c r="AD229" s="77" t="inlineStr"/>
      <c r="AE229" s="77" t="inlineStr">
        <is>
          <t>Client presentation (c.30 min) + slides and appendices</t>
        </is>
      </c>
      <c r="AF229" s="77">
        <f>IF(OR(V229="No",X229="No",Z229="No"),"Outside strict definition",IF(AND(V229="Yes",X229="Yes",Z229="Yes"),"Meets all three","Potentially relevant; evidence incomplete"))</f>
        <v/>
      </c>
      <c r="AG229" s="77" t="inlineStr">
        <is>
          <t>Current delivery confirmed</t>
        </is>
      </c>
      <c r="AH229" s="77" t="inlineStr">
        <is>
          <t>2025/26 (2026/27 recruiting sponsors)</t>
        </is>
      </c>
      <c r="AI229" s="77" t="inlineStr">
        <is>
          <t>Yes</t>
        </is>
      </c>
      <c r="AJ229" s="77">
        <f>IF(AND(AI229="Yes",AF229="Meets all three",AG229="Current delivery confirmed"),"Yes","No")</f>
        <v/>
      </c>
      <c r="AK229" s="77" t="inlineStr"/>
      <c r="AL229" s="77" t="inlineStr">
        <is>
          <t>RG13-S06-R1; RG13-S06-R2</t>
        </is>
      </c>
      <c r="AM229" s="77" t="inlineStr">
        <is>
          <t>Whether compulsory for all GMiM students (inferred from 'capstone' and assessment wording, not from regulations).</t>
        </is>
      </c>
      <c r="AN229" s="77" t="inlineStr"/>
      <c r="AO229" s="77" t="inlineStr">
        <is>
          <t>UK</t>
        </is>
      </c>
      <c r="AP229" s="77" t="inlineStr">
        <is>
          <t>UK – Russell Group</t>
        </is>
      </c>
      <c r="AQ229" s="77" t="inlineStr">
        <is>
          <t>Unclear</t>
        </is>
      </c>
      <c r="AR229" s="77" t="inlineStr">
        <is>
          <t>Unclear</t>
        </is>
      </c>
      <c r="AS229" s="77" t="inlineStr"/>
    </row>
    <row r="230">
      <c r="A230" s="77" t="inlineStr">
        <is>
          <t>RG13</t>
        </is>
      </c>
      <c r="B230" s="77" t="inlineStr">
        <is>
          <t>London School of Economics</t>
        </is>
      </c>
      <c r="C230" s="77" t="inlineStr">
        <is>
          <t>Programme/course</t>
        </is>
      </c>
      <c r="D230" s="77" t="inlineStr">
        <is>
          <t>RG13-S07</t>
        </is>
      </c>
      <c r="E230" s="77" t="inlineStr">
        <is>
          <t>RG13-S05</t>
        </is>
      </c>
      <c r="F230" s="77" t="inlineStr">
        <is>
          <t>No</t>
        </is>
      </c>
      <c r="G230" s="79" t="inlineStr">
        <is>
          <t>CEMS &amp; MBA Business Projects</t>
        </is>
      </c>
      <c r="H230" s="77" t="inlineStr">
        <is>
          <t>CEMS &amp; MBA Business Projects</t>
        </is>
      </c>
      <c r="I230" s="77" t="inlineStr"/>
      <c r="J230" s="77" t="inlineStr">
        <is>
          <t>Sponsored business projects for CEMS (Master's in International Management) students at LSE and MBA students: teams of 4-6 work February-May on an organisation's business problem and present final recommendations to sponsors.</t>
        </is>
      </c>
      <c r="K230" s="77" t="inlineStr">
        <is>
          <t>Department of Management</t>
        </is>
      </c>
      <c r="L230" s="77" t="inlineStr">
        <is>
          <t>CEMS MIM students at LSE; 'MBA' students (programme not identified)</t>
        </is>
      </c>
      <c r="M230" s="77" t="inlineStr">
        <is>
          <t>Business/management</t>
        </is>
      </c>
      <c r="N230" s="77" t="inlineStr">
        <is>
          <t>Postgraduate taught</t>
        </is>
      </c>
      <c r="O230" s="77" t="inlineStr"/>
      <c r="P230" s="77" t="inlineStr"/>
      <c r="Q230" s="77" t="inlineStr">
        <is>
          <t>Unclear</t>
        </is>
      </c>
      <c r="R230" s="77" t="inlineStr">
        <is>
          <t>Unclear</t>
        </is>
      </c>
      <c r="S230" s="77" t="inlineStr"/>
      <c r="T230" s="77" t="inlineStr">
        <is>
          <t>February - May (Winter/Spring Term)</t>
        </is>
      </c>
      <c r="U230" s="77" t="inlineStr">
        <is>
          <t>Team consultancy project</t>
        </is>
      </c>
      <c r="V230" s="77" t="inlineStr">
        <is>
          <t>Yes</t>
        </is>
      </c>
      <c r="W230" s="77" t="inlineStr">
        <is>
          <t>Organisation-proposed business project culminating in final presentations [1].</t>
        </is>
      </c>
      <c r="X230" s="77" t="inlineStr">
        <is>
          <t>Yes</t>
        </is>
      </c>
      <c r="Y230" s="77" t="inlineStr">
        <is>
          <t>4-6 students are assigned to a project [1].</t>
        </is>
      </c>
      <c r="Z230" s="77" t="inlineStr">
        <is>
          <t>Yes</t>
        </is>
      </c>
      <c r="AA230" s="77" t="inlineStr">
        <is>
          <t>Sponsors submit proposals, meet students (typically fortnightly) and receive final presentations (4-18 May 2026) [1].</t>
        </is>
      </c>
      <c r="AB230" s="77" t="inlineStr">
        <is>
          <t>Mixed</t>
        </is>
      </c>
      <c r="AC230" s="77" t="inlineStr">
        <is>
          <t>Sponsor/client</t>
        </is>
      </c>
      <c r="AD230" s="77" t="inlineStr"/>
      <c r="AE230" s="77" t="inlineStr">
        <is>
          <t>Final presentation to sponsor</t>
        </is>
      </c>
      <c r="AF230" s="77">
        <f>IF(OR(V230="No",X230="No",Z230="No"),"Outside strict definition",IF(AND(V230="Yes",X230="Yes",Z230="Yes"),"Meets all three","Potentially relevant; evidence incomplete"))</f>
        <v/>
      </c>
      <c r="AG230" s="77" t="inlineStr">
        <is>
          <t>Current delivery confirmed</t>
        </is>
      </c>
      <c r="AH230" s="77" t="inlineStr">
        <is>
          <t>2025/26</t>
        </is>
      </c>
      <c r="AI230" s="77" t="inlineStr">
        <is>
          <t>Yes</t>
        </is>
      </c>
      <c r="AJ230" s="77">
        <f>IF(AND(AI230="Yes",AF230="Meets all three",AG230="Current delivery confirmed"),"Yes","No")</f>
        <v/>
      </c>
      <c r="AK230" s="77" t="inlineStr"/>
      <c r="AL230" s="77" t="inlineStr">
        <is>
          <t>RG13-S07-R1</t>
        </is>
      </c>
      <c r="AM230" s="77" t="inlineStr">
        <is>
          <t>Credit/assessment and course code; which 'MBA' students participate (LSE has no standalone MBA); whether compulsory for CEMS students.</t>
        </is>
      </c>
      <c r="AN230" s="77" t="inlineStr"/>
      <c r="AO230" s="77" t="inlineStr">
        <is>
          <t>UK</t>
        </is>
      </c>
      <c r="AP230" s="77" t="inlineStr">
        <is>
          <t>UK – Russell Group</t>
        </is>
      </c>
      <c r="AQ230" s="77" t="inlineStr">
        <is>
          <t>Unclear</t>
        </is>
      </c>
      <c r="AR230" s="77" t="inlineStr">
        <is>
          <t>Unclear</t>
        </is>
      </c>
      <c r="AS230" s="77" t="inlineStr"/>
    </row>
    <row r="231">
      <c r="A231" s="77" t="inlineStr">
        <is>
          <t>RG13</t>
        </is>
      </c>
      <c r="B231" s="77" t="inlineStr">
        <is>
          <t>London School of Economics</t>
        </is>
      </c>
      <c r="C231" s="77" t="inlineStr">
        <is>
          <t>Programme/course</t>
        </is>
      </c>
      <c r="D231" s="77" t="inlineStr">
        <is>
          <t>RG13-S08</t>
        </is>
      </c>
      <c r="E231" s="77" t="inlineStr">
        <is>
          <t>RG13-S05</t>
        </is>
      </c>
      <c r="F231" s="77" t="inlineStr">
        <is>
          <t>No</t>
        </is>
      </c>
      <c r="G231" s="79" t="inlineStr">
        <is>
          <t>HRO Links Scheme (Links Project)</t>
        </is>
      </c>
      <c r="H231" s="77" t="inlineStr">
        <is>
          <t>HRO Links Scheme (Links Project)</t>
        </is>
      </c>
      <c r="I231" s="77" t="inlineStr">
        <is>
          <t>MG493 (Dissertation, Links route)</t>
        </is>
      </c>
      <c r="J231" s="77" t="inlineStr">
        <is>
          <t>MSc Human Resources and Organisations option: 1-2 students conduct consultancy research on an HR question posed by an external sponsor, producing a business report for the organisation and a joint LSE dissertation.</t>
        </is>
      </c>
      <c r="K231" s="77" t="inlineStr">
        <is>
          <t>Department of Management</t>
        </is>
      </c>
      <c r="L231" s="77" t="inlineStr">
        <is>
          <t>MSc Human Resources and Organisations</t>
        </is>
      </c>
      <c r="M231" s="77" t="inlineStr">
        <is>
          <t>Business/management</t>
        </is>
      </c>
      <c r="N231" s="77" t="inlineStr">
        <is>
          <t>Postgraduate taught</t>
        </is>
      </c>
      <c r="O231" s="77" t="inlineStr"/>
      <c r="P231" s="77" t="inlineStr"/>
      <c r="Q231" s="77" t="inlineStr">
        <is>
          <t>Selective/competitive</t>
        </is>
      </c>
      <c r="R231" s="77" t="inlineStr">
        <is>
          <t>Curricular</t>
        </is>
      </c>
      <c r="S231" s="77" t="inlineStr">
        <is>
          <t>Within MG493 Dissertation (1 unit); Links students write a joint dissertation with their project partner.</t>
        </is>
      </c>
      <c r="T231" s="77" t="inlineStr">
        <is>
          <t>October - January (2026/27 stream)</t>
        </is>
      </c>
      <c r="U231" s="77" t="inlineStr">
        <is>
          <t>Pair consultancy project</t>
        </is>
      </c>
      <c r="V231" s="77" t="inlineStr">
        <is>
          <t>Yes</t>
        </is>
      </c>
      <c r="W231" s="77" t="inlineStr">
        <is>
          <t>Research on an HR question posed by the Links sponsor, business report to organisation [2][3].</t>
        </is>
      </c>
      <c r="X231" s="77" t="inlineStr">
        <is>
          <t>Unclear</t>
        </is>
      </c>
      <c r="Y231" s="77" t="inlineStr">
        <is>
          <t>Typically completed in pairs (programme page) but brochure says 1-2 students per project, so some routes may be individual; whether a pair counts as a 'team' needs a coordinator ruling [1][2].</t>
        </is>
      </c>
      <c r="Z231" s="77" t="inlineStr">
        <is>
          <t>Yes</t>
        </is>
      </c>
      <c r="AA231" s="77" t="inlineStr">
        <is>
          <t>Sponsors submit project proposals (deadline 7 Nov 2025), pose the HR question and receive a business report [2][3].</t>
        </is>
      </c>
      <c r="AB231" s="77" t="inlineStr">
        <is>
          <t>Business/commercial</t>
        </is>
      </c>
      <c r="AC231" s="77" t="inlineStr">
        <is>
          <t>Sponsor/client</t>
        </is>
      </c>
      <c r="AD231" s="77" t="inlineStr">
        <is>
          <t>ABB (Department of Management case page 'ABB: Transforming HR communications', undated)</t>
        </is>
      </c>
      <c r="AE231" s="77" t="inlineStr">
        <is>
          <t>Business report to sponsor + joint dissertation</t>
        </is>
      </c>
      <c r="AF231" s="77">
        <f>IF(OR(V231="No",X231="No",Z231="No"),"Outside strict definition",IF(AND(V231="Yes",X231="Yes",Z231="Yes"),"Meets all three","Potentially relevant; evidence incomplete"))</f>
        <v/>
      </c>
      <c r="AG231" s="77" t="inlineStr">
        <is>
          <t>Current delivery confirmed</t>
        </is>
      </c>
      <c r="AH231" s="77" t="inlineStr">
        <is>
          <t>2026/27 (proposal deadline 26 Aug 2026)</t>
        </is>
      </c>
      <c r="AI231" s="77" t="inlineStr">
        <is>
          <t>Yes</t>
        </is>
      </c>
      <c r="AJ231" s="77">
        <f>IF(AND(AI231="Yes",AF231="Meets all three",AG231="Current delivery confirmed"),"Yes","No")</f>
        <v/>
      </c>
      <c r="AK231" s="77" t="inlineStr"/>
      <c r="AL231" s="77" t="inlineStr">
        <is>
          <t>RG13-S08-R1; RG13-S08-R2; RG13-S08-R3</t>
        </is>
      </c>
      <c r="AM231" s="77" t="inlineStr"/>
      <c r="AN231" s="77" t="inlineStr"/>
      <c r="AO231" s="77" t="inlineStr">
        <is>
          <t>UK</t>
        </is>
      </c>
      <c r="AP231" s="77" t="inlineStr">
        <is>
          <t>UK – Russell Group</t>
        </is>
      </c>
      <c r="AQ231" s="77" t="inlineStr">
        <is>
          <t>Unclear</t>
        </is>
      </c>
      <c r="AR231" s="77" t="inlineStr">
        <is>
          <t>Unclear</t>
        </is>
      </c>
      <c r="AS231" s="77" t="inlineStr"/>
    </row>
    <row r="232">
      <c r="A232" s="77" t="inlineStr">
        <is>
          <t>RG13</t>
        </is>
      </c>
      <c r="B232" s="77" t="inlineStr">
        <is>
          <t>London School of Economics</t>
        </is>
      </c>
      <c r="C232" s="77" t="inlineStr">
        <is>
          <t>Programme/course</t>
        </is>
      </c>
      <c r="D232" s="77" t="inlineStr">
        <is>
          <t>RG13-S09</t>
        </is>
      </c>
      <c r="E232" s="77" t="inlineStr">
        <is>
          <t>RG13-S05</t>
        </is>
      </c>
      <c r="F232" s="77" t="inlineStr">
        <is>
          <t>No</t>
        </is>
      </c>
      <c r="G232" s="79" t="inlineStr">
        <is>
          <t>Marketing Action Learning Project (MALP)</t>
        </is>
      </c>
      <c r="H232" s="77" t="inlineStr">
        <is>
          <t>Marketing Action Learning Project (MALP)</t>
        </is>
      </c>
      <c r="I232" s="77" t="inlineStr">
        <is>
          <t>MG4F1</t>
        </is>
      </c>
      <c r="J232" s="77" t="inlineStr">
        <is>
          <t>Compulsory MSc Marketing half unit: teams of about six work with vetted company sponsors (global consumer brands to startups) on a real marketing challenge (product launch, market entry, repositioning, digital strategy), conducting primary/secondary research and producing a marketing strategy with recommendations.</t>
        </is>
      </c>
      <c r="K232" s="77" t="inlineStr">
        <is>
          <t>Department of Management</t>
        </is>
      </c>
      <c r="L232" s="77" t="inlineStr">
        <is>
          <t>MSc Marketing</t>
        </is>
      </c>
      <c r="M232" s="77" t="inlineStr">
        <is>
          <t>Business/management</t>
        </is>
      </c>
      <c r="N232" s="77" t="inlineStr">
        <is>
          <t>Postgraduate taught</t>
        </is>
      </c>
      <c r="O232" s="77" t="inlineStr"/>
      <c r="P232" s="77" t="inlineStr"/>
      <c r="Q232" s="77" t="inlineStr">
        <is>
          <t>Compulsory within specified programmes</t>
        </is>
      </c>
      <c r="R232" s="77" t="inlineStr">
        <is>
          <t>Curricular</t>
        </is>
      </c>
      <c r="S232" s="77" t="inlineStr">
        <is>
          <t>Half unit; oral examination 40% + project 60% (report August)</t>
        </is>
      </c>
      <c r="T232" s="77" t="inlineStr">
        <is>
          <t>Winter Term to August (presentations early July)</t>
        </is>
      </c>
      <c r="U232" s="77" t="inlineStr">
        <is>
          <t>Team client project</t>
        </is>
      </c>
      <c r="V232" s="77" t="inlineStr">
        <is>
          <t>Yes</t>
        </is>
      </c>
      <c r="W232" s="77" t="inlineStr">
        <is>
          <t>Real marketing challenge; research and marketing strategy report [1].</t>
        </is>
      </c>
      <c r="X232" s="77" t="inlineStr">
        <is>
          <t>Yes</t>
        </is>
      </c>
      <c r="Y232" s="77" t="inlineStr">
        <is>
          <t>'Teams of students work with vetted company sponsors' [1]; teams of six [3].</t>
        </is>
      </c>
      <c r="Z232" s="77" t="inlineStr">
        <is>
          <t>Yes</t>
        </is>
      </c>
      <c r="AA232" s="77" t="inlineStr">
        <is>
          <t>Company sponsors supply the marketing challenge; teams work with them [1][2].</t>
        </is>
      </c>
      <c r="AB232" s="77" t="inlineStr">
        <is>
          <t>Business/commercial</t>
        </is>
      </c>
      <c r="AC232" s="77" t="inlineStr">
        <is>
          <t>Sponsor/client</t>
        </is>
      </c>
      <c r="AD232" s="77" t="inlineStr">
        <is>
          <t>Colgate-Palmolive, Cartier, Tata Group, Unilever (programme page, undated, 'have worked with')</t>
        </is>
      </c>
      <c r="AE232" s="77" t="inlineStr">
        <is>
          <t>Marketing strategy report and presentation</t>
        </is>
      </c>
      <c r="AF232" s="77">
        <f>IF(OR(V232="No",X232="No",Z232="No"),"Outside strict definition",IF(AND(V232="Yes",X232="Yes",Z232="Yes"),"Meets all three","Potentially relevant; evidence incomplete"))</f>
        <v/>
      </c>
      <c r="AG232" s="77" t="inlineStr">
        <is>
          <t>Current delivery confirmed</t>
        </is>
      </c>
      <c r="AH232" s="77" t="inlineStr">
        <is>
          <t>2026/27</t>
        </is>
      </c>
      <c r="AI232" s="77" t="inlineStr">
        <is>
          <t>Yes</t>
        </is>
      </c>
      <c r="AJ232" s="77">
        <f>IF(AND(AI232="Yes",AF232="Meets all three",AG232="Current delivery confirmed"),"Yes","No")</f>
        <v/>
      </c>
      <c r="AK232" s="77" t="inlineStr">
        <is>
          <t>94 students (2025/26) per course guide</t>
        </is>
      </c>
      <c r="AL232" s="77" t="inlineStr">
        <is>
          <t>RG13-S09-R1; RG13-S09-R2; RG13-S09-R3</t>
        </is>
      </c>
      <c r="AM232" s="77" t="inlineStr"/>
      <c r="AN232" s="77" t="inlineStr"/>
      <c r="AO232" s="77" t="inlineStr">
        <is>
          <t>UK</t>
        </is>
      </c>
      <c r="AP232" s="77" t="inlineStr">
        <is>
          <t>UK – Russell Group</t>
        </is>
      </c>
      <c r="AQ232" s="77" t="inlineStr">
        <is>
          <t>Unclear</t>
        </is>
      </c>
      <c r="AR232" s="77" t="inlineStr">
        <is>
          <t>Unclear</t>
        </is>
      </c>
      <c r="AS232" s="77" t="inlineStr"/>
    </row>
    <row r="233">
      <c r="A233" s="77" t="inlineStr">
        <is>
          <t>RG13</t>
        </is>
      </c>
      <c r="B233" s="77" t="inlineStr">
        <is>
          <t>London School of Economics</t>
        </is>
      </c>
      <c r="C233" s="77" t="inlineStr">
        <is>
          <t>Programme/course</t>
        </is>
      </c>
      <c r="D233" s="77" t="inlineStr">
        <is>
          <t>RG13-S10</t>
        </is>
      </c>
      <c r="E233" s="77" t="inlineStr"/>
      <c r="F233" s="77" t="inlineStr">
        <is>
          <t>No</t>
        </is>
      </c>
      <c r="G233" s="79" t="inlineStr">
        <is>
          <t>MiM Capstone Course - International Management in Action (incl. London Consulting Project)</t>
        </is>
      </c>
      <c r="H233" s="77" t="inlineStr">
        <is>
          <t>MiM Capstone Course - International Management in Action (incl. London Consulting Project)</t>
        </is>
      </c>
      <c r="I233" s="77" t="inlineStr">
        <is>
          <t>MG4J4</t>
        </is>
      </c>
      <c r="J233" s="77" t="inlineStr">
        <is>
          <t>Compulsory capstone of the one-year MSc in Management (Master's in Management): leadership/teamwork skills element, then student groups work on a client company's business problem(s) before, during and after an international trip, and the London Consulting Project in which teams analyse a real business challenge from an external organisation and make recommendations.</t>
        </is>
      </c>
      <c r="K233" s="77" t="inlineStr">
        <is>
          <t>Department of Management</t>
        </is>
      </c>
      <c r="L233" s="77" t="inlineStr">
        <is>
          <t>MSc in Management (1 Year Programme)</t>
        </is>
      </c>
      <c r="M233" s="77" t="inlineStr">
        <is>
          <t>Business/management</t>
        </is>
      </c>
      <c r="N233" s="77" t="inlineStr">
        <is>
          <t>Postgraduate taught</t>
        </is>
      </c>
      <c r="O233" s="77" t="inlineStr"/>
      <c r="P233" s="77" t="inlineStr"/>
      <c r="Q233" s="77" t="inlineStr">
        <is>
          <t>Compulsory within specified programmes</t>
        </is>
      </c>
      <c r="R233" s="77" t="inlineStr">
        <is>
          <t>Curricular</t>
        </is>
      </c>
      <c r="S233" s="77" t="inlineStr">
        <is>
          <t>Project 60% (2,000 words), individual essay 30%, reflective learning report 10%</t>
        </is>
      </c>
      <c r="T233" s="77" t="inlineStr">
        <is>
          <t>Winter Term (overseas visit then London Consulting Project)</t>
        </is>
      </c>
      <c r="U233" s="77" t="inlineStr">
        <is>
          <t>Team client projects incl. international trip</t>
        </is>
      </c>
      <c r="V233" s="77" t="inlineStr">
        <is>
          <t>Yes</t>
        </is>
      </c>
      <c r="W233" s="77" t="inlineStr">
        <is>
          <t>Groups work on a client company's business problem; project assessed at 60% [1]; teams analyse problem and make recommendations [3].</t>
        </is>
      </c>
      <c r="X233" s="77" t="inlineStr">
        <is>
          <t>Yes</t>
        </is>
      </c>
      <c r="Y233" s="77" t="inlineStr">
        <is>
          <t>'student groups work on a client company's business problem(s)' [1]; 'working in teams' [3].</t>
        </is>
      </c>
      <c r="Z233" s="77" t="inlineStr">
        <is>
          <t>Yes</t>
        </is>
      </c>
      <c r="AA233" s="77" t="inlineStr">
        <is>
          <t>Client company supplies business problem(s) [1]; company provides list of real business challenges and recommendations 'very likely be acted upon' [3]; external organisation presents challenge [2].</t>
        </is>
      </c>
      <c r="AB233" s="77" t="inlineStr">
        <is>
          <t>Business/commercial</t>
        </is>
      </c>
      <c r="AC233" s="77" t="inlineStr">
        <is>
          <t>Client: sets challenges, receives recommendations</t>
        </is>
      </c>
      <c r="AD233" s="77" t="inlineStr"/>
      <c r="AE233" s="77" t="inlineStr">
        <is>
          <t>Client recommendations / project report</t>
        </is>
      </c>
      <c r="AF233" s="77">
        <f>IF(OR(V233="No",X233="No",Z233="No"),"Outside strict definition",IF(AND(V233="Yes",X233="Yes",Z233="Yes"),"Meets all three","Potentially relevant; evidence incomplete"))</f>
        <v/>
      </c>
      <c r="AG233" s="77" t="inlineStr">
        <is>
          <t>Current delivery confirmed</t>
        </is>
      </c>
      <c r="AH233" s="77" t="inlineStr">
        <is>
          <t>2025/26</t>
        </is>
      </c>
      <c r="AI233" s="77" t="inlineStr">
        <is>
          <t>Yes</t>
        </is>
      </c>
      <c r="AJ233" s="77">
        <f>IF(AND(AI233="Yes",AF233="Meets all three",AG233="Current delivery confirmed"),"Yes","No")</f>
        <v/>
      </c>
      <c r="AK233" s="77" t="inlineStr">
        <is>
          <t>74 students (2024/25) per course guide</t>
        </is>
      </c>
      <c r="AL233" s="77" t="inlineStr">
        <is>
          <t>RG13-S10-R1; RG13-S10-R2; RG13-S10-R3</t>
        </is>
      </c>
      <c r="AM233" s="77" t="inlineStr">
        <is>
          <t>Whether the international-trip client project and the London Consulting Project are one assessed project or two; MG4J4 is not listed among the five Business Projects streams, so recorded separately.</t>
        </is>
      </c>
      <c r="AN233" s="77" t="inlineStr"/>
      <c r="AO233" s="77" t="inlineStr">
        <is>
          <t>UK</t>
        </is>
      </c>
      <c r="AP233" s="77" t="inlineStr">
        <is>
          <t>UK – Russell Group</t>
        </is>
      </c>
      <c r="AQ233" s="77" t="inlineStr">
        <is>
          <t>Unclear</t>
        </is>
      </c>
      <c r="AR233" s="77" t="inlineStr">
        <is>
          <t>Unclear</t>
        </is>
      </c>
      <c r="AS233" s="77" t="inlineStr"/>
    </row>
    <row r="234">
      <c r="A234" s="77" t="inlineStr">
        <is>
          <t>RG13</t>
        </is>
      </c>
      <c r="B234" s="77" t="inlineStr">
        <is>
          <t>London School of Economics</t>
        </is>
      </c>
      <c r="C234" s="77" t="inlineStr">
        <is>
          <t>Programme/course</t>
        </is>
      </c>
      <c r="D234" s="77" t="inlineStr">
        <is>
          <t>RG13-S11</t>
        </is>
      </c>
      <c r="E234" s="77" t="inlineStr"/>
      <c r="F234" s="77" t="inlineStr">
        <is>
          <t>No</t>
        </is>
      </c>
      <c r="G234" s="79" t="inlineStr">
        <is>
          <t>Social Innovation and Entrepreneurship Fundamentals (year-long partner group project)</t>
        </is>
      </c>
      <c r="H234" s="77" t="inlineStr">
        <is>
          <t>Social Innovation and Entrepreneurship Fundamentals (year-long partner group project)</t>
        </is>
      </c>
      <c r="I234" s="77" t="inlineStr">
        <is>
          <t>MG4G6</t>
        </is>
      </c>
      <c r="J234" s="77" t="inlineStr">
        <is>
          <t>Compulsory MSc Social Innovation and Entrepreneurship course with a year-long applied group project with a real (social) organisation in a developing-country setting, including a virtual research week (AT Week 6) and in-country fieldwork (recent cohorts: Kenya, South Africa).</t>
        </is>
      </c>
      <c r="K234" s="77" t="inlineStr">
        <is>
          <t>Department of Management</t>
        </is>
      </c>
      <c r="L234" s="77" t="inlineStr">
        <is>
          <t>MSc Social Innovation and Entrepreneurship</t>
        </is>
      </c>
      <c r="M234" s="77" t="inlineStr">
        <is>
          <t>Business/management</t>
        </is>
      </c>
      <c r="N234" s="77" t="inlineStr">
        <is>
          <t>Postgraduate taught</t>
        </is>
      </c>
      <c r="O234" s="77" t="inlineStr"/>
      <c r="P234" s="77" t="inlineStr"/>
      <c r="Q234" s="77" t="inlineStr">
        <is>
          <t>Compulsory within specified programmes</t>
        </is>
      </c>
      <c r="R234" s="77" t="inlineStr">
        <is>
          <t>Curricular</t>
        </is>
      </c>
      <c r="S234" s="77" t="inlineStr">
        <is>
          <t>Project component 45% of MG4G6 assessment, including an element of group work</t>
        </is>
      </c>
      <c r="T234" s="77" t="inlineStr">
        <is>
          <t>Autumn and Winter Terms</t>
        </is>
      </c>
      <c r="U234" s="77" t="inlineStr">
        <is>
          <t>Group project with virtual research week and international field trip</t>
        </is>
      </c>
      <c r="V234" s="77" t="inlineStr">
        <is>
          <t>Yes</t>
        </is>
      </c>
      <c r="W234" s="77" t="inlineStr">
        <is>
          <t>Year-long applied project on a social impact challenge; project worth 45% [1][2].</t>
        </is>
      </c>
      <c r="X234" s="77" t="inlineStr">
        <is>
          <t>Yes</t>
        </is>
      </c>
      <c r="Y234" s="77" t="inlineStr">
        <is>
          <t>'year-long applied group project' [2]; project component includes group work [1].</t>
        </is>
      </c>
      <c r="Z234" s="77" t="inlineStr">
        <is>
          <t>Yes</t>
        </is>
      </c>
      <c r="AA234" s="77" t="inlineStr">
        <is>
          <t>Students 'work with a real organisation on a social impact challenge' [2]; partner organisation in a developing-country setting with fieldwork [1][3].</t>
        </is>
      </c>
      <c r="AB234" s="77" t="inlineStr">
        <is>
          <t>Unclear</t>
        </is>
      </c>
      <c r="AC234" s="77" t="inlineStr">
        <is>
          <t>Partner organisation sets/hosts social impact challenge</t>
        </is>
      </c>
      <c r="AD234" s="77" t="inlineStr"/>
      <c r="AE234" s="77" t="inlineStr">
        <is>
          <t>Group project output (form not specified)</t>
        </is>
      </c>
      <c r="AF234" s="77">
        <f>IF(OR(V234="No",X234="No",Z234="No"),"Outside strict definition",IF(AND(V234="Yes",X234="Yes",Z234="Yes"),"Meets all three","Potentially relevant; evidence incomplete"))</f>
        <v/>
      </c>
      <c r="AG234" s="77" t="inlineStr">
        <is>
          <t>Current delivery confirmed</t>
        </is>
      </c>
      <c r="AH234" s="77" t="inlineStr">
        <is>
          <t>2026/27</t>
        </is>
      </c>
      <c r="AI234" s="77" t="inlineStr">
        <is>
          <t>Yes</t>
        </is>
      </c>
      <c r="AJ234" s="77">
        <f>IF(AND(AI234="Yes",AF234="Meets all three",AG234="Current delivery confirmed"),"Yes","No")</f>
        <v/>
      </c>
      <c r="AK234" s="77" t="inlineStr"/>
      <c r="AL234" s="77" t="inlineStr">
        <is>
          <t>RG13-S11-R1; RG13-S11-R2; RG13-S11-R3</t>
        </is>
      </c>
      <c r="AM234" s="77" t="inlineStr">
        <is>
          <t>Partner type (social enterprise, NGO or business) and what output the partner receives; separate 'consulting Capstone' option with a client organisation (course code not found; group basis unknown).</t>
        </is>
      </c>
      <c r="AN234" s="77" t="inlineStr"/>
      <c r="AO234" s="77" t="inlineStr">
        <is>
          <t>UK</t>
        </is>
      </c>
      <c r="AP234" s="77" t="inlineStr">
        <is>
          <t>UK – Russell Group</t>
        </is>
      </c>
      <c r="AQ234" s="77" t="inlineStr">
        <is>
          <t>Unclear</t>
        </is>
      </c>
      <c r="AR234" s="77" t="inlineStr">
        <is>
          <t>Unclear</t>
        </is>
      </c>
      <c r="AS234" s="77" t="inlineStr"/>
    </row>
    <row r="235">
      <c r="A235" s="77" t="inlineStr">
        <is>
          <t>RG13</t>
        </is>
      </c>
      <c r="B235" s="77" t="inlineStr">
        <is>
          <t>London School of Economics</t>
        </is>
      </c>
      <c r="C235" s="77" t="inlineStr">
        <is>
          <t>Programme/course</t>
        </is>
      </c>
      <c r="D235" s="77" t="inlineStr">
        <is>
          <t>RG13-S12</t>
        </is>
      </c>
      <c r="E235" s="77" t="inlineStr"/>
      <c r="F235" s="77" t="inlineStr">
        <is>
          <t>No</t>
        </is>
      </c>
      <c r="G235" s="79" t="inlineStr">
        <is>
          <t>Capstone Project (MSc Data Science)</t>
        </is>
      </c>
      <c r="H235" s="77" t="inlineStr">
        <is>
          <t>Capstone Project (MSc Data Science)</t>
        </is>
      </c>
      <c r="I235" s="77" t="inlineStr">
        <is>
          <t>ST498</t>
        </is>
      </c>
      <c r="J235" s="77" t="inlineStr">
        <is>
          <t>Compulsory MSc Data Science capstone: groups carry out a real-world data science project suggested by a partner (often companies; sometimes LSE academics/professional services), using partner data, jointly supervised by LSE faculty and partner collaborators, sometimes on partner premises; group report (max 50 pages).</t>
        </is>
      </c>
      <c r="K235" s="77" t="inlineStr">
        <is>
          <t>Department of Statistics</t>
        </is>
      </c>
      <c r="L235" s="77" t="inlineStr">
        <is>
          <t>MSc Data Science</t>
        </is>
      </c>
      <c r="M235" s="77" t="inlineStr">
        <is>
          <t>Science</t>
        </is>
      </c>
      <c r="N235" s="77" t="inlineStr">
        <is>
          <t>Postgraduate taught</t>
        </is>
      </c>
      <c r="O235" s="77" t="inlineStr"/>
      <c r="P235" s="77" t="inlineStr"/>
      <c r="Q235" s="77" t="inlineStr">
        <is>
          <t>Compulsory within specified programmes</t>
        </is>
      </c>
      <c r="R235" s="77" t="inlineStr">
        <is>
          <t>Curricular</t>
        </is>
      </c>
      <c r="S235" s="77" t="inlineStr">
        <is>
          <t>1 unit; project 100% (group report, max 50 pages, August)</t>
        </is>
      </c>
      <c r="T235" s="77" t="inlineStr">
        <is>
          <t>c. November to August</t>
        </is>
      </c>
      <c r="U235" s="77" t="inlineStr">
        <is>
          <t>Group project with partner</t>
        </is>
      </c>
      <c r="V235" s="77" t="inlineStr">
        <is>
          <t>Yes</t>
        </is>
      </c>
      <c r="W235" s="77" t="inlineStr">
        <is>
          <t>Partner-suggested research project with data; draft (June) and final (August) group report [1].</t>
        </is>
      </c>
      <c r="X235" s="77" t="inlineStr">
        <is>
          <t>Yes</t>
        </is>
      </c>
      <c r="Y235" s="77" t="inlineStr">
        <is>
          <t>Assessed by a group report [1].</t>
        </is>
      </c>
      <c r="Z235" s="77" t="inlineStr">
        <is>
          <t>Yes</t>
        </is>
      </c>
      <c r="AA235" s="77" t="inlineStr">
        <is>
          <t>Industry partner suggests the project, may provide data and co-supervises with weekly/bi-weekly meetings [1]; 20+ partners listed [2]. Caveat: some partners are internal LSE academics/professional services [3], so C holds for most but not all teams.</t>
        </is>
      </c>
      <c r="AB235" s="77" t="inlineStr">
        <is>
          <t>Mixed</t>
        </is>
      </c>
      <c r="AC235" s="77" t="inlineStr">
        <is>
          <t>Proposes project, provides data, co-supervises</t>
        </is>
      </c>
      <c r="AD235" s="77" t="inlineStr">
        <is>
          <t>Deloitte, Mastercard, Meta, Microsoft, Moody's, Sky, Transport for London, Wise, World Trade Organization (partnerships page, undated)</t>
        </is>
      </c>
      <c r="AE235" s="77" t="inlineStr">
        <is>
          <t>Group report</t>
        </is>
      </c>
      <c r="AF235" s="77">
        <f>IF(OR(V235="No",X235="No",Z235="No"),"Outside strict definition",IF(AND(V235="Yes",X235="Yes",Z235="Yes"),"Meets all three","Potentially relevant; evidence incomplete"))</f>
        <v/>
      </c>
      <c r="AG235" s="77" t="inlineStr">
        <is>
          <t>Current delivery confirmed</t>
        </is>
      </c>
      <c r="AH235" s="77" t="inlineStr">
        <is>
          <t>2025/26</t>
        </is>
      </c>
      <c r="AI235" s="77" t="inlineStr">
        <is>
          <t>Yes</t>
        </is>
      </c>
      <c r="AJ235" s="77">
        <f>IF(AND(AI235="Yes",AF235="Meets all three",AG235="Current delivery confirmed"),"Yes","No")</f>
        <v/>
      </c>
      <c r="AK235" s="77" t="inlineStr">
        <is>
          <t>49 students (2024/25) per course guide</t>
        </is>
      </c>
      <c r="AL235" s="77" t="inlineStr">
        <is>
          <t>RG13-S12-R1; RG13-S12-R2; RG13-S12-R3; RG13-S12-R4</t>
        </is>
      </c>
      <c r="AM235" s="77" t="inlineStr"/>
      <c r="AN235" s="77" t="inlineStr"/>
      <c r="AO235" s="77" t="inlineStr">
        <is>
          <t>UK</t>
        </is>
      </c>
      <c r="AP235" s="77" t="inlineStr">
        <is>
          <t>UK – Russell Group</t>
        </is>
      </c>
      <c r="AQ235" s="77" t="inlineStr">
        <is>
          <t>Unclear</t>
        </is>
      </c>
      <c r="AR235" s="77" t="inlineStr">
        <is>
          <t>Unclear</t>
        </is>
      </c>
      <c r="AS235" s="77" t="inlineStr"/>
    </row>
    <row r="236">
      <c r="A236" s="77" t="inlineStr">
        <is>
          <t>RG13</t>
        </is>
      </c>
      <c r="B236" s="77" t="inlineStr">
        <is>
          <t>London School of Economics</t>
        </is>
      </c>
      <c r="C236" s="77" t="inlineStr">
        <is>
          <t>Programme/course</t>
        </is>
      </c>
      <c r="D236" s="77" t="inlineStr">
        <is>
          <t>RG13-S13</t>
        </is>
      </c>
      <c r="E236" s="77" t="inlineStr"/>
      <c r="F236" s="77" t="inlineStr">
        <is>
          <t>No</t>
        </is>
      </c>
      <c r="G236" s="79" t="inlineStr">
        <is>
          <t>Project in Operations Research &amp; Analytics</t>
        </is>
      </c>
      <c r="H236" s="77" t="inlineStr">
        <is>
          <t>Project in Operations Research &amp; Analytics</t>
        </is>
      </c>
      <c r="I236" s="77" t="inlineStr">
        <is>
          <t>MA425</t>
        </is>
      </c>
      <c r="J236" s="77" t="inlineStr">
        <is>
          <t>MSc Operations Research &amp; Analytics summer project, typically a consulting-like placement with an industry, government or non-profit partner, full-time June-August, possibly at the client site; alternative to MA426 dissertation.</t>
        </is>
      </c>
      <c r="K236" s="77" t="inlineStr">
        <is>
          <t>Department of Mathematics</t>
        </is>
      </c>
      <c r="L236" s="77" t="inlineStr">
        <is>
          <t>MSc Operations Research &amp; Analytics</t>
        </is>
      </c>
      <c r="M236" s="77" t="inlineStr">
        <is>
          <t>Science</t>
        </is>
      </c>
      <c r="N236" s="77" t="inlineStr">
        <is>
          <t>Postgraduate taught</t>
        </is>
      </c>
      <c r="O236" s="77" t="inlineStr"/>
      <c r="P236" s="77" t="inlineStr"/>
      <c r="Q236" s="77" t="inlineStr">
        <is>
          <t>Optional/elective</t>
        </is>
      </c>
      <c r="R236" s="77" t="inlineStr">
        <is>
          <t>Curricular</t>
        </is>
      </c>
      <c r="S236" s="77" t="inlineStr">
        <is>
          <t>1 unit; project 100%</t>
        </is>
      </c>
      <c r="T236" s="77" t="inlineStr">
        <is>
          <t>Early June - end of August</t>
        </is>
      </c>
      <c r="U236" s="77" t="inlineStr">
        <is>
          <t>Consulting-style placement project</t>
        </is>
      </c>
      <c r="V236" s="77" t="inlineStr">
        <is>
          <t>Yes</t>
        </is>
      </c>
      <c r="W236" s="77" t="inlineStr">
        <is>
          <t>Consulting-like project for a partner, assessed as project 100% [1].</t>
        </is>
      </c>
      <c r="X236" s="77" t="inlineStr">
        <is>
          <t>Unclear</t>
        </is>
      </c>
      <c r="Y236" s="77" t="inlineStr">
        <is>
          <t>No evidence whether projects are done individually or in teams; placement format suggests individual work.</t>
        </is>
      </c>
      <c r="Z236" s="77" t="inlineStr">
        <is>
          <t>Yes</t>
        </is>
      </c>
      <c r="AA236" s="77" t="inlineStr">
        <is>
          <t>Projects with industry, government or non-profit partners, possibly at client site [1][2].</t>
        </is>
      </c>
      <c r="AB236" s="77" t="inlineStr">
        <is>
          <t>Mixed</t>
        </is>
      </c>
      <c r="AC236" s="77" t="inlineStr">
        <is>
          <t>Client/host</t>
        </is>
      </c>
      <c r="AD236" s="77" t="inlineStr">
        <is>
          <t>Amazon, BT, British Airways, Emirates, FICO, Ford, Just Eat, Legal and General, National Audit Office, Transport for London ('past and present', undated)</t>
        </is>
      </c>
      <c r="AE236" s="77" t="inlineStr">
        <is>
          <t>Project report</t>
        </is>
      </c>
      <c r="AF236" s="77">
        <f>IF(OR(V236="No",X236="No",Z236="No"),"Outside strict definition",IF(AND(V236="Yes",X236="Yes",Z236="Yes"),"Meets all three","Potentially relevant; evidence incomplete"))</f>
        <v/>
      </c>
      <c r="AG236" s="77" t="inlineStr">
        <is>
          <t>Current delivery confirmed</t>
        </is>
      </c>
      <c r="AH236" s="77" t="inlineStr">
        <is>
          <t>2026/27</t>
        </is>
      </c>
      <c r="AI236" s="77" t="inlineStr">
        <is>
          <t>Yes</t>
        </is>
      </c>
      <c r="AJ236" s="77">
        <f>IF(AND(AI236="Yes",AF236="Meets all three",AG236="Current delivery confirmed"),"Yes","No")</f>
        <v/>
      </c>
      <c r="AK236" s="77" t="inlineStr"/>
      <c r="AL236" s="77" t="inlineStr">
        <is>
          <t>RG13-S13-R1; RG13-S13-R2</t>
        </is>
      </c>
      <c r="AM236" s="77" t="inlineStr"/>
      <c r="AN236" s="77" t="inlineStr"/>
      <c r="AO236" s="77" t="inlineStr">
        <is>
          <t>UK</t>
        </is>
      </c>
      <c r="AP236" s="77" t="inlineStr">
        <is>
          <t>UK – Russell Group</t>
        </is>
      </c>
      <c r="AQ236" s="77" t="inlineStr">
        <is>
          <t>Unclear</t>
        </is>
      </c>
      <c r="AR236" s="77" t="inlineStr">
        <is>
          <t>Unclear</t>
        </is>
      </c>
      <c r="AS236" s="77" t="inlineStr"/>
    </row>
    <row r="237">
      <c r="A237" s="77" t="inlineStr">
        <is>
          <t>RG13</t>
        </is>
      </c>
      <c r="B237" s="77" t="inlineStr">
        <is>
          <t>London School of Economics</t>
        </is>
      </c>
      <c r="C237" s="77" t="inlineStr">
        <is>
          <t>Programme/course</t>
        </is>
      </c>
      <c r="D237" s="77" t="inlineStr">
        <is>
          <t>RG13-S14</t>
        </is>
      </c>
      <c r="E237" s="77" t="inlineStr"/>
      <c r="F237" s="77" t="inlineStr">
        <is>
          <t>No</t>
        </is>
      </c>
      <c r="G237" s="79" t="inlineStr">
        <is>
          <t>MPA Capstone Project</t>
        </is>
      </c>
      <c r="H237" s="77" t="inlineStr">
        <is>
          <t>MPA Capstone Project</t>
        </is>
      </c>
      <c r="I237" s="77" t="inlineStr">
        <is>
          <t>PP4B3</t>
        </is>
      </c>
      <c r="J237" s="77" t="inlineStr">
        <is>
          <t>Six-month capstone in year 2 of the MPA (and LSE dual MPAs): groups of 3-6 work October-March on a public policy problem defined by an external client organisation, supervised by LSE staff, producing a 15,000-word report and group presentation; the client awards 20% of the mark.</t>
        </is>
      </c>
      <c r="K237" s="77" t="inlineStr">
        <is>
          <t>School of Public Policy</t>
        </is>
      </c>
      <c r="L237" s="77" t="inlineStr">
        <is>
          <t>MPA; LSE-Sciences Po, Hertie, NUS and Tokyo dual MPAs</t>
        </is>
      </c>
      <c r="M237" s="77" t="inlineStr">
        <is>
          <t>Arts/humanities/social sciences</t>
        </is>
      </c>
      <c r="N237" s="77" t="inlineStr">
        <is>
          <t>Postgraduate taught</t>
        </is>
      </c>
      <c r="O237" s="77" t="inlineStr">
        <is>
          <t>Year 2 of MPA</t>
        </is>
      </c>
      <c r="P237" s="77" t="inlineStr"/>
      <c r="Q237" s="77" t="inlineStr">
        <is>
          <t>Compulsory within specified programmes</t>
        </is>
      </c>
      <c r="R237" s="77" t="inlineStr">
        <is>
          <t>Curricular</t>
        </is>
      </c>
      <c r="S237" s="77" t="inlineStr">
        <is>
          <t>1 unit; project 100% (15,000 words): client 20%, two academic readers 50%, supervisor 30%</t>
        </is>
      </c>
      <c r="T237" s="77" t="inlineStr">
        <is>
          <t>October - March</t>
        </is>
      </c>
      <c r="U237" s="77" t="inlineStr">
        <is>
          <t>Team client consultancy</t>
        </is>
      </c>
      <c r="V237" s="77" t="inlineStr">
        <is>
          <t>Yes</t>
        </is>
      </c>
      <c r="W237" s="77" t="inlineStr">
        <is>
          <t>Public policy problem defined by client; project report and presentation [1][2].</t>
        </is>
      </c>
      <c r="X237" s="77" t="inlineStr">
        <is>
          <t>Yes</t>
        </is>
      </c>
      <c r="Y237" s="77" t="inlineStr">
        <is>
          <t>Group project in teams usually of 3 to 6 [1][2].</t>
        </is>
      </c>
      <c r="Z237" s="77" t="inlineStr">
        <is>
          <t>Yes</t>
        </is>
      </c>
      <c r="AA237" s="77" t="inlineStr">
        <is>
          <t>Issue defined by the client organisation; client assesses 20% of mark based on presentation and report [1][2].</t>
        </is>
      </c>
      <c r="AB237" s="77" t="inlineStr">
        <is>
          <t>Mixed</t>
        </is>
      </c>
      <c r="AC237" s="77" t="inlineStr">
        <is>
          <t>Client: defines problem, receives report/presentation, marks 20%</t>
        </is>
      </c>
      <c r="AD237" s="77" t="inlineStr">
        <is>
          <t>Recent partners listed: Goldman Sachs, Unilever, UNDP, UNICEF, OECD, Migration Policy Institute, NHS England (capstone page, undated)</t>
        </is>
      </c>
      <c r="AE237" s="77" t="inlineStr">
        <is>
          <t>15,000-word report + group presentation to client</t>
        </is>
      </c>
      <c r="AF237" s="77">
        <f>IF(OR(V237="No",X237="No",Z237="No"),"Outside strict definition",IF(AND(V237="Yes",X237="Yes",Z237="Yes"),"Meets all three","Potentially relevant; evidence incomplete"))</f>
        <v/>
      </c>
      <c r="AG237" s="77" t="inlineStr">
        <is>
          <t>Current delivery confirmed</t>
        </is>
      </c>
      <c r="AH237" s="77" t="inlineStr">
        <is>
          <t>2025/26 (2026/27 guide published)</t>
        </is>
      </c>
      <c r="AI237" s="77" t="inlineStr">
        <is>
          <t>Yes</t>
        </is>
      </c>
      <c r="AJ237" s="77">
        <f>IF(AND(AI237="Yes",AF237="Meets all three",AG237="Current delivery confirmed"),"Yes","No")</f>
        <v/>
      </c>
      <c r="AK237" s="77" t="inlineStr"/>
      <c r="AL237" s="77" t="inlineStr">
        <is>
          <t>RG13-S14-R1; RG13-S14-R2</t>
        </is>
      </c>
      <c r="AM237" s="77" t="inlineStr"/>
      <c r="AN237" s="77" t="inlineStr"/>
      <c r="AO237" s="77" t="inlineStr">
        <is>
          <t>UK</t>
        </is>
      </c>
      <c r="AP237" s="77" t="inlineStr">
        <is>
          <t>UK – Russell Group</t>
        </is>
      </c>
      <c r="AQ237" s="77" t="inlineStr">
        <is>
          <t>Unclear</t>
        </is>
      </c>
      <c r="AR237" s="77" t="inlineStr">
        <is>
          <t>Unclear</t>
        </is>
      </c>
      <c r="AS237" s="77" t="inlineStr"/>
    </row>
    <row r="238">
      <c r="A238" s="77" t="inlineStr">
        <is>
          <t>RG13</t>
        </is>
      </c>
      <c r="B238" s="77" t="inlineStr">
        <is>
          <t>London School of Economics</t>
        </is>
      </c>
      <c r="C238" s="77" t="inlineStr">
        <is>
          <t>Programme/course</t>
        </is>
      </c>
      <c r="D238" s="77" t="inlineStr">
        <is>
          <t>RG13-S15</t>
        </is>
      </c>
      <c r="E238" s="77" t="inlineStr"/>
      <c r="F238" s="77" t="inlineStr">
        <is>
          <t>No</t>
        </is>
      </c>
      <c r="G238" s="79" t="inlineStr">
        <is>
          <t>Capstone Project: MPA - Data Science for Public Policy</t>
        </is>
      </c>
      <c r="H238" s="77" t="inlineStr">
        <is>
          <t>Capstone Project: MPA - Data Science for Public Policy</t>
        </is>
      </c>
      <c r="I238" s="77" t="inlineStr">
        <is>
          <t>PP4B5</t>
        </is>
      </c>
      <c r="J238" s="77" t="inlineStr">
        <is>
          <t>Capstone for the MPA in Data Science for Public Policy: groups of 3-6 undertake a project for an external client that can be tackled with quantitative/data-science tools.</t>
        </is>
      </c>
      <c r="K238" s="77" t="inlineStr">
        <is>
          <t>School of Public Policy</t>
        </is>
      </c>
      <c r="L238" s="77" t="inlineStr">
        <is>
          <t>MPA in Data Science for Public Policy</t>
        </is>
      </c>
      <c r="M238" s="77" t="inlineStr">
        <is>
          <t>Arts/humanities/social sciences</t>
        </is>
      </c>
      <c r="N238" s="77" t="inlineStr">
        <is>
          <t>Postgraduate taught</t>
        </is>
      </c>
      <c r="O238" s="77" t="inlineStr"/>
      <c r="P238" s="77" t="inlineStr"/>
      <c r="Q238" s="77" t="inlineStr">
        <is>
          <t>Unclear</t>
        </is>
      </c>
      <c r="R238" s="77" t="inlineStr">
        <is>
          <t>Curricular</t>
        </is>
      </c>
      <c r="S238" s="77" t="inlineStr"/>
      <c r="T238" s="77" t="inlineStr"/>
      <c r="U238" s="77" t="inlineStr"/>
      <c r="V238" s="77" t="inlineStr">
        <is>
          <t>Yes</t>
        </is>
      </c>
      <c r="W238" s="77" t="inlineStr">
        <is>
          <t>Client project tackled with data-science tools [1].</t>
        </is>
      </c>
      <c r="X238" s="77" t="inlineStr">
        <is>
          <t>Yes</t>
        </is>
      </c>
      <c r="Y238" s="77" t="inlineStr">
        <is>
          <t>Group project in teams usually of 3 to 6 [1].</t>
        </is>
      </c>
      <c r="Z238" s="77" t="inlineStr">
        <is>
          <t>Yes</t>
        </is>
      </c>
      <c r="AA238" s="77" t="inlineStr">
        <is>
          <t>Project for an external client; clients include public bodies, companies, international organisations, think tanks, NGOs [1].</t>
        </is>
      </c>
      <c r="AB238" s="77" t="inlineStr">
        <is>
          <t>Mixed</t>
        </is>
      </c>
      <c r="AC238" s="77" t="inlineStr">
        <is>
          <t>Client</t>
        </is>
      </c>
      <c r="AD238" s="77" t="inlineStr"/>
      <c r="AE238" s="77" t="inlineStr">
        <is>
          <t>Client report/presentation (details not retrieved)</t>
        </is>
      </c>
      <c r="AF238" s="77">
        <f>IF(OR(V238="No",X238="No",Z238="No"),"Outside strict definition",IF(AND(V238="Yes",X238="Yes",Z238="Yes"),"Meets all three","Potentially relevant; evidence incomplete"))</f>
        <v/>
      </c>
      <c r="AG238" s="77" t="inlineStr">
        <is>
          <t>Current delivery confirmed</t>
        </is>
      </c>
      <c r="AH238" s="77" t="inlineStr">
        <is>
          <t>2025/26</t>
        </is>
      </c>
      <c r="AI238" s="77" t="inlineStr">
        <is>
          <t>Yes</t>
        </is>
      </c>
      <c r="AJ238" s="77">
        <f>IF(AND(AI238="Yes",AF238="Meets all three",AG238="Current delivery confirmed"),"Yes","No")</f>
        <v/>
      </c>
      <c r="AK238" s="77" t="inlineStr"/>
      <c r="AL238" s="77" t="inlineStr">
        <is>
          <t>RG13-S15-R1</t>
        </is>
      </c>
      <c r="AM238" s="77" t="inlineStr">
        <is>
          <t>Assessment split and whether compulsory (likely, by analogy with PP4B3; not evidenced).</t>
        </is>
      </c>
      <c r="AN238" s="77" t="inlineStr"/>
      <c r="AO238" s="77" t="inlineStr">
        <is>
          <t>UK</t>
        </is>
      </c>
      <c r="AP238" s="77" t="inlineStr">
        <is>
          <t>UK – Russell Group</t>
        </is>
      </c>
      <c r="AQ238" s="77" t="inlineStr">
        <is>
          <t>Unclear</t>
        </is>
      </c>
      <c r="AR238" s="77" t="inlineStr">
        <is>
          <t>Unclear</t>
        </is>
      </c>
      <c r="AS238" s="77" t="inlineStr"/>
    </row>
    <row r="239">
      <c r="A239" s="77" t="inlineStr">
        <is>
          <t>RG13</t>
        </is>
      </c>
      <c r="B239" s="77" t="inlineStr">
        <is>
          <t>London School of Economics</t>
        </is>
      </c>
      <c r="C239" s="77" t="inlineStr">
        <is>
          <t>Programme/course</t>
        </is>
      </c>
      <c r="D239" s="77" t="inlineStr">
        <is>
          <t>RG13-S16</t>
        </is>
      </c>
      <c r="E239" s="77" t="inlineStr"/>
      <c r="F239" s="77" t="inlineStr">
        <is>
          <t>No</t>
        </is>
      </c>
      <c r="G239" s="79" t="inlineStr">
        <is>
          <t>Executive MPP Capstone Project</t>
        </is>
      </c>
      <c r="H239" s="77" t="inlineStr">
        <is>
          <t>Executive MPP Capstone Project</t>
        </is>
      </c>
      <c r="I239" s="77" t="inlineStr">
        <is>
          <t>PP4B3E</t>
        </is>
      </c>
      <c r="J239" s="77" t="inlineStr">
        <is>
          <t>Half-unit capstone for the Executive Master of Public Policy: teams of c.3-5 work intensively for one week on a public policy problem identified jointly by the Civil Service and LSE academics.</t>
        </is>
      </c>
      <c r="K239" s="77" t="inlineStr">
        <is>
          <t>School of Public Policy</t>
        </is>
      </c>
      <c r="L239" s="77" t="inlineStr">
        <is>
          <t>Executive Master of Public Policy</t>
        </is>
      </c>
      <c r="M239" s="77" t="inlineStr">
        <is>
          <t>Arts/humanities/social sciences</t>
        </is>
      </c>
      <c r="N239" s="77" t="inlineStr">
        <is>
          <t>Postgraduate taught</t>
        </is>
      </c>
      <c r="O239" s="77" t="inlineStr"/>
      <c r="P239" s="77" t="inlineStr"/>
      <c r="Q239" s="77" t="inlineStr">
        <is>
          <t>Unclear</t>
        </is>
      </c>
      <c r="R239" s="77" t="inlineStr">
        <is>
          <t>Curricular</t>
        </is>
      </c>
      <c r="S239" s="77" t="inlineStr">
        <is>
          <t>Half unit</t>
        </is>
      </c>
      <c r="T239" s="77" t="inlineStr">
        <is>
          <t>One week (intensive)</t>
        </is>
      </c>
      <c r="U239" s="77" t="inlineStr">
        <is>
          <t>Team policy project</t>
        </is>
      </c>
      <c r="V239" s="77" t="inlineStr">
        <is>
          <t>Yes</t>
        </is>
      </c>
      <c r="W239" s="77" t="inlineStr">
        <is>
          <t>Defined public policy problem worked on as a capstone project [1].</t>
        </is>
      </c>
      <c r="X239" s="77" t="inlineStr">
        <is>
          <t>Yes</t>
        </is>
      </c>
      <c r="Y239" s="77" t="inlineStr">
        <is>
          <t>Teams of roughly 3 to 5 [1].</t>
        </is>
      </c>
      <c r="Z239" s="77" t="inlineStr">
        <is>
          <t>Yes</t>
        </is>
      </c>
      <c r="AA239" s="77" t="inlineStr">
        <is>
          <t>The Civil Service is the client and jointly identifies the problem with LSE academics [1].</t>
        </is>
      </c>
      <c r="AB239" s="77" t="inlineStr">
        <is>
          <t>Public sector</t>
        </is>
      </c>
      <c r="AC239" s="77" t="inlineStr">
        <is>
          <t>Client; co-defines problem</t>
        </is>
      </c>
      <c r="AD239" s="77" t="inlineStr"/>
      <c r="AE239" s="77" t="inlineStr">
        <is>
          <t>Not specified in extract</t>
        </is>
      </c>
      <c r="AF239" s="77">
        <f>IF(OR(V239="No",X239="No",Z239="No"),"Outside strict definition",IF(AND(V239="Yes",X239="Yes",Z239="Yes"),"Meets all three","Potentially relevant; evidence incomplete"))</f>
        <v/>
      </c>
      <c r="AG239" s="77" t="inlineStr">
        <is>
          <t>Current delivery confirmed</t>
        </is>
      </c>
      <c r="AH239" s="77" t="inlineStr">
        <is>
          <t>2025/26</t>
        </is>
      </c>
      <c r="AI239" s="77" t="inlineStr">
        <is>
          <t>Yes</t>
        </is>
      </c>
      <c r="AJ239" s="77">
        <f>IF(AND(AI239="Yes",AF239="Meets all three",AG239="Current delivery confirmed"),"Yes","No")</f>
        <v/>
      </c>
      <c r="AK239" s="77" t="inlineStr"/>
      <c r="AL239" s="77" t="inlineStr">
        <is>
          <t>RG13-S16-R1</t>
        </is>
      </c>
      <c r="AM239" s="77" t="inlineStr">
        <is>
          <t>Short duration (one week) makes 'substantive' borderline; output and client role in assessment not retrieved.</t>
        </is>
      </c>
      <c r="AN239" s="77" t="inlineStr"/>
      <c r="AO239" s="77" t="inlineStr">
        <is>
          <t>UK</t>
        </is>
      </c>
      <c r="AP239" s="77" t="inlineStr">
        <is>
          <t>UK – Russell Group</t>
        </is>
      </c>
      <c r="AQ239" s="77" t="inlineStr">
        <is>
          <t>Unclear</t>
        </is>
      </c>
      <c r="AR239" s="77" t="inlineStr">
        <is>
          <t>Unclear</t>
        </is>
      </c>
      <c r="AS239" s="77" t="inlineStr"/>
    </row>
    <row r="240">
      <c r="A240" s="77" t="inlineStr">
        <is>
          <t>RG13</t>
        </is>
      </c>
      <c r="B240" s="77" t="inlineStr">
        <is>
          <t>London School of Economics</t>
        </is>
      </c>
      <c r="C240" s="77" t="inlineStr">
        <is>
          <t>Programme/course</t>
        </is>
      </c>
      <c r="D240" s="77" t="inlineStr">
        <is>
          <t>RG13-S17</t>
        </is>
      </c>
      <c r="E240" s="77" t="inlineStr"/>
      <c r="F240" s="77" t="inlineStr">
        <is>
          <t>No</t>
        </is>
      </c>
      <c r="G240" s="79" t="inlineStr">
        <is>
          <t>Philosophy, Politics and Economics: Capstone</t>
        </is>
      </c>
      <c r="H240" s="77" t="inlineStr">
        <is>
          <t>Philosophy, Politics and Economics: Capstone</t>
        </is>
      </c>
      <c r="I240" s="77" t="inlineStr">
        <is>
          <t>GV343</t>
        </is>
      </c>
      <c r="J240" s="77" t="inlineStr">
        <is>
          <t>Compulsory fourth-year BSc PPE half unit: small teams under a faculty supervisor research a practical policy problem set by an external client over an intensive 11-week Autumn Term, presenting findings and submitting a written report to the client; projects showcased at the PPE showcase.</t>
        </is>
      </c>
      <c r="K240" s="77" t="inlineStr">
        <is>
          <t>Department of Government / PPE</t>
        </is>
      </c>
      <c r="L240" s="77" t="inlineStr">
        <is>
          <t>BSc Philosophy, Politics and Economics (incl. with Year Abroad)</t>
        </is>
      </c>
      <c r="M240" s="77" t="inlineStr">
        <is>
          <t>Arts/humanities/social sciences</t>
        </is>
      </c>
      <c r="N240" s="77" t="inlineStr">
        <is>
          <t>Undergraduate</t>
        </is>
      </c>
      <c r="O240" s="77" t="inlineStr">
        <is>
          <t>Year 4</t>
        </is>
      </c>
      <c r="P240" s="77" t="inlineStr"/>
      <c r="Q240" s="77" t="inlineStr">
        <is>
          <t>Compulsory within specified programmes</t>
        </is>
      </c>
      <c r="R240" s="77" t="inlineStr">
        <is>
          <t>Curricular</t>
        </is>
      </c>
      <c r="S240" s="77" t="inlineStr">
        <is>
          <t>Half unit; presentation 20% (AT Week 11) + project 80% (8,000-word report)</t>
        </is>
      </c>
      <c r="T240" s="77" t="inlineStr">
        <is>
          <t>Autumn Term (11 weeks)</t>
        </is>
      </c>
      <c r="U240" s="77" t="inlineStr">
        <is>
          <t>Team client policy project</t>
        </is>
      </c>
      <c r="V240" s="77" t="inlineStr">
        <is>
          <t>Yes</t>
        </is>
      </c>
      <c r="W240" s="77" t="inlineStr">
        <is>
          <t>Research and analysis to address a practical policy issue for a client; 8,000-word report and presentation [1][2].</t>
        </is>
      </c>
      <c r="X240" s="77" t="inlineStr">
        <is>
          <t>Yes</t>
        </is>
      </c>
      <c r="Y240" s="77" t="inlineStr">
        <is>
          <t>Requires groups of students to carry out research; each team works under a faculty supervisor [1][2].</t>
        </is>
      </c>
      <c r="Z240" s="77" t="inlineStr">
        <is>
          <t>Yes</t>
        </is>
      </c>
      <c r="AA240" s="77" t="inlineStr">
        <is>
          <t>Practical policy problem set by an external client; written report submitted to the client [2]; past client projects e.g. Twaweza, Amazon Web Services (2023 showcase) [3].</t>
        </is>
      </c>
      <c r="AB240" s="77" t="inlineStr">
        <is>
          <t>Mixed</t>
        </is>
      </c>
      <c r="AC240" s="77" t="inlineStr">
        <is>
          <t>Client: sets problem, receives report</t>
        </is>
      </c>
      <c r="AD240" s="77" t="inlineStr">
        <is>
          <t>Twaweza; Amazon Web Services (2023 showcase)</t>
        </is>
      </c>
      <c r="AE240" s="77" t="inlineStr">
        <is>
          <t>8,000-word report and presentation to client</t>
        </is>
      </c>
      <c r="AF240" s="77">
        <f>IF(OR(V240="No",X240="No",Z240="No"),"Outside strict definition",IF(AND(V240="Yes",X240="Yes",Z240="Yes"),"Meets all three","Potentially relevant; evidence incomplete"))</f>
        <v/>
      </c>
      <c r="AG240" s="77" t="inlineStr">
        <is>
          <t>Current delivery confirmed</t>
        </is>
      </c>
      <c r="AH240" s="77" t="inlineStr">
        <is>
          <t>2025/26 (2026 showcase 8 May 2026)</t>
        </is>
      </c>
      <c r="AI240" s="77" t="inlineStr">
        <is>
          <t>Yes</t>
        </is>
      </c>
      <c r="AJ240" s="77">
        <f>IF(AND(AI240="Yes",AF240="Meets all three",AG240="Current delivery confirmed"),"Yes","No")</f>
        <v/>
      </c>
      <c r="AK240" s="77" t="inlineStr"/>
      <c r="AL240" s="77" t="inlineStr">
        <is>
          <t>RG13-S17-R1; RG13-S17-R2; RG13-S17-R3; RG13-S17-R4</t>
        </is>
      </c>
      <c r="AM240" s="77" t="inlineStr"/>
      <c r="AN240" s="77" t="inlineStr"/>
      <c r="AO240" s="77" t="inlineStr">
        <is>
          <t>UK</t>
        </is>
      </c>
      <c r="AP240" s="77" t="inlineStr">
        <is>
          <t>UK – Russell Group</t>
        </is>
      </c>
      <c r="AQ240" s="77" t="inlineStr">
        <is>
          <t>Unclear</t>
        </is>
      </c>
      <c r="AR240" s="77" t="inlineStr">
        <is>
          <t>Unclear</t>
        </is>
      </c>
      <c r="AS240" s="77" t="inlineStr"/>
    </row>
    <row r="241">
      <c r="A241" s="77" t="inlineStr">
        <is>
          <t>RG13</t>
        </is>
      </c>
      <c r="B241" s="77" t="inlineStr">
        <is>
          <t>London School of Economics</t>
        </is>
      </c>
      <c r="C241" s="77" t="inlineStr">
        <is>
          <t>Faculty/school</t>
        </is>
      </c>
      <c r="D241" s="77" t="inlineStr">
        <is>
          <t>RG13-S18</t>
        </is>
      </c>
      <c r="E241" s="77" t="inlineStr"/>
      <c r="F241" s="77" t="inlineStr">
        <is>
          <t>Yes</t>
        </is>
      </c>
      <c r="G241" s="79" t="inlineStr">
        <is>
          <t>International Development Consultancy Projects</t>
        </is>
      </c>
      <c r="H241" s="77" t="inlineStr">
        <is>
          <t>International Development Consultancy Projects</t>
        </is>
      </c>
      <c r="I241" s="77" t="inlineStr">
        <is>
          <t>DV443 / DV453 / DV466</t>
        </is>
      </c>
      <c r="J241" s="77" t="inlineStr">
        <is>
          <t>Department of International Development model in which MSc teams (3-6) produce a consultancy report and presentation for an external client (international organisations, governments, NGOs, companies) on Terms of Reference proposed by the client and vetted by LSE, October-March.</t>
        </is>
      </c>
      <c r="K241" s="77" t="inlineStr">
        <is>
          <t>Department of International Development</t>
        </is>
      </c>
      <c r="L241" s="77" t="inlineStr">
        <is>
          <t>Specified ID MSc programmes (see children)</t>
        </is>
      </c>
      <c r="M241" s="77" t="inlineStr">
        <is>
          <t>Arts/humanities/social sciences</t>
        </is>
      </c>
      <c r="N241" s="77" t="inlineStr">
        <is>
          <t>Postgraduate taught</t>
        </is>
      </c>
      <c r="O241" s="77" t="inlineStr"/>
      <c r="P241" s="77" t="inlineStr"/>
      <c r="Q241" s="77" t="inlineStr">
        <is>
          <t>Compulsory within specified programmes</t>
        </is>
      </c>
      <c r="R241" s="77" t="inlineStr">
        <is>
          <t>Curricular</t>
        </is>
      </c>
      <c r="S241" s="77" t="inlineStr">
        <is>
          <t>Department assessment page: group project and report 80%, reflective learning report 10%, group presentation 10%</t>
        </is>
      </c>
      <c r="T241" s="77" t="inlineStr"/>
      <c r="U241" s="77" t="inlineStr"/>
      <c r="V241" s="77" t="inlineStr">
        <is>
          <t>Yes</t>
        </is>
      </c>
      <c r="W241" s="77" t="inlineStr">
        <is>
          <t>Report for a client on a problem relevant to its activities [1].</t>
        </is>
      </c>
      <c r="X241" s="77" t="inlineStr">
        <is>
          <t>Yes</t>
        </is>
      </c>
      <c r="Y241" s="77" t="inlineStr">
        <is>
          <t>Teams of 3-5 [1].</t>
        </is>
      </c>
      <c r="Z241" s="77" t="inlineStr">
        <is>
          <t>Yes</t>
        </is>
      </c>
      <c r="AA241" s="77" t="inlineStr">
        <is>
          <t>Clients submit proposals/draft Terms of Reference and refine scope with the team; report and presentation to client [1].</t>
        </is>
      </c>
      <c r="AB241" s="77" t="inlineStr">
        <is>
          <t>Mixed</t>
        </is>
      </c>
      <c r="AC241" s="77" t="inlineStr">
        <is>
          <t>Client</t>
        </is>
      </c>
      <c r="AD241" s="77" t="inlineStr">
        <is>
          <t>Past clients (undated page): DfID, UNOCHA, World Bank, UNDP, UNICEF, UNHCR, NATO, UK Foreign Office, CARE, Oxfam, MSF, Fairtrade Foundation, Shell, Wedu</t>
        </is>
      </c>
      <c r="AE241" s="77" t="inlineStr"/>
      <c r="AF241" s="77">
        <f>IF(OR(V241="No",X241="No",Z241="No"),"Outside strict definition",IF(AND(V241="Yes",X241="Yes",Z241="Yes"),"Meets all three","Potentially relevant; evidence incomplete"))</f>
        <v/>
      </c>
      <c r="AG241" s="77" t="inlineStr">
        <is>
          <t>Current delivery confirmed</t>
        </is>
      </c>
      <c r="AH241" s="77" t="inlineStr">
        <is>
          <t>2025/26</t>
        </is>
      </c>
      <c r="AI241" s="77" t="inlineStr">
        <is>
          <t>No</t>
        </is>
      </c>
      <c r="AJ241" s="77">
        <f>IF(AND(AI241="Yes",AF241="Meets all three",AG241="Current delivery confirmed"),"Yes","No")</f>
        <v/>
      </c>
      <c r="AK241" s="77" t="inlineStr"/>
      <c r="AL241" s="77" t="inlineStr">
        <is>
          <t>RG13-S18-R1; RG13-S18-R2</t>
        </is>
      </c>
      <c r="AM241" s="77" t="inlineStr"/>
      <c r="AN241" s="77" t="inlineStr"/>
      <c r="AO241" s="77" t="inlineStr">
        <is>
          <t>UK</t>
        </is>
      </c>
      <c r="AP241" s="77" t="inlineStr">
        <is>
          <t>UK – Russell Group</t>
        </is>
      </c>
      <c r="AQ241" s="77" t="inlineStr">
        <is>
          <t>Unclear</t>
        </is>
      </c>
      <c r="AR241" s="77" t="inlineStr">
        <is>
          <t>Unclear</t>
        </is>
      </c>
      <c r="AS241" s="77" t="inlineStr">
        <is>
          <t>No (umbrella; children counted)</t>
        </is>
      </c>
    </row>
    <row r="242">
      <c r="A242" s="77" t="inlineStr">
        <is>
          <t>RG13</t>
        </is>
      </c>
      <c r="B242" s="77" t="inlineStr">
        <is>
          <t>London School of Economics</t>
        </is>
      </c>
      <c r="C242" s="77" t="inlineStr">
        <is>
          <t>Programme/course</t>
        </is>
      </c>
      <c r="D242" s="77" t="inlineStr">
        <is>
          <t>RG13-S19</t>
        </is>
      </c>
      <c r="E242" s="77" t="inlineStr">
        <is>
          <t>RG13-S18</t>
        </is>
      </c>
      <c r="F242" s="77" t="inlineStr">
        <is>
          <t>No</t>
        </is>
      </c>
      <c r="G242" s="79" t="inlineStr">
        <is>
          <t>Development Management Consultancy Project</t>
        </is>
      </c>
      <c r="H242" s="77" t="inlineStr">
        <is>
          <t>Development Management Consultancy Project</t>
        </is>
      </c>
      <c r="I242" s="77" t="inlineStr">
        <is>
          <t>DV443</t>
        </is>
      </c>
      <c r="J242" s="77" t="inlineStr">
        <is>
          <t>Half unit: teams of 3-6 undertake a live consultancy project for a real client under client-provided Terms of Reference, starting Autumn Term with client reports due in Winter Term and final client presentations.</t>
        </is>
      </c>
      <c r="K242" s="77" t="inlineStr">
        <is>
          <t>Department of International Development</t>
        </is>
      </c>
      <c r="L242" s="77" t="inlineStr">
        <is>
          <t>MSc Development Management (Applied Development Economics) and LSE-Sciences Po variants (compulsory); MSc Development Management (Political Economy) (available)</t>
        </is>
      </c>
      <c r="M242" s="77" t="inlineStr">
        <is>
          <t>Arts/humanities/social sciences</t>
        </is>
      </c>
      <c r="N242" s="77" t="inlineStr">
        <is>
          <t>Postgraduate taught</t>
        </is>
      </c>
      <c r="O242" s="77" t="inlineStr"/>
      <c r="P242" s="77" t="inlineStr"/>
      <c r="Q242" s="77" t="inlineStr">
        <is>
          <t>Compulsory within specified programmes</t>
        </is>
      </c>
      <c r="R242" s="77" t="inlineStr">
        <is>
          <t>Curricular</t>
        </is>
      </c>
      <c r="S242" s="77" t="inlineStr">
        <is>
          <t>Half unit; weightings inconsistent across sources (guide: project 70% 8,000 words, oral 20%, presentation 10%; dept page: 80/10/10)</t>
        </is>
      </c>
      <c r="T242" s="77" t="inlineStr">
        <is>
          <t>Autumn - Winter Term</t>
        </is>
      </c>
      <c r="U242" s="77" t="inlineStr">
        <is>
          <t>Team client consultancy</t>
        </is>
      </c>
      <c r="V242" s="77" t="inlineStr">
        <is>
          <t>Yes</t>
        </is>
      </c>
      <c r="W242" s="77" t="inlineStr">
        <is>
          <t>Live consultancy project with ToR; client report [1].</t>
        </is>
      </c>
      <c r="X242" s="77" t="inlineStr">
        <is>
          <t>Yes</t>
        </is>
      </c>
      <c r="Y242" s="77" t="inlineStr">
        <is>
          <t>Working as part of a team; teams usually 3-6 [1].</t>
        </is>
      </c>
      <c r="Z242" s="77" t="inlineStr">
        <is>
          <t>Yes</t>
        </is>
      </c>
      <c r="AA242" s="77" t="inlineStr">
        <is>
          <t>Real client provides Terms of Reference; client reports and presentations scheduled with client [1].</t>
        </is>
      </c>
      <c r="AB242" s="77" t="inlineStr">
        <is>
          <t>Mixed</t>
        </is>
      </c>
      <c r="AC242" s="77" t="inlineStr">
        <is>
          <t>Client</t>
        </is>
      </c>
      <c r="AD242" s="77" t="inlineStr"/>
      <c r="AE242" s="77" t="inlineStr">
        <is>
          <t>Client report (8,000 words) + presentation</t>
        </is>
      </c>
      <c r="AF242" s="77">
        <f>IF(OR(V242="No",X242="No",Z242="No"),"Outside strict definition",IF(AND(V242="Yes",X242="Yes",Z242="Yes"),"Meets all three","Potentially relevant; evidence incomplete"))</f>
        <v/>
      </c>
      <c r="AG242" s="77" t="inlineStr">
        <is>
          <t>Current delivery confirmed</t>
        </is>
      </c>
      <c r="AH242" s="77" t="inlineStr">
        <is>
          <t>2025/26</t>
        </is>
      </c>
      <c r="AI242" s="77" t="inlineStr">
        <is>
          <t>Yes</t>
        </is>
      </c>
      <c r="AJ242" s="77">
        <f>IF(AND(AI242="Yes",AF242="Meets all three",AG242="Current delivery confirmed"),"Yes","No")</f>
        <v/>
      </c>
      <c r="AK242" s="77" t="inlineStr">
        <is>
          <t>101 students (2024/25) per course guide</t>
        </is>
      </c>
      <c r="AL242" s="77" t="inlineStr">
        <is>
          <t>RG13-S19-R1</t>
        </is>
      </c>
      <c r="AM242" s="77" t="inlineStr"/>
      <c r="AN242" s="77" t="inlineStr"/>
      <c r="AO242" s="77" t="inlineStr">
        <is>
          <t>UK</t>
        </is>
      </c>
      <c r="AP242" s="77" t="inlineStr">
        <is>
          <t>UK – Russell Group</t>
        </is>
      </c>
      <c r="AQ242" s="77" t="inlineStr">
        <is>
          <t>Unclear</t>
        </is>
      </c>
      <c r="AR242" s="77" t="inlineStr">
        <is>
          <t>Unclear</t>
        </is>
      </c>
      <c r="AS242" s="77" t="inlineStr"/>
    </row>
    <row r="243">
      <c r="A243" s="77" t="inlineStr">
        <is>
          <t>RG13</t>
        </is>
      </c>
      <c r="B243" s="77" t="inlineStr">
        <is>
          <t>London School of Economics</t>
        </is>
      </c>
      <c r="C243" s="77" t="inlineStr">
        <is>
          <t>Programme/course</t>
        </is>
      </c>
      <c r="D243" s="77" t="inlineStr">
        <is>
          <t>RG13-S20</t>
        </is>
      </c>
      <c r="E243" s="77" t="inlineStr">
        <is>
          <t>RG13-S18</t>
        </is>
      </c>
      <c r="F243" s="77" t="inlineStr">
        <is>
          <t>No</t>
        </is>
      </c>
      <c r="G243" s="79" t="inlineStr">
        <is>
          <t>Health and International Development Consultancy Project</t>
        </is>
      </c>
      <c r="H243" s="77" t="inlineStr">
        <is>
          <t>Health and International Development Consultancy Project</t>
        </is>
      </c>
      <c r="I243" s="77" t="inlineStr">
        <is>
          <t>DV453</t>
        </is>
      </c>
      <c r="J243" s="77" t="inlineStr">
        <is>
          <t>Half-unit consultancy project in the same format (team report for an external client) for MSc Health and International Development (guaranteed place) and MSc Development Studies (optional, controlled access).</t>
        </is>
      </c>
      <c r="K243" s="77" t="inlineStr">
        <is>
          <t>Department of International Development</t>
        </is>
      </c>
      <c r="L243" s="77" t="inlineStr">
        <is>
          <t>MSc Health and International Development; MSc Development Studies</t>
        </is>
      </c>
      <c r="M243" s="77" t="inlineStr">
        <is>
          <t>Arts/humanities/social sciences</t>
        </is>
      </c>
      <c r="N243" s="77" t="inlineStr">
        <is>
          <t>Postgraduate taught</t>
        </is>
      </c>
      <c r="O243" s="77" t="inlineStr"/>
      <c r="P243" s="77" t="inlineStr"/>
      <c r="Q243" s="77" t="inlineStr">
        <is>
          <t>Optional/elective</t>
        </is>
      </c>
      <c r="R243" s="77" t="inlineStr">
        <is>
          <t>Curricular</t>
        </is>
      </c>
      <c r="S243" s="77" t="inlineStr">
        <is>
          <t>Half unit; report 80% (8,000 words), presentation 10%, learning log 10% (2026/27 guide)</t>
        </is>
      </c>
      <c r="T243" s="77" t="inlineStr"/>
      <c r="U243" s="77" t="inlineStr"/>
      <c r="V243" s="77" t="inlineStr">
        <is>
          <t>Yes</t>
        </is>
      </c>
      <c r="W243" s="77" t="inlineStr">
        <is>
          <t>Consultancy report and presentation [1][2].</t>
        </is>
      </c>
      <c r="X243" s="77" t="inlineStr">
        <is>
          <t>Yes</t>
        </is>
      </c>
      <c r="Y243" s="77" t="inlineStr">
        <is>
          <t>Department consultancy-project model: teams of 3-5 [3]; DV453-specific team wording not retrieved.</t>
        </is>
      </c>
      <c r="Z243" s="77" t="inlineStr">
        <is>
          <t>Yes</t>
        </is>
      </c>
      <c r="AA243" s="77" t="inlineStr">
        <is>
          <t>Department consultancy-project page: clients submit proposals/draft ToR and receive the report [3]; DV453 course-guide client wording not retrieved verbatim.</t>
        </is>
      </c>
      <c r="AB243" s="77" t="inlineStr">
        <is>
          <t>Mixed</t>
        </is>
      </c>
      <c r="AC243" s="77" t="inlineStr">
        <is>
          <t>Client</t>
        </is>
      </c>
      <c r="AD243" s="77" t="inlineStr"/>
      <c r="AE243" s="77" t="inlineStr"/>
      <c r="AF243" s="77">
        <f>IF(OR(V243="No",X243="No",Z243="No"),"Outside strict definition",IF(AND(V243="Yes",X243="Yes",Z243="Yes"),"Meets all three","Potentially relevant; evidence incomplete"))</f>
        <v/>
      </c>
      <c r="AG243" s="77" t="inlineStr">
        <is>
          <t>Current delivery confirmed</t>
        </is>
      </c>
      <c r="AH243" s="77" t="inlineStr">
        <is>
          <t>2026/27</t>
        </is>
      </c>
      <c r="AI243" s="77" t="inlineStr">
        <is>
          <t>Yes</t>
        </is>
      </c>
      <c r="AJ243" s="77">
        <f>IF(AND(AI243="Yes",AF243="Meets all three",AG243="Current delivery confirmed"),"Yes","No")</f>
        <v/>
      </c>
      <c r="AK243" s="77" t="inlineStr"/>
      <c r="AL243" s="77" t="inlineStr">
        <is>
          <t>RG13-S20-R1; RG13-S20-R2; RG13-S20-R3</t>
        </is>
      </c>
      <c r="AM243" s="77" t="inlineStr">
        <is>
          <t>Compulsory vs optional status conflicts across 2023 handbook/2024-25 info; course-guide extract does not itself quote client involvement.</t>
        </is>
      </c>
      <c r="AN243" s="77" t="inlineStr"/>
      <c r="AO243" s="77" t="inlineStr">
        <is>
          <t>UK</t>
        </is>
      </c>
      <c r="AP243" s="77" t="inlineStr">
        <is>
          <t>UK – Russell Group</t>
        </is>
      </c>
      <c r="AQ243" s="77" t="inlineStr">
        <is>
          <t>Unclear</t>
        </is>
      </c>
      <c r="AR243" s="77" t="inlineStr">
        <is>
          <t>Unclear</t>
        </is>
      </c>
      <c r="AS243" s="77" t="inlineStr"/>
    </row>
    <row r="244">
      <c r="A244" s="77" t="inlineStr">
        <is>
          <t>RG13</t>
        </is>
      </c>
      <c r="B244" s="77" t="inlineStr">
        <is>
          <t>London School of Economics</t>
        </is>
      </c>
      <c r="C244" s="77" t="inlineStr">
        <is>
          <t>Programme/course</t>
        </is>
      </c>
      <c r="D244" s="77" t="inlineStr">
        <is>
          <t>RG13-S21</t>
        </is>
      </c>
      <c r="E244" s="77" t="inlineStr">
        <is>
          <t>RG13-S18</t>
        </is>
      </c>
      <c r="F244" s="77" t="inlineStr">
        <is>
          <t>No</t>
        </is>
      </c>
      <c r="G244" s="79" t="inlineStr">
        <is>
          <t>Humanitarian Consultancy Project</t>
        </is>
      </c>
      <c r="H244" s="77" t="inlineStr">
        <is>
          <t>Humanitarian Consultancy Project</t>
        </is>
      </c>
      <c r="I244" s="77" t="inlineStr">
        <is>
          <t>DV466</t>
        </is>
      </c>
      <c r="J244" s="77" t="inlineStr">
        <is>
          <t>Compulsory half unit for MSc International Development and Humanitarian Emergencies: students work in a small team on a live consultancy project for a real humanitarian, development or emergency-based organisation.</t>
        </is>
      </c>
      <c r="K244" s="77" t="inlineStr">
        <is>
          <t>Department of International Development</t>
        </is>
      </c>
      <c r="L244" s="77" t="inlineStr">
        <is>
          <t>MSc International Development and Humanitarian Emergencies</t>
        </is>
      </c>
      <c r="M244" s="77" t="inlineStr">
        <is>
          <t>Arts/humanities/social sciences</t>
        </is>
      </c>
      <c r="N244" s="77" t="inlineStr">
        <is>
          <t>Postgraduate taught</t>
        </is>
      </c>
      <c r="O244" s="77" t="inlineStr"/>
      <c r="P244" s="77" t="inlineStr"/>
      <c r="Q244" s="77" t="inlineStr">
        <is>
          <t>Compulsory within specified programmes</t>
        </is>
      </c>
      <c r="R244" s="77" t="inlineStr">
        <is>
          <t>Curricular</t>
        </is>
      </c>
      <c r="S244" s="77" t="inlineStr">
        <is>
          <t>Half unit (Paper 2 of programme regulations)</t>
        </is>
      </c>
      <c r="T244" s="77" t="inlineStr"/>
      <c r="U244" s="77" t="inlineStr"/>
      <c r="V244" s="77" t="inlineStr">
        <is>
          <t>Yes</t>
        </is>
      </c>
      <c r="W244" s="77" t="inlineStr">
        <is>
          <t>Live consultancy project on a current policy issue [1][3].</t>
        </is>
      </c>
      <c r="X244" s="77" t="inlineStr">
        <is>
          <t>Yes</t>
        </is>
      </c>
      <c r="Y244" s="77" t="inlineStr">
        <is>
          <t>Work in a small team [3].</t>
        </is>
      </c>
      <c r="Z244" s="77" t="inlineStr">
        <is>
          <t>Yes</t>
        </is>
      </c>
      <c r="AA244" s="77" t="inlineStr">
        <is>
          <t>Live consultancy project for a real client (humanitarian/development/emergency organisation) [1][3].</t>
        </is>
      </c>
      <c r="AB244" s="77" t="inlineStr">
        <is>
          <t>Mixed</t>
        </is>
      </c>
      <c r="AC244" s="77" t="inlineStr">
        <is>
          <t>Client</t>
        </is>
      </c>
      <c r="AD244" s="77" t="inlineStr">
        <is>
          <t>Programme page lists e.g. UNICEF, UNHCR, ICRC, Save the Children (undated)</t>
        </is>
      </c>
      <c r="AE244" s="77" t="inlineStr"/>
      <c r="AF244" s="77">
        <f>IF(OR(V244="No",X244="No",Z244="No"),"Outside strict definition",IF(AND(V244="Yes",X244="Yes",Z244="Yes"),"Meets all three","Potentially relevant; evidence incomplete"))</f>
        <v/>
      </c>
      <c r="AG244" s="77" t="inlineStr">
        <is>
          <t>Current delivery confirmed</t>
        </is>
      </c>
      <c r="AH244" s="77" t="inlineStr">
        <is>
          <t>2025/26</t>
        </is>
      </c>
      <c r="AI244" s="77" t="inlineStr">
        <is>
          <t>Yes</t>
        </is>
      </c>
      <c r="AJ244" s="77">
        <f>IF(AND(AI244="Yes",AF244="Meets all three",AG244="Current delivery confirmed"),"Yes","No")</f>
        <v/>
      </c>
      <c r="AK244" s="77" t="inlineStr"/>
      <c r="AL244" s="77" t="inlineStr">
        <is>
          <t>RG13-S21-R1; RG13-S21-R2; RG13-S21-R3</t>
        </is>
      </c>
      <c r="AM244" s="77" t="inlineStr"/>
      <c r="AN244" s="77" t="inlineStr"/>
      <c r="AO244" s="77" t="inlineStr">
        <is>
          <t>UK</t>
        </is>
      </c>
      <c r="AP244" s="77" t="inlineStr">
        <is>
          <t>UK – Russell Group</t>
        </is>
      </c>
      <c r="AQ244" s="77" t="inlineStr">
        <is>
          <t>Unclear</t>
        </is>
      </c>
      <c r="AR244" s="77" t="inlineStr">
        <is>
          <t>Unclear</t>
        </is>
      </c>
      <c r="AS244" s="77" t="inlineStr"/>
    </row>
    <row r="245">
      <c r="A245" s="77" t="inlineStr">
        <is>
          <t>RG13</t>
        </is>
      </c>
      <c r="B245" s="77" t="inlineStr">
        <is>
          <t>London School of Economics</t>
        </is>
      </c>
      <c r="C245" s="77" t="inlineStr">
        <is>
          <t>Programme/course</t>
        </is>
      </c>
      <c r="D245" s="77" t="inlineStr">
        <is>
          <t>RG13-S22</t>
        </is>
      </c>
      <c r="E245" s="77" t="inlineStr"/>
      <c r="F245" s="77" t="inlineStr">
        <is>
          <t>No</t>
        </is>
      </c>
      <c r="G245" s="79" t="inlineStr">
        <is>
          <t>Urban Policy and Planning (applied consultancy project)</t>
        </is>
      </c>
      <c r="H245" s="77" t="inlineStr">
        <is>
          <t>Urban Policy and Planning (applied consultancy project)</t>
        </is>
      </c>
      <c r="I245" s="77" t="inlineStr">
        <is>
          <t>GY454</t>
        </is>
      </c>
      <c r="J245" s="77" t="inlineStr">
        <is>
          <t>Half-unit Winter Term course whose centrepiece assessment is a team consultancy exercise in which students act as planning consultants responding to a 'live or archival' planning brief set by a 'typical type of client'.</t>
        </is>
      </c>
      <c r="K245" s="77" t="inlineStr">
        <is>
          <t>Department of Geography and Environment</t>
        </is>
      </c>
      <c r="L245" s="77" t="inlineStr">
        <is>
          <t>Geography &amp; Environment MSc programmes (not confirmed)</t>
        </is>
      </c>
      <c r="M245" s="77" t="inlineStr">
        <is>
          <t>Arts/humanities/social sciences</t>
        </is>
      </c>
      <c r="N245" s="77" t="inlineStr">
        <is>
          <t>Postgraduate taught</t>
        </is>
      </c>
      <c r="O245" s="77" t="inlineStr"/>
      <c r="P245" s="77" t="inlineStr"/>
      <c r="Q245" s="77" t="inlineStr">
        <is>
          <t>Unclear</t>
        </is>
      </c>
      <c r="R245" s="77" t="inlineStr">
        <is>
          <t>Curricular</t>
        </is>
      </c>
      <c r="S245" s="77" t="inlineStr">
        <is>
          <t>Half unit; assessment includes an element of group work</t>
        </is>
      </c>
      <c r="T245" s="77" t="inlineStr">
        <is>
          <t>Winter Term</t>
        </is>
      </c>
      <c r="U245" s="77" t="inlineStr"/>
      <c r="V245" s="77" t="inlineStr">
        <is>
          <t>Yes</t>
        </is>
      </c>
      <c r="W245" s="77" t="inlineStr">
        <is>
          <t>Applied consultancy project responding to a planning brief [1].</t>
        </is>
      </c>
      <c r="X245" s="77" t="inlineStr">
        <is>
          <t>Yes</t>
        </is>
      </c>
      <c r="Y245" s="77" t="inlineStr">
        <is>
          <t>'Working in teams, students act as professional planning consultants' [1].</t>
        </is>
      </c>
      <c r="Z245" s="77" t="inlineStr">
        <is>
          <t>Unclear</t>
        </is>
      </c>
      <c r="AA245" s="77" t="inlineStr">
        <is>
          <t>Brief may be live or archival and is set by 'a typical type of client' - no evidence a real organisation supplies it or receives outputs [1].</t>
        </is>
      </c>
      <c r="AB245" s="77" t="inlineStr">
        <is>
          <t>Unclear</t>
        </is>
      </c>
      <c r="AC245" s="77" t="inlineStr">
        <is>
          <t>Not evidenced</t>
        </is>
      </c>
      <c r="AD245" s="77" t="inlineStr"/>
      <c r="AE245" s="77" t="inlineStr"/>
      <c r="AF245" s="77">
        <f>IF(OR(V245="No",X245="No",Z245="No"),"Outside strict definition",IF(AND(V245="Yes",X245="Yes",Z245="Yes"),"Meets all three","Potentially relevant; evidence incomplete"))</f>
        <v/>
      </c>
      <c r="AG245" s="77" t="inlineStr">
        <is>
          <t>Current delivery confirmed</t>
        </is>
      </c>
      <c r="AH245" s="77" t="inlineStr">
        <is>
          <t>2026/27</t>
        </is>
      </c>
      <c r="AI245" s="77" t="inlineStr">
        <is>
          <t>Yes</t>
        </is>
      </c>
      <c r="AJ245" s="77">
        <f>IF(AND(AI245="Yes",AF245="Meets all three",AG245="Current delivery confirmed"),"Yes","No")</f>
        <v/>
      </c>
      <c r="AK245" s="77" t="inlineStr"/>
      <c r="AL245" s="77" t="inlineStr">
        <is>
          <t>RG13-S22-R1</t>
        </is>
      </c>
      <c r="AM245" s="77" t="inlineStr">
        <is>
          <t>Whether live briefs come from real planning authorities/developers in any year.</t>
        </is>
      </c>
      <c r="AN245" s="77" t="inlineStr"/>
      <c r="AO245" s="77" t="inlineStr">
        <is>
          <t>UK</t>
        </is>
      </c>
      <c r="AP245" s="77" t="inlineStr">
        <is>
          <t>UK – Russell Group</t>
        </is>
      </c>
      <c r="AQ245" s="77" t="inlineStr">
        <is>
          <t>Unclear</t>
        </is>
      </c>
      <c r="AR245" s="77" t="inlineStr">
        <is>
          <t>Unclear</t>
        </is>
      </c>
      <c r="AS245" s="77" t="inlineStr"/>
    </row>
    <row r="246">
      <c r="A246" s="77" t="inlineStr">
        <is>
          <t>RG13</t>
        </is>
      </c>
      <c r="B246" s="77" t="inlineStr">
        <is>
          <t>London School of Economics</t>
        </is>
      </c>
      <c r="C246" s="77" t="inlineStr">
        <is>
          <t>Cross-faculty</t>
        </is>
      </c>
      <c r="D246" s="77" t="inlineStr">
        <is>
          <t>RG13-S23</t>
        </is>
      </c>
      <c r="E246" s="77" t="inlineStr"/>
      <c r="F246" s="77" t="inlineStr">
        <is>
          <t>No</t>
        </is>
      </c>
      <c r="G246" s="79" t="inlineStr">
        <is>
          <t>LSE Legal Advice Centre Sustainability Clinic</t>
        </is>
      </c>
      <c r="H246" s="77" t="inlineStr">
        <is>
          <t>LSE Legal Advice Centre Sustainability Clinic</t>
        </is>
      </c>
      <c r="I246" s="77" t="inlineStr"/>
      <c r="J246" s="77" t="inlineStr">
        <is>
          <t>Part of the Legal Advice Centre 'Sustainability and the Rule of Law' projects (led by Dr Marie Petersmann): c.12-20 students from LLB, BA Anthropology and Law, LLM and other master's programmes work in collaborative teams on ecological issues, drafting policy reports for environmental NGOs/charities, memos to UN Special Rapporteurs and amicus briefs; e.g. a ClientEarth (Accountable Finance) collaboration producing a report on banks' liability for financed emissions, presented to an expert panel.</t>
        </is>
      </c>
      <c r="K246" s="77" t="inlineStr">
        <is>
          <t>LSE Law School - Legal Advice Centre</t>
        </is>
      </c>
      <c r="L246" s="77" t="inlineStr">
        <is>
          <t>LLB, BA Anthropology and Law, LLM and various Master's programmes</t>
        </is>
      </c>
      <c r="M246" s="77" t="inlineStr">
        <is>
          <t>Other (law, health, design, architecture…)</t>
        </is>
      </c>
      <c r="N246" s="77" t="inlineStr">
        <is>
          <t>Mixed</t>
        </is>
      </c>
      <c r="O246" s="77" t="inlineStr"/>
      <c r="P246" s="77" t="inlineStr"/>
      <c r="Q246" s="77" t="inlineStr">
        <is>
          <t>Selective/competitive</t>
        </is>
      </c>
      <c r="R246" s="77" t="inlineStr">
        <is>
          <t>Unclear</t>
        </is>
      </c>
      <c r="S246" s="77" t="inlineStr"/>
      <c r="T246" s="77" t="inlineStr"/>
      <c r="U246" s="77" t="inlineStr"/>
      <c r="V246" s="77" t="inlineStr">
        <is>
          <t>Yes</t>
        </is>
      </c>
      <c r="W246" s="77" t="inlineStr">
        <is>
          <t>Policy reports, memos and amicus briefs on defined issues; ClientEarth report [1][2].</t>
        </is>
      </c>
      <c r="X246" s="77" t="inlineStr">
        <is>
          <t>Yes</t>
        </is>
      </c>
      <c r="Y246" s="77" t="inlineStr">
        <is>
          <t>Students work in collaborative teams [1].</t>
        </is>
      </c>
      <c r="Z246" s="77" t="inlineStr">
        <is>
          <t>Yes</t>
        </is>
      </c>
      <c r="AA246" s="77" t="inlineStr">
        <is>
          <t>Reports drafted for environmental NGOs and charities [1]; ClientEarth collaboration with ClientEarth specialists training students [2].</t>
        </is>
      </c>
      <c r="AB246" s="77" t="inlineStr">
        <is>
          <t>Charity/community</t>
        </is>
      </c>
      <c r="AC246" s="77" t="inlineStr">
        <is>
          <t>NGO partner sets issue, trains/advises, receives report</t>
        </is>
      </c>
      <c r="AD246" s="77" t="inlineStr">
        <is>
          <t>ClientEarth (year not shown)</t>
        </is>
      </c>
      <c r="AE246" s="77" t="inlineStr">
        <is>
          <t>Policy reports, memos, amicus briefs</t>
        </is>
      </c>
      <c r="AF246" s="77">
        <f>IF(OR(V246="No",X246="No",Z246="No"),"Outside strict definition",IF(AND(V246="Yes",X246="Yes",Z246="Yes"),"Meets all three","Potentially relevant; evidence incomplete"))</f>
        <v/>
      </c>
      <c r="AG246" s="77" t="inlineStr">
        <is>
          <t>Current status unclear</t>
        </is>
      </c>
      <c r="AH246" s="77" t="inlineStr"/>
      <c r="AI246" s="77" t="inlineStr">
        <is>
          <t>Yes</t>
        </is>
      </c>
      <c r="AJ246" s="77">
        <f>IF(AND(AI246="Yes",AF246="Meets all three",AG246="Current delivery confirmed"),"Yes","No")</f>
        <v/>
      </c>
      <c r="AK246" s="77" t="inlineStr">
        <is>
          <t>Approx. 20 students (clinic page, undated); a LAC diary entry gives twelve</t>
        </is>
      </c>
      <c r="AL246" s="77" t="inlineStr">
        <is>
          <t>RG13-S23-R1; RG13-S23-R2</t>
        </is>
      </c>
      <c r="AM246" s="77" t="inlineStr">
        <is>
          <t>Dates of ClientEarth project and current cohort; credit status; course-level eligibility rules.</t>
        </is>
      </c>
      <c r="AN246" s="77" t="inlineStr"/>
      <c r="AO246" s="77" t="inlineStr">
        <is>
          <t>UK</t>
        </is>
      </c>
      <c r="AP246" s="77" t="inlineStr">
        <is>
          <t>UK – Russell Group</t>
        </is>
      </c>
      <c r="AQ246" s="77" t="inlineStr">
        <is>
          <t>Unclear</t>
        </is>
      </c>
      <c r="AR246" s="77" t="inlineStr">
        <is>
          <t>Unclear</t>
        </is>
      </c>
      <c r="AS246" s="77" t="inlineStr"/>
    </row>
    <row r="247">
      <c r="A247" s="77" t="inlineStr">
        <is>
          <t>RG13</t>
        </is>
      </c>
      <c r="B247" s="77" t="inlineStr">
        <is>
          <t>London School of Economics</t>
        </is>
      </c>
      <c r="C247" s="77" t="inlineStr">
        <is>
          <t>Programme/course</t>
        </is>
      </c>
      <c r="D247" s="77" t="inlineStr">
        <is>
          <t>RG13-S24</t>
        </is>
      </c>
      <c r="E247" s="77" t="inlineStr"/>
      <c r="F247" s="77" t="inlineStr">
        <is>
          <t>No</t>
        </is>
      </c>
      <c r="G247" s="79" t="inlineStr">
        <is>
          <t>ECtHR Intervention Clinic</t>
        </is>
      </c>
      <c r="H247" s="77" t="inlineStr">
        <is>
          <t>ECtHR Intervention Clinic</t>
        </is>
      </c>
      <c r="I247" s="77" t="inlineStr"/>
      <c r="J247" s="77" t="inlineStr">
        <is>
          <t>Extra-curricular LLM clinic run by Dr Martin Husovec with the NGO European Information Society Institute (EISi): student teams draft third-party interventions in pending European Court of Human Rights cases on digital liberties (e.g. Podchasov v Russia, 2021; Sanchez v France).</t>
        </is>
      </c>
      <c r="K247" s="77" t="inlineStr">
        <is>
          <t>LSE Law School</t>
        </is>
      </c>
      <c r="L247" s="77" t="inlineStr">
        <is>
          <t>LLM</t>
        </is>
      </c>
      <c r="M247" s="77" t="inlineStr">
        <is>
          <t>Other (law, health, design, architecture…)</t>
        </is>
      </c>
      <c r="N247" s="77" t="inlineStr">
        <is>
          <t>Postgraduate taught</t>
        </is>
      </c>
      <c r="O247" s="77" t="inlineStr"/>
      <c r="P247" s="77" t="inlineStr"/>
      <c r="Q247" s="77" t="inlineStr">
        <is>
          <t>Selective/competitive</t>
        </is>
      </c>
      <c r="R247" s="77" t="inlineStr">
        <is>
          <t>Extracurricular</t>
        </is>
      </c>
      <c r="S247" s="77" t="inlineStr"/>
      <c r="T247" s="77" t="inlineStr"/>
      <c r="U247" s="77" t="inlineStr"/>
      <c r="V247" s="77" t="inlineStr">
        <is>
          <t>Yes</t>
        </is>
      </c>
      <c r="W247" s="77" t="inlineStr">
        <is>
          <t>Third-party intervention briefs filed in specific ECtHR cases [1][2].</t>
        </is>
      </c>
      <c r="X247" s="77" t="inlineStr">
        <is>
          <t>Yes</t>
        </is>
      </c>
      <c r="Y247" s="77" t="inlineStr">
        <is>
          <t>Brief prepared by five LLM students for Podchasov v Russia (2021) [2].</t>
        </is>
      </c>
      <c r="Z247" s="77" t="inlineStr">
        <is>
          <t>Unclear</t>
        </is>
      </c>
      <c r="AA247" s="77" t="inlineStr">
        <is>
          <t>Clinic run with EISi (NGO); not clear whether EISi acts as client/filing party or co-convenor [1].</t>
        </is>
      </c>
      <c r="AB247" s="77" t="inlineStr">
        <is>
          <t>Charity/community</t>
        </is>
      </c>
      <c r="AC247" s="77" t="inlineStr">
        <is>
          <t>NGO co-runs clinic (role unclear)</t>
        </is>
      </c>
      <c r="AD247" s="77" t="inlineStr">
        <is>
          <t>European Information Society Institute (EISi)</t>
        </is>
      </c>
      <c r="AE247" s="77" t="inlineStr">
        <is>
          <t>Third-party intervention submissions to ECtHR</t>
        </is>
      </c>
      <c r="AF247" s="77">
        <f>IF(OR(V247="No",X247="No",Z247="No"),"Outside strict definition",IF(AND(V247="Yes",X247="Yes",Z247="Yes"),"Meets all three","Potentially relevant; evidence incomplete"))</f>
        <v/>
      </c>
      <c r="AG247" s="77" t="inlineStr">
        <is>
          <t>Current status unclear</t>
        </is>
      </c>
      <c r="AH247" s="77" t="inlineStr">
        <is>
          <t>2021 (dated); later Sanchez v France undated</t>
        </is>
      </c>
      <c r="AI247" s="77" t="inlineStr">
        <is>
          <t>Yes</t>
        </is>
      </c>
      <c r="AJ247" s="77">
        <f>IF(AND(AI247="Yes",AF247="Meets all three",AG247="Current delivery confirmed"),"Yes","No")</f>
        <v/>
      </c>
      <c r="AK247" s="77" t="inlineStr"/>
      <c r="AL247" s="77" t="inlineStr">
        <is>
          <t>RG13-S24-R1; RG13-S24-R2</t>
        </is>
      </c>
      <c r="AM247" s="77" t="inlineStr"/>
      <c r="AN247" s="77" t="inlineStr"/>
      <c r="AO247" s="77" t="inlineStr">
        <is>
          <t>UK</t>
        </is>
      </c>
      <c r="AP247" s="77" t="inlineStr">
        <is>
          <t>UK – Russell Group</t>
        </is>
      </c>
      <c r="AQ247" s="77" t="inlineStr">
        <is>
          <t>Unclear</t>
        </is>
      </c>
      <c r="AR247" s="77" t="inlineStr">
        <is>
          <t>Unclear</t>
        </is>
      </c>
      <c r="AS247" s="77" t="inlineStr"/>
    </row>
    <row r="248">
      <c r="A248" s="77" t="inlineStr">
        <is>
          <t>RG14</t>
        </is>
      </c>
      <c r="B248" s="77" t="inlineStr">
        <is>
          <t>Manchester</t>
        </is>
      </c>
      <c r="C248" s="77" t="inlineStr">
        <is>
          <t>Programme/course</t>
        </is>
      </c>
      <c r="D248" s="77" t="inlineStr">
        <is>
          <t>RG14-S01</t>
        </is>
      </c>
      <c r="E248" s="77" t="inlineStr"/>
      <c r="F248" s="77" t="inlineStr">
        <is>
          <t>Yes</t>
        </is>
      </c>
      <c r="G248" s="79" t="inlineStr">
        <is>
          <t>Full-time MBA live client consultancy projects</t>
        </is>
      </c>
      <c r="H248" s="77" t="inlineStr">
        <is>
          <t>Full-time MBA live client consultancy projects</t>
        </is>
      </c>
      <c r="I248" s="77" t="inlineStr"/>
      <c r="J248" s="77" t="inlineStr">
        <is>
          <t>Umbrella: the Alliance MBS Full-time MBA core includes three (or more) group consultancy projects for real clients of increasing complexity, culminating in the International Business Consultancy Project. Project names have changed over time (older: Not-for-Profit, Commercial Business, International Business; current page: Social Impact, Mergers and Acquisitions, Strategic Innovation Consultancy, International Business).</t>
        </is>
      </c>
      <c r="K248" s="77" t="inlineStr">
        <is>
          <t>Alliance Manchester Business School</t>
        </is>
      </c>
      <c r="L248" s="77" t="inlineStr">
        <is>
          <t>Full-time MBA (MBA Manchester)</t>
        </is>
      </c>
      <c r="M248" s="77" t="inlineStr">
        <is>
          <t>Business/management</t>
        </is>
      </c>
      <c r="N248" s="77" t="inlineStr">
        <is>
          <t>Postgraduate taught</t>
        </is>
      </c>
      <c r="O248" s="77" t="inlineStr">
        <is>
          <t>Throughout the programme</t>
        </is>
      </c>
      <c r="P248" s="77" t="inlineStr">
        <is>
          <t>Full-time MBA students only</t>
        </is>
      </c>
      <c r="Q248" s="77" t="inlineStr">
        <is>
          <t>Compulsory within specified programmes</t>
        </is>
      </c>
      <c r="R248" s="77" t="inlineStr">
        <is>
          <t>Curricular</t>
        </is>
      </c>
      <c r="S248" s="77" t="inlineStr">
        <is>
          <t>Core programme components; credit weighting not retrieved</t>
        </is>
      </c>
      <c r="T248" s="77" t="inlineStr">
        <is>
          <t>Several projects across the programme</t>
        </is>
      </c>
      <c r="U248" s="77" t="inlineStr">
        <is>
          <t>In person, client-facing</t>
        </is>
      </c>
      <c r="V248" s="77" t="inlineStr">
        <is>
          <t>Yes</t>
        </is>
      </c>
      <c r="W248" s="77" t="inlineStr">
        <is>
          <t>Group consultancy projects with real clients [1][3].</t>
        </is>
      </c>
      <c r="X248" s="77" t="inlineStr">
        <is>
          <t>Yes</t>
        </is>
      </c>
      <c r="Y248" s="77" t="inlineStr">
        <is>
          <t>'three group consultancy projects' [1]; MBAs work in multinational groups [3].</t>
        </is>
      </c>
      <c r="Z248" s="77" t="inlineStr">
        <is>
          <t>Yes</t>
        </is>
      </c>
      <c r="AA248" s="77" t="inlineStr">
        <is>
          <t>Real clients commission consultancy projects [1][3].</t>
        </is>
      </c>
      <c r="AB248" s="77" t="inlineStr">
        <is>
          <t>Mixed</t>
        </is>
      </c>
      <c r="AC248" s="77" t="inlineStr">
        <is>
          <t>Clients supply briefs and receive consultancy outputs</t>
        </is>
      </c>
      <c r="AD248" s="77" t="inlineStr"/>
      <c r="AE248" s="77" t="inlineStr">
        <is>
          <t>Client presentations and reports</t>
        </is>
      </c>
      <c r="AF248" s="77">
        <f>IF(OR(V248="No",X248="No",Z248="No"),"Outside strict definition",IF(AND(V248="Yes",X248="Yes",Z248="Yes"),"Meets all three","Potentially relevant; evidence incomplete"))</f>
        <v/>
      </c>
      <c r="AG248" s="77" t="inlineStr">
        <is>
          <t>Current delivery confirmed</t>
        </is>
      </c>
      <c r="AH248" s="77" t="inlineStr">
        <is>
          <t>2027 entry (programme page)</t>
        </is>
      </c>
      <c r="AI248" s="77" t="inlineStr">
        <is>
          <t>No</t>
        </is>
      </c>
      <c r="AJ248" s="77">
        <f>IF(AND(AI248="Yes",AF248="Meets all three",AG248="Current delivery confirmed"),"Yes","No")</f>
        <v/>
      </c>
      <c r="AK248" s="77" t="inlineStr"/>
      <c r="AL248" s="77" t="inlineStr">
        <is>
          <t>RG14-S01-R1; RG14-S01-R2; RG14-S01-R3</t>
        </is>
      </c>
      <c r="AM248" s="77" t="inlineStr">
        <is>
          <t>Current-status basis is the 2027-entry programme course-details page (prospectus-level), not a dated cohort; whether the M&amp;A and Strategic Innovation projects always have external clients not verified individually.</t>
        </is>
      </c>
      <c r="AN248" s="77" t="inlineStr"/>
      <c r="AO248" s="77" t="inlineStr">
        <is>
          <t>UK</t>
        </is>
      </c>
      <c r="AP248" s="77" t="inlineStr">
        <is>
          <t>UK – Russell Group</t>
        </is>
      </c>
      <c r="AQ248" s="77" t="inlineStr">
        <is>
          <t>&gt;1 term</t>
        </is>
      </c>
      <c r="AR248" s="77" t="inlineStr">
        <is>
          <t>All/standard</t>
        </is>
      </c>
      <c r="AS248" s="77" t="inlineStr">
        <is>
          <t>No (umbrella; children counted)</t>
        </is>
      </c>
    </row>
    <row r="249">
      <c r="A249" s="77" t="inlineStr">
        <is>
          <t>RG14</t>
        </is>
      </c>
      <c r="B249" s="77" t="inlineStr">
        <is>
          <t>Manchester</t>
        </is>
      </c>
      <c r="C249" s="77" t="inlineStr">
        <is>
          <t>Programme/course</t>
        </is>
      </c>
      <c r="D249" s="77" t="inlineStr">
        <is>
          <t>RG14-S02</t>
        </is>
      </c>
      <c r="E249" s="77" t="inlineStr">
        <is>
          <t>RG14-S01</t>
        </is>
      </c>
      <c r="F249" s="77" t="inlineStr">
        <is>
          <t>No</t>
        </is>
      </c>
      <c r="G249" s="79" t="inlineStr">
        <is>
          <t>International Business Consultancy Project (International Business Project, IBP)</t>
        </is>
      </c>
      <c r="H249" s="77" t="inlineStr">
        <is>
          <t>International Business Project</t>
        </is>
      </c>
      <c r="I249" s="77" t="inlineStr"/>
      <c r="J249" s="77" t="inlineStr">
        <is>
          <t>Final Full-time MBA consultancy: teams of five to six MBAs bid for projects from a range of client organisations (process starts with pitches to senior executives) and act as consultants on a complex international challenge or opportunity, presenting findings and a report to the client.</t>
        </is>
      </c>
      <c r="K249" s="77" t="inlineStr">
        <is>
          <t>Alliance Manchester Business School</t>
        </is>
      </c>
      <c r="L249" s="77" t="inlineStr">
        <is>
          <t>Full-time MBA</t>
        </is>
      </c>
      <c r="M249" s="77" t="inlineStr">
        <is>
          <t>Business/management</t>
        </is>
      </c>
      <c r="N249" s="77" t="inlineStr">
        <is>
          <t>Postgraduate taught</t>
        </is>
      </c>
      <c r="O249" s="77" t="inlineStr">
        <is>
          <t>Final months of the programme</t>
        </is>
      </c>
      <c r="P249" s="77" t="inlineStr">
        <is>
          <t>Full-time MBA students</t>
        </is>
      </c>
      <c r="Q249" s="77" t="inlineStr">
        <is>
          <t>Compulsory within specified programmes</t>
        </is>
      </c>
      <c r="R249" s="77" t="inlineStr">
        <is>
          <t>Curricular</t>
        </is>
      </c>
      <c r="S249" s="77" t="inlineStr">
        <is>
          <t>Not retrieved</t>
        </is>
      </c>
      <c r="T249" s="77" t="inlineStr">
        <is>
          <t>Final months of the MBA; AMBS cites 2,000+ hours of team work / 550 hours live client experience (AMBS estimates; figures vary by page)</t>
        </is>
      </c>
      <c r="U249" s="77" t="inlineStr">
        <is>
          <t>In person; may involve international client</t>
        </is>
      </c>
      <c r="V249" s="77" t="inlineStr">
        <is>
          <t>Yes</t>
        </is>
      </c>
      <c r="W249" s="77" t="inlineStr">
        <is>
          <t>Consultancy project on a client's international challenge/opportunity [1][4].</t>
        </is>
      </c>
      <c r="X249" s="77" t="inlineStr">
        <is>
          <t>Yes</t>
        </is>
      </c>
      <c r="Y249" s="77" t="inlineStr">
        <is>
          <t>Teams of five to six bid for projects [4]; five MBAs per project [4].</t>
        </is>
      </c>
      <c r="Z249" s="77" t="inlineStr">
        <is>
          <t>Yes</t>
        </is>
      </c>
      <c r="AA249" s="77" t="inlineStr">
        <is>
          <t>Clients submit briefs, receive bids/pitches, and receive the consultancy outputs; example Singapore seafood company go-to-market project [5].</t>
        </is>
      </c>
      <c r="AB249" s="77" t="inlineStr">
        <is>
          <t>Business/commercial</t>
        </is>
      </c>
      <c r="AC249" s="77" t="inlineStr">
        <is>
          <t>Client sets the brief, selects among team bids, receives presentation/report</t>
        </is>
      </c>
      <c r="AD249" s="77" t="inlineStr">
        <is>
          <t>LAD Bible Group cited as past client (undated); Singapore seafood company (blog, undated)</t>
        </is>
      </c>
      <c r="AE249" s="77" t="inlineStr">
        <is>
          <t>Consultancy recommendations, client presentation and report</t>
        </is>
      </c>
      <c r="AF249" s="77">
        <f>IF(OR(V249="No",X249="No",Z249="No"),"Outside strict definition",IF(AND(V249="Yes",X249="Yes",Z249="Yes"),"Meets all three","Potentially relevant; evidence incomplete"))</f>
        <v/>
      </c>
      <c r="AG249" s="77" t="inlineStr">
        <is>
          <t>Current delivery confirmed</t>
        </is>
      </c>
      <c r="AH249" s="77" t="inlineStr">
        <is>
          <t>2027 entry (programme page)</t>
        </is>
      </c>
      <c r="AI249" s="77" t="inlineStr">
        <is>
          <t>Yes</t>
        </is>
      </c>
      <c r="AJ249" s="77">
        <f>IF(AND(AI249="Yes",AF249="Meets all three",AG249="Current delivery confirmed"),"Yes","No")</f>
        <v/>
      </c>
      <c r="AK249" s="77" t="inlineStr"/>
      <c r="AL249" s="77" t="inlineStr">
        <is>
          <t>RG14-S02-R1; RG14-S02-R2; RG14-S02-R3</t>
        </is>
      </c>
      <c r="AM249" s="77" t="inlineStr">
        <is>
          <t>Hour/fee figures are AMBS marketing estimates; current-status basis is the 2027-entry course-details page.</t>
        </is>
      </c>
      <c r="AN249" s="77" t="inlineStr"/>
      <c r="AO249" s="77" t="inlineStr">
        <is>
          <t>UK</t>
        </is>
      </c>
      <c r="AP249" s="77" t="inlineStr">
        <is>
          <t>UK – Russell Group</t>
        </is>
      </c>
      <c r="AQ249" s="77" t="inlineStr">
        <is>
          <t>~1 term/semester</t>
        </is>
      </c>
      <c r="AR249" s="77" t="inlineStr">
        <is>
          <t>All/standard</t>
        </is>
      </c>
      <c r="AS249" s="77" t="inlineStr"/>
    </row>
    <row r="250">
      <c r="A250" s="77" t="inlineStr">
        <is>
          <t>RG14</t>
        </is>
      </c>
      <c r="B250" s="77" t="inlineStr">
        <is>
          <t>Manchester</t>
        </is>
      </c>
      <c r="C250" s="77" t="inlineStr">
        <is>
          <t>Programme/course</t>
        </is>
      </c>
      <c r="D250" s="77" t="inlineStr">
        <is>
          <t>RG14-S03</t>
        </is>
      </c>
      <c r="E250" s="77" t="inlineStr">
        <is>
          <t>RG14-S01</t>
        </is>
      </c>
      <c r="F250" s="77" t="inlineStr">
        <is>
          <t>No</t>
        </is>
      </c>
      <c r="G250" s="79" t="inlineStr">
        <is>
          <t>Social Impact Project (formerly Not-for-Profit project)</t>
        </is>
      </c>
      <c r="H250" s="77" t="inlineStr">
        <is>
          <t>Social Impact Project</t>
        </is>
      </c>
      <c r="I250" s="77" t="inlineStr"/>
      <c r="J250" s="77" t="inlineStr">
        <is>
          <t>First Full-time MBA live consultancy: student teams work as consultants for a not-for-profit / third-sector client (about 150 hours of live client experience).</t>
        </is>
      </c>
      <c r="K250" s="77" t="inlineStr">
        <is>
          <t>Alliance Manchester Business School</t>
        </is>
      </c>
      <c r="L250" s="77" t="inlineStr">
        <is>
          <t>Full-time MBA</t>
        </is>
      </c>
      <c r="M250" s="77" t="inlineStr">
        <is>
          <t>Business/management</t>
        </is>
      </c>
      <c r="N250" s="77" t="inlineStr">
        <is>
          <t>Postgraduate taught</t>
        </is>
      </c>
      <c r="O250" s="77" t="inlineStr">
        <is>
          <t>Early in the programme</t>
        </is>
      </c>
      <c r="P250" s="77" t="inlineStr">
        <is>
          <t>Full-time MBA students</t>
        </is>
      </c>
      <c r="Q250" s="77" t="inlineStr">
        <is>
          <t>Compulsory within specified programmes</t>
        </is>
      </c>
      <c r="R250" s="77" t="inlineStr">
        <is>
          <t>Curricular</t>
        </is>
      </c>
      <c r="S250" s="77" t="inlineStr">
        <is>
          <t>Not retrieved</t>
        </is>
      </c>
      <c r="T250" s="77" t="inlineStr">
        <is>
          <t>c.150 hours live client experience</t>
        </is>
      </c>
      <c r="U250" s="77" t="inlineStr">
        <is>
          <t>In person</t>
        </is>
      </c>
      <c r="V250" s="77" t="inlineStr">
        <is>
          <t>Yes</t>
        </is>
      </c>
      <c r="W250" s="77" t="inlineStr">
        <is>
          <t>Consultancy project for a third-sector client [2][6].</t>
        </is>
      </c>
      <c r="X250" s="77" t="inlineStr">
        <is>
          <t>Yes</t>
        </is>
      </c>
      <c r="Y250" s="77" t="inlineStr">
        <is>
          <t>Part of the 'three group consultancy projects' [1]; earlier projects in teams of five (search summary) [6].</t>
        </is>
      </c>
      <c r="Z250" s="77" t="inlineStr">
        <is>
          <t>Yes</t>
        </is>
      </c>
      <c r="AA250" s="77" t="inlineStr">
        <is>
          <t>Not-for-profit/third-sector organisations act as clients [6].</t>
        </is>
      </c>
      <c r="AB250" s="77" t="inlineStr">
        <is>
          <t>Charity/community</t>
        </is>
      </c>
      <c r="AC250" s="77" t="inlineStr">
        <is>
          <t>Client sets problem and receives recommendations</t>
        </is>
      </c>
      <c r="AD250" s="77" t="inlineStr"/>
      <c r="AE250" s="77" t="inlineStr">
        <is>
          <t>Consultancy recommendations to client</t>
        </is>
      </c>
      <c r="AF250" s="77">
        <f>IF(OR(V250="No",X250="No",Z250="No"),"Outside strict definition",IF(AND(V250="Yes",X250="Yes",Z250="Yes"),"Meets all three","Potentially relevant; evidence incomplete"))</f>
        <v/>
      </c>
      <c r="AG250" s="77" t="inlineStr">
        <is>
          <t>Current delivery confirmed</t>
        </is>
      </c>
      <c r="AH250" s="77" t="inlineStr">
        <is>
          <t>2027 entry (programme page)</t>
        </is>
      </c>
      <c r="AI250" s="77" t="inlineStr">
        <is>
          <t>Yes</t>
        </is>
      </c>
      <c r="AJ250" s="77">
        <f>IF(AND(AI250="Yes",AF250="Meets all three",AG250="Current delivery confirmed"),"Yes","No")</f>
        <v/>
      </c>
      <c r="AK250" s="77" t="inlineStr"/>
      <c r="AL250" s="77" t="inlineStr">
        <is>
          <t>RG14-S03-R1; RG14-S03-R2; RG14-S03-R3</t>
        </is>
      </c>
      <c r="AM250" s="77" t="inlineStr">
        <is>
          <t>Team-size evidence is a summary of mixed AMBS pages; 150 hours spread unknown.</t>
        </is>
      </c>
      <c r="AN250" s="77" t="inlineStr"/>
      <c r="AO250" s="77" t="inlineStr">
        <is>
          <t>UK</t>
        </is>
      </c>
      <c r="AP250" s="77" t="inlineStr">
        <is>
          <t>UK – Russell Group</t>
        </is>
      </c>
      <c r="AQ250" s="77" t="inlineStr">
        <is>
          <t>Unclear</t>
        </is>
      </c>
      <c r="AR250" s="77" t="inlineStr">
        <is>
          <t>All/standard</t>
        </is>
      </c>
      <c r="AS250" s="77" t="inlineStr"/>
    </row>
    <row r="251">
      <c r="A251" s="77" t="inlineStr">
        <is>
          <t>RG14</t>
        </is>
      </c>
      <c r="B251" s="77" t="inlineStr">
        <is>
          <t>Manchester</t>
        </is>
      </c>
      <c r="C251" s="77" t="inlineStr">
        <is>
          <t>Programme/course</t>
        </is>
      </c>
      <c r="D251" s="77" t="inlineStr">
        <is>
          <t>RG14-S04</t>
        </is>
      </c>
      <c r="E251" s="77" t="inlineStr">
        <is>
          <t>RG14-S01</t>
        </is>
      </c>
      <c r="F251" s="77" t="inlineStr">
        <is>
          <t>No</t>
        </is>
      </c>
      <c r="G251" s="79" t="inlineStr">
        <is>
          <t>Commercial Business Project</t>
        </is>
      </c>
      <c r="H251" s="77" t="inlineStr">
        <is>
          <t>Commercial Business Project</t>
        </is>
      </c>
      <c r="I251" s="77" t="inlineStr"/>
      <c r="J251" s="77" t="inlineStr">
        <is>
          <t>Full-time MBA consultancy in which a client from any business area or sector submits a data-driven business issue; teams of five MBAs bid, the client chooses a team, and the team presents research outcomes followed by a formal report (brief submission late January, presentations June, report July). Not listed by name on the current Full-time MBA page; may have been renamed/replaced (e.g. by the Strategic Innovation Consultancy Project).</t>
        </is>
      </c>
      <c r="K251" s="77" t="inlineStr">
        <is>
          <t>Alliance Manchester Business School</t>
        </is>
      </c>
      <c r="L251" s="77" t="inlineStr">
        <is>
          <t>Full-time MBA</t>
        </is>
      </c>
      <c r="M251" s="77" t="inlineStr">
        <is>
          <t>Business/management</t>
        </is>
      </c>
      <c r="N251" s="77" t="inlineStr">
        <is>
          <t>Postgraduate taught</t>
        </is>
      </c>
      <c r="O251" s="77" t="inlineStr"/>
      <c r="P251" s="77" t="inlineStr">
        <is>
          <t>Full-time MBA students</t>
        </is>
      </c>
      <c r="Q251" s="77" t="inlineStr">
        <is>
          <t>Compulsory within specified programmes</t>
        </is>
      </c>
      <c r="R251" s="77" t="inlineStr">
        <is>
          <t>Curricular</t>
        </is>
      </c>
      <c r="S251" s="77" t="inlineStr">
        <is>
          <t>Not retrieved</t>
        </is>
      </c>
      <c r="T251" s="77" t="inlineStr">
        <is>
          <t>Late January brief to June presentation / July report</t>
        </is>
      </c>
      <c r="U251" s="77" t="inlineStr">
        <is>
          <t>In person, UK-based</t>
        </is>
      </c>
      <c r="V251" s="77" t="inlineStr">
        <is>
          <t>Yes</t>
        </is>
      </c>
      <c r="W251" s="77" t="inlineStr">
        <is>
          <t>Client business issue requiring a data-driven solution; presentation and formal report [7].</t>
        </is>
      </c>
      <c r="X251" s="77" t="inlineStr">
        <is>
          <t>Yes</t>
        </is>
      </c>
      <c r="Y251" s="77" t="inlineStr">
        <is>
          <t>Teams of five MBAs bid and are selected by the client [7].</t>
        </is>
      </c>
      <c r="Z251" s="77" t="inlineStr">
        <is>
          <t>Yes</t>
        </is>
      </c>
      <c r="AA251" s="77" t="inlineStr">
        <is>
          <t>Client submits the issue, chooses a team from bids, receives presentation and report [7]; 2021 example with a not-for-profit research organisation [8].</t>
        </is>
      </c>
      <c r="AB251" s="77" t="inlineStr">
        <is>
          <t>Mixed</t>
        </is>
      </c>
      <c r="AC251" s="77" t="inlineStr">
        <is>
          <t>Client sets brief, selects team, receives outputs</t>
        </is>
      </c>
      <c r="AD251" s="77" t="inlineStr"/>
      <c r="AE251" s="77" t="inlineStr">
        <is>
          <t>Presentation and formal report</t>
        </is>
      </c>
      <c r="AF251" s="77">
        <f>IF(OR(V251="No",X251="No",Z251="No"),"Outside strict definition",IF(AND(V251="Yes",X251="Yes",Z251="Yes"),"Meets all three","Potentially relevant; evidence incomplete"))</f>
        <v/>
      </c>
      <c r="AG251" s="77" t="inlineStr">
        <is>
          <t>Current status unclear</t>
        </is>
      </c>
      <c r="AH251" s="77" t="inlineStr">
        <is>
          <t>2021 (news example)</t>
        </is>
      </c>
      <c r="AI251" s="77" t="inlineStr">
        <is>
          <t>Yes</t>
        </is>
      </c>
      <c r="AJ251" s="77">
        <f>IF(AND(AI251="Yes",AF251="Meets all three",AG251="Current delivery confirmed"),"Yes","No")</f>
        <v/>
      </c>
      <c r="AK251" s="77" t="inlineStr"/>
      <c r="AL251" s="77" t="inlineStr">
        <is>
          <t>RG14-S04-R1; RG14-S04-R2</t>
        </is>
      </c>
      <c r="AM251" s="77" t="inlineStr">
        <is>
          <t>Page undated and project name absent from current Full-time MBA structure; may be historical or renamed. Possible duplicate of the current Strategic Innovation Consultancy Project.</t>
        </is>
      </c>
      <c r="AN251" s="77" t="inlineStr"/>
      <c r="AO251" s="77" t="inlineStr">
        <is>
          <t>UK</t>
        </is>
      </c>
      <c r="AP251" s="77" t="inlineStr">
        <is>
          <t>UK – Russell Group</t>
        </is>
      </c>
      <c r="AQ251" s="77" t="inlineStr">
        <is>
          <t>&gt;1 term</t>
        </is>
      </c>
      <c r="AR251" s="77" t="inlineStr">
        <is>
          <t>All/standard</t>
        </is>
      </c>
      <c r="AS251" s="77" t="inlineStr"/>
    </row>
    <row r="252">
      <c r="A252" s="77" t="inlineStr">
        <is>
          <t>RG14</t>
        </is>
      </c>
      <c r="B252" s="77" t="inlineStr">
        <is>
          <t>Manchester</t>
        </is>
      </c>
      <c r="C252" s="77" t="inlineStr">
        <is>
          <t>Programme/course</t>
        </is>
      </c>
      <c r="D252" s="77" t="inlineStr">
        <is>
          <t>RG14-S05</t>
        </is>
      </c>
      <c r="E252" s="77" t="inlineStr"/>
      <c r="F252" s="77" t="inlineStr">
        <is>
          <t>No</t>
        </is>
      </c>
      <c r="G252" s="79" t="inlineStr">
        <is>
          <t>MSc Business Analysis and Strategic Management client consultancy project</t>
        </is>
      </c>
      <c r="H252" s="77" t="inlineStr">
        <is>
          <t>MSc BASM consultancy project (capstone option)</t>
        </is>
      </c>
      <c r="I252" s="77" t="inlineStr"/>
      <c r="J252" s="77" t="inlineStr">
        <is>
          <t>60-credit capstone option (alternative to a dissertation): between May and September students carry out supervised client-facing consultancy projects for organisations (e.g. competitive strategy, wholesale market trends, supply chain analysis), with interim and final presentations; assessed by a group project report plus individual reflection.</t>
        </is>
      </c>
      <c r="K252" s="77" t="inlineStr">
        <is>
          <t>Alliance Manchester Business School</t>
        </is>
      </c>
      <c r="L252" s="77" t="inlineStr">
        <is>
          <t>MSc Business Analysis and Strategic Management</t>
        </is>
      </c>
      <c r="M252" s="77" t="inlineStr">
        <is>
          <t>Business/management</t>
        </is>
      </c>
      <c r="N252" s="77" t="inlineStr">
        <is>
          <t>Postgraduate taught</t>
        </is>
      </c>
      <c r="O252" s="77" t="inlineStr">
        <is>
          <t>Final (summer) period of 1-year MSc</t>
        </is>
      </c>
      <c r="P252" s="77" t="inlineStr">
        <is>
          <t>MSc BASM students choosing the consultancy option</t>
        </is>
      </c>
      <c r="Q252" s="77" t="inlineStr">
        <is>
          <t>Optional/elective</t>
        </is>
      </c>
      <c r="R252" s="77" t="inlineStr">
        <is>
          <t>Curricular</t>
        </is>
      </c>
      <c r="S252" s="77" t="inlineStr">
        <is>
          <t>60 credits; group project report up to 10,000 words + individual professional reflective report up to 2,000 words</t>
        </is>
      </c>
      <c r="T252" s="77" t="inlineStr">
        <is>
          <t>May to September</t>
        </is>
      </c>
      <c r="U252" s="77" t="inlineStr">
        <is>
          <t>Client-facing, faculty-supervised; expenses-only basis for client</t>
        </is>
      </c>
      <c r="V252" s="77" t="inlineStr">
        <is>
          <t>Yes</t>
        </is>
      </c>
      <c r="W252" s="77" t="inlineStr">
        <is>
          <t>Client consultancy project with group report [9][10].</t>
        </is>
      </c>
      <c r="X252" s="77" t="inlineStr">
        <is>
          <t>Yes</t>
        </is>
      </c>
      <c r="Y252" s="77" t="inlineStr">
        <is>
          <t>Assessment is a group project report of up to 10,000 words plus individual reflection [10].</t>
        </is>
      </c>
      <c r="Z252" s="77" t="inlineStr">
        <is>
          <t>Yes</t>
        </is>
      </c>
      <c r="AA252" s="77" t="inlineStr">
        <is>
          <t>Organisations supply the project, set the number of students and location, and receive interim and final presentations [9][11].</t>
        </is>
      </c>
      <c r="AB252" s="77" t="inlineStr">
        <is>
          <t>Unclear</t>
        </is>
      </c>
      <c r="AC252" s="77" t="inlineStr">
        <is>
          <t>Client organisation supplies brief, hosts team, receives presentations</t>
        </is>
      </c>
      <c r="AD252" s="77" t="inlineStr"/>
      <c r="AE252" s="77" t="inlineStr">
        <is>
          <t>Group consultancy report and client presentations</t>
        </is>
      </c>
      <c r="AF252" s="77">
        <f>IF(OR(V252="No",X252="No",Z252="No"),"Outside strict definition",IF(AND(V252="Yes",X252="Yes",Z252="Yes"),"Meets all three","Potentially relevant; evidence incomplete"))</f>
        <v/>
      </c>
      <c r="AG252" s="77" t="inlineStr">
        <is>
          <t>Current delivery confirmed</t>
        </is>
      </c>
      <c r="AH252" s="77" t="inlineStr">
        <is>
          <t>2027 entry (programme page)</t>
        </is>
      </c>
      <c r="AI252" s="77" t="inlineStr">
        <is>
          <t>Yes</t>
        </is>
      </c>
      <c r="AJ252" s="77">
        <f>IF(AND(AI252="Yes",AF252="Meets all three",AG252="Current delivery confirmed"),"Yes","No")</f>
        <v/>
      </c>
      <c r="AK252" s="77" t="inlineStr"/>
      <c r="AL252" s="77" t="inlineStr">
        <is>
          <t>RG14-S05-R1; RG14-S05-R2; RG14-S05-R3</t>
        </is>
      </c>
      <c r="AM252" s="77" t="inlineStr">
        <is>
          <t>Status basis is the 2027-entry programme page; client sectors not evidenced; MSc Business Analytics &amp; AI summer projects are dissertations (excluded).</t>
        </is>
      </c>
      <c r="AN252" s="77" t="inlineStr"/>
      <c r="AO252" s="77" t="inlineStr">
        <is>
          <t>UK</t>
        </is>
      </c>
      <c r="AP252" s="77" t="inlineStr">
        <is>
          <t>UK – Russell Group</t>
        </is>
      </c>
      <c r="AQ252" s="77" t="inlineStr">
        <is>
          <t>&gt;1 term</t>
        </is>
      </c>
      <c r="AR252" s="77" t="inlineStr">
        <is>
          <t>All/standard</t>
        </is>
      </c>
      <c r="AS252" s="77" t="inlineStr"/>
    </row>
    <row r="253">
      <c r="A253" s="77" t="inlineStr">
        <is>
          <t>RG14</t>
        </is>
      </c>
      <c r="B253" s="77" t="inlineStr">
        <is>
          <t>Manchester</t>
        </is>
      </c>
      <c r="C253" s="77" t="inlineStr">
        <is>
          <t>Programme/course</t>
        </is>
      </c>
      <c r="D253" s="77" t="inlineStr">
        <is>
          <t>RG14-S06</t>
        </is>
      </c>
      <c r="E253" s="77" t="inlineStr"/>
      <c r="F253" s="77" t="inlineStr">
        <is>
          <t>No</t>
        </is>
      </c>
      <c r="G253" s="79" t="inlineStr">
        <is>
          <t>BSc Management final-year live consultancy project</t>
        </is>
      </c>
      <c r="H253" s="77" t="inlineStr">
        <is>
          <t>BSc Management live consultancy project</t>
        </is>
      </c>
      <c r="I253" s="77" t="inlineStr"/>
      <c r="J253" s="77" t="inlineStr">
        <is>
          <t>Final-year option (alternative to dissertation or taught units) across BSc Management pathways: students are assigned to a client company and work alongside it to apply their learning to deliver change and new business processes.</t>
        </is>
      </c>
      <c r="K253" s="77" t="inlineStr">
        <is>
          <t>Alliance Manchester Business School</t>
        </is>
      </c>
      <c r="L253" s="77" t="inlineStr">
        <is>
          <t>BSc Management and specialist pathways (e.g. Accounting and Finance; with Industrial/Professional Experience)</t>
        </is>
      </c>
      <c r="M253" s="77" t="inlineStr">
        <is>
          <t>Business/management</t>
        </is>
      </c>
      <c r="N253" s="77" t="inlineStr">
        <is>
          <t>Undergraduate</t>
        </is>
      </c>
      <c r="O253" s="77" t="inlineStr">
        <is>
          <t>Final year</t>
        </is>
      </c>
      <c r="P253" s="77" t="inlineStr">
        <is>
          <t>BSc Management students choosing the consultancy route</t>
        </is>
      </c>
      <c r="Q253" s="77" t="inlineStr">
        <is>
          <t>Optional/elective</t>
        </is>
      </c>
      <c r="R253" s="77" t="inlineStr">
        <is>
          <t>Curricular</t>
        </is>
      </c>
      <c r="S253" s="77" t="inlineStr">
        <is>
          <t>Not retrieved</t>
        </is>
      </c>
      <c r="T253" s="77" t="inlineStr">
        <is>
          <t>Not retrieved</t>
        </is>
      </c>
      <c r="U253" s="77" t="inlineStr">
        <is>
          <t>Client-based</t>
        </is>
      </c>
      <c r="V253" s="77" t="inlineStr">
        <is>
          <t>Yes</t>
        </is>
      </c>
      <c r="W253" s="77" t="inlineStr">
        <is>
          <t>Live consultancy project delivering change for a client company [12].</t>
        </is>
      </c>
      <c r="X253" s="77" t="inlineStr">
        <is>
          <t>Unclear</t>
        </is>
      </c>
      <c r="Y253" s="77" t="inlineStr">
        <is>
          <t>No source states whether students work in teams or individually on the consultancy project.</t>
        </is>
      </c>
      <c r="Z253" s="77" t="inlineStr">
        <is>
          <t>Yes</t>
        </is>
      </c>
      <c r="AA253" s="77" t="inlineStr">
        <is>
          <t>Students 'assigned to a client company and work alongside it' [12]; 'live consultancy project, working with real organisations' [13].</t>
        </is>
      </c>
      <c r="AB253" s="77" t="inlineStr">
        <is>
          <t>Business/commercial</t>
        </is>
      </c>
      <c r="AC253" s="77" t="inlineStr">
        <is>
          <t>Client company hosts and sets the change problem</t>
        </is>
      </c>
      <c r="AD253" s="77" t="inlineStr"/>
      <c r="AE253" s="77" t="inlineStr">
        <is>
          <t>Not specified</t>
        </is>
      </c>
      <c r="AF253" s="77">
        <f>IF(OR(V253="No",X253="No",Z253="No"),"Outside strict definition",IF(AND(V253="Yes",X253="Yes",Z253="Yes"),"Meets all three","Potentially relevant; evidence incomplete"))</f>
        <v/>
      </c>
      <c r="AG253" s="77" t="inlineStr">
        <is>
          <t>Current delivery confirmed</t>
        </is>
      </c>
      <c r="AH253" s="77" t="inlineStr">
        <is>
          <t>2026/27 (2026-entry course page)</t>
        </is>
      </c>
      <c r="AI253" s="77" t="inlineStr">
        <is>
          <t>Yes</t>
        </is>
      </c>
      <c r="AJ253" s="77">
        <f>IF(AND(AI253="Yes",AF253="Meets all three",AG253="Current delivery confirmed"),"Yes","No")</f>
        <v/>
      </c>
      <c r="AK253" s="77" t="inlineStr"/>
      <c r="AL253" s="77" t="inlineStr">
        <is>
          <t>RG14-S06-R1; RG14-S06-R2</t>
        </is>
      </c>
      <c r="AM253" s="77" t="inlineStr">
        <is>
          <t>Group vs individual format; unit code; credits.</t>
        </is>
      </c>
      <c r="AN253" s="77" t="inlineStr"/>
      <c r="AO253" s="77" t="inlineStr">
        <is>
          <t>UK</t>
        </is>
      </c>
      <c r="AP253" s="77" t="inlineStr">
        <is>
          <t>UK – Russell Group</t>
        </is>
      </c>
      <c r="AQ253" s="77" t="inlineStr">
        <is>
          <t>Unclear</t>
        </is>
      </c>
      <c r="AR253" s="77" t="inlineStr">
        <is>
          <t>All/standard</t>
        </is>
      </c>
      <c r="AS253" s="77" t="inlineStr"/>
    </row>
    <row r="254">
      <c r="A254" s="77" t="inlineStr">
        <is>
          <t>RG14</t>
        </is>
      </c>
      <c r="B254" s="77" t="inlineStr">
        <is>
          <t>Manchester</t>
        </is>
      </c>
      <c r="C254" s="77" t="inlineStr">
        <is>
          <t>University-wide</t>
        </is>
      </c>
      <c r="D254" s="77" t="inlineStr">
        <is>
          <t>RG14-S07</t>
        </is>
      </c>
      <c r="E254" s="77" t="inlineStr"/>
      <c r="F254" s="77" t="inlineStr">
        <is>
          <t>No</t>
        </is>
      </c>
      <c r="G254" s="79" t="inlineStr">
        <is>
          <t>Manchester Enterprise Challenge</t>
        </is>
      </c>
      <c r="H254" s="77" t="inlineStr">
        <is>
          <t>Manchester Enterprise Challenge</t>
        </is>
      </c>
      <c r="I254" s="77" t="inlineStr"/>
      <c r="J254" s="77" t="inlineStr">
        <is>
          <t>Two-part programme run with the Masood Entrepreneurship Centre: students complete a 10-credit UCIL enterprise unit (e.g. UCIL22001 Essential Enterprise, UCIL24002 The Art of Enterprise, Entrepreneur: Innovator and Risk-taker) and then, in a group, work on a specific improvement opportunity for a local charity, social enterprise or not-for-profit (c.20 hours each), presenting outcomes as a pitch deck to a panel including project hosts.</t>
        </is>
      </c>
      <c r="K254" s="77" t="inlineStr">
        <is>
          <t>UCIL / Masood Entrepreneurship Centre (Alliance MBS)</t>
        </is>
      </c>
      <c r="L254" s="77" t="inlineStr">
        <is>
          <t>Undergraduates enrolled on a UCIL enterprise unit (UCIL units are open across faculties subject to optional credit)</t>
        </is>
      </c>
      <c r="M254" s="77" t="inlineStr">
        <is>
          <t>Central provision</t>
        </is>
      </c>
      <c r="N254" s="77" t="inlineStr">
        <is>
          <t>Undergraduate</t>
        </is>
      </c>
      <c r="O254" s="77" t="inlineStr">
        <is>
          <t>Not specified</t>
        </is>
      </c>
      <c r="P254" s="77" t="inlineStr">
        <is>
          <t>Must enrol on an eligible 10-credit UCIL enterprise unit via Course Unit Selection; check with Undergraduate Office / Academic Advisor</t>
        </is>
      </c>
      <c r="Q254" s="77" t="inlineStr">
        <is>
          <t>Optional/elective</t>
        </is>
      </c>
      <c r="R254" s="77" t="inlineStr">
        <is>
          <t>Mixed</t>
        </is>
      </c>
      <c r="S254" s="77" t="inlineStr">
        <is>
          <t>10-credit UCIL unit component; project component credit not stated</t>
        </is>
      </c>
      <c r="T254" s="77" t="inlineStr">
        <is>
          <t>Approximately 20 hours of project work per student</t>
        </is>
      </c>
      <c r="U254" s="77" t="inlineStr">
        <is>
          <t>Group work with community organisation; showcase pitch</t>
        </is>
      </c>
      <c r="V254" s="77" t="inlineStr">
        <is>
          <t>Yes</t>
        </is>
      </c>
      <c r="W254" s="77" t="inlineStr">
        <is>
          <t>Specific improvement opportunity for a host organisation; outcome presented as pitch deck [14][15].</t>
        </is>
      </c>
      <c r="X254" s="77" t="inlineStr">
        <is>
          <t>Yes</t>
        </is>
      </c>
      <c r="Y254" s="77" t="inlineStr">
        <is>
          <t>'working as part of a group' completing about 20 hours each [14].</t>
        </is>
      </c>
      <c r="Z254" s="77" t="inlineStr">
        <is>
          <t>Yes</t>
        </is>
      </c>
      <c r="AA254" s="77" t="inlineStr">
        <is>
          <t>Local charities/social enterprises/not-for-profits host the projects and project hosts sit on the judging panel [14][15].</t>
        </is>
      </c>
      <c r="AB254" s="77" t="inlineStr">
        <is>
          <t>Charity/community</t>
        </is>
      </c>
      <c r="AC254" s="77" t="inlineStr">
        <is>
          <t>Host organisation sets the improvement opportunity and judges final pitches</t>
        </is>
      </c>
      <c r="AD254" s="77" t="inlineStr">
        <is>
          <t>Action for Conservation (showcase on 7 May, year not stated in extract)</t>
        </is>
      </c>
      <c r="AE254" s="77" t="inlineStr">
        <is>
          <t>Pitch deck presentation of project outcomes</t>
        </is>
      </c>
      <c r="AF254" s="77">
        <f>IF(OR(V254="No",X254="No",Z254="No"),"Outside strict definition",IF(AND(V254="Yes",X254="Yes",Z254="Yes"),"Meets all three","Potentially relevant; evidence incomplete"))</f>
        <v/>
      </c>
      <c r="AG254" s="77" t="inlineStr">
        <is>
          <t>Current status unclear</t>
        </is>
      </c>
      <c r="AH254" s="77" t="inlineStr">
        <is>
          <t>Undated (7 May showcase; year not stated)</t>
        </is>
      </c>
      <c r="AI254" s="77" t="inlineStr">
        <is>
          <t>Yes</t>
        </is>
      </c>
      <c r="AJ254" s="77">
        <f>IF(AND(AI254="Yes",AF254="Meets all three",AG254="Current delivery confirmed"),"Yes","No")</f>
        <v/>
      </c>
      <c r="AK254" s="77" t="inlineStr"/>
      <c r="AL254" s="77" t="inlineStr">
        <is>
          <t>RG14-S07-R1; RG14-S07-R2; RG14-S07-R3</t>
        </is>
      </c>
      <c r="AM254" s="77" t="inlineStr">
        <is>
          <t>News item undated in extract (7 May showcase consistent with 2025 but not confirmed); no dated 2025/26-2026/27 corroboration retrieved; credit for project component unclear; whether team composition is cross-disciplinary not confirmed. Re-fetched 2026-10-13: page gives no year or dates.</t>
        </is>
      </c>
      <c r="AN254" s="77" t="inlineStr">
        <is>
          <t>University College for Interdisciplinary Learning (UCIL)</t>
        </is>
      </c>
      <c r="AO254" s="77" t="inlineStr">
        <is>
          <t>UK</t>
        </is>
      </c>
      <c r="AP254" s="77" t="inlineStr">
        <is>
          <t>UK – Russell Group</t>
        </is>
      </c>
      <c r="AQ254" s="77" t="inlineStr">
        <is>
          <t>Unclear</t>
        </is>
      </c>
      <c r="AR254" s="77" t="inlineStr">
        <is>
          <t>All/standard</t>
        </is>
      </c>
      <c r="AS254" s="77" t="inlineStr"/>
    </row>
    <row r="255">
      <c r="A255" s="77" t="inlineStr">
        <is>
          <t>RG14</t>
        </is>
      </c>
      <c r="B255" s="77" t="inlineStr">
        <is>
          <t>Manchester</t>
        </is>
      </c>
      <c r="C255" s="77" t="inlineStr">
        <is>
          <t>Programme/course</t>
        </is>
      </c>
      <c r="D255" s="77" t="inlineStr">
        <is>
          <t>RG14-S08</t>
        </is>
      </c>
      <c r="E255" s="77" t="inlineStr"/>
      <c r="F255" s="77" t="inlineStr">
        <is>
          <t>No</t>
        </is>
      </c>
      <c r="G255" s="79" t="inlineStr">
        <is>
          <t>Civil Group Design Project</t>
        </is>
      </c>
      <c r="H255" s="77" t="inlineStr">
        <is>
          <t>Civil Group Design Project</t>
        </is>
      </c>
      <c r="I255" s="77" t="inlineStr">
        <is>
          <t>CIVL41530</t>
        </is>
      </c>
      <c r="J255" s="77" t="inlineStr">
        <is>
          <t>Final-year (Year 4) industry-supervised group design project in the MEng Civil Engineering family (Civil and Structural; Civil Engineering (Enterprise); with Industrial Experience variants).</t>
        </is>
      </c>
      <c r="K255" s="77" t="inlineStr">
        <is>
          <t>Department of Civil Engineering and Management (Faculty of Science and Engineering)</t>
        </is>
      </c>
      <c r="L255" s="77" t="inlineStr">
        <is>
          <t>MEng Civil and Structural Engineering, MEng Civil Engineering, MEng Civil Engineering (Enterprise) and Industrial Experience variants</t>
        </is>
      </c>
      <c r="M255" s="77" t="inlineStr">
        <is>
          <t>Engineering/computing</t>
        </is>
      </c>
      <c r="N255" s="77" t="inlineStr">
        <is>
          <t>Undergraduate</t>
        </is>
      </c>
      <c r="O255" s="77" t="inlineStr">
        <is>
          <t>Year 4 (final MEng year)</t>
        </is>
      </c>
      <c r="P255" s="77" t="inlineStr">
        <is>
          <t>MEng Civil students</t>
        </is>
      </c>
      <c r="Q255" s="77" t="inlineStr">
        <is>
          <t>Compulsory within specified programmes</t>
        </is>
      </c>
      <c r="R255" s="77" t="inlineStr">
        <is>
          <t>Curricular</t>
        </is>
      </c>
      <c r="S255" s="77" t="inlineStr">
        <is>
          <t>30 credits, mandatory (2025-entry Civil Engineering (Enterprise) listing)</t>
        </is>
      </c>
      <c r="T255" s="77" t="inlineStr">
        <is>
          <t>Final year</t>
        </is>
      </c>
      <c r="U255" s="77" t="inlineStr">
        <is>
          <t>In person group design</t>
        </is>
      </c>
      <c r="V255" s="77" t="inlineStr">
        <is>
          <t>Yes</t>
        </is>
      </c>
      <c r="W255" s="77" t="inlineStr">
        <is>
          <t>Group design project [17][18].</t>
        </is>
      </c>
      <c r="X255" s="77" t="inlineStr">
        <is>
          <t>Yes</t>
        </is>
      </c>
      <c r="Y255" s="77" t="inlineStr">
        <is>
          <t>'industry-supervised group design project' [17].</t>
        </is>
      </c>
      <c r="Z255" s="77" t="inlineStr">
        <is>
          <t>Yes</t>
        </is>
      </c>
      <c r="AA255" s="77" t="inlineStr">
        <is>
          <t>Project is industry-supervised (industry participates in supervision) [17][18].</t>
        </is>
      </c>
      <c r="AB255" s="77" t="inlineStr">
        <is>
          <t>Business/commercial</t>
        </is>
      </c>
      <c r="AC255" s="77" t="inlineStr">
        <is>
          <t>Industry practitioners supervise the design project</t>
        </is>
      </c>
      <c r="AD255" s="77" t="inlineStr"/>
      <c r="AE255" s="77" t="inlineStr">
        <is>
          <t>Design project outputs (not detailed)</t>
        </is>
      </c>
      <c r="AF255" s="77">
        <f>IF(OR(V255="No",X255="No",Z255="No"),"Outside strict definition",IF(AND(V255="Yes",X255="Yes",Z255="Yes"),"Meets all three","Potentially relevant; evidence incomplete"))</f>
        <v/>
      </c>
      <c r="AG255" s="77" t="inlineStr">
        <is>
          <t>Current delivery confirmed</t>
        </is>
      </c>
      <c r="AH255" s="77" t="inlineStr">
        <is>
          <t>2025/26 (2025-entry course structure listing)</t>
        </is>
      </c>
      <c r="AI255" s="77" t="inlineStr">
        <is>
          <t>Yes</t>
        </is>
      </c>
      <c r="AJ255" s="77">
        <f>IF(AND(AI255="Yes",AF255="Meets all three",AG255="Current delivery confirmed"),"Yes","No")</f>
        <v/>
      </c>
      <c r="AK255" s="77" t="inlineStr"/>
      <c r="AL255" s="77" t="inlineStr">
        <is>
          <t>RG14-S08-R1; RG14-S08-R2</t>
        </is>
      </c>
      <c r="AM255" s="77" t="inlineStr">
        <is>
          <t>Whether industry sets the brief or only supervises; unit-level assessment details not retrieved; current status based on dated course-structure listings rather than a cohort report.</t>
        </is>
      </c>
      <c r="AN255" s="77" t="inlineStr"/>
      <c r="AO255" s="77" t="inlineStr">
        <is>
          <t>UK</t>
        </is>
      </c>
      <c r="AP255" s="77" t="inlineStr">
        <is>
          <t>UK – Russell Group</t>
        </is>
      </c>
      <c r="AQ255" s="77" t="inlineStr">
        <is>
          <t>&gt;1 term</t>
        </is>
      </c>
      <c r="AR255" s="77" t="inlineStr">
        <is>
          <t>All/standard</t>
        </is>
      </c>
      <c r="AS255" s="77" t="inlineStr"/>
    </row>
    <row r="256">
      <c r="A256" s="77" t="inlineStr">
        <is>
          <t>RG14</t>
        </is>
      </c>
      <c r="B256" s="77" t="inlineStr">
        <is>
          <t>Manchester</t>
        </is>
      </c>
      <c r="C256" s="77" t="inlineStr">
        <is>
          <t>Programme/course</t>
        </is>
      </c>
      <c r="D256" s="77" t="inlineStr">
        <is>
          <t>RG14-S09</t>
        </is>
      </c>
      <c r="E256" s="77" t="inlineStr"/>
      <c r="F256" s="77" t="inlineStr">
        <is>
          <t>No</t>
        </is>
      </c>
      <c r="G256" s="79" t="inlineStr">
        <is>
          <t>Software Engineering 1 with industrial mentoring</t>
        </is>
      </c>
      <c r="H256" s="77" t="inlineStr">
        <is>
          <t>Software Engineering 1 (industrial mentoring)</t>
        </is>
      </c>
      <c r="I256" s="77" t="inlineStr">
        <is>
          <t>COMP23311</t>
        </is>
      </c>
      <c r="J256" s="77" t="inlineStr">
        <is>
          <t>Second-year software engineering team project: teams of about six work for 12 weeks on an open-source multi-user client-server application, each team mentored by a professional software engineer from industry who meets them (typically twice a semester, via Teams) and shares industry experience/technical help but does not help with assessed coursework.</t>
        </is>
      </c>
      <c r="K256" s="77" t="inlineStr">
        <is>
          <t>Department of Computer Science</t>
        </is>
      </c>
      <c r="L256" s="77" t="inlineStr">
        <is>
          <t>Computer Science undergraduate programmes</t>
        </is>
      </c>
      <c r="M256" s="77" t="inlineStr">
        <is>
          <t>Engineering/computing</t>
        </is>
      </c>
      <c r="N256" s="77" t="inlineStr">
        <is>
          <t>Undergraduate</t>
        </is>
      </c>
      <c r="O256" s="77" t="inlineStr">
        <is>
          <t>Year 2</t>
        </is>
      </c>
      <c r="P256" s="77" t="inlineStr">
        <is>
          <t>Computer Science students taking COMP23311</t>
        </is>
      </c>
      <c r="Q256" s="77" t="inlineStr">
        <is>
          <t>Unclear</t>
        </is>
      </c>
      <c r="R256" s="77" t="inlineStr">
        <is>
          <t>Curricular</t>
        </is>
      </c>
      <c r="S256" s="77" t="inlineStr">
        <is>
          <t>10 credits</t>
        </is>
      </c>
      <c r="T256" s="77" t="inlineStr">
        <is>
          <t>12 weeks</t>
        </is>
      </c>
      <c r="U256" s="77" t="inlineStr">
        <is>
          <t>Team project with online industry mentor sessions</t>
        </is>
      </c>
      <c r="V256" s="77" t="inlineStr">
        <is>
          <t>Yes</t>
        </is>
      </c>
      <c r="W256" s="77" t="inlineStr">
        <is>
          <t>12-week team software engineering project on an open-source application [19].</t>
        </is>
      </c>
      <c r="X256" s="77" t="inlineStr">
        <is>
          <t>Yes</t>
        </is>
      </c>
      <c r="Y256" s="77" t="inlineStr">
        <is>
          <t>Small teams of six [19]; older mentor guide says teams of 5 or 6 [20].</t>
        </is>
      </c>
      <c r="Z256" s="77" t="inlineStr">
        <is>
          <t>Yes</t>
        </is>
      </c>
      <c r="AA256" s="77" t="inlineStr">
        <is>
          <t>Professional software engineers from industry mentor each team (around two sessions per semester) [19][20]. The brief is academic (open-source codebase); industry role is mentoring only, and mentors are asked not to help with assessed coursework.</t>
        </is>
      </c>
      <c r="AB256" s="77" t="inlineStr">
        <is>
          <t>Business/commercial</t>
        </is>
      </c>
      <c r="AC256" s="77" t="inlineStr">
        <is>
          <t>Mentoring only; no client brief</t>
        </is>
      </c>
      <c r="AD256" s="77" t="inlineStr"/>
      <c r="AE256" s="77" t="inlineStr">
        <is>
          <t>Team software contributions (assessed by university)</t>
        </is>
      </c>
      <c r="AF256" s="77">
        <f>IF(OR(V256="No",X256="No",Z256="No"),"Outside strict definition",IF(AND(V256="Yes",X256="Yes",Z256="Yes"),"Meets all three","Potentially relevant; evidence incomplete"))</f>
        <v/>
      </c>
      <c r="AG256" s="77" t="inlineStr">
        <is>
          <t>Current status unclear</t>
        </is>
      </c>
      <c r="AH256" s="77" t="inlineStr">
        <is>
          <t>Undated (unit listed in 2027-entry course details)</t>
        </is>
      </c>
      <c r="AI256" s="77" t="inlineStr">
        <is>
          <t>Yes</t>
        </is>
      </c>
      <c r="AJ256" s="77">
        <f>IF(AND(AI256="Yes",AF256="Meets all three",AG256="Current delivery confirmed"),"Yes","No")</f>
        <v/>
      </c>
      <c r="AK256" s="77" t="inlineStr">
        <is>
          <t>Over 200 students (undated departmental page)</t>
        </is>
      </c>
      <c r="AL256" s="77" t="inlineStr">
        <is>
          <t>RG14-S09-R1; RG14-S09-R2; RG14-S09-R3</t>
        </is>
      </c>
      <c r="AM256" s="77" t="inlineStr">
        <is>
          <t>Industrial-mentoring page undated; COMP23311 appears in 2027-entry course details but mentoring element not separately dated (a 2026 staff paper reportedly describes the course but its URL could not be tied in the search summary). Compulsory status in each CS programme not confirmed. C rests on mentoring only; analysts may treat as weak C.</t>
        </is>
      </c>
      <c r="AN256" s="77" t="inlineStr"/>
      <c r="AO256" s="77" t="inlineStr">
        <is>
          <t>UK</t>
        </is>
      </c>
      <c r="AP256" s="77" t="inlineStr">
        <is>
          <t>UK – Russell Group</t>
        </is>
      </c>
      <c r="AQ256" s="77" t="inlineStr">
        <is>
          <t>~1 term/semester</t>
        </is>
      </c>
      <c r="AR256" s="77" t="inlineStr">
        <is>
          <t>All/standard</t>
        </is>
      </c>
      <c r="AS256" s="77" t="inlineStr"/>
    </row>
    <row r="257">
      <c r="A257" s="77" t="inlineStr">
        <is>
          <t>RG14</t>
        </is>
      </c>
      <c r="B257" s="77" t="inlineStr">
        <is>
          <t>Manchester</t>
        </is>
      </c>
      <c r="C257" s="77" t="inlineStr">
        <is>
          <t>Programme/course</t>
        </is>
      </c>
      <c r="D257" s="77" t="inlineStr">
        <is>
          <t>RG14-S10</t>
        </is>
      </c>
      <c r="E257" s="77" t="inlineStr"/>
      <c r="F257" s="77" t="inlineStr">
        <is>
          <t>No</t>
        </is>
      </c>
      <c r="G257" s="79" t="inlineStr">
        <is>
          <t>Commercialisation in the Life Sciences</t>
        </is>
      </c>
      <c r="H257" s="77" t="inlineStr">
        <is>
          <t>Commercialisation in the Life Sciences</t>
        </is>
      </c>
      <c r="I257" s="77" t="inlineStr">
        <is>
          <t>BIOL60760</t>
        </is>
      </c>
      <c r="J257" s="77" t="inlineStr">
        <is>
          <t>Masters-level life-sciences unit delivered through lectures, case studies and a group project working with an external company, built around developing a business plan for a biotechnology product.</t>
        </is>
      </c>
      <c r="K257" s="77" t="inlineStr">
        <is>
          <t>Faculty of Biology, Medicine and Health / Masood Entrepreneurship Centre listing</t>
        </is>
      </c>
      <c r="L257" s="77" t="inlineStr">
        <is>
          <t>Not retrieved (Masters programmes offering BIOL60760)</t>
        </is>
      </c>
      <c r="M257" s="77" t="inlineStr">
        <is>
          <t>Science</t>
        </is>
      </c>
      <c r="N257" s="77" t="inlineStr">
        <is>
          <t>Postgraduate taught</t>
        </is>
      </c>
      <c r="O257" s="77" t="inlineStr"/>
      <c r="P257" s="77" t="inlineStr">
        <is>
          <t>Not retrieved</t>
        </is>
      </c>
      <c r="Q257" s="77" t="inlineStr">
        <is>
          <t>Unclear</t>
        </is>
      </c>
      <c r="R257" s="77" t="inlineStr">
        <is>
          <t>Curricular</t>
        </is>
      </c>
      <c r="S257" s="77" t="inlineStr">
        <is>
          <t>Not retrieved</t>
        </is>
      </c>
      <c r="T257" s="77" t="inlineStr">
        <is>
          <t>Not retrieved</t>
        </is>
      </c>
      <c r="U257" s="77" t="inlineStr">
        <is>
          <t>Lectures, case study work, group project</t>
        </is>
      </c>
      <c r="V257" s="77" t="inlineStr">
        <is>
          <t>Yes</t>
        </is>
      </c>
      <c r="W257" s="77" t="inlineStr">
        <is>
          <t>Business plan for a biotechnology product developed in a group project [22].</t>
        </is>
      </c>
      <c r="X257" s="77" t="inlineStr">
        <is>
          <t>Yes</t>
        </is>
      </c>
      <c r="Y257" s="77" t="inlineStr">
        <is>
          <t>'participation in a group project' [22].</t>
        </is>
      </c>
      <c r="Z257" s="77" t="inlineStr">
        <is>
          <t>Yes</t>
        </is>
      </c>
      <c r="AA257" s="77" t="inlineStr">
        <is>
          <t>Group project is 'working with an external company' [22]; exact company role (brief-setting/feedback) not specified.</t>
        </is>
      </c>
      <c r="AB257" s="77" t="inlineStr">
        <is>
          <t>Business/commercial</t>
        </is>
      </c>
      <c r="AC257" s="77" t="inlineStr">
        <is>
          <t>External company works with the group on the project</t>
        </is>
      </c>
      <c r="AD257" s="77" t="inlineStr"/>
      <c r="AE257" s="77" t="inlineStr">
        <is>
          <t>Business plan</t>
        </is>
      </c>
      <c r="AF257" s="77">
        <f>IF(OR(V257="No",X257="No",Z257="No"),"Outside strict definition",IF(AND(V257="Yes",X257="Yes",Z257="Yes"),"Meets all three","Potentially relevant; evidence incomplete"))</f>
        <v/>
      </c>
      <c r="AG257" s="77" t="inlineStr">
        <is>
          <t>Current status unclear</t>
        </is>
      </c>
      <c r="AH257" s="77" t="inlineStr">
        <is>
          <t>Undated</t>
        </is>
      </c>
      <c r="AI257" s="77" t="inlineStr">
        <is>
          <t>Yes</t>
        </is>
      </c>
      <c r="AJ257" s="77">
        <f>IF(AND(AI257="Yes",AF257="Meets all three",AG257="Current delivery confirmed"),"Yes","No")</f>
        <v/>
      </c>
      <c r="AK257" s="77" t="inlineStr"/>
      <c r="AL257" s="77" t="inlineStr">
        <is>
          <t>RG14-S10-R1</t>
        </is>
      </c>
      <c r="AM257" s="77" t="inlineStr">
        <is>
          <t>Undated unit page; host programmes, credits and company role not retrieved.</t>
        </is>
      </c>
      <c r="AN257" s="77" t="inlineStr"/>
      <c r="AO257" s="77" t="inlineStr">
        <is>
          <t>UK</t>
        </is>
      </c>
      <c r="AP257" s="77" t="inlineStr">
        <is>
          <t>UK – Russell Group</t>
        </is>
      </c>
      <c r="AQ257" s="77" t="inlineStr">
        <is>
          <t>Unclear</t>
        </is>
      </c>
      <c r="AR257" s="77" t="inlineStr">
        <is>
          <t>All/standard</t>
        </is>
      </c>
      <c r="AS257" s="77" t="inlineStr"/>
    </row>
    <row r="258">
      <c r="A258" s="77" t="inlineStr">
        <is>
          <t>RG14</t>
        </is>
      </c>
      <c r="B258" s="77" t="inlineStr">
        <is>
          <t>Manchester</t>
        </is>
      </c>
      <c r="C258" s="77" t="inlineStr">
        <is>
          <t>Cross-faculty</t>
        </is>
      </c>
      <c r="D258" s="77" t="inlineStr">
        <is>
          <t>RG14-S11</t>
        </is>
      </c>
      <c r="E258" s="77" t="inlineStr"/>
      <c r="F258" s="77" t="inlineStr">
        <is>
          <t>No</t>
        </is>
      </c>
      <c r="G258" s="79" t="inlineStr">
        <is>
          <t>University Living Lab</t>
        </is>
      </c>
      <c r="H258" s="77" t="inlineStr">
        <is>
          <t>University Living Lab</t>
        </is>
      </c>
      <c r="I258" s="77" t="inlineStr"/>
      <c r="J258" s="77" t="inlineStr">
        <is>
          <t>SEED-led platform linking student assessment (described as authentic, co-produced assessment) to applied research questions set by external organisations around the SDGs: over 150 projects set by around 50 external stakeholders, requiring case-study, policy or data analysis, empirical data collection or visualisation. Used in course units (e.g. Electrical, Electronic &amp; Mechatronic Engineering foundation year students work with an external organisation through the Living Lab).</t>
        </is>
      </c>
      <c r="K258" s="77" t="inlineStr">
        <is>
          <t>School of Environment, Education and Development (SEED)</t>
        </is>
      </c>
      <c r="L258" s="77" t="inlineStr">
        <is>
          <t>Course units that adopt Living Lab projects (SEED; also engineering foundation year)</t>
        </is>
      </c>
      <c r="M258" s="77" t="inlineStr">
        <is>
          <t>Arts/humanities/social sciences; Engineering/computing</t>
        </is>
      </c>
      <c r="N258" s="77" t="inlineStr">
        <is>
          <t>Mixed</t>
        </is>
      </c>
      <c r="O258" s="77" t="inlineStr">
        <is>
          <t>Various</t>
        </is>
      </c>
      <c r="P258" s="77" t="inlineStr">
        <is>
          <t>Via participating course units</t>
        </is>
      </c>
      <c r="Q258" s="77" t="inlineStr">
        <is>
          <t>Unclear</t>
        </is>
      </c>
      <c r="R258" s="77" t="inlineStr">
        <is>
          <t>Curricular</t>
        </is>
      </c>
      <c r="S258" s="77" t="inlineStr">
        <is>
          <t>Embedded in unit assessment (unit-level details not retrieved)</t>
        </is>
      </c>
      <c r="T258" s="77" t="inlineStr">
        <is>
          <t>Unit-dependent</t>
        </is>
      </c>
      <c r="U258" s="77" t="inlineStr">
        <is>
          <t>Applied research projects for external stakeholders</t>
        </is>
      </c>
      <c r="V258" s="77" t="inlineStr">
        <is>
          <t>Yes</t>
        </is>
      </c>
      <c r="W258" s="77" t="inlineStr">
        <is>
          <t>Projects with defined questions from external stakeholders requiring policy/data analysis or data collection [23].</t>
        </is>
      </c>
      <c r="X258" s="77" t="inlineStr">
        <is>
          <t>Unclear</t>
        </is>
      </c>
      <c r="Y258" s="77" t="inlineStr">
        <is>
          <t>No retrieved source states whether Living Lab projects are done in groups or individually.</t>
        </is>
      </c>
      <c r="Z258" s="77" t="inlineStr">
        <is>
          <t>Yes</t>
        </is>
      </c>
      <c r="AA258" s="77" t="inlineStr">
        <is>
          <t>Projects are set by around 50 external stakeholders; outputs used by organisations (e.g. presentation to the Rockefeller Foundation; shaping food bank location and practice) [23][24]; engineering foundation-year students 'work with an external organisation' [25].</t>
        </is>
      </c>
      <c r="AB258" s="77" t="inlineStr">
        <is>
          <t>Mixed</t>
        </is>
      </c>
      <c r="AC258" s="77" t="inlineStr">
        <is>
          <t>External organisations set project questions and use outputs</t>
        </is>
      </c>
      <c r="AD258" s="77" t="inlineStr">
        <is>
          <t>Rockefeller Foundation (presentation of student work; undated)</t>
        </is>
      </c>
      <c r="AE258" s="77" t="inlineStr">
        <is>
          <t>Research/analysis outputs for partner organisations</t>
        </is>
      </c>
      <c r="AF258" s="77">
        <f>IF(OR(V258="No",X258="No",Z258="No"),"Outside strict definition",IF(AND(V258="Yes",X258="Yes",Z258="Yes"),"Meets all three","Potentially relevant; evidence incomplete"))</f>
        <v/>
      </c>
      <c r="AG258" s="77" t="inlineStr">
        <is>
          <t>Current status unclear</t>
        </is>
      </c>
      <c r="AH258" s="77" t="inlineStr">
        <is>
          <t>2027 entry (engineering foundation year page mentions Living Lab)</t>
        </is>
      </c>
      <c r="AI258" s="77" t="inlineStr">
        <is>
          <t>Yes</t>
        </is>
      </c>
      <c r="AJ258" s="77">
        <f>IF(AND(AI258="Yes",AF258="Meets all three",AG258="Current delivery confirmed"),"Yes","No")</f>
        <v/>
      </c>
      <c r="AK258" s="77" t="inlineStr"/>
      <c r="AL258" s="77" t="inlineStr">
        <is>
          <t>RG14-S11-R1; RG14-S11-R2; RG14-S11-R3</t>
        </is>
      </c>
      <c r="AM258" s="77" t="inlineStr">
        <is>
          <t>Group format and the specific SEED units using the Living Lab not identified (search budget exhausted); Living Lab pages undated.</t>
        </is>
      </c>
      <c r="AN258" s="77" t="inlineStr"/>
      <c r="AO258" s="77" t="inlineStr">
        <is>
          <t>UK</t>
        </is>
      </c>
      <c r="AP258" s="77" t="inlineStr">
        <is>
          <t>UK – Russell Group</t>
        </is>
      </c>
      <c r="AQ258" s="77" t="inlineStr">
        <is>
          <t>Unclear</t>
        </is>
      </c>
      <c r="AR258" s="77" t="inlineStr">
        <is>
          <t>All/standard</t>
        </is>
      </c>
      <c r="AS258" s="77" t="inlineStr"/>
    </row>
    <row r="259">
      <c r="A259" s="77" t="inlineStr">
        <is>
          <t>RG14</t>
        </is>
      </c>
      <c r="B259" s="77" t="inlineStr">
        <is>
          <t>Manchester</t>
        </is>
      </c>
      <c r="C259" s="77" t="inlineStr">
        <is>
          <t>Programme/course</t>
        </is>
      </c>
      <c r="D259" s="77" t="inlineStr">
        <is>
          <t>RG14-S12</t>
        </is>
      </c>
      <c r="E259" s="77" t="inlineStr"/>
      <c r="F259" s="77" t="inlineStr">
        <is>
          <t>No</t>
        </is>
      </c>
      <c r="G259" s="79" t="inlineStr">
        <is>
          <t>Final-year engineering team project (Electrical &amp; Electronic / Mechatronic Engineering)</t>
        </is>
      </c>
      <c r="H259" s="77" t="inlineStr">
        <is>
          <t>Final-year engineering team project (EEE / Mechatronics)</t>
        </is>
      </c>
      <c r="I259" s="77" t="inlineStr"/>
      <c r="J259" s="77" t="inlineStr">
        <is>
          <t>Year-long final-year MEng team project in Electrical and Electronic / Mechatronic Engineering that is either directly funded by industry or inspired by industrial needs (examples: training wheelchair for para-athletes; haptic glove for remote handling).</t>
        </is>
      </c>
      <c r="K259" s="77" t="inlineStr">
        <is>
          <t>Department of Electrical and Electronic Engineering</t>
        </is>
      </c>
      <c r="L259" s="77" t="inlineStr">
        <is>
          <t>MEng Electrical and Electronic Engineering; MEng Mechatronic Engineering (incl. Industrial Experience)</t>
        </is>
      </c>
      <c r="M259" s="77" t="inlineStr">
        <is>
          <t>Engineering/computing</t>
        </is>
      </c>
      <c r="N259" s="77" t="inlineStr">
        <is>
          <t>Undergraduate</t>
        </is>
      </c>
      <c r="O259" s="77" t="inlineStr">
        <is>
          <t>Final year</t>
        </is>
      </c>
      <c r="P259" s="77" t="inlineStr">
        <is>
          <t>MEng EEE/Mechatronics students</t>
        </is>
      </c>
      <c r="Q259" s="77" t="inlineStr">
        <is>
          <t>Compulsory within specified programmes</t>
        </is>
      </c>
      <c r="R259" s="77" t="inlineStr">
        <is>
          <t>Curricular</t>
        </is>
      </c>
      <c r="S259" s="77" t="inlineStr">
        <is>
          <t>Not retrieved</t>
        </is>
      </c>
      <c r="T259" s="77" t="inlineStr">
        <is>
          <t>Year-long</t>
        </is>
      </c>
      <c r="U259" s="77" t="inlineStr">
        <is>
          <t>Team design project</t>
        </is>
      </c>
      <c r="V259" s="77" t="inlineStr">
        <is>
          <t>Yes</t>
        </is>
      </c>
      <c r="W259" s="77" t="inlineStr">
        <is>
          <t>Team engineering projects producing prototypes (e.g. haptic glove) [26].</t>
        </is>
      </c>
      <c r="X259" s="77" t="inlineStr">
        <is>
          <t>Yes</t>
        </is>
      </c>
      <c r="Y259" s="77" t="inlineStr">
        <is>
          <t>'team project' [26][27].</t>
        </is>
      </c>
      <c r="Z259" s="77" t="inlineStr">
        <is>
          <t>Unclear</t>
        </is>
      </c>
      <c r="AA259" s="77" t="inlineStr">
        <is>
          <t>Projects 'either directly funded by industry or inspired by industrial needs' [26]; 'industrially related' [27]. Only some are industry-funded; industry role in brief/supervision not documented.</t>
        </is>
      </c>
      <c r="AB259" s="77" t="inlineStr">
        <is>
          <t>Business/commercial</t>
        </is>
      </c>
      <c r="AC259" s="77" t="inlineStr">
        <is>
          <t>Some projects industry-funded</t>
        </is>
      </c>
      <c r="AD259" s="77" t="inlineStr"/>
      <c r="AE259" s="77" t="inlineStr">
        <is>
          <t>Engineering prototype/design</t>
        </is>
      </c>
      <c r="AF259" s="77">
        <f>IF(OR(V259="No",X259="No",Z259="No"),"Outside strict definition",IF(AND(V259="Yes",X259="Yes",Z259="Yes"),"Meets all three","Potentially relevant; evidence incomplete"))</f>
        <v/>
      </c>
      <c r="AG259" s="77" t="inlineStr">
        <is>
          <t>Current delivery confirmed</t>
        </is>
      </c>
      <c r="AH259" s="77" t="inlineStr">
        <is>
          <t>2026/27 (2026-entry course page)</t>
        </is>
      </c>
      <c r="AI259" s="77" t="inlineStr">
        <is>
          <t>Yes</t>
        </is>
      </c>
      <c r="AJ259" s="77">
        <f>IF(AND(AI259="Yes",AF259="Meets all three",AG259="Current delivery confirmed"),"Yes","No")</f>
        <v/>
      </c>
      <c r="AK259" s="77" t="inlineStr"/>
      <c r="AL259" s="77" t="inlineStr">
        <is>
          <t>RG14-S12-R1; RG14-S12-R2</t>
        </is>
      </c>
      <c r="AM259" s="77" t="inlineStr">
        <is>
          <t>Share of industry-funded projects and company role.</t>
        </is>
      </c>
      <c r="AN259" s="77" t="inlineStr"/>
      <c r="AO259" s="77" t="inlineStr">
        <is>
          <t>UK</t>
        </is>
      </c>
      <c r="AP259" s="77" t="inlineStr">
        <is>
          <t>UK – Russell Group</t>
        </is>
      </c>
      <c r="AQ259" s="77" t="inlineStr">
        <is>
          <t>&gt;1 term</t>
        </is>
      </c>
      <c r="AR259" s="77" t="inlineStr">
        <is>
          <t>Some projects</t>
        </is>
      </c>
      <c r="AS259" s="77" t="inlineStr"/>
    </row>
    <row r="260">
      <c r="A260" s="77" t="inlineStr">
        <is>
          <t>RG14</t>
        </is>
      </c>
      <c r="B260" s="77" t="inlineStr">
        <is>
          <t>Manchester</t>
        </is>
      </c>
      <c r="C260" s="77" t="inlineStr">
        <is>
          <t>Faculty/school</t>
        </is>
      </c>
      <c r="D260" s="77" t="inlineStr">
        <is>
          <t>RG14-S13</t>
        </is>
      </c>
      <c r="E260" s="77" t="inlineStr"/>
      <c r="F260" s="77" t="inlineStr">
        <is>
          <t>No</t>
        </is>
      </c>
      <c r="G260" s="79" t="inlineStr">
        <is>
          <t>MSA LIVE (Manchester School of Architecture live projects)</t>
        </is>
      </c>
      <c r="H260" s="77" t="inlineStr">
        <is>
          <t>MSA LIVE</t>
        </is>
      </c>
      <c r="I260" s="77" t="inlineStr"/>
      <c r="J260" s="77" t="inlineStr">
        <is>
          <t>Annual Feb-May programme in which mixed-year student groups (Foundation, BA1, MLA1, MArch1, MA+AR) work with external community groups, charities and councils to develop a brief and a project with community benefit; about 400 students on 34 projects with over 50 external collaborators in 2026. MSA is a joint school of the University of Manchester and Manchester Metropolitan University, so cohort split is not established.</t>
        </is>
      </c>
      <c r="K260" s="77" t="inlineStr">
        <is>
          <t>Manchester School of Architecture (joint UoM/MMU)</t>
        </is>
      </c>
      <c r="L260" s="77" t="inlineStr">
        <is>
          <t>Architecture and landscape students across several cohorts</t>
        </is>
      </c>
      <c r="M260" s="77" t="inlineStr">
        <is>
          <t>Other (law, health, design, architecture…)</t>
        </is>
      </c>
      <c r="N260" s="77" t="inlineStr">
        <is>
          <t>Mixed</t>
        </is>
      </c>
      <c r="O260" s="77" t="inlineStr">
        <is>
          <t>Foundation, BA1, MLA1, MArch1, MA+AR</t>
        </is>
      </c>
      <c r="P260" s="77" t="inlineStr">
        <is>
          <t>Architecture school students; not evidenced which are University of Manchester</t>
        </is>
      </c>
      <c r="Q260" s="77" t="inlineStr">
        <is>
          <t>Unclear</t>
        </is>
      </c>
      <c r="R260" s="77" t="inlineStr">
        <is>
          <t>Curricular</t>
        </is>
      </c>
      <c r="S260" s="77" t="inlineStr">
        <is>
          <t>Not retrieved</t>
        </is>
      </c>
      <c r="T260" s="77" t="inlineStr">
        <is>
          <t>February to May</t>
        </is>
      </c>
      <c r="U260" s="77" t="inlineStr">
        <is>
          <t>Group live projects with external collaborators</t>
        </is>
      </c>
      <c r="V260" s="77" t="inlineStr">
        <is>
          <t>Yes</t>
        </is>
      </c>
      <c r="W260" s="77" t="inlineStr">
        <is>
          <t>Live projects with brief and outcome developed with partner [2][3].</t>
        </is>
      </c>
      <c r="X260" s="77" t="inlineStr">
        <is>
          <t>Yes</t>
        </is>
      </c>
      <c r="Y260" s="77" t="inlineStr">
        <is>
          <t>Students work in groups with peers from other cohorts; group contracts and per-group blogs [3].</t>
        </is>
      </c>
      <c r="Z260" s="77" t="inlineStr">
        <is>
          <t>Yes</t>
        </is>
      </c>
      <c r="AA260" s="77" t="inlineStr">
        <is>
          <t>External partners develop the brief and outcome and meet groups; clients include community groups, charities, councils [1][3].</t>
        </is>
      </c>
      <c r="AB260" s="77" t="inlineStr">
        <is>
          <t>Charity/community</t>
        </is>
      </c>
      <c r="AC260" s="77" t="inlineStr">
        <is>
          <t>Collaborators co-develop brief and receive outcome</t>
        </is>
      </c>
      <c r="AD260" s="77" t="inlineStr">
        <is>
          <t>Stockport Council (Merseyway, 2024, from search summary)</t>
        </is>
      </c>
      <c r="AE260" s="77" t="inlineStr">
        <is>
          <t>Design proposals/live project outcomes</t>
        </is>
      </c>
      <c r="AF260" s="77">
        <f>IF(OR(V260="No",X260="No",Z260="No"),"Outside strict definition",IF(AND(V260="Yes",X260="Yes",Z260="Yes"),"Meets all three","Potentially relevant; evidence incomplete"))</f>
        <v/>
      </c>
      <c r="AG260" s="77" t="inlineStr">
        <is>
          <t>Current delivery confirmed</t>
        </is>
      </c>
      <c r="AH260" s="77" t="inlineStr">
        <is>
          <t>2026</t>
        </is>
      </c>
      <c r="AI260" s="77" t="inlineStr">
        <is>
          <t>Yes</t>
        </is>
      </c>
      <c r="AJ260" s="77">
        <f>IF(AND(AI260="Yes",AF260="Meets all three",AG260="Current delivery confirmed"),"Yes","No")</f>
        <v/>
      </c>
      <c r="AK260" s="77" t="inlineStr">
        <is>
          <t>About 400 students, 34 projects, over 50 collaborators (MSA LIVE 26)</t>
        </is>
      </c>
      <c r="AL260" s="77" t="inlineStr">
        <is>
          <t>RG14-S13-R1; RG14-S13-R2; RG14-S13-R3</t>
        </is>
      </c>
      <c r="AM260" s="77" t="inlineStr">
        <is>
          <t>Which students are University of Manchester vs MMU; compulsory status; credits; 2025 page says over 40 community groups, 2026 over 50 collaborators.</t>
        </is>
      </c>
      <c r="AN260" s="77" t="inlineStr"/>
      <c r="AO260" s="77" t="inlineStr">
        <is>
          <t>UK</t>
        </is>
      </c>
      <c r="AP260" s="77" t="inlineStr">
        <is>
          <t>UK – Russell Group</t>
        </is>
      </c>
      <c r="AQ260" s="77" t="inlineStr">
        <is>
          <t>~1 term/semester</t>
        </is>
      </c>
      <c r="AR260" s="77" t="inlineStr">
        <is>
          <t>All/standard</t>
        </is>
      </c>
      <c r="AS260" s="77" t="inlineStr"/>
    </row>
    <row r="261">
      <c r="A261" s="77" t="inlineStr">
        <is>
          <t>RG14</t>
        </is>
      </c>
      <c r="B261" s="77" t="inlineStr">
        <is>
          <t>Manchester</t>
        </is>
      </c>
      <c r="C261" s="77" t="inlineStr">
        <is>
          <t>Programme/course</t>
        </is>
      </c>
      <c r="D261" s="77" t="inlineStr">
        <is>
          <t>RG14-S14</t>
        </is>
      </c>
      <c r="E261" s="77" t="inlineStr"/>
      <c r="F261" s="77" t="inlineStr">
        <is>
          <t>No</t>
        </is>
      </c>
      <c r="G261" s="79" t="inlineStr">
        <is>
          <t>Integrative Team Project 1 and 2 (BSc Information Technology Management for Business)</t>
        </is>
      </c>
      <c r="H261" s="77" t="inlineStr">
        <is>
          <t>Integrative Team Project</t>
        </is>
      </c>
      <c r="I261" s="77" t="inlineStr">
        <is>
          <t>BMAN10690 / BMAN24650</t>
        </is>
      </c>
      <c r="J261" s="77" t="inlineStr">
        <is>
          <t>Year 1 team project developing an application for a real business problem (supported by Lloyds Bank) and Year 2 year-long team consultancy project (supported by Procter &amp; Gamble); results shown to employers at showcases.</t>
        </is>
      </c>
      <c r="K261" s="77" t="inlineStr">
        <is>
          <t>Alliance Manchester Business School</t>
        </is>
      </c>
      <c r="L261" s="77" t="inlineStr">
        <is>
          <t>BSc IT Management for Business (and Industrial Experience variant)</t>
        </is>
      </c>
      <c r="M261" s="77" t="inlineStr">
        <is>
          <t>Business/management</t>
        </is>
      </c>
      <c r="N261" s="77" t="inlineStr">
        <is>
          <t>Undergraduate</t>
        </is>
      </c>
      <c r="O261" s="77" t="inlineStr">
        <is>
          <t>Years 1 and 2</t>
        </is>
      </c>
      <c r="P261" s="77" t="inlineStr">
        <is>
          <t>Programme students</t>
        </is>
      </c>
      <c r="Q261" s="77" t="inlineStr">
        <is>
          <t>Compulsory within specified programmes</t>
        </is>
      </c>
      <c r="R261" s="77" t="inlineStr">
        <is>
          <t>Curricular</t>
        </is>
      </c>
      <c r="S261" s="77" t="inlineStr">
        <is>
          <t>20 credits each, mandatory</t>
        </is>
      </c>
      <c r="T261" s="77" t="inlineStr">
        <is>
          <t>Year-long</t>
        </is>
      </c>
      <c r="U261" s="77" t="inlineStr">
        <is>
          <t>Team project with employer showcases</t>
        </is>
      </c>
      <c r="V261" s="77" t="inlineStr">
        <is>
          <t>Yes</t>
        </is>
      </c>
      <c r="W261" s="77" t="inlineStr">
        <is>
          <t>App for a real business problem; consultancy project [1].</t>
        </is>
      </c>
      <c r="X261" s="77" t="inlineStr">
        <is>
          <t>Yes</t>
        </is>
      </c>
      <c r="Y261" s="77" t="inlineStr">
        <is>
          <t>'team project' / 'team consultancy project' [1].</t>
        </is>
      </c>
      <c r="Z261" s="77" t="inlineStr">
        <is>
          <t>Unclear</t>
        </is>
      </c>
      <c r="AA261" s="77" t="inlineStr">
        <is>
          <t>Lloyds Bank and P&amp;G 'support' the units and employers see outputs at showcases [1]; whether they set briefs is not stated.</t>
        </is>
      </c>
      <c r="AB261" s="77" t="inlineStr">
        <is>
          <t>Business/commercial</t>
        </is>
      </c>
      <c r="AC261" s="77" t="inlineStr">
        <is>
          <t>Supporting companies; employers view showcases</t>
        </is>
      </c>
      <c r="AD261" s="77" t="inlineStr">
        <is>
          <t>Lloyds Bank; Procter &amp; Gamble (2027-entry page)</t>
        </is>
      </c>
      <c r="AE261" s="77" t="inlineStr">
        <is>
          <t>Application / consultancy output</t>
        </is>
      </c>
      <c r="AF261" s="77">
        <f>IF(OR(V261="No",X261="No",Z261="No"),"Outside strict definition",IF(AND(V261="Yes",X261="Yes",Z261="Yes"),"Meets all three","Potentially relevant; evidence incomplete"))</f>
        <v/>
      </c>
      <c r="AG261" s="77" t="inlineStr">
        <is>
          <t>Current delivery confirmed</t>
        </is>
      </c>
      <c r="AH261" s="77" t="inlineStr">
        <is>
          <t>2027 entry (course page)</t>
        </is>
      </c>
      <c r="AI261" s="77" t="inlineStr">
        <is>
          <t>Yes</t>
        </is>
      </c>
      <c r="AJ261" s="77">
        <f>IF(AND(AI261="Yes",AF261="Meets all three",AG261="Current delivery confirmed"),"Yes","No")</f>
        <v/>
      </c>
      <c r="AK261" s="77" t="inlineStr"/>
      <c r="AL261" s="77" t="inlineStr">
        <is>
          <t>RG14-S14-R1</t>
        </is>
      </c>
      <c r="AM261" s="77" t="inlineStr">
        <is>
          <t>Whether partners set briefs or assess; team size.</t>
        </is>
      </c>
      <c r="AN261" s="77" t="inlineStr"/>
      <c r="AO261" s="77" t="inlineStr">
        <is>
          <t>UK</t>
        </is>
      </c>
      <c r="AP261" s="77" t="inlineStr">
        <is>
          <t>UK – Russell Group</t>
        </is>
      </c>
      <c r="AQ261" s="77" t="inlineStr">
        <is>
          <t>&gt;1 term</t>
        </is>
      </c>
      <c r="AR261" s="77" t="inlineStr">
        <is>
          <t>Unclear</t>
        </is>
      </c>
      <c r="AS261" s="77" t="inlineStr"/>
    </row>
    <row r="262">
      <c r="A262" s="77" t="inlineStr">
        <is>
          <t>RG15</t>
        </is>
      </c>
      <c r="B262" s="77" t="inlineStr">
        <is>
          <t>Newcastle</t>
        </is>
      </c>
      <c r="C262" s="77" t="inlineStr">
        <is>
          <t>Faculty/school</t>
        </is>
      </c>
      <c r="D262" s="77" t="inlineStr">
        <is>
          <t>RG15-S01</t>
        </is>
      </c>
      <c r="E262" s="77" t="inlineStr"/>
      <c r="F262" s="77" t="inlineStr">
        <is>
          <t>No</t>
        </is>
      </c>
      <c r="G262" s="79" t="inlineStr">
        <is>
          <t>BUS3053 Management Consultancy Project</t>
        </is>
      </c>
      <c r="H262" s="77" t="inlineStr">
        <is>
          <t>Management Consultancy Project (Newcastle University Business School)</t>
        </is>
      </c>
      <c r="I262" s="77" t="inlineStr">
        <is>
          <t>BUS3053</t>
        </is>
      </c>
      <c r="J262" s="77" t="inlineStr">
        <is>
          <t>Final-year undergraduate practice-based alternative to the dissertation. Teams of students (small teams, ideally eight per team per a School blog) work on a real business issue for an external client, vetted by the School; they produce a group management report and present orally to the client, plus an individual reflective account.</t>
        </is>
      </c>
      <c r="K262" s="77" t="inlineStr">
        <is>
          <t>Newcastle University Business School</t>
        </is>
      </c>
      <c r="L262" s="77" t="inlineStr">
        <is>
          <t>Business School final-year undergraduate programmes where the module is offered (specific degree list not retrieved).</t>
        </is>
      </c>
      <c r="M262" s="77" t="inlineStr">
        <is>
          <t>Business/management</t>
        </is>
      </c>
      <c r="N262" s="77" t="inlineStr">
        <is>
          <t>Undergraduate</t>
        </is>
      </c>
      <c r="O262" s="77" t="inlineStr">
        <is>
          <t>Final year (Stage 3)</t>
        </is>
      </c>
      <c r="P262" s="77" t="inlineStr">
        <is>
          <t>40 places stated on module page; offered as an alternative to the dissertation.</t>
        </is>
      </c>
      <c r="Q262" s="77" t="inlineStr">
        <is>
          <t>Optional/elective</t>
        </is>
      </c>
      <c r="R262" s="77" t="inlineStr">
        <is>
          <t>Curricular</t>
        </is>
      </c>
      <c r="S262" s="77" t="inlineStr">
        <is>
          <t>Assessment: 40% group management report, 10% group oral presentation to the client, 50% individual reflective account; peer review adjusts group marks. Credit value not stated in the extract (the related Marketing and Management BSc page lists a 40-credit consultancy option).</t>
        </is>
      </c>
      <c r="T262" s="77" t="inlineStr">
        <is>
          <t>Academic year (final-year module; exact length not stated)</t>
        </is>
      </c>
      <c r="U262" s="77" t="inlineStr">
        <is>
          <t>In-person, City Campus; client project in small teams</t>
        </is>
      </c>
      <c r="V262" s="77" t="inlineStr">
        <is>
          <t>Yes</t>
        </is>
      </c>
      <c r="W262" s="77" t="inlineStr">
        <is>
          <t>Real business issue for an external client; group management report is the output (source 1).</t>
        </is>
      </c>
      <c r="X262" s="77" t="inlineStr">
        <is>
          <t>Yes</t>
        </is>
      </c>
      <c r="Y262" s="77" t="inlineStr">
        <is>
          <t>Group report (40%) and group oral presentation (10%) with peer-review adjustment of marks (source 1); small teams, ideally eight (source 2).</t>
        </is>
      </c>
      <c r="Z262" s="77" t="inlineStr">
        <is>
          <t>Yes</t>
        </is>
      </c>
      <c r="AA262" s="77" t="inlineStr">
        <is>
          <t>External client supplies a real business issue (vetted by the School), receives the group presentation/report (source 1); named charity/arts clients in Business School case studies (sources 2, 3).</t>
        </is>
      </c>
      <c r="AB262" s="77" t="inlineStr">
        <is>
          <t>Mixed</t>
        </is>
      </c>
      <c r="AC262" s="77" t="inlineStr">
        <is>
          <t>Clients supply a live problem and receive the report and presentation. Case studies show commercial and charity/cultural clients (e.g. a charity in 'Bringing Words to Life', Seven Stories, Natural History Society of Northumbria).</t>
        </is>
      </c>
      <c r="AD262" s="77" t="inlineStr">
        <is>
          <t>Seven Stories (2017/18 cohort, per Vital North blog); Natural History Society of Northumbria and 'Bringing Words to Life' charity (undated case studies; the Natural History Society case relates to the marketing consultancy module).</t>
        </is>
      </c>
      <c r="AE262" s="77" t="inlineStr">
        <is>
          <t>Group management consultancy report and group presentation to the client; individual reflective account</t>
        </is>
      </c>
      <c r="AF262" s="77">
        <f>IF(OR(V262="No",X262="No",Z262="No"),"Outside strict definition",IF(AND(V262="Yes",X262="Yes",Z262="Yes"),"Meets all three","Potentially relevant; evidence incomplete"))</f>
        <v/>
      </c>
      <c r="AG262" s="77" t="inlineStr">
        <is>
          <t>Current delivery confirmed</t>
        </is>
      </c>
      <c r="AH262" s="77" t="inlineStr">
        <is>
          <t>2025/26</t>
        </is>
      </c>
      <c r="AI262" s="77" t="inlineStr">
        <is>
          <t>Yes</t>
        </is>
      </c>
      <c r="AJ262" s="77">
        <f>IF(AND(AI262="Yes",AF262="Meets all three",AG262="Current delivery confirmed"),"Yes","No")</f>
        <v/>
      </c>
      <c r="AK262" s="77" t="inlineStr">
        <is>
          <t>No participation numbers published beyond any stated cap/places.</t>
        </is>
      </c>
      <c r="AL262" s="77" t="inlineStr">
        <is>
          <t>RG15-S01-R1; RG15-S01-R2; RG15-S01-R3; RG15-S01-R4</t>
        </is>
      </c>
      <c r="AM262" s="77" t="inlineStr">
        <is>
          <t>Programmes in which the module can be taken, and credit value, not confirmed from the extract.</t>
        </is>
      </c>
      <c r="AN262" s="77" t="inlineStr"/>
      <c r="AO262" s="77" t="inlineStr">
        <is>
          <t>UK</t>
        </is>
      </c>
      <c r="AP262" s="77" t="inlineStr">
        <is>
          <t>UK – Russell Group</t>
        </is>
      </c>
      <c r="AQ262" s="77" t="inlineStr">
        <is>
          <t>~1 term/semester</t>
        </is>
      </c>
      <c r="AR262" s="77" t="inlineStr">
        <is>
          <t>All/standard</t>
        </is>
      </c>
      <c r="AS262" s="77" t="inlineStr"/>
    </row>
    <row r="263">
      <c r="A263" s="77" t="inlineStr">
        <is>
          <t>RG15</t>
        </is>
      </c>
      <c r="B263" s="77" t="inlineStr">
        <is>
          <t>Newcastle</t>
        </is>
      </c>
      <c r="C263" s="77" t="inlineStr">
        <is>
          <t>Programme/course</t>
        </is>
      </c>
      <c r="D263" s="77" t="inlineStr">
        <is>
          <t>RG15-S02</t>
        </is>
      </c>
      <c r="E263" s="77" t="inlineStr"/>
      <c r="F263" s="77" t="inlineStr">
        <is>
          <t>No</t>
        </is>
      </c>
      <c r="G263" s="79" t="inlineStr">
        <is>
          <t>MKT3097 Marketing Consultancy Project</t>
        </is>
      </c>
      <c r="H263" s="77" t="inlineStr">
        <is>
          <t>Marketing Consultancy Project</t>
        </is>
      </c>
      <c r="I263" s="77" t="inlineStr">
        <is>
          <t>MKT3097</t>
        </is>
      </c>
      <c r="J263" s="77" t="inlineStr">
        <is>
          <t>Final-year undergraduate marketing consultancy module (alternative to the dissertation on Marketing and Marketing &amp; Management BSc). Student groups carry out a project for a live client over about six months, producing a client report, research portfolio and presentation of recommendations.</t>
        </is>
      </c>
      <c r="K263" s="77" t="inlineStr">
        <is>
          <t>Newcastle University Business School</t>
        </is>
      </c>
      <c r="L263" s="77" t="inlineStr">
        <is>
          <t>Marketing BSc; Marketing and Management BSc (optional consultancy route in place of dissertation)</t>
        </is>
      </c>
      <c r="M263" s="77" t="inlineStr">
        <is>
          <t>Business/management</t>
        </is>
      </c>
      <c r="N263" s="77" t="inlineStr">
        <is>
          <t>Undergraduate</t>
        </is>
      </c>
      <c r="O263" s="77" t="inlineStr">
        <is>
          <t>Final year (Stage 3)</t>
        </is>
      </c>
      <c r="P263" s="77" t="inlineStr">
        <is>
          <t>Optional alternative to dissertation; June 2025 news item reportedly said 11 further students signed up for September 2025.</t>
        </is>
      </c>
      <c r="Q263" s="77" t="inlineStr">
        <is>
          <t>Optional/elective</t>
        </is>
      </c>
      <c r="R263" s="77" t="inlineStr">
        <is>
          <t>Curricular</t>
        </is>
      </c>
      <c r="S263" s="77" t="inlineStr">
        <is>
          <t>Group report 40% (March), group oral presentation to the live client 10%, individual reflective report 50% (May); group mark adjusted by peer group assessment. Marketing and Management BSc page lists a 40-credit option.</t>
        </is>
      </c>
      <c r="T263" s="77" t="inlineStr">
        <is>
          <t>About six months (client case study)</t>
        </is>
      </c>
      <c r="U263" s="77" t="inlineStr">
        <is>
          <t>Client project in groups</t>
        </is>
      </c>
      <c r="V263" s="77" t="inlineStr">
        <is>
          <t>Yes</t>
        </is>
      </c>
      <c r="W263" s="77" t="inlineStr">
        <is>
          <t>Client-facing consultancy report plus research portfolio and presentation (sources 1, 2).</t>
        </is>
      </c>
      <c r="X263" s="77" t="inlineStr">
        <is>
          <t>Yes</t>
        </is>
      </c>
      <c r="Y263" s="77" t="inlineStr">
        <is>
          <t>Group report and group presentation with peer group assessment adjusting individual marks (source 1).</t>
        </is>
      </c>
      <c r="Z263" s="77" t="inlineStr">
        <is>
          <t>Yes</t>
        </is>
      </c>
      <c r="AA263" s="77" t="inlineStr">
        <is>
          <t>Live client: the group presentation is given to the live client and the client receives an 8,000-word report, research portfolio and presentation (sources 1, 2).</t>
        </is>
      </c>
      <c r="AB263" s="77" t="inlineStr">
        <is>
          <t>Mixed</t>
        </is>
      </c>
      <c r="AC263" s="77" t="inlineStr">
        <is>
          <t>Live clients receive consultancy report and presentation; Natural History Society of Northumbria (charity/community) shown as an example.</t>
        </is>
      </c>
      <c r="AD263" s="77" t="inlineStr">
        <is>
          <t>Natural History Society of Northumbria (undated case study)</t>
        </is>
      </c>
      <c r="AE263" s="77" t="inlineStr">
        <is>
          <t>Group consultancy report (c.8,000 words), research portfolio, presentation of recommendations; individual reflective report</t>
        </is>
      </c>
      <c r="AF263" s="77">
        <f>IF(OR(V263="No",X263="No",Z263="No"),"Outside strict definition",IF(AND(V263="Yes",X263="Yes",Z263="Yes"),"Meets all three","Potentially relevant; evidence incomplete"))</f>
        <v/>
      </c>
      <c r="AG263" s="77" t="inlineStr">
        <is>
          <t>Current status unclear</t>
        </is>
      </c>
      <c r="AH263" s="77" t="inlineStr">
        <is>
          <t>2024/25</t>
        </is>
      </c>
      <c r="AI263" s="77" t="inlineStr">
        <is>
          <t>Yes</t>
        </is>
      </c>
      <c r="AJ263" s="77">
        <f>IF(AND(AI263="Yes",AF263="Meets all three",AG263="Current delivery confirmed"),"Yes","No")</f>
        <v/>
      </c>
      <c r="AK263" s="77" t="inlineStr">
        <is>
          <t>No participation numbers published beyond any stated cap/places.</t>
        </is>
      </c>
      <c r="AL263" s="77" t="inlineStr">
        <is>
          <t>RG15-S02-R1; RG15-S02-R2; RG15-S02-R3; RG15-S02-R4</t>
        </is>
      </c>
      <c r="AM263" s="77" t="inlineStr">
        <is>
          <t>Module page retrieved is the 2024 (2024/25) version; a 2025/26 or 2026/27 page was not retrieved. A June 2025 news item (search-summary paraphrase) suggests recruitment for September 2025 but is not firm corroboration. Per ruling, current delivery not confirmed.</t>
        </is>
      </c>
      <c r="AN263" s="77" t="inlineStr"/>
      <c r="AO263" s="77" t="inlineStr">
        <is>
          <t>UK</t>
        </is>
      </c>
      <c r="AP263" s="77" t="inlineStr">
        <is>
          <t>UK – Russell Group</t>
        </is>
      </c>
      <c r="AQ263" s="77" t="inlineStr">
        <is>
          <t>&gt;1 term</t>
        </is>
      </c>
      <c r="AR263" s="77" t="inlineStr">
        <is>
          <t>All/standard</t>
        </is>
      </c>
      <c r="AS263" s="77" t="inlineStr"/>
    </row>
    <row r="264">
      <c r="A264" s="77" t="inlineStr">
        <is>
          <t>RG15</t>
        </is>
      </c>
      <c r="B264" s="77" t="inlineStr">
        <is>
          <t>Newcastle</t>
        </is>
      </c>
      <c r="C264" s="77" t="inlineStr">
        <is>
          <t>Programme/course</t>
        </is>
      </c>
      <c r="D264" s="77" t="inlineStr">
        <is>
          <t>RG15-S03</t>
        </is>
      </c>
      <c r="E264" s="77" t="inlineStr"/>
      <c r="F264" s="77" t="inlineStr">
        <is>
          <t>No</t>
        </is>
      </c>
      <c r="G264" s="79" t="inlineStr">
        <is>
          <t>NBS8130 Management Consultancy Project (MBA)</t>
        </is>
      </c>
      <c r="H264" s="77" t="inlineStr">
        <is>
          <t>MBA Management Consultancy Project</t>
        </is>
      </c>
      <c r="I264" s="77" t="inlineStr">
        <is>
          <t>NBS8130</t>
        </is>
      </c>
      <c r="J264" s="77" t="inlineStr">
        <is>
          <t>10-credit block-taught MBA module in which teams of MBA students work on a brief from an external organisation, meet the client to agree objectives and work plan, undertake roughly two weeks of intensive research with project update meetings, and present recommendations (30 minutes) at the client's offices.</t>
        </is>
      </c>
      <c r="K264" s="77" t="inlineStr">
        <is>
          <t>Newcastle University Business School (MBA)</t>
        </is>
      </c>
      <c r="L264" s="77" t="inlineStr">
        <is>
          <t>Master of Business Administration (MBA)</t>
        </is>
      </c>
      <c r="M264" s="77" t="inlineStr">
        <is>
          <t>Business/management</t>
        </is>
      </c>
      <c r="N264" s="77" t="inlineStr">
        <is>
          <t>Postgraduate taught</t>
        </is>
      </c>
      <c r="O264" s="77" t="inlineStr">
        <is>
          <t>MBA</t>
        </is>
      </c>
      <c r="P264" s="77" t="inlineStr">
        <is>
          <t>MBA students; projects from corporate partners or students may source their own organisation.</t>
        </is>
      </c>
      <c r="Q264" s="77" t="inlineStr">
        <is>
          <t>Compulsory within specified programmes</t>
        </is>
      </c>
      <c r="R264" s="77" t="inlineStr">
        <is>
          <t>Curricular</t>
        </is>
      </c>
      <c r="S264" s="77" t="inlineStr">
        <is>
          <t>10 credits, level 7, block mode; assessment pattern in module outline (not retrieved).</t>
        </is>
      </c>
      <c r="T264" s="77" t="inlineStr">
        <is>
          <t>Block-taught; about two weeks of intensive research within the project (2025 case study)</t>
        </is>
      </c>
      <c r="U264" s="77" t="inlineStr">
        <is>
          <t>Block teaching; team consulting project</t>
        </is>
      </c>
      <c r="V264" s="77" t="inlineStr">
        <is>
          <t>Yes</t>
        </is>
      </c>
      <c r="W264" s="77" t="inlineStr">
        <is>
          <t>Team responds to client's project brief and presents recommendations tied to client objectives (sources 1, 2).</t>
        </is>
      </c>
      <c r="X264" s="77" t="inlineStr">
        <is>
          <t>Yes</t>
        </is>
      </c>
      <c r="Y264" s="77" t="inlineStr">
        <is>
          <t>'Students work in teams with other Newcastle MBA students' (source 1); rail company case study describes a team pitch and presentation (source 2).</t>
        </is>
      </c>
      <c r="Z264" s="77" t="inlineStr">
        <is>
          <t>Yes</t>
        </is>
      </c>
      <c r="AA264" s="77" t="inlineStr">
        <is>
          <t>External organisation sets the brief, gives feedback on proposal and work plan, takes project update meetings and receives final presentation at its offices (source 2).</t>
        </is>
      </c>
      <c r="AB264" s="77" t="inlineStr">
        <is>
          <t>Business/commercial</t>
        </is>
      </c>
      <c r="AC264" s="77" t="inlineStr">
        <is>
          <t>Corporate client sets brief and receives recommendations; some students source their own organisation, or an individual corporate consultancy route exists (excluded separately).</t>
        </is>
      </c>
      <c r="AD264" s="77" t="inlineStr">
        <is>
          <t>A rail company (2025 case study; not named in the extract)</t>
        </is>
      </c>
      <c r="AE264" s="77" t="inlineStr">
        <is>
          <t>Team recommendations/report and client presentation</t>
        </is>
      </c>
      <c r="AF264" s="77">
        <f>IF(OR(V264="No",X264="No",Z264="No"),"Outside strict definition",IF(AND(V264="Yes",X264="Yes",Z264="Yes"),"Meets all three","Potentially relevant; evidence incomplete"))</f>
        <v/>
      </c>
      <c r="AG264" s="77" t="inlineStr">
        <is>
          <t>Current delivery confirmed</t>
        </is>
      </c>
      <c r="AH264" s="77" t="inlineStr">
        <is>
          <t>2025/26</t>
        </is>
      </c>
      <c r="AI264" s="77" t="inlineStr">
        <is>
          <t>Yes</t>
        </is>
      </c>
      <c r="AJ264" s="77">
        <f>IF(AND(AI264="Yes",AF264="Meets all three",AG264="Current delivery confirmed"),"Yes","No")</f>
        <v/>
      </c>
      <c r="AK264" s="77" t="inlineStr">
        <is>
          <t>No participation numbers published beyond any stated cap/places.</t>
        </is>
      </c>
      <c r="AL264" s="77" t="inlineStr">
        <is>
          <t>RG15-S03-R1; RG15-S03-R2; RG15-S03-R3</t>
        </is>
      </c>
      <c r="AM264" s="77" t="inlineStr">
        <is>
          <t>Compulsory status of NBS8130 in the MBA (vs optional pathway) inferred from regulations listing; assessment weighting not retrieved. Rail-company partner not named.</t>
        </is>
      </c>
      <c r="AN264" s="77" t="inlineStr"/>
      <c r="AO264" s="77" t="inlineStr">
        <is>
          <t>UK</t>
        </is>
      </c>
      <c r="AP264" s="77" t="inlineStr">
        <is>
          <t>UK – Russell Group</t>
        </is>
      </c>
      <c r="AQ264" s="77" t="inlineStr">
        <is>
          <t>1–4 weeks</t>
        </is>
      </c>
      <c r="AR264" s="77" t="inlineStr">
        <is>
          <t>All/standard</t>
        </is>
      </c>
      <c r="AS264" s="77" t="inlineStr"/>
    </row>
    <row r="265">
      <c r="A265" s="77" t="inlineStr">
        <is>
          <t>RG15</t>
        </is>
      </c>
      <c r="B265" s="77" t="inlineStr">
        <is>
          <t>Newcastle</t>
        </is>
      </c>
      <c r="C265" s="77" t="inlineStr">
        <is>
          <t>Programme/course</t>
        </is>
      </c>
      <c r="D265" s="77" t="inlineStr">
        <is>
          <t>RG15-S04</t>
        </is>
      </c>
      <c r="E265" s="77" t="inlineStr"/>
      <c r="F265" s="77" t="inlineStr">
        <is>
          <t>No</t>
        </is>
      </c>
      <c r="G265" s="79" t="inlineStr">
        <is>
          <t>MBA Business in Action case competition (with Northumbrian Water Group)</t>
        </is>
      </c>
      <c r="H265" s="77" t="inlineStr">
        <is>
          <t>Business in Action (MBA)</t>
        </is>
      </c>
      <c r="I265" s="77" t="inlineStr"/>
      <c r="J265" s="77" t="inlineStr">
        <is>
          <t>MBA students form teams to address a business challenge set by a strategic partner (Northumbrian Water/NWL since 2021) and deliver a competitive pitch to the company. Briefs have included a circular-economy wastewater process (2024), customer water consumption (2023) and stakeholder-influence strategy (2021).</t>
        </is>
      </c>
      <c r="K265" s="77" t="inlineStr">
        <is>
          <t>Newcastle University Business School (MBA)</t>
        </is>
      </c>
      <c r="L265" s="77" t="inlineStr">
        <is>
          <t>MBA</t>
        </is>
      </c>
      <c r="M265" s="77" t="inlineStr">
        <is>
          <t>Business/management</t>
        </is>
      </c>
      <c r="N265" s="77" t="inlineStr">
        <is>
          <t>Postgraduate taught</t>
        </is>
      </c>
      <c r="O265" s="77" t="inlineStr">
        <is>
          <t>MBA</t>
        </is>
      </c>
      <c r="P265" s="77" t="inlineStr">
        <is>
          <t>MBA cohort</t>
        </is>
      </c>
      <c r="Q265" s="77" t="inlineStr">
        <is>
          <t>Unclear</t>
        </is>
      </c>
      <c r="R265" s="77" t="inlineStr">
        <is>
          <t>Unclear</t>
        </is>
      </c>
      <c r="S265" s="77" t="inlineStr">
        <is>
          <t>Not stated</t>
        </is>
      </c>
      <c r="T265" s="77" t="inlineStr">
        <is>
          <t>A 'Business in Action' week</t>
        </is>
      </c>
      <c r="U265" s="77" t="inlineStr">
        <is>
          <t>Intensive week, team case competition with final pitch to company</t>
        </is>
      </c>
      <c r="V265" s="77" t="inlineStr">
        <is>
          <t>Yes</t>
        </is>
      </c>
      <c r="W265" s="77" t="inlineStr">
        <is>
          <t>Company-set business challenge with a defined output (recommendations pitched to the company) (source 1).</t>
        </is>
      </c>
      <c r="X265" s="77" t="inlineStr">
        <is>
          <t>Yes</t>
        </is>
      </c>
      <c r="Y265" s="77" t="inlineStr">
        <is>
          <t>MBA students work in teams on the challenge and pitch (source 1).</t>
        </is>
      </c>
      <c r="Z265" s="77" t="inlineStr">
        <is>
          <t>Yes</t>
        </is>
      </c>
      <c r="AA265" s="77" t="inlineStr">
        <is>
          <t>Northumbrian Water sets the brief ('case competition set by NWL') and receives the final competitive pitch (source 1).</t>
        </is>
      </c>
      <c r="AB265" s="77" t="inlineStr">
        <is>
          <t>Business/commercial</t>
        </is>
      </c>
      <c r="AC265" s="77" t="inlineStr">
        <is>
          <t>Company sets live challenge, receives pitches.</t>
        </is>
      </c>
      <c r="AD265" s="77" t="inlineStr">
        <is>
          <t>Northumbrian Water Group/NWL (2021-2024); 'an additional 10 organisations' in 2023 not named</t>
        </is>
      </c>
      <c r="AE265" s="77" t="inlineStr">
        <is>
          <t>Team pitch/recommendations</t>
        </is>
      </c>
      <c r="AF265" s="77">
        <f>IF(OR(V265="No",X265="No",Z265="No"),"Outside strict definition",IF(AND(V265="Yes",X265="Yes",Z265="Yes"),"Meets all three","Potentially relevant; evidence incomplete"))</f>
        <v/>
      </c>
      <c r="AG265" s="77" t="inlineStr">
        <is>
          <t>Current status unclear</t>
        </is>
      </c>
      <c r="AH265" s="77" t="inlineStr">
        <is>
          <t>2024</t>
        </is>
      </c>
      <c r="AI265" s="77" t="inlineStr">
        <is>
          <t>Yes</t>
        </is>
      </c>
      <c r="AJ265" s="77">
        <f>IF(AND(AI265="Yes",AF265="Meets all three",AG265="Current delivery confirmed"),"Yes","No")</f>
        <v/>
      </c>
      <c r="AK265" s="77" t="inlineStr">
        <is>
          <t>No participation numbers published beyond any stated cap/places.</t>
        </is>
      </c>
      <c r="AL265" s="77" t="inlineStr">
        <is>
          <t>RG15-S04-R1; RG15-S04-R2</t>
        </is>
      </c>
      <c r="AM265" s="77" t="inlineStr">
        <is>
          <t>Most recent dated news item is February/March 2024; curricular vs extracurricular status and credits unknown; short format (about a week). 2025/26 delivery not evidenced.</t>
        </is>
      </c>
      <c r="AN265" s="77" t="inlineStr"/>
      <c r="AO265" s="77" t="inlineStr">
        <is>
          <t>UK</t>
        </is>
      </c>
      <c r="AP265" s="77" t="inlineStr">
        <is>
          <t>UK – Russell Group</t>
        </is>
      </c>
      <c r="AQ265" s="77" t="inlineStr">
        <is>
          <t>&lt;1 week</t>
        </is>
      </c>
      <c r="AR265" s="77" t="inlineStr">
        <is>
          <t>All/standard</t>
        </is>
      </c>
      <c r="AS265" s="77" t="inlineStr"/>
    </row>
    <row r="266">
      <c r="A266" s="77" t="inlineStr">
        <is>
          <t>RG15</t>
        </is>
      </c>
      <c r="B266" s="77" t="inlineStr">
        <is>
          <t>Newcastle</t>
        </is>
      </c>
      <c r="C266" s="77" t="inlineStr">
        <is>
          <t>Programme/course</t>
        </is>
      </c>
      <c r="D266" s="77" t="inlineStr">
        <is>
          <t>RG15-S05</t>
        </is>
      </c>
      <c r="E266" s="77" t="inlineStr"/>
      <c r="F266" s="77" t="inlineStr">
        <is>
          <t>No</t>
        </is>
      </c>
      <c r="G266" s="79" t="inlineStr">
        <is>
          <t>CSC2033 Software Engineering Team Project</t>
        </is>
      </c>
      <c r="H266" s="77" t="inlineStr">
        <is>
          <t>Software Engineering Team Project</t>
        </is>
      </c>
      <c r="I266" s="77" t="inlineStr">
        <is>
          <t>CSC2033</t>
        </is>
      </c>
      <c r="J266" s="77" t="inlineStr">
        <is>
          <t>30-credit Stage 2 compulsory team project in Computing: students are placed in teams, receive a project brief, build a software system with collaborative tooling and present it at a trade fair/workshop receiving feedback from employers. Course summaries describe real-life industry briefs, with projects marked by industry representatives, lecturers and the project sponsor.</t>
        </is>
      </c>
      <c r="K266" s="77" t="inlineStr">
        <is>
          <t>School of Computing</t>
        </is>
      </c>
      <c r="L266" s="77" t="inlineStr">
        <is>
          <t>Computer Science BSc/MComp and variants (G400, G405, G600/G603 etc.)</t>
        </is>
      </c>
      <c r="M266" s="77" t="inlineStr">
        <is>
          <t>Engineering/computing</t>
        </is>
      </c>
      <c r="N266" s="77" t="inlineStr">
        <is>
          <t>Undergraduate</t>
        </is>
      </c>
      <c r="O266" s="77" t="inlineStr">
        <is>
          <t>Stage 2</t>
        </is>
      </c>
      <c r="P266" s="77" t="inlineStr">
        <is>
          <t>Compulsory module for Computing degrees</t>
        </is>
      </c>
      <c r="Q266" s="77" t="inlineStr">
        <is>
          <t>Compulsory within specified programmes</t>
        </is>
      </c>
      <c r="R266" s="77" t="inlineStr">
        <is>
          <t>Curricular</t>
        </is>
      </c>
      <c r="S266" s="77" t="inlineStr">
        <is>
          <t>30 credits; team deliverables (software, documentation) with peer assessment of individual contribution.</t>
        </is>
      </c>
      <c r="T266" s="77" t="inlineStr">
        <is>
          <t>Semester(s) - Stage 2 (not stated)</t>
        </is>
      </c>
      <c r="U266" s="77" t="inlineStr">
        <is>
          <t>Team project with lectures and tool tutorials; trade-fair presentation</t>
        </is>
      </c>
      <c r="V266" s="77" t="inlineStr">
        <is>
          <t>Yes</t>
        </is>
      </c>
      <c r="W266" s="77" t="inlineStr">
        <is>
          <t>Project brief; team deliverables of software and documentation (source 1).</t>
        </is>
      </c>
      <c r="X266" s="77" t="inlineStr">
        <is>
          <t>Yes</t>
        </is>
      </c>
      <c r="Y266" s="77" t="inlineStr">
        <is>
          <t>Students placed in teams; peer assessment of contribution (source 1).</t>
        </is>
      </c>
      <c r="Z266" s="77" t="inlineStr">
        <is>
          <t>Unclear</t>
        </is>
      </c>
      <c r="AA266" s="77" t="inlineStr">
        <is>
          <t>Source 1 says deliverables 'may vary ... depending on the involvement of an industrial consultant' and students receive employer feedback at the trade fair; course summaries (source 2) say students choose a problem identified by industry and projects are marked by industry representatives and the project sponsor. These two descriptions differ on whether an external sponsor is standard.</t>
        </is>
      </c>
      <c r="AB266" s="77" t="inlineStr">
        <is>
          <t>Business/commercial</t>
        </is>
      </c>
      <c r="AC266" s="77" t="inlineStr">
        <is>
          <t>Industrial consultant/sponsor sets or contributes to brief; employers give feedback at trade fair and help mark (per course summaries, search-summary paraphrase).</t>
        </is>
      </c>
      <c r="AD266" s="77" t="inlineStr"/>
      <c r="AE266" s="77" t="inlineStr">
        <is>
          <t>Team software system, documentation, trade-fair presentation</t>
        </is>
      </c>
      <c r="AF266" s="77">
        <f>IF(OR(V266="No",X266="No",Z266="No"),"Outside strict definition",IF(AND(V266="Yes",X266="Yes",Z266="Yes"),"Meets all three","Potentially relevant; evidence incomplete"))</f>
        <v/>
      </c>
      <c r="AG266" s="77" t="inlineStr">
        <is>
          <t>Current delivery confirmed</t>
        </is>
      </c>
      <c r="AH266" s="77" t="inlineStr">
        <is>
          <t>2026/27</t>
        </is>
      </c>
      <c r="AI266" s="77" t="inlineStr">
        <is>
          <t>Yes</t>
        </is>
      </c>
      <c r="AJ266" s="77">
        <f>IF(AND(AI266="Yes",AF266="Meets all three",AG266="Current delivery confirmed"),"Yes","No")</f>
        <v/>
      </c>
      <c r="AK266" s="77" t="inlineStr">
        <is>
          <t>No participation numbers published beyond any stated cap/places.</t>
        </is>
      </c>
      <c r="AL266" s="77" t="inlineStr">
        <is>
          <t>RG15-S05-R1; RG15-S05-R2</t>
        </is>
      </c>
      <c r="AM266" s="77" t="inlineStr">
        <is>
          <t>Whether every team has an external sponsor each year is unclear (module page: 'may vary ... industrial consultant'); no named sponsors found; course summary text only obtained as search paraphrase.</t>
        </is>
      </c>
      <c r="AN266" s="77" t="inlineStr"/>
      <c r="AO266" s="77" t="inlineStr">
        <is>
          <t>UK</t>
        </is>
      </c>
      <c r="AP266" s="77" t="inlineStr">
        <is>
          <t>UK – Russell Group</t>
        </is>
      </c>
      <c r="AQ266" s="77" t="inlineStr">
        <is>
          <t>~1 term/semester</t>
        </is>
      </c>
      <c r="AR266" s="77" t="inlineStr">
        <is>
          <t>Unclear</t>
        </is>
      </c>
      <c r="AS266" s="77" t="inlineStr"/>
    </row>
    <row r="267">
      <c r="A267" s="77" t="inlineStr">
        <is>
          <t>RG15</t>
        </is>
      </c>
      <c r="B267" s="77" t="inlineStr">
        <is>
          <t>Newcastle</t>
        </is>
      </c>
      <c r="C267" s="77" t="inlineStr">
        <is>
          <t>Programme/course</t>
        </is>
      </c>
      <c r="D267" s="77" t="inlineStr">
        <is>
          <t>RG15-S06</t>
        </is>
      </c>
      <c r="E267" s="77" t="inlineStr"/>
      <c r="F267" s="77" t="inlineStr">
        <is>
          <t>No</t>
        </is>
      </c>
      <c r="G267" s="79" t="inlineStr">
        <is>
          <t>Mechanical Engineering industry-hosted final-year team projects</t>
        </is>
      </c>
      <c r="H267" s="77" t="inlineStr">
        <is>
          <t>Mechanical Engineering industry team projects</t>
        </is>
      </c>
      <c r="I267" s="77" t="inlineStr"/>
      <c r="J267" s="77" t="inlineStr">
        <is>
          <t>School of Engineering partnerships page describes final-year teams (typically five students) undertaking c.750-hour projects in local industry, October-January, requiring 25-30 company-hosted teams each year; also a 3,000-hour MEng team project (October-May) and individual 300-hour and Masters projects.</t>
        </is>
      </c>
      <c r="K267" s="77" t="inlineStr">
        <is>
          <t>School of Engineering (Mechanical Engineering)</t>
        </is>
      </c>
      <c r="L267" s="77" t="inlineStr">
        <is>
          <t>Mechanical Engineering undergraduate/MEng (module code not retrieved)</t>
        </is>
      </c>
      <c r="M267" s="77" t="inlineStr">
        <is>
          <t>Engineering/computing</t>
        </is>
      </c>
      <c r="N267" s="77" t="inlineStr">
        <is>
          <t>Undergraduate</t>
        </is>
      </c>
      <c r="O267" s="77" t="inlineStr">
        <is>
          <t>Final year</t>
        </is>
      </c>
      <c r="P267" s="77" t="inlineStr">
        <is>
          <t>Not stated</t>
        </is>
      </c>
      <c r="Q267" s="77" t="inlineStr">
        <is>
          <t>Unclear</t>
        </is>
      </c>
      <c r="R267" s="77" t="inlineStr">
        <is>
          <t>Curricular</t>
        </is>
      </c>
      <c r="S267" s="77" t="inlineStr">
        <is>
          <t>Not retrieved</t>
        </is>
      </c>
      <c r="T267" s="77" t="inlineStr">
        <is>
          <t>October to January (750 hours); MEng 3,000-hour team project October to May</t>
        </is>
      </c>
      <c r="U267" s="77" t="inlineStr">
        <is>
          <t>Company-hosted team projects</t>
        </is>
      </c>
      <c r="V267" s="77" t="inlineStr">
        <is>
          <t>Yes</t>
        </is>
      </c>
      <c r="W267" s="77" t="inlineStr">
        <is>
          <t>Defined c.750-hour industry projects (source 1).</t>
        </is>
      </c>
      <c r="X267" s="77" t="inlineStr">
        <is>
          <t>Yes</t>
        </is>
      </c>
      <c r="Y267" s="77" t="inlineStr">
        <is>
          <t>Teams of typically five final-year students (source 1).</t>
        </is>
      </c>
      <c r="Z267" s="77" t="inlineStr">
        <is>
          <t>Yes</t>
        </is>
      </c>
      <c r="AA267" s="77" t="inlineStr">
        <is>
          <t>Companies host and support the projects, contribute staff time, may use NDAs, and assess student fit (source 1).</t>
        </is>
      </c>
      <c r="AB267" s="77" t="inlineStr">
        <is>
          <t>Business/commercial</t>
        </is>
      </c>
      <c r="AC267" s="77" t="inlineStr">
        <is>
          <t>Local companies host the team project and supply the problem.</t>
        </is>
      </c>
      <c r="AD267" s="77" t="inlineStr">
        <is>
          <t>None named in the extract</t>
        </is>
      </c>
      <c r="AE267" s="77" t="inlineStr">
        <is>
          <t>Team project outcome for company (not specified)</t>
        </is>
      </c>
      <c r="AF267" s="77">
        <f>IF(OR(V267="No",X267="No",Z267="No"),"Outside strict definition",IF(AND(V267="Yes",X267="Yes",Z267="Yes"),"Meets all three","Potentially relevant; evidence incomplete"))</f>
        <v/>
      </c>
      <c r="AG267" s="77" t="inlineStr">
        <is>
          <t>Current status unclear</t>
        </is>
      </c>
      <c r="AH267" s="77" t="inlineStr">
        <is>
          <t>undated</t>
        </is>
      </c>
      <c r="AI267" s="77" t="inlineStr">
        <is>
          <t>Yes</t>
        </is>
      </c>
      <c r="AJ267" s="77">
        <f>IF(AND(AI267="Yes",AF267="Meets all three",AG267="Current delivery confirmed"),"Yes","No")</f>
        <v/>
      </c>
      <c r="AK267" s="77" t="inlineStr">
        <is>
          <t>No participation numbers published beyond any stated cap/places.</t>
        </is>
      </c>
      <c r="AL267" s="77" t="inlineStr">
        <is>
          <t>RG15-S06-R1</t>
        </is>
      </c>
      <c r="AM267" s="77" t="inlineStr">
        <is>
          <t>Undated partnerships page; corresponding module code, credit weight, compulsory status and current-year (2025/26 or 2026/27) delivery not found. Duration band recorded from 750 hours over Oct-Jan; 'hours' framing means the band is uncertain.</t>
        </is>
      </c>
      <c r="AN267" s="77" t="inlineStr"/>
      <c r="AO267" s="77" t="inlineStr">
        <is>
          <t>UK</t>
        </is>
      </c>
      <c r="AP267" s="77" t="inlineStr">
        <is>
          <t>UK – Russell Group</t>
        </is>
      </c>
      <c r="AQ267" s="77" t="inlineStr">
        <is>
          <t>~1 term/semester</t>
        </is>
      </c>
      <c r="AR267" s="77" t="inlineStr">
        <is>
          <t>All/standard</t>
        </is>
      </c>
      <c r="AS267" s="77" t="inlineStr"/>
    </row>
    <row r="268">
      <c r="A268" s="77" t="inlineStr">
        <is>
          <t>RG15</t>
        </is>
      </c>
      <c r="B268" s="77" t="inlineStr">
        <is>
          <t>Newcastle</t>
        </is>
      </c>
      <c r="C268" s="77" t="inlineStr">
        <is>
          <t>Programme/course</t>
        </is>
      </c>
      <c r="D268" s="77" t="inlineStr">
        <is>
          <t>RG15-S07</t>
        </is>
      </c>
      <c r="E268" s="77" t="inlineStr"/>
      <c r="F268" s="77" t="inlineStr">
        <is>
          <t>No</t>
        </is>
      </c>
      <c r="G268" s="79" t="inlineStr">
        <is>
          <t>TCP8024 Consultancy Project (planning)</t>
        </is>
      </c>
      <c r="H268" s="77" t="inlineStr">
        <is>
          <t>Planning Consultancy Project</t>
        </is>
      </c>
      <c r="I268" s="77" t="inlineStr">
        <is>
          <t>TCP8024</t>
        </is>
      </c>
      <c r="J268" s="77" t="inlineStr">
        <is>
          <t>20-credit module in which groups of students work intensively on a live planning-related consultancy project for an outside client. The brief is the client's, with minimal School input; groups meet the client in week 1, then alternate meetings with module lead and client lead; assessed by group presentation to the client and a group report of about 10,000 words.</t>
        </is>
      </c>
      <c r="K268" s="77" t="inlineStr">
        <is>
          <t>School of Architecture, Planning and Landscape</t>
        </is>
      </c>
      <c r="L268" s="77" t="inlineStr">
        <is>
          <t>Master of Planning (MPlan, RTPI/RICS accredited), compulsory per module listing</t>
        </is>
      </c>
      <c r="M268" s="77" t="inlineStr">
        <is>
          <t>Other (law, health, design, architecture…)</t>
        </is>
      </c>
      <c r="N268" s="77" t="inlineStr">
        <is>
          <t>Undergraduate</t>
        </is>
      </c>
      <c r="O268" s="77" t="inlineStr">
        <is>
          <t>Integrated master's (4-year MPlan) - stage not stated</t>
        </is>
      </c>
      <c r="P268" s="77" t="inlineStr">
        <is>
          <t>MPlan programme</t>
        </is>
      </c>
      <c r="Q268" s="77" t="inlineStr">
        <is>
          <t>Compulsory within specified programmes</t>
        </is>
      </c>
      <c r="R268" s="77" t="inlineStr">
        <is>
          <t>Curricular</t>
        </is>
      </c>
      <c r="S268" s="77" t="inlineStr">
        <is>
          <t>20 credits; group presentation to the client plus group report (c.10,000 words, size-dependent)</t>
        </is>
      </c>
      <c r="T268" s="77" t="inlineStr">
        <is>
          <t>About 8 weeks of client meetings (weeks 1-8)</t>
        </is>
      </c>
      <c r="U268" s="77" t="inlineStr">
        <is>
          <t>Group consultancy for an outside client; alternating module-lead and client-lead meetings</t>
        </is>
      </c>
      <c r="V268" s="77" t="inlineStr">
        <is>
          <t>Yes</t>
        </is>
      </c>
      <c r="W268" s="77" t="inlineStr">
        <is>
          <t>Live planning-related consultancy piece; group report and presentation (source 1).</t>
        </is>
      </c>
      <c r="X268" s="77" t="inlineStr">
        <is>
          <t>Yes</t>
        </is>
      </c>
      <c r="Y268" s="77" t="inlineStr">
        <is>
          <t>'a group of students work intensively on a piece of consultancy work for an outside client' (source 1).</t>
        </is>
      </c>
      <c r="Z268" s="77" t="inlineStr">
        <is>
          <t>Yes</t>
        </is>
      </c>
      <c r="AA268" s="77" t="inlineStr">
        <is>
          <t>'This is a live project and the project brief is that of the client organisation with only minimum input from the School'; client meetings and presentation (source 1).</t>
        </is>
      </c>
      <c r="AB268" s="77" t="inlineStr">
        <is>
          <t>Unclear</t>
        </is>
      </c>
      <c r="AC268" s="77" t="inlineStr">
        <is>
          <t>Outside client organisation sets the brief, meets groups and receives the presentation; sector of clients (local authority/private/community) not stated.</t>
        </is>
      </c>
      <c r="AD268" s="77" t="inlineStr"/>
      <c r="AE268" s="77" t="inlineStr">
        <is>
          <t>Group consultancy report (c.10,000 words) and presentation to client</t>
        </is>
      </c>
      <c r="AF268" s="77">
        <f>IF(OR(V268="No",X268="No",Z268="No"),"Outside strict definition",IF(AND(V268="Yes",X268="Yes",Z268="Yes"),"Meets all three","Potentially relevant; evidence incomplete"))</f>
        <v/>
      </c>
      <c r="AG268" s="77" t="inlineStr">
        <is>
          <t>Current delivery confirmed</t>
        </is>
      </c>
      <c r="AH268" s="77" t="inlineStr">
        <is>
          <t>2026/27</t>
        </is>
      </c>
      <c r="AI268" s="77" t="inlineStr">
        <is>
          <t>Yes</t>
        </is>
      </c>
      <c r="AJ268" s="77">
        <f>IF(AND(AI268="Yes",AF268="Meets all three",AG268="Current delivery confirmed"),"Yes","No")</f>
        <v/>
      </c>
      <c r="AK268" s="77" t="inlineStr">
        <is>
          <t>No participation numbers published beyond any stated cap/places.</t>
        </is>
      </c>
      <c r="AL268" s="77" t="inlineStr">
        <is>
          <t>RG15-S07-R1; RG15-S07-R2</t>
        </is>
      </c>
      <c r="AM268" s="77" t="inlineStr">
        <is>
          <t>Client organisations and sector not named; module page is titled 'Undergraduate Study' while code prefix TCP8 and the MSc Urban Planning page do not list it, so level/programme list (MPlan only?) should be checked.</t>
        </is>
      </c>
      <c r="AN268" s="77" t="inlineStr"/>
      <c r="AO268" s="77" t="inlineStr">
        <is>
          <t>UK</t>
        </is>
      </c>
      <c r="AP268" s="77" t="inlineStr">
        <is>
          <t>UK – Russell Group</t>
        </is>
      </c>
      <c r="AQ268" s="77" t="inlineStr">
        <is>
          <t>~1 term/semester</t>
        </is>
      </c>
      <c r="AR268" s="77" t="inlineStr">
        <is>
          <t>All/standard</t>
        </is>
      </c>
      <c r="AS268" s="77" t="inlineStr"/>
    </row>
    <row r="269">
      <c r="A269" s="77" t="inlineStr">
        <is>
          <t>RG15</t>
        </is>
      </c>
      <c r="B269" s="77" t="inlineStr">
        <is>
          <t>Newcastle</t>
        </is>
      </c>
      <c r="C269" s="77" t="inlineStr">
        <is>
          <t>Programme/course</t>
        </is>
      </c>
      <c r="D269" s="77" t="inlineStr">
        <is>
          <t>RG15-S08</t>
        </is>
      </c>
      <c r="E269" s="77" t="inlineStr"/>
      <c r="F269" s="77" t="inlineStr">
        <is>
          <t>No</t>
        </is>
      </c>
      <c r="G269" s="79" t="inlineStr">
        <is>
          <t>POL3103 Community-based Research in Politics</t>
        </is>
      </c>
      <c r="H269" s="77" t="inlineStr">
        <is>
          <t>Community-based Research in Politics</t>
        </is>
      </c>
      <c r="I269" s="77" t="inlineStr">
        <is>
          <t>POL3103</t>
        </is>
      </c>
      <c r="J269" s="77" t="inlineStr">
        <is>
          <t>40-credit year-long module (capped at 20) in which students select a project offered by a partner organisation, join a student research team for the academic year, run an ethically-approved research project and present a policy report with recommendations at a workshop on behalf of the partner. Partners are typically voluntary-sector organisations in Newcastle/North East.</t>
        </is>
      </c>
      <c r="K269" s="77" t="inlineStr">
        <is>
          <t>Politics, School of Geography, Politics and Sociology</t>
        </is>
      </c>
      <c r="L269" s="77" t="inlineStr">
        <is>
          <t>Politics and related degrees; listed in study-abroad and combined-honours catalogues</t>
        </is>
      </c>
      <c r="M269" s="77" t="inlineStr">
        <is>
          <t>Arts/humanities/social sciences</t>
        </is>
      </c>
      <c r="N269" s="77" t="inlineStr">
        <is>
          <t>Undergraduate</t>
        </is>
      </c>
      <c r="O269" s="77" t="inlineStr">
        <is>
          <t>Stage 3 (code level)</t>
        </is>
      </c>
      <c r="P269" s="77" t="inlineStr">
        <is>
          <t>Capped at 20 places</t>
        </is>
      </c>
      <c r="Q269" s="77" t="inlineStr">
        <is>
          <t>Optional/elective</t>
        </is>
      </c>
      <c r="R269" s="77" t="inlineStr">
        <is>
          <t>Curricular</t>
        </is>
      </c>
      <c r="S269" s="77" t="inlineStr">
        <is>
          <t>40 credits (semesters 1 and 2); current entry: mainly an individual research portfolio of 4-6 pieces; team policy report and presentation per earlier entry.</t>
        </is>
      </c>
      <c r="T269" s="77" t="inlineStr">
        <is>
          <t>Academic year (two semesters)</t>
        </is>
      </c>
      <c r="U269" s="77" t="inlineStr">
        <is>
          <t>Student research teams with partner organisations; workshop presentation</t>
        </is>
      </c>
      <c r="V269" s="77" t="inlineStr">
        <is>
          <t>Yes</t>
        </is>
      </c>
      <c r="W269" s="77" t="inlineStr">
        <is>
          <t>Research project to answer a partner's question; policy report and presentation (sources 1, 2).</t>
        </is>
      </c>
      <c r="X269" s="77" t="inlineStr">
        <is>
          <t>Yes</t>
        </is>
      </c>
      <c r="Y269" s="77" t="inlineStr">
        <is>
          <t>Students are placed on a student research team for the academic year; portfolios feed the team's policy report and presentation (2022/23 entry, source 2). Current assessment is mainly individual portfolio.</t>
        </is>
      </c>
      <c r="Z269" s="77" t="inlineStr">
        <is>
          <t>Yes</t>
        </is>
      </c>
      <c r="AA269" s="77" t="inlineStr">
        <is>
          <t>Partner organisation chooses the topic and receives the team's report and recommendations (university community-engagement page, source 3).</t>
        </is>
      </c>
      <c r="AB269" s="77" t="inlineStr">
        <is>
          <t>Charity/community</t>
        </is>
      </c>
      <c r="AC269" s="77" t="inlineStr">
        <is>
          <t>Voluntary/community partners set the research question and receive a report with recommendations; e.g. Carers Northumberland in Social Justice North East (earlier run).</t>
        </is>
      </c>
      <c r="AD269" s="77" t="inlineStr">
        <is>
          <t>Carers Northumberland (2014-15 run, per Social Justice North East site); current partners not named</t>
        </is>
      </c>
      <c r="AE269" s="77" t="inlineStr">
        <is>
          <t>Team policy report with recommendations and workshop presentation; individual research portfolio</t>
        </is>
      </c>
      <c r="AF269" s="77">
        <f>IF(OR(V269="No",X269="No",Z269="No"),"Outside strict definition",IF(AND(V269="Yes",X269="Yes",Z269="Yes"),"Meets all three","Potentially relevant; evidence incomplete"))</f>
        <v/>
      </c>
      <c r="AG269" s="77" t="inlineStr">
        <is>
          <t>Current delivery confirmed</t>
        </is>
      </c>
      <c r="AH269" s="77" t="inlineStr">
        <is>
          <t>2025/26</t>
        </is>
      </c>
      <c r="AI269" s="77" t="inlineStr">
        <is>
          <t>Yes</t>
        </is>
      </c>
      <c r="AJ269" s="77">
        <f>IF(AND(AI269="Yes",AF269="Meets all three",AG269="Current delivery confirmed"),"Yes","No")</f>
        <v/>
      </c>
      <c r="AK269" s="77" t="inlineStr">
        <is>
          <t>No participation numbers published beyond any stated cap/places.</t>
        </is>
      </c>
      <c r="AL269" s="77" t="inlineStr">
        <is>
          <t>RG15-S08-R1; RG15-S08-R2; RG15-S08-R3; RG15-S08-R4</t>
        </is>
      </c>
      <c r="AM269" s="77" t="inlineStr">
        <is>
          <t>Group-output evidence combines a 2022/23 catalogue entry and the community engagement page with the 2025/26 entry which emphasises individual portfolios; weight of the team report in assessment not confirmed.</t>
        </is>
      </c>
      <c r="AN269" s="77" t="inlineStr"/>
      <c r="AO269" s="77" t="inlineStr">
        <is>
          <t>UK</t>
        </is>
      </c>
      <c r="AP269" s="77" t="inlineStr">
        <is>
          <t>UK – Russell Group</t>
        </is>
      </c>
      <c r="AQ269" s="77" t="inlineStr">
        <is>
          <t>&gt;1 term</t>
        </is>
      </c>
      <c r="AR269" s="77" t="inlineStr">
        <is>
          <t>All/standard</t>
        </is>
      </c>
      <c r="AS269" s="77" t="inlineStr"/>
    </row>
    <row r="270">
      <c r="A270" s="77" t="inlineStr">
        <is>
          <t>RG15</t>
        </is>
      </c>
      <c r="B270" s="77" t="inlineStr">
        <is>
          <t>Newcastle</t>
        </is>
      </c>
      <c r="C270" s="77" t="inlineStr">
        <is>
          <t>Faculty/school</t>
        </is>
      </c>
      <c r="D270" s="77" t="inlineStr">
        <is>
          <t>RG15-S09</t>
        </is>
      </c>
      <c r="E270" s="77" t="inlineStr"/>
      <c r="F270" s="77" t="inlineStr">
        <is>
          <t>No</t>
        </is>
      </c>
      <c r="G270" s="79" t="inlineStr">
        <is>
          <t>NES2202 Sustainable Solutions</t>
        </is>
      </c>
      <c r="H270" s="77" t="inlineStr">
        <is>
          <t>Sustainable Solutions</t>
        </is>
      </c>
      <c r="I270" s="77" t="inlineStr">
        <is>
          <t>NES2202</t>
        </is>
      </c>
      <c r="J270" s="77" t="inlineStr">
        <is>
          <t>10-credit Stage 2 module in which students work in small interdisciplinary teams (with peers from other degree programmes) on a problem set by an external organisation/company, meet the sponsor for early feedback, develop a sustainable solution and pitch to the sponsor; shortlisted teams compete in finals with students and sponsors voting.</t>
        </is>
      </c>
      <c r="K270" s="77" t="inlineStr">
        <is>
          <t>School of Natural and Environmental Sciences</t>
        </is>
      </c>
      <c r="L270" s="77" t="inlineStr">
        <is>
          <t>Natural and Environmental Sciences degrees (compulsory on e.g. Chemistry with Medicinal Chemistry BSc and Agriculture BSc per programme pages); teams drawn from several programmes</t>
        </is>
      </c>
      <c r="M270" s="77" t="inlineStr">
        <is>
          <t>Science</t>
        </is>
      </c>
      <c r="N270" s="77" t="inlineStr">
        <is>
          <t>Undergraduate</t>
        </is>
      </c>
      <c r="O270" s="77" t="inlineStr">
        <is>
          <t>Stage 2</t>
        </is>
      </c>
      <c r="P270" s="77" t="inlineStr">
        <is>
          <t>Co-requisite/progression requirement for NES Stage 2 programmes</t>
        </is>
      </c>
      <c r="Q270" s="77" t="inlineStr">
        <is>
          <t>Compulsory within specified programmes</t>
        </is>
      </c>
      <c r="R270" s="77" t="inlineStr">
        <is>
          <t>Curricular</t>
        </is>
      </c>
      <c r="S270" s="77" t="inlineStr">
        <is>
          <t>10 credits, Semester 1; pitch (oral/slides) and short business proposal report.</t>
        </is>
      </c>
      <c r="T270" s="77" t="inlineStr">
        <is>
          <t>Semester 1 (intensive development period)</t>
        </is>
      </c>
      <c r="U270" s="77" t="inlineStr">
        <is>
          <t>Team challenge with sponsor meeting, pitch, finals and company network event</t>
        </is>
      </c>
      <c r="V270" s="77" t="inlineStr">
        <is>
          <t>Yes</t>
        </is>
      </c>
      <c r="W270" s="77" t="inlineStr">
        <is>
          <t>Sustainable solution for sponsor's problem; pitch and business proposal (source 1).</t>
        </is>
      </c>
      <c r="X270" s="77" t="inlineStr">
        <is>
          <t>Yes</t>
        </is>
      </c>
      <c r="Y270" s="77" t="inlineStr">
        <is>
          <t>Small teams including students from other degree programmes (source 1).</t>
        </is>
      </c>
      <c r="Z270" s="77" t="inlineStr">
        <is>
          <t>Yes</t>
        </is>
      </c>
      <c r="AA270" s="77" t="inlineStr">
        <is>
          <t>External organisation/companies present challenges, meet teams for early feedback, receive pitches and vote in finals (source 1).</t>
        </is>
      </c>
      <c r="AB270" s="77" t="inlineStr">
        <is>
          <t>Business/commercial</t>
        </is>
      </c>
      <c r="AC270" s="77" t="inlineStr">
        <is>
          <t>Company sponsors set challenges and give feedback on pitches.</t>
        </is>
      </c>
      <c r="AD270" s="77" t="inlineStr">
        <is>
          <t>None named</t>
        </is>
      </c>
      <c r="AE270" s="77" t="inlineStr">
        <is>
          <t>Team pitch and short business proposal</t>
        </is>
      </c>
      <c r="AF270" s="77">
        <f>IF(OR(V270="No",X270="No",Z270="No"),"Outside strict definition",IF(AND(V270="Yes",X270="Yes",Z270="Yes"),"Meets all three","Potentially relevant; evidence incomplete"))</f>
        <v/>
      </c>
      <c r="AG270" s="77" t="inlineStr">
        <is>
          <t>Current status unclear</t>
        </is>
      </c>
      <c r="AH270" s="77" t="inlineStr">
        <is>
          <t>undated</t>
        </is>
      </c>
      <c r="AI270" s="77" t="inlineStr">
        <is>
          <t>Yes</t>
        </is>
      </c>
      <c r="AJ270" s="77">
        <f>IF(AND(AI270="Yes",AF270="Meets all three",AG270="Current delivery confirmed"),"Yes","No")</f>
        <v/>
      </c>
      <c r="AK270" s="77" t="inlineStr">
        <is>
          <t>No participation numbers published beyond any stated cap/places.</t>
        </is>
      </c>
      <c r="AL270" s="77" t="inlineStr">
        <is>
          <t>RG15-S09-R1; RG15-S09-R2</t>
        </is>
      </c>
      <c r="AM270" s="77" t="inlineStr">
        <is>
          <t>Module catalogue entries are undated; 2025/26 programme specifications surfaced in the search but the search did not tie NES2202 to a dated 2025/26 timetable; sponsors not named; partner sector (company vs other organisation) from summary wording.</t>
        </is>
      </c>
      <c r="AN270" s="77" t="inlineStr"/>
      <c r="AO270" s="77" t="inlineStr">
        <is>
          <t>UK</t>
        </is>
      </c>
      <c r="AP270" s="77" t="inlineStr">
        <is>
          <t>UK – Russell Group</t>
        </is>
      </c>
      <c r="AQ270" s="77" t="inlineStr">
        <is>
          <t>~1 term/semester</t>
        </is>
      </c>
      <c r="AR270" s="77" t="inlineStr">
        <is>
          <t>All/standard</t>
        </is>
      </c>
      <c r="AS270" s="77" t="inlineStr"/>
    </row>
    <row r="271">
      <c r="A271" s="77" t="inlineStr">
        <is>
          <t>RG15</t>
        </is>
      </c>
      <c r="B271" s="77" t="inlineStr">
        <is>
          <t>Newcastle</t>
        </is>
      </c>
      <c r="C271" s="77" t="inlineStr">
        <is>
          <t>Programme/course</t>
        </is>
      </c>
      <c r="D271" s="77" t="inlineStr">
        <is>
          <t>RG15-S10</t>
        </is>
      </c>
      <c r="E271" s="77" t="inlineStr"/>
      <c r="F271" s="77" t="inlineStr">
        <is>
          <t>No</t>
        </is>
      </c>
      <c r="G271" s="79" t="inlineStr">
        <is>
          <t>APL3001 Alternative Practice: Co-producing Space</t>
        </is>
      </c>
      <c r="H271" s="77" t="inlineStr">
        <is>
          <t>Alternative Practice: Co-producing Space</t>
        </is>
      </c>
      <c r="I271" s="77" t="inlineStr">
        <is>
          <t>APL3001</t>
        </is>
      </c>
      <c r="J271" s="77" t="inlineStr">
        <is>
          <t>20-credit Stage 3 Semester 2 module: a live project in which student groups design and build (1:1) a small temporary urban intervention in collaboration with a community group, typically in the North East, to test future urban visions.</t>
        </is>
      </c>
      <c r="K271" s="77" t="inlineStr">
        <is>
          <t>School of Architecture, Planning and Landscape</t>
        </is>
      </c>
      <c r="L271" s="77" t="inlineStr">
        <is>
          <t>Architecture and Urban Planning BA (optional live design option); open to study-abroad students with prerequisite APL2035</t>
        </is>
      </c>
      <c r="M271" s="77" t="inlineStr">
        <is>
          <t>Other (law, health, design, architecture…)</t>
        </is>
      </c>
      <c r="N271" s="77" t="inlineStr">
        <is>
          <t>Undergraduate</t>
        </is>
      </c>
      <c r="O271" s="77" t="inlineStr">
        <is>
          <t>Stage 3</t>
        </is>
      </c>
      <c r="P271" s="77" t="inlineStr">
        <is>
          <t>Prerequisite knowledge from APL2035 Participation: Theories and Practices</t>
        </is>
      </c>
      <c r="Q271" s="77" t="inlineStr">
        <is>
          <t>Optional/elective</t>
        </is>
      </c>
      <c r="R271" s="77" t="inlineStr">
        <is>
          <t>Curricular</t>
        </is>
      </c>
      <c r="S271" s="77" t="inlineStr">
        <is>
          <t>20 credits, Semester 2; assessment detail not retrieved</t>
        </is>
      </c>
      <c r="T271" s="77" t="inlineStr">
        <is>
          <t>One semester</t>
        </is>
      </c>
      <c r="U271" s="77" t="inlineStr">
        <is>
          <t>Studio/live build with a community group</t>
        </is>
      </c>
      <c r="V271" s="77" t="inlineStr">
        <is>
          <t>Yes</t>
        </is>
      </c>
      <c r="W271" s="77" t="inlineStr">
        <is>
          <t>1:1 design and build of an urban intervention (sources 1, 2).</t>
        </is>
      </c>
      <c r="X271" s="77" t="inlineStr">
        <is>
          <t>Yes</t>
        </is>
      </c>
      <c r="Y271" s="77" t="inlineStr">
        <is>
          <t>Students work in groups on design, planning, detailing and/or making of the live intervention (source 2, search paraphrase).</t>
        </is>
      </c>
      <c r="Z271" s="77" t="inlineStr">
        <is>
          <t>Yes</t>
        </is>
      </c>
      <c r="AA271" s="77" t="inlineStr">
        <is>
          <t>Delivered in collaboration with a community group, usually in the North East (sources 1, 2).</t>
        </is>
      </c>
      <c r="AB271" s="77" t="inlineStr">
        <is>
          <t>Charity/community</t>
        </is>
      </c>
      <c r="AC271" s="77" t="inlineStr">
        <is>
          <t>Community group collaborates on the live intervention; whether it sets the brief or assesses is not stated.</t>
        </is>
      </c>
      <c r="AD271" s="77" t="inlineStr"/>
      <c r="AE271" s="77" t="inlineStr">
        <is>
          <t>Built temporary urban intervention</t>
        </is>
      </c>
      <c r="AF271" s="77">
        <f>IF(OR(V271="No",X271="No",Z271="No"),"Outside strict definition",IF(AND(V271="Yes",X271="Yes",Z271="Yes"),"Meets all three","Potentially relevant; evidence incomplete"))</f>
        <v/>
      </c>
      <c r="AG271" s="77" t="inlineStr">
        <is>
          <t>Current delivery confirmed</t>
        </is>
      </c>
      <c r="AH271" s="77" t="inlineStr">
        <is>
          <t>2025/26</t>
        </is>
      </c>
      <c r="AI271" s="77" t="inlineStr">
        <is>
          <t>Yes</t>
        </is>
      </c>
      <c r="AJ271" s="77">
        <f>IF(AND(AI271="Yes",AF271="Meets all three",AG271="Current delivery confirmed"),"Yes","No")</f>
        <v/>
      </c>
      <c r="AK271" s="77" t="inlineStr">
        <is>
          <t>No participation numbers published beyond any stated cap/places.</t>
        </is>
      </c>
      <c r="AL271" s="77" t="inlineStr">
        <is>
          <t>RG15-S10-R1; RG15-S10-R2</t>
        </is>
      </c>
      <c r="AM271" s="77" t="inlineStr">
        <is>
          <t>Assessment and the group/individual balance not retrieved; partner groups not named; 'typically/usually' wording on community group involvement.</t>
        </is>
      </c>
      <c r="AN271" s="77" t="inlineStr"/>
      <c r="AO271" s="77" t="inlineStr">
        <is>
          <t>UK</t>
        </is>
      </c>
      <c r="AP271" s="77" t="inlineStr">
        <is>
          <t>UK – Russell Group</t>
        </is>
      </c>
      <c r="AQ271" s="77" t="inlineStr">
        <is>
          <t>~1 term/semester</t>
        </is>
      </c>
      <c r="AR271" s="77" t="inlineStr">
        <is>
          <t>All/standard</t>
        </is>
      </c>
      <c r="AS271" s="77" t="inlineStr"/>
    </row>
    <row r="272">
      <c r="A272" s="77" t="inlineStr">
        <is>
          <t>RG15</t>
        </is>
      </c>
      <c r="B272" s="77" t="inlineStr">
        <is>
          <t>Newcastle</t>
        </is>
      </c>
      <c r="C272" s="77" t="inlineStr">
        <is>
          <t>Unclear</t>
        </is>
      </c>
      <c r="D272" s="77" t="inlineStr">
        <is>
          <t>RG15-S11</t>
        </is>
      </c>
      <c r="E272" s="77" t="inlineStr"/>
      <c r="F272" s="77" t="inlineStr">
        <is>
          <t>No</t>
        </is>
      </c>
      <c r="G272" s="79" t="inlineStr">
        <is>
          <t>Careers Service Practera Horizons programme</t>
        </is>
      </c>
      <c r="H272" s="77" t="inlineStr">
        <is>
          <t>Practera Horizons (Careers Service)</t>
        </is>
      </c>
      <c r="I272" s="77" t="inlineStr"/>
      <c r="J272" s="77" t="inlineStr">
        <is>
          <t>Three-week programme (12 funded places, January 2026 start) in which cross-university teams act as a consulting team for a real start-up, business or charity, receive a project brief and produce a professional report with findings and recommendations; online coaching and a digital certificate.</t>
        </is>
      </c>
      <c r="K272" s="77" t="inlineStr">
        <is>
          <t>Careers Service (delivered via Practera platform)</t>
        </is>
      </c>
      <c r="L272" s="77" t="inlineStr">
        <is>
          <t>Eligibility not stated beyond cross-university teams</t>
        </is>
      </c>
      <c r="M272" s="77" t="inlineStr">
        <is>
          <t>Central provision</t>
        </is>
      </c>
      <c r="N272" s="77" t="inlineStr">
        <is>
          <t>Unclear</t>
        </is>
      </c>
      <c r="O272" s="77" t="inlineStr">
        <is>
          <t>Not stated</t>
        </is>
      </c>
      <c r="P272" s="77" t="inlineStr">
        <is>
          <t>Twelve funded places; application route not retrieved</t>
        </is>
      </c>
      <c r="Q272" s="77" t="inlineStr">
        <is>
          <t>Selective/competitive</t>
        </is>
      </c>
      <c r="R272" s="77" t="inlineStr">
        <is>
          <t>Extracurricular</t>
        </is>
      </c>
      <c r="S272" s="77" t="inlineStr">
        <is>
          <t>Non-credit; digital certificate</t>
        </is>
      </c>
      <c r="T272" s="77" t="inlineStr">
        <is>
          <t>Three weeks</t>
        </is>
      </c>
      <c r="U272" s="77" t="inlineStr">
        <is>
          <t>Online, team consulting project via Practera</t>
        </is>
      </c>
      <c r="V272" s="77" t="inlineStr">
        <is>
          <t>Yes</t>
        </is>
      </c>
      <c r="W272" s="77" t="inlineStr">
        <is>
          <t>Team receives a project brief and delivers a professional report (source 1).</t>
        </is>
      </c>
      <c r="X272" s="77" t="inlineStr">
        <is>
          <t>Yes</t>
        </is>
      </c>
      <c r="Y272" s="77" t="inlineStr">
        <is>
          <t>Participants work as part of a consulting team in cross-university teams (source 1).</t>
        </is>
      </c>
      <c r="Z272" s="77" t="inlineStr">
        <is>
          <t>Yes</t>
        </is>
      </c>
      <c r="AA272" s="77" t="inlineStr">
        <is>
          <t>Project is for a real start-up, business or charity ('industry client') whose brief the team receives; reports present findings to the client context (source 1). How much live client interaction (feedback, receipt of report) occurs is not described.</t>
        </is>
      </c>
      <c r="AB272" s="77" t="inlineStr">
        <is>
          <t>Mixed</t>
        </is>
      </c>
      <c r="AC272" s="77" t="inlineStr">
        <is>
          <t>Real start-ups, businesses or charities supply the brief.</t>
        </is>
      </c>
      <c r="AD272" s="77" t="inlineStr"/>
      <c r="AE272" s="77" t="inlineStr">
        <is>
          <t>Professional report with findings and recommendations</t>
        </is>
      </c>
      <c r="AF272" s="77">
        <f>IF(OR(V272="No",X272="No",Z272="No"),"Outside strict definition",IF(AND(V272="Yes",X272="Yes",Z272="Yes"),"Meets all three","Potentially relevant; evidence incomplete"))</f>
        <v/>
      </c>
      <c r="AG272" s="77" t="inlineStr">
        <is>
          <t>Current delivery confirmed</t>
        </is>
      </c>
      <c r="AH272" s="77" t="inlineStr">
        <is>
          <t>2026</t>
        </is>
      </c>
      <c r="AI272" s="77" t="inlineStr">
        <is>
          <t>Yes</t>
        </is>
      </c>
      <c r="AJ272" s="77">
        <f>IF(AND(AI272="Yes",AF272="Meets all three",AG272="Current delivery confirmed"),"Yes","No")</f>
        <v/>
      </c>
      <c r="AK272" s="77" t="inlineStr">
        <is>
          <t>12 funded places (January 2026 cohort)</t>
        </is>
      </c>
      <c r="AL272" s="77" t="inlineStr">
        <is>
          <t>RG15-S11-R1</t>
        </is>
      </c>
      <c r="AM272" s="77" t="inlineStr">
        <is>
          <t>Practera-type programmes can be simulated; the Newcastle announcement says real start-up/business/charity but live client engagement depth and partner names are not evidenced; eligibility and future runs ('more details coming soon') unknown.</t>
        </is>
      </c>
      <c r="AN272" s="77" t="inlineStr"/>
      <c r="AO272" s="77" t="inlineStr">
        <is>
          <t>UK</t>
        </is>
      </c>
      <c r="AP272" s="77" t="inlineStr">
        <is>
          <t>UK – Russell Group</t>
        </is>
      </c>
      <c r="AQ272" s="77" t="inlineStr">
        <is>
          <t>1–4 weeks</t>
        </is>
      </c>
      <c r="AR272" s="77" t="inlineStr">
        <is>
          <t>All/standard</t>
        </is>
      </c>
      <c r="AS272" s="77" t="inlineStr"/>
    </row>
    <row r="273">
      <c r="A273" s="77" t="inlineStr">
        <is>
          <t>RG15</t>
        </is>
      </c>
      <c r="B273" s="77" t="inlineStr">
        <is>
          <t>Newcastle</t>
        </is>
      </c>
      <c r="C273" s="77" t="inlineStr">
        <is>
          <t>Programme/course</t>
        </is>
      </c>
      <c r="D273" s="77" t="inlineStr">
        <is>
          <t>RG15-S12</t>
        </is>
      </c>
      <c r="E273" s="77" t="inlineStr"/>
      <c r="F273" s="77" t="inlineStr">
        <is>
          <t>No</t>
        </is>
      </c>
      <c r="G273" s="79" t="inlineStr">
        <is>
          <t>MSc Advanced Data Science group project (5395F)</t>
        </is>
      </c>
      <c r="H273" s="77" t="inlineStr">
        <is>
          <t>Advanced Data Science MSc group project</t>
        </is>
      </c>
      <c r="I273" s="77" t="inlineStr"/>
      <c r="J273" s="77" t="inlineStr">
        <is>
          <t>Programme specification states students work in small groups to solve a practical applied data science problem; 'where possible' the projects are genuine research problems provided by industrial or applied academic collaborators.</t>
        </is>
      </c>
      <c r="K273" s="77" t="inlineStr">
        <is>
          <t>School of Mathematics, Statistics and Physics / School of Computing</t>
        </is>
      </c>
      <c r="L273" s="77" t="inlineStr">
        <is>
          <t>Advanced Data Science MSc (5395F)</t>
        </is>
      </c>
      <c r="M273" s="77" t="inlineStr">
        <is>
          <t>Science</t>
        </is>
      </c>
      <c r="N273" s="77" t="inlineStr">
        <is>
          <t>Postgraduate taught</t>
        </is>
      </c>
      <c r="O273" s="77" t="inlineStr">
        <is>
          <t>MSc</t>
        </is>
      </c>
      <c r="P273" s="77" t="inlineStr"/>
      <c r="Q273" s="77" t="inlineStr">
        <is>
          <t>Compulsory within specified programmes</t>
        </is>
      </c>
      <c r="R273" s="77" t="inlineStr">
        <is>
          <t>Curricular</t>
        </is>
      </c>
      <c r="S273" s="77" t="inlineStr">
        <is>
          <t>Not retrieved</t>
        </is>
      </c>
      <c r="T273" s="77" t="inlineStr">
        <is>
          <t>Not stated</t>
        </is>
      </c>
      <c r="U273" s="77" t="inlineStr">
        <is>
          <t>Small-group applied project</t>
        </is>
      </c>
      <c r="V273" s="77" t="inlineStr">
        <is>
          <t>Yes</t>
        </is>
      </c>
      <c r="W273" s="77" t="inlineStr">
        <is>
          <t>Practical applied data science problem (source 1).</t>
        </is>
      </c>
      <c r="X273" s="77" t="inlineStr">
        <is>
          <t>Yes</t>
        </is>
      </c>
      <c r="Y273" s="77" t="inlineStr">
        <is>
          <t>Students work in small groups (source 1).</t>
        </is>
      </c>
      <c r="Z273" s="77" t="inlineStr">
        <is>
          <t>Unclear</t>
        </is>
      </c>
      <c r="AA273" s="77" t="inlineStr">
        <is>
          <t>Problems come 'where possible' from industrial or applied academic collaborators (source 1); academic collaborators are not external employers and industrial supply is not guaranteed.</t>
        </is>
      </c>
      <c r="AB273" s="77" t="inlineStr">
        <is>
          <t>Mixed</t>
        </is>
      </c>
      <c r="AC273" s="77" t="inlineStr">
        <is>
          <t>Industrial or applied academic collaborators provide problems where possible.</t>
        </is>
      </c>
      <c r="AD273" s="77" t="inlineStr"/>
      <c r="AE273" s="77" t="inlineStr">
        <is>
          <t>Group project outcome (not specified)</t>
        </is>
      </c>
      <c r="AF273" s="77">
        <f>IF(OR(V273="No",X273="No",Z273="No"),"Outside strict definition",IF(AND(V273="Yes",X273="Yes",Z273="Yes"),"Meets all three","Potentially relevant; evidence incomplete"))</f>
        <v/>
      </c>
      <c r="AG273" s="77" t="inlineStr">
        <is>
          <t>Current delivery confirmed</t>
        </is>
      </c>
      <c r="AH273" s="77" t="inlineStr">
        <is>
          <t>2025/26</t>
        </is>
      </c>
      <c r="AI273" s="77" t="inlineStr">
        <is>
          <t>Yes</t>
        </is>
      </c>
      <c r="AJ273" s="77">
        <f>IF(AND(AI273="Yes",AF273="Meets all three",AG273="Current delivery confirmed"),"Yes","No")</f>
        <v/>
      </c>
      <c r="AK273" s="77" t="inlineStr">
        <is>
          <t>No participation numbers published beyond any stated cap/places.</t>
        </is>
      </c>
      <c r="AL273" s="77" t="inlineStr">
        <is>
          <t>RG15-S12-R1</t>
        </is>
      </c>
      <c r="AM273" s="77" t="inlineStr">
        <is>
          <t>Share of projects from industry vs academic collaborators; credit and duration; whether compulsory.</t>
        </is>
      </c>
      <c r="AN273" s="77" t="inlineStr"/>
      <c r="AO273" s="77" t="inlineStr">
        <is>
          <t>UK</t>
        </is>
      </c>
      <c r="AP273" s="77" t="inlineStr">
        <is>
          <t>UK – Russell Group</t>
        </is>
      </c>
      <c r="AQ273" s="77" t="inlineStr">
        <is>
          <t>Unclear</t>
        </is>
      </c>
      <c r="AR273" s="77" t="inlineStr">
        <is>
          <t>Some projects</t>
        </is>
      </c>
      <c r="AS273" s="77" t="inlineStr"/>
    </row>
    <row r="274">
      <c r="A274" s="77" t="inlineStr">
        <is>
          <t>RG15</t>
        </is>
      </c>
      <c r="B274" s="77" t="inlineStr">
        <is>
          <t>Newcastle</t>
        </is>
      </c>
      <c r="C274" s="77" t="inlineStr">
        <is>
          <t>Programme/course</t>
        </is>
      </c>
      <c r="D274" s="77" t="inlineStr">
        <is>
          <t>RG15-S13</t>
        </is>
      </c>
      <c r="E274" s="77" t="inlineStr"/>
      <c r="F274" s="77" t="inlineStr">
        <is>
          <t>No</t>
        </is>
      </c>
      <c r="G274" s="79" t="inlineStr">
        <is>
          <t>MSc Data Science and Industrial Biotechnology capstone hackathon</t>
        </is>
      </c>
      <c r="H274" s="77" t="inlineStr">
        <is>
          <t>Data Science and Industrial Biotechnology group hackathon</t>
        </is>
      </c>
      <c r="I274" s="77" t="inlineStr"/>
      <c r="J274" s="77" t="inlineStr">
        <is>
          <t>Programme page describes a final capstone stage with a group hackathon co-delivered with industry partners (named collaborators include Procter &amp; Gamble, Northumbrian Water, Ginkgo Bioworks, Lonza); partners help shape assessment briefs and contribute to group projects.</t>
        </is>
      </c>
      <c r="K274" s="77" t="inlineStr">
        <is>
          <t>Data Science and AI MSc conversion degrees (Schools of Computing / Maths, Statistics and Physics / Natural and Environmental Sciences)</t>
        </is>
      </c>
      <c r="L274" s="77" t="inlineStr">
        <is>
          <t>Data Science and Industrial Biotechnology MSc</t>
        </is>
      </c>
      <c r="M274" s="77" t="inlineStr">
        <is>
          <t>Science</t>
        </is>
      </c>
      <c r="N274" s="77" t="inlineStr">
        <is>
          <t>Postgraduate taught</t>
        </is>
      </c>
      <c r="O274" s="77" t="inlineStr">
        <is>
          <t>MSc</t>
        </is>
      </c>
      <c r="P274" s="77" t="inlineStr"/>
      <c r="Q274" s="77" t="inlineStr">
        <is>
          <t>Compulsory within specified programmes</t>
        </is>
      </c>
      <c r="R274" s="77" t="inlineStr">
        <is>
          <t>Curricular</t>
        </is>
      </c>
      <c r="S274" s="77" t="inlineStr">
        <is>
          <t>Not retrieved</t>
        </is>
      </c>
      <c r="T274" s="77" t="inlineStr">
        <is>
          <t>Not stated</t>
        </is>
      </c>
      <c r="U274" s="77" t="inlineStr">
        <is>
          <t>Group hackathon within capstone</t>
        </is>
      </c>
      <c r="V274" s="77" t="inlineStr">
        <is>
          <t>Unclear</t>
        </is>
      </c>
      <c r="W274" s="77" t="inlineStr">
        <is>
          <t>Hackathon challenge; output and length not described (source 1).</t>
        </is>
      </c>
      <c r="X274" s="77" t="inlineStr">
        <is>
          <t>Yes</t>
        </is>
      </c>
      <c r="Y274" s="77" t="inlineStr">
        <is>
          <t>'group hackathon' (source 1).</t>
        </is>
      </c>
      <c r="Z274" s="77" t="inlineStr">
        <is>
          <t>Yes</t>
        </is>
      </c>
      <c r="AA274" s="77" t="inlineStr">
        <is>
          <t>Industrial partners help shape assessment briefs, contribute to group projects and co-deliver the final hackathon challenge (source 1).</t>
        </is>
      </c>
      <c r="AB274" s="77" t="inlineStr">
        <is>
          <t>Business/commercial</t>
        </is>
      </c>
      <c r="AC274" s="77" t="inlineStr">
        <is>
          <t>Co-deliver challenge and contribute to briefs.</t>
        </is>
      </c>
      <c r="AD274" s="77" t="inlineStr">
        <is>
          <t>Procter &amp; Gamble, Northumbrian Water, Ginkgo Bioworks, Lonza (undated page)</t>
        </is>
      </c>
      <c r="AE274" s="77" t="inlineStr">
        <is>
          <t>Hackathon solution (not specified)</t>
        </is>
      </c>
      <c r="AF274" s="77">
        <f>IF(OR(V274="No",X274="No",Z274="No"),"Outside strict definition",IF(AND(V274="Yes",X274="Yes",Z274="Yes"),"Meets all three","Potentially relevant; evidence incomplete"))</f>
        <v/>
      </c>
      <c r="AG274" s="77" t="inlineStr">
        <is>
          <t>Current status unclear</t>
        </is>
      </c>
      <c r="AH274" s="77" t="inlineStr">
        <is>
          <t>undated</t>
        </is>
      </c>
      <c r="AI274" s="77" t="inlineStr">
        <is>
          <t>Yes</t>
        </is>
      </c>
      <c r="AJ274" s="77">
        <f>IF(AND(AI274="Yes",AF274="Meets all three",AG274="Current delivery confirmed"),"Yes","No")</f>
        <v/>
      </c>
      <c r="AK274" s="77" t="inlineStr">
        <is>
          <t>No participation numbers published beyond any stated cap/places.</t>
        </is>
      </c>
      <c r="AL274" s="77" t="inlineStr">
        <is>
          <t>RG15-S13-R1</t>
        </is>
      </c>
      <c r="AM274" s="77" t="inlineStr">
        <is>
          <t>Page undated; hackathon duration and output, credits and whether partners engage every cohort not established.</t>
        </is>
      </c>
      <c r="AN274" s="77" t="inlineStr"/>
      <c r="AO274" s="77" t="inlineStr">
        <is>
          <t>UK</t>
        </is>
      </c>
      <c r="AP274" s="77" t="inlineStr">
        <is>
          <t>UK – Russell Group</t>
        </is>
      </c>
      <c r="AQ274" s="77" t="inlineStr">
        <is>
          <t>Unclear</t>
        </is>
      </c>
      <c r="AR274" s="77" t="inlineStr">
        <is>
          <t>All/standard</t>
        </is>
      </c>
      <c r="AS274" s="77" t="inlineStr"/>
    </row>
    <row r="275">
      <c r="A275" s="77" t="inlineStr">
        <is>
          <t>RG15</t>
        </is>
      </c>
      <c r="B275" s="77" t="inlineStr">
        <is>
          <t>Newcastle</t>
        </is>
      </c>
      <c r="C275" s="77" t="inlineStr">
        <is>
          <t>Programme/course</t>
        </is>
      </c>
      <c r="D275" s="77" t="inlineStr">
        <is>
          <t>RG15-S14</t>
        </is>
      </c>
      <c r="E275" s="77" t="inlineStr"/>
      <c r="F275" s="77" t="inlineStr">
        <is>
          <t>No</t>
        </is>
      </c>
      <c r="G275" s="79" t="inlineStr">
        <is>
          <t>Museum Studies MA: Producing Curatorial Projects for Museum Audiences</t>
        </is>
      </c>
      <c r="H275" s="77" t="inlineStr">
        <is>
          <t>Curatorial project (Museum Studies MA)</t>
        </is>
      </c>
      <c r="I275" s="77" t="inlineStr"/>
      <c r="J275" s="77" t="inlineStr">
        <is>
          <t>20-credit compulsory module where student teams run a semester-long curatorial project (e.g. exhibitions at the Laing Art Gallery or Great North Museum: Hancock), managing budget, labels and installation and liaising with professionals; programme page describes collaboration with the Great North Museum: Hancock.</t>
        </is>
      </c>
      <c r="K275" s="77" t="inlineStr">
        <is>
          <t>School of Arts and Cultures</t>
        </is>
      </c>
      <c r="L275" s="77" t="inlineStr">
        <is>
          <t>Museum Studies MA/PGDip</t>
        </is>
      </c>
      <c r="M275" s="77" t="inlineStr">
        <is>
          <t>Arts/humanities/social sciences</t>
        </is>
      </c>
      <c r="N275" s="77" t="inlineStr">
        <is>
          <t>Postgraduate taught</t>
        </is>
      </c>
      <c r="O275" s="77" t="inlineStr">
        <is>
          <t>MA</t>
        </is>
      </c>
      <c r="P275" s="77" t="inlineStr"/>
      <c r="Q275" s="77" t="inlineStr">
        <is>
          <t>Compulsory within specified programmes</t>
        </is>
      </c>
      <c r="R275" s="77" t="inlineStr">
        <is>
          <t>Curricular</t>
        </is>
      </c>
      <c r="S275" s="77" t="inlineStr">
        <is>
          <t>20 credits</t>
        </is>
      </c>
      <c r="T275" s="77" t="inlineStr">
        <is>
          <t>One semester</t>
        </is>
      </c>
      <c r="U275" s="77" t="inlineStr">
        <is>
          <t>Student-team curatorial project</t>
        </is>
      </c>
      <c r="V275" s="77" t="inlineStr">
        <is>
          <t>Yes</t>
        </is>
      </c>
      <c r="W275" s="77" t="inlineStr">
        <is>
          <t>Exhibition/curatorial project open to the public (source 1).</t>
        </is>
      </c>
      <c r="X275" s="77" t="inlineStr">
        <is>
          <t>Yes</t>
        </is>
      </c>
      <c r="Y275" s="77" t="inlineStr">
        <is>
          <t>Project run as part of a student team (source 1).</t>
        </is>
      </c>
      <c r="Z275" s="77" t="inlineStr">
        <is>
          <t>Unclear</t>
        </is>
      </c>
      <c r="AA275" s="77" t="inlineStr">
        <is>
          <t>Collaboration with the Great North Museum: Hancock is stated; whether the museum is an external body (vs university-affiliated), sets the brief or assesses is not evidenced.</t>
        </is>
      </c>
      <c r="AB275" s="77" t="inlineStr">
        <is>
          <t>Unclear</t>
        </is>
      </c>
      <c r="AC275" s="77" t="inlineStr">
        <is>
          <t>Museum partner role not specified.</t>
        </is>
      </c>
      <c r="AD275" s="77" t="inlineStr"/>
      <c r="AE275" s="77" t="inlineStr">
        <is>
          <t>Public exhibition/curatorial project</t>
        </is>
      </c>
      <c r="AF275" s="77">
        <f>IF(OR(V275="No",X275="No",Z275="No"),"Outside strict definition",IF(AND(V275="Yes",X275="Yes",Z275="Yes"),"Meets all three","Potentially relevant; evidence incomplete"))</f>
        <v/>
      </c>
      <c r="AG275" s="77" t="inlineStr">
        <is>
          <t>Current status unclear</t>
        </is>
      </c>
      <c r="AH275" s="77" t="inlineStr">
        <is>
          <t>undated</t>
        </is>
      </c>
      <c r="AI275" s="77" t="inlineStr">
        <is>
          <t>Yes</t>
        </is>
      </c>
      <c r="AJ275" s="77">
        <f>IF(AND(AI275="Yes",AF275="Meets all three",AG275="Current delivery confirmed"),"Yes","No")</f>
        <v/>
      </c>
      <c r="AK275" s="77" t="inlineStr">
        <is>
          <t>No participation numbers published beyond any stated cap/places.</t>
        </is>
      </c>
      <c r="AL275" s="77" t="inlineStr">
        <is>
          <t>RG15-S14-R1</t>
        </is>
      </c>
      <c r="AM275" s="77" t="inlineStr">
        <is>
          <t>Partner independence and role; current-year delivery; assessment.</t>
        </is>
      </c>
      <c r="AN275" s="77" t="inlineStr"/>
      <c r="AO275" s="77" t="inlineStr">
        <is>
          <t>UK</t>
        </is>
      </c>
      <c r="AP275" s="77" t="inlineStr">
        <is>
          <t>UK – Russell Group</t>
        </is>
      </c>
      <c r="AQ275" s="77" t="inlineStr">
        <is>
          <t>~1 term/semester</t>
        </is>
      </c>
      <c r="AR275" s="77" t="inlineStr">
        <is>
          <t>Unclear</t>
        </is>
      </c>
      <c r="AS275" s="77" t="inlineStr"/>
    </row>
    <row r="276">
      <c r="A276" s="77" t="inlineStr">
        <is>
          <t>RG16</t>
        </is>
      </c>
      <c r="B276" s="77" t="inlineStr">
        <is>
          <t>Nottingham</t>
        </is>
      </c>
      <c r="C276" s="77" t="inlineStr">
        <is>
          <t>Faculty/school</t>
        </is>
      </c>
      <c r="D276" s="77" t="inlineStr">
        <is>
          <t>RG16-S01</t>
        </is>
      </c>
      <c r="E276" s="77" t="inlineStr"/>
      <c r="F276" s="77" t="inlineStr">
        <is>
          <t>No</t>
        </is>
      </c>
      <c r="G276" s="79" t="inlineStr">
        <is>
          <t>Company-based Consultancy Challenge (NUBS)</t>
        </is>
      </c>
      <c r="H276" s="77" t="inlineStr">
        <is>
          <t>Company-based Consultancy Challenge</t>
        </is>
      </c>
      <c r="I276" s="77" t="inlineStr"/>
      <c r="J276" s="77" t="inlineStr">
        <is>
          <t>Teams of Business School students (MSc; opened to selected undergraduates in 2026) research a real problem set by a local partner organisation over about three weeks, supported by academic mentors (incl. Professors of Practice) and company representatives, then give a final pitch to a panel of business partners and mentors. Each organisation is paired with two student teams.</t>
        </is>
      </c>
      <c r="K276" s="77" t="inlineStr">
        <is>
          <t>Nottingham University Business School</t>
        </is>
      </c>
      <c r="L276" s="77" t="inlineStr">
        <is>
          <t>Business School master's students; selected undergraduates added in 2026</t>
        </is>
      </c>
      <c r="M276" s="77" t="inlineStr">
        <is>
          <t>Business/management</t>
        </is>
      </c>
      <c r="N276" s="77" t="inlineStr">
        <is>
          <t>Mixed</t>
        </is>
      </c>
      <c r="O276" s="77" t="inlineStr"/>
      <c r="P276" s="77" t="inlineStr">
        <is>
          <t>Business School students; 'selected' students (selective entry)</t>
        </is>
      </c>
      <c r="Q276" s="77" t="inlineStr">
        <is>
          <t>Selective/competitive</t>
        </is>
      </c>
      <c r="R276" s="77" t="inlineStr">
        <is>
          <t>Extracurricular</t>
        </is>
      </c>
      <c r="S276" s="77" t="inlineStr">
        <is>
          <t>No credit evidenced; certificate and digital badge listed as benefits</t>
        </is>
      </c>
      <c r="T276" s="77" t="inlineStr">
        <is>
          <t>About 3 weeks (research, analysis, pitch)</t>
        </is>
      </c>
      <c r="U276" s="77" t="inlineStr">
        <is>
          <t>Teams of c.6-8; induction, client brief, mentor meetings, final pitch to panel</t>
        </is>
      </c>
      <c r="V276" s="77" t="inlineStr">
        <is>
          <t>Yes</t>
        </is>
      </c>
      <c r="W276" s="77" t="inlineStr">
        <is>
          <t>Real business problems researched and answered with recommendations and a final pitch (sources 1, 2, 3).</t>
        </is>
      </c>
      <c r="X276" s="77" t="inlineStr">
        <is>
          <t>Yes</t>
        </is>
      </c>
      <c r="Y276" s="77" t="inlineStr">
        <is>
          <t>Student teams (page gives teams of six to eight); two teams per organisation (sources 1-3).</t>
        </is>
      </c>
      <c r="Z276" s="77" t="inlineStr">
        <is>
          <t>Yes</t>
        </is>
      </c>
      <c r="AA276" s="77" t="inlineStr">
        <is>
          <t>Local partner organisations set the problem/brief, company representatives mentor, and a panel including business partners judges the pitches; the school helps organisations develop a suitable brief (sources 1-3).</t>
        </is>
      </c>
      <c r="AB276" s="77" t="inlineStr">
        <is>
          <t>Mixed</t>
        </is>
      </c>
      <c r="AC276" s="77" t="inlineStr">
        <is>
          <t>Set the live brief; mentor teams; sit on final judging panel</t>
        </is>
      </c>
      <c r="AD276" s="77" t="inlineStr">
        <is>
          <t>2025: IBM (source 1); 2026: Hallam, ApplyU, Capital One, Notts County Foundation (source 2) - includes at least one charity/foundation</t>
        </is>
      </c>
      <c r="AE276" s="77" t="inlineStr">
        <is>
          <t>Recommendations report/pitch to the client organisation</t>
        </is>
      </c>
      <c r="AF276" s="77">
        <f>IF(OR(V276="No",X276="No",Z276="No"),"Outside strict definition",IF(AND(V276="Yes",X276="Yes",Z276="Yes"),"Meets all three","Potentially relevant; evidence incomplete"))</f>
        <v/>
      </c>
      <c r="AG276" s="77" t="inlineStr">
        <is>
          <t>Current delivery confirmed</t>
        </is>
      </c>
      <c r="AH276" s="77" t="inlineStr">
        <is>
          <t>2026 (news dated 30 July 2026)</t>
        </is>
      </c>
      <c r="AI276" s="77" t="inlineStr">
        <is>
          <t>Yes</t>
        </is>
      </c>
      <c r="AJ276" s="77">
        <f>IF(AND(AI276="Yes",AF276="Meets all three",AG276="Current delivery confirmed"),"Yes","No")</f>
        <v/>
      </c>
      <c r="AK276" s="77" t="inlineStr">
        <is>
          <t>2026: at least 11 teams referenced (Team 11 named); 4 client winners listed (source 2). Not a published total.</t>
        </is>
      </c>
      <c r="AL276" s="77" t="inlineStr">
        <is>
          <t>RG16-S01-R1; RG16-S01-R2; RG16-S01-R3</t>
        </is>
      </c>
      <c r="AM276" s="77" t="inlineStr">
        <is>
          <t>Credit value and selection criteria not published; the UG extension is a 2026 first. Not the same as the careers-run Nottingham Consultancy Challenge (S5), though both may share a lineage.</t>
        </is>
      </c>
      <c r="AN276" s="77" t="inlineStr"/>
      <c r="AO276" s="77" t="inlineStr">
        <is>
          <t>UK</t>
        </is>
      </c>
      <c r="AP276" s="77" t="inlineStr">
        <is>
          <t>UK – Russell Group</t>
        </is>
      </c>
      <c r="AQ276" s="77" t="inlineStr">
        <is>
          <t>1–4 weeks</t>
        </is>
      </c>
      <c r="AR276" s="77" t="inlineStr">
        <is>
          <t>All/standard</t>
        </is>
      </c>
      <c r="AS276" s="77" t="inlineStr"/>
    </row>
    <row r="277">
      <c r="A277" s="77" t="inlineStr">
        <is>
          <t>RG16</t>
        </is>
      </c>
      <c r="B277" s="77" t="inlineStr">
        <is>
          <t>Nottingham</t>
        </is>
      </c>
      <c r="C277" s="77" t="inlineStr">
        <is>
          <t>Programme/course</t>
        </is>
      </c>
      <c r="D277" s="77" t="inlineStr">
        <is>
          <t>RG16-S02</t>
        </is>
      </c>
      <c r="E277" s="77" t="inlineStr"/>
      <c r="F277" s="77" t="inlineStr">
        <is>
          <t>No</t>
        </is>
      </c>
      <c r="G277" s="79" t="inlineStr">
        <is>
          <t>Entrepreneurship Project (MSc Entrepreneurship, Innovation and Management)</t>
        </is>
      </c>
      <c r="H277" s="77" t="inlineStr">
        <is>
          <t>Entrepreneurship Consultancy Project</t>
        </is>
      </c>
      <c r="I277" s="77" t="inlineStr"/>
      <c r="J277" s="77" t="inlineStr">
        <is>
          <t>MSc students act as consultants in teams for start-ups and local companies, spending about three months gathering market and stakeholder data, analysing it and writing recommendations reports; teams present posters to participating businesses at a showcase.</t>
        </is>
      </c>
      <c r="K277" s="77" t="inlineStr">
        <is>
          <t>Nottingham University Business School (Entrepreneurship, Sustainability and Innovation dept)</t>
        </is>
      </c>
      <c r="L277" s="77" t="inlineStr">
        <is>
          <t>MSc Entrepreneurship, Innovation and Management</t>
        </is>
      </c>
      <c r="M277" s="77" t="inlineStr">
        <is>
          <t>Business/management</t>
        </is>
      </c>
      <c r="N277" s="77" t="inlineStr">
        <is>
          <t>Postgraduate taught</t>
        </is>
      </c>
      <c r="O277" s="77" t="inlineStr"/>
      <c r="P277" s="77" t="inlineStr"/>
      <c r="Q277" s="77" t="inlineStr">
        <is>
          <t>Compulsory within specified programmes</t>
        </is>
      </c>
      <c r="R277" s="77" t="inlineStr">
        <is>
          <t>Curricular</t>
        </is>
      </c>
      <c r="S277" s="77" t="inlineStr">
        <is>
          <t>Credit value not retrieved; reports and poster showcase</t>
        </is>
      </c>
      <c r="T277" s="77" t="inlineStr">
        <is>
          <t>About 3 months</t>
        </is>
      </c>
      <c r="U277" s="77" t="inlineStr">
        <is>
          <t>Student groups matched to start-ups/companies; poster showcase to participating businesses</t>
        </is>
      </c>
      <c r="V277" s="77" t="inlineStr">
        <is>
          <t>Yes</t>
        </is>
      </c>
      <c r="W277" s="77" t="inlineStr">
        <is>
          <t>Live challenges; market-insight gathering and consultancy reports (source 1).</t>
        </is>
      </c>
      <c r="X277" s="77" t="inlineStr">
        <is>
          <t>Yes</t>
        </is>
      </c>
      <c r="Y277" s="77" t="inlineStr">
        <is>
          <t>'Twelve student groups' worked with 12 start-ups/local companies in 2025 (source 1).</t>
        </is>
      </c>
      <c r="Z277" s="77" t="inlineStr">
        <is>
          <t>Yes</t>
        </is>
      </c>
      <c r="AA277" s="77" t="inlineStr">
        <is>
          <t>Start-ups and local companies present live challenges, are engaged with by teams for stakeholder data, and receive recommendations/posters at the showcase; company representatives support students (sources 1, 2).</t>
        </is>
      </c>
      <c r="AB277" s="77" t="inlineStr">
        <is>
          <t>Business/commercial</t>
        </is>
      </c>
      <c r="AC277" s="77" t="inlineStr">
        <is>
          <t>Provide live challenge; receive reports/poster presentation; company reps support</t>
        </is>
      </c>
      <c r="AD277" s="77" t="inlineStr">
        <is>
          <t>2025 awards referenced Mytender.io, Notts County Foundation, IBM, The Treat Kitchen (source 1; mix incl. a charity foundation)</t>
        </is>
      </c>
      <c r="AE277" s="77" t="inlineStr">
        <is>
          <t>Consultancy recommendations report and poster</t>
        </is>
      </c>
      <c r="AF277" s="77">
        <f>IF(OR(V277="No",X277="No",Z277="No"),"Outside strict definition",IF(AND(V277="Yes",X277="Yes",Z277="Yes"),"Meets all three","Potentially relevant; evidence incomplete"))</f>
        <v/>
      </c>
      <c r="AG277" s="77" t="inlineStr">
        <is>
          <t>Current status unclear</t>
        </is>
      </c>
      <c r="AH277" s="77" t="inlineStr">
        <is>
          <t>2025 (poster showcase 6 May 2025, i.e. 2024/25)</t>
        </is>
      </c>
      <c r="AI277" s="77" t="inlineStr">
        <is>
          <t>Yes</t>
        </is>
      </c>
      <c r="AJ277" s="77">
        <f>IF(AND(AI277="Yes",AF277="Meets all three",AG277="Current delivery confirmed"),"Yes","No")</f>
        <v/>
      </c>
      <c r="AK277" s="77" t="inlineStr">
        <is>
          <t>2025: 12 student groups with 12 organisations (source 1)</t>
        </is>
      </c>
      <c r="AL277" s="77" t="inlineStr">
        <is>
          <t>RG16-S02-R1; RG16-S02-R2</t>
        </is>
      </c>
      <c r="AM277" s="77" t="inlineStr">
        <is>
          <t>Latest cohort evidenced is 2024/25; no 2025/26 or 2026/27 dated source retrieved. Whether the module is compulsory (core) for all MSc EIM students not directly evidenced. Credit value unknown.</t>
        </is>
      </c>
      <c r="AN277" s="77" t="inlineStr"/>
      <c r="AO277" s="77" t="inlineStr">
        <is>
          <t>UK</t>
        </is>
      </c>
      <c r="AP277" s="77" t="inlineStr">
        <is>
          <t>UK – Russell Group</t>
        </is>
      </c>
      <c r="AQ277" s="77" t="inlineStr">
        <is>
          <t>~1 term/semester</t>
        </is>
      </c>
      <c r="AR277" s="77" t="inlineStr">
        <is>
          <t>All/standard</t>
        </is>
      </c>
      <c r="AS277" s="77" t="inlineStr"/>
    </row>
    <row r="278">
      <c r="A278" s="77" t="inlineStr">
        <is>
          <t>RG16</t>
        </is>
      </c>
      <c r="B278" s="77" t="inlineStr">
        <is>
          <t>Nottingham</t>
        </is>
      </c>
      <c r="C278" s="77" t="inlineStr">
        <is>
          <t>Faculty/school</t>
        </is>
      </c>
      <c r="D278" s="77" t="inlineStr">
        <is>
          <t>RG16-S03</t>
        </is>
      </c>
      <c r="E278" s="77" t="inlineStr"/>
      <c r="F278" s="77" t="inlineStr">
        <is>
          <t>No</t>
        </is>
      </c>
      <c r="G278" s="79" t="inlineStr">
        <is>
          <t>Business Project (MSc, Nottingham University Business School)</t>
        </is>
      </c>
      <c r="H278" s="77" t="inlineStr">
        <is>
          <t>MSc Business Project (group project with industry partner)</t>
        </is>
      </c>
      <c r="I278" s="77" t="inlineStr"/>
      <c r="J278" s="77" t="inlineStr">
        <is>
          <t>Option for Masters students across most NUBS departments: multidisciplinary student groups work on a business question from an industry partner and pitch answers to the client. 2024 example: Haleon's Expert Marketing team set the question. Listed as a 60-credit summer module alternative to the dissertation, subject to availability and a student selection process.</t>
        </is>
      </c>
      <c r="K278" s="77" t="inlineStr">
        <is>
          <t>Nottingham University Business School</t>
        </is>
      </c>
      <c r="L278" s="77" t="inlineStr">
        <is>
          <t>NUBS MSc programmes (most departments), e.g. MSc Business and Management</t>
        </is>
      </c>
      <c r="M278" s="77" t="inlineStr">
        <is>
          <t>Business/management</t>
        </is>
      </c>
      <c r="N278" s="77" t="inlineStr">
        <is>
          <t>Postgraduate taught</t>
        </is>
      </c>
      <c r="O278" s="77" t="inlineStr"/>
      <c r="P278" s="77" t="inlineStr"/>
      <c r="Q278" s="77" t="inlineStr">
        <is>
          <t>Selective/competitive</t>
        </is>
      </c>
      <c r="R278" s="77" t="inlineStr">
        <is>
          <t>Curricular</t>
        </is>
      </c>
      <c r="S278" s="77" t="inlineStr">
        <is>
          <t>60-credit summer module (2025-entry course page); alternative to dissertation</t>
        </is>
      </c>
      <c r="T278" s="77" t="inlineStr">
        <is>
          <t>Summer project period</t>
        </is>
      </c>
      <c r="U278" s="77" t="inlineStr">
        <is>
          <t>Groups with industry partner; client pitch</t>
        </is>
      </c>
      <c r="V278" s="77" t="inlineStr">
        <is>
          <t>Yes</t>
        </is>
      </c>
      <c r="W278" s="77" t="inlineStr">
        <is>
          <t>Groups research a business topic/question and propose solutions (sources 1-3).</t>
        </is>
      </c>
      <c r="X278" s="77" t="inlineStr">
        <is>
          <t>Yes</t>
        </is>
      </c>
      <c r="Y278" s="77" t="inlineStr">
        <is>
          <t>'Collaborating in groups with an industry partner'; blog: students from different disciplines work together (sources 1, 2).</t>
        </is>
      </c>
      <c r="Z278" s="77" t="inlineStr">
        <is>
          <t>Yes</t>
        </is>
      </c>
      <c r="AA278" s="77" t="inlineStr">
        <is>
          <t>Industry partner sets the question and receives group pitches (Haleon 2024 example; source 3); course page states collaboration with an industry partner (source 1).</t>
        </is>
      </c>
      <c r="AB278" s="77" t="inlineStr">
        <is>
          <t>Business/commercial</t>
        </is>
      </c>
      <c r="AC278" s="77" t="inlineStr">
        <is>
          <t>Sets business question; receives group pitch</t>
        </is>
      </c>
      <c r="AD278" s="77" t="inlineStr">
        <is>
          <t>Haleon (Expert Marketing team), 2024 (source 3 - only photo caption/summary seen)</t>
        </is>
      </c>
      <c r="AE278" s="77" t="inlineStr">
        <is>
          <t>Group report/pitch to client</t>
        </is>
      </c>
      <c r="AF278" s="77">
        <f>IF(OR(V278="No",X278="No",Z278="No"),"Outside strict definition",IF(AND(V278="Yes",X278="Yes",Z278="Yes"),"Meets all three","Potentially relevant; evidence incomplete"))</f>
        <v/>
      </c>
      <c r="AG278" s="77" t="inlineStr">
        <is>
          <t>Current delivery confirmed</t>
        </is>
      </c>
      <c r="AH278" s="77" t="inlineStr">
        <is>
          <t>2025/26 (2025-entry course structure; Haleon cohort Nov 2024)</t>
        </is>
      </c>
      <c r="AI278" s="77" t="inlineStr">
        <is>
          <t>Yes</t>
        </is>
      </c>
      <c r="AJ278" s="77">
        <f>IF(AND(AI278="Yes",AF278="Meets all three",AG278="Current delivery confirmed"),"Yes","No")</f>
        <v/>
      </c>
      <c r="AK278" s="77" t="inlineStr"/>
      <c r="AL278" s="77" t="inlineStr">
        <is>
          <t>RG16-S03-R1; RG16-S03-R2; RG16-S03-R3</t>
        </is>
      </c>
      <c r="AM278" s="77" t="inlineStr">
        <is>
          <t>Selection process and capacity undisclosed; Haleon detail is from a search-summary of a blog caption; current-year client list not found. Whether the 'industry partner' is guaranteed for every group not stated beyond the course page.</t>
        </is>
      </c>
      <c r="AN278" s="77" t="inlineStr"/>
      <c r="AO278" s="77" t="inlineStr">
        <is>
          <t>UK</t>
        </is>
      </c>
      <c r="AP278" s="77" t="inlineStr">
        <is>
          <t>UK – Russell Group</t>
        </is>
      </c>
      <c r="AQ278" s="77" t="inlineStr">
        <is>
          <t>~1 term/semester</t>
        </is>
      </c>
      <c r="AR278" s="77" t="inlineStr">
        <is>
          <t>All/standard</t>
        </is>
      </c>
      <c r="AS278" s="77" t="inlineStr"/>
    </row>
    <row r="279">
      <c r="A279" s="77" t="inlineStr">
        <is>
          <t>RG16</t>
        </is>
      </c>
      <c r="B279" s="77" t="inlineStr">
        <is>
          <t>Nottingham</t>
        </is>
      </c>
      <c r="C279" s="77" t="inlineStr">
        <is>
          <t>Programme/course</t>
        </is>
      </c>
      <c r="D279" s="77" t="inlineStr">
        <is>
          <t>RG16-S04</t>
        </is>
      </c>
      <c r="E279" s="77" t="inlineStr"/>
      <c r="F279" s="77" t="inlineStr">
        <is>
          <t>No</t>
        </is>
      </c>
      <c r="G279" s="79" t="inlineStr">
        <is>
          <t>Business Project (optional UG module, Business and Management BSc)</t>
        </is>
      </c>
      <c r="H279" s="77" t="inlineStr">
        <is>
          <t>UG Business Project</t>
        </is>
      </c>
      <c r="I279" s="77" t="inlineStr"/>
      <c r="J279" s="77" t="inlineStr">
        <is>
          <t>Optional undergraduate module on the Business and Management BSc: students research a real-world business problem and propose solutions using data collection and analysis, communicating findings to practitioner and academic audiences; course page says students work with businesses.</t>
        </is>
      </c>
      <c r="K279" s="77" t="inlineStr">
        <is>
          <t>Nottingham University Business School</t>
        </is>
      </c>
      <c r="L279" s="77" t="inlineStr">
        <is>
          <t>BSc Business and Management (possibly other NUBS UG courses)</t>
        </is>
      </c>
      <c r="M279" s="77" t="inlineStr">
        <is>
          <t>Business/management</t>
        </is>
      </c>
      <c r="N279" s="77" t="inlineStr">
        <is>
          <t>Undergraduate</t>
        </is>
      </c>
      <c r="O279" s="77" t="inlineStr"/>
      <c r="P279" s="77" t="inlineStr"/>
      <c r="Q279" s="77" t="inlineStr">
        <is>
          <t>Optional/elective</t>
        </is>
      </c>
      <c r="R279" s="77" t="inlineStr">
        <is>
          <t>Curricular</t>
        </is>
      </c>
      <c r="S279" s="77" t="inlineStr"/>
      <c r="T279" s="77" t="inlineStr"/>
      <c r="U279" s="77" t="inlineStr"/>
      <c r="V279" s="77" t="inlineStr">
        <is>
          <t>Yes</t>
        </is>
      </c>
      <c r="W279" s="77" t="inlineStr">
        <is>
          <t>Real-world business problem and proposed solutions (source 1).</t>
        </is>
      </c>
      <c r="X279" s="77" t="inlineStr">
        <is>
          <t>Unclear</t>
        </is>
      </c>
      <c r="Y279" s="77" t="inlineStr">
        <is>
          <t>UG page does not say group or individual; the MSc version is described as group work (source 1 only for MSc).</t>
        </is>
      </c>
      <c r="Z279" s="77" t="inlineStr">
        <is>
          <t>Unclear</t>
        </is>
      </c>
      <c r="AA279" s="77" t="inlineStr">
        <is>
          <t>Page says 'working with businesses' but does not state who sets the brief or receives outputs.</t>
        </is>
      </c>
      <c r="AB279" s="77" t="inlineStr">
        <is>
          <t>Unclear</t>
        </is>
      </c>
      <c r="AC279" s="77" t="inlineStr">
        <is>
          <t>Not specified</t>
        </is>
      </c>
      <c r="AD279" s="77" t="inlineStr"/>
      <c r="AE279" s="77" t="inlineStr">
        <is>
          <t>Report proposing solutions</t>
        </is>
      </c>
      <c r="AF279" s="77">
        <f>IF(OR(V279="No",X279="No",Z279="No"),"Outside strict definition",IF(AND(V279="Yes",X279="Yes",Z279="Yes"),"Meets all three","Potentially relevant; evidence incomplete"))</f>
        <v/>
      </c>
      <c r="AG279" s="77" t="inlineStr">
        <is>
          <t>Current status unclear</t>
        </is>
      </c>
      <c r="AH279" s="77" t="inlineStr">
        <is>
          <t>2026 entry course page</t>
        </is>
      </c>
      <c r="AI279" s="77" t="inlineStr">
        <is>
          <t>Yes</t>
        </is>
      </c>
      <c r="AJ279" s="77">
        <f>IF(AND(AI279="Yes",AF279="Meets all three",AG279="Current delivery confirmed"),"Yes","No")</f>
        <v/>
      </c>
      <c r="AK279" s="77" t="inlineStr"/>
      <c r="AL279" s="77" t="inlineStr">
        <is>
          <t>RG16-S04-R1</t>
        </is>
      </c>
      <c r="AM279" s="77" t="inlineStr">
        <is>
          <t>Year of study, group/individual format, client involvement and enrolment numbers unknown; could not retrieve module spec.</t>
        </is>
      </c>
      <c r="AN279" s="77" t="inlineStr"/>
      <c r="AO279" s="77" t="inlineStr">
        <is>
          <t>UK</t>
        </is>
      </c>
      <c r="AP279" s="77" t="inlineStr">
        <is>
          <t>UK – Russell Group</t>
        </is>
      </c>
      <c r="AQ279" s="77" t="inlineStr">
        <is>
          <t>Unclear</t>
        </is>
      </c>
      <c r="AR279" s="77" t="inlineStr">
        <is>
          <t>Unclear</t>
        </is>
      </c>
      <c r="AS279" s="77" t="inlineStr"/>
    </row>
    <row r="280">
      <c r="A280" s="77" t="inlineStr">
        <is>
          <t>RG16</t>
        </is>
      </c>
      <c r="B280" s="77" t="inlineStr">
        <is>
          <t>Nottingham</t>
        </is>
      </c>
      <c r="C280" s="77" t="inlineStr">
        <is>
          <t>University-wide</t>
        </is>
      </c>
      <c r="D280" s="77" t="inlineStr">
        <is>
          <t>RG16-S05</t>
        </is>
      </c>
      <c r="E280" s="77" t="inlineStr"/>
      <c r="F280" s="77" t="inlineStr">
        <is>
          <t>No</t>
        </is>
      </c>
      <c r="G280" s="79" t="inlineStr">
        <is>
          <t>Nottingham Consultancy Challenge (Careers)</t>
        </is>
      </c>
      <c r="H280" s="77" t="inlineStr">
        <is>
          <t>Nottingham Consultancy Challenge</t>
        </is>
      </c>
      <c r="I280" s="77" t="inlineStr"/>
      <c r="J280" s="77" t="inlineStr">
        <is>
          <t>Careers-run spring-term challenge in which multidisciplinary student teams manage a short-term project for a local business or charity. Page states it is not running in 2025/26 and will be relaunched in 2026/27 with an updated model.</t>
        </is>
      </c>
      <c r="K280" s="77" t="inlineStr">
        <is>
          <t>Careers and Employability Service</t>
        </is>
      </c>
      <c r="L280" s="77" t="inlineStr">
        <is>
          <t>Described as open to University students (original format); relaunch model not described</t>
        </is>
      </c>
      <c r="M280" s="77" t="inlineStr">
        <is>
          <t>Central provision</t>
        </is>
      </c>
      <c r="N280" s="77" t="inlineStr">
        <is>
          <t>Mixed</t>
        </is>
      </c>
      <c r="O280" s="77" t="inlineStr"/>
      <c r="P280" s="77" t="inlineStr"/>
      <c r="Q280" s="77" t="inlineStr">
        <is>
          <t>Selective/competitive</t>
        </is>
      </c>
      <c r="R280" s="77" t="inlineStr">
        <is>
          <t>Extracurricular</t>
        </is>
      </c>
      <c r="S280" s="77" t="inlineStr">
        <is>
          <t>No credit evidenced</t>
        </is>
      </c>
      <c r="T280" s="77" t="inlineStr">
        <is>
          <t>Spring term (original format)</t>
        </is>
      </c>
      <c r="U280" s="77" t="inlineStr">
        <is>
          <t>Multidisciplinary teams; short-term project for local business or charity</t>
        </is>
      </c>
      <c r="V280" s="77" t="inlineStr">
        <is>
          <t>Yes</t>
        </is>
      </c>
      <c r="W280" s="77" t="inlineStr">
        <is>
          <t>Specific problem/issue for a local organisation (source 1).</t>
        </is>
      </c>
      <c r="X280" s="77" t="inlineStr">
        <is>
          <t>Yes</t>
        </is>
      </c>
      <c r="Y280" s="77" t="inlineStr">
        <is>
          <t>Multi-disciplinary teams (sources 1, 2).</t>
        </is>
      </c>
      <c r="Z280" s="77" t="inlineStr">
        <is>
          <t>Yes</t>
        </is>
      </c>
      <c r="AA280" s="77" t="inlineStr">
        <is>
          <t>Local businesses and charities host the project (source 1) - in the original format; updated model not described.</t>
        </is>
      </c>
      <c r="AB280" s="77" t="inlineStr">
        <is>
          <t>Mixed</t>
        </is>
      </c>
      <c r="AC280" s="77" t="inlineStr">
        <is>
          <t>Local business/charity sets the issue and hosts the project</t>
        </is>
      </c>
      <c r="AD280" s="77" t="inlineStr"/>
      <c r="AE280" s="77" t="inlineStr">
        <is>
          <t>Project output for the host organisation (not specified)</t>
        </is>
      </c>
      <c r="AF280" s="77">
        <f>IF(OR(V280="No",X280="No",Z280="No"),"Outside strict definition",IF(AND(V280="Yes",X280="Yes",Z280="Yes"),"Meets all three","Potentially relevant; evidence incomplete"))</f>
        <v/>
      </c>
      <c r="AG280" s="77" t="inlineStr">
        <is>
          <t>Announced/forthcoming</t>
        </is>
      </c>
      <c r="AH280" s="77" t="inlineStr">
        <is>
          <t>Not running 2025/26; relaunch 2026/27</t>
        </is>
      </c>
      <c r="AI280" s="77" t="inlineStr">
        <is>
          <t>Yes</t>
        </is>
      </c>
      <c r="AJ280" s="77">
        <f>IF(AND(AI280="Yes",AF280="Meets all three",AG280="Current delivery confirmed"),"Yes","No")</f>
        <v/>
      </c>
      <c r="AK280" s="77" t="inlineStr"/>
      <c r="AL280" s="77" t="inlineStr">
        <is>
          <t>RG16-S05-R1; RG16-S05-R2</t>
        </is>
      </c>
      <c r="AM280" s="77" t="inlineStr">
        <is>
          <t>Format of relaunched 2026/27 version unknown; historic scale not retrieved. Does not count as current delivery.</t>
        </is>
      </c>
      <c r="AN280" s="77" t="inlineStr"/>
      <c r="AO280" s="77" t="inlineStr">
        <is>
          <t>UK</t>
        </is>
      </c>
      <c r="AP280" s="77" t="inlineStr">
        <is>
          <t>UK – Russell Group</t>
        </is>
      </c>
      <c r="AQ280" s="77" t="inlineStr">
        <is>
          <t>~1 term/semester</t>
        </is>
      </c>
      <c r="AR280" s="77" t="inlineStr">
        <is>
          <t>All/standard</t>
        </is>
      </c>
      <c r="AS280" s="77" t="inlineStr"/>
    </row>
    <row r="281">
      <c r="A281" s="77" t="inlineStr">
        <is>
          <t>RG16</t>
        </is>
      </c>
      <c r="B281" s="77" t="inlineStr">
        <is>
          <t>Nottingham</t>
        </is>
      </c>
      <c r="C281" s="77" t="inlineStr">
        <is>
          <t>Programme/course</t>
        </is>
      </c>
      <c r="D281" s="77" t="inlineStr">
        <is>
          <t>RG16-S06</t>
        </is>
      </c>
      <c r="E281" s="77" t="inlineStr"/>
      <c r="F281" s="77" t="inlineStr">
        <is>
          <t>No</t>
        </is>
      </c>
      <c r="G281" s="79" t="inlineStr">
        <is>
          <t>Software Engineering Group Project (Year 2, Computer Science)</t>
        </is>
      </c>
      <c r="H281" s="77" t="inlineStr">
        <is>
          <t>Year 2 Software Engineering Group Project</t>
        </is>
      </c>
      <c r="I281" s="77" t="inlineStr"/>
      <c r="J281" s="77" t="inlineStr">
        <is>
          <t>Year 2 Computer Science groups of about six to seven design, program and document an application described by a supervisor; groups bid for projects, and around half of the projects have industry partners (the School's About page is reported to say about two-thirds have industrial supervisors - not verified).</t>
        </is>
      </c>
      <c r="K281" s="77" t="inlineStr">
        <is>
          <t>School of Computer Science</t>
        </is>
      </c>
      <c r="L281" s="77" t="inlineStr">
        <is>
          <t>BSc Computer Science (and variants)</t>
        </is>
      </c>
      <c r="M281" s="77" t="inlineStr">
        <is>
          <t>Engineering/computing</t>
        </is>
      </c>
      <c r="N281" s="77" t="inlineStr">
        <is>
          <t>Undergraduate</t>
        </is>
      </c>
      <c r="O281" s="77" t="inlineStr">
        <is>
          <t>Year 2</t>
        </is>
      </c>
      <c r="P281" s="77" t="inlineStr"/>
      <c r="Q281" s="77" t="inlineStr">
        <is>
          <t>Compulsory within specified programmes</t>
        </is>
      </c>
      <c r="R281" s="77" t="inlineStr">
        <is>
          <t>Curricular</t>
        </is>
      </c>
      <c r="S281" s="77" t="inlineStr">
        <is>
          <t>Not retrieved</t>
        </is>
      </c>
      <c r="T281" s="77" t="inlineStr">
        <is>
          <t>Year/semester not retrieved</t>
        </is>
      </c>
      <c r="U281" s="77" t="inlineStr">
        <is>
          <t>Groups meet twice weekly (once with supervisor); four intro lectures</t>
        </is>
      </c>
      <c r="V281" s="77" t="inlineStr">
        <is>
          <t>Yes</t>
        </is>
      </c>
      <c r="W281" s="77" t="inlineStr">
        <is>
          <t>Group designs, programs and documents an application (source 1).</t>
        </is>
      </c>
      <c r="X281" s="77" t="inlineStr">
        <is>
          <t>Yes</t>
        </is>
      </c>
      <c r="Y281" s="77" t="inlineStr">
        <is>
          <t>Groups of around six to seven (source 1).</t>
        </is>
      </c>
      <c r="Z281" s="77" t="inlineStr">
        <is>
          <t>Unclear</t>
        </is>
      </c>
      <c r="AA281" s="77" t="inlineStr">
        <is>
          <t>Around half of the projects students bid for have industry partners; the rest are supervisor/academic-set (source 1). External partners are therefore not standard.</t>
        </is>
      </c>
      <c r="AB281" s="77" t="inlineStr">
        <is>
          <t>Business/commercial</t>
        </is>
      </c>
      <c r="AC281" s="77" t="inlineStr">
        <is>
          <t>Industry partners on some projects (role not specified)</t>
        </is>
      </c>
      <c r="AD281" s="77" t="inlineStr"/>
      <c r="AE281" s="77" t="inlineStr">
        <is>
          <t>Working software and documentation</t>
        </is>
      </c>
      <c r="AF281" s="77">
        <f>IF(OR(V281="No",X281="No",Z281="No"),"Outside strict definition",IF(AND(V281="Yes",X281="Yes",Z281="Yes"),"Meets all three","Potentially relevant; evidence incomplete"))</f>
        <v/>
      </c>
      <c r="AG281" s="77" t="inlineStr">
        <is>
          <t>Current status unclear</t>
        </is>
      </c>
      <c r="AH281" s="77" t="inlineStr">
        <is>
          <t>2026 entry course page (undated module description)</t>
        </is>
      </c>
      <c r="AI281" s="77" t="inlineStr">
        <is>
          <t>Yes</t>
        </is>
      </c>
      <c r="AJ281" s="77">
        <f>IF(AND(AI281="Yes",AF281="Meets all three",AG281="Current delivery confirmed"),"Yes","No")</f>
        <v/>
      </c>
      <c r="AK281" s="77" t="inlineStr"/>
      <c r="AL281" s="77" t="inlineStr">
        <is>
          <t>RG16-S06-R1</t>
        </is>
      </c>
      <c r="AM281" s="77" t="inlineStr">
        <is>
          <t>Which projects have industry partners, how they engage (live client vs sponsor) and compulsory status per degree not retrieved; two-thirds figure unconfirmed.</t>
        </is>
      </c>
      <c r="AN281" s="77" t="inlineStr"/>
      <c r="AO281" s="77" t="inlineStr">
        <is>
          <t>UK</t>
        </is>
      </c>
      <c r="AP281" s="77" t="inlineStr">
        <is>
          <t>UK – Russell Group</t>
        </is>
      </c>
      <c r="AQ281" s="77" t="inlineStr">
        <is>
          <t>Unclear</t>
        </is>
      </c>
      <c r="AR281" s="77" t="inlineStr">
        <is>
          <t>Some projects</t>
        </is>
      </c>
      <c r="AS281" s="77" t="inlineStr"/>
    </row>
    <row r="282">
      <c r="A282" s="77" t="inlineStr">
        <is>
          <t>RG16</t>
        </is>
      </c>
      <c r="B282" s="77" t="inlineStr">
        <is>
          <t>Nottingham</t>
        </is>
      </c>
      <c r="C282" s="77" t="inlineStr">
        <is>
          <t>Programme/course</t>
        </is>
      </c>
      <c r="D282" s="77" t="inlineStr">
        <is>
          <t>RG16-S07</t>
        </is>
      </c>
      <c r="E282" s="77" t="inlineStr"/>
      <c r="F282" s="77" t="inlineStr">
        <is>
          <t>No</t>
        </is>
      </c>
      <c r="G282" s="79" t="inlineStr">
        <is>
          <t>MSci Group Programming Project (COMP4028)</t>
        </is>
      </c>
      <c r="H282" s="77" t="inlineStr">
        <is>
          <t>MSci Group Programming Project</t>
        </is>
      </c>
      <c r="I282" s="77" t="inlineStr">
        <is>
          <t>COMP4028</t>
        </is>
      </c>
      <c r="J282" s="77" t="inlineStr">
        <is>
          <t>Year 4 MSci Computer Science students in self-chosen teams of two to four develop software for an external client (a company, charity, research group etc., but not the supervisor) under an academic supervisor; either the students or the supervisor can propose the client.</t>
        </is>
      </c>
      <c r="K282" s="77" t="inlineStr">
        <is>
          <t>School of Computer Science</t>
        </is>
      </c>
      <c r="L282" s="77" t="inlineStr">
        <is>
          <t>MSci Computer Science and AI variants</t>
        </is>
      </c>
      <c r="M282" s="77" t="inlineStr">
        <is>
          <t>Engineering/computing</t>
        </is>
      </c>
      <c r="N282" s="77" t="inlineStr">
        <is>
          <t>Undergraduate</t>
        </is>
      </c>
      <c r="O282" s="77" t="inlineStr">
        <is>
          <t>Year 4</t>
        </is>
      </c>
      <c r="P282" s="77" t="inlineStr"/>
      <c r="Q282" s="77" t="inlineStr">
        <is>
          <t>Optional/elective</t>
        </is>
      </c>
      <c r="R282" s="77" t="inlineStr">
        <is>
          <t>Curricular</t>
        </is>
      </c>
      <c r="S282" s="77" t="inlineStr">
        <is>
          <t>40 credits, full year (2024 catalogue); software plus group report/reflection</t>
        </is>
      </c>
      <c r="T282" s="77" t="inlineStr">
        <is>
          <t>Full year</t>
        </is>
      </c>
      <c r="U282" s="77" t="inlineStr">
        <is>
          <t>Teams of 2-4 with supervisor</t>
        </is>
      </c>
      <c r="V282" s="77" t="inlineStr">
        <is>
          <t>Yes</t>
        </is>
      </c>
      <c r="W282" s="77" t="inlineStr">
        <is>
          <t>Client supplies a problem needing a challenging piece of software (sources 1, 2).</t>
        </is>
      </c>
      <c r="X282" s="77" t="inlineStr">
        <is>
          <t>Yes</t>
        </is>
      </c>
      <c r="Y282" s="77" t="inlineStr">
        <is>
          <t>Teams of two to four chosen by students; individual reflection also required (sources 1, 2).</t>
        </is>
      </c>
      <c r="Z282" s="77" t="inlineStr">
        <is>
          <t>Unclear</t>
        </is>
      </c>
      <c r="AA282" s="77" t="inlineStr">
        <is>
          <t>Client must be external to the supervisor, but may be a 'research group' (possibly internal) and may be sourced by students; the extent of company/charity clients is not evidenced.</t>
        </is>
      </c>
      <c r="AB282" s="77" t="inlineStr">
        <is>
          <t>Mixed</t>
        </is>
      </c>
      <c r="AC282" s="77" t="inlineStr">
        <is>
          <t>Client supplies the problem</t>
        </is>
      </c>
      <c r="AD282" s="77" t="inlineStr"/>
      <c r="AE282" s="77" t="inlineStr">
        <is>
          <t>Software and written documentation</t>
        </is>
      </c>
      <c r="AF282" s="77">
        <f>IF(OR(V282="No",X282="No",Z282="No"),"Outside strict definition",IF(AND(V282="Yes",X282="Yes",Z282="Yes"),"Meets all three","Potentially relevant; evidence incomplete"))</f>
        <v/>
      </c>
      <c r="AG282" s="77" t="inlineStr">
        <is>
          <t>Current status unclear</t>
        </is>
      </c>
      <c r="AH282" s="77" t="inlineStr">
        <is>
          <t>2024 catalogue; 2026-entry course pages list the module</t>
        </is>
      </c>
      <c r="AI282" s="77" t="inlineStr">
        <is>
          <t>Yes</t>
        </is>
      </c>
      <c r="AJ282" s="77">
        <f>IF(AND(AI282="Yes",AF282="Meets all three",AG282="Current delivery confirmed"),"Yes","No")</f>
        <v/>
      </c>
      <c r="AK282" s="77" t="inlineStr"/>
      <c r="AL282" s="77" t="inlineStr">
        <is>
          <t>RG16-S07-R1; RG16-S07-R2</t>
        </is>
      </c>
      <c r="AM282" s="77" t="inlineStr">
        <is>
          <t>Share of true external organisations vs internal research groups unknown.</t>
        </is>
      </c>
      <c r="AN282" s="77" t="inlineStr"/>
      <c r="AO282" s="77" t="inlineStr">
        <is>
          <t>UK</t>
        </is>
      </c>
      <c r="AP282" s="77" t="inlineStr">
        <is>
          <t>UK – Russell Group</t>
        </is>
      </c>
      <c r="AQ282" s="77" t="inlineStr">
        <is>
          <t>&gt;1 term</t>
        </is>
      </c>
      <c r="AR282" s="77" t="inlineStr">
        <is>
          <t>Unclear</t>
        </is>
      </c>
      <c r="AS282" s="77" t="inlineStr"/>
    </row>
    <row r="283">
      <c r="A283" s="77" t="inlineStr">
        <is>
          <t>RG16</t>
        </is>
      </c>
      <c r="B283" s="77" t="inlineStr">
        <is>
          <t>Nottingham</t>
        </is>
      </c>
      <c r="C283" s="77" t="inlineStr">
        <is>
          <t>Programme/course</t>
        </is>
      </c>
      <c r="D283" s="77" t="inlineStr">
        <is>
          <t>RG16-S08</t>
        </is>
      </c>
      <c r="E283" s="77" t="inlineStr"/>
      <c r="F283" s="77" t="inlineStr">
        <is>
          <t>No</t>
        </is>
      </c>
      <c r="G283" s="79" t="inlineStr">
        <is>
          <t>Group Project (Year 3, Electronic and Computer Engineering MEng)</t>
        </is>
      </c>
      <c r="H283" s="77" t="inlineStr">
        <is>
          <t>ECE Group Project</t>
        </is>
      </c>
      <c r="I283" s="77" t="inlineStr"/>
      <c r="J283" s="77" t="inlineStr">
        <is>
          <t>Year 3 groups of four to six work for the whole academic year on a real-world engineering problem set by a 'Stakeholder typically external to the Department', building and testing a prototype device; societal impact and commercial scale-up potential are assessed.</t>
        </is>
      </c>
      <c r="K283" s="77" t="inlineStr">
        <is>
          <t>Department of Electrical and Electronic Engineering</t>
        </is>
      </c>
      <c r="L283" s="77" t="inlineStr">
        <is>
          <t>MEng Electronic and Computer Engineering (and Year in Industry variant)</t>
        </is>
      </c>
      <c r="M283" s="77" t="inlineStr">
        <is>
          <t>Engineering/computing</t>
        </is>
      </c>
      <c r="N283" s="77" t="inlineStr">
        <is>
          <t>Undergraduate</t>
        </is>
      </c>
      <c r="O283" s="77" t="inlineStr">
        <is>
          <t>Year 3</t>
        </is>
      </c>
      <c r="P283" s="77" t="inlineStr"/>
      <c r="Q283" s="77" t="inlineStr">
        <is>
          <t>Compulsory within specified programmes</t>
        </is>
      </c>
      <c r="R283" s="77" t="inlineStr">
        <is>
          <t>Curricular</t>
        </is>
      </c>
      <c r="S283" s="77" t="inlineStr"/>
      <c r="T283" s="77" t="inlineStr">
        <is>
          <t>Full academic year</t>
        </is>
      </c>
      <c r="U283" s="77" t="inlineStr"/>
      <c r="V283" s="77" t="inlineStr">
        <is>
          <t>Yes</t>
        </is>
      </c>
      <c r="W283" s="77" t="inlineStr">
        <is>
          <t>Prototype addressing stakeholder's challenge (source 1).</t>
        </is>
      </c>
      <c r="X283" s="77" t="inlineStr">
        <is>
          <t>Yes</t>
        </is>
      </c>
      <c r="Y283" s="77" t="inlineStr">
        <is>
          <t>Groups of four to six with academic supervisor (source 1).</t>
        </is>
      </c>
      <c r="Z283" s="77" t="inlineStr">
        <is>
          <t>Unclear</t>
        </is>
      </c>
      <c r="AA283" s="77" t="inlineStr">
        <is>
          <t>Stakeholder is 'typically external to the Department' - may be another university department or academic, not necessarily an external organisation.</t>
        </is>
      </c>
      <c r="AB283" s="77" t="inlineStr">
        <is>
          <t>Unclear</t>
        </is>
      </c>
      <c r="AC283" s="77" t="inlineStr">
        <is>
          <t>Stakeholder sets problem</t>
        </is>
      </c>
      <c r="AD283" s="77" t="inlineStr"/>
      <c r="AE283" s="77" t="inlineStr">
        <is>
          <t>Tested prototype device and report</t>
        </is>
      </c>
      <c r="AF283" s="77">
        <f>IF(OR(V283="No",X283="No",Z283="No"),"Outside strict definition",IF(AND(V283="Yes",X283="Yes",Z283="Yes"),"Meets all three","Potentially relevant; evidence incomplete"))</f>
        <v/>
      </c>
      <c r="AG283" s="77" t="inlineStr">
        <is>
          <t>Current status unclear</t>
        </is>
      </c>
      <c r="AH283" s="77" t="inlineStr">
        <is>
          <t>Undated course page</t>
        </is>
      </c>
      <c r="AI283" s="77" t="inlineStr">
        <is>
          <t>Yes</t>
        </is>
      </c>
      <c r="AJ283" s="77">
        <f>IF(AND(AI283="Yes",AF283="Meets all three",AG283="Current delivery confirmed"),"Yes","No")</f>
        <v/>
      </c>
      <c r="AK283" s="77" t="inlineStr"/>
      <c r="AL283" s="77" t="inlineStr">
        <is>
          <t>RG16-S08-R1</t>
        </is>
      </c>
      <c r="AM283" s="77" t="inlineStr">
        <is>
          <t>Identity of stakeholders (industry vs internal) and credit not retrieved.</t>
        </is>
      </c>
      <c r="AN283" s="77" t="inlineStr"/>
      <c r="AO283" s="77" t="inlineStr">
        <is>
          <t>UK</t>
        </is>
      </c>
      <c r="AP283" s="77" t="inlineStr">
        <is>
          <t>UK – Russell Group</t>
        </is>
      </c>
      <c r="AQ283" s="77" t="inlineStr">
        <is>
          <t>&gt;1 term</t>
        </is>
      </c>
      <c r="AR283" s="77" t="inlineStr">
        <is>
          <t>Unclear</t>
        </is>
      </c>
      <c r="AS283" s="77" t="inlineStr"/>
    </row>
    <row r="284">
      <c r="A284" s="77" t="inlineStr">
        <is>
          <t>RG16</t>
        </is>
      </c>
      <c r="B284" s="77" t="inlineStr">
        <is>
          <t>Nottingham</t>
        </is>
      </c>
      <c r="C284" s="77" t="inlineStr">
        <is>
          <t>Programme/course</t>
        </is>
      </c>
      <c r="D284" s="77" t="inlineStr">
        <is>
          <t>RG16-S09</t>
        </is>
      </c>
      <c r="E284" s="77" t="inlineStr"/>
      <c r="F284" s="77" t="inlineStr">
        <is>
          <t>No</t>
        </is>
      </c>
      <c r="G284" s="79" t="inlineStr">
        <is>
          <t>Group Design and Make Project (Mechanical, Materials and Manufacturing Engineering)</t>
        </is>
      </c>
      <c r="H284" s="77" t="inlineStr">
        <is>
          <t>Group Design and Make Project</t>
        </is>
      </c>
      <c r="I284" s="77" t="inlineStr"/>
      <c r="J284" s="77" t="inlineStr">
        <is>
          <t>Student teams design, develop and manufacture a product or prototype in a dedicated project room, managing and budgeting their own project; some project ideas come from industry, academics or students; projects are displayed on a show day to academics, industry colleagues and other students.</t>
        </is>
      </c>
      <c r="K284" s="77" t="inlineStr">
        <is>
          <t>Department of Mechanical, Materials and Manufacturing Engineering</t>
        </is>
      </c>
      <c r="L284" s="77" t="inlineStr">
        <is>
          <t>Mechanical engineering programmes</t>
        </is>
      </c>
      <c r="M284" s="77" t="inlineStr">
        <is>
          <t>Engineering/computing</t>
        </is>
      </c>
      <c r="N284" s="77" t="inlineStr">
        <is>
          <t>Undergraduate</t>
        </is>
      </c>
      <c r="O284" s="77" t="inlineStr"/>
      <c r="P284" s="77" t="inlineStr"/>
      <c r="Q284" s="77" t="inlineStr">
        <is>
          <t>Compulsory within specified programmes</t>
        </is>
      </c>
      <c r="R284" s="77" t="inlineStr">
        <is>
          <t>Curricular</t>
        </is>
      </c>
      <c r="S284" s="77" t="inlineStr"/>
      <c r="T284" s="77" t="inlineStr"/>
      <c r="U284" s="77" t="inlineStr"/>
      <c r="V284" s="77" t="inlineStr">
        <is>
          <t>Yes</t>
        </is>
      </c>
      <c r="W284" s="77" t="inlineStr">
        <is>
          <t>Design, build and evaluate a product/prototype (source 1).</t>
        </is>
      </c>
      <c r="X284" s="77" t="inlineStr">
        <is>
          <t>Yes</t>
        </is>
      </c>
      <c r="Y284" s="77" t="inlineStr">
        <is>
          <t>Group project (source 1).</t>
        </is>
      </c>
      <c r="Z284" s="77" t="inlineStr">
        <is>
          <t>Unclear</t>
        </is>
      </c>
      <c r="AA284" s="77" t="inlineStr">
        <is>
          <t>'Some ideas come from industry, academics or yourselves'; show day attended by industry colleagues (source 1) - industry briefs are a subset.</t>
        </is>
      </c>
      <c r="AB284" s="77" t="inlineStr">
        <is>
          <t>Business/commercial</t>
        </is>
      </c>
      <c r="AC284" s="77" t="inlineStr">
        <is>
          <t>Some project ideas; show-day audience</t>
        </is>
      </c>
      <c r="AD284" s="77" t="inlineStr"/>
      <c r="AE284" s="77" t="inlineStr">
        <is>
          <t>Prototype/product</t>
        </is>
      </c>
      <c r="AF284" s="77">
        <f>IF(OR(V284="No",X284="No",Z284="No"),"Outside strict definition",IF(AND(V284="Yes",X284="Yes",Z284="Yes"),"Meets all three","Potentially relevant; evidence incomplete"))</f>
        <v/>
      </c>
      <c r="AG284" s="77" t="inlineStr">
        <is>
          <t>Current status unclear</t>
        </is>
      </c>
      <c r="AH284" s="77" t="inlineStr">
        <is>
          <t>Undated</t>
        </is>
      </c>
      <c r="AI284" s="77" t="inlineStr">
        <is>
          <t>Yes</t>
        </is>
      </c>
      <c r="AJ284" s="77">
        <f>IF(AND(AI284="Yes",AF284="Meets all three",AG284="Current delivery confirmed"),"Yes","No")</f>
        <v/>
      </c>
      <c r="AK284" s="77" t="inlineStr"/>
      <c r="AL284" s="77" t="inlineStr">
        <is>
          <t>RG16-S09-R1</t>
        </is>
      </c>
      <c r="AM284" s="77" t="inlineStr">
        <is>
          <t>Share of industry-sourced projects, year and credit unknown; the related Aerospace group design project is described as a simulated industry team, not a live client.</t>
        </is>
      </c>
      <c r="AN284" s="77" t="inlineStr"/>
      <c r="AO284" s="77" t="inlineStr">
        <is>
          <t>UK</t>
        </is>
      </c>
      <c r="AP284" s="77" t="inlineStr">
        <is>
          <t>UK – Russell Group</t>
        </is>
      </c>
      <c r="AQ284" s="77" t="inlineStr">
        <is>
          <t>Unclear</t>
        </is>
      </c>
      <c r="AR284" s="77" t="inlineStr">
        <is>
          <t>Some projects</t>
        </is>
      </c>
      <c r="AS284" s="77" t="inlineStr"/>
    </row>
    <row r="285">
      <c r="A285" s="77" t="inlineStr">
        <is>
          <t>RG16</t>
        </is>
      </c>
      <c r="B285" s="77" t="inlineStr">
        <is>
          <t>Nottingham</t>
        </is>
      </c>
      <c r="C285" s="77" t="inlineStr">
        <is>
          <t>Faculty/school</t>
        </is>
      </c>
      <c r="D285" s="77" t="inlineStr">
        <is>
          <t>RG16-S10</t>
        </is>
      </c>
      <c r="E285" s="77" t="inlineStr"/>
      <c r="F285" s="77" t="inlineStr">
        <is>
          <t>No</t>
        </is>
      </c>
      <c r="G285" s="79" t="inlineStr">
        <is>
          <t>Employing the Arts</t>
        </is>
      </c>
      <c r="H285" s="77" t="inlineStr">
        <is>
          <t>Employing the Arts (Faculty of Arts engaged module)</t>
        </is>
      </c>
      <c r="I285" s="77" t="inlineStr"/>
      <c r="J285" s="77" t="inlineStr">
        <is>
          <t>Optional Faculty of Arts module for second-year undergraduates: interdisciplinary teams receive a project brief from individuals, groups and organisations seeking change (sustainability, business, equality, culture, politics, society) and are guided to shape the project and deliver results. Worked example: a City as Lab project (a University programme) on inclusive student life in Nottingham.</t>
        </is>
      </c>
      <c r="K285" s="77" t="inlineStr">
        <is>
          <t>Faculty of Arts</t>
        </is>
      </c>
      <c r="L285" s="77" t="inlineStr">
        <is>
          <t>Second-year undergraduates in the Faculty of Arts</t>
        </is>
      </c>
      <c r="M285" s="77" t="inlineStr">
        <is>
          <t>Arts/humanities/social sciences</t>
        </is>
      </c>
      <c r="N285" s="77" t="inlineStr">
        <is>
          <t>Undergraduate</t>
        </is>
      </c>
      <c r="O285" s="77" t="inlineStr">
        <is>
          <t>Year 2</t>
        </is>
      </c>
      <c r="P285" s="77" t="inlineStr"/>
      <c r="Q285" s="77" t="inlineStr">
        <is>
          <t>Optional/elective</t>
        </is>
      </c>
      <c r="R285" s="77" t="inlineStr">
        <is>
          <t>Curricular</t>
        </is>
      </c>
      <c r="S285" s="77" t="inlineStr"/>
      <c r="T285" s="77" t="inlineStr"/>
      <c r="U285" s="77" t="inlineStr"/>
      <c r="V285" s="77" t="inlineStr">
        <is>
          <t>Yes</t>
        </is>
      </c>
      <c r="W285" s="77" t="inlineStr">
        <is>
          <t>Teams given a project brief and deliver results (sources 1, 2).</t>
        </is>
      </c>
      <c r="X285" s="77" t="inlineStr">
        <is>
          <t>Yes</t>
        </is>
      </c>
      <c r="Y285" s="77" t="inlineStr">
        <is>
          <t>Interdisciplinary teams (source 1).</t>
        </is>
      </c>
      <c r="Z285" s="77" t="inlineStr">
        <is>
          <t>Unclear</t>
        </is>
      </c>
      <c r="AA285" s="77" t="inlineStr">
        <is>
          <t>Briefs come from 'individuals, groups and organisations'; the only worked example is hosted by City as Lab, a University of Nottingham programme (internal). External-organisation share is not evidenced.</t>
        </is>
      </c>
      <c r="AB285" s="77" t="inlineStr">
        <is>
          <t>Unclear</t>
        </is>
      </c>
      <c r="AC285" s="77" t="inlineStr">
        <is>
          <t>Brief providers (mixed, internal example)</t>
        </is>
      </c>
      <c r="AD285" s="77" t="inlineStr"/>
      <c r="AE285" s="77" t="inlineStr">
        <is>
          <t>Posters/reports (City as Lab example)</t>
        </is>
      </c>
      <c r="AF285" s="77">
        <f>IF(OR(V285="No",X285="No",Z285="No"),"Outside strict definition",IF(AND(V285="Yes",X285="Yes",Z285="Yes"),"Meets all three","Potentially relevant; evidence incomplete"))</f>
        <v/>
      </c>
      <c r="AG285" s="77" t="inlineStr">
        <is>
          <t>Current status unclear</t>
        </is>
      </c>
      <c r="AH285" s="77" t="inlineStr">
        <is>
          <t>Undated</t>
        </is>
      </c>
      <c r="AI285" s="77" t="inlineStr">
        <is>
          <t>Yes</t>
        </is>
      </c>
      <c r="AJ285" s="77">
        <f>IF(AND(AI285="Yes",AF285="Meets all three",AG285="Current delivery confirmed"),"Yes","No")</f>
        <v/>
      </c>
      <c r="AK285" s="77" t="inlineStr"/>
      <c r="AL285" s="77" t="inlineStr">
        <is>
          <t>RG16-S10-R1; RG16-S10-R2</t>
        </is>
      </c>
      <c r="AM285" s="77" t="inlineStr">
        <is>
          <t>Named external clients, credits, duration and numbers not found.</t>
        </is>
      </c>
      <c r="AN285" s="77" t="inlineStr"/>
      <c r="AO285" s="77" t="inlineStr">
        <is>
          <t>UK</t>
        </is>
      </c>
      <c r="AP285" s="77" t="inlineStr">
        <is>
          <t>UK – Russell Group</t>
        </is>
      </c>
      <c r="AQ285" s="77" t="inlineStr">
        <is>
          <t>Unclear</t>
        </is>
      </c>
      <c r="AR285" s="77" t="inlineStr">
        <is>
          <t>Unclear</t>
        </is>
      </c>
      <c r="AS285" s="77" t="inlineStr"/>
    </row>
    <row r="286">
      <c r="A286" s="77" t="inlineStr">
        <is>
          <t>RG16</t>
        </is>
      </c>
      <c r="B286" s="77" t="inlineStr">
        <is>
          <t>Nottingham</t>
        </is>
      </c>
      <c r="C286" s="77" t="inlineStr">
        <is>
          <t>Programme/course</t>
        </is>
      </c>
      <c r="D286" s="77" t="inlineStr">
        <is>
          <t>RG16-S11</t>
        </is>
      </c>
      <c r="E286" s="77" t="inlineStr"/>
      <c r="F286" s="77" t="inlineStr">
        <is>
          <t>No</t>
        </is>
      </c>
      <c r="G286" s="79" t="inlineStr">
        <is>
          <t>Horizon CDT Sprint Project (COMP4114)</t>
        </is>
      </c>
      <c r="H286" s="77" t="inlineStr">
        <is>
          <t>Horizon CDT Sprint Project</t>
        </is>
      </c>
      <c r="I286" s="77" t="inlineStr">
        <is>
          <t>COMP4114</t>
        </is>
      </c>
      <c r="J286" s="77" t="inlineStr">
        <is>
          <t>Intensive week-long multidisciplinary peer-group sprint for PhD students in the Digital Economy Horizon CDT: an industry partner sets a real-world challenge tied to its core business; the group designs, builds and user-tests a prototype and reports on it.</t>
        </is>
      </c>
      <c r="K286" s="77" t="inlineStr">
        <is>
          <t>School of Computer Science / Horizon CDT</t>
        </is>
      </c>
      <c r="L286" s="77" t="inlineStr">
        <is>
          <t>PhD students of the Horizon Digital Economy CDT only</t>
        </is>
      </c>
      <c r="M286" s="77" t="inlineStr">
        <is>
          <t>Engineering/computing</t>
        </is>
      </c>
      <c r="N286" s="77" t="inlineStr">
        <is>
          <t>Postgraduate research</t>
        </is>
      </c>
      <c r="O286" s="77" t="inlineStr"/>
      <c r="P286" s="77" t="inlineStr"/>
      <c r="Q286" s="77" t="inlineStr">
        <is>
          <t>Compulsory within specified programmes</t>
        </is>
      </c>
      <c r="R286" s="77" t="inlineStr">
        <is>
          <t>Curricular</t>
        </is>
      </c>
      <c r="S286" s="77" t="inlineStr">
        <is>
          <t>20 credits; report on partner, challenge, process and user evaluation</t>
        </is>
      </c>
      <c r="T286" s="77" t="inlineStr">
        <is>
          <t>Intensive week</t>
        </is>
      </c>
      <c r="U286" s="77" t="inlineStr"/>
      <c r="V286" s="77" t="inlineStr">
        <is>
          <t>Yes</t>
        </is>
      </c>
      <c r="W286" s="77" t="inlineStr">
        <is>
          <t>Single rapid prototyping cycle with user evaluation (source 1).</t>
        </is>
      </c>
      <c r="X286" s="77" t="inlineStr">
        <is>
          <t>Yes</t>
        </is>
      </c>
      <c r="Y286" s="77" t="inlineStr">
        <is>
          <t>Peer-group activity (source 1).</t>
        </is>
      </c>
      <c r="Z286" s="77" t="inlineStr">
        <is>
          <t>Yes</t>
        </is>
      </c>
      <c r="AA286" s="77" t="inlineStr">
        <is>
          <t>'The industry partner will set the peer-group a real-world challenge pertinent to their core business' (source 1).</t>
        </is>
      </c>
      <c r="AB286" s="77" t="inlineStr">
        <is>
          <t>Business/commercial</t>
        </is>
      </c>
      <c r="AC286" s="77" t="inlineStr">
        <is>
          <t>Sets challenge</t>
        </is>
      </c>
      <c r="AD286" s="77" t="inlineStr"/>
      <c r="AE286" s="77" t="inlineStr">
        <is>
          <t>Prototype and report</t>
        </is>
      </c>
      <c r="AF286" s="77">
        <f>IF(OR(V286="No",X286="No",Z286="No"),"Outside strict definition",IF(AND(V286="Yes",X286="Yes",Z286="Yes"),"Meets all three","Potentially relevant; evidence incomplete"))</f>
        <v/>
      </c>
      <c r="AG286" s="77" t="inlineStr">
        <is>
          <t>Current status unclear</t>
        </is>
      </c>
      <c r="AH286" s="77" t="inlineStr">
        <is>
          <t>2024 catalogue</t>
        </is>
      </c>
      <c r="AI286" s="77" t="inlineStr">
        <is>
          <t>Yes</t>
        </is>
      </c>
      <c r="AJ286" s="77">
        <f>IF(AND(AI286="Yes",AF286="Meets all three",AG286="Current delivery confirmed"),"Yes","No")</f>
        <v/>
      </c>
      <c r="AK286" s="77" t="inlineStr"/>
      <c r="AL286" s="77" t="inlineStr">
        <is>
          <t>RG16-S11-R1</t>
        </is>
      </c>
      <c r="AM286" s="77" t="inlineStr">
        <is>
          <t>Horizon CDT cohorts/funding run to 2028 but no 2025/26 delivery evidence; very small, single-CDT reach.</t>
        </is>
      </c>
      <c r="AN286" s="77" t="inlineStr"/>
      <c r="AO286" s="77" t="inlineStr">
        <is>
          <t>UK</t>
        </is>
      </c>
      <c r="AP286" s="77" t="inlineStr">
        <is>
          <t>UK – Russell Group</t>
        </is>
      </c>
      <c r="AQ286" s="77" t="inlineStr">
        <is>
          <t>1–4 weeks</t>
        </is>
      </c>
      <c r="AR286" s="77" t="inlineStr">
        <is>
          <t>All/standard</t>
        </is>
      </c>
      <c r="AS286" s="77" t="inlineStr"/>
    </row>
    <row r="287">
      <c r="A287" s="77" t="inlineStr">
        <is>
          <t>RG17</t>
        </is>
      </c>
      <c r="B287" s="77" t="inlineStr">
        <is>
          <t>Oxford</t>
        </is>
      </c>
      <c r="C287" s="77" t="inlineStr">
        <is>
          <t>University-wide</t>
        </is>
      </c>
      <c r="D287" s="77" t="inlineStr">
        <is>
          <t>RG17-S01</t>
        </is>
      </c>
      <c r="E287" s="77" t="inlineStr"/>
      <c r="F287" s="77" t="inlineStr">
        <is>
          <t>No</t>
        </is>
      </c>
      <c r="G287" s="79" t="inlineStr">
        <is>
          <t>The Oxford Strategy Challenge (TOSCA)</t>
        </is>
      </c>
      <c r="H287" s="77" t="inlineStr">
        <is>
          <t>The Oxford Strategy Challenge</t>
        </is>
      </c>
      <c r="I287" s="77" t="inlineStr"/>
      <c r="J287" s="77" t="inlineStr">
        <is>
          <t>Careers Service extracurricular programme: after an assessment task and training, mixed teams of 4-6 Oxford students (undergraduates to DPhils, any subject) work for about five days on a strategic challenge defined with a client organisation (businesses, charities, overseas firms), liaise directly with the client and present research and recommendations, usually as a PowerPoint presentation on a pre-booked online call. Runs (per the employer-facing page) three times a year.</t>
        </is>
      </c>
      <c r="K287" s="77" t="inlineStr">
        <is>
          <t>Careers Service</t>
        </is>
      </c>
      <c r="L287" s="77" t="inlineStr">
        <is>
          <t>All subjects; current students from 1st-year undergraduates to DPhils</t>
        </is>
      </c>
      <c r="M287" s="77" t="inlineStr">
        <is>
          <t>Central provision</t>
        </is>
      </c>
      <c r="N287" s="77" t="inlineStr">
        <is>
          <t>Mixed</t>
        </is>
      </c>
      <c r="O287" s="77" t="inlineStr">
        <is>
          <t>Any</t>
        </is>
      </c>
      <c r="P287" s="77" t="inlineStr">
        <is>
          <t>Saïd Business School students, visiting students, research staff, alumni and previous participants excluded; application with assessment task (selection).</t>
        </is>
      </c>
      <c r="Q287" s="77" t="inlineStr">
        <is>
          <t>Selective/competitive</t>
        </is>
      </c>
      <c r="R287" s="77" t="inlineStr">
        <is>
          <t>Extracurricular</t>
        </is>
      </c>
      <c r="S287" s="77" t="inlineStr">
        <is>
          <t>Non-credit</t>
        </is>
      </c>
      <c r="T287" s="77" t="inlineStr">
        <is>
          <t>About 5 days (one week) after training</t>
        </is>
      </c>
      <c r="U287" s="77" t="inlineStr">
        <is>
          <t>Remote/online team work with online client presentation</t>
        </is>
      </c>
      <c r="V287" s="77" t="inlineStr">
        <is>
          <t>Yes</t>
        </is>
      </c>
      <c r="W287" s="77" t="inlineStr">
        <is>
          <t>Defined strategic challenge outlined with the client; output is a presentation of research and recommendations [1][2][3].</t>
        </is>
      </c>
      <c r="X287" s="77" t="inlineStr">
        <is>
          <t>Yes</t>
        </is>
      </c>
      <c r="Y287" s="77" t="inlineStr">
        <is>
          <t>Careers mixes applicants into teams of four to six, often mixing undergraduates and postgraduates [1][2].</t>
        </is>
      </c>
      <c r="Z287" s="77" t="inlineStr">
        <is>
          <t>Yes</t>
        </is>
      </c>
      <c r="AA287" s="77" t="inlineStr">
        <is>
          <t>Client organisations work with Careers to define the challenge, teams liaise directly with them, and clients receive the final presentation of recommendations; clients get a licence to use the report [1][2][3].</t>
        </is>
      </c>
      <c r="AB287" s="77" t="inlineStr">
        <is>
          <t>Mixed</t>
        </is>
      </c>
      <c r="AC287" s="77" t="inlineStr">
        <is>
          <t>Sets challenge with Careers Service; briefing call, check-in, receives final presentation/report</t>
        </is>
      </c>
      <c r="AD287" s="77" t="inlineStr">
        <is>
          <t>Olga's Fine Foods (Australian food manufacturer; ESG roadmap project, undated article); past clients described as a faith-based charity, a fundraising charity and an overseas business</t>
        </is>
      </c>
      <c r="AE287" s="77" t="inlineStr">
        <is>
          <t>Client presentation of research and recommendations (PowerPoint)</t>
        </is>
      </c>
      <c r="AF287" s="77">
        <f>IF(OR(V287="No",X287="No",Z287="No"),"Outside strict definition",IF(AND(V287="Yes",X287="Yes",Z287="Yes"),"Meets all three","Potentially relevant; evidence incomplete"))</f>
        <v/>
      </c>
      <c r="AG287" s="77" t="inlineStr">
        <is>
          <t>Current status unclear</t>
        </is>
      </c>
      <c r="AH287" s="77" t="inlineStr">
        <is>
          <t>2025/26 (testimonials referencing Michaelmas 2025 cohort)</t>
        </is>
      </c>
      <c r="AI287" s="77" t="inlineStr">
        <is>
          <t>Yes</t>
        </is>
      </c>
      <c r="AJ287" s="77">
        <f>IF(AND(AI287="Yes",AF287="Meets all three",AG287="Current delivery confirmed"),"Yes","No")</f>
        <v/>
      </c>
      <c r="AK287" s="77" t="inlineStr"/>
      <c r="AL287" s="77" t="inlineStr">
        <is>
          <t>RG17-S01-R1; RG17-S01-R2; RG17-S01-R3</t>
        </is>
      </c>
      <c r="AM287" s="77" t="inlineStr">
        <is>
          <t>Conflicting status evidence: the programme page, skills roadmap and news navigation label TOSCA 'Programme Paused' ('This programme is paused at the moment'), while the employer Collaborative Projects page describes it as running three times a year and testimonials reference Michaelmas 2025. Classified 'Current status unclear' per round-2 ruling; weight of programme-specific evidence suggests a pause after Michaelmas 2025. Careers Service search (Oct 2026) shows page headed 'Programme Paused' and a Hilary 2026 round (applications by 8 Feb, final presentations 11 March 2026); 2026/27 status unconfirmed.</t>
        </is>
      </c>
      <c r="AN287" s="77" t="inlineStr"/>
      <c r="AO287" s="77" t="inlineStr">
        <is>
          <t>UK</t>
        </is>
      </c>
      <c r="AP287" s="77" t="inlineStr">
        <is>
          <t>UK – Russell Group</t>
        </is>
      </c>
      <c r="AQ287" s="77" t="inlineStr">
        <is>
          <t>&lt;1 week</t>
        </is>
      </c>
      <c r="AR287" s="77" t="inlineStr">
        <is>
          <t>All/standard</t>
        </is>
      </c>
      <c r="AS287" s="77" t="inlineStr"/>
    </row>
    <row r="288">
      <c r="A288" s="77" t="inlineStr">
        <is>
          <t>RG17</t>
        </is>
      </c>
      <c r="B288" s="77" t="inlineStr">
        <is>
          <t>Oxford</t>
        </is>
      </c>
      <c r="C288" s="77" t="inlineStr">
        <is>
          <t>Unclear</t>
        </is>
      </c>
      <c r="D288" s="77" t="inlineStr">
        <is>
          <t>RG17-S02</t>
        </is>
      </c>
      <c r="E288" s="77" t="inlineStr"/>
      <c r="F288" s="77" t="inlineStr">
        <is>
          <t>No</t>
        </is>
      </c>
      <c r="G288" s="79" t="inlineStr">
        <is>
          <t>Making a Difference Programme (MaDe)</t>
        </is>
      </c>
      <c r="H288" s="77" t="inlineStr">
        <is>
          <t>Making a Difference Programme</t>
        </is>
      </c>
      <c r="I288" s="77" t="inlineStr"/>
      <c r="J288" s="77" t="inlineStr">
        <is>
          <t>Careers Service programme of learning and development activities in which Oxford students undertake a client project for charities and social enterprises; runs twice a year (autumn and spring terms) with about 50 places per term. Team structure not confirmed in the extracts obtained.</t>
        </is>
      </c>
      <c r="K288" s="77" t="inlineStr">
        <is>
          <t>Careers Service</t>
        </is>
      </c>
      <c r="L288" s="77" t="inlineStr">
        <is>
          <t>University of Oxford students (detailed eligibility not obtained)</t>
        </is>
      </c>
      <c r="M288" s="77" t="inlineStr">
        <is>
          <t>Central provision</t>
        </is>
      </c>
      <c r="N288" s="77" t="inlineStr">
        <is>
          <t>Unclear</t>
        </is>
      </c>
      <c r="O288" s="77" t="inlineStr"/>
      <c r="P288" s="77" t="inlineStr">
        <is>
          <t>Application-based; 50 places per term</t>
        </is>
      </c>
      <c r="Q288" s="77" t="inlineStr">
        <is>
          <t>Selective/competitive</t>
        </is>
      </c>
      <c r="R288" s="77" t="inlineStr">
        <is>
          <t>Extracurricular</t>
        </is>
      </c>
      <c r="S288" s="77" t="inlineStr">
        <is>
          <t>Non-credit</t>
        </is>
      </c>
      <c r="T288" s="77" t="inlineStr">
        <is>
          <t>Described as a three-week client project within a term-long programme (sources differ)</t>
        </is>
      </c>
      <c r="U288" s="77" t="inlineStr">
        <is>
          <t>Unclear</t>
        </is>
      </c>
      <c r="V288" s="77" t="inlineStr">
        <is>
          <t>Yes</t>
        </is>
      </c>
      <c r="W288" s="77" t="inlineStr">
        <is>
          <t>Programme page describes a client project for a charity/social enterprise [1][2].</t>
        </is>
      </c>
      <c r="X288" s="77" t="inlineStr">
        <is>
          <t>Unclear</t>
        </is>
      </c>
      <c r="Y288" s="77" t="inlineStr">
        <is>
          <t>Extracts obtained do not state whether MaDe client projects are done in teams (team sizes of 4-6 are stated for TOSCA/TSC, not MaDe).</t>
        </is>
      </c>
      <c r="Z288" s="77" t="inlineStr">
        <is>
          <t>Yes</t>
        </is>
      </c>
      <c r="AA288" s="77" t="inlineStr">
        <is>
          <t>Programme aimed at charities and social enterprises that supply client projects via the Careers Service Collaborative Projects route [2].</t>
        </is>
      </c>
      <c r="AB288" s="77" t="inlineStr">
        <is>
          <t>Charity/community</t>
        </is>
      </c>
      <c r="AC288" s="77" t="inlineStr">
        <is>
          <t>Client organisation proposing project</t>
        </is>
      </c>
      <c r="AD288" s="77" t="inlineStr"/>
      <c r="AE288" s="77" t="inlineStr">
        <is>
          <t>Client project output (form not confirmed)</t>
        </is>
      </c>
      <c r="AF288" s="77">
        <f>IF(OR(V288="No",X288="No",Z288="No"),"Outside strict definition",IF(AND(V288="Yes",X288="Yes",Z288="Yes"),"Meets all three","Potentially relevant; evidence incomplete"))</f>
        <v/>
      </c>
      <c r="AG288" s="77" t="inlineStr">
        <is>
          <t>Current status unclear</t>
        </is>
      </c>
      <c r="AH288" s="77" t="inlineStr">
        <is>
          <t>2025/26 (Hilary 2026 participant; January 2026 workshop dates)</t>
        </is>
      </c>
      <c r="AI288" s="77" t="inlineStr">
        <is>
          <t>Yes</t>
        </is>
      </c>
      <c r="AJ288" s="77">
        <f>IF(AND(AI288="Yes",AF288="Meets all three",AG288="Current delivery confirmed"),"Yes","No")</f>
        <v/>
      </c>
      <c r="AK288" s="77" t="inlineStr">
        <is>
          <t>50 places per term (stated capacity, undated page)</t>
        </is>
      </c>
      <c r="AL288" s="77" t="inlineStr">
        <is>
          <t>RG17-S02-R1; RG17-S02-R2</t>
        </is>
      </c>
      <c r="AM288" s="77" t="inlineStr">
        <is>
          <t>Page titled 'Programme Paused' yet lists Hilary 2026 participant and January 2026 workshop dates; Collaborative Projects page describes it as running twice a year. Group working not evidenced.</t>
        </is>
      </c>
      <c r="AN288" s="77" t="inlineStr"/>
      <c r="AO288" s="77" t="inlineStr">
        <is>
          <t>UK</t>
        </is>
      </c>
      <c r="AP288" s="77" t="inlineStr">
        <is>
          <t>UK – Russell Group</t>
        </is>
      </c>
      <c r="AQ288" s="77" t="inlineStr">
        <is>
          <t>1–4 weeks</t>
        </is>
      </c>
      <c r="AR288" s="77" t="inlineStr">
        <is>
          <t>All/standard</t>
        </is>
      </c>
      <c r="AS288" s="77" t="inlineStr"/>
    </row>
    <row r="289">
      <c r="A289" s="77" t="inlineStr">
        <is>
          <t>RG17</t>
        </is>
      </c>
      <c r="B289" s="77" t="inlineStr">
        <is>
          <t>Oxford</t>
        </is>
      </c>
      <c r="C289" s="77" t="inlineStr">
        <is>
          <t>Unclear</t>
        </is>
      </c>
      <c r="D289" s="77" t="inlineStr">
        <is>
          <t>RG17-S03</t>
        </is>
      </c>
      <c r="E289" s="77" t="inlineStr"/>
      <c r="F289" s="77" t="inlineStr">
        <is>
          <t>No</t>
        </is>
      </c>
      <c r="G289" s="79" t="inlineStr">
        <is>
          <t>The Student Consultancy (TSC)</t>
        </is>
      </c>
      <c r="H289" s="77" t="inlineStr">
        <is>
          <t>The Student Consultancy</t>
        </is>
      </c>
      <c r="I289" s="77" t="inlineStr"/>
      <c r="J289" s="77" t="inlineStr">
        <is>
          <t>Careers Service experiential learning programme in which teams of students spend 4-6 weeks addressing a strategic issue or business challenge for a client organisation, liaising directly with the client with mentoring support.</t>
        </is>
      </c>
      <c r="K289" s="77" t="inlineStr">
        <is>
          <t>Careers Service</t>
        </is>
      </c>
      <c r="L289" s="77" t="inlineStr">
        <is>
          <t>Oxford students (detailed eligibility not obtained)</t>
        </is>
      </c>
      <c r="M289" s="77" t="inlineStr">
        <is>
          <t>Central provision</t>
        </is>
      </c>
      <c r="N289" s="77" t="inlineStr">
        <is>
          <t>Mixed</t>
        </is>
      </c>
      <c r="O289" s="77" t="inlineStr"/>
      <c r="P289" s="77" t="inlineStr"/>
      <c r="Q289" s="77" t="inlineStr">
        <is>
          <t>Selective/competitive</t>
        </is>
      </c>
      <c r="R289" s="77" t="inlineStr">
        <is>
          <t>Extracurricular</t>
        </is>
      </c>
      <c r="S289" s="77" t="inlineStr">
        <is>
          <t>Non-credit</t>
        </is>
      </c>
      <c r="T289" s="77" t="inlineStr">
        <is>
          <t>4-6 weeks</t>
        </is>
      </c>
      <c r="U289" s="77" t="inlineStr">
        <is>
          <t>Unclear</t>
        </is>
      </c>
      <c r="V289" s="77" t="inlineStr">
        <is>
          <t>Yes</t>
        </is>
      </c>
      <c r="W289" s="77" t="inlineStr">
        <is>
          <t>Strategic issue/business challenge for a client organisation [1].</t>
        </is>
      </c>
      <c r="X289" s="77" t="inlineStr">
        <is>
          <t>Yes</t>
        </is>
      </c>
      <c r="Y289" s="77" t="inlineStr">
        <is>
          <t>Students participate in teams; Careers employer page gives team size of four to six [1][2].</t>
        </is>
      </c>
      <c r="Z289" s="77" t="inlineStr">
        <is>
          <t>Yes</t>
        </is>
      </c>
      <c r="AA289" s="77" t="inlineStr">
        <is>
          <t>Client organisations set the strategic issue; teams liaise directly with clients and present recommendations [1][2].</t>
        </is>
      </c>
      <c r="AB289" s="77" t="inlineStr">
        <is>
          <t>Unclear</t>
        </is>
      </c>
      <c r="AC289" s="77" t="inlineStr">
        <is>
          <t>Client organisation</t>
        </is>
      </c>
      <c r="AD289" s="77" t="inlineStr"/>
      <c r="AE289" s="77" t="inlineStr">
        <is>
          <t>Recommendations to client</t>
        </is>
      </c>
      <c r="AF289" s="77">
        <f>IF(OR(V289="No",X289="No",Z289="No"),"Outside strict definition",IF(AND(V289="Yes",X289="Yes",Z289="Yes"),"Meets all three","Potentially relevant; evidence incomplete"))</f>
        <v/>
      </c>
      <c r="AG289" s="77" t="inlineStr">
        <is>
          <t>Paused/discontinued</t>
        </is>
      </c>
      <c r="AH289" s="77" t="inlineStr">
        <is>
          <t>undated</t>
        </is>
      </c>
      <c r="AI289" s="77" t="inlineStr">
        <is>
          <t>Yes</t>
        </is>
      </c>
      <c r="AJ289" s="77">
        <f>IF(AND(AI289="Yes",AF289="Meets all three",AG289="Current delivery confirmed"),"Yes","No")</f>
        <v/>
      </c>
      <c r="AK289" s="77" t="inlineStr"/>
      <c r="AL289" s="77" t="inlineStr">
        <is>
          <t>RG17-S03-R1; RG17-S03-R2</t>
        </is>
      </c>
      <c r="AM289" s="77" t="inlineStr">
        <is>
          <t>Programme page labelled paused; no dated cohort found; a 'Student Consultancy for schools' page also exists (not examined).</t>
        </is>
      </c>
      <c r="AN289" s="77" t="inlineStr"/>
      <c r="AO289" s="77" t="inlineStr">
        <is>
          <t>UK</t>
        </is>
      </c>
      <c r="AP289" s="77" t="inlineStr">
        <is>
          <t>UK – Russell Group</t>
        </is>
      </c>
      <c r="AQ289" s="77" t="inlineStr">
        <is>
          <t>1–4 weeks</t>
        </is>
      </c>
      <c r="AR289" s="77" t="inlineStr">
        <is>
          <t>All/standard</t>
        </is>
      </c>
      <c r="AS289" s="77" t="inlineStr"/>
    </row>
    <row r="290">
      <c r="A290" s="77" t="inlineStr">
        <is>
          <t>RG17</t>
        </is>
      </c>
      <c r="B290" s="77" t="inlineStr">
        <is>
          <t>Oxford</t>
        </is>
      </c>
      <c r="C290" s="77" t="inlineStr">
        <is>
          <t>Unclear</t>
        </is>
      </c>
      <c r="D290" s="77" t="inlineStr">
        <is>
          <t>RG17-S04</t>
        </is>
      </c>
      <c r="E290" s="77" t="inlineStr"/>
      <c r="F290" s="77" t="inlineStr">
        <is>
          <t>No</t>
        </is>
      </c>
      <c r="G290" s="79" t="inlineStr">
        <is>
          <t>The Agency</t>
        </is>
      </c>
      <c r="H290" s="77" t="inlineStr">
        <is>
          <t>The Agency</t>
        </is>
      </c>
      <c r="I290" s="77" t="inlineStr"/>
      <c r="J290" s="77" t="inlineStr">
        <is>
          <t>Careers Service programme developed with the Oxford Advertising and Marketing Society: after an assessment centre and training, students work in teams of six over one academic term on a creative/marketing problem for a client (e.g. attracting a new demographic to a bookshop, reviewing an advertising campaign), liaising directly with the client and producing a report or advertising/marketing campaign.</t>
        </is>
      </c>
      <c r="K290" s="77" t="inlineStr">
        <is>
          <t>Careers Service with Oxford Advertising and Marketing Society</t>
        </is>
      </c>
      <c r="L290" s="77" t="inlineStr"/>
      <c r="M290" s="77" t="inlineStr">
        <is>
          <t>Central provision</t>
        </is>
      </c>
      <c r="N290" s="77" t="inlineStr">
        <is>
          <t>Unclear</t>
        </is>
      </c>
      <c r="O290" s="77" t="inlineStr"/>
      <c r="P290" s="77" t="inlineStr">
        <is>
          <t>Assessment centre selection</t>
        </is>
      </c>
      <c r="Q290" s="77" t="inlineStr">
        <is>
          <t>Selective/competitive</t>
        </is>
      </c>
      <c r="R290" s="77" t="inlineStr">
        <is>
          <t>Extracurricular</t>
        </is>
      </c>
      <c r="S290" s="77" t="inlineStr">
        <is>
          <t>Non-credit</t>
        </is>
      </c>
      <c r="T290" s="77" t="inlineStr">
        <is>
          <t>One academic term</t>
        </is>
      </c>
      <c r="U290" s="77" t="inlineStr">
        <is>
          <t>Independent team work with mentorship</t>
        </is>
      </c>
      <c r="V290" s="77" t="inlineStr">
        <is>
          <t>Yes</t>
        </is>
      </c>
      <c r="W290" s="77" t="inlineStr">
        <is>
          <t>Creative problem brief; output is a report or advertising/marketing campaign [1].</t>
        </is>
      </c>
      <c r="X290" s="77" t="inlineStr">
        <is>
          <t>Yes</t>
        </is>
      </c>
      <c r="Y290" s="77" t="inlineStr">
        <is>
          <t>Teams of six [1].</t>
        </is>
      </c>
      <c r="Z290" s="77" t="inlineStr">
        <is>
          <t>Yes</t>
        </is>
      </c>
      <c r="AA290" s="77" t="inlineStr">
        <is>
          <t>Organisations provide the project brief (no charge) and teams liaise directly with their clients [1].</t>
        </is>
      </c>
      <c r="AB290" s="77" t="inlineStr">
        <is>
          <t>Unclear</t>
        </is>
      </c>
      <c r="AC290" s="77" t="inlineStr">
        <is>
          <t>Provides brief; receives report/campaign</t>
        </is>
      </c>
      <c r="AD290" s="77" t="inlineStr"/>
      <c r="AE290" s="77" t="inlineStr">
        <is>
          <t>Report or advertising/marketing campaign</t>
        </is>
      </c>
      <c r="AF290" s="77">
        <f>IF(OR(V290="No",X290="No",Z290="No"),"Outside strict definition",IF(AND(V290="Yes",X290="Yes",Z290="Yes"),"Meets all three","Potentially relevant; evidence incomplete"))</f>
        <v/>
      </c>
      <c r="AG290" s="77" t="inlineStr">
        <is>
          <t>Current status unclear</t>
        </is>
      </c>
      <c r="AH290" s="77" t="inlineStr">
        <is>
          <t>undated (search index metadata indicates page c. 6.5 years old)</t>
        </is>
      </c>
      <c r="AI290" s="77" t="inlineStr">
        <is>
          <t>Yes</t>
        </is>
      </c>
      <c r="AJ290" s="77">
        <f>IF(AND(AI290="Yes",AF290="Meets all three",AG290="Current delivery confirmed"),"Yes","No")</f>
        <v/>
      </c>
      <c r="AK290" s="77" t="inlineStr"/>
      <c r="AL290" s="77" t="inlineStr">
        <is>
          <t>RG17-S04-R1</t>
        </is>
      </c>
      <c r="AM290" s="77" t="inlineStr">
        <is>
          <t>Page appears old; not listed among current programmes in the extracts; likely historical. Eligibility not obtained.</t>
        </is>
      </c>
      <c r="AN290" s="77" t="inlineStr"/>
      <c r="AO290" s="77" t="inlineStr">
        <is>
          <t>UK</t>
        </is>
      </c>
      <c r="AP290" s="77" t="inlineStr">
        <is>
          <t>UK – Russell Group</t>
        </is>
      </c>
      <c r="AQ290" s="77" t="inlineStr">
        <is>
          <t>~1 term/semester</t>
        </is>
      </c>
      <c r="AR290" s="77" t="inlineStr">
        <is>
          <t>All/standard</t>
        </is>
      </c>
      <c r="AS290" s="77" t="inlineStr"/>
    </row>
    <row r="291">
      <c r="A291" s="77" t="inlineStr">
        <is>
          <t>RG17</t>
        </is>
      </c>
      <c r="B291" s="77" t="inlineStr">
        <is>
          <t>Oxford</t>
        </is>
      </c>
      <c r="C291" s="77" t="inlineStr">
        <is>
          <t>Programme/course</t>
        </is>
      </c>
      <c r="D291" s="77" t="inlineStr">
        <is>
          <t>RG17-S05</t>
        </is>
      </c>
      <c r="E291" s="77" t="inlineStr"/>
      <c r="F291" s="77" t="inlineStr">
        <is>
          <t>No</t>
        </is>
      </c>
      <c r="G291" s="79" t="inlineStr">
        <is>
          <t>Strategic Consulting Project (Oxford MBA)</t>
        </is>
      </c>
      <c r="H291" s="77" t="inlineStr">
        <is>
          <t>Strategic Consulting Project</t>
        </is>
      </c>
      <c r="I291" s="77" t="inlineStr"/>
      <c r="J291" s="77" t="inlineStr">
        <is>
          <t>Optional summer route for the final two elective credits of the full-time Oxford MBA: a student team acts as consultants for a sponsoring organisation (companies, charities, non-profits, start-ups, worldwide) for 6-7 weeks; the client provides an Executive Sponsor and Project Leader with regular senior-management interaction; at the end of August the team presents to a panel of its faculty Project Supervisor, other faculty and the client organisation.</t>
        </is>
      </c>
      <c r="K291" s="77" t="inlineStr">
        <is>
          <t>Saïd Business School</t>
        </is>
      </c>
      <c r="L291" s="77" t="inlineStr">
        <is>
          <t>Full-time Oxford MBA</t>
        </is>
      </c>
      <c r="M291" s="77" t="inlineStr">
        <is>
          <t>Business/management</t>
        </is>
      </c>
      <c r="N291" s="77" t="inlineStr">
        <is>
          <t>Postgraduate taught</t>
        </is>
      </c>
      <c r="O291" s="77" t="inlineStr">
        <is>
          <t>Summer term of one-year MBA</t>
        </is>
      </c>
      <c r="P291" s="77" t="inlineStr">
        <is>
          <t>MBA students; alternative to summer electives or internship for credit</t>
        </is>
      </c>
      <c r="Q291" s="77" t="inlineStr">
        <is>
          <t>Optional/elective</t>
        </is>
      </c>
      <c r="R291" s="77" t="inlineStr">
        <is>
          <t>Curricular</t>
        </is>
      </c>
      <c r="S291" s="77" t="inlineStr">
        <is>
          <t>Counts for final two elective credits; presentation to supervisor/faculty/client panel</t>
        </is>
      </c>
      <c r="T291" s="77" t="inlineStr">
        <is>
          <t>6-7 weeks (sources differ)</t>
        </is>
      </c>
      <c r="U291" s="77" t="inlineStr">
        <is>
          <t>On client site/worldwide; client bears travel costs</t>
        </is>
      </c>
      <c r="V291" s="77" t="inlineStr">
        <is>
          <t>Yes</t>
        </is>
      </c>
      <c r="W291" s="77" t="inlineStr">
        <is>
          <t>Consulting project for a corporate sponsor with final presentation [1][2][3].</t>
        </is>
      </c>
      <c r="X291" s="77" t="inlineStr">
        <is>
          <t>Yes</t>
        </is>
      </c>
      <c r="Y291" s="77" t="inlineStr">
        <is>
          <t>Teams of two to five (2025-26 entry spec) / two to four (curriculum page) / minimum four, max six (SCP FAQ) [1][2][3].</t>
        </is>
      </c>
      <c r="Z291" s="77" t="inlineStr">
        <is>
          <t>Yes</t>
        </is>
      </c>
      <c r="AA291" s="77" t="inlineStr">
        <is>
          <t>Client organisation sponsors the project, provides Executive Sponsor and Project Leader, bears direct costs, and sits on the final presentation panel [2][3].</t>
        </is>
      </c>
      <c r="AB291" s="77" t="inlineStr">
        <is>
          <t>Mixed</t>
        </is>
      </c>
      <c r="AC291" s="77" t="inlineStr">
        <is>
          <t>Commissioning client; supervision contacts; on assessment/presentation panel</t>
        </is>
      </c>
      <c r="AD291" s="77" t="inlineStr"/>
      <c r="AE291" s="77" t="inlineStr">
        <is>
          <t>Consulting project work presented to faculty/client panel</t>
        </is>
      </c>
      <c r="AF291" s="77">
        <f>IF(OR(V291="No",X291="No",Z291="No"),"Outside strict definition",IF(AND(V291="Yes",X291="Yes",Z291="Yes"),"Meets all three","Potentially relevant; evidence incomplete"))</f>
        <v/>
      </c>
      <c r="AG291" s="77" t="inlineStr">
        <is>
          <t>Current delivery confirmed</t>
        </is>
      </c>
      <c r="AH291" s="77" t="inlineStr">
        <is>
          <t>2025/26 (programme specification for 2025-26 entry)</t>
        </is>
      </c>
      <c r="AI291" s="77" t="inlineStr">
        <is>
          <t>Yes</t>
        </is>
      </c>
      <c r="AJ291" s="77">
        <f>IF(AND(AI291="Yes",AF291="Meets all three",AG291="Current delivery confirmed"),"Yes","No")</f>
        <v/>
      </c>
      <c r="AK291" s="77" t="inlineStr"/>
      <c r="AL291" s="77" t="inlineStr">
        <is>
          <t>RG17-S05-R1; RG17-S05-R2; RG17-S05-R3</t>
        </is>
      </c>
      <c r="AM291" s="77" t="inlineStr">
        <is>
          <t>Team size and duration inconsistent across pages; number of teams not published; 6-7 weeks banded as ~1 term (Oxford terms are 8 weeks).</t>
        </is>
      </c>
      <c r="AN291" s="77" t="inlineStr"/>
      <c r="AO291" s="77" t="inlineStr">
        <is>
          <t>UK</t>
        </is>
      </c>
      <c r="AP291" s="77" t="inlineStr">
        <is>
          <t>UK – Russell Group</t>
        </is>
      </c>
      <c r="AQ291" s="77" t="inlineStr">
        <is>
          <t>~1 term/semester</t>
        </is>
      </c>
      <c r="AR291" s="77" t="inlineStr">
        <is>
          <t>All/standard</t>
        </is>
      </c>
      <c r="AS291" s="77" t="inlineStr"/>
    </row>
    <row r="292">
      <c r="A292" s="77" t="inlineStr">
        <is>
          <t>RG17</t>
        </is>
      </c>
      <c r="B292" s="77" t="inlineStr">
        <is>
          <t>Oxford</t>
        </is>
      </c>
      <c r="C292" s="77" t="inlineStr">
        <is>
          <t>Programme/course</t>
        </is>
      </c>
      <c r="D292" s="77" t="inlineStr">
        <is>
          <t>RG17-S06</t>
        </is>
      </c>
      <c r="E292" s="77" t="inlineStr"/>
      <c r="F292" s="77" t="inlineStr">
        <is>
          <t>No</t>
        </is>
      </c>
      <c r="G292" s="79" t="inlineStr">
        <is>
          <t>Group Design Practical (Second Year Group Design Practicals)</t>
        </is>
      </c>
      <c r="H292" s="77" t="inlineStr">
        <is>
          <t>Group Design Practical</t>
        </is>
      </c>
      <c r="I292" s="77" t="inlineStr">
        <is>
          <t>GDP (Part A practical)</t>
        </is>
      </c>
      <c r="J292" s="77" t="inlineStr">
        <is>
          <t>Compulsory second-year (Part A) practical in which undergraduate teams of 5-6 choose from software projects that have an external industry supervisor and an internal academic supervisor, design and deliver a 'real-world' software solution for the sponsor over Hilary Term, and present at a May presentation day (with prizes).</t>
        </is>
      </c>
      <c r="K292" s="77" t="inlineStr">
        <is>
          <t>Department of Computer Science</t>
        </is>
      </c>
      <c r="L292" s="77" t="inlineStr">
        <is>
          <t>BA/MCompSci Computer Science; Computer Science and Philosophy; Mathematics and Computer Science (Part A)</t>
        </is>
      </c>
      <c r="M292" s="77" t="inlineStr">
        <is>
          <t>Engineering/computing</t>
        </is>
      </c>
      <c r="N292" s="77" t="inlineStr">
        <is>
          <t>Undergraduate</t>
        </is>
      </c>
      <c r="O292" s="77" t="inlineStr">
        <is>
          <t>Year 2 (Part A)</t>
        </is>
      </c>
      <c r="P292" s="77" t="inlineStr">
        <is>
          <t>All Part A students in the listed degrees</t>
        </is>
      </c>
      <c r="Q292" s="77" t="inlineStr">
        <is>
          <t>Compulsory within specified programmes</t>
        </is>
      </c>
      <c r="R292" s="77" t="inlineStr">
        <is>
          <t>Curricular</t>
        </is>
      </c>
      <c r="S292" s="77" t="inlineStr">
        <is>
          <t>Part A practical requirement (students need 40%+ overall in practicals); precise weighting not obtained</t>
        </is>
      </c>
      <c r="T292" s="77" t="inlineStr">
        <is>
          <t>Hilary Term (proposals Nov-Dec, allocation Feb, presentations May)</t>
        </is>
      </c>
      <c r="U292" s="77" t="inlineStr">
        <is>
          <t>In person; three mandatory sponsor meetings</t>
        </is>
      </c>
      <c r="V292" s="77" t="inlineStr">
        <is>
          <t>Yes</t>
        </is>
      </c>
      <c r="W292" s="77" t="inlineStr">
        <is>
          <t>Teams design and deliver a real-world software solution to a sponsor brief [1][2].</t>
        </is>
      </c>
      <c r="X292" s="77" t="inlineStr">
        <is>
          <t>Yes</t>
        </is>
      </c>
      <c r="Y292" s="77" t="inlineStr">
        <is>
          <t>Small groups of 4-6 (department page) / teams of 5 or 6 (sponsor guidance) [1][2].</t>
        </is>
      </c>
      <c r="Z292" s="77" t="inlineStr">
        <is>
          <t>Yes</t>
        </is>
      </c>
      <c r="AA292" s="77" t="inlineStr">
        <is>
          <t>Industrial sponsors propose projects, meet students to discuss the brief, act as co-supervisor (scoping, progress and delivery meetings) and provide data/resources; NDAs signed by the University [1][2].</t>
        </is>
      </c>
      <c r="AB292" s="77" t="inlineStr">
        <is>
          <t>Business/commercial</t>
        </is>
      </c>
      <c r="AC292" s="77" t="inlineStr">
        <is>
          <t>Proposes brief, co-supervises, receives delivered solution</t>
        </is>
      </c>
      <c r="AD292" s="77" t="inlineStr">
        <is>
          <t>G-Research, Winton Capital, Palantir, Metaswitch (described as recent sponsors, undated page); Oxford Asset Management, Bloomberg (2016 page)</t>
        </is>
      </c>
      <c r="AE292" s="77" t="inlineStr">
        <is>
          <t>Software solution/prototype and presentation</t>
        </is>
      </c>
      <c r="AF292" s="77">
        <f>IF(OR(V292="No",X292="No",Z292="No"),"Outside strict definition",IF(AND(V292="Yes",X292="Yes",Z292="Yes"),"Meets all three","Potentially relevant; evidence incomplete"))</f>
        <v/>
      </c>
      <c r="AG292" s="77" t="inlineStr">
        <is>
          <t>Current delivery confirmed</t>
        </is>
      </c>
      <c r="AH292" s="77" t="inlineStr">
        <is>
          <t>2025/26 (GDP listed in Hilary Term 2026; Hilary 2027 also listed)</t>
        </is>
      </c>
      <c r="AI292" s="77" t="inlineStr">
        <is>
          <t>Yes</t>
        </is>
      </c>
      <c r="AJ292" s="77">
        <f>IF(AND(AI292="Yes",AF292="Meets all three",AG292="Current delivery confirmed"),"Yes","No")</f>
        <v/>
      </c>
      <c r="AK292" s="77" t="inlineStr"/>
      <c r="AL292" s="77" t="inlineStr">
        <is>
          <t>RG17-S06-R1; RG17-S06-R2; RG17-S06-R3; RG17-S06-R4</t>
        </is>
      </c>
      <c r="AM292" s="77" t="inlineStr">
        <is>
          <t>2025/26 sponsor list not obtained; whether any GDP projects are academically proposed without an industry sponsor not confirmed (guidance describes projects with both external and internal supervisors).</t>
        </is>
      </c>
      <c r="AN292" s="77" t="inlineStr"/>
      <c r="AO292" s="77" t="inlineStr">
        <is>
          <t>UK</t>
        </is>
      </c>
      <c r="AP292" s="77" t="inlineStr">
        <is>
          <t>UK – Russell Group</t>
        </is>
      </c>
      <c r="AQ292" s="77" t="inlineStr">
        <is>
          <t>~1 term/semester</t>
        </is>
      </c>
      <c r="AR292" s="77" t="inlineStr">
        <is>
          <t>All/standard</t>
        </is>
      </c>
      <c r="AS292" s="77" t="inlineStr"/>
    </row>
    <row r="293">
      <c r="A293" s="77" t="inlineStr">
        <is>
          <t>RG17</t>
        </is>
      </c>
      <c r="B293" s="77" t="inlineStr">
        <is>
          <t>Oxford</t>
        </is>
      </c>
      <c r="C293" s="77" t="inlineStr">
        <is>
          <t>Programme/course</t>
        </is>
      </c>
      <c r="D293" s="77" t="inlineStr">
        <is>
          <t>RG17-S07</t>
        </is>
      </c>
      <c r="E293" s="77" t="inlineStr"/>
      <c r="F293" s="77" t="inlineStr">
        <is>
          <t>No</t>
        </is>
      </c>
      <c r="G293" s="79" t="inlineStr">
        <is>
          <t>Third Year Group Design Project (3YP), Engineering Science</t>
        </is>
      </c>
      <c r="H293" s="77" t="inlineStr">
        <is>
          <t>Third Year Group Design Project</t>
        </is>
      </c>
      <c r="I293" s="77" t="inlineStr">
        <is>
          <t>3YP</t>
        </is>
      </c>
      <c r="J293" s="77" t="inlineStr">
        <is>
          <t>Core third-year element of the Engineering Science MEng: teams of 4-5 students each spend about a day a week producing a detailed design proposal that could underpin a new product or engineering project (e.g. Formula Student car, marine renewable energy system, hospital service robot); assessed by a report on each student's personal contribution. External sponsorship is occasional (one college page cites a project sponsored by a Scottish company).</t>
        </is>
      </c>
      <c r="K293" s="77" t="inlineStr">
        <is>
          <t>Department of Engineering Science</t>
        </is>
      </c>
      <c r="L293" s="77" t="inlineStr">
        <is>
          <t>MEng Engineering Science</t>
        </is>
      </c>
      <c r="M293" s="77" t="inlineStr">
        <is>
          <t>Engineering/computing</t>
        </is>
      </c>
      <c r="N293" s="77" t="inlineStr">
        <is>
          <t>Undergraduate</t>
        </is>
      </c>
      <c r="O293" s="77" t="inlineStr">
        <is>
          <t>Year 3</t>
        </is>
      </c>
      <c r="P293" s="77" t="inlineStr"/>
      <c r="Q293" s="77" t="inlineStr">
        <is>
          <t>Compulsory within specified programmes</t>
        </is>
      </c>
      <c r="R293" s="77" t="inlineStr">
        <is>
          <t>Curricular</t>
        </is>
      </c>
      <c r="S293" s="77" t="inlineStr">
        <is>
          <t>Assessed by individual report on personal contribution to group design project</t>
        </is>
      </c>
      <c r="T293" s="77" t="inlineStr">
        <is>
          <t>About one day per week (term-length)</t>
        </is>
      </c>
      <c r="U293" s="77" t="inlineStr">
        <is>
          <t>In person</t>
        </is>
      </c>
      <c r="V293" s="77" t="inlineStr">
        <is>
          <t>Yes</t>
        </is>
      </c>
      <c r="W293" s="77" t="inlineStr">
        <is>
          <t>Detailed design proposal for a new product/engineering project [1][2].</t>
        </is>
      </c>
      <c r="X293" s="77" t="inlineStr">
        <is>
          <t>Yes</t>
        </is>
      </c>
      <c r="Y293" s="77" t="inlineStr">
        <is>
          <t>Teams of 4-5 students [1][2].</t>
        </is>
      </c>
      <c r="Z293" s="77" t="inlineStr">
        <is>
          <t>Unclear</t>
        </is>
      </c>
      <c r="AA293" s="77" t="inlineStr">
        <is>
          <t>Only one example of company sponsorship found (unnamed Scottish company, college page); no evidence that external organisations are a standard source of 3YP briefs [3].</t>
        </is>
      </c>
      <c r="AB293" s="77" t="inlineStr">
        <is>
          <t>Unclear</t>
        </is>
      </c>
      <c r="AC293" s="77" t="inlineStr">
        <is>
          <t>Occasional sponsor</t>
        </is>
      </c>
      <c r="AD293" s="77" t="inlineStr"/>
      <c r="AE293" s="77" t="inlineStr">
        <is>
          <t>Group design proposal; individual reports</t>
        </is>
      </c>
      <c r="AF293" s="77">
        <f>IF(OR(V293="No",X293="No",Z293="No"),"Outside strict definition",IF(AND(V293="Yes",X293="Yes",Z293="Yes"),"Meets all three","Potentially relevant; evidence incomplete"))</f>
        <v/>
      </c>
      <c r="AG293" s="77" t="inlineStr">
        <is>
          <t>Current status unclear</t>
        </is>
      </c>
      <c r="AH293" s="77" t="inlineStr">
        <is>
          <t>2024/25 (FHS handbook)</t>
        </is>
      </c>
      <c r="AI293" s="77" t="inlineStr">
        <is>
          <t>Yes</t>
        </is>
      </c>
      <c r="AJ293" s="77">
        <f>IF(AND(AI293="Yes",AF293="Meets all three",AG293="Current delivery confirmed"),"Yes","No")</f>
        <v/>
      </c>
      <c r="AK293" s="77" t="inlineStr"/>
      <c r="AL293" s="77" t="inlineStr">
        <is>
          <t>RG17-S07-R1; RG17-S07-R2; RG17-S07-R3</t>
        </is>
      </c>
      <c r="AM293" s="77" t="inlineStr">
        <is>
          <t>Share of industry-sponsored 3YPs and current-year (2025/26) handbook not obtained.</t>
        </is>
      </c>
      <c r="AN293" s="77" t="inlineStr"/>
      <c r="AO293" s="77" t="inlineStr">
        <is>
          <t>UK</t>
        </is>
      </c>
      <c r="AP293" s="77" t="inlineStr">
        <is>
          <t>UK – Russell Group</t>
        </is>
      </c>
      <c r="AQ293" s="77" t="inlineStr">
        <is>
          <t>~1 term/semester</t>
        </is>
      </c>
      <c r="AR293" s="77" t="inlineStr">
        <is>
          <t>Some projects</t>
        </is>
      </c>
      <c r="AS293" s="77" t="inlineStr"/>
    </row>
    <row r="294">
      <c r="A294" s="77" t="inlineStr">
        <is>
          <t>RG17</t>
        </is>
      </c>
      <c r="B294" s="77" t="inlineStr">
        <is>
          <t>Oxford</t>
        </is>
      </c>
      <c r="C294" s="77" t="inlineStr">
        <is>
          <t>Programme/course</t>
        </is>
      </c>
      <c r="D294" s="77" t="inlineStr">
        <is>
          <t>RG17-S08</t>
        </is>
      </c>
      <c r="E294" s="77" t="inlineStr"/>
      <c r="F294" s="77" t="inlineStr">
        <is>
          <t>No</t>
        </is>
      </c>
      <c r="G294" s="79" t="inlineStr">
        <is>
          <t>MSc in Energy Systems whole-cohort consultancy exercise</t>
        </is>
      </c>
      <c r="H294" s="77" t="inlineStr">
        <is>
          <t>MSc Energy Systems whole-cohort consultancy exercise</t>
        </is>
      </c>
      <c r="I294" s="77" t="inlineStr"/>
      <c r="J294" s="77" t="inlineStr">
        <is>
          <t>At the end of the taught elements, the whole MSc Energy Systems cohort (~30 students) works together as if a large consultancy on an energy-related problem agreed with an external stakeholder (planning begins in Hilary Term), organising itself to meet the target and presenting at the end to the stakeholders. Past examples: a sustainability-strategy toolkit for university colleges; review of the Begbroke Innovation District masterplan with an international external consultancy; during Covid the University sustainability strategy was used instead.</t>
        </is>
      </c>
      <c r="K294" s="77" t="inlineStr">
        <is>
          <t>Department of Engineering Science (MSc Energy Systems, interdepartmental)</t>
        </is>
      </c>
      <c r="L294" s="77" t="inlineStr">
        <is>
          <t>MSc Energy Systems</t>
        </is>
      </c>
      <c r="M294" s="77" t="inlineStr">
        <is>
          <t>Engineering/computing; Science</t>
        </is>
      </c>
      <c r="N294" s="77" t="inlineStr">
        <is>
          <t>Postgraduate taught</t>
        </is>
      </c>
      <c r="O294" s="77" t="inlineStr">
        <is>
          <t>MSc (Hilary-Trinity)</t>
        </is>
      </c>
      <c r="P294" s="77" t="inlineStr"/>
      <c r="Q294" s="77" t="inlineStr">
        <is>
          <t>Compulsory within specified programmes</t>
        </is>
      </c>
      <c r="R294" s="77" t="inlineStr">
        <is>
          <t>Curricular</t>
        </is>
      </c>
      <c r="S294" s="77" t="inlineStr">
        <is>
          <t>Course element (assessment weighting not obtained)</t>
        </is>
      </c>
      <c r="T294" s="77" t="inlineStr">
        <is>
          <t>Planning from Hilary Term; intensive exercise at end of taught course</t>
        </is>
      </c>
      <c r="U294" s="77" t="inlineStr">
        <is>
          <t>In person, whole cohort</t>
        </is>
      </c>
      <c r="V294" s="77" t="inlineStr">
        <is>
          <t>Yes</t>
        </is>
      </c>
      <c r="W294" s="77" t="inlineStr">
        <is>
          <t>Agreed energy-related problem with a defined target and final presentation [1][2].</t>
        </is>
      </c>
      <c r="X294" s="77" t="inlineStr">
        <is>
          <t>Yes</t>
        </is>
      </c>
      <c r="Y294" s="77" t="inlineStr">
        <is>
          <t>'All thirty students work together as if they are a large consultancy' [2].</t>
        </is>
      </c>
      <c r="Z294" s="77" t="inlineStr">
        <is>
          <t>Yes</t>
        </is>
      </c>
      <c r="AA294" s="77" t="inlineStr">
        <is>
          <t>2025/26 handbook: cohort partners with an external stakeholder to plan the agreed problem; stakeholders help set the problem and attend the final presentation [1][2].</t>
        </is>
      </c>
      <c r="AB294" s="77" t="inlineStr">
        <is>
          <t>Unclear</t>
        </is>
      </c>
      <c r="AC294" s="77" t="inlineStr">
        <is>
          <t>Sets/agrees problem; receives presentation. Some past 'stakeholders' were internal (university colleges; University sustainability strategy in Covid year).</t>
        </is>
      </c>
      <c r="AD294" s="77" t="inlineStr">
        <is>
          <t>Begbroke Innovation District masterplan review with an (unnamed) international consultancy (c. 2021 interview)</t>
        </is>
      </c>
      <c r="AE294" s="77" t="inlineStr">
        <is>
          <t>Consultancy output and presentation to stakeholder</t>
        </is>
      </c>
      <c r="AF294" s="77">
        <f>IF(OR(V294="No",X294="No",Z294="No"),"Outside strict definition",IF(AND(V294="Yes",X294="Yes",Z294="Yes"),"Meets all three","Potentially relevant; evidence incomplete"))</f>
        <v/>
      </c>
      <c r="AG294" s="77" t="inlineStr">
        <is>
          <t>Current delivery confirmed</t>
        </is>
      </c>
      <c r="AH294" s="77" t="inlineStr">
        <is>
          <t>2025/26 (course handbook)</t>
        </is>
      </c>
      <c r="AI294" s="77" t="inlineStr">
        <is>
          <t>Yes</t>
        </is>
      </c>
      <c r="AJ294" s="77">
        <f>IF(AND(AI294="Yes",AF294="Meets all three",AG294="Current delivery confirmed"),"Yes","No")</f>
        <v/>
      </c>
      <c r="AK294" s="77" t="inlineStr"/>
      <c r="AL294" s="77" t="inlineStr">
        <is>
          <t>RG17-S08-R1; RG17-S08-R2</t>
        </is>
      </c>
      <c r="AM294" s="77" t="inlineStr">
        <is>
          <t>Some historic stakeholders were University bodies (internal); 2025/26 stakeholder not named; duration of the exercise not stated.</t>
        </is>
      </c>
      <c r="AN294" s="77" t="inlineStr"/>
      <c r="AO294" s="77" t="inlineStr">
        <is>
          <t>UK</t>
        </is>
      </c>
      <c r="AP294" s="77" t="inlineStr">
        <is>
          <t>UK – Russell Group</t>
        </is>
      </c>
      <c r="AQ294" s="77" t="inlineStr">
        <is>
          <t>Unclear</t>
        </is>
      </c>
      <c r="AR294" s="77" t="inlineStr">
        <is>
          <t>All/standard</t>
        </is>
      </c>
      <c r="AS294" s="77" t="inlineStr"/>
    </row>
    <row r="295">
      <c r="A295" s="77" t="inlineStr">
        <is>
          <t>RG17</t>
        </is>
      </c>
      <c r="B295" s="77" t="inlineStr">
        <is>
          <t>Oxford</t>
        </is>
      </c>
      <c r="C295" s="77" t="inlineStr">
        <is>
          <t>Faculty/school</t>
        </is>
      </c>
      <c r="D295" s="77" t="inlineStr">
        <is>
          <t>RG17-S09</t>
        </is>
      </c>
      <c r="E295" s="77" t="inlineStr"/>
      <c r="F295" s="77" t="inlineStr">
        <is>
          <t>No</t>
        </is>
      </c>
      <c r="G295" s="79" t="inlineStr">
        <is>
          <t>Oxford Pro Bono Publico (OPBP) project work</t>
        </is>
      </c>
      <c r="H295" s="77" t="inlineStr">
        <is>
          <t>Oxford Pro Bono Publico research projects</t>
        </is>
      </c>
      <c r="I295" s="77" t="inlineStr"/>
      <c r="J295" s="77" t="inlineStr">
        <is>
          <t>Student coordinators recruit teams of graduate research volunteers to produce pro bono legal research for external clients (UN bodies, NGOs, lawyers, law firms), overseen by Law Faculty supervisors; typically 3-6 months.</t>
        </is>
      </c>
      <c r="K295" s="77" t="inlineStr">
        <is>
          <t>Faculty of Law (OPBP)</t>
        </is>
      </c>
      <c r="L295" s="77" t="inlineStr">
        <is>
          <t>Oxford graduate students (volunteers)</t>
        </is>
      </c>
      <c r="M295" s="77" t="inlineStr">
        <is>
          <t>Other (law, health, design, architecture…)</t>
        </is>
      </c>
      <c r="N295" s="77" t="inlineStr">
        <is>
          <t>Postgraduate taught</t>
        </is>
      </c>
      <c r="O295" s="77" t="inlineStr"/>
      <c r="P295" s="77" t="inlineStr">
        <is>
          <t>Graduate students</t>
        </is>
      </c>
      <c r="Q295" s="77" t="inlineStr">
        <is>
          <t>Selective/competitive</t>
        </is>
      </c>
      <c r="R295" s="77" t="inlineStr">
        <is>
          <t>Extracurricular</t>
        </is>
      </c>
      <c r="S295" s="77" t="inlineStr">
        <is>
          <t>None evidenced</t>
        </is>
      </c>
      <c r="T295" s="77" t="inlineStr">
        <is>
          <t>3-6 months</t>
        </is>
      </c>
      <c r="U295" s="77" t="inlineStr">
        <is>
          <t>Volunteer research teams</t>
        </is>
      </c>
      <c r="V295" s="77" t="inlineStr">
        <is>
          <t>Yes</t>
        </is>
      </c>
      <c r="W295" s="77" t="inlineStr">
        <is>
          <t>Defined legal research projects for clients [1].</t>
        </is>
      </c>
      <c r="X295" s="77" t="inlineStr">
        <is>
          <t>Yes</t>
        </is>
      </c>
      <c r="Y295" s="77" t="inlineStr">
        <is>
          <t>Coordinator recruits a team of research volunteers [1].</t>
        </is>
      </c>
      <c r="Z295" s="77" t="inlineStr">
        <is>
          <t>Yes</t>
        </is>
      </c>
      <c r="AA295" s="77" t="inlineStr">
        <is>
          <t>External organisations (UN bodies, NGOs, lawyers/firms) commission research [1].</t>
        </is>
      </c>
      <c r="AB295" s="77" t="inlineStr">
        <is>
          <t>Mixed</t>
        </is>
      </c>
      <c r="AC295" s="77" t="inlineStr">
        <is>
          <t>Client commissioning research</t>
        </is>
      </c>
      <c r="AD295" s="77" t="inlineStr"/>
      <c r="AE295" s="77" t="inlineStr">
        <is>
          <t>Legal research memo/report</t>
        </is>
      </c>
      <c r="AF295" s="77">
        <f>IF(OR(V295="No",X295="No",Z295="No"),"Outside strict definition",IF(AND(V295="Yes",X295="Yes",Z295="Yes"),"Meets all three","Potentially relevant; evidence incomplete"))</f>
        <v/>
      </c>
      <c r="AG295" s="77" t="inlineStr">
        <is>
          <t>Current status unclear</t>
        </is>
      </c>
      <c r="AH295" s="77" t="inlineStr">
        <is>
          <t>undated</t>
        </is>
      </c>
      <c r="AI295" s="77" t="inlineStr">
        <is>
          <t>Yes</t>
        </is>
      </c>
      <c r="AJ295" s="77">
        <f>IF(AND(AI295="Yes",AF295="Meets all three",AG295="Current delivery confirmed"),"Yes","No")</f>
        <v/>
      </c>
      <c r="AK295" s="77" t="inlineStr"/>
      <c r="AL295" s="77" t="inlineStr">
        <is>
          <t>RG17-S09-R1</t>
        </is>
      </c>
      <c r="AM295" s="77" t="inlineStr">
        <is>
          <t>No dated 2025/26 cohort evidence; search summary only, page not opened; legal research for pro bono clients may be borderline 'employer'.</t>
        </is>
      </c>
      <c r="AN295" s="77" t="inlineStr"/>
      <c r="AO295" s="77" t="inlineStr">
        <is>
          <t>UK</t>
        </is>
      </c>
      <c r="AP295" s="77" t="inlineStr">
        <is>
          <t>UK – Russell Group</t>
        </is>
      </c>
      <c r="AQ295" s="77" t="inlineStr">
        <is>
          <t>&gt;1 term</t>
        </is>
      </c>
      <c r="AR295" s="77" t="inlineStr">
        <is>
          <t>All/standard</t>
        </is>
      </c>
      <c r="AS295" s="77" t="inlineStr"/>
    </row>
    <row r="296">
      <c r="A296" s="77" t="inlineStr">
        <is>
          <t>RG18</t>
        </is>
      </c>
      <c r="B296" s="77" t="inlineStr">
        <is>
          <t>Queen Mary University of London</t>
        </is>
      </c>
      <c r="C296" s="77" t="inlineStr">
        <is>
          <t>University-wide</t>
        </is>
      </c>
      <c r="D296" s="77" t="inlineStr">
        <is>
          <t>RG18-S01</t>
        </is>
      </c>
      <c r="E296" s="77" t="inlineStr"/>
      <c r="F296" s="77" t="inlineStr">
        <is>
          <t>No</t>
        </is>
      </c>
      <c r="G296" s="79" t="inlineStr">
        <is>
          <t>The Student Consultancy Project (SCP)</t>
        </is>
      </c>
      <c r="H296" s="77" t="inlineStr">
        <is>
          <t>Student Consultancy Project</t>
        </is>
      </c>
      <c r="I296" s="77" t="inlineStr"/>
      <c r="J296" s="77" t="inlineStr">
        <is>
          <t>Multidisciplinary teams of Queen Mary undergraduates act as consultants on live problems set by external host organisations (businesses, charities, social enterprises, not-for-profits; UK and international). Project types include research and analysis, marketing, sustainability, business strategy and data/customer insight. Teams meet the host at set-up, mid-project and final stages, are supported by a Queen Mary supervisor, and present findings and recommendations to the client as a presentation and short written report. Formats: autumn programme (Oct-Nov, weekly training), one-day hackathons (Feb-May), two-week Summer Sprint (June).</t>
        </is>
      </c>
      <c r="K296" s="77" t="inlineStr">
        <is>
          <t>Careers and Enterprise (Student Consultancy Project team); part of the SKETCH knowledge-exchange programme</t>
        </is>
      </c>
      <c r="L296" s="77" t="inlineStr">
        <is>
          <t>Open to all Queen Mary undergraduates from any academic school, including medicine and dentistry; QMUL Bursary recipients prioritised.</t>
        </is>
      </c>
      <c r="M296" s="77" t="inlineStr">
        <is>
          <t>Central provision</t>
        </is>
      </c>
      <c r="N296" s="77" t="inlineStr">
        <is>
          <t>Undergraduate</t>
        </is>
      </c>
      <c r="O296" s="77" t="inlineStr">
        <is>
          <t>All year groups</t>
        </is>
      </c>
      <c r="P296" s="77" t="inlineStr">
        <is>
          <t>Undergraduates only; no prior consultancy experience needed; application and selection.</t>
        </is>
      </c>
      <c r="Q296" s="77" t="inlineStr">
        <is>
          <t>Selective/competitive</t>
        </is>
      </c>
      <c r="R296" s="77" t="inlineStr">
        <is>
          <t>Extracurricular</t>
        </is>
      </c>
      <c r="S296" s="77" t="inlineStr">
        <is>
          <t>Not stated as credit-bearing; no credit evidenced.</t>
        </is>
      </c>
      <c r="T296" s="77" t="inlineStr">
        <is>
          <t>Autumn programme Oct-Nov; hackathons one day; Summer Sprint two weeks</t>
        </is>
      </c>
      <c r="U296" s="77" t="inlineStr">
        <is>
          <t>Team consultancy projects with training sessions and supervisor support; some formats short (hackathon).</t>
        </is>
      </c>
      <c r="V296" s="77" t="inlineStr">
        <is>
          <t>Yes</t>
        </is>
      </c>
      <c r="W296" s="77" t="inlineStr">
        <is>
          <t>Live problems with defined outputs: presentation and short written report with recommendations to the host (sources 1, 2).</t>
        </is>
      </c>
      <c r="X296" s="77" t="inlineStr">
        <is>
          <t>Yes</t>
        </is>
      </c>
      <c r="Y296" s="77" t="inlineStr">
        <is>
          <t>Multidisciplinary student teams working together on one host project (sources 1, 2).</t>
        </is>
      </c>
      <c r="Z296" s="77" t="inlineStr">
        <is>
          <t>Yes</t>
        </is>
      </c>
      <c r="AA296" s="77" t="inlineStr">
        <is>
          <t>Host organisations (any UK/international business, charity, social enterprise or not-for-profit) supply the problem, meet teams at set-up, mid-project and final stages and receive the presentation/report (source 2). External hosts are the documented norm.</t>
        </is>
      </c>
      <c r="AB296" s="77" t="inlineStr">
        <is>
          <t>Mixed</t>
        </is>
      </c>
      <c r="AC296" s="77" t="inlineStr">
        <is>
          <t>Supplies live challenge, attends check-ins, receives final presentation and report. A minority of SBM-run SCP teams research university-internal questions (access and participation work, source 3), which are internal rather than external.</t>
        </is>
      </c>
      <c r="AD296" s="77" t="inlineStr">
        <is>
          <t>Past clients cited in SKETCH material include FDM, Catch22, Routledge Publishers and Donmar Warehouse (undated; source 4). No 2025/26 client list found.</t>
        </is>
      </c>
      <c r="AE296" s="77" t="inlineStr">
        <is>
          <t>Presentation and short written report with findings and recommendations to the client</t>
        </is>
      </c>
      <c r="AF296" s="77">
        <f>IF(OR(V296="No",X296="No",Z296="No"),"Outside strict definition",IF(AND(V296="Yes",X296="Yes",Z296="Yes"),"Meets all three","Potentially relevant; evidence incomplete"))</f>
        <v/>
      </c>
      <c r="AG296" s="77" t="inlineStr">
        <is>
          <t>Current delivery confirmed</t>
        </is>
      </c>
      <c r="AH296" s="77" t="inlineStr">
        <is>
          <t>2025/26</t>
        </is>
      </c>
      <c r="AI296" s="77" t="inlineStr">
        <is>
          <t>Yes</t>
        </is>
      </c>
      <c r="AJ296" s="77">
        <f>IF(AND(AI296="Yes",AF296="Meets all three",AG296="Current delivery confirmed"),"Yes","No")</f>
        <v/>
      </c>
      <c r="AK296" s="77" t="inlineStr"/>
      <c r="AL296" s="77" t="inlineStr">
        <is>
          <t>RG18-S01-R1; RG18-S01-R2; RG18-S01-R3; RG18-S01-R4</t>
        </is>
      </c>
      <c r="AM296" s="77" t="inlineStr">
        <is>
          <t>Careers pages are undated (an application deadline of 17 May appears with no year). Current delivery rests on the 2025-26 Access and Participation Plan stating SBM's SCP is running teams, which concerns internal research briefs; external 2025/26 hosts not named. Formats range from one day to ~2 months, so substantiveness varies by format.</t>
        </is>
      </c>
      <c r="AN296" s="77" t="inlineStr"/>
      <c r="AO296" s="77" t="inlineStr">
        <is>
          <t>UK</t>
        </is>
      </c>
      <c r="AP296" s="77" t="inlineStr">
        <is>
          <t>UK – Russell Group</t>
        </is>
      </c>
      <c r="AQ296" s="77" t="inlineStr">
        <is>
          <t>Unclear</t>
        </is>
      </c>
      <c r="AR296" s="77" t="inlineStr">
        <is>
          <t>All/standard</t>
        </is>
      </c>
      <c r="AS296" s="77" t="inlineStr"/>
    </row>
    <row r="297">
      <c r="A297" s="77" t="inlineStr">
        <is>
          <t>RG18</t>
        </is>
      </c>
      <c r="B297" s="77" t="inlineStr">
        <is>
          <t>Queen Mary University of London</t>
        </is>
      </c>
      <c r="C297" s="77" t="inlineStr">
        <is>
          <t>Faculty/school</t>
        </is>
      </c>
      <c r="D297" s="77" t="inlineStr">
        <is>
          <t>RG18-S02</t>
        </is>
      </c>
      <c r="E297" s="77" t="inlineStr"/>
      <c r="F297" s="77" t="inlineStr">
        <is>
          <t>No</t>
        </is>
      </c>
      <c r="G297" s="79" t="inlineStr">
        <is>
          <t>Social Impact Project</t>
        </is>
      </c>
      <c r="H297" s="77" t="inlineStr">
        <is>
          <t>Social Impact Project</t>
        </is>
      </c>
      <c r="I297" s="77" t="inlineStr">
        <is>
          <t>BUS380</t>
        </is>
      </c>
      <c r="J297" s="77" t="inlineStr">
        <is>
          <t>Level 6 Business and Management module in which student teams carry out a consultancy project for a charity or social enterprise (partners may be for-profit or non-profit) addressing a real need, with training and industry mentors. Taught via weekly two-hour workshops. A Queen Mary Academy case study describes a Tower Hamlets Council brief on improving recycling behaviour, presented by council representatives at the start; teams developed proposals and presented at Tower Hamlets Town Hall, followed by a roundtable with council staff.</t>
        </is>
      </c>
      <c r="K297" s="77" t="inlineStr">
        <is>
          <t>School of Business and Management (module lead Lisa Morrison)</t>
        </is>
      </c>
      <c r="L297" s="77" t="inlineStr">
        <is>
          <t>Undergraduate students studying Business and Management (Level 6).</t>
        </is>
      </c>
      <c r="M297" s="77" t="inlineStr">
        <is>
          <t>Business/management</t>
        </is>
      </c>
      <c r="N297" s="77" t="inlineStr">
        <is>
          <t>Undergraduate</t>
        </is>
      </c>
      <c r="O297" s="77" t="inlineStr">
        <is>
          <t>Level 6 (final year)</t>
        </is>
      </c>
      <c r="P297" s="77" t="inlineStr">
        <is>
          <t>Business and Management undergraduates; module registration rules apply.</t>
        </is>
      </c>
      <c r="Q297" s="77" t="inlineStr">
        <is>
          <t>Optional/elective</t>
        </is>
      </c>
      <c r="R297" s="77" t="inlineStr">
        <is>
          <t>Curricular</t>
        </is>
      </c>
      <c r="S297" s="77" t="inlineStr">
        <is>
          <t>15 credits; 80% coursework (work-based report) and 20% practical (project presentation)</t>
        </is>
      </c>
      <c r="T297" s="77" t="inlineStr">
        <is>
          <t>Semester 2</t>
        </is>
      </c>
      <c r="U297" s="77" t="inlineStr">
        <is>
          <t>Weekly two-hour workshops plus team project work with external partner</t>
        </is>
      </c>
      <c r="V297" s="77" t="inlineStr">
        <is>
          <t>Yes</t>
        </is>
      </c>
      <c r="W297" s="77" t="inlineStr">
        <is>
          <t>Consultancy project for a charity/social enterprise producing a work-based report and project presentation (sources 1, 2).</t>
        </is>
      </c>
      <c r="X297" s="77" t="inlineStr">
        <is>
          <t>Yes</t>
        </is>
      </c>
      <c r="Y297" s="77" t="inlineStr">
        <is>
          <t>Module description: students work in teams with external organisations (source 1); case study describes teams developing proposals (source 2).</t>
        </is>
      </c>
      <c r="Z297" s="77" t="inlineStr">
        <is>
          <t>Yes</t>
        </is>
      </c>
      <c r="AA297" s="77" t="inlineStr">
        <is>
          <t>External partners set the real-life brief; in the Tower Hamlets example council representatives presented the brief, received final proposals at Town Hall and gave feedback in a roundtable (source 2). Module page says teams work on a consultancy project for a charity or social enterprise.</t>
        </is>
      </c>
      <c r="AB297" s="77" t="inlineStr">
        <is>
          <t>Mixed</t>
        </is>
      </c>
      <c r="AC297" s="77" t="inlineStr">
        <is>
          <t>Brief-setting, mentoring/feedback, receipt of proposals. Module page says partners can be for-profit and non-profit; case study example is a public-sector body.</t>
        </is>
      </c>
      <c r="AD297" s="77" t="inlineStr">
        <is>
          <t>Tower Hamlets Council (undated case study)</t>
        </is>
      </c>
      <c r="AE297" s="77" t="inlineStr">
        <is>
          <t>Work-based report and team presentation to partner</t>
        </is>
      </c>
      <c r="AF297" s="77">
        <f>IF(OR(V297="No",X297="No",Z297="No"),"Outside strict definition",IF(AND(V297="Yes",X297="Yes",Z297="Yes"),"Meets all three","Potentially relevant; evidence incomplete"))</f>
        <v/>
      </c>
      <c r="AG297" s="77" t="inlineStr">
        <is>
          <t>Current status unclear</t>
        </is>
      </c>
      <c r="AH297" s="77" t="inlineStr">
        <is>
          <t>Undated</t>
        </is>
      </c>
      <c r="AI297" s="77" t="inlineStr">
        <is>
          <t>Yes</t>
        </is>
      </c>
      <c r="AJ297" s="77">
        <f>IF(AND(AI297="Yes",AF297="Meets all three",AG297="Current delivery confirmed"),"Yes","No")</f>
        <v/>
      </c>
      <c r="AK297" s="77" t="inlineStr"/>
      <c r="AL297" s="77" t="inlineStr">
        <is>
          <t>RG18-S02-R1; RG18-S02-R2</t>
        </is>
      </c>
      <c r="AM297" s="77" t="inlineStr">
        <is>
          <t>Module page is not year-stamped; a module directory 2025-26 listing was returned but the BUS380 entry year could not be verified; no 2025/26 partner list or enrolment found. Case study undated.</t>
        </is>
      </c>
      <c r="AN297" s="77" t="inlineStr"/>
      <c r="AO297" s="77" t="inlineStr">
        <is>
          <t>UK</t>
        </is>
      </c>
      <c r="AP297" s="77" t="inlineStr">
        <is>
          <t>UK – Russell Group</t>
        </is>
      </c>
      <c r="AQ297" s="77" t="inlineStr">
        <is>
          <t>~1 term/semester</t>
        </is>
      </c>
      <c r="AR297" s="77" t="inlineStr">
        <is>
          <t>All/standard</t>
        </is>
      </c>
      <c r="AS297" s="77" t="inlineStr"/>
    </row>
    <row r="298">
      <c r="A298" s="77" t="inlineStr">
        <is>
          <t>RG18</t>
        </is>
      </c>
      <c r="B298" s="77" t="inlineStr">
        <is>
          <t>Queen Mary University of London</t>
        </is>
      </c>
      <c r="C298" s="77" t="inlineStr">
        <is>
          <t>Programme/course</t>
        </is>
      </c>
      <c r="D298" s="77" t="inlineStr">
        <is>
          <t>RG18-S03</t>
        </is>
      </c>
      <c r="E298" s="77" t="inlineStr"/>
      <c r="F298" s="77" t="inlineStr">
        <is>
          <t>Yes</t>
        </is>
      </c>
      <c r="G298" s="79" t="inlineStr">
        <is>
          <t>The Capstone Project (Queen Mary Business School live client capstones)</t>
        </is>
      </c>
      <c r="H298" s="77" t="inlineStr">
        <is>
          <t>SBM Capstone Project umbrella</t>
        </is>
      </c>
      <c r="I298" s="77" t="inlineStr"/>
      <c r="J298" s="77" t="inlineStr">
        <is>
          <t>Umbrella for the School of Business and Management's postgraduate live-client capstone options (BUSM250 Contemporary Live Management Project for MSc Management; the Entrepreneurship and Innovation live consultancy capstone for the MSc Entrepreneurship and Innovation).</t>
        </is>
      </c>
      <c r="K298" s="77" t="inlineStr">
        <is>
          <t>School of Business and Management</t>
        </is>
      </c>
      <c r="L298" s="77" t="inlineStr">
        <is>
          <t>MSc Management; MSc Entrepreneurship and Innovation</t>
        </is>
      </c>
      <c r="M298" s="77" t="inlineStr">
        <is>
          <t>Business/management</t>
        </is>
      </c>
      <c r="N298" s="77" t="inlineStr">
        <is>
          <t>Postgraduate taught</t>
        </is>
      </c>
      <c r="O298" s="77" t="inlineStr"/>
      <c r="P298" s="77" t="inlineStr"/>
      <c r="Q298" s="77" t="inlineStr">
        <is>
          <t>Unclear</t>
        </is>
      </c>
      <c r="R298" s="77" t="inlineStr">
        <is>
          <t>Curricular</t>
        </is>
      </c>
      <c r="S298" s="77" t="inlineStr"/>
      <c r="T298" s="77" t="inlineStr"/>
      <c r="U298" s="77" t="inlineStr"/>
      <c r="V298" s="77" t="inlineStr">
        <is>
          <t>Yes</t>
        </is>
      </c>
      <c r="W298" s="77" t="inlineStr">
        <is>
          <t>See children S4, S5.</t>
        </is>
      </c>
      <c r="X298" s="77" t="inlineStr">
        <is>
          <t>Unclear</t>
        </is>
      </c>
      <c r="Y298" s="77" t="inlineStr">
        <is>
          <t>See children.</t>
        </is>
      </c>
      <c r="Z298" s="77" t="inlineStr">
        <is>
          <t>Yes</t>
        </is>
      </c>
      <c r="AA298" s="77" t="inlineStr">
        <is>
          <t>See children.</t>
        </is>
      </c>
      <c r="AB298" s="77" t="inlineStr">
        <is>
          <t>Mixed</t>
        </is>
      </c>
      <c r="AC298" s="77" t="inlineStr">
        <is>
          <t>See children.</t>
        </is>
      </c>
      <c r="AD298" s="77" t="inlineStr"/>
      <c r="AE298" s="77" t="inlineStr"/>
      <c r="AF298" s="77">
        <f>IF(OR(V298="No",X298="No",Z298="No"),"Outside strict definition",IF(AND(V298="Yes",X298="Yes",Z298="Yes"),"Meets all three","Potentially relevant; evidence incomplete"))</f>
        <v/>
      </c>
      <c r="AG298" s="77" t="inlineStr">
        <is>
          <t>Current delivery confirmed</t>
        </is>
      </c>
      <c r="AH298" s="77" t="inlineStr">
        <is>
          <t>2025/26</t>
        </is>
      </c>
      <c r="AI298" s="77" t="inlineStr">
        <is>
          <t>No</t>
        </is>
      </c>
      <c r="AJ298" s="77">
        <f>IF(AND(AI298="Yes",AF298="Meets all three",AG298="Current delivery confirmed"),"Yes","No")</f>
        <v/>
      </c>
      <c r="AK298" s="77" t="inlineStr"/>
      <c r="AL298" s="77" t="inlineStr">
        <is>
          <t>RG18-S03-R1</t>
        </is>
      </c>
      <c r="AM298" s="77" t="inlineStr">
        <is>
          <t>Umbrella only; not counted separately.</t>
        </is>
      </c>
      <c r="AN298" s="77" t="inlineStr"/>
      <c r="AO298" s="77" t="inlineStr">
        <is>
          <t>UK</t>
        </is>
      </c>
      <c r="AP298" s="77" t="inlineStr">
        <is>
          <t>UK – Russell Group</t>
        </is>
      </c>
      <c r="AQ298" s="77" t="inlineStr">
        <is>
          <t>Unclear</t>
        </is>
      </c>
      <c r="AR298" s="77" t="inlineStr">
        <is>
          <t>Unclear</t>
        </is>
      </c>
      <c r="AS298" s="77" t="inlineStr">
        <is>
          <t>No (umbrella; children counted)</t>
        </is>
      </c>
    </row>
    <row r="299">
      <c r="A299" s="77" t="inlineStr">
        <is>
          <t>RG18</t>
        </is>
      </c>
      <c r="B299" s="77" t="inlineStr">
        <is>
          <t>Queen Mary University of London</t>
        </is>
      </c>
      <c r="C299" s="77" t="inlineStr">
        <is>
          <t>Programme/course</t>
        </is>
      </c>
      <c r="D299" s="77" t="inlineStr">
        <is>
          <t>RG18-S04</t>
        </is>
      </c>
      <c r="E299" s="77" t="inlineStr">
        <is>
          <t>RG18-S03</t>
        </is>
      </c>
      <c r="F299" s="77" t="inlineStr">
        <is>
          <t>No</t>
        </is>
      </c>
      <c r="G299" s="79" t="inlineStr">
        <is>
          <t>Contemporary Live Management Project (Capstone)</t>
        </is>
      </c>
      <c r="H299" s="77" t="inlineStr">
        <is>
          <t>Contemporary Live Management Project</t>
        </is>
      </c>
      <c r="I299" s="77" t="inlineStr">
        <is>
          <t>BUSM250</t>
        </is>
      </c>
      <c r="J299" s="77" t="inlineStr">
        <is>
          <t>60-credit year-long capstone on the MSc Management, offered as an alternative to the dissertation, in which students undertake a live project for a real client organisation with a sustainability and employability focus, supported by companion module BUSM249 (Skills and Methods for Sustainable Management) covering client communication and teamwork. Student accounts describe teams working on interrelated problem statements for one client, with final presentations to the client.</t>
        </is>
      </c>
      <c r="K299" s="77" t="inlineStr">
        <is>
          <t>School of Business and Management (contact Dr Eranjan Padumadasa)</t>
        </is>
      </c>
      <c r="L299" s="77" t="inlineStr">
        <is>
          <t>MSc Management (and possibly related SBM MSc programmes)</t>
        </is>
      </c>
      <c r="M299" s="77" t="inlineStr">
        <is>
          <t>Business/management</t>
        </is>
      </c>
      <c r="N299" s="77" t="inlineStr">
        <is>
          <t>Postgraduate taught</t>
        </is>
      </c>
      <c r="O299" s="77" t="inlineStr">
        <is>
          <t>MSc final stage</t>
        </is>
      </c>
      <c r="P299" s="77" t="inlineStr">
        <is>
          <t>Chosen instead of the dissertation</t>
        </is>
      </c>
      <c r="Q299" s="77" t="inlineStr">
        <is>
          <t>Optional/elective</t>
        </is>
      </c>
      <c r="R299" s="77" t="inlineStr">
        <is>
          <t>Curricular</t>
        </is>
      </c>
      <c r="S299" s="77" t="inlineStr">
        <is>
          <t>60 credits; 100% coursework</t>
        </is>
      </c>
      <c r="T299" s="77" t="inlineStr">
        <is>
          <t>Year-long / final stage of MSc</t>
        </is>
      </c>
      <c r="U299" s="77" t="inlineStr">
        <is>
          <t>Team live-client project with preparatory skills module</t>
        </is>
      </c>
      <c r="V299" s="77" t="inlineStr">
        <is>
          <t>Yes</t>
        </is>
      </c>
      <c r="W299" s="77" t="inlineStr">
        <is>
          <t>Live project for a real company with client engagement and final presentation (sources 1, 2).</t>
        </is>
      </c>
      <c r="X299" s="77" t="inlineStr">
        <is>
          <t>Yes</t>
        </is>
      </c>
      <c r="Y299" s="77" t="inlineStr">
        <is>
          <t>Student account on the Capstone teamwork page: team members assigned different but interrelated problem statements for one client (source 2). Relies on student testimonial from the same capstone site, not the module specification.</t>
        </is>
      </c>
      <c r="Z299" s="77" t="inlineStr">
        <is>
          <t>Yes</t>
        </is>
      </c>
      <c r="AA299" s="77" t="inlineStr">
        <is>
          <t>Real client organisations (e.g. Farrell Associates recruitment firm, Carbon Cell, One World Together per student accounts) set the problem; clients give feedback after final presentation (sources 1, 2).</t>
        </is>
      </c>
      <c r="AB299" s="77" t="inlineStr">
        <is>
          <t>Mixed</t>
        </is>
      </c>
      <c r="AC299" s="77" t="inlineStr">
        <is>
          <t>Live brief and receipt of presentation; accounts name both commercial and non-profit clients.</t>
        </is>
      </c>
      <c r="AD299" s="77" t="inlineStr">
        <is>
          <t>Farrell Associates; Carbon Cell; One World Together (undated student accounts)</t>
        </is>
      </c>
      <c r="AE299" s="77" t="inlineStr">
        <is>
          <t>Client project report and presentation</t>
        </is>
      </c>
      <c r="AF299" s="77">
        <f>IF(OR(V299="No",X299="No",Z299="No"),"Outside strict definition",IF(AND(V299="Yes",X299="Yes",Z299="Yes"),"Meets all three","Potentially relevant; evidence incomplete"))</f>
        <v/>
      </c>
      <c r="AG299" s="77" t="inlineStr">
        <is>
          <t>Current status unclear</t>
        </is>
      </c>
      <c r="AH299" s="77" t="inlineStr">
        <is>
          <t>Undated</t>
        </is>
      </c>
      <c r="AI299" s="77" t="inlineStr">
        <is>
          <t>Yes</t>
        </is>
      </c>
      <c r="AJ299" s="77">
        <f>IF(AND(AI299="Yes",AF299="Meets all three",AG299="Current delivery confirmed"),"Yes","No")</f>
        <v/>
      </c>
      <c r="AK299" s="77" t="inlineStr"/>
      <c r="AL299" s="77" t="inlineStr">
        <is>
          <t>RG18-S04-R1; RG18-S04-R2; RG18-S04-R3</t>
        </is>
      </c>
      <c r="AM299" s="77" t="inlineStr">
        <is>
          <t>Module page and student accounts undated; no 2025/26 enrolment or client list. Group working rests on testimonial wording.</t>
        </is>
      </c>
      <c r="AN299" s="77" t="inlineStr"/>
      <c r="AO299" s="77" t="inlineStr">
        <is>
          <t>UK</t>
        </is>
      </c>
      <c r="AP299" s="77" t="inlineStr">
        <is>
          <t>UK – Russell Group</t>
        </is>
      </c>
      <c r="AQ299" s="77" t="inlineStr">
        <is>
          <t>&gt;1 term</t>
        </is>
      </c>
      <c r="AR299" s="77" t="inlineStr">
        <is>
          <t>All/standard</t>
        </is>
      </c>
      <c r="AS299" s="77" t="inlineStr"/>
    </row>
    <row r="300">
      <c r="A300" s="77" t="inlineStr">
        <is>
          <t>RG18</t>
        </is>
      </c>
      <c r="B300" s="77" t="inlineStr">
        <is>
          <t>Queen Mary University of London</t>
        </is>
      </c>
      <c r="C300" s="77" t="inlineStr">
        <is>
          <t>Programme/course</t>
        </is>
      </c>
      <c r="D300" s="77" t="inlineStr">
        <is>
          <t>RG18-S05</t>
        </is>
      </c>
      <c r="E300" s="77" t="inlineStr">
        <is>
          <t>RG18-S03</t>
        </is>
      </c>
      <c r="F300" s="77" t="inlineStr">
        <is>
          <t>No</t>
        </is>
      </c>
      <c r="G300" s="79" t="inlineStr">
        <is>
          <t>Entrepreneurship and Innovation Project (live consultancy Capstone)</t>
        </is>
      </c>
      <c r="H300" s="77" t="inlineStr">
        <is>
          <t>MSc Entrepreneurship and Innovation live consultancy capstone</t>
        </is>
      </c>
      <c r="I300" s="77" t="inlineStr"/>
      <c r="J300" s="77" t="inlineStr">
        <is>
          <t>Consulting engagement with an entrepreneurial organisation: from February 2026 MSc Entrepreneurship and Innovation students worked on client briefs from ViWipe and FlowSense (Social Venture Fund start-up finalists), Decentials (start-up founded by a prison-leaver from QMUL-ReMAKE) and Clean Break (charitable theatre company), guided by academics with Entrepreneurship Hub support. Completed June 2026; reported as the first live consultancy capstones.</t>
        </is>
      </c>
      <c r="K300" s="77" t="inlineStr">
        <is>
          <t>School of Business and Management / Entrepreneurship Hub</t>
        </is>
      </c>
      <c r="L300" s="77" t="inlineStr">
        <is>
          <t>MSc Entrepreneurship and Innovation</t>
        </is>
      </c>
      <c r="M300" s="77" t="inlineStr">
        <is>
          <t>Business/management</t>
        </is>
      </c>
      <c r="N300" s="77" t="inlineStr">
        <is>
          <t>Postgraduate taught</t>
        </is>
      </c>
      <c r="O300" s="77" t="inlineStr">
        <is>
          <t>MSc final stage</t>
        </is>
      </c>
      <c r="P300" s="77" t="inlineStr"/>
      <c r="Q300" s="77" t="inlineStr">
        <is>
          <t>Unclear</t>
        </is>
      </c>
      <c r="R300" s="77" t="inlineStr">
        <is>
          <t>Curricular</t>
        </is>
      </c>
      <c r="S300" s="77" t="inlineStr">
        <is>
          <t>Not stated</t>
        </is>
      </c>
      <c r="T300" s="77" t="inlineStr">
        <is>
          <t>February-June 2026</t>
        </is>
      </c>
      <c r="U300" s="77" t="inlineStr">
        <is>
          <t>Client consulting engagement</t>
        </is>
      </c>
      <c r="V300" s="77" t="inlineStr">
        <is>
          <t>Yes</t>
        </is>
      </c>
      <c r="W300" s="77" t="inlineStr">
        <is>
          <t>Students worked on client briefs delivering actionable solutions to real business challenges (sources 1, 2).</t>
        </is>
      </c>
      <c r="X300" s="77" t="inlineStr">
        <is>
          <t>Unclear</t>
        </is>
      </c>
      <c r="Y300" s="77" t="inlineStr">
        <is>
          <t>News item does not say whether students worked in teams or individually; sibling capstone pages suggest teamwork but this is not evidenced for this route.</t>
        </is>
      </c>
      <c r="Z300" s="77" t="inlineStr">
        <is>
          <t>Yes</t>
        </is>
      </c>
      <c r="AA300" s="77" t="inlineStr">
        <is>
          <t>Named start-ups and a charity set the briefs; feedback from clients reported as overwhelmingly positive (source 1). Note ViWipe/FlowSense are Social Venture Fund finalists (university-linked fund) but are external companies.</t>
        </is>
      </c>
      <c r="AB300" s="77" t="inlineStr">
        <is>
          <t>Mixed</t>
        </is>
      </c>
      <c r="AC300" s="77" t="inlineStr">
        <is>
          <t>Client briefs and feedback</t>
        </is>
      </c>
      <c r="AD300" s="77" t="inlineStr">
        <is>
          <t>ViWipe, FlowSense, Decentials, Clean Break (2026)</t>
        </is>
      </c>
      <c r="AE300" s="77" t="inlineStr">
        <is>
          <t>Consultancy solutions for clients</t>
        </is>
      </c>
      <c r="AF300" s="77">
        <f>IF(OR(V300="No",X300="No",Z300="No"),"Outside strict definition",IF(AND(V300="Yes",X300="Yes",Z300="Yes"),"Meets all three","Potentially relevant; evidence incomplete"))</f>
        <v/>
      </c>
      <c r="AG300" s="77" t="inlineStr">
        <is>
          <t>Current delivery confirmed</t>
        </is>
      </c>
      <c r="AH300" s="77" t="inlineStr">
        <is>
          <t>2025/26</t>
        </is>
      </c>
      <c r="AI300" s="77" t="inlineStr">
        <is>
          <t>Yes</t>
        </is>
      </c>
      <c r="AJ300" s="77">
        <f>IF(AND(AI300="Yes",AF300="Meets all three",AG300="Current delivery confirmed"),"Yes","No")</f>
        <v/>
      </c>
      <c r="AK300" s="77" t="inlineStr"/>
      <c r="AL300" s="77" t="inlineStr">
        <is>
          <t>RG18-S05-R1; RG18-S05-R2</t>
        </is>
      </c>
      <c r="AM300" s="77" t="inlineStr">
        <is>
          <t>Group working not established; credit weighting and whether compulsory not stated; delivery in 2026/27 not evidenced.</t>
        </is>
      </c>
      <c r="AN300" s="77" t="inlineStr"/>
      <c r="AO300" s="77" t="inlineStr">
        <is>
          <t>UK</t>
        </is>
      </c>
      <c r="AP300" s="77" t="inlineStr">
        <is>
          <t>UK – Russell Group</t>
        </is>
      </c>
      <c r="AQ300" s="77" t="inlineStr">
        <is>
          <t>&gt;1 term</t>
        </is>
      </c>
      <c r="AR300" s="77" t="inlineStr">
        <is>
          <t>All/standard</t>
        </is>
      </c>
      <c r="AS300" s="77" t="inlineStr"/>
    </row>
    <row r="301">
      <c r="A301" s="77" t="inlineStr">
        <is>
          <t>RG18</t>
        </is>
      </c>
      <c r="B301" s="77" t="inlineStr">
        <is>
          <t>Queen Mary University of London</t>
        </is>
      </c>
      <c r="C301" s="77" t="inlineStr">
        <is>
          <t>Faculty/school</t>
        </is>
      </c>
      <c r="D301" s="77" t="inlineStr">
        <is>
          <t>RG18-S06</t>
        </is>
      </c>
      <c r="E301" s="77" t="inlineStr"/>
      <c r="F301" s="77" t="inlineStr">
        <is>
          <t>No</t>
        </is>
      </c>
      <c r="G301" s="79" t="inlineStr">
        <is>
          <t>Real World Impact Projects</t>
        </is>
      </c>
      <c r="H301" s="77" t="inlineStr">
        <is>
          <t>Real World Impact Projects (SKETCH)</t>
        </is>
      </c>
      <c r="I301" s="77" t="inlineStr"/>
      <c r="J301" s="77" t="inlineStr">
        <is>
          <t>Interdisciplinary student teams work directly with charities, social enterprises, SMEs, start-ups and cultural organisations on real projects; around 15-20 hours over an 8-week period; places limited with application.</t>
        </is>
      </c>
      <c r="K301" s="77" t="inlineStr">
        <is>
          <t>School of Business and Management Entrepreneurship Hub, within SKETCH</t>
        </is>
      </c>
      <c r="L301" s="77" t="inlineStr">
        <is>
          <t>Students of the School of Business and Management and the School of Society and Environment (both within the Faculty of Humanities and Social Sciences)</t>
        </is>
      </c>
      <c r="M301" s="77" t="inlineStr">
        <is>
          <t>Business/management; Arts/humanities/social sciences</t>
        </is>
      </c>
      <c r="N301" s="77" t="inlineStr">
        <is>
          <t>Mixed</t>
        </is>
      </c>
      <c r="O301" s="77" t="inlineStr"/>
      <c r="P301" s="77" t="inlineStr">
        <is>
          <t>SBM and School of Society &amp; Environment students; application, limited places</t>
        </is>
      </c>
      <c r="Q301" s="77" t="inlineStr">
        <is>
          <t>Selective/competitive</t>
        </is>
      </c>
      <c r="R301" s="77" t="inlineStr">
        <is>
          <t>Extracurricular</t>
        </is>
      </c>
      <c r="S301" s="77" t="inlineStr">
        <is>
          <t>Not stated</t>
        </is>
      </c>
      <c r="T301" s="77" t="inlineStr">
        <is>
          <t>8 weeks, ~15-20 hours</t>
        </is>
      </c>
      <c r="U301" s="77" t="inlineStr">
        <is>
          <t>Team projects with external organisations</t>
        </is>
      </c>
      <c r="V301" s="77" t="inlineStr">
        <is>
          <t>Yes</t>
        </is>
      </c>
      <c r="W301" s="77" t="inlineStr">
        <is>
          <t>Projects with defined partner challenges (source 1). Individual project outputs not detailed in the extract.</t>
        </is>
      </c>
      <c r="X301" s="77" t="inlineStr">
        <is>
          <t>Yes</t>
        </is>
      </c>
      <c r="Y301" s="77" t="inlineStr">
        <is>
          <t>Teams formed to include a mix of disciplines and skills (source 1).</t>
        </is>
      </c>
      <c r="Z301" s="77" t="inlineStr">
        <is>
          <t>Yes</t>
        </is>
      </c>
      <c r="AA301" s="77" t="inlineStr">
        <is>
          <t>Students work directly with charities, social enterprises, SMEs, start-ups and cultural organisations (source 1).</t>
        </is>
      </c>
      <c r="AB301" s="77" t="inlineStr">
        <is>
          <t>Mixed</t>
        </is>
      </c>
      <c r="AC301" s="77" t="inlineStr">
        <is>
          <t>Project partners supplying challenges</t>
        </is>
      </c>
      <c r="AD301" s="77" t="inlineStr"/>
      <c r="AE301" s="77" t="inlineStr">
        <is>
          <t>Not specified in extract</t>
        </is>
      </c>
      <c r="AF301" s="77">
        <f>IF(OR(V301="No",X301="No",Z301="No"),"Outside strict definition",IF(AND(V301="Yes",X301="Yes",Z301="Yes"),"Meets all three","Potentially relevant; evidence incomplete"))</f>
        <v/>
      </c>
      <c r="AG301" s="77" t="inlineStr">
        <is>
          <t>Current status unclear</t>
        </is>
      </c>
      <c r="AH301" s="77" t="inlineStr">
        <is>
          <t>Undated</t>
        </is>
      </c>
      <c r="AI301" s="77" t="inlineStr">
        <is>
          <t>Yes</t>
        </is>
      </c>
      <c r="AJ301" s="77">
        <f>IF(AND(AI301="Yes",AF301="Meets all three",AG301="Current delivery confirmed"),"Yes","No")</f>
        <v/>
      </c>
      <c r="AK301" s="77" t="inlineStr"/>
      <c r="AL301" s="77" t="inlineStr">
        <is>
          <t>RG18-S06-R1; RG18-S06-R2</t>
        </is>
      </c>
      <c r="AM301" s="77" t="inlineStr">
        <is>
          <t>Pages undated; no cohort or partner list found; relationship to qHeritage (S7, which is a separate School of History pillar) not clarified; 15-20 hours is a light commitment.</t>
        </is>
      </c>
      <c r="AN301" s="77" t="inlineStr"/>
      <c r="AO301" s="77" t="inlineStr">
        <is>
          <t>UK</t>
        </is>
      </c>
      <c r="AP301" s="77" t="inlineStr">
        <is>
          <t>UK – Russell Group</t>
        </is>
      </c>
      <c r="AQ301" s="77" t="inlineStr">
        <is>
          <t>~1 term/semester</t>
        </is>
      </c>
      <c r="AR301" s="77" t="inlineStr">
        <is>
          <t>All/standard</t>
        </is>
      </c>
      <c r="AS301" s="77" t="inlineStr"/>
    </row>
    <row r="302">
      <c r="A302" s="77" t="inlineStr">
        <is>
          <t>RG18</t>
        </is>
      </c>
      <c r="B302" s="77" t="inlineStr">
        <is>
          <t>Queen Mary University of London</t>
        </is>
      </c>
      <c r="C302" s="77" t="inlineStr">
        <is>
          <t>University-wide</t>
        </is>
      </c>
      <c r="D302" s="77" t="inlineStr">
        <is>
          <t>RG18-S07</t>
        </is>
      </c>
      <c r="E302" s="77" t="inlineStr"/>
      <c r="F302" s="77" t="inlineStr">
        <is>
          <t>No</t>
        </is>
      </c>
      <c r="G302" s="79" t="inlineStr">
        <is>
          <t>qHeritage (SKETCH pillar)</t>
        </is>
      </c>
      <c r="H302" s="77" t="inlineStr">
        <is>
          <t>qHeritage student knowledge exchange projects</t>
        </is>
      </c>
      <c r="I302" s="77" t="inlineStr"/>
      <c r="J302" s="77" t="inlineStr">
        <is>
          <t>Interdisciplinary student teams (e.g. History and Business and Management students) deliver defined projects for heritage, public-history and community clients. 2026-27 projects: Citizens UK (developing a community research reporting framework) and Swadhinata Trust (researching and documenting British Bengali football heritage). Training on the heritage sector, impact evaluation and client management; roughly 15-20 hours; programme runs 15 Oct-8 Dec 2026; applications closed 30 Sept 2026.</t>
        </is>
      </c>
      <c r="K302" s="77" t="inlineStr">
        <is>
          <t>School of History (School of Society and Environment), SKETCH</t>
        </is>
      </c>
      <c r="L302" s="77" t="inlineStr">
        <is>
          <t>Current Queen Mary students (Citizens UK project page); past teams combined History and SBM students</t>
        </is>
      </c>
      <c r="M302" s="77" t="inlineStr">
        <is>
          <t>Arts/humanities/social sciences; Central provision</t>
        </is>
      </c>
      <c r="N302" s="77" t="inlineStr">
        <is>
          <t>Mixed</t>
        </is>
      </c>
      <c r="O302" s="77" t="inlineStr"/>
      <c r="P302" s="77" t="inlineStr">
        <is>
          <t>Current QM students; application and shortlisting</t>
        </is>
      </c>
      <c r="Q302" s="77" t="inlineStr">
        <is>
          <t>Selective/competitive</t>
        </is>
      </c>
      <c r="R302" s="77" t="inlineStr">
        <is>
          <t>Extracurricular</t>
        </is>
      </c>
      <c r="S302" s="77" t="inlineStr">
        <is>
          <t>Not stated</t>
        </is>
      </c>
      <c r="T302" s="77" t="inlineStr">
        <is>
          <t>~8 weeks (15 Oct-8 Dec 2026), 15-20 hours</t>
        </is>
      </c>
      <c r="U302" s="77" t="inlineStr">
        <is>
          <t>Team client projects with training</t>
        </is>
      </c>
      <c r="V302" s="77" t="inlineStr">
        <is>
          <t>Yes</t>
        </is>
      </c>
      <c r="W302" s="77" t="inlineStr">
        <is>
          <t>Named client projects with defined outputs (research report framework; heritage research/documentation) (sources 1, 2).</t>
        </is>
      </c>
      <c r="X302" s="77" t="inlineStr">
        <is>
          <t>Yes</t>
        </is>
      </c>
      <c r="Y302" s="77" t="inlineStr">
        <is>
          <t>Teams combining History and SBM students for the Swadhinata Trust project; applicants should be teamwork-oriented (sources 1, 2).</t>
        </is>
      </c>
      <c r="Z302" s="77" t="inlineStr">
        <is>
          <t>Yes</t>
        </is>
      </c>
      <c r="AA302" s="77" t="inlineStr">
        <is>
          <t>Client organisations (Citizens UK, Swadhinata Trust) set project briefs and are the recipients; client meetings are part of the time commitment (sources 1, 2).</t>
        </is>
      </c>
      <c r="AB302" s="77" t="inlineStr">
        <is>
          <t>Charity/community</t>
        </is>
      </c>
      <c r="AC302" s="77" t="inlineStr">
        <is>
          <t>Set brief, client meetings, receive outputs</t>
        </is>
      </c>
      <c r="AD302" s="77" t="inlineStr">
        <is>
          <t>Citizens UK; Swadhinata Trust (2026-27)</t>
        </is>
      </c>
      <c r="AE302" s="77" t="inlineStr">
        <is>
          <t>Reporting framework / heritage research outputs for client</t>
        </is>
      </c>
      <c r="AF302" s="77">
        <f>IF(OR(V302="No",X302="No",Z302="No"),"Outside strict definition",IF(AND(V302="Yes",X302="Yes",Z302="Yes"),"Meets all three","Potentially relevant; evidence incomplete"))</f>
        <v/>
      </c>
      <c r="AG302" s="77" t="inlineStr">
        <is>
          <t>Current delivery confirmed</t>
        </is>
      </c>
      <c r="AH302" s="77" t="inlineStr">
        <is>
          <t>2026/27</t>
        </is>
      </c>
      <c r="AI302" s="77" t="inlineStr">
        <is>
          <t>Yes</t>
        </is>
      </c>
      <c r="AJ302" s="77">
        <f>IF(AND(AI302="Yes",AF302="Meets all three",AG302="Current delivery confirmed"),"Yes","No")</f>
        <v/>
      </c>
      <c r="AK302" s="77" t="inlineStr"/>
      <c r="AL302" s="77" t="inlineStr">
        <is>
          <t>RG18-S07-R1; RG18-S07-R2; RG18-S07-R3</t>
        </is>
      </c>
      <c r="AM302" s="77" t="inlineStr">
        <is>
          <t>Team sizes and cohort numbers not found; reach classed University-wide from stated eligibility 'current Queen Mary students' but the programme is hosted by History; 15-20 hours is a light commitment.</t>
        </is>
      </c>
      <c r="AN302" s="77" t="inlineStr"/>
      <c r="AO302" s="77" t="inlineStr">
        <is>
          <t>UK</t>
        </is>
      </c>
      <c r="AP302" s="77" t="inlineStr">
        <is>
          <t>UK – Russell Group</t>
        </is>
      </c>
      <c r="AQ302" s="77" t="inlineStr">
        <is>
          <t>~1 term/semester</t>
        </is>
      </c>
      <c r="AR302" s="77" t="inlineStr">
        <is>
          <t>All/standard</t>
        </is>
      </c>
      <c r="AS302" s="77" t="inlineStr"/>
    </row>
    <row r="303">
      <c r="A303" s="77" t="inlineStr">
        <is>
          <t>RG18</t>
        </is>
      </c>
      <c r="B303" s="77" t="inlineStr">
        <is>
          <t>Queen Mary University of London</t>
        </is>
      </c>
      <c r="C303" s="77" t="inlineStr">
        <is>
          <t>Faculty/school</t>
        </is>
      </c>
      <c r="D303" s="77" t="inlineStr">
        <is>
          <t>RG18-S08</t>
        </is>
      </c>
      <c r="E303" s="77" t="inlineStr"/>
      <c r="F303" s="77" t="inlineStr">
        <is>
          <t>No</t>
        </is>
      </c>
      <c r="G303" s="79" t="inlineStr">
        <is>
          <t>qNomics Client Advisory</t>
        </is>
      </c>
      <c r="H303" s="77" t="inlineStr">
        <is>
          <t>qNomics Client Advisory programme</t>
        </is>
      </c>
      <c r="I303" s="77" t="inlineStr"/>
      <c r="J303" s="77" t="inlineStr">
        <is>
          <t>Teams of economics students advise entrepreneurs, start-ups and small businesses. Each team gets a client and a professional supervisor and works on business planning, market research, pricing, funding, marketing or data analysis; teams present final recommendations to the client. A 2025 news item reports students supported 18 SMEs.</t>
        </is>
      </c>
      <c r="K303" s="77" t="inlineStr">
        <is>
          <t>School of Economics and Finance (qNomics), within SKETCH</t>
        </is>
      </c>
      <c r="L303" s="77" t="inlineStr">
        <is>
          <t>Third-year undergraduate and postgraduate students in the School of Economics and Finance</t>
        </is>
      </c>
      <c r="M303" s="77" t="inlineStr">
        <is>
          <t>Arts/humanities/social sciences; Business/management</t>
        </is>
      </c>
      <c r="N303" s="77" t="inlineStr">
        <is>
          <t>Mixed</t>
        </is>
      </c>
      <c r="O303" s="77" t="inlineStr">
        <is>
          <t>Year 3 UG and PG</t>
        </is>
      </c>
      <c r="P303" s="77" t="inlineStr">
        <is>
          <t>Applications 14-27 Sept 2026 for 2026/27 (closed at research date)</t>
        </is>
      </c>
      <c r="Q303" s="77" t="inlineStr">
        <is>
          <t>Selective/competitive</t>
        </is>
      </c>
      <c r="R303" s="77" t="inlineStr">
        <is>
          <t>Mixed</t>
        </is>
      </c>
      <c r="S303" s="77" t="inlineStr">
        <is>
          <t>Listed as an optional PG professional-skills module on SEF pages; credit not found; also recorded as extracurricular on HEAR transcript pages</t>
        </is>
      </c>
      <c r="T303" s="77" t="inlineStr">
        <is>
          <t>Not stated</t>
        </is>
      </c>
      <c r="U303" s="77" t="inlineStr">
        <is>
          <t>Team client advisory with professional supervisor</t>
        </is>
      </c>
      <c r="V303" s="77" t="inlineStr">
        <is>
          <t>Yes</t>
        </is>
      </c>
      <c r="W303" s="77" t="inlineStr">
        <is>
          <t>Defined client challenge with final recommendations presented to client (source 1).</t>
        </is>
      </c>
      <c r="X303" s="77" t="inlineStr">
        <is>
          <t>Yes</t>
        </is>
      </c>
      <c r="Y303" s="77" t="inlineStr">
        <is>
          <t>Teams are assigned a client (source 1).</t>
        </is>
      </c>
      <c r="Z303" s="77" t="inlineStr">
        <is>
          <t>Yes</t>
        </is>
      </c>
      <c r="AA303" s="77" t="inlineStr">
        <is>
          <t>External entrepreneurs, start-ups and small businesses supply the challenge, have a professional supervisor/advisor and receive the final recommendations (source 1).</t>
        </is>
      </c>
      <c r="AB303" s="77" t="inlineStr">
        <is>
          <t>Business/commercial</t>
        </is>
      </c>
      <c r="AC303" s="77" t="inlineStr">
        <is>
          <t>Client brief and receipt of recommendations</t>
        </is>
      </c>
      <c r="AD303" s="77" t="inlineStr"/>
      <c r="AE303" s="77" t="inlineStr">
        <is>
          <t>Final recommendations / advice to client</t>
        </is>
      </c>
      <c r="AF303" s="77">
        <f>IF(OR(V303="No",X303="No",Z303="No"),"Outside strict definition",IF(AND(V303="Yes",X303="Yes",Z303="Yes"),"Meets all three","Potentially relevant; evidence incomplete"))</f>
        <v/>
      </c>
      <c r="AG303" s="77" t="inlineStr">
        <is>
          <t>Current delivery confirmed</t>
        </is>
      </c>
      <c r="AH303" s="77" t="inlineStr">
        <is>
          <t>2026/27</t>
        </is>
      </c>
      <c r="AI303" s="77" t="inlineStr">
        <is>
          <t>Yes</t>
        </is>
      </c>
      <c r="AJ303" s="77">
        <f>IF(AND(AI303="Yes",AF303="Meets all three",AG303="Current delivery confirmed"),"Yes","No")</f>
        <v/>
      </c>
      <c r="AK303" s="77" t="inlineStr">
        <is>
          <t>18 SMEs supported (2025 news, unit: client projects)</t>
        </is>
      </c>
      <c r="AL303" s="77" t="inlineStr">
        <is>
          <t>RG18-S08-R1; RG18-S08-R2; RG18-S08-R3</t>
        </is>
      </c>
      <c r="AM303" s="77" t="inlineStr">
        <is>
          <t>Credit and duration unclear; curricular vs extracurricular status mixed across pages; 'professional supervisor' may be an academic/professional adviser rather than the client.</t>
        </is>
      </c>
      <c r="AN303" s="77" t="inlineStr"/>
      <c r="AO303" s="77" t="inlineStr">
        <is>
          <t>UK</t>
        </is>
      </c>
      <c r="AP303" s="77" t="inlineStr">
        <is>
          <t>UK – Russell Group</t>
        </is>
      </c>
      <c r="AQ303" s="77" t="inlineStr">
        <is>
          <t>Unclear</t>
        </is>
      </c>
      <c r="AR303" s="77" t="inlineStr">
        <is>
          <t>All/standard</t>
        </is>
      </c>
      <c r="AS303" s="77" t="inlineStr"/>
    </row>
    <row r="304">
      <c r="A304" s="77" t="inlineStr">
        <is>
          <t>RG18</t>
        </is>
      </c>
      <c r="B304" s="77" t="inlineStr">
        <is>
          <t>Queen Mary University of London</t>
        </is>
      </c>
      <c r="C304" s="77" t="inlineStr">
        <is>
          <t>Faculty/school</t>
        </is>
      </c>
      <c r="D304" s="77" t="inlineStr">
        <is>
          <t>RG18-S09</t>
        </is>
      </c>
      <c r="E304" s="77" t="inlineStr"/>
      <c r="F304" s="77" t="inlineStr">
        <is>
          <t>No</t>
        </is>
      </c>
      <c r="G304" s="79" t="inlineStr">
        <is>
          <t>qNomics Community Projects</t>
        </is>
      </c>
      <c r="H304" s="77" t="inlineStr">
        <is>
          <t>qNomics Community Projects</t>
        </is>
      </c>
      <c r="I304" s="77" t="inlineStr"/>
      <c r="J304" s="77" t="inlineStr">
        <is>
          <t>Students are paired with community organisations on local challenges using research, survey design, data analysis and design thinking; open to undergraduate and postgraduate students (School of Economics and Finance).</t>
        </is>
      </c>
      <c r="K304" s="77" t="inlineStr">
        <is>
          <t>School of Economics and Finance (qNomics)</t>
        </is>
      </c>
      <c r="L304" s="77" t="inlineStr">
        <is>
          <t>Undergraduate and postgraduate students (qNomics)</t>
        </is>
      </c>
      <c r="M304" s="77" t="inlineStr">
        <is>
          <t>Arts/humanities/social sciences</t>
        </is>
      </c>
      <c r="N304" s="77" t="inlineStr">
        <is>
          <t>Mixed</t>
        </is>
      </c>
      <c r="O304" s="77" t="inlineStr"/>
      <c r="P304" s="77" t="inlineStr"/>
      <c r="Q304" s="77" t="inlineStr">
        <is>
          <t>Selective/competitive</t>
        </is>
      </c>
      <c r="R304" s="77" t="inlineStr">
        <is>
          <t>Unclear</t>
        </is>
      </c>
      <c r="S304" s="77" t="inlineStr">
        <is>
          <t>Not found</t>
        </is>
      </c>
      <c r="T304" s="77" t="inlineStr">
        <is>
          <t>Not found</t>
        </is>
      </c>
      <c r="U304" s="77" t="inlineStr">
        <is>
          <t>Team projects with community organisations</t>
        </is>
      </c>
      <c r="V304" s="77" t="inlineStr">
        <is>
          <t>Unclear</t>
        </is>
      </c>
      <c r="W304" s="77" t="inlineStr">
        <is>
          <t>Research/design-thinking work with community organisations; outputs described only as practical resources/recommendations (source 1).</t>
        </is>
      </c>
      <c r="X304" s="77" t="inlineStr">
        <is>
          <t>Yes</t>
        </is>
      </c>
      <c r="Y304" s="77" t="inlineStr">
        <is>
          <t>Both qNomics strands put students into teams (source 1 summary).</t>
        </is>
      </c>
      <c r="Z304" s="77" t="inlineStr">
        <is>
          <t>Yes</t>
        </is>
      </c>
      <c r="AA304" s="77" t="inlineStr">
        <is>
          <t>Community organisations pose the local challenge (source 1); detail of organisation role limited.</t>
        </is>
      </c>
      <c r="AB304" s="77" t="inlineStr">
        <is>
          <t>Charity/community</t>
        </is>
      </c>
      <c r="AC304" s="77" t="inlineStr">
        <is>
          <t>Pose local challenges</t>
        </is>
      </c>
      <c r="AD304" s="77" t="inlineStr"/>
      <c r="AE304" s="77" t="inlineStr">
        <is>
          <t>Not specified</t>
        </is>
      </c>
      <c r="AF304" s="77">
        <f>IF(OR(V304="No",X304="No",Z304="No"),"Outside strict definition",IF(AND(V304="Yes",X304="Yes",Z304="Yes"),"Meets all three","Potentially relevant; evidence incomplete"))</f>
        <v/>
      </c>
      <c r="AG304" s="77" t="inlineStr">
        <is>
          <t>Current status unclear</t>
        </is>
      </c>
      <c r="AH304" s="77" t="inlineStr">
        <is>
          <t>2026</t>
        </is>
      </c>
      <c r="AI304" s="77" t="inlineStr">
        <is>
          <t>Yes</t>
        </is>
      </c>
      <c r="AJ304" s="77">
        <f>IF(AND(AI304="Yes",AF304="Meets all three",AG304="Current delivery confirmed"),"Yes","No")</f>
        <v/>
      </c>
      <c r="AK304" s="77" t="inlineStr"/>
      <c r="AL304" s="77" t="inlineStr">
        <is>
          <t>RG18-S09-R1</t>
        </is>
      </c>
      <c r="AM304" s="77" t="inlineStr">
        <is>
          <t>Output, duration, partners and delivery year not found; A and coverage unclear.</t>
        </is>
      </c>
      <c r="AN304" s="77" t="inlineStr"/>
      <c r="AO304" s="77" t="inlineStr">
        <is>
          <t>UK</t>
        </is>
      </c>
      <c r="AP304" s="77" t="inlineStr">
        <is>
          <t>UK – Russell Group</t>
        </is>
      </c>
      <c r="AQ304" s="77" t="inlineStr">
        <is>
          <t>Unclear</t>
        </is>
      </c>
      <c r="AR304" s="77" t="inlineStr">
        <is>
          <t>Unclear</t>
        </is>
      </c>
      <c r="AS304" s="77" t="inlineStr"/>
    </row>
    <row r="305">
      <c r="A305" s="77" t="inlineStr">
        <is>
          <t>RG18</t>
        </is>
      </c>
      <c r="B305" s="77" t="inlineStr">
        <is>
          <t>Queen Mary University of London</t>
        </is>
      </c>
      <c r="C305" s="77" t="inlineStr">
        <is>
          <t>Faculty/school</t>
        </is>
      </c>
      <c r="D305" s="77" t="inlineStr">
        <is>
          <t>RG18-S10</t>
        </is>
      </c>
      <c r="E305" s="77" t="inlineStr"/>
      <c r="F305" s="77" t="inlineStr">
        <is>
          <t>No</t>
        </is>
      </c>
      <c r="G305" s="79" t="inlineStr">
        <is>
          <t>SBM Consult</t>
        </is>
      </c>
      <c r="H305" s="77" t="inlineStr">
        <is>
          <t>SBM Consult</t>
        </is>
      </c>
      <c r="I305" s="77" t="inlineStr"/>
      <c r="J305" s="77" t="inlineStr">
        <is>
          <t>Paid scheme in which teams of five SBM students (UG, PG, recent graduates; once per student) complete a ten-week consultancy challenge across Semesters A and B, paid GBP 10.55/hour for 30 hours of project work and training, with consultancy training and coaching meetings. Listed past clients are university units: SBM Marketing &amp; Recruitment, QMUL Estates &amp; Facilities and the Students' Union.</t>
        </is>
      </c>
      <c r="K305" s="77" t="inlineStr">
        <is>
          <t>School of Business and Management</t>
        </is>
      </c>
      <c r="L305" s="77" t="inlineStr">
        <is>
          <t>All SBM students (UG and PG) and recent graduates</t>
        </is>
      </c>
      <c r="M305" s="77" t="inlineStr">
        <is>
          <t>Business/management</t>
        </is>
      </c>
      <c r="N305" s="77" t="inlineStr">
        <is>
          <t>Mixed</t>
        </is>
      </c>
      <c r="O305" s="77" t="inlineStr"/>
      <c r="P305" s="77" t="inlineStr">
        <is>
          <t>SBM only; one participation per student; assessment/selection</t>
        </is>
      </c>
      <c r="Q305" s="77" t="inlineStr">
        <is>
          <t>Selective/competitive</t>
        </is>
      </c>
      <c r="R305" s="77" t="inlineStr">
        <is>
          <t>Extracurricular</t>
        </is>
      </c>
      <c r="S305" s="77" t="inlineStr">
        <is>
          <t>Paid; no credit</t>
        </is>
      </c>
      <c r="T305" s="77" t="inlineStr">
        <is>
          <t>10 weeks (30 hours)</t>
        </is>
      </c>
      <c r="U305" s="77" t="inlineStr">
        <is>
          <t>Paid team consultancy</t>
        </is>
      </c>
      <c r="V305" s="77" t="inlineStr">
        <is>
          <t>Yes</t>
        </is>
      </c>
      <c r="W305" s="77" t="inlineStr">
        <is>
          <t>Defined consultancy challenges, e.g. interiors of the new SBM building, school carbon footprint, Year 1 transformation project (source 1).</t>
        </is>
      </c>
      <c r="X305" s="77" t="inlineStr">
        <is>
          <t>Yes</t>
        </is>
      </c>
      <c r="Y305" s="77" t="inlineStr">
        <is>
          <t>Teams of five (source 1).</t>
        </is>
      </c>
      <c r="Z305" s="77" t="inlineStr">
        <is>
          <t>No</t>
        </is>
      </c>
      <c r="AA305" s="77" t="inlineStr">
        <is>
          <t>All listed clients are internal university units (SBM, Estates &amp; Facilities, Students' Union); no external organisation evidenced (source 1).</t>
        </is>
      </c>
      <c r="AB305" s="77" t="inlineStr">
        <is>
          <t>Other</t>
        </is>
      </c>
      <c r="AC305" s="77" t="inlineStr">
        <is>
          <t>Internal university clients</t>
        </is>
      </c>
      <c r="AD305" s="77" t="inlineStr"/>
      <c r="AE305" s="77" t="inlineStr">
        <is>
          <t>Consultancy recommendations to internal client</t>
        </is>
      </c>
      <c r="AF305" s="77">
        <f>IF(OR(V305="No",X305="No",Z305="No"),"Outside strict definition",IF(AND(V305="Yes",X305="Yes",Z305="Yes"),"Meets all three","Potentially relevant; evidence incomplete"))</f>
        <v/>
      </c>
      <c r="AG305" s="77" t="inlineStr">
        <is>
          <t>Current status unclear</t>
        </is>
      </c>
      <c r="AH305" s="77" t="inlineStr">
        <is>
          <t>Undated</t>
        </is>
      </c>
      <c r="AI305" s="77" t="inlineStr">
        <is>
          <t>Yes</t>
        </is>
      </c>
      <c r="AJ305" s="77">
        <f>IF(AND(AI305="Yes",AF305="Meets all three",AG305="Current delivery confirmed"),"Yes","No")</f>
        <v/>
      </c>
      <c r="AK305" s="77" t="inlineStr"/>
      <c r="AL305" s="77" t="inlineStr">
        <is>
          <t>RG18-S10-R1</t>
        </is>
      </c>
      <c r="AM305" s="77" t="inlineStr">
        <is>
          <t>Page undated and its dates mix 2024 and 2026 weekday patterns; external clients not evidenced.</t>
        </is>
      </c>
      <c r="AN305" s="77" t="inlineStr">
        <is>
          <t>SBM Consult</t>
        </is>
      </c>
      <c r="AO305" s="77" t="inlineStr">
        <is>
          <t>UK</t>
        </is>
      </c>
      <c r="AP305" s="77" t="inlineStr">
        <is>
          <t>UK – Russell Group</t>
        </is>
      </c>
      <c r="AQ305" s="77" t="inlineStr">
        <is>
          <t>~1 term/semester</t>
        </is>
      </c>
      <c r="AR305" s="77" t="inlineStr">
        <is>
          <t>Unclear</t>
        </is>
      </c>
      <c r="AS305" s="77" t="inlineStr"/>
    </row>
    <row r="306">
      <c r="A306" s="77" t="inlineStr">
        <is>
          <t>RG18</t>
        </is>
      </c>
      <c r="B306" s="77" t="inlineStr">
        <is>
          <t>Queen Mary University of London</t>
        </is>
      </c>
      <c r="C306" s="77" t="inlineStr">
        <is>
          <t>Faculty/school</t>
        </is>
      </c>
      <c r="D306" s="77" t="inlineStr">
        <is>
          <t>RG18-S11</t>
        </is>
      </c>
      <c r="E306" s="77" t="inlineStr"/>
      <c r="F306" s="77" t="inlineStr">
        <is>
          <t>No</t>
        </is>
      </c>
      <c r="G306" s="79" t="inlineStr">
        <is>
          <t>SBM In Action: Digital Industry Project (with Practera)</t>
        </is>
      </c>
      <c r="H306" s="77" t="inlineStr">
        <is>
          <t>SBM/Queen Mary Business School In Action: Digital Industry Project</t>
        </is>
      </c>
      <c r="I306" s="77" t="inlineStr"/>
      <c r="J306" s="77" t="inlineStr">
        <is>
          <t>Fully virtual three-week programme run with Practera: student consultancy teams work on a real business challenge for a company (UK or abroad); client briefing in week one, weekly meetings, professional mentor feedback, final presentation and research report. 50 hours over three weeks; places for 100 students; unpaid.</t>
        </is>
      </c>
      <c r="K306" s="77" t="inlineStr">
        <is>
          <t>School of Business and Management careers and employability</t>
        </is>
      </c>
      <c r="L306" s="77" t="inlineStr">
        <is>
          <t>SBM students (as listed on SBM careers pages)</t>
        </is>
      </c>
      <c r="M306" s="77" t="inlineStr">
        <is>
          <t>Business/management</t>
        </is>
      </c>
      <c r="N306" s="77" t="inlineStr">
        <is>
          <t>Mixed</t>
        </is>
      </c>
      <c r="O306" s="77" t="inlineStr"/>
      <c r="P306" s="77" t="inlineStr">
        <is>
          <t>Application; limited places</t>
        </is>
      </c>
      <c r="Q306" s="77" t="inlineStr">
        <is>
          <t>Selective/competitive</t>
        </is>
      </c>
      <c r="R306" s="77" t="inlineStr">
        <is>
          <t>Extracurricular</t>
        </is>
      </c>
      <c r="S306" s="77" t="inlineStr">
        <is>
          <t>None stated</t>
        </is>
      </c>
      <c r="T306" s="77" t="inlineStr">
        <is>
          <t>3 weeks, 50 hours</t>
        </is>
      </c>
      <c r="U306" s="77" t="inlineStr">
        <is>
          <t>Virtual, Practera platform</t>
        </is>
      </c>
      <c r="V306" s="77" t="inlineStr">
        <is>
          <t>Yes</t>
        </is>
      </c>
      <c r="W306" s="77" t="inlineStr">
        <is>
          <t>Research report and final presentation on a business challenge (source 1).</t>
        </is>
      </c>
      <c r="X306" s="77" t="inlineStr">
        <is>
          <t>Yes</t>
        </is>
      </c>
      <c r="Y306" s="77" t="inlineStr">
        <is>
          <t>Student consultancy team (source 1).</t>
        </is>
      </c>
      <c r="Z306" s="77" t="inlineStr">
        <is>
          <t>Unclear</t>
        </is>
      </c>
      <c r="AA306" s="77" t="inlineStr">
        <is>
          <t>Page says a real business challenge for a company with a client briefing and professional mentor, but companies are unnamed and the programme is platform-run; strict handling of Practera schemes applied pending evidence of company participation.</t>
        </is>
      </c>
      <c r="AB306" s="77" t="inlineStr">
        <is>
          <t>Business/commercial</t>
        </is>
      </c>
      <c r="AC306" s="77" t="inlineStr">
        <is>
          <t>Provides challenge/briefing (claimed)</t>
        </is>
      </c>
      <c r="AD306" s="77" t="inlineStr"/>
      <c r="AE306" s="77" t="inlineStr">
        <is>
          <t>Final presentation and research report</t>
        </is>
      </c>
      <c r="AF306" s="77">
        <f>IF(OR(V306="No",X306="No",Z306="No"),"Outside strict definition",IF(AND(V306="Yes",X306="Yes",Z306="Yes"),"Meets all three","Potentially relevant; evidence incomplete"))</f>
        <v/>
      </c>
      <c r="AG306" s="77" t="inlineStr">
        <is>
          <t>Current status unclear</t>
        </is>
      </c>
      <c r="AH306" s="77" t="inlineStr">
        <is>
          <t>2025</t>
        </is>
      </c>
      <c r="AI306" s="77" t="inlineStr">
        <is>
          <t>Yes</t>
        </is>
      </c>
      <c r="AJ306" s="77">
        <f>IF(AND(AI306="Yes",AF306="Meets all three",AG306="Current delivery confirmed"),"Yes","No")</f>
        <v/>
      </c>
      <c r="AK306" s="77" t="inlineStr"/>
      <c r="AL306" s="77" t="inlineStr">
        <is>
          <t>RG18-S11-R1</t>
        </is>
      </c>
      <c r="AM306" s="77" t="inlineStr">
        <is>
          <t>Dates (16 June-7 July, 9 May deadline) undated; a 2025 edition ran; 2026 delivery unconfirmed; no named companies.</t>
        </is>
      </c>
      <c r="AN306" s="77" t="inlineStr"/>
      <c r="AO306" s="77" t="inlineStr">
        <is>
          <t>UK</t>
        </is>
      </c>
      <c r="AP306" s="77" t="inlineStr">
        <is>
          <t>UK – Russell Group</t>
        </is>
      </c>
      <c r="AQ306" s="77" t="inlineStr">
        <is>
          <t>1–4 weeks</t>
        </is>
      </c>
      <c r="AR306" s="77" t="inlineStr">
        <is>
          <t>Unclear</t>
        </is>
      </c>
      <c r="AS306" s="77" t="inlineStr"/>
    </row>
    <row r="307">
      <c r="A307" s="77" t="inlineStr">
        <is>
          <t>RG18</t>
        </is>
      </c>
      <c r="B307" s="77" t="inlineStr">
        <is>
          <t>Queen Mary University of London</t>
        </is>
      </c>
      <c r="C307" s="77" t="inlineStr">
        <is>
          <t>Faculty/school</t>
        </is>
      </c>
      <c r="D307" s="77" t="inlineStr">
        <is>
          <t>RG18-S12</t>
        </is>
      </c>
      <c r="E307" s="77" t="inlineStr"/>
      <c r="F307" s="77" t="inlineStr">
        <is>
          <t>No</t>
        </is>
      </c>
      <c r="G307" s="79" t="inlineStr">
        <is>
          <t>MEng final-year group design project (School of Engineering and Materials Science)</t>
        </is>
      </c>
      <c r="H307" s="77" t="inlineStr">
        <is>
          <t>MEng group design project</t>
        </is>
      </c>
      <c r="I307" s="77" t="inlineStr"/>
      <c r="J307" s="77" t="inlineStr">
        <is>
          <t>Fourth-year MEng group design project worth half the final year; SEMS states these student-led projects are frequently sponsored by industry; Electrical and Electronic Engineering specification says its advanced group project may be scoped and sponsored by an industrial partner. Industrial Liaison forum showcases projects to employers.</t>
        </is>
      </c>
      <c r="K307" s="77" t="inlineStr">
        <is>
          <t>School of Engineering and Materials Science (also EEE programmes)</t>
        </is>
      </c>
      <c r="L307" s="77" t="inlineStr">
        <is>
          <t>MEng students in SEMS programmes</t>
        </is>
      </c>
      <c r="M307" s="77" t="inlineStr">
        <is>
          <t>Engineering/computing</t>
        </is>
      </c>
      <c r="N307" s="77" t="inlineStr">
        <is>
          <t>Undergraduate</t>
        </is>
      </c>
      <c r="O307" s="77" t="inlineStr">
        <is>
          <t>Year 4 (MEng)</t>
        </is>
      </c>
      <c r="P307" s="77" t="inlineStr">
        <is>
          <t>MEng</t>
        </is>
      </c>
      <c r="Q307" s="77" t="inlineStr">
        <is>
          <t>Compulsory within specified programmes</t>
        </is>
      </c>
      <c r="R307" s="77" t="inlineStr">
        <is>
          <t>Curricular</t>
        </is>
      </c>
      <c r="S307" s="77" t="inlineStr">
        <is>
          <t>50% of final year</t>
        </is>
      </c>
      <c r="T307" s="77" t="inlineStr">
        <is>
          <t>Year</t>
        </is>
      </c>
      <c r="U307" s="77" t="inlineStr">
        <is>
          <t>Group design project</t>
        </is>
      </c>
      <c r="V307" s="77" t="inlineStr">
        <is>
          <t>Yes</t>
        </is>
      </c>
      <c r="W307" s="77" t="inlineStr">
        <is>
          <t>Group design project (source 1).</t>
        </is>
      </c>
      <c r="X307" s="77" t="inlineStr">
        <is>
          <t>Yes</t>
        </is>
      </c>
      <c r="Y307" s="77" t="inlineStr">
        <is>
          <t>Described as group design project (source 1).</t>
        </is>
      </c>
      <c r="Z307" s="77" t="inlineStr">
        <is>
          <t>Unclear</t>
        </is>
      </c>
      <c r="AA307" s="77" t="inlineStr">
        <is>
          <t>'Frequently sponsored by industry' and 'may be scoped and sponsored' - sponsorship is not shown to be standard (sources 1, 2).</t>
        </is>
      </c>
      <c r="AB307" s="77" t="inlineStr">
        <is>
          <t>Business/commercial</t>
        </is>
      </c>
      <c r="AC307" s="77" t="inlineStr">
        <is>
          <t>Sponsor/scoping for some projects</t>
        </is>
      </c>
      <c r="AD307" s="77" t="inlineStr"/>
      <c r="AE307" s="77" t="inlineStr">
        <is>
          <t>Design project output</t>
        </is>
      </c>
      <c r="AF307" s="77">
        <f>IF(OR(V307="No",X307="No",Z307="No"),"Outside strict definition",IF(AND(V307="Yes",X307="Yes",Z307="Yes"),"Meets all three","Potentially relevant; evidence incomplete"))</f>
        <v/>
      </c>
      <c r="AG307" s="77" t="inlineStr">
        <is>
          <t>Current status unclear</t>
        </is>
      </c>
      <c r="AH307" s="77" t="inlineStr">
        <is>
          <t>2022</t>
        </is>
      </c>
      <c r="AI307" s="77" t="inlineStr">
        <is>
          <t>Yes</t>
        </is>
      </c>
      <c r="AJ307" s="77">
        <f>IF(AND(AI307="Yes",AF307="Meets all three",AG307="Current delivery confirmed"),"Yes","No")</f>
        <v/>
      </c>
      <c r="AK307" s="77" t="inlineStr"/>
      <c r="AL307" s="77" t="inlineStr">
        <is>
          <t>RG18-S12-R1; RG18-S12-R2; RG18-S12-R3</t>
        </is>
      </c>
      <c r="AM307" s="77" t="inlineStr">
        <is>
          <t>FAQ undated; 2022 award news only; sponsor lists and 2025/26 delivery not found; further departmental instances likely.</t>
        </is>
      </c>
      <c r="AN307" s="77" t="inlineStr"/>
      <c r="AO307" s="77" t="inlineStr">
        <is>
          <t>UK</t>
        </is>
      </c>
      <c r="AP307" s="77" t="inlineStr">
        <is>
          <t>UK – Russell Group</t>
        </is>
      </c>
      <c r="AQ307" s="77" t="inlineStr">
        <is>
          <t>&gt;1 term</t>
        </is>
      </c>
      <c r="AR307" s="77" t="inlineStr">
        <is>
          <t>Some projects</t>
        </is>
      </c>
      <c r="AS307" s="77" t="inlineStr"/>
    </row>
    <row r="308">
      <c r="A308" s="77" t="inlineStr">
        <is>
          <t>RG19</t>
        </is>
      </c>
      <c r="B308" s="77" t="inlineStr">
        <is>
          <t>Queen’s University Belfast</t>
        </is>
      </c>
      <c r="C308" s="77" t="inlineStr">
        <is>
          <t>University-wide</t>
        </is>
      </c>
      <c r="D308" s="77" t="inlineStr">
        <is>
          <t>RG19-S01</t>
        </is>
      </c>
      <c r="E308" s="77" t="inlineStr"/>
      <c r="F308" s="77" t="inlineStr">
        <is>
          <t>No</t>
        </is>
      </c>
      <c r="G308" s="79" t="inlineStr">
        <is>
          <t>Real-World Consultancy Programme (Careers)</t>
        </is>
      </c>
      <c r="H308" s="77" t="inlineStr">
        <is>
          <t>Real-World Consultancy Programme</t>
        </is>
      </c>
      <c r="I308" s="77" t="inlineStr"/>
      <c r="J308" s="77" t="inlineStr">
        <is>
          <t>Four-day careers programme in which students from different disciplines work in project teams for an external client organisation and are facilitated through a Design Thinking process to resolve the client's problem. Clients named for 2025 include Aflac Northern Ireland, BDO Northern Ireland, Gig Grafter Limited, KPMG Ireland, The Phoenix Education Centre and SureCert.</t>
        </is>
      </c>
      <c r="K308" s="77" t="inlineStr">
        <is>
          <t>Careers, Employability and Skills (Student Guidance Centre)</t>
        </is>
      </c>
      <c r="L308" s="77" t="inlineStr">
        <is>
          <t>Any subject; degree-registered students or recent graduates</t>
        </is>
      </c>
      <c r="M308" s="77" t="inlineStr">
        <is>
          <t>Central provision</t>
        </is>
      </c>
      <c r="N308" s="77" t="inlineStr">
        <is>
          <t>Mixed</t>
        </is>
      </c>
      <c r="O308" s="77" t="inlineStr"/>
      <c r="P308" s="77" t="inlineStr">
        <is>
          <t>Open to Queen's students of all levels and subjects; free; limited to 40 places with waitlist; full attendance required.</t>
        </is>
      </c>
      <c r="Q308" s="77" t="inlineStr">
        <is>
          <t>Selective/competitive</t>
        </is>
      </c>
      <c r="R308" s="77" t="inlineStr">
        <is>
          <t>Extracurricular</t>
        </is>
      </c>
      <c r="S308" s="77" t="inlineStr">
        <is>
          <t>No credit; accredited activity for the Future-Ready Award (Combined Route)</t>
        </is>
      </c>
      <c r="T308" s="77" t="inlineStr">
        <is>
          <t>4 days (26-29 May 2026)</t>
        </is>
      </c>
      <c r="U308" s="77" t="inlineStr">
        <is>
          <t>In person, The Cube, One Elmwood, Belfast</t>
        </is>
      </c>
      <c r="V308" s="77" t="inlineStr">
        <is>
          <t>Yes</t>
        </is>
      </c>
      <c r="W308" s="77" t="inlineStr">
        <is>
          <t>Teams address a client's problem through Design Thinking within the four-day programme (sources 1-2). Final output format (presentation to client) is not explicit in the extracts seen.</t>
        </is>
      </c>
      <c r="X308" s="77" t="inlineStr">
        <is>
          <t>Yes</t>
        </is>
      </c>
      <c r="Y308" s="77" t="inlineStr">
        <is>
          <t>'Students work in a project team for an external client organisation with other students from different disciplines' (source 1).</t>
        </is>
      </c>
      <c r="Z308" s="77" t="inlineStr">
        <is>
          <t>Yes</t>
        </is>
      </c>
      <c r="AA308" s="77" t="inlineStr">
        <is>
          <t>External client organisations set the problem; named 2025 clients listed in a student account (source 3). Programme page describes work 'for an external client organisation' (source 1).</t>
        </is>
      </c>
      <c r="AB308" s="77" t="inlineStr">
        <is>
          <t>Mixed</t>
        </is>
      </c>
      <c r="AC308" s="77" t="inlineStr">
        <is>
          <t>Clients set the problem (business, professional services, an education charity/centre); exact feedback/assessment role not evidenced.</t>
        </is>
      </c>
      <c r="AD308" s="77" t="inlineStr">
        <is>
          <t>2025: Aflac Northern Ireland, BDO Northern Ireland, Gig Grafter Limited, KPMG Ireland, The Phoenix Education Centre, SureCert (source 3)</t>
        </is>
      </c>
      <c r="AE308" s="77" t="inlineStr">
        <is>
          <t>Solution to client problem (Design Thinking output; presentation not explicitly evidenced)</t>
        </is>
      </c>
      <c r="AF308" s="77">
        <f>IF(OR(V308="No",X308="No",Z308="No"),"Outside strict definition",IF(AND(V308="Yes",X308="Yes",Z308="Yes"),"Meets all three","Potentially relevant; evidence incomplete"))</f>
        <v/>
      </c>
      <c r="AG308" s="77" t="inlineStr">
        <is>
          <t>Current delivery confirmed</t>
        </is>
      </c>
      <c r="AH308" s="77" t="inlineStr">
        <is>
          <t>2026 (26-29 May 2026)</t>
        </is>
      </c>
      <c r="AI308" s="77" t="inlineStr">
        <is>
          <t>Yes</t>
        </is>
      </c>
      <c r="AJ308" s="77">
        <f>IF(AND(AI308="Yes",AF308="Meets all three",AG308="Current delivery confirmed"),"Yes","No")</f>
        <v/>
      </c>
      <c r="AK308" s="77" t="inlineStr">
        <is>
          <t>40 places (2026)</t>
        </is>
      </c>
      <c r="AL308" s="77" t="inlineStr">
        <is>
          <t>RG19-S01-R1; RG19-S01-R2; RG19-S01-R3; RG19-S01-R4</t>
        </is>
      </c>
      <c r="AM308" s="77" t="inlineStr">
        <is>
          <t>Exact deliverable/assessment by clients not seen; one-off short programme (4 days). Next (2027) cohort not announced in results seen.</t>
        </is>
      </c>
      <c r="AN308" s="77" t="inlineStr"/>
      <c r="AO308" s="77" t="inlineStr">
        <is>
          <t>UK</t>
        </is>
      </c>
      <c r="AP308" s="77" t="inlineStr">
        <is>
          <t>UK – Russell Group</t>
        </is>
      </c>
      <c r="AQ308" s="77" t="inlineStr">
        <is>
          <t>&lt;1 week</t>
        </is>
      </c>
      <c r="AR308" s="77" t="inlineStr">
        <is>
          <t>All/standard</t>
        </is>
      </c>
      <c r="AS308" s="77" t="inlineStr"/>
    </row>
    <row r="309">
      <c r="A309" s="77" t="inlineStr">
        <is>
          <t>RG19</t>
        </is>
      </c>
      <c r="B309" s="77" t="inlineStr">
        <is>
          <t>Queen’s University Belfast</t>
        </is>
      </c>
      <c r="C309" s="77" t="inlineStr">
        <is>
          <t>Faculty/school</t>
        </is>
      </c>
      <c r="D309" s="77" t="inlineStr">
        <is>
          <t>RG19-S02</t>
        </is>
      </c>
      <c r="E309" s="77" t="inlineStr"/>
      <c r="F309" s="77" t="inlineStr">
        <is>
          <t>No</t>
        </is>
      </c>
      <c r="G309" s="79" t="inlineStr">
        <is>
          <t>Queen's Business School Business Clinic</t>
        </is>
      </c>
      <c r="H309" s="77" t="inlineStr">
        <is>
          <t>Business Clinic (student consultancy)</t>
        </is>
      </c>
      <c r="I309" s="77" t="inlineStr"/>
      <c r="J309" s="77" t="inlineStr">
        <is>
          <t>Organisations (industry, government, charities, not-for-profits) submit a business issue; student consultants, supervised by an academic and a Professor of Practice and with an organisation mentor, work on it for 6-12 weeks and deliver a report, presentation and recommendations that form part of graded coursework. Current page names MSc International Business postgraduates; older pages describe undergraduate student teams.</t>
        </is>
      </c>
      <c r="K309" s="77" t="inlineStr">
        <is>
          <t>Queen's Business School (Business Hub)</t>
        </is>
      </c>
      <c r="L309" s="77" t="inlineStr">
        <is>
          <t>Queen's Business School students (MSc International Business named on current page; undergraduates in earlier cycles)</t>
        </is>
      </c>
      <c r="M309" s="77" t="inlineStr">
        <is>
          <t>Business/management</t>
        </is>
      </c>
      <c r="N309" s="77" t="inlineStr">
        <is>
          <t>Mixed</t>
        </is>
      </c>
      <c r="O309" s="77" t="inlineStr"/>
      <c r="P309" s="77" t="inlineStr">
        <is>
          <t>Student level differs between pages (undergraduate teams 2023/24; postgraduates 2025/2026).</t>
        </is>
      </c>
      <c r="Q309" s="77" t="inlineStr">
        <is>
          <t>Unclear</t>
        </is>
      </c>
      <c r="R309" s="77" t="inlineStr">
        <is>
          <t>Mixed</t>
        </is>
      </c>
      <c r="S309" s="77" t="inlineStr">
        <is>
          <t>Report and presentation 'form part of the students' graded coursework'; module/credit link not evidenced</t>
        </is>
      </c>
      <c r="T309" s="77" t="inlineStr">
        <is>
          <t>6-12 weeks, June-September 2026</t>
        </is>
      </c>
      <c r="U309" s="77" t="inlineStr">
        <is>
          <t>Virtual or in person; academic supervision plus organisation mentor</t>
        </is>
      </c>
      <c r="V309" s="77" t="inlineStr">
        <is>
          <t>Yes</t>
        </is>
      </c>
      <c r="W309" s="77" t="inlineStr">
        <is>
          <t>Defined business issue; students produce 'engaging, action-oriented reports' with recommendations and a presentation (sources 1,3).</t>
        </is>
      </c>
      <c r="X309" s="77" t="inlineStr">
        <is>
          <t>Unclear</t>
        </is>
      </c>
      <c r="Y309" s="77" t="inlineStr">
        <is>
          <t>Older pages: 'undergraduate student teams' (source 3); 2025 page: 'a dedicated team of postgraduate students' (source 2); a search summary of the current page also mentioned individual postgraduate students. Team vs individual for the current route not resolved.</t>
        </is>
      </c>
      <c r="Z309" s="77" t="inlineStr">
        <is>
          <t>Yes</t>
        </is>
      </c>
      <c r="AA309" s="77" t="inlineStr">
        <is>
          <t>Client organisation submits the proposal, provides a company mentor and works with a Professor of Practice during the project, and receives findings and recommendations (sources 1-3).</t>
        </is>
      </c>
      <c r="AB309" s="77" t="inlineStr">
        <is>
          <t>Mixed</t>
        </is>
      </c>
      <c r="AC309" s="77" t="inlineStr">
        <is>
          <t>Client sets issue, provides mentor, receives report/presentation. Eligible: industry, government, charities, not-for-profits.</t>
        </is>
      </c>
      <c r="AD309" s="77" t="inlineStr">
        <is>
          <t>Past clients cited on school pages: Danske Bank, KPMG, Innovation Factory, Bryson Charity Group, AllState NI, Denroy, TeamFeePay, GetSociable, Harmoni (undated/various years)</t>
        </is>
      </c>
      <c r="AE309" s="77" t="inlineStr">
        <is>
          <t>Report with recommendations plus presentation</t>
        </is>
      </c>
      <c r="AF309" s="77">
        <f>IF(OR(V309="No",X309="No",Z309="No"),"Outside strict definition",IF(AND(V309="Yes",X309="Yes",Z309="Yes"),"Meets all three","Potentially relevant; evidence incomplete"))</f>
        <v/>
      </c>
      <c r="AG309" s="77" t="inlineStr">
        <is>
          <t>Current delivery confirmed</t>
        </is>
      </c>
      <c r="AH309" s="77" t="inlineStr">
        <is>
          <t>2026 (June-September 2026 projects advertised)</t>
        </is>
      </c>
      <c r="AI309" s="77" t="inlineStr">
        <is>
          <t>Yes</t>
        </is>
      </c>
      <c r="AJ309" s="77">
        <f>IF(AND(AI309="Yes",AF309="Meets all three",AG309="Current delivery confirmed"),"Yes","No")</f>
        <v/>
      </c>
      <c r="AK309" s="77" t="inlineStr"/>
      <c r="AL309" s="77" t="inlineStr">
        <is>
          <t>RG19-S02-R1; RG19-S02-R2; RG19-S02-R3</t>
        </is>
      </c>
      <c r="AM309" s="77" t="inlineStr">
        <is>
          <t>Team vs individual working on the current postgraduate route; whether credit-bearing module (e.g. MSc IB capstone) or extra-curricular; no 2025/26 application call seen (last found: closing 30 Aug 2023).</t>
        </is>
      </c>
      <c r="AN309" s="77" t="inlineStr"/>
      <c r="AO309" s="77" t="inlineStr">
        <is>
          <t>UK</t>
        </is>
      </c>
      <c r="AP309" s="77" t="inlineStr">
        <is>
          <t>UK – Russell Group</t>
        </is>
      </c>
      <c r="AQ309" s="77" t="inlineStr">
        <is>
          <t>~1 term/semester</t>
        </is>
      </c>
      <c r="AR309" s="77" t="inlineStr">
        <is>
          <t>All/standard</t>
        </is>
      </c>
      <c r="AS309" s="77" t="inlineStr"/>
    </row>
    <row r="310">
      <c r="A310" s="77" t="inlineStr">
        <is>
          <t>RG19</t>
        </is>
      </c>
      <c r="B310" s="77" t="inlineStr">
        <is>
          <t>Queen’s University Belfast</t>
        </is>
      </c>
      <c r="C310" s="77" t="inlineStr">
        <is>
          <t>Programme/course</t>
        </is>
      </c>
      <c r="D310" s="77" t="inlineStr">
        <is>
          <t>RG19-S03</t>
        </is>
      </c>
      <c r="E310" s="77" t="inlineStr"/>
      <c r="F310" s="77" t="inlineStr">
        <is>
          <t>No</t>
        </is>
      </c>
      <c r="G310" s="79" t="inlineStr">
        <is>
          <t>MSc International Business: International Consultancy capstone pathway</t>
        </is>
      </c>
      <c r="H310" s="77" t="inlineStr">
        <is>
          <t>MSc International Business - International Consultancy capstone</t>
        </is>
      </c>
      <c r="I310" s="77" t="inlineStr"/>
      <c r="J310" s="77" t="inlineStr">
        <is>
          <t>Semester-3 capstone pathway in which students work alongside a real-world global organisation and mentor to address a specific problem; alternatives are a Global Applied Project and an International Internship. Likely overlaps with the Business Clinic matching of MSc International Business students (S2).</t>
        </is>
      </c>
      <c r="K310" s="77" t="inlineStr">
        <is>
          <t>Queen's Business School</t>
        </is>
      </c>
      <c r="L310" s="77" t="inlineStr">
        <is>
          <t>MSc International Business</t>
        </is>
      </c>
      <c r="M310" s="77" t="inlineStr">
        <is>
          <t>Business/management</t>
        </is>
      </c>
      <c r="N310" s="77" t="inlineStr">
        <is>
          <t>Postgraduate taught</t>
        </is>
      </c>
      <c r="O310" s="77" t="inlineStr"/>
      <c r="P310" s="77" t="inlineStr"/>
      <c r="Q310" s="77" t="inlineStr">
        <is>
          <t>Optional/elective</t>
        </is>
      </c>
      <c r="R310" s="77" t="inlineStr">
        <is>
          <t>Curricular</t>
        </is>
      </c>
      <c r="S310" s="77" t="inlineStr">
        <is>
          <t>60-credit capstone (2024/25 programme specification); students must complete 90 CATS of taught modules first</t>
        </is>
      </c>
      <c r="T310" s="77" t="inlineStr">
        <is>
          <t>Semester 3</t>
        </is>
      </c>
      <c r="U310" s="77" t="inlineStr">
        <is>
          <t>Organisation mentor plus dedicated academic support</t>
        </is>
      </c>
      <c r="V310" s="77" t="inlineStr">
        <is>
          <t>Yes</t>
        </is>
      </c>
      <c r="W310" s="77" t="inlineStr">
        <is>
          <t>'Working alongside a real-world global organisation and mentor to address a specific problem' (source 1).</t>
        </is>
      </c>
      <c r="X310" s="77" t="inlineStr">
        <is>
          <t>Unclear</t>
        </is>
      </c>
      <c r="Y310" s="77" t="inlineStr">
        <is>
          <t>Specification refers to an 'individual capstone project'; team-based element only evidenced for an online simulation. Consultancy pathway team vs individual not resolved.</t>
        </is>
      </c>
      <c r="Z310" s="77" t="inlineStr">
        <is>
          <t>Yes</t>
        </is>
      </c>
      <c r="AA310" s="77" t="inlineStr">
        <is>
          <t>Real-world global organisation and company mentor (source 1); coverage across pathway options varies (optional pathway).</t>
        </is>
      </c>
      <c r="AB310" s="77" t="inlineStr">
        <is>
          <t>Business/commercial</t>
        </is>
      </c>
      <c r="AC310" s="77" t="inlineStr">
        <is>
          <t>Mentor and problem owner (organisation); extent of assessment role not evidenced.</t>
        </is>
      </c>
      <c r="AD310" s="77" t="inlineStr"/>
      <c r="AE310" s="77" t="inlineStr">
        <is>
          <t>Capstone consultancy report (not detailed)</t>
        </is>
      </c>
      <c r="AF310" s="77">
        <f>IF(OR(V310="No",X310="No",Z310="No"),"Outside strict definition",IF(AND(V310="Yes",X310="Yes",Z310="Yes"),"Meets all three","Potentially relevant; evidence incomplete"))</f>
        <v/>
      </c>
      <c r="AG310" s="77" t="inlineStr">
        <is>
          <t>Current status unclear</t>
        </is>
      </c>
      <c r="AH310" s="77" t="inlineStr">
        <is>
          <t>2024/25</t>
        </is>
      </c>
      <c r="AI310" s="77" t="inlineStr">
        <is>
          <t>No</t>
        </is>
      </c>
      <c r="AJ310" s="77">
        <f>IF(AND(AI310="Yes",AF310="Meets all three",AG310="Current delivery confirmed"),"Yes","No")</f>
        <v/>
      </c>
      <c r="AK310" s="77" t="inlineStr"/>
      <c r="AL310" s="77" t="inlineStr">
        <is>
          <t>RG19-S03-R1; RG19-S03-R2</t>
        </is>
      </c>
      <c r="AM310" s="77" t="inlineStr">
        <is>
          <t>Group vs individual; current-year delivery; relationship to Business Clinic (probable duplicate of S2 activity).</t>
        </is>
      </c>
      <c r="AN310" s="77" t="inlineStr"/>
      <c r="AO310" s="77" t="inlineStr">
        <is>
          <t>UK</t>
        </is>
      </c>
      <c r="AP310" s="77" t="inlineStr">
        <is>
          <t>UK – Russell Group</t>
        </is>
      </c>
      <c r="AQ310" s="77" t="inlineStr">
        <is>
          <t>~1 term/semester</t>
        </is>
      </c>
      <c r="AR310" s="77" t="inlineStr">
        <is>
          <t>Some projects</t>
        </is>
      </c>
      <c r="AS310" s="77" t="inlineStr">
        <is>
          <t>No (possible duplicate of RG19-S02)</t>
        </is>
      </c>
    </row>
    <row r="311">
      <c r="A311" s="77" t="inlineStr">
        <is>
          <t>RG19</t>
        </is>
      </c>
      <c r="B311" s="77" t="inlineStr">
        <is>
          <t>Queen’s University Belfast</t>
        </is>
      </c>
      <c r="C311" s="77" t="inlineStr">
        <is>
          <t>Programme/course</t>
        </is>
      </c>
      <c r="D311" s="77" t="inlineStr">
        <is>
          <t>RG19-S04</t>
        </is>
      </c>
      <c r="E311" s="77" t="inlineStr"/>
      <c r="F311" s="77" t="inlineStr">
        <is>
          <t>No</t>
        </is>
      </c>
      <c r="G311" s="79" t="inlineStr">
        <is>
          <t>CSC3032 Software Engineering Final Year Project (SE-FYP)</t>
        </is>
      </c>
      <c r="H311" s="77" t="inlineStr">
        <is>
          <t>Software Engineering Final Year Project</t>
        </is>
      </c>
      <c r="I311" s="77" t="inlineStr">
        <is>
          <t>CSC3032</t>
        </is>
      </c>
      <c r="J311" s="77" t="inlineStr">
        <is>
          <t>Capstone, team-based module for final-year BEng Software Engineering students. Teams of 4-5 build a new system or extend an existing codebase against projects in an annual Project Booklet; projects are proposed by non-academic organisations (expression-of-interest call) as well as academics, with the Science Shop (community), careers/YOPE (industry) and cross-department routes. Teams sign a Memorandum of Understanding.</t>
        </is>
      </c>
      <c r="K311" s="77" t="inlineStr">
        <is>
          <t>School of EEECS</t>
        </is>
      </c>
      <c r="L311" s="77" t="inlineStr">
        <is>
          <t>BEng Software Engineering (incl. placement/year in industry route)</t>
        </is>
      </c>
      <c r="M311" s="77" t="inlineStr">
        <is>
          <t>Engineering/computing</t>
        </is>
      </c>
      <c r="N311" s="77" t="inlineStr">
        <is>
          <t>Undergraduate</t>
        </is>
      </c>
      <c r="O311" s="77" t="inlineStr">
        <is>
          <t>Final year</t>
        </is>
      </c>
      <c r="P311" s="77" t="inlineStr"/>
      <c r="Q311" s="77" t="inlineStr">
        <is>
          <t>Compulsory within specified programmes</t>
        </is>
      </c>
      <c r="R311" s="77" t="inlineStr">
        <is>
          <t>Curricular</t>
        </is>
      </c>
      <c r="S311" s="77" t="inlineStr">
        <is>
          <t>40 credits, 100% coursework (EEECS module descriptions 2024-25)</t>
        </is>
      </c>
      <c r="T311" s="77" t="inlineStr">
        <is>
          <t>~24-25 weeks (mid-September to mid-April)</t>
        </is>
      </c>
      <c r="U311" s="77" t="inlineStr">
        <is>
          <t>Team project with internal supervisor; example in booklet also shows external subject-expert supervisor</t>
        </is>
      </c>
      <c r="V311" s="77" t="inlineStr">
        <is>
          <t>Yes</t>
        </is>
      </c>
      <c r="W311" s="77" t="inlineStr">
        <is>
          <t>Bounded software build/extension per team from Project Booklet (sources 1,3).</t>
        </is>
      </c>
      <c r="X311" s="77" t="inlineStr">
        <is>
          <t>Yes</t>
        </is>
      </c>
      <c r="Y311" s="77" t="inlineStr">
        <is>
          <t>'Students form teams of four'; 'each team member is responsible for a key component of the system' (source 1).</t>
        </is>
      </c>
      <c r="Z311" s="77" t="inlineStr">
        <is>
          <t>Unclear</t>
        </is>
      </c>
      <c r="AA311" s="77" t="inlineStr">
        <is>
          <t>Non-academic organisations propose problems by EoI; staff profile says the lecturer 'links private, public and third party organisations to final year software engineering student teams' (sources 1,2); example booklet entry shows an external supervisor (source 4). But academics also propose projects and the share of external-client projects is not stated.</t>
        </is>
      </c>
      <c r="AB311" s="77" t="inlineStr">
        <is>
          <t>Mixed</t>
        </is>
      </c>
      <c r="AC311" s="77" t="inlineStr">
        <is>
          <t>Proposes the problem via EoI; MoU with team; sometimes external expert supervisor. Internal (academic) proposals also exist.</t>
        </is>
      </c>
      <c r="AD311" s="77" t="inlineStr"/>
      <c r="AE311" s="77" t="inlineStr">
        <is>
          <t>Working software system</t>
        </is>
      </c>
      <c r="AF311" s="77">
        <f>IF(OR(V311="No",X311="No",Z311="No"),"Outside strict definition",IF(AND(V311="Yes",X311="Yes",Z311="Yes"),"Meets all three","Potentially relevant; evidence incomplete"))</f>
        <v/>
      </c>
      <c r="AG311" s="77" t="inlineStr">
        <is>
          <t>Current status unclear</t>
        </is>
      </c>
      <c r="AH311" s="77" t="inlineStr">
        <is>
          <t>2024/25 (module descriptions); booklet 2023-24</t>
        </is>
      </c>
      <c r="AI311" s="77" t="inlineStr">
        <is>
          <t>Yes</t>
        </is>
      </c>
      <c r="AJ311" s="77">
        <f>IF(AND(AI311="Yes",AF311="Meets all three",AG311="Current delivery confirmed"),"Yes","No")</f>
        <v/>
      </c>
      <c r="AK311" s="77" t="inlineStr"/>
      <c r="AL311" s="77" t="inlineStr">
        <is>
          <t>RG19-S04-R1; RG19-S04-R2; RG19-S04-R3; RG19-S04-R4</t>
        </is>
      </c>
      <c r="AM311" s="77" t="inlineStr">
        <is>
          <t>Share of projects with external clients per year; no dated 2025/26 allocation or booklet seen; blog page undated.</t>
        </is>
      </c>
      <c r="AN311" s="77" t="inlineStr"/>
      <c r="AO311" s="77" t="inlineStr">
        <is>
          <t>UK</t>
        </is>
      </c>
      <c r="AP311" s="77" t="inlineStr">
        <is>
          <t>UK – Russell Group</t>
        </is>
      </c>
      <c r="AQ311" s="77" t="inlineStr">
        <is>
          <t>&gt;1 term</t>
        </is>
      </c>
      <c r="AR311" s="77" t="inlineStr">
        <is>
          <t>Some projects</t>
        </is>
      </c>
      <c r="AS311" s="77" t="inlineStr"/>
    </row>
    <row r="312">
      <c r="A312" s="77" t="inlineStr">
        <is>
          <t>RG19</t>
        </is>
      </c>
      <c r="B312" s="77" t="inlineStr">
        <is>
          <t>Queen’s University Belfast</t>
        </is>
      </c>
      <c r="C312" s="77" t="inlineStr">
        <is>
          <t>Programme/course</t>
        </is>
      </c>
      <c r="D312" s="77" t="inlineStr">
        <is>
          <t>RG19-S05</t>
        </is>
      </c>
      <c r="E312" s="77" t="inlineStr"/>
      <c r="F312" s="77" t="inlineStr">
        <is>
          <t>No</t>
        </is>
      </c>
      <c r="G312" s="79" t="inlineStr">
        <is>
          <t>DSA8023 Analytics in Action (MSc Data Analytics)</t>
        </is>
      </c>
      <c r="H312" s="77" t="inlineStr">
        <is>
          <t>Analytics in Action</t>
        </is>
      </c>
      <c r="I312" s="77" t="inlineStr">
        <is>
          <t>DSA8023</t>
        </is>
      </c>
      <c r="J312" s="77" t="inlineStr">
        <is>
          <t>Core module of the MSc Data Analytics: three assignments/presentations (two group, one individual) using real-life data provided by real-world businesses, presenting results and recommendations. Programme also cites industry-provided data for 'Analytathons' and projects.</t>
        </is>
      </c>
      <c r="K312" s="77" t="inlineStr">
        <is>
          <t>School of Mathematics and Physics</t>
        </is>
      </c>
      <c r="L312" s="77" t="inlineStr">
        <is>
          <t>MSc Data Analytics</t>
        </is>
      </c>
      <c r="M312" s="77" t="inlineStr">
        <is>
          <t>Science</t>
        </is>
      </c>
      <c r="N312" s="77" t="inlineStr">
        <is>
          <t>Postgraduate taught</t>
        </is>
      </c>
      <c r="O312" s="77" t="inlineStr"/>
      <c r="P312" s="77" t="inlineStr"/>
      <c r="Q312" s="77" t="inlineStr">
        <is>
          <t>Compulsory within specified programmes</t>
        </is>
      </c>
      <c r="R312" s="77" t="inlineStr">
        <is>
          <t>Curricular</t>
        </is>
      </c>
      <c r="S312" s="77" t="inlineStr">
        <is>
          <t>Assessed by assignments/presentations; weighting differs between sources</t>
        </is>
      </c>
      <c r="T312" s="77" t="inlineStr">
        <is>
          <t>One module (timetabled teaching period)</t>
        </is>
      </c>
      <c r="U312" s="77" t="inlineStr">
        <is>
          <t>Group and individual presentations on business data</t>
        </is>
      </c>
      <c r="V312" s="77" t="inlineStr">
        <is>
          <t>Unclear</t>
        </is>
      </c>
      <c r="W312" s="77" t="inlineStr">
        <is>
          <t>Assignments analyse business-provided data and present recommendations, but project scale/brief definition not evidenced (sources 1-2).</t>
        </is>
      </c>
      <c r="X312" s="77" t="inlineStr">
        <is>
          <t>Yes</t>
        </is>
      </c>
      <c r="Y312" s="77" t="inlineStr">
        <is>
          <t>'3 assignments/presentations (2 group, 1 individual)' (source 1).</t>
        </is>
      </c>
      <c r="Z312" s="77" t="inlineStr">
        <is>
          <t>Yes</t>
        </is>
      </c>
      <c r="AA312" s="77" t="inlineStr">
        <is>
          <t>Data are 'provided by real-world businesses'; industry experts present real-world examples (source 1). Role in feedback/assessment not evidenced.</t>
        </is>
      </c>
      <c r="AB312" s="77" t="inlineStr">
        <is>
          <t>Business/commercial</t>
        </is>
      </c>
      <c r="AC312" s="77" t="inlineStr">
        <is>
          <t>Supplies real data; industry speakers.</t>
        </is>
      </c>
      <c r="AD312" s="77" t="inlineStr"/>
      <c r="AE312" s="77" t="inlineStr">
        <is>
          <t>Group presentations/reports of analytics findings</t>
        </is>
      </c>
      <c r="AF312" s="77">
        <f>IF(OR(V312="No",X312="No",Z312="No"),"Outside strict definition",IF(AND(V312="Yes",X312="Yes",Z312="Yes"),"Meets all three","Potentially relevant; evidence incomplete"))</f>
        <v/>
      </c>
      <c r="AG312" s="77" t="inlineStr">
        <is>
          <t>Current status unclear</t>
        </is>
      </c>
      <c r="AH312" s="77" t="inlineStr">
        <is>
          <t>2024/25</t>
        </is>
      </c>
      <c r="AI312" s="77" t="inlineStr">
        <is>
          <t>Yes</t>
        </is>
      </c>
      <c r="AJ312" s="77">
        <f>IF(AND(AI312="Yes",AF312="Meets all three",AG312="Current delivery confirmed"),"Yes","No")</f>
        <v/>
      </c>
      <c r="AK312" s="77" t="inlineStr"/>
      <c r="AL312" s="77" t="inlineStr">
        <is>
          <t>RG19-S05-R1; RG19-S05-R2</t>
        </is>
      </c>
      <c r="AM312" s="77" t="inlineStr">
        <is>
          <t>Whether assignments are substantive bounded projects; which businesses; current-year delivery (2024-25 timetable page only).</t>
        </is>
      </c>
      <c r="AN312" s="77" t="inlineStr"/>
      <c r="AO312" s="77" t="inlineStr">
        <is>
          <t>UK</t>
        </is>
      </c>
      <c r="AP312" s="77" t="inlineStr">
        <is>
          <t>UK – Russell Group</t>
        </is>
      </c>
      <c r="AQ312" s="77" t="inlineStr">
        <is>
          <t>~1 term/semester</t>
        </is>
      </c>
      <c r="AR312" s="77" t="inlineStr">
        <is>
          <t>All/standard</t>
        </is>
      </c>
      <c r="AS312" s="77" t="inlineStr"/>
    </row>
    <row r="313">
      <c r="A313" s="77" t="inlineStr">
        <is>
          <t>RG19</t>
        </is>
      </c>
      <c r="B313" s="77" t="inlineStr">
        <is>
          <t>Queen’s University Belfast</t>
        </is>
      </c>
      <c r="C313" s="77" t="inlineStr">
        <is>
          <t>Cross-faculty</t>
        </is>
      </c>
      <c r="D313" s="77" t="inlineStr">
        <is>
          <t>RG19-S06</t>
        </is>
      </c>
      <c r="E313" s="77" t="inlineStr"/>
      <c r="F313" s="77" t="inlineStr">
        <is>
          <t>No</t>
        </is>
      </c>
      <c r="G313" s="79" t="inlineStr">
        <is>
          <t>Queen's Science Shop (QUB/Ulster)</t>
        </is>
      </c>
      <c r="H313" s="77" t="inlineStr">
        <is>
          <t>Science Shop community-based student research projects</t>
        </is>
      </c>
      <c r="I313" s="77" t="inlineStr"/>
      <c r="J313" s="77" t="inlineStr">
        <is>
          <t>Community and voluntary organisations submit research requests; students undertake them as curriculum projects (dissertations and small-scale projects) with an academic supervisor and an agreement with the community partner. Reports 50-60 projects and 200+ students annually.</t>
        </is>
      </c>
      <c r="K313" s="77" t="inlineStr">
        <is>
          <t>Science Shop (joint QUB/Ulster University; HEIF-funded)</t>
        </is>
      </c>
      <c r="L313" s="77" t="inlineStr">
        <is>
          <t>Undergraduate and master's degrees across disciplines (e.g. planning, architecture, geography, environmental, social science MRes)</t>
        </is>
      </c>
      <c r="M313" s="77" t="inlineStr">
        <is>
          <t>Central provision; Science; Arts/humanities/social sciences; Other (law, health, design, architecture…)</t>
        </is>
      </c>
      <c r="N313" s="77" t="inlineStr">
        <is>
          <t>Mixed</t>
        </is>
      </c>
      <c r="O313" s="77" t="inlineStr"/>
      <c r="P313" s="77" t="inlineStr"/>
      <c r="Q313" s="77" t="inlineStr">
        <is>
          <t>Optional/elective</t>
        </is>
      </c>
      <c r="R313" s="77" t="inlineStr">
        <is>
          <t>Curricular</t>
        </is>
      </c>
      <c r="S313" s="77" t="inlineStr">
        <is>
          <t>Integrated into degree projects/dissertations (e.g. MRes 15,000-20,000 words); credit varies by programme</t>
        </is>
      </c>
      <c r="T313" s="77" t="inlineStr">
        <is>
          <t>Varies by project</t>
        </is>
      </c>
      <c r="U313" s="77" t="inlineStr">
        <is>
          <t>Academic supervisor approves each project; agreement drawn up with community group</t>
        </is>
      </c>
      <c r="V313" s="77" t="inlineStr">
        <is>
          <t>Yes</t>
        </is>
      </c>
      <c r="W313" s="77" t="inlineStr">
        <is>
          <t>Defined community research question with a report output (sources 1-2).</t>
        </is>
      </c>
      <c r="X313" s="77" t="inlineStr">
        <is>
          <t>Unclear</t>
        </is>
      </c>
      <c r="Y313" s="77" t="inlineStr">
        <is>
          <t>Mainly individual dissertation-type projects; group delivery possible but not separable in the extracts seen.</t>
        </is>
      </c>
      <c r="Z313" s="77" t="inlineStr">
        <is>
          <t>Yes</t>
        </is>
      </c>
      <c r="AA313" s="77" t="inlineStr">
        <is>
          <t>Community groups propose the project and receive the findings; agreement with student (sources 1-2).</t>
        </is>
      </c>
      <c r="AB313" s="77" t="inlineStr">
        <is>
          <t>Charity/community</t>
        </is>
      </c>
      <c r="AC313" s="77" t="inlineStr">
        <is>
          <t>Proposes project, receives research.</t>
        </is>
      </c>
      <c r="AD313" s="77" t="inlineStr">
        <is>
          <t>Ulster Cancer Foundation, National Trust, Bryson Recycling, Age NI, Women's Aid, Rural Community Network, Forever Mournes Partnership, Cancer Focus NI (undated/various)</t>
        </is>
      </c>
      <c r="AE313" s="77" t="inlineStr">
        <is>
          <t>Research report for community organisation</t>
        </is>
      </c>
      <c r="AF313" s="77">
        <f>IF(OR(V313="No",X313="No",Z313="No"),"Outside strict definition",IF(AND(V313="Yes",X313="Yes",Z313="Yes"),"Meets all three","Potentially relevant; evidence incomplete"))</f>
        <v/>
      </c>
      <c r="AG313" s="77" t="inlineStr">
        <is>
          <t>Current delivery confirmed</t>
        </is>
      </c>
      <c r="AH313" s="77" t="inlineStr">
        <is>
          <t>2025 (live project requests with 2025 codes; officer post advertised May 2025)</t>
        </is>
      </c>
      <c r="AI313" s="77" t="inlineStr">
        <is>
          <t>Yes</t>
        </is>
      </c>
      <c r="AJ313" s="77">
        <f>IF(AND(AI313="Yes",AF313="Meets all three",AG313="Current delivery confirmed"),"Yes","No")</f>
        <v/>
      </c>
      <c r="AK313" s="77" t="inlineStr">
        <is>
          <t>50-60 projects and 200+ students per year (undated)</t>
        </is>
      </c>
      <c r="AL313" s="77" t="inlineStr">
        <is>
          <t>RG19-S06-R1; RG19-S06-R2</t>
        </is>
      </c>
      <c r="AM313" s="77" t="inlineStr">
        <is>
          <t>No evidence which projects are team-based; reach is cross-faculty by example only; scale per year undated.</t>
        </is>
      </c>
      <c r="AN313" s="77" t="inlineStr"/>
      <c r="AO313" s="77" t="inlineStr">
        <is>
          <t>UK</t>
        </is>
      </c>
      <c r="AP313" s="77" t="inlineStr">
        <is>
          <t>UK – Russell Group</t>
        </is>
      </c>
      <c r="AQ313" s="77" t="inlineStr">
        <is>
          <t>Unclear</t>
        </is>
      </c>
      <c r="AR313" s="77" t="inlineStr">
        <is>
          <t>All/standard</t>
        </is>
      </c>
      <c r="AS313" s="77" t="inlineStr"/>
    </row>
    <row r="314">
      <c r="A314" s="77" t="inlineStr">
        <is>
          <t>RG19</t>
        </is>
      </c>
      <c r="B314" s="77" t="inlineStr">
        <is>
          <t>Queen’s University Belfast</t>
        </is>
      </c>
      <c r="C314" s="77" t="inlineStr">
        <is>
          <t>Programme/course</t>
        </is>
      </c>
      <c r="D314" s="77" t="inlineStr">
        <is>
          <t>RG19-S07</t>
        </is>
      </c>
      <c r="E314" s="77" t="inlineStr"/>
      <c r="F314" s="77" t="inlineStr">
        <is>
          <t>No</t>
        </is>
      </c>
      <c r="G314" s="79" t="inlineStr">
        <is>
          <t>EVP7038 Comparative Urban Design (MSc City Planning and Design)</t>
        </is>
      </c>
      <c r="H314" s="77" t="inlineStr">
        <is>
          <t>Comparative Urban Design - live regeneration project</t>
        </is>
      </c>
      <c r="I314" s="77" t="inlineStr">
        <is>
          <t>EVP7038</t>
        </is>
      </c>
      <c r="J314" s="77" t="inlineStr">
        <is>
          <t>20-credit core module with a real-world live project commissioned in the semester: students analyse a Northern Ireland study area (policy analysis, stakeholder mapping, urban analysis) and produce urban design and policy proposals; includes a Week 8 European field trip. Programme pages describe live design projects for local authority and community clients.</t>
        </is>
      </c>
      <c r="K314" s="77" t="inlineStr">
        <is>
          <t>School of Natural and Built Environment</t>
        </is>
      </c>
      <c r="L314" s="77" t="inlineStr">
        <is>
          <t>MSc City Planning and Design (also PgCert, HLA variants)</t>
        </is>
      </c>
      <c r="M314" s="77" t="inlineStr">
        <is>
          <t>Other (law, health, design, architecture…)</t>
        </is>
      </c>
      <c r="N314" s="77" t="inlineStr">
        <is>
          <t>Postgraduate taught</t>
        </is>
      </c>
      <c r="O314" s="77" t="inlineStr"/>
      <c r="P314" s="77" t="inlineStr"/>
      <c r="Q314" s="77" t="inlineStr">
        <is>
          <t>Compulsory within specified programmes</t>
        </is>
      </c>
      <c r="R314" s="77" t="inlineStr">
        <is>
          <t>Curricular</t>
        </is>
      </c>
      <c r="S314" s="77" t="inlineStr">
        <is>
          <t>20 credits, 100% coursework</t>
        </is>
      </c>
      <c r="T314" s="77" t="inlineStr">
        <is>
          <t>12 weeks</t>
        </is>
      </c>
      <c r="U314" s="77" t="inlineStr">
        <is>
          <t>Seminars, studio, group and individual project work, field trip</t>
        </is>
      </c>
      <c r="V314" s="77" t="inlineStr">
        <is>
          <t>Yes</t>
        </is>
      </c>
      <c r="W314" s="77" t="inlineStr">
        <is>
          <t>Proposals for allocated study area from commissioned live project (source 1).</t>
        </is>
      </c>
      <c r="X314" s="77" t="inlineStr">
        <is>
          <t>Unclear</t>
        </is>
      </c>
      <c r="Y314" s="77" t="inlineStr">
        <is>
          <t>Programme specification lists 'group and individual project work' as teaching methods; module-level team structure for the live project not shown.</t>
        </is>
      </c>
      <c r="Z314" s="77" t="inlineStr">
        <is>
          <t>Unclear</t>
        </is>
      </c>
      <c r="AA314" s="77" t="inlineStr">
        <is>
          <t>Search extract says a 'professional client' sets parameters for the regeneration strategy, but client identity/role in assessment not shown; page appears partly duplicated across programmes.</t>
        </is>
      </c>
      <c r="AB314" s="77" t="inlineStr">
        <is>
          <t>Public sector</t>
        </is>
      </c>
      <c r="AC314" s="77" t="inlineStr">
        <is>
          <t>Commissioned live project client (identity unevidenced); local authority/community clients described at programme level.</t>
        </is>
      </c>
      <c r="AD314" s="77" t="inlineStr"/>
      <c r="AE314" s="77" t="inlineStr">
        <is>
          <t>Urban design and policy proposals</t>
        </is>
      </c>
      <c r="AF314" s="77">
        <f>IF(OR(V314="No",X314="No",Z314="No"),"Outside strict definition",IF(AND(V314="Yes",X314="Yes",Z314="Yes"),"Meets all three","Potentially relevant; evidence incomplete"))</f>
        <v/>
      </c>
      <c r="AG314" s="77" t="inlineStr">
        <is>
          <t>Current status unclear</t>
        </is>
      </c>
      <c r="AH314" s="77" t="inlineStr">
        <is>
          <t>2024/25</t>
        </is>
      </c>
      <c r="AI314" s="77" t="inlineStr">
        <is>
          <t>Yes</t>
        </is>
      </c>
      <c r="AJ314" s="77">
        <f>IF(AND(AI314="Yes",AF314="Meets all three",AG314="Current delivery confirmed"),"Yes","No")</f>
        <v/>
      </c>
      <c r="AK314" s="77" t="inlineStr"/>
      <c r="AL314" s="77" t="inlineStr">
        <is>
          <t>RG19-S07-R1; RG19-S07-R2</t>
        </is>
      </c>
      <c r="AM314" s="77" t="inlineStr">
        <is>
          <t>Group vs individual; client identity; current delivery; identical wording appears on other programme pages (possible copy-paste).</t>
        </is>
      </c>
      <c r="AN314" s="77" t="inlineStr"/>
      <c r="AO314" s="77" t="inlineStr">
        <is>
          <t>UK</t>
        </is>
      </c>
      <c r="AP314" s="77" t="inlineStr">
        <is>
          <t>UK – Russell Group</t>
        </is>
      </c>
      <c r="AQ314" s="77" t="inlineStr">
        <is>
          <t>~1 term/semester</t>
        </is>
      </c>
      <c r="AR314" s="77" t="inlineStr">
        <is>
          <t>Unclear</t>
        </is>
      </c>
      <c r="AS314" s="77" t="inlineStr"/>
    </row>
    <row r="315">
      <c r="A315" s="77" t="inlineStr">
        <is>
          <t>RG19</t>
        </is>
      </c>
      <c r="B315" s="77" t="inlineStr">
        <is>
          <t>Queen’s University Belfast</t>
        </is>
      </c>
      <c r="C315" s="77" t="inlineStr">
        <is>
          <t>University-wide</t>
        </is>
      </c>
      <c r="D315" s="77" t="inlineStr">
        <is>
          <t>RG19-S08</t>
        </is>
      </c>
      <c r="E315" s="77" t="inlineStr"/>
      <c r="F315" s="77" t="inlineStr">
        <is>
          <t>No</t>
        </is>
      </c>
      <c r="G315" s="79" t="inlineStr">
        <is>
          <t>Real-World Challenge: Climate Change (Careers)</t>
        </is>
      </c>
      <c r="H315" s="77" t="inlineStr">
        <is>
          <t>Real-World Challenge</t>
        </is>
      </c>
      <c r="I315" s="77" t="inlineStr"/>
      <c r="J315" s="77" t="inlineStr">
        <is>
          <t>One-day careers event (PwC Belfast, 20 Feb 2025) where about 70 students from several schools work on climate-change challenges and present ideas on sustainability transformation to leaders from public, private and not-for-profit organisations (partners credited include Climate Northern Ireland, Arup, Belfast City Council).</t>
        </is>
      </c>
      <c r="K315" s="77" t="inlineStr">
        <is>
          <t>Careers, Employability and Skills</t>
        </is>
      </c>
      <c r="L315" s="77" t="inlineStr">
        <is>
          <t>Students from several Queen's schools</t>
        </is>
      </c>
      <c r="M315" s="77" t="inlineStr">
        <is>
          <t>Central provision</t>
        </is>
      </c>
      <c r="N315" s="77" t="inlineStr">
        <is>
          <t>Mixed</t>
        </is>
      </c>
      <c r="O315" s="77" t="inlineStr"/>
      <c r="P315" s="77" t="inlineStr"/>
      <c r="Q315" s="77" t="inlineStr">
        <is>
          <t>Selective/competitive</t>
        </is>
      </c>
      <c r="R315" s="77" t="inlineStr">
        <is>
          <t>Extracurricular</t>
        </is>
      </c>
      <c r="S315" s="77" t="inlineStr">
        <is>
          <t>Future-Ready Award accredited (Combined Route)</t>
        </is>
      </c>
      <c r="T315" s="77" t="inlineStr">
        <is>
          <t>1 day</t>
        </is>
      </c>
      <c r="U315" s="77" t="inlineStr">
        <is>
          <t>In person, PwC Merchant Square, Belfast</t>
        </is>
      </c>
      <c r="V315" s="77" t="inlineStr">
        <is>
          <t>Unclear</t>
        </is>
      </c>
      <c r="W315" s="77" t="inlineStr">
        <is>
          <t>Task described variously (sustainability ideas; 'Best &amp; Worst Newspaper Headlines of 2050'); defined organisation-set brief not evidenced (sources 1-2).</t>
        </is>
      </c>
      <c r="X315" s="77" t="inlineStr">
        <is>
          <t>Unclear</t>
        </is>
      </c>
      <c r="Y315" s="77" t="inlineStr">
        <is>
          <t>Students 'work with industry experts' and tackle the challenge with peers; team structure not explicit.</t>
        </is>
      </c>
      <c r="Z315" s="77" t="inlineStr">
        <is>
          <t>Yes</t>
        </is>
      </c>
      <c r="AA315" s="77" t="inlineStr">
        <is>
          <t>Leaders from public, private and not-for-profit organisations hear and respond to student ideas (source 1).</t>
        </is>
      </c>
      <c r="AB315" s="77" t="inlineStr">
        <is>
          <t>Mixed</t>
        </is>
      </c>
      <c r="AC315" s="77" t="inlineStr">
        <is>
          <t>Receive presentations; speakers; host.</t>
        </is>
      </c>
      <c r="AD315" s="77" t="inlineStr">
        <is>
          <t>2025: PwC (host), Climate Northern Ireland, Arup, Belfast City Council</t>
        </is>
      </c>
      <c r="AE315" s="77" t="inlineStr">
        <is>
          <t>Presentation of ideas</t>
        </is>
      </c>
      <c r="AF315" s="77">
        <f>IF(OR(V315="No",X315="No",Z315="No"),"Outside strict definition",IF(AND(V315="Yes",X315="Yes",Z315="Yes"),"Meets all three","Potentially relevant; evidence incomplete"))</f>
        <v/>
      </c>
      <c r="AG315" s="77" t="inlineStr">
        <is>
          <t>Current status unclear</t>
        </is>
      </c>
      <c r="AH315" s="77" t="inlineStr">
        <is>
          <t>2025 (20 Feb 2025)</t>
        </is>
      </c>
      <c r="AI315" s="77" t="inlineStr">
        <is>
          <t>Yes</t>
        </is>
      </c>
      <c r="AJ315" s="77">
        <f>IF(AND(AI315="Yes",AF315="Meets all three",AG315="Current delivery confirmed"),"Yes","No")</f>
        <v/>
      </c>
      <c r="AK315" s="77" t="inlineStr">
        <is>
          <t>~70 students (2025)</t>
        </is>
      </c>
      <c r="AL315" s="77" t="inlineStr">
        <is>
          <t>RG19-S08-R1; RG19-S08-R2</t>
        </is>
      </c>
      <c r="AM315" s="77" t="inlineStr">
        <is>
          <t>Whether organisations set the problem; team structure; 2026 edition not found.</t>
        </is>
      </c>
      <c r="AN315" s="77" t="inlineStr"/>
      <c r="AO315" s="77" t="inlineStr">
        <is>
          <t>UK</t>
        </is>
      </c>
      <c r="AP315" s="77" t="inlineStr">
        <is>
          <t>UK – Russell Group</t>
        </is>
      </c>
      <c r="AQ315" s="77" t="inlineStr">
        <is>
          <t>&lt;1 week</t>
        </is>
      </c>
      <c r="AR315" s="77" t="inlineStr">
        <is>
          <t>Unclear</t>
        </is>
      </c>
      <c r="AS315" s="77" t="inlineStr"/>
    </row>
    <row r="316">
      <c r="A316" s="77" t="inlineStr">
        <is>
          <t>RG19</t>
        </is>
      </c>
      <c r="B316" s="77" t="inlineStr">
        <is>
          <t>Queen’s University Belfast</t>
        </is>
      </c>
      <c r="C316" s="77" t="inlineStr">
        <is>
          <t>University-wide</t>
        </is>
      </c>
      <c r="D316" s="77" t="inlineStr">
        <is>
          <t>RG19-S09</t>
        </is>
      </c>
      <c r="E316" s="77" t="inlineStr"/>
      <c r="F316" s="77" t="inlineStr">
        <is>
          <t>No</t>
        </is>
      </c>
      <c r="G316" s="79" t="inlineStr">
        <is>
          <t>Future-Ready Skills for Leaders (Careers)</t>
        </is>
      </c>
      <c r="H316" s="77" t="inlineStr">
        <is>
          <t>Future-Ready Skills for Leaders</t>
        </is>
      </c>
      <c r="I316" s="77" t="inlineStr"/>
      <c r="J316" s="77" t="inlineStr">
        <is>
          <t>Three-day programme: teams work through business games and challenges on global problems, are mentored by an employer representative (2024) and pitch to employers/judges (2024 Innovation Fair).</t>
        </is>
      </c>
      <c r="K316" s="77" t="inlineStr">
        <is>
          <t>Careers, Employability and Skills</t>
        </is>
      </c>
      <c r="L316" s="77" t="inlineStr">
        <is>
          <t>Any discipline or level</t>
        </is>
      </c>
      <c r="M316" s="77" t="inlineStr">
        <is>
          <t>Central provision</t>
        </is>
      </c>
      <c r="N316" s="77" t="inlineStr">
        <is>
          <t>Mixed</t>
        </is>
      </c>
      <c r="O316" s="77" t="inlineStr"/>
      <c r="P316" s="77" t="inlineStr"/>
      <c r="Q316" s="77" t="inlineStr">
        <is>
          <t>Selective/competitive</t>
        </is>
      </c>
      <c r="R316" s="77" t="inlineStr">
        <is>
          <t>Extracurricular</t>
        </is>
      </c>
      <c r="S316" s="77" t="inlineStr">
        <is>
          <t>Future-Ready Award accredited</t>
        </is>
      </c>
      <c r="T316" s="77" t="inlineStr">
        <is>
          <t>3 days</t>
        </is>
      </c>
      <c r="U316" s="77" t="inlineStr">
        <is>
          <t>In person over Easter break</t>
        </is>
      </c>
      <c r="V316" s="77" t="inlineStr">
        <is>
          <t>Unclear</t>
        </is>
      </c>
      <c r="W316" s="77" t="inlineStr">
        <is>
          <t>Business games/challenges; product pitch in 2024; employer-set live brief not evidenced.</t>
        </is>
      </c>
      <c r="X316" s="77" t="inlineStr">
        <is>
          <t>Yes</t>
        </is>
      </c>
      <c r="Y316" s="77" t="inlineStr">
        <is>
          <t>'work in teams to tackle global challenges' (source 1).</t>
        </is>
      </c>
      <c r="Z316" s="77" t="inlineStr">
        <is>
          <t>Unclear</t>
        </is>
      </c>
      <c r="AA316" s="77" t="inlineStr">
        <is>
          <t>Employer representative mentors each team and employers receive pitches (2024), but organisations do not evidently supply a live brief; games likely simulated.</t>
        </is>
      </c>
      <c r="AB316" s="77" t="inlineStr">
        <is>
          <t>Business/commercial</t>
        </is>
      </c>
      <c r="AC316" s="77" t="inlineStr">
        <is>
          <t>Mentors, judges.</t>
        </is>
      </c>
      <c r="AD316" s="77" t="inlineStr"/>
      <c r="AE316" s="77" t="inlineStr">
        <is>
          <t>Team pitch/business plan</t>
        </is>
      </c>
      <c r="AF316" s="77">
        <f>IF(OR(V316="No",X316="No",Z316="No"),"Outside strict definition",IF(AND(V316="Yes",X316="Yes",Z316="Yes"),"Meets all three","Potentially relevant; evidence incomplete"))</f>
        <v/>
      </c>
      <c r="AG316" s="77" t="inlineStr">
        <is>
          <t>Current status unclear</t>
        </is>
      </c>
      <c r="AH316" s="77" t="inlineStr">
        <is>
          <t>2024</t>
        </is>
      </c>
      <c r="AI316" s="77" t="inlineStr">
        <is>
          <t>Yes</t>
        </is>
      </c>
      <c r="AJ316" s="77">
        <f>IF(AND(AI316="Yes",AF316="Meets all three",AG316="Current delivery confirmed"),"Yes","No")</f>
        <v/>
      </c>
      <c r="AK316" s="77" t="inlineStr">
        <is>
          <t>~50 students (2024)</t>
        </is>
      </c>
      <c r="AL316" s="77" t="inlineStr">
        <is>
          <t>RG19-S09-R1</t>
        </is>
      </c>
      <c r="AM316" s="77" t="inlineStr">
        <is>
          <t>Simulation vs live brief; no 2025/26 dates.</t>
        </is>
      </c>
      <c r="AN316" s="77" t="inlineStr"/>
      <c r="AO316" s="77" t="inlineStr">
        <is>
          <t>UK</t>
        </is>
      </c>
      <c r="AP316" s="77" t="inlineStr">
        <is>
          <t>UK – Russell Group</t>
        </is>
      </c>
      <c r="AQ316" s="77" t="inlineStr">
        <is>
          <t>&lt;1 week</t>
        </is>
      </c>
      <c r="AR316" s="77" t="inlineStr">
        <is>
          <t>Unclear</t>
        </is>
      </c>
      <c r="AS316" s="77" t="inlineStr"/>
    </row>
    <row r="317">
      <c r="A317" s="77" t="inlineStr">
        <is>
          <t>RG19</t>
        </is>
      </c>
      <c r="B317" s="77" t="inlineStr">
        <is>
          <t>Queen’s University Belfast</t>
        </is>
      </c>
      <c r="C317" s="77" t="inlineStr">
        <is>
          <t>Faculty/school</t>
        </is>
      </c>
      <c r="D317" s="77" t="inlineStr">
        <is>
          <t>RG19-S10</t>
        </is>
      </c>
      <c r="E317" s="77" t="inlineStr"/>
      <c r="F317" s="77" t="inlineStr">
        <is>
          <t>No</t>
        </is>
      </c>
      <c r="G317" s="79" t="inlineStr">
        <is>
          <t>Data for Good Hackathon (Queen's Business School)</t>
        </is>
      </c>
      <c r="H317" s="77" t="inlineStr">
        <is>
          <t>Data for Good Hackathon</t>
        </is>
      </c>
      <c r="I317" s="77" t="inlineStr"/>
      <c r="J317" s="77" t="inlineStr">
        <is>
          <t>Two-day hackathon in which students from MBA, Business Analytics, Management and International Business programmes use open NI health data to address GP-practice problems with industry mentors (EY, PwC, FinTrU, Kainos in 2024). A 2026 edition was listed for 11-12 June 2026.</t>
        </is>
      </c>
      <c r="K317" s="77" t="inlineStr">
        <is>
          <t>Queen's Business School (Dr Byron Graham)</t>
        </is>
      </c>
      <c r="L317" s="77" t="inlineStr">
        <is>
          <t>Business School postgraduate programmes</t>
        </is>
      </c>
      <c r="M317" s="77" t="inlineStr">
        <is>
          <t>Business/management</t>
        </is>
      </c>
      <c r="N317" s="77" t="inlineStr">
        <is>
          <t>Postgraduate taught</t>
        </is>
      </c>
      <c r="O317" s="77" t="inlineStr"/>
      <c r="P317" s="77" t="inlineStr"/>
      <c r="Q317" s="77" t="inlineStr">
        <is>
          <t>Optional/elective</t>
        </is>
      </c>
      <c r="R317" s="77" t="inlineStr">
        <is>
          <t>Extracurricular</t>
        </is>
      </c>
      <c r="S317" s="77" t="inlineStr">
        <is>
          <t>None evidenced</t>
        </is>
      </c>
      <c r="T317" s="77" t="inlineStr">
        <is>
          <t>2 days</t>
        </is>
      </c>
      <c r="U317" s="77" t="inlineStr">
        <is>
          <t>In person, training day beforehand</t>
        </is>
      </c>
      <c r="V317" s="77" t="inlineStr">
        <is>
          <t>Unclear</t>
        </is>
      </c>
      <c r="W317" s="77" t="inlineStr">
        <is>
          <t>Problem-focused data challenge; defined output for an organisation not evidenced.</t>
        </is>
      </c>
      <c r="X317" s="77" t="inlineStr">
        <is>
          <t>Yes</t>
        </is>
      </c>
      <c r="Y317" s="77" t="inlineStr">
        <is>
          <t>'Teams worked on NI health service problems' (source 1).</t>
        </is>
      </c>
      <c r="Z317" s="77" t="inlineStr">
        <is>
          <t>Unclear</t>
        </is>
      </c>
      <c r="AA317" s="77" t="inlineStr">
        <is>
          <t>Industry mentors only; no organisation evidenced as setting the brief or receiving outputs.</t>
        </is>
      </c>
      <c r="AB317" s="77" t="inlineStr">
        <is>
          <t>Business/commercial</t>
        </is>
      </c>
      <c r="AC317" s="77" t="inlineStr">
        <is>
          <t>Mentors.</t>
        </is>
      </c>
      <c r="AD317" s="77" t="inlineStr">
        <is>
          <t>Mentors 2024: EY, PwC, FinTrU, Kainos</t>
        </is>
      </c>
      <c r="AE317" s="77" t="inlineStr">
        <is>
          <t>Data-driven solution (format not evidenced)</t>
        </is>
      </c>
      <c r="AF317" s="77">
        <f>IF(OR(V317="No",X317="No",Z317="No"),"Outside strict definition",IF(AND(V317="Yes",X317="Yes",Z317="Yes"),"Meets all three","Potentially relevant; evidence incomplete"))</f>
        <v/>
      </c>
      <c r="AG317" s="77" t="inlineStr">
        <is>
          <t>Current status unclear</t>
        </is>
      </c>
      <c r="AH317" s="77" t="inlineStr">
        <is>
          <t>2026 listing / 2024 delivered</t>
        </is>
      </c>
      <c r="AI317" s="77" t="inlineStr">
        <is>
          <t>Yes</t>
        </is>
      </c>
      <c r="AJ317" s="77">
        <f>IF(AND(AI317="Yes",AF317="Meets all three",AG317="Current delivery confirmed"),"Yes","No")</f>
        <v/>
      </c>
      <c r="AK317" s="77" t="inlineStr"/>
      <c r="AL317" s="77" t="inlineStr">
        <is>
          <t>RG19-S10-R1; RG19-S10-R2</t>
        </is>
      </c>
      <c r="AM317" s="77" t="inlineStr">
        <is>
          <t>Who sets the problem and who receives outputs; whether 2026 edition ran.</t>
        </is>
      </c>
      <c r="AN317" s="77" t="inlineStr"/>
      <c r="AO317" s="77" t="inlineStr">
        <is>
          <t>UK</t>
        </is>
      </c>
      <c r="AP317" s="77" t="inlineStr">
        <is>
          <t>UK – Russell Group</t>
        </is>
      </c>
      <c r="AQ317" s="77" t="inlineStr">
        <is>
          <t>&lt;1 week</t>
        </is>
      </c>
      <c r="AR317" s="77" t="inlineStr">
        <is>
          <t>Unclear</t>
        </is>
      </c>
      <c r="AS317" s="77" t="inlineStr"/>
    </row>
    <row r="318">
      <c r="A318" s="77" t="inlineStr">
        <is>
          <t>RG19</t>
        </is>
      </c>
      <c r="B318" s="77" t="inlineStr">
        <is>
          <t>Queen’s University Belfast</t>
        </is>
      </c>
      <c r="C318" s="77" t="inlineStr">
        <is>
          <t>Faculty/school</t>
        </is>
      </c>
      <c r="D318" s="77" t="inlineStr">
        <is>
          <t>RG19-S11</t>
        </is>
      </c>
      <c r="E318" s="77" t="inlineStr"/>
      <c r="F318" s="77" t="inlineStr">
        <is>
          <t>No</t>
        </is>
      </c>
      <c r="G318" s="79" t="inlineStr">
        <is>
          <t>Sponsor a Student Project (School of Mechanical and Aerospace Engineering)</t>
        </is>
      </c>
      <c r="H318" s="77" t="inlineStr">
        <is>
          <t>Industry-sponsored final-year projects</t>
        </is>
      </c>
      <c r="I318" s="77" t="inlineStr"/>
      <c r="J318" s="77" t="inlineStr">
        <is>
          <t>Scheme linking final-year students with industrial sponsors: sponsor joins a fortnightly 30-minute supervision meeting, covers hardware costs, and receives the final report and artefacts.</t>
        </is>
      </c>
      <c r="K318" s="77" t="inlineStr">
        <is>
          <t>School of Mechanical and Aerospace Engineering</t>
        </is>
      </c>
      <c r="L318" s="77" t="inlineStr">
        <is>
          <t>Final-year mechanical/aerospace students</t>
        </is>
      </c>
      <c r="M318" s="77" t="inlineStr">
        <is>
          <t>Engineering/computing</t>
        </is>
      </c>
      <c r="N318" s="77" t="inlineStr">
        <is>
          <t>Undergraduate</t>
        </is>
      </c>
      <c r="O318" s="77" t="inlineStr">
        <is>
          <t>Final year</t>
        </is>
      </c>
      <c r="P318" s="77" t="inlineStr"/>
      <c r="Q318" s="77" t="inlineStr">
        <is>
          <t>Unclear</t>
        </is>
      </c>
      <c r="R318" s="77" t="inlineStr">
        <is>
          <t>Curricular</t>
        </is>
      </c>
      <c r="S318" s="77" t="inlineStr">
        <is>
          <t>Final-year project (credit not seen)</t>
        </is>
      </c>
      <c r="T318" s="77" t="inlineStr">
        <is>
          <t>Academic year</t>
        </is>
      </c>
      <c r="U318" s="77" t="inlineStr">
        <is>
          <t>Supervision meeting with academic and student</t>
        </is>
      </c>
      <c r="V318" s="77" t="inlineStr">
        <is>
          <t>Yes</t>
        </is>
      </c>
      <c r="W318" s="77" t="inlineStr">
        <is>
          <t>Sponsored final-year project with final report and artefacts (source 1).</t>
        </is>
      </c>
      <c r="X318" s="77" t="inlineStr">
        <is>
          <t>Unclear</t>
        </is>
      </c>
      <c r="Y318" s="77" t="inlineStr">
        <is>
          <t>Page refers to 'the academic supervisor and student'; appears individual but not stated.</t>
        </is>
      </c>
      <c r="Z318" s="77" t="inlineStr">
        <is>
          <t>Yes</t>
        </is>
      </c>
      <c r="AA318" s="77" t="inlineStr">
        <is>
          <t>Sponsor attends supervision meetings, funds hardware, receives report (source 1).</t>
        </is>
      </c>
      <c r="AB318" s="77" t="inlineStr">
        <is>
          <t>Business/commercial</t>
        </is>
      </c>
      <c r="AC318" s="77" t="inlineStr">
        <is>
          <t>Sponsor/supervision participant; receives deliverables.</t>
        </is>
      </c>
      <c r="AD318" s="77" t="inlineStr"/>
      <c r="AE318" s="77" t="inlineStr">
        <is>
          <t>Final report and artefacts</t>
        </is>
      </c>
      <c r="AF318" s="77">
        <f>IF(OR(V318="No",X318="No",Z318="No"),"Outside strict definition",IF(AND(V318="Yes",X318="Yes",Z318="Yes"),"Meets all three","Potentially relevant; evidence incomplete"))</f>
        <v/>
      </c>
      <c r="AG318" s="77" t="inlineStr">
        <is>
          <t>Current status unclear</t>
        </is>
      </c>
      <c r="AH318" s="77" t="inlineStr">
        <is>
          <t>undated (page indexed ~3 years old)</t>
        </is>
      </c>
      <c r="AI318" s="77" t="inlineStr">
        <is>
          <t>Yes</t>
        </is>
      </c>
      <c r="AJ318" s="77">
        <f>IF(AND(AI318="Yes",AF318="Meets all three",AG318="Current delivery confirmed"),"Yes","No")</f>
        <v/>
      </c>
      <c r="AK318" s="77" t="inlineStr"/>
      <c r="AL318" s="77" t="inlineStr">
        <is>
          <t>RG19-S11-R1</t>
        </is>
      </c>
      <c r="AM318" s="77" t="inlineStr">
        <is>
          <t>Group vs individual; currency; number of sponsored projects.</t>
        </is>
      </c>
      <c r="AN318" s="77" t="inlineStr"/>
      <c r="AO318" s="77" t="inlineStr">
        <is>
          <t>UK</t>
        </is>
      </c>
      <c r="AP318" s="77" t="inlineStr">
        <is>
          <t>UK – Russell Group</t>
        </is>
      </c>
      <c r="AQ318" s="77" t="inlineStr">
        <is>
          <t>&gt;1 term</t>
        </is>
      </c>
      <c r="AR318" s="77" t="inlineStr">
        <is>
          <t>Some projects</t>
        </is>
      </c>
      <c r="AS318" s="77" t="inlineStr"/>
    </row>
    <row r="319">
      <c r="A319" s="77" t="inlineStr">
        <is>
          <t>RG20</t>
        </is>
      </c>
      <c r="B319" s="77" t="inlineStr">
        <is>
          <t>Sheffield</t>
        </is>
      </c>
      <c r="C319" s="77" t="inlineStr">
        <is>
          <t>Faculty/school</t>
        </is>
      </c>
      <c r="D319" s="77" t="inlineStr">
        <is>
          <t>RG20-S01</t>
        </is>
      </c>
      <c r="E319" s="77" t="inlineStr"/>
      <c r="F319" s="77" t="inlineStr">
        <is>
          <t>No</t>
        </is>
      </c>
      <c r="G319" s="79" t="inlineStr">
        <is>
          <t>Global Engineering Challenge (GEC)</t>
        </is>
      </c>
      <c r="H319" s="77" t="inlineStr">
        <is>
          <t>Global Engineering Challenge (GEC)</t>
        </is>
      </c>
      <c r="I319" s="77" t="inlineStr"/>
      <c r="J319" s="77" t="inlineStr">
        <is>
          <t>Compulsory first-year project week in the Faculty of Engineering. Students are allocated (after stating preferences) to deliberately mixed-discipline teams within facilitated 'Hubs' rooms. In 2026 (GEC26) projects were based in Sheffield neighbourhoods identified by Sheffield City Council as priorities for community-led improvement and developed in partnership with the Council; engineering-company industry mentors attend a mid-week mentor day giving feedback. Teams compile a report and present their solution on the final Friday.</t>
        </is>
      </c>
      <c r="K319" s="77" t="inlineStr">
        <is>
          <t>Faculty of Engineering (Diamond / project weeks team)</t>
        </is>
      </c>
      <c r="L319" s="77" t="inlineStr">
        <is>
          <t>First-year students on Faculty of Engineering programmes (Computer Science and Civil Engineering pages also describe GEC)</t>
        </is>
      </c>
      <c r="M319" s="77" t="inlineStr">
        <is>
          <t>Engineering/computing</t>
        </is>
      </c>
      <c r="N319" s="77" t="inlineStr">
        <is>
          <t>Undergraduate</t>
        </is>
      </c>
      <c r="O319" s="77" t="inlineStr">
        <is>
          <t>Year 1</t>
        </is>
      </c>
      <c r="P319" s="77" t="inlineStr">
        <is>
          <t>First-year Engineering undergraduates</t>
        </is>
      </c>
      <c r="Q319" s="77" t="inlineStr">
        <is>
          <t>Compulsory within specified programmes</t>
        </is>
      </c>
      <c r="R319" s="77" t="inlineStr">
        <is>
          <t>Curricular</t>
        </is>
      </c>
      <c r="S319" s="77" t="inlineStr">
        <is>
          <t>Embedded in first-year engineering curriculum; credit weighting not retrieved</t>
        </is>
      </c>
      <c r="T319" s="77" t="inlineStr">
        <is>
          <t>One project week (2026: within 26 Jan - 6 Feb 2026 project-weeks period)</t>
        </is>
      </c>
      <c r="U319" s="77" t="inlineStr">
        <is>
          <t>In person, Hubs rooms with PhD facilitator and staff member per hub</t>
        </is>
      </c>
      <c r="V319" s="77" t="inlineStr">
        <is>
          <t>Yes</t>
        </is>
      </c>
      <c r="W319" s="77" t="inlineStr">
        <is>
          <t>Defined challenge per team; teams compile a report and present their solution on the final Friday [1].</t>
        </is>
      </c>
      <c r="X319" s="77" t="inlineStr">
        <is>
          <t>Yes</t>
        </is>
      </c>
      <c r="Y319" s="77" t="inlineStr">
        <is>
          <t>1,547 first-year students in 258 deliberately mixed-discipline teams in 2026 [1].</t>
        </is>
      </c>
      <c r="Z319" s="77" t="inlineStr">
        <is>
          <t>Yes</t>
        </is>
      </c>
      <c r="AA319" s="77" t="inlineStr">
        <is>
          <t>GEC26 projects focus on Sheffield neighbourhoods identified by Sheffield City Council and are described as developed in partnership with the Council (public-sector partner supplies the problem context) [2]; industry mentors from engineering companies attend the mentor day and give feedback on projects/presentations [2][3]. Council role in assessment/receiving outputs not evidenced.</t>
        </is>
      </c>
      <c r="AB319" s="77" t="inlineStr">
        <is>
          <t>Mixed</t>
        </is>
      </c>
      <c r="AC319" s="77" t="inlineStr">
        <is>
          <t>Sheffield City Council: co-develops project themes (priority neighbourhoods). Industry mentors (engineering companies): feedback on student projects and presentations on mentor day.</t>
        </is>
      </c>
      <c r="AD319" s="77" t="inlineStr">
        <is>
          <t>Sheffield City Council (GEC26, 2026)</t>
        </is>
      </c>
      <c r="AE319" s="77" t="inlineStr">
        <is>
          <t>Team report and final presentation of solution</t>
        </is>
      </c>
      <c r="AF319" s="77">
        <f>IF(OR(V319="No",X319="No",Z319="No"),"Outside strict definition",IF(AND(V319="Yes",X319="Yes",Z319="Yes"),"Meets all three","Potentially relevant; evidence incomplete"))</f>
        <v/>
      </c>
      <c r="AG319" s="77" t="inlineStr">
        <is>
          <t>Current delivery confirmed</t>
        </is>
      </c>
      <c r="AH319" s="77" t="inlineStr">
        <is>
          <t>2026</t>
        </is>
      </c>
      <c r="AI319" s="77" t="inlineStr">
        <is>
          <t>Yes</t>
        </is>
      </c>
      <c r="AJ319" s="77">
        <f>IF(AND(AI319="Yes",AF319="Meets all three",AG319="Current delivery confirmed"),"Yes","No")</f>
        <v/>
      </c>
      <c r="AK319" s="77" t="inlineStr">
        <is>
          <t>1,547 first-year students in 258 teams (2026); project weeks overall supported by 120 industry mentors (2026)</t>
        </is>
      </c>
      <c r="AL319" s="77" t="inlineStr">
        <is>
          <t>RG20-S01-R1; RG20-S01-R2; RG20-S01-R3</t>
        </is>
      </c>
      <c r="AM319" s="77" t="inlineStr">
        <is>
          <t>Annual partner varies (2026 = Sheffield City Council); whether the Council receives outputs or judges; one-week duration is short. Evidence via search-summary paraphrase only.</t>
        </is>
      </c>
      <c r="AN319" s="77" t="inlineStr">
        <is>
          <t>Global Engineering Challenge / Engineering: You’re Hired!</t>
        </is>
      </c>
      <c r="AO319" s="77" t="inlineStr">
        <is>
          <t>UK</t>
        </is>
      </c>
      <c r="AP319" s="77" t="inlineStr">
        <is>
          <t>UK – Russell Group</t>
        </is>
      </c>
      <c r="AQ319" s="77" t="inlineStr">
        <is>
          <t>1–4 weeks</t>
        </is>
      </c>
      <c r="AR319" s="77" t="inlineStr">
        <is>
          <t>All/standard</t>
        </is>
      </c>
      <c r="AS319" s="77" t="inlineStr"/>
    </row>
    <row r="320">
      <c r="A320" s="77" t="inlineStr">
        <is>
          <t>RG20</t>
        </is>
      </c>
      <c r="B320" s="77" t="inlineStr">
        <is>
          <t>Sheffield</t>
        </is>
      </c>
      <c r="C320" s="77" t="inlineStr">
        <is>
          <t>Faculty/school</t>
        </is>
      </c>
      <c r="D320" s="77" t="inlineStr">
        <is>
          <t>RG20-S02</t>
        </is>
      </c>
      <c r="E320" s="77" t="inlineStr"/>
      <c r="F320" s="77" t="inlineStr">
        <is>
          <t>No</t>
        </is>
      </c>
      <c r="G320" s="79" t="inlineStr">
        <is>
          <t>Engineering: You're Hired! (EYH)</t>
        </is>
      </c>
      <c r="H320" s="77" t="inlineStr">
        <is>
          <t>Engineering: You're Hired! (EYH)</t>
        </is>
      </c>
      <c r="I320" s="77" t="inlineStr"/>
      <c r="J320" s="77" t="inlineStr">
        <is>
          <t>Compulsory week-long second-year interdisciplinary project week in the Faculty of Engineering. Teams of about six respond to briefs based on problems provided by industrial partners (example briefs: swarm-robot precision-agriculture monitoring; fuel-efficient autonomous road vehicle), aiming to take a proposed solution to proof-of-concept stage. Industry mentors give feedback on projects and presentations; senior industry mentors sit with a staff member and PhD facilitator on a panel to which teams pitch for hypothetical funding.</t>
        </is>
      </c>
      <c r="K320" s="77" t="inlineStr">
        <is>
          <t>Faculty of Engineering</t>
        </is>
      </c>
      <c r="L320" s="77" t="inlineStr">
        <is>
          <t>Second-year students on Faculty of Engineering programmes</t>
        </is>
      </c>
      <c r="M320" s="77" t="inlineStr">
        <is>
          <t>Engineering/computing</t>
        </is>
      </c>
      <c r="N320" s="77" t="inlineStr">
        <is>
          <t>Undergraduate</t>
        </is>
      </c>
      <c r="O320" s="77" t="inlineStr">
        <is>
          <t>Year 2</t>
        </is>
      </c>
      <c r="P320" s="77" t="inlineStr">
        <is>
          <t>Second-year Engineering undergraduates</t>
        </is>
      </c>
      <c r="Q320" s="77" t="inlineStr">
        <is>
          <t>Compulsory within specified programmes</t>
        </is>
      </c>
      <c r="R320" s="77" t="inlineStr">
        <is>
          <t>Curricular</t>
        </is>
      </c>
      <c r="S320" s="77" t="inlineStr">
        <is>
          <t>Pass/fail</t>
        </is>
      </c>
      <c r="T320" s="77" t="inlineStr">
        <is>
          <t>One week (early February 2026)</t>
        </is>
      </c>
      <c r="U320" s="77" t="inlineStr">
        <is>
          <t>In person, Hubs rooms</t>
        </is>
      </c>
      <c r="V320" s="77" t="inlineStr">
        <is>
          <t>Yes</t>
        </is>
      </c>
      <c r="W320" s="77" t="inlineStr">
        <is>
          <t>Industry-based brief; teams develop solution and proposal to proof-of-concept stage and pitch it [1][2].</t>
        </is>
      </c>
      <c r="X320" s="77" t="inlineStr">
        <is>
          <t>Yes</t>
        </is>
      </c>
      <c r="Y320" s="77" t="inlineStr">
        <is>
          <t>Interdisciplinary teams of about six; 1,448 students in 256 teams in 2026 [1][2].</t>
        </is>
      </c>
      <c r="Z320" s="77" t="inlineStr">
        <is>
          <t>Yes</t>
        </is>
      </c>
      <c r="AA320" s="77" t="inlineStr">
        <is>
          <t>Projects described as based on problems provided by industrial partners (another passage says 'industry-inspired briefs') [2]; industry mentors provide feedback and senior mentors form the pitch panel that judges projects [3][4].</t>
        </is>
      </c>
      <c r="AB320" s="77" t="inlineStr">
        <is>
          <t>Business/commercial</t>
        </is>
      </c>
      <c r="AC320" s="77" t="inlineStr">
        <is>
          <t>Industrial partners provide problems; industry mentors give feedback; senior mentors judge pitches (hypothetical funding).</t>
        </is>
      </c>
      <c r="AD320" s="77" t="inlineStr"/>
      <c r="AE320" s="77" t="inlineStr">
        <is>
          <t>Proof-of-concept solution, project proposal and pitch presentation</t>
        </is>
      </c>
      <c r="AF320" s="77">
        <f>IF(OR(V320="No",X320="No",Z320="No"),"Outside strict definition",IF(AND(V320="Yes",X320="Yes",Z320="Yes"),"Meets all three","Potentially relevant; evidence incomplete"))</f>
        <v/>
      </c>
      <c r="AG320" s="77" t="inlineStr">
        <is>
          <t>Current delivery confirmed</t>
        </is>
      </c>
      <c r="AH320" s="77" t="inlineStr">
        <is>
          <t>2026</t>
        </is>
      </c>
      <c r="AI320" s="77" t="inlineStr">
        <is>
          <t>Yes</t>
        </is>
      </c>
      <c r="AJ320" s="77">
        <f>IF(AND(AI320="Yes",AF320="Meets all three",AG320="Current delivery confirmed"),"Yes","No")</f>
        <v/>
      </c>
      <c r="AK320" s="77" t="inlineStr">
        <is>
          <t>1,448 second-year students in 256 teams (2026); 120 industry mentors across 2026 project weeks</t>
        </is>
      </c>
      <c r="AL320" s="77" t="inlineStr">
        <is>
          <t>RG20-S02-R1; RG20-S02-R2; RG20-S02-R3; RG20-S02-R4</t>
        </is>
      </c>
      <c r="AM320" s="77" t="inlineStr">
        <is>
          <t>Wording varies between 'problems provided by industrial partners' and 'industry-inspired briefs'; individual company names per brief not retrieved. One-week format.</t>
        </is>
      </c>
      <c r="AN320" s="77" t="inlineStr">
        <is>
          <t>Global Engineering Challenge / Engineering: You’re Hired!</t>
        </is>
      </c>
      <c r="AO320" s="77" t="inlineStr">
        <is>
          <t>UK</t>
        </is>
      </c>
      <c r="AP320" s="77" t="inlineStr">
        <is>
          <t>UK – Russell Group</t>
        </is>
      </c>
      <c r="AQ320" s="77" t="inlineStr">
        <is>
          <t>1–4 weeks</t>
        </is>
      </c>
      <c r="AR320" s="77" t="inlineStr">
        <is>
          <t>All/standard</t>
        </is>
      </c>
      <c r="AS320" s="77" t="inlineStr"/>
    </row>
    <row r="321">
      <c r="A321" s="77" t="inlineStr">
        <is>
          <t>RG20</t>
        </is>
      </c>
      <c r="B321" s="77" t="inlineStr">
        <is>
          <t>Sheffield</t>
        </is>
      </c>
      <c r="C321" s="77" t="inlineStr">
        <is>
          <t>Cross-faculty</t>
        </is>
      </c>
      <c r="D321" s="77" t="inlineStr">
        <is>
          <t>RG20-S03</t>
        </is>
      </c>
      <c r="E321" s="77" t="inlineStr"/>
      <c r="F321" s="77" t="inlineStr">
        <is>
          <t>No</t>
        </is>
      </c>
      <c r="G321" s="79" t="inlineStr">
        <is>
          <t>Spring Internship Experience</t>
        </is>
      </c>
      <c r="H321" s="77" t="inlineStr">
        <is>
          <t>Spring Internship Experience</t>
        </is>
      </c>
      <c r="I321" s="77" t="inlineStr"/>
      <c r="J321" s="77" t="inlineStr">
        <is>
          <t>Week-long, scaffolded work-experience scheme run by Careers &amp; Employability over the Easter/spring break, first run in 2026. Students from the Faculties of Arts &amp; Humanities and Social Sciences worked in interdisciplinary teams (mixing subjects and year groups) on externally-provided projects from SMEs, charities, media and multinational firms and government bodies (incl. Civil Service/government departments), producing outputs such as policy recommendations; careers staff supervised teams.</t>
        </is>
      </c>
      <c r="K321" s="77" t="inlineStr">
        <is>
          <t>Careers &amp; Employability Service</t>
        </is>
      </c>
      <c r="L321" s="77" t="inlineStr">
        <is>
          <t>Faculty of Arts &amp; Humanities and Faculty of Social Sciences students</t>
        </is>
      </c>
      <c r="M321" s="77" t="inlineStr">
        <is>
          <t>Central provision; Arts/humanities/social sciences</t>
        </is>
      </c>
      <c r="N321" s="77" t="inlineStr">
        <is>
          <t>Unclear</t>
        </is>
      </c>
      <c r="O321" s="77" t="inlineStr">
        <is>
          <t>Mixed year groups</t>
        </is>
      </c>
      <c r="P321" s="77" t="inlineStr">
        <is>
          <t>Arts &amp; Humanities and Social Sciences students; open, non-competitive access for applicants</t>
        </is>
      </c>
      <c r="Q321" s="77" t="inlineStr">
        <is>
          <t>Optional/elective</t>
        </is>
      </c>
      <c r="R321" s="77" t="inlineStr">
        <is>
          <t>Extracurricular</t>
        </is>
      </c>
      <c r="S321" s="77" t="inlineStr">
        <is>
          <t>Not credit-bearing (not evidenced)</t>
        </is>
      </c>
      <c r="T321" s="77" t="inlineStr">
        <is>
          <t>One week (2026 spring break)</t>
        </is>
      </c>
      <c r="U321" s="77" t="inlineStr">
        <is>
          <t>Team projects with professional development workshops</t>
        </is>
      </c>
      <c r="V321" s="77" t="inlineStr">
        <is>
          <t>Yes</t>
        </is>
      </c>
      <c r="W321" s="77" t="inlineStr">
        <is>
          <t>Over 85 externally-provided projects; outputs included policy recommendations and work described by a partner as actionable [1].</t>
        </is>
      </c>
      <c r="X321" s="77" t="inlineStr">
        <is>
          <t>Yes</t>
        </is>
      </c>
      <c r="Y321" s="77" t="inlineStr">
        <is>
          <t>Interdisciplinary teams (e.g., Accountancy/Economics with English/Philosophy students); careers staff facilitated teamwork [1].</t>
        </is>
      </c>
      <c r="Z321" s="77" t="inlineStr">
        <is>
          <t>Yes</t>
        </is>
      </c>
      <c r="AA321" s="77" t="inlineStr">
        <is>
          <t>60+ partner organisations supplied the projects and received outputs; Department for Education praised a group's policy recommendations; Berneslai Homes called the work actionable [1].</t>
        </is>
      </c>
      <c r="AB321" s="77" t="inlineStr">
        <is>
          <t>Mixed</t>
        </is>
      </c>
      <c r="AC321" s="77" t="inlineStr">
        <is>
          <t>Partners provide project briefs and receive team outputs; supervision by careers staff.</t>
        </is>
      </c>
      <c r="AD321" s="77" t="inlineStr">
        <is>
          <t>Department for Education; Berneslai Homes; Civil Service (2026)</t>
        </is>
      </c>
      <c r="AE321" s="77" t="inlineStr">
        <is>
          <t>Team recommendations/outputs to partner organisation</t>
        </is>
      </c>
      <c r="AF321" s="77">
        <f>IF(OR(V321="No",X321="No",Z321="No"),"Outside strict definition",IF(AND(V321="Yes",X321="Yes",Z321="Yes"),"Meets all three","Potentially relevant; evidence incomplete"))</f>
        <v/>
      </c>
      <c r="AG321" s="77" t="inlineStr">
        <is>
          <t>Current delivery confirmed</t>
        </is>
      </c>
      <c r="AH321" s="77" t="inlineStr">
        <is>
          <t>2026</t>
        </is>
      </c>
      <c r="AI321" s="77" t="inlineStr">
        <is>
          <t>Yes</t>
        </is>
      </c>
      <c r="AJ321" s="77">
        <f>IF(AND(AI321="Yes",AF321="Meets all three",AG321="Current delivery confirmed"),"Yes","No")</f>
        <v/>
      </c>
      <c r="AK321" s="77" t="inlineStr">
        <is>
          <t>630 students; 60+ partner organisations; 85+ projects (2026, first edition)</t>
        </is>
      </c>
      <c r="AL321" s="77" t="inlineStr">
        <is>
          <t>RG20-S03-R1</t>
        </is>
      </c>
      <c r="AM321" s="77" t="inlineStr">
        <is>
          <t>Whether it will recur in 2027; student level (UG/PG) not stated; relationship to Management School Easter micro-internship (S4).</t>
        </is>
      </c>
      <c r="AN321" s="77" t="inlineStr"/>
      <c r="AO321" s="77" t="inlineStr">
        <is>
          <t>UK</t>
        </is>
      </c>
      <c r="AP321" s="77" t="inlineStr">
        <is>
          <t>UK – Russell Group</t>
        </is>
      </c>
      <c r="AQ321" s="77" t="inlineStr">
        <is>
          <t>&lt;1 week</t>
        </is>
      </c>
      <c r="AR321" s="77" t="inlineStr">
        <is>
          <t>All/standard</t>
        </is>
      </c>
      <c r="AS321" s="77" t="inlineStr"/>
    </row>
    <row r="322">
      <c r="A322" s="77" t="inlineStr">
        <is>
          <t>RG20</t>
        </is>
      </c>
      <c r="B322" s="77" t="inlineStr">
        <is>
          <t>Sheffield</t>
        </is>
      </c>
      <c r="C322" s="77" t="inlineStr">
        <is>
          <t>Programme/course</t>
        </is>
      </c>
      <c r="D322" s="77" t="inlineStr">
        <is>
          <t>RG20-S04</t>
        </is>
      </c>
      <c r="E322" s="77" t="inlineStr"/>
      <c r="F322" s="77" t="inlineStr">
        <is>
          <t>No</t>
        </is>
      </c>
      <c r="G322" s="79" t="inlineStr">
        <is>
          <t>Management School Easter micro-internship (group client brief)</t>
        </is>
      </c>
      <c r="H322" s="77" t="inlineStr">
        <is>
          <t>Management School Easter micro-internship (group client brief)</t>
        </is>
      </c>
      <c r="I322" s="77" t="inlineStr"/>
      <c r="J322" s="77" t="inlineStr">
        <is>
          <t>Course pages for the Management MSc, Management and International Business MSc and Business Management and Economics BA describe a one-week micro-internship in the Easter break in which students, working in groups, respond to a client brief from an external organisation, supported by employability staff and tailored training. Probably the course-page description of the 2026 Spring Internship Experience (S3) for Management School students.</t>
        </is>
      </c>
      <c r="K322" s="77" t="inlineStr">
        <is>
          <t>Sheffield University Management School / employability team</t>
        </is>
      </c>
      <c r="L322" s="77" t="inlineStr">
        <is>
          <t>Management MSc; Management and International Business MSc; Business Management and Economics BA</t>
        </is>
      </c>
      <c r="M322" s="77" t="inlineStr">
        <is>
          <t>Business/management</t>
        </is>
      </c>
      <c r="N322" s="77" t="inlineStr">
        <is>
          <t>Mixed</t>
        </is>
      </c>
      <c r="O322" s="77" t="inlineStr"/>
      <c r="P322" s="77" t="inlineStr">
        <is>
          <t>Named programmes</t>
        </is>
      </c>
      <c r="Q322" s="77" t="inlineStr">
        <is>
          <t>Optional/elective</t>
        </is>
      </c>
      <c r="R322" s="77" t="inlineStr">
        <is>
          <t>Extracurricular</t>
        </is>
      </c>
      <c r="S322" s="77" t="inlineStr">
        <is>
          <t>Not evidenced</t>
        </is>
      </c>
      <c r="T322" s="77" t="inlineStr">
        <is>
          <t>One week, Easter break</t>
        </is>
      </c>
      <c r="U322" s="77" t="inlineStr">
        <is>
          <t>Group work on client brief</t>
        </is>
      </c>
      <c r="V322" s="77" t="inlineStr">
        <is>
          <t>Yes</t>
        </is>
      </c>
      <c r="W322" s="77" t="inlineStr">
        <is>
          <t>Groups respond to a client brief from an external organisation [1][2].</t>
        </is>
      </c>
      <c r="X322" s="77" t="inlineStr">
        <is>
          <t>Yes</t>
        </is>
      </c>
      <c r="Y322" s="77" t="inlineStr">
        <is>
          <t>'Working in a group' [1].</t>
        </is>
      </c>
      <c r="Z322" s="77" t="inlineStr">
        <is>
          <t>Yes</t>
        </is>
      </c>
      <c r="AA322" s="77" t="inlineStr">
        <is>
          <t>External organisation supplies the client brief [1][2].</t>
        </is>
      </c>
      <c r="AB322" s="77" t="inlineStr">
        <is>
          <t>Unclear</t>
        </is>
      </c>
      <c r="AC322" s="77" t="inlineStr">
        <is>
          <t>External organisation sets client brief</t>
        </is>
      </c>
      <c r="AD322" s="77" t="inlineStr"/>
      <c r="AE322" s="77" t="inlineStr">
        <is>
          <t>Response to client brief (format not stated)</t>
        </is>
      </c>
      <c r="AF322" s="77">
        <f>IF(OR(V322="No",X322="No",Z322="No"),"Outside strict definition",IF(AND(V322="Yes",X322="Yes",Z322="Yes"),"Meets all three","Potentially relevant; evidence incomplete"))</f>
        <v/>
      </c>
      <c r="AG322" s="77" t="inlineStr">
        <is>
          <t>Current delivery confirmed</t>
        </is>
      </c>
      <c r="AH322" s="77" t="inlineStr">
        <is>
          <t>2027 entry (course page)</t>
        </is>
      </c>
      <c r="AI322" s="77" t="inlineStr">
        <is>
          <t>No</t>
        </is>
      </c>
      <c r="AJ322" s="77">
        <f>IF(AND(AI322="Yes",AF322="Meets all three",AG322="Current delivery confirmed"),"Yes","No")</f>
        <v/>
      </c>
      <c r="AK322" s="77" t="inlineStr"/>
      <c r="AL322" s="77" t="inlineStr">
        <is>
          <t>RG20-S04-R1; RG20-S04-R2; RG20-S04-R3</t>
        </is>
      </c>
      <c r="AM322" s="77" t="inlineStr">
        <is>
          <t>Probably the same delivery as S3; organisations not named.</t>
        </is>
      </c>
      <c r="AN322" s="77" t="inlineStr"/>
      <c r="AO322" s="77" t="inlineStr">
        <is>
          <t>UK</t>
        </is>
      </c>
      <c r="AP322" s="77" t="inlineStr">
        <is>
          <t>UK – Russell Group</t>
        </is>
      </c>
      <c r="AQ322" s="77" t="inlineStr">
        <is>
          <t>&lt;1 week</t>
        </is>
      </c>
      <c r="AR322" s="77" t="inlineStr">
        <is>
          <t>All/standard</t>
        </is>
      </c>
      <c r="AS322" s="77" t="inlineStr">
        <is>
          <t>No (possible duplicate of RG20-S03)</t>
        </is>
      </c>
    </row>
    <row r="323">
      <c r="A323" s="77" t="inlineStr">
        <is>
          <t>RG20</t>
        </is>
      </c>
      <c r="B323" s="77" t="inlineStr">
        <is>
          <t>Sheffield</t>
        </is>
      </c>
      <c r="C323" s="77" t="inlineStr">
        <is>
          <t>Programme/course</t>
        </is>
      </c>
      <c r="D323" s="77" t="inlineStr">
        <is>
          <t>RG20-S05</t>
        </is>
      </c>
      <c r="E323" s="77" t="inlineStr"/>
      <c r="F323" s="77" t="inlineStr">
        <is>
          <t>No</t>
        </is>
      </c>
      <c r="G323" s="79" t="inlineStr">
        <is>
          <t>Management MSc Company Project</t>
        </is>
      </c>
      <c r="H323" s="77" t="inlineStr">
        <is>
          <t>Management MSc Company Project</t>
        </is>
      </c>
      <c r="I323" s="77" t="inlineStr"/>
      <c r="J323" s="77" t="inlineStr">
        <is>
          <t>On the Management MSc (2026 entry) students can apply to work as part of a team on a real-world problem for an external organisation; the page also offers the option of a company-based dissertation (individual).</t>
        </is>
      </c>
      <c r="K323" s="77" t="inlineStr">
        <is>
          <t>Sheffield University Management School</t>
        </is>
      </c>
      <c r="L323" s="77" t="inlineStr">
        <is>
          <t>Management MSc</t>
        </is>
      </c>
      <c r="M323" s="77" t="inlineStr">
        <is>
          <t>Business/management</t>
        </is>
      </c>
      <c r="N323" s="77" t="inlineStr">
        <is>
          <t>Postgraduate taught</t>
        </is>
      </c>
      <c r="O323" s="77" t="inlineStr"/>
      <c r="P323" s="77" t="inlineStr">
        <is>
          <t>Management MSc students; application required</t>
        </is>
      </c>
      <c r="Q323" s="77" t="inlineStr">
        <is>
          <t>Selective/competitive</t>
        </is>
      </c>
      <c r="R323" s="77" t="inlineStr">
        <is>
          <t>Unclear</t>
        </is>
      </c>
      <c r="S323" s="77" t="inlineStr">
        <is>
          <t>Credit not tied to Company Project in sources (a 45-credit Management Inquiry Project is listed separately)</t>
        </is>
      </c>
      <c r="T323" s="77" t="inlineStr">
        <is>
          <t>Not stated</t>
        </is>
      </c>
      <c r="U323" s="77" t="inlineStr"/>
      <c r="V323" s="77" t="inlineStr">
        <is>
          <t>Yes</t>
        </is>
      </c>
      <c r="W323" s="77" t="inlineStr">
        <is>
          <t>Real-world problem for an external organisation [1].</t>
        </is>
      </c>
      <c r="X323" s="77" t="inlineStr">
        <is>
          <t>Yes</t>
        </is>
      </c>
      <c r="Y323" s="77" t="inlineStr">
        <is>
          <t>'work as part of a team' [1]; company-based dissertation alternative is individual and excluded.</t>
        </is>
      </c>
      <c r="Z323" s="77" t="inlineStr">
        <is>
          <t>Yes</t>
        </is>
      </c>
      <c r="AA323" s="77" t="inlineStr">
        <is>
          <t>External organisation provides the real-world problem [1].</t>
        </is>
      </c>
      <c r="AB323" s="77" t="inlineStr">
        <is>
          <t>Unclear</t>
        </is>
      </c>
      <c r="AC323" s="77" t="inlineStr">
        <is>
          <t>Supplies problem</t>
        </is>
      </c>
      <c r="AD323" s="77" t="inlineStr"/>
      <c r="AE323" s="77" t="inlineStr">
        <is>
          <t>Not stated</t>
        </is>
      </c>
      <c r="AF323" s="77">
        <f>IF(OR(V323="No",X323="No",Z323="No"),"Outside strict definition",IF(AND(V323="Yes",X323="Yes",Z323="Yes"),"Meets all three","Potentially relevant; evidence incomplete"))</f>
        <v/>
      </c>
      <c r="AG323" s="77" t="inlineStr">
        <is>
          <t>Current delivery confirmed</t>
        </is>
      </c>
      <c r="AH323" s="77" t="inlineStr">
        <is>
          <t>2026 entry (2026/27)</t>
        </is>
      </c>
      <c r="AI323" s="77" t="inlineStr">
        <is>
          <t>Yes</t>
        </is>
      </c>
      <c r="AJ323" s="77">
        <f>IF(AND(AI323="Yes",AF323="Meets all three",AG323="Current delivery confirmed"),"Yes","No")</f>
        <v/>
      </c>
      <c r="AK323" s="77" t="inlineStr"/>
      <c r="AL323" s="77" t="inlineStr">
        <is>
          <t>RG20-S05-R1</t>
        </is>
      </c>
      <c r="AM323" s="77" t="inlineStr">
        <is>
          <t>Whether this is the same as the Easter micro-internship (S4) or a separate summer project; credit, duration and partner names not retrieved. 'Management Consulting in Practice' module also mentioned on Management MSc (format unknown).</t>
        </is>
      </c>
      <c r="AN323" s="77" t="inlineStr"/>
      <c r="AO323" s="77" t="inlineStr">
        <is>
          <t>UK</t>
        </is>
      </c>
      <c r="AP323" s="77" t="inlineStr">
        <is>
          <t>UK – Russell Group</t>
        </is>
      </c>
      <c r="AQ323" s="77" t="inlineStr">
        <is>
          <t>Unclear</t>
        </is>
      </c>
      <c r="AR323" s="77" t="inlineStr">
        <is>
          <t>All/standard</t>
        </is>
      </c>
      <c r="AS323" s="77" t="inlineStr"/>
    </row>
    <row r="324">
      <c r="A324" s="77" t="inlineStr">
        <is>
          <t>RG20</t>
        </is>
      </c>
      <c r="B324" s="77" t="inlineStr">
        <is>
          <t>Sheffield</t>
        </is>
      </c>
      <c r="C324" s="77" t="inlineStr">
        <is>
          <t>Programme/course</t>
        </is>
      </c>
      <c r="D324" s="77" t="inlineStr">
        <is>
          <t>RG20-S06</t>
        </is>
      </c>
      <c r="E324" s="77" t="inlineStr"/>
      <c r="F324" s="77" t="inlineStr">
        <is>
          <t>No</t>
        </is>
      </c>
      <c r="G324" s="79" t="inlineStr">
        <is>
          <t>Marketing Consultancy Challenge (2027 entry: Transformative Marketing Challenge)</t>
        </is>
      </c>
      <c r="H324" s="77" t="inlineStr">
        <is>
          <t>Marketing Consultancy Challenge (2027 entry: Transformative Marketing Challenge)</t>
        </is>
      </c>
      <c r="I324" s="77" t="inlineStr"/>
      <c r="J324" s="77" t="inlineStr">
        <is>
          <t>Sheffield MBA 'Challenge' module: early in semester 1 teams are introduced to a real organisation facing a marketing problem, meet the organisation roughly weekly and present findings to its senior management team.</t>
        </is>
      </c>
      <c r="K324" s="77" t="inlineStr">
        <is>
          <t>Sheffield University Management School (MBA)</t>
        </is>
      </c>
      <c r="L324" s="77" t="inlineStr">
        <is>
          <t>Sheffield MBA</t>
        </is>
      </c>
      <c r="M324" s="77" t="inlineStr">
        <is>
          <t>Business/management</t>
        </is>
      </c>
      <c r="N324" s="77" t="inlineStr">
        <is>
          <t>Postgraduate taught</t>
        </is>
      </c>
      <c r="O324" s="77" t="inlineStr">
        <is>
          <t>Semester 1</t>
        </is>
      </c>
      <c r="P324" s="77" t="inlineStr">
        <is>
          <t>MBA students</t>
        </is>
      </c>
      <c r="Q324" s="77" t="inlineStr">
        <is>
          <t>Unclear</t>
        </is>
      </c>
      <c r="R324" s="77" t="inlineStr">
        <is>
          <t>Curricular</t>
        </is>
      </c>
      <c r="S324" s="77" t="inlineStr">
        <is>
          <t>10 credits (2026 entry); 15 credits as Transformative Marketing Challenge (2027 entry)</t>
        </is>
      </c>
      <c r="T324" s="77" t="inlineStr">
        <is>
          <t>Part of semester 1</t>
        </is>
      </c>
      <c r="U324" s="77" t="inlineStr">
        <is>
          <t>Consulting teams with client meetings</t>
        </is>
      </c>
      <c r="V324" s="77" t="inlineStr">
        <is>
          <t>Yes</t>
        </is>
      </c>
      <c r="W324" s="77" t="inlineStr">
        <is>
          <t>Real marketing problem; findings presented to client senior management [1].</t>
        </is>
      </c>
      <c r="X324" s="77" t="inlineStr">
        <is>
          <t>Yes</t>
        </is>
      </c>
      <c r="Y324" s="77" t="inlineStr">
        <is>
          <t>Teams/consulting team [1][2].</t>
        </is>
      </c>
      <c r="Z324" s="77" t="inlineStr">
        <is>
          <t>Yes</t>
        </is>
      </c>
      <c r="AA324" s="77" t="inlineStr">
        <is>
          <t>Real organisation supplies problem, meets teams about weekly and receives final presentation [1]; client testimonials [2].</t>
        </is>
      </c>
      <c r="AB324" s="77" t="inlineStr">
        <is>
          <t>Business/commercial</t>
        </is>
      </c>
      <c r="AC324" s="77" t="inlineStr">
        <is>
          <t>Client organisation sets problem, meets teams, receives presentation</t>
        </is>
      </c>
      <c r="AD324" s="77" t="inlineStr">
        <is>
          <t>The Northern Wine Guy (student case, undated); Invest Sheffield (client testimonial, undated)</t>
        </is>
      </c>
      <c r="AE324" s="77" t="inlineStr">
        <is>
          <t>Findings/recommendations presented to client senior management</t>
        </is>
      </c>
      <c r="AF324" s="77">
        <f>IF(OR(V324="No",X324="No",Z324="No"),"Outside strict definition",IF(AND(V324="Yes",X324="Yes",Z324="Yes"),"Meets all three","Potentially relevant; evidence incomplete"))</f>
        <v/>
      </c>
      <c r="AG324" s="77" t="inlineStr">
        <is>
          <t>Current delivery confirmed</t>
        </is>
      </c>
      <c r="AH324" s="77" t="inlineStr">
        <is>
          <t>2026/27 (2026-entry course page)</t>
        </is>
      </c>
      <c r="AI324" s="77" t="inlineStr">
        <is>
          <t>Yes</t>
        </is>
      </c>
      <c r="AJ324" s="77">
        <f>IF(AND(AI324="Yes",AF324="Meets all three",AG324="Current delivery confirmed"),"Yes","No")</f>
        <v/>
      </c>
      <c r="AK324" s="77" t="inlineStr"/>
      <c r="AL324" s="77" t="inlineStr">
        <is>
          <t>RG20-S06-R1; RG20-S06-R2; RG20-S06-R3; RG20-S06-R4</t>
        </is>
      </c>
      <c r="AM324" s="77" t="inlineStr">
        <is>
          <t>Whether core for all MBA students; renamed/re-credited for 2027 entry. Invest Sheffield is a council-run body (public sector) so partner mix may be Mixed.</t>
        </is>
      </c>
      <c r="AN324" s="77" t="inlineStr"/>
      <c r="AO324" s="77" t="inlineStr">
        <is>
          <t>UK</t>
        </is>
      </c>
      <c r="AP324" s="77" t="inlineStr">
        <is>
          <t>UK – Russell Group</t>
        </is>
      </c>
      <c r="AQ324" s="77" t="inlineStr">
        <is>
          <t>~1 term/semester</t>
        </is>
      </c>
      <c r="AR324" s="77" t="inlineStr">
        <is>
          <t>All/standard</t>
        </is>
      </c>
      <c r="AS324" s="77" t="inlineStr"/>
    </row>
    <row r="325">
      <c r="A325" s="77" t="inlineStr">
        <is>
          <t>RG20</t>
        </is>
      </c>
      <c r="B325" s="77" t="inlineStr">
        <is>
          <t>Sheffield</t>
        </is>
      </c>
      <c r="C325" s="77" t="inlineStr">
        <is>
          <t>Programme/course</t>
        </is>
      </c>
      <c r="D325" s="77" t="inlineStr">
        <is>
          <t>RG20-S07</t>
        </is>
      </c>
      <c r="E325" s="77" t="inlineStr"/>
      <c r="F325" s="77" t="inlineStr">
        <is>
          <t>No</t>
        </is>
      </c>
      <c r="G325" s="79" t="inlineStr">
        <is>
          <t>Internationalisation Challenge</t>
        </is>
      </c>
      <c r="H325" s="77" t="inlineStr">
        <is>
          <t>Internationalisation Challenge</t>
        </is>
      </c>
      <c r="I325" s="77" t="inlineStr"/>
      <c r="J325" s="77" t="inlineStr">
        <is>
          <t>Sheffield MBA 'Challenge' module: teams carry out a project with a real-world company exploring international markets; the project is a crucial assessment component alongside a reflective report.</t>
        </is>
      </c>
      <c r="K325" s="77" t="inlineStr">
        <is>
          <t>Sheffield University Management School (MBA)</t>
        </is>
      </c>
      <c r="L325" s="77" t="inlineStr">
        <is>
          <t>Sheffield MBA</t>
        </is>
      </c>
      <c r="M325" s="77" t="inlineStr">
        <is>
          <t>Business/management</t>
        </is>
      </c>
      <c r="N325" s="77" t="inlineStr">
        <is>
          <t>Postgraduate taught</t>
        </is>
      </c>
      <c r="O325" s="77" t="inlineStr"/>
      <c r="P325" s="77" t="inlineStr">
        <is>
          <t>MBA students</t>
        </is>
      </c>
      <c r="Q325" s="77" t="inlineStr">
        <is>
          <t>Unclear</t>
        </is>
      </c>
      <c r="R325" s="77" t="inlineStr">
        <is>
          <t>Curricular</t>
        </is>
      </c>
      <c r="S325" s="77" t="inlineStr">
        <is>
          <t>Team project + individual reflective report</t>
        </is>
      </c>
      <c r="T325" s="77" t="inlineStr">
        <is>
          <t>Not stated</t>
        </is>
      </c>
      <c r="U325" s="77" t="inlineStr">
        <is>
          <t>Consulting teams</t>
        </is>
      </c>
      <c r="V325" s="77" t="inlineStr">
        <is>
          <t>Yes</t>
        </is>
      </c>
      <c r="W325" s="77" t="inlineStr">
        <is>
          <t>Project on international market opportunities for a company [1].</t>
        </is>
      </c>
      <c r="X325" s="77" t="inlineStr">
        <is>
          <t>Yes</t>
        </is>
      </c>
      <c r="Y325" s="77" t="inlineStr">
        <is>
          <t>Teams [1][2].</t>
        </is>
      </c>
      <c r="Z325" s="77" t="inlineStr">
        <is>
          <t>Yes</t>
        </is>
      </c>
      <c r="AA325" s="77" t="inlineStr">
        <is>
          <t>Real-world company is the client exploring international markets [1]; Invest Sheffield testimonial on insights into Partner Cities market opportunities [2].</t>
        </is>
      </c>
      <c r="AB325" s="77" t="inlineStr">
        <is>
          <t>Mixed</t>
        </is>
      </c>
      <c r="AC325" s="77" t="inlineStr">
        <is>
          <t>Client sets internationalisation problem and receives findings</t>
        </is>
      </c>
      <c r="AD325" s="77" t="inlineStr">
        <is>
          <t>Invest Sheffield (testimonial, undated)</t>
        </is>
      </c>
      <c r="AE325" s="77" t="inlineStr">
        <is>
          <t>Market-entry/internationalisation analysis for client</t>
        </is>
      </c>
      <c r="AF325" s="77">
        <f>IF(OR(V325="No",X325="No",Z325="No"),"Outside strict definition",IF(AND(V325="Yes",X325="Yes",Z325="Yes"),"Meets all three","Potentially relevant; evidence incomplete"))</f>
        <v/>
      </c>
      <c r="AG325" s="77" t="inlineStr">
        <is>
          <t>Current status unclear</t>
        </is>
      </c>
      <c r="AH325" s="77" t="inlineStr">
        <is>
          <t>undated (module page); MBA 2027 page refers to Challenge modules generally</t>
        </is>
      </c>
      <c r="AI325" s="77" t="inlineStr">
        <is>
          <t>Yes</t>
        </is>
      </c>
      <c r="AJ325" s="77">
        <f>IF(AND(AI325="Yes",AF325="Meets all three",AG325="Current delivery confirmed"),"Yes","No")</f>
        <v/>
      </c>
      <c r="AK325" s="77" t="inlineStr"/>
      <c r="AL325" s="77" t="inlineStr">
        <is>
          <t>RG20-S07-R1; RG20-S07-R2; RG20-S07-R3</t>
        </is>
      </c>
      <c r="AM325" s="77" t="inlineStr">
        <is>
          <t>Module page undated; 2026/2027 MBA course pages were not retrieved naming the Internationalisation Challenge specifically, so current delivery is not corroborated. Credit and duration not retrieved.</t>
        </is>
      </c>
      <c r="AN325" s="77" t="inlineStr"/>
      <c r="AO325" s="77" t="inlineStr">
        <is>
          <t>UK</t>
        </is>
      </c>
      <c r="AP325" s="77" t="inlineStr">
        <is>
          <t>UK – Russell Group</t>
        </is>
      </c>
      <c r="AQ325" s="77" t="inlineStr">
        <is>
          <t>Unclear</t>
        </is>
      </c>
      <c r="AR325" s="77" t="inlineStr">
        <is>
          <t>All/standard</t>
        </is>
      </c>
      <c r="AS325" s="77" t="inlineStr"/>
    </row>
    <row r="326">
      <c r="A326" s="77" t="inlineStr">
        <is>
          <t>RG20</t>
        </is>
      </c>
      <c r="B326" s="77" t="inlineStr">
        <is>
          <t>Sheffield</t>
        </is>
      </c>
      <c r="C326" s="77" t="inlineStr">
        <is>
          <t>Programme/course</t>
        </is>
      </c>
      <c r="D326" s="77" t="inlineStr">
        <is>
          <t>RG20-S08</t>
        </is>
      </c>
      <c r="E326" s="77" t="inlineStr"/>
      <c r="F326" s="77" t="inlineStr">
        <is>
          <t>No</t>
        </is>
      </c>
      <c r="G326" s="79" t="inlineStr">
        <is>
          <t>Software Hut</t>
        </is>
      </c>
      <c r="H326" s="77" t="inlineStr">
        <is>
          <t>Software Hut</t>
        </is>
      </c>
      <c r="I326" s="77" t="inlineStr">
        <is>
          <t>COM3420 (older departmental page); COM213 in a regulations document; current code not confirmed</t>
        </is>
      </c>
      <c r="J326" s="77" t="inlineStr">
        <is>
          <t>Compulsory second-year Computer Science team module modelled on a software house: teams build software for real external clients in a competitive setting. Staff assess project management; clients judge whether the product meets their needs; individual reflection.</t>
        </is>
      </c>
      <c r="K326" s="77" t="inlineStr">
        <is>
          <t>School of Computer Science</t>
        </is>
      </c>
      <c r="L326" s="77" t="inlineStr">
        <is>
          <t>Computer Science undergraduate degrees</t>
        </is>
      </c>
      <c r="M326" s="77" t="inlineStr">
        <is>
          <t>Engineering/computing</t>
        </is>
      </c>
      <c r="N326" s="77" t="inlineStr">
        <is>
          <t>Undergraduate</t>
        </is>
      </c>
      <c r="O326" s="77" t="inlineStr">
        <is>
          <t>Year 2</t>
        </is>
      </c>
      <c r="P326" s="77" t="inlineStr">
        <is>
          <t>Computer Science students</t>
        </is>
      </c>
      <c r="Q326" s="77" t="inlineStr">
        <is>
          <t>Compulsory within specified programmes</t>
        </is>
      </c>
      <c r="R326" s="77" t="inlineStr">
        <is>
          <t>Curricular</t>
        </is>
      </c>
      <c r="S326" s="77" t="inlineStr">
        <is>
          <t>20 credits (2027-entry BSc listing); assessed on team project work, client judgement and individual reflection</t>
        </is>
      </c>
      <c r="T326" s="77" t="inlineStr">
        <is>
          <t>Not stated (module-length)</t>
        </is>
      </c>
      <c r="U326" s="77" t="inlineStr">
        <is>
          <t>Team software development</t>
        </is>
      </c>
      <c r="V326" s="77" t="inlineStr">
        <is>
          <t>Yes</t>
        </is>
      </c>
      <c r="W326" s="77" t="inlineStr">
        <is>
          <t>Teams build working software system for a client; portfolio incl. design documents and working system [1][3].</t>
        </is>
      </c>
      <c r="X326" s="77" t="inlineStr">
        <is>
          <t>Yes</t>
        </is>
      </c>
      <c r="Y326" s="77" t="inlineStr">
        <is>
          <t>Assessment 'entirely on the basis of the project work undertaken in teams'; teamwork mandatory [2].</t>
        </is>
      </c>
      <c r="Z326" s="77" t="inlineStr">
        <is>
          <t>Yes</t>
        </is>
      </c>
      <c r="AA326" s="77" t="inlineStr">
        <is>
          <t>Most students' first experience of working for an external client [1][4]; clients judge whether product meets their needs (contribute to marks) [1].</t>
        </is>
      </c>
      <c r="AB326" s="77" t="inlineStr">
        <is>
          <t>Unclear</t>
        </is>
      </c>
      <c r="AC326" s="77" t="inlineStr">
        <is>
          <t>External clients set requirements and contribute to assessment</t>
        </is>
      </c>
      <c r="AD326" s="77" t="inlineStr"/>
      <c r="AE326" s="77" t="inlineStr">
        <is>
          <t>Working software system + documentation</t>
        </is>
      </c>
      <c r="AF326" s="77">
        <f>IF(OR(V326="No",X326="No",Z326="No"),"Outside strict definition",IF(AND(V326="Yes",X326="Yes",Z326="Yes"),"Meets all three","Potentially relevant; evidence incomplete"))</f>
        <v/>
      </c>
      <c r="AG326" s="77" t="inlineStr">
        <is>
          <t>Current delivery confirmed</t>
        </is>
      </c>
      <c r="AH326" s="77" t="inlineStr">
        <is>
          <t>2027 entry course listing</t>
        </is>
      </c>
      <c r="AI326" s="77" t="inlineStr">
        <is>
          <t>Yes</t>
        </is>
      </c>
      <c r="AJ326" s="77">
        <f>IF(AND(AI326="Yes",AF326="Meets all three",AG326="Current delivery confirmed"),"Yes","No")</f>
        <v/>
      </c>
      <c r="AK326" s="77" t="inlineStr">
        <is>
          <t>Around 200 students per year (undated)</t>
        </is>
      </c>
      <c r="AL326" s="77" t="inlineStr">
        <is>
          <t>RG20-S08-R1; RG20-S08-R2; RG20-S08-R3; RG20-S08-R4</t>
        </is>
      </c>
      <c r="AM326" s="77" t="inlineStr">
        <is>
          <t>Current module code; sector of clients; dated cohort evidence (relies on 2027-entry course listing as corroboration).</t>
        </is>
      </c>
      <c r="AN326" s="77" t="inlineStr"/>
      <c r="AO326" s="77" t="inlineStr">
        <is>
          <t>UK</t>
        </is>
      </c>
      <c r="AP326" s="77" t="inlineStr">
        <is>
          <t>UK – Russell Group</t>
        </is>
      </c>
      <c r="AQ326" s="77" t="inlineStr">
        <is>
          <t>Unclear</t>
        </is>
      </c>
      <c r="AR326" s="77" t="inlineStr">
        <is>
          <t>All/standard</t>
        </is>
      </c>
      <c r="AS326" s="77" t="inlineStr"/>
    </row>
    <row r="327">
      <c r="A327" s="77" t="inlineStr">
        <is>
          <t>RG20</t>
        </is>
      </c>
      <c r="B327" s="77" t="inlineStr">
        <is>
          <t>Sheffield</t>
        </is>
      </c>
      <c r="C327" s="77" t="inlineStr">
        <is>
          <t>Programme/course</t>
        </is>
      </c>
      <c r="D327" s="77" t="inlineStr">
        <is>
          <t>RG20-S09</t>
        </is>
      </c>
      <c r="E327" s="77" t="inlineStr"/>
      <c r="F327" s="77" t="inlineStr">
        <is>
          <t>No</t>
        </is>
      </c>
      <c r="G327" s="79" t="inlineStr">
        <is>
          <t>Genesys (student-led software development organisation)</t>
        </is>
      </c>
      <c r="H327" s="77" t="inlineStr">
        <is>
          <t>Genesys (student-led software development organisation)</t>
        </is>
      </c>
      <c r="I327" s="77" t="inlineStr"/>
      <c r="J327" s="77" t="inlineStr">
        <is>
          <t>Final-year Computer Science module run as a student software company: customer-facing teams build custom web applications for real customers using agile/lean-startup practice, supported by staff of epiGenesys (a University subsidiary company).</t>
        </is>
      </c>
      <c r="K327" s="77" t="inlineStr">
        <is>
          <t>School of Computer Science (with epiGenesys)</t>
        </is>
      </c>
      <c r="L327" s="77" t="inlineStr">
        <is>
          <t>Computer Science (Software Engineering) MEng (core, 45 credits); Computer Science MComp variants (option)</t>
        </is>
      </c>
      <c r="M327" s="77" t="inlineStr">
        <is>
          <t>Engineering/computing</t>
        </is>
      </c>
      <c r="N327" s="77" t="inlineStr">
        <is>
          <t>Undergraduate</t>
        </is>
      </c>
      <c r="O327" s="77" t="inlineStr">
        <is>
          <t>Final year</t>
        </is>
      </c>
      <c r="P327" s="77" t="inlineStr">
        <is>
          <t>Named CS integrated-masters programmes</t>
        </is>
      </c>
      <c r="Q327" s="77" t="inlineStr">
        <is>
          <t>Compulsory within specified programmes</t>
        </is>
      </c>
      <c r="R327" s="77" t="inlineStr">
        <is>
          <t>Curricular</t>
        </is>
      </c>
      <c r="S327" s="77" t="inlineStr">
        <is>
          <t>45 credits (Software Engineering MEng core)</t>
        </is>
      </c>
      <c r="T327" s="77" t="inlineStr">
        <is>
          <t>Throughout final year</t>
        </is>
      </c>
      <c r="U327" s="77" t="inlineStr">
        <is>
          <t>Customer-facing teams</t>
        </is>
      </c>
      <c r="V327" s="77" t="inlineStr">
        <is>
          <t>Yes</t>
        </is>
      </c>
      <c r="W327" s="77" t="inlineStr">
        <is>
          <t>Teams build custom web applications solving customers' problems [1][2].</t>
        </is>
      </c>
      <c r="X327" s="77" t="inlineStr">
        <is>
          <t>Yes</t>
        </is>
      </c>
      <c r="Y327" s="77" t="inlineStr">
        <is>
          <t>Customer-facing teams [1]; students work in teams [2].</t>
        </is>
      </c>
      <c r="Z327" s="77" t="inlineStr">
        <is>
          <t>Unclear</t>
        </is>
      </c>
      <c r="AA327" s="77" t="inlineStr">
        <is>
          <t>Sources say 'real customers' / 'real contracts for real clients' [1][3] but do not say customers are external organisations; supporting company epiGenesys is a University subsidiary (internal).</t>
        </is>
      </c>
      <c r="AB327" s="77" t="inlineStr">
        <is>
          <t>Unclear</t>
        </is>
      </c>
      <c r="AC327" s="77" t="inlineStr">
        <is>
          <t>Customers commission web applications (identity/sector not evidenced)</t>
        </is>
      </c>
      <c r="AD327" s="77" t="inlineStr"/>
      <c r="AE327" s="77" t="inlineStr">
        <is>
          <t>Custom web application</t>
        </is>
      </c>
      <c r="AF327" s="77">
        <f>IF(OR(V327="No",X327="No",Z327="No"),"Outside strict definition",IF(AND(V327="Yes",X327="Yes",Z327="Yes"),"Meets all three","Potentially relevant; evidence incomplete"))</f>
        <v/>
      </c>
      <c r="AG327" s="77" t="inlineStr">
        <is>
          <t>Current status unclear</t>
        </is>
      </c>
      <c r="AH327" s="77" t="inlineStr">
        <is>
          <t>2026 entry course listing</t>
        </is>
      </c>
      <c r="AI327" s="77" t="inlineStr">
        <is>
          <t>Yes</t>
        </is>
      </c>
      <c r="AJ327" s="77">
        <f>IF(AND(AI327="Yes",AF327="Meets all three",AG327="Current delivery confirmed"),"Yes","No")</f>
        <v/>
      </c>
      <c r="AK327" s="77" t="inlineStr"/>
      <c r="AL327" s="77" t="inlineStr">
        <is>
          <t>RG20-S09-R1; RG20-S09-R2; RG20-S09-R3</t>
        </is>
      </c>
      <c r="AM327" s="77" t="inlineStr">
        <is>
          <t>Conflicting status evidence: 2026/2027 course pages list Genesys, but a Student Enterprise case study dates Genesys 2011-2017. Whether customers are external.</t>
        </is>
      </c>
      <c r="AN327" s="77" t="inlineStr"/>
      <c r="AO327" s="77" t="inlineStr">
        <is>
          <t>UK</t>
        </is>
      </c>
      <c r="AP327" s="77" t="inlineStr">
        <is>
          <t>UK – Russell Group</t>
        </is>
      </c>
      <c r="AQ327" s="77" t="inlineStr">
        <is>
          <t>&gt;1 term</t>
        </is>
      </c>
      <c r="AR327" s="77" t="inlineStr">
        <is>
          <t>Unclear</t>
        </is>
      </c>
      <c r="AS327" s="77" t="inlineStr"/>
    </row>
    <row r="328">
      <c r="A328" s="77" t="inlineStr">
        <is>
          <t>RG20</t>
        </is>
      </c>
      <c r="B328" s="77" t="inlineStr">
        <is>
          <t>Sheffield</t>
        </is>
      </c>
      <c r="C328" s="77" t="inlineStr">
        <is>
          <t>Programme/course</t>
        </is>
      </c>
      <c r="D328" s="77" t="inlineStr">
        <is>
          <t>RG20-S10</t>
        </is>
      </c>
      <c r="E328" s="77" t="inlineStr"/>
      <c r="F328" s="77" t="inlineStr">
        <is>
          <t>No</t>
        </is>
      </c>
      <c r="G328" s="79" t="inlineStr">
        <is>
          <t>Industrial Group Project in Physics</t>
        </is>
      </c>
      <c r="H328" s="77" t="inlineStr">
        <is>
          <t>Industrial Group Project in Physics</t>
        </is>
      </c>
      <c r="I328" s="77" t="inlineStr">
        <is>
          <t>MPS372</t>
        </is>
      </c>
      <c r="J328" s="77" t="inlineStr">
        <is>
          <t>Optional final-year physics module: an industrial client poses a problem that a student group works on over two semesters, integrating teamwork, planning, presentation and report writing with lab, computational or literature-based problem solving; interim and final presentations to the client and academic supervisors.</t>
        </is>
      </c>
      <c r="K328" s="77" t="inlineStr">
        <is>
          <t>School of Mathematical and Physical Sciences (Physics)</t>
        </is>
      </c>
      <c r="L328" s="77" t="inlineStr">
        <is>
          <t>Physics with an Industrial Placement Year BSc; Physics/Astrophysics MPhys (option)</t>
        </is>
      </c>
      <c r="M328" s="77" t="inlineStr">
        <is>
          <t>Science</t>
        </is>
      </c>
      <c r="N328" s="77" t="inlineStr">
        <is>
          <t>Undergraduate</t>
        </is>
      </c>
      <c r="O328" s="77" t="inlineStr">
        <is>
          <t>Final year</t>
        </is>
      </c>
      <c r="P328" s="77" t="inlineStr">
        <is>
          <t>Physics degree students</t>
        </is>
      </c>
      <c r="Q328" s="77" t="inlineStr">
        <is>
          <t>Optional/elective</t>
        </is>
      </c>
      <c r="R328" s="77" t="inlineStr">
        <is>
          <t>Curricular</t>
        </is>
      </c>
      <c r="S328" s="77" t="inlineStr">
        <is>
          <t>20 credits; presentations and report</t>
        </is>
      </c>
      <c r="T328" s="77" t="inlineStr">
        <is>
          <t>Two semesters</t>
        </is>
      </c>
      <c r="U328" s="77" t="inlineStr">
        <is>
          <t>Group project with industrial client</t>
        </is>
      </c>
      <c r="V328" s="77" t="inlineStr">
        <is>
          <t>Yes</t>
        </is>
      </c>
      <c r="W328" s="77" t="inlineStr">
        <is>
          <t>Client-posed problem resolved over two semesters; presentations and report [1].</t>
        </is>
      </c>
      <c r="X328" s="77" t="inlineStr">
        <is>
          <t>Yes</t>
        </is>
      </c>
      <c r="Y328" s="77" t="inlineStr">
        <is>
          <t>'a group work on over two semesters' [1].</t>
        </is>
      </c>
      <c r="Z328" s="77" t="inlineStr">
        <is>
          <t>Yes</t>
        </is>
      </c>
      <c r="AA328" s="77" t="inlineStr">
        <is>
          <t>'The industrial client poses a problem'; interim and final presentations made to the client [1].</t>
        </is>
      </c>
      <c r="AB328" s="77" t="inlineStr">
        <is>
          <t>Business/commercial</t>
        </is>
      </c>
      <c r="AC328" s="77" t="inlineStr">
        <is>
          <t>Sets problem; receives interim and final presentations</t>
        </is>
      </c>
      <c r="AD328" s="77" t="inlineStr"/>
      <c r="AE328" s="77" t="inlineStr">
        <is>
          <t>Presentations and report to client</t>
        </is>
      </c>
      <c r="AF328" s="77">
        <f>IF(OR(V328="No",X328="No",Z328="No"),"Outside strict definition",IF(AND(V328="Yes",X328="Yes",Z328="Yes"),"Meets all three","Potentially relevant; evidence incomplete"))</f>
        <v/>
      </c>
      <c r="AG328" s="77" t="inlineStr">
        <is>
          <t>Current delivery confirmed</t>
        </is>
      </c>
      <c r="AH328" s="77" t="inlineStr">
        <is>
          <t>2025 entry course listing</t>
        </is>
      </c>
      <c r="AI328" s="77" t="inlineStr">
        <is>
          <t>Yes</t>
        </is>
      </c>
      <c r="AJ328" s="77">
        <f>IF(AND(AI328="Yes",AF328="Meets all three",AG328="Current delivery confirmed"),"Yes","No")</f>
        <v/>
      </c>
      <c r="AK328" s="77" t="inlineStr"/>
      <c r="AL328" s="77" t="inlineStr">
        <is>
          <t>RG20-S10-R1; RG20-S10-R2</t>
        </is>
      </c>
      <c r="AM328" s="77" t="inlineStr">
        <is>
          <t>Corroboration is a 2025-entry course listing rather than a dated cohort; number of projects not published.</t>
        </is>
      </c>
      <c r="AN328" s="77" t="inlineStr"/>
      <c r="AO328" s="77" t="inlineStr">
        <is>
          <t>UK</t>
        </is>
      </c>
      <c r="AP328" s="77" t="inlineStr">
        <is>
          <t>UK – Russell Group</t>
        </is>
      </c>
      <c r="AQ328" s="77" t="inlineStr">
        <is>
          <t>&gt;1 term</t>
        </is>
      </c>
      <c r="AR328" s="77" t="inlineStr">
        <is>
          <t>All/standard</t>
        </is>
      </c>
      <c r="AS328" s="77" t="inlineStr"/>
    </row>
    <row r="329">
      <c r="A329" s="77" t="inlineStr">
        <is>
          <t>RG20</t>
        </is>
      </c>
      <c r="B329" s="77" t="inlineStr">
        <is>
          <t>Sheffield</t>
        </is>
      </c>
      <c r="C329" s="77" t="inlineStr">
        <is>
          <t>Programme/course</t>
        </is>
      </c>
      <c r="D329" s="77" t="inlineStr">
        <is>
          <t>RG20-S11</t>
        </is>
      </c>
      <c r="E329" s="77" t="inlineStr"/>
      <c r="F329" s="77" t="inlineStr">
        <is>
          <t>No</t>
        </is>
      </c>
      <c r="G329" s="79" t="inlineStr">
        <is>
          <t>MArch Live Projects (Live Project 1 / Live Project 2)</t>
        </is>
      </c>
      <c r="H329" s="77" t="inlineStr">
        <is>
          <t>MArch Live Projects (Live Project 1 / Live Project 2)</t>
        </is>
      </c>
      <c r="I329" s="77" t="inlineStr"/>
      <c r="J329" s="77" t="inlineStr">
        <is>
          <t>Core MArch modules in which student groups (mostly 13-15 people) work for real clients - community groups, charities, health organisations and regional authorities - on design/build, masterplanning, feasibility studies, sustainability strategies, online resources and participation toolkits, with regular client contact and a defined end result (presentation, report, sometimes built work). Running ~20 years, 150+ projects.</t>
        </is>
      </c>
      <c r="K329" s="77" t="inlineStr">
        <is>
          <t>Sheffield School of Architecture and Landscape</t>
        </is>
      </c>
      <c r="L329" s="77" t="inlineStr">
        <is>
          <t>Architecture MArch; Architecture: Collaborative Practice MArch</t>
        </is>
      </c>
      <c r="M329" s="77" t="inlineStr">
        <is>
          <t>Other (law, health, design, architecture…)</t>
        </is>
      </c>
      <c r="N329" s="77" t="inlineStr">
        <is>
          <t>Postgraduate taught</t>
        </is>
      </c>
      <c r="O329" s="77" t="inlineStr">
        <is>
          <t>MArch Year 5 (LP1); Year 6 (LP2, Collaborative Practice)</t>
        </is>
      </c>
      <c r="P329" s="77" t="inlineStr">
        <is>
          <t>MArch students</t>
        </is>
      </c>
      <c r="Q329" s="77" t="inlineStr">
        <is>
          <t>Compulsory within specified programmes</t>
        </is>
      </c>
      <c r="R329" s="77" t="inlineStr">
        <is>
          <t>Curricular</t>
        </is>
      </c>
      <c r="S329" s="77" t="inlineStr">
        <is>
          <t>Core module (credit not retrieved); integrated with Ethical Practice module</t>
        </is>
      </c>
      <c r="T329" s="77" t="inlineStr">
        <is>
          <t>Not stated</t>
        </is>
      </c>
      <c r="U329" s="77" t="inlineStr">
        <is>
          <t>Group live project with client</t>
        </is>
      </c>
      <c r="V329" s="77" t="inlineStr">
        <is>
          <t>Yes</t>
        </is>
      </c>
      <c r="W329" s="77" t="inlineStr">
        <is>
          <t>Feasibility studies, masterplans, design/build etc. with defined end result [1][2].</t>
        </is>
      </c>
      <c r="X329" s="77" t="inlineStr">
        <is>
          <t>Yes</t>
        </is>
      </c>
      <c r="Y329" s="77" t="inlineStr">
        <is>
          <t>'Students work in Live Project groups'; teams of 13-15 [1][2].</t>
        </is>
      </c>
      <c r="Z329" s="77" t="inlineStr">
        <is>
          <t>Yes</t>
        </is>
      </c>
      <c r="AA329" s="77" t="inlineStr">
        <is>
          <t>Real clients (community groups, charities, health organisations, regional authorities) with regular client contact; outputs delivered to client [1][2].</t>
        </is>
      </c>
      <c r="AB329" s="77" t="inlineStr">
        <is>
          <t>Mixed</t>
        </is>
      </c>
      <c r="AC329" s="77" t="inlineStr">
        <is>
          <t>Client commissions brief, regular contact, receives presentation/report/build</t>
        </is>
      </c>
      <c r="AD329" s="77" t="inlineStr"/>
      <c r="AE329" s="77" t="inlineStr">
        <is>
          <t>Presentation, report, sometimes physical building work</t>
        </is>
      </c>
      <c r="AF329" s="77">
        <f>IF(OR(V329="No",X329="No",Z329="No"),"Outside strict definition",IF(AND(V329="Yes",X329="Yes",Z329="Yes"),"Meets all three","Potentially relevant; evidence incomplete"))</f>
        <v/>
      </c>
      <c r="AG329" s="77" t="inlineStr">
        <is>
          <t>Current delivery confirmed</t>
        </is>
      </c>
      <c r="AH329" s="77" t="inlineStr">
        <is>
          <t>2026/27 (2026-entry course pages)</t>
        </is>
      </c>
      <c r="AI329" s="77" t="inlineStr">
        <is>
          <t>Yes</t>
        </is>
      </c>
      <c r="AJ329" s="77">
        <f>IF(AND(AI329="Yes",AF329="Meets all three",AG329="Current delivery confirmed"),"Yes","No")</f>
        <v/>
      </c>
      <c r="AK329" s="77" t="inlineStr">
        <is>
          <t>150+ completed projects over ~20 years (cumulative)</t>
        </is>
      </c>
      <c r="AL329" s="77" t="inlineStr">
        <is>
          <t>RG20-S11-R1; RG20-S11-R2; RG20-S11-R3; RG20-S11-R4</t>
        </is>
      </c>
      <c r="AM329" s="77" t="inlineStr">
        <is>
          <t>Module length and credits; 2025/26 client list.</t>
        </is>
      </c>
      <c r="AN329" s="77" t="inlineStr"/>
      <c r="AO329" s="77" t="inlineStr">
        <is>
          <t>UK</t>
        </is>
      </c>
      <c r="AP329" s="77" t="inlineStr">
        <is>
          <t>UK – Russell Group</t>
        </is>
      </c>
      <c r="AQ329" s="77" t="inlineStr">
        <is>
          <t>Unclear</t>
        </is>
      </c>
      <c r="AR329" s="77" t="inlineStr">
        <is>
          <t>All/standard</t>
        </is>
      </c>
      <c r="AS329" s="77" t="inlineStr"/>
    </row>
    <row r="330">
      <c r="A330" s="77" t="inlineStr">
        <is>
          <t>RG20</t>
        </is>
      </c>
      <c r="B330" s="77" t="inlineStr">
        <is>
          <t>Sheffield</t>
        </is>
      </c>
      <c r="C330" s="77" t="inlineStr">
        <is>
          <t>Programme/course</t>
        </is>
      </c>
      <c r="D330" s="77" t="inlineStr">
        <is>
          <t>RG20-S12</t>
        </is>
      </c>
      <c r="E330" s="77" t="inlineStr"/>
      <c r="F330" s="77" t="inlineStr">
        <is>
          <t>No</t>
        </is>
      </c>
      <c r="G330" s="79" t="inlineStr">
        <is>
          <t>Mechanical Engineering MEng final-year group design project</t>
        </is>
      </c>
      <c r="H330" s="77" t="inlineStr">
        <is>
          <t>Mechanical Engineering MEng final-year group design project</t>
        </is>
      </c>
      <c r="I330" s="77" t="inlineStr"/>
      <c r="J330" s="77" t="inlineStr">
        <is>
          <t>Final-year MEng group design project in which students work on a real-life challenge proposed by industrial partners; the same course page also lists a 45-credit multidisciplinary Capstone Group Design Project on sustainably regenerating a local area (relationship between the two unclear).</t>
        </is>
      </c>
      <c r="K330" s="77" t="inlineStr">
        <is>
          <t>School of Mechanical, Aerospace and Civil Engineering</t>
        </is>
      </c>
      <c r="L330" s="77" t="inlineStr">
        <is>
          <t>Mechanical Engineering MEng</t>
        </is>
      </c>
      <c r="M330" s="77" t="inlineStr">
        <is>
          <t>Engineering/computing</t>
        </is>
      </c>
      <c r="N330" s="77" t="inlineStr">
        <is>
          <t>Undergraduate</t>
        </is>
      </c>
      <c r="O330" s="77" t="inlineStr">
        <is>
          <t>Final year</t>
        </is>
      </c>
      <c r="P330" s="77" t="inlineStr">
        <is>
          <t>MEng students</t>
        </is>
      </c>
      <c r="Q330" s="77" t="inlineStr">
        <is>
          <t>Compulsory within specified programmes</t>
        </is>
      </c>
      <c r="R330" s="77" t="inlineStr">
        <is>
          <t>Curricular</t>
        </is>
      </c>
      <c r="S330" s="77" t="inlineStr">
        <is>
          <t>45 credits (Capstone Group Design Project)</t>
        </is>
      </c>
      <c r="T330" s="77" t="inlineStr">
        <is>
          <t>Not stated</t>
        </is>
      </c>
      <c r="U330" s="77" t="inlineStr">
        <is>
          <t>Group design project</t>
        </is>
      </c>
      <c r="V330" s="77" t="inlineStr">
        <is>
          <t>Yes</t>
        </is>
      </c>
      <c r="W330" s="77" t="inlineStr">
        <is>
          <t>Group design project on real-life challenge [1].</t>
        </is>
      </c>
      <c r="X330" s="77" t="inlineStr">
        <is>
          <t>Yes</t>
        </is>
      </c>
      <c r="Y330" s="77" t="inlineStr">
        <is>
          <t>Group design project [1].</t>
        </is>
      </c>
      <c r="Z330" s="77" t="inlineStr">
        <is>
          <t>Unclear</t>
        </is>
      </c>
      <c r="AA330" s="77" t="inlineStr">
        <is>
          <t>Summary says challenge 'proposed by industrial partners' with 'real clients' [1], but the same page's capstone is described as a local-area regeneration project with no partner named; cannot confirm external partners are standard for one defined route.</t>
        </is>
      </c>
      <c r="AB330" s="77" t="inlineStr">
        <is>
          <t>Business/commercial</t>
        </is>
      </c>
      <c r="AC330" s="77" t="inlineStr">
        <is>
          <t>Industrial partners propose challenges (per paraphrase)</t>
        </is>
      </c>
      <c r="AD330" s="77" t="inlineStr"/>
      <c r="AE330" s="77" t="inlineStr">
        <is>
          <t>Design solution</t>
        </is>
      </c>
      <c r="AF330" s="77">
        <f>IF(OR(V330="No",X330="No",Z330="No"),"Outside strict definition",IF(AND(V330="Yes",X330="Yes",Z330="Yes"),"Meets all three","Potentially relevant; evidence incomplete"))</f>
        <v/>
      </c>
      <c r="AG330" s="77" t="inlineStr">
        <is>
          <t>Current delivery confirmed</t>
        </is>
      </c>
      <c r="AH330" s="77" t="inlineStr">
        <is>
          <t>2026 entry course listing</t>
        </is>
      </c>
      <c r="AI330" s="77" t="inlineStr">
        <is>
          <t>Yes</t>
        </is>
      </c>
      <c r="AJ330" s="77">
        <f>IF(AND(AI330="Yes",AF330="Meets all three",AG330="Current delivery confirmed"),"Yes","No")</f>
        <v/>
      </c>
      <c r="AK330" s="77" t="inlineStr"/>
      <c r="AL330" s="77" t="inlineStr">
        <is>
          <t>RG20-S12-R1</t>
        </is>
      </c>
      <c r="AM330" s="77" t="inlineStr">
        <is>
          <t>Search-summary paraphrase only (search budget exhausted before extended check); whether industry-proposed project and Capstone GDP are the same module.</t>
        </is>
      </c>
      <c r="AN330" s="77" t="inlineStr"/>
      <c r="AO330" s="77" t="inlineStr">
        <is>
          <t>UK</t>
        </is>
      </c>
      <c r="AP330" s="77" t="inlineStr">
        <is>
          <t>UK – Russell Group</t>
        </is>
      </c>
      <c r="AQ330" s="77" t="inlineStr">
        <is>
          <t>Unclear</t>
        </is>
      </c>
      <c r="AR330" s="77" t="inlineStr">
        <is>
          <t>Unclear</t>
        </is>
      </c>
      <c r="AS330" s="77" t="inlineStr"/>
    </row>
    <row r="331">
      <c r="A331" s="77" t="inlineStr">
        <is>
          <t>RG20</t>
        </is>
      </c>
      <c r="B331" s="77" t="inlineStr">
        <is>
          <t>Sheffield</t>
        </is>
      </c>
      <c r="C331" s="77" t="inlineStr">
        <is>
          <t>Programme/course</t>
        </is>
      </c>
      <c r="D331" s="77" t="inlineStr">
        <is>
          <t>RG20-S13</t>
        </is>
      </c>
      <c r="E331" s="77" t="inlineStr"/>
      <c r="F331" s="77" t="inlineStr">
        <is>
          <t>No</t>
        </is>
      </c>
      <c r="G331" s="79" t="inlineStr">
        <is>
          <t>Aerospace Engineering Industrial Training Programme / MEng Group Design Project</t>
        </is>
      </c>
      <c r="H331" s="77" t="inlineStr">
        <is>
          <t>Aerospace Engineering Industrial Training Programme / MEng Group Design Project</t>
        </is>
      </c>
      <c r="I331" s="77" t="inlineStr"/>
      <c r="J331" s="77" t="inlineStr">
        <is>
          <t>Aerospace Engineering students work in groups on open-ended industrial problems set by industry partners such as Airbus or Boeing (Industrial Training Programme); members of the Industrial Advisory Board (engineers from Rolls-Royce, Boeing, Caterpillar, BAE Systems) assess part of the third-year MEng Group Design Project.</t>
        </is>
      </c>
      <c r="K331" s="77" t="inlineStr">
        <is>
          <t>School of Mechanical, Aerospace and Civil Engineering</t>
        </is>
      </c>
      <c r="L331" s="77" t="inlineStr">
        <is>
          <t>Aerospace Engineering degrees</t>
        </is>
      </c>
      <c r="M331" s="77" t="inlineStr">
        <is>
          <t>Engineering/computing</t>
        </is>
      </c>
      <c r="N331" s="77" t="inlineStr">
        <is>
          <t>Undergraduate</t>
        </is>
      </c>
      <c r="O331" s="77" t="inlineStr">
        <is>
          <t>Not stated (GDP: Year 3 MEng)</t>
        </is>
      </c>
      <c r="P331" s="77" t="inlineStr">
        <is>
          <t>Aerospace students</t>
        </is>
      </c>
      <c r="Q331" s="77" t="inlineStr">
        <is>
          <t>Unclear</t>
        </is>
      </c>
      <c r="R331" s="77" t="inlineStr">
        <is>
          <t>Curricular</t>
        </is>
      </c>
      <c r="S331" s="77" t="inlineStr">
        <is>
          <t>Not retrieved</t>
        </is>
      </c>
      <c r="T331" s="77" t="inlineStr">
        <is>
          <t>Not stated</t>
        </is>
      </c>
      <c r="U331" s="77" t="inlineStr">
        <is>
          <t>Group projects</t>
        </is>
      </c>
      <c r="V331" s="77" t="inlineStr">
        <is>
          <t>Yes</t>
        </is>
      </c>
      <c r="W331" s="77" t="inlineStr">
        <is>
          <t>Open-ended industrial problem [1].</t>
        </is>
      </c>
      <c r="X331" s="77" t="inlineStr">
        <is>
          <t>Yes</t>
        </is>
      </c>
      <c r="Y331" s="77" t="inlineStr">
        <is>
          <t>'work in groups' [1].</t>
        </is>
      </c>
      <c r="Z331" s="77" t="inlineStr">
        <is>
          <t>Yes</t>
        </is>
      </c>
      <c r="AA331" s="77" t="inlineStr">
        <is>
          <t>Industry partners (e.g., Airbus, Boeing) set problems; Industrial Advisory Board engineers assess part of GDP [1].</t>
        </is>
      </c>
      <c r="AB331" s="77" t="inlineStr">
        <is>
          <t>Business/commercial</t>
        </is>
      </c>
      <c r="AC331" s="77" t="inlineStr">
        <is>
          <t>Set problems (ITP); assess (GDP)</t>
        </is>
      </c>
      <c r="AD331" s="77" t="inlineStr">
        <is>
          <t>Airbus, Boeing (problem setters, undated); Rolls-Royce, Boeing, Caterpillar, BAE Systems (IAB assessors, undated)</t>
        </is>
      </c>
      <c r="AE331" s="77" t="inlineStr">
        <is>
          <t>Solution to industrial problem / group design</t>
        </is>
      </c>
      <c r="AF331" s="77">
        <f>IF(OR(V331="No",X331="No",Z331="No"),"Outside strict definition",IF(AND(V331="Yes",X331="Yes",Z331="Yes"),"Meets all three","Potentially relevant; evidence incomplete"))</f>
        <v/>
      </c>
      <c r="AG331" s="77" t="inlineStr">
        <is>
          <t>Current status unclear</t>
        </is>
      </c>
      <c r="AH331" s="77" t="inlineStr">
        <is>
          <t>undated</t>
        </is>
      </c>
      <c r="AI331" s="77" t="inlineStr">
        <is>
          <t>Yes</t>
        </is>
      </c>
      <c r="AJ331" s="77">
        <f>IF(AND(AI331="Yes",AF331="Meets all three",AG331="Current delivery confirmed"),"Yes","No")</f>
        <v/>
      </c>
      <c r="AK331" s="77" t="inlineStr"/>
      <c r="AL331" s="77" t="inlineStr">
        <is>
          <t>RG20-S13-R1</t>
        </is>
      </c>
      <c r="AM331" s="77" t="inlineStr">
        <is>
          <t>Undated careers page; ITP and GDP may be distinct routes; not corroborated by dated source (search budget exhausted). Search-summary paraphrase only.</t>
        </is>
      </c>
      <c r="AN331" s="77" t="inlineStr"/>
      <c r="AO331" s="77" t="inlineStr">
        <is>
          <t>UK</t>
        </is>
      </c>
      <c r="AP331" s="77" t="inlineStr">
        <is>
          <t>UK – Russell Group</t>
        </is>
      </c>
      <c r="AQ331" s="77" t="inlineStr">
        <is>
          <t>Unclear</t>
        </is>
      </c>
      <c r="AR331" s="77" t="inlineStr">
        <is>
          <t>All/standard</t>
        </is>
      </c>
      <c r="AS331" s="77" t="inlineStr"/>
    </row>
    <row r="332">
      <c r="A332" s="77" t="inlineStr">
        <is>
          <t>RG20</t>
        </is>
      </c>
      <c r="B332" s="77" t="inlineStr">
        <is>
          <t>Sheffield</t>
        </is>
      </c>
      <c r="C332" s="77" t="inlineStr">
        <is>
          <t>Programme/course</t>
        </is>
      </c>
      <c r="D332" s="77" t="inlineStr">
        <is>
          <t>RG20-S14</t>
        </is>
      </c>
      <c r="E332" s="77" t="inlineStr"/>
      <c r="F332" s="77" t="inlineStr">
        <is>
          <t>No</t>
        </is>
      </c>
      <c r="G332" s="79" t="inlineStr">
        <is>
          <t>Electrical and Electronic Engineering MEng final-year group project</t>
        </is>
      </c>
      <c r="H332" s="77" t="inlineStr">
        <is>
          <t>Electrical and Electronic Engineering MEng final-year group project</t>
        </is>
      </c>
      <c r="I332" s="77" t="inlineStr"/>
      <c r="J332" s="77" t="inlineStr">
        <is>
          <t>Final-year MEng group project in multidisciplinary teams where the brief is presented by industrialists involved.</t>
        </is>
      </c>
      <c r="K332" s="77" t="inlineStr">
        <is>
          <t>School of Electrical and Electronic Engineering</t>
        </is>
      </c>
      <c r="L332" s="77" t="inlineStr">
        <is>
          <t>Electrical and Electronic Engineering MEng</t>
        </is>
      </c>
      <c r="M332" s="77" t="inlineStr">
        <is>
          <t>Engineering/computing</t>
        </is>
      </c>
      <c r="N332" s="77" t="inlineStr">
        <is>
          <t>Undergraduate</t>
        </is>
      </c>
      <c r="O332" s="77" t="inlineStr">
        <is>
          <t>Final year</t>
        </is>
      </c>
      <c r="P332" s="77" t="inlineStr">
        <is>
          <t>MEng students</t>
        </is>
      </c>
      <c r="Q332" s="77" t="inlineStr">
        <is>
          <t>Unclear</t>
        </is>
      </c>
      <c r="R332" s="77" t="inlineStr">
        <is>
          <t>Curricular</t>
        </is>
      </c>
      <c r="S332" s="77" t="inlineStr">
        <is>
          <t>Not retrieved</t>
        </is>
      </c>
      <c r="T332" s="77" t="inlineStr">
        <is>
          <t>Not stated</t>
        </is>
      </c>
      <c r="U332" s="77" t="inlineStr">
        <is>
          <t>Multidisciplinary team project</t>
        </is>
      </c>
      <c r="V332" s="77" t="inlineStr">
        <is>
          <t>Yes</t>
        </is>
      </c>
      <c r="W332" s="77" t="inlineStr">
        <is>
          <t>Group project on industrial brief [1].</t>
        </is>
      </c>
      <c r="X332" s="77" t="inlineStr">
        <is>
          <t>Yes</t>
        </is>
      </c>
      <c r="Y332" s="77" t="inlineStr">
        <is>
          <t>Multidisciplinary teams [1].</t>
        </is>
      </c>
      <c r="Z332" s="77" t="inlineStr">
        <is>
          <t>Yes</t>
        </is>
      </c>
      <c r="AA332" s="77" t="inlineStr">
        <is>
          <t>Brief presented by industrialists involved [1].</t>
        </is>
      </c>
      <c r="AB332" s="77" t="inlineStr">
        <is>
          <t>Business/commercial</t>
        </is>
      </c>
      <c r="AC332" s="77" t="inlineStr">
        <is>
          <t>Present brief</t>
        </is>
      </c>
      <c r="AD332" s="77" t="inlineStr"/>
      <c r="AE332" s="77" t="inlineStr">
        <is>
          <t>Not stated</t>
        </is>
      </c>
      <c r="AF332" s="77">
        <f>IF(OR(V332="No",X332="No",Z332="No"),"Outside strict definition",IF(AND(V332="Yes",X332="Yes",Z332="Yes"),"Meets all three","Potentially relevant; evidence incomplete"))</f>
        <v/>
      </c>
      <c r="AG332" s="77" t="inlineStr">
        <is>
          <t>Current status unclear</t>
        </is>
      </c>
      <c r="AH332" s="77" t="inlineStr">
        <is>
          <t>2027 entry course listing</t>
        </is>
      </c>
      <c r="AI332" s="77" t="inlineStr">
        <is>
          <t>Yes</t>
        </is>
      </c>
      <c r="AJ332" s="77">
        <f>IF(AND(AI332="Yes",AF332="Meets all three",AG332="Current delivery confirmed"),"Yes","No")</f>
        <v/>
      </c>
      <c r="AK332" s="77" t="inlineStr"/>
      <c r="AL332" s="77" t="inlineStr">
        <is>
          <t>RG20-S14-R1</t>
        </is>
      </c>
      <c r="AM332" s="77" t="inlineStr">
        <is>
          <t>Search summary noted the page text is flagged as needing updating, conflicting with the 2027-entry listing; paraphrase only.</t>
        </is>
      </c>
      <c r="AN332" s="77" t="inlineStr"/>
      <c r="AO332" s="77" t="inlineStr">
        <is>
          <t>UK</t>
        </is>
      </c>
      <c r="AP332" s="77" t="inlineStr">
        <is>
          <t>UK – Russell Group</t>
        </is>
      </c>
      <c r="AQ332" s="77" t="inlineStr">
        <is>
          <t>Unclear</t>
        </is>
      </c>
      <c r="AR332" s="77" t="inlineStr">
        <is>
          <t>All/standard</t>
        </is>
      </c>
      <c r="AS332" s="77" t="inlineStr"/>
    </row>
    <row r="333">
      <c r="A333" s="77" t="inlineStr">
        <is>
          <t>RG20</t>
        </is>
      </c>
      <c r="B333" s="77" t="inlineStr">
        <is>
          <t>Sheffield</t>
        </is>
      </c>
      <c r="C333" s="77" t="inlineStr">
        <is>
          <t>Programme/course</t>
        </is>
      </c>
      <c r="D333" s="77" t="inlineStr">
        <is>
          <t>RG20-S15</t>
        </is>
      </c>
      <c r="E333" s="77" t="inlineStr"/>
      <c r="F333" s="77" t="inlineStr">
        <is>
          <t>No</t>
        </is>
      </c>
      <c r="G333" s="79" t="inlineStr">
        <is>
          <t>Medicine community partnership placements (Social Accountability)</t>
        </is>
      </c>
      <c r="H333" s="77" t="inlineStr">
        <is>
          <t>Medicine community partnership placements</t>
        </is>
      </c>
      <c r="I333" s="77" t="inlineStr"/>
      <c r="J333" s="77" t="inlineStr">
        <is>
          <t>Medical students are placed in groups in community organisations for about four weeks and carry out negotiated project work (e.g. health needs assessment, service evaluation, media resources) agreed in advance with partner staff.</t>
        </is>
      </c>
      <c r="K333" s="77" t="inlineStr">
        <is>
          <t>Faculty of Medicine, Dentistry and Health (Social Accountability)</t>
        </is>
      </c>
      <c r="L333" s="77" t="inlineStr">
        <is>
          <t>Medicine (programme year not stated)</t>
        </is>
      </c>
      <c r="M333" s="77" t="inlineStr">
        <is>
          <t>Other (law, health, design, architecture…)</t>
        </is>
      </c>
      <c r="N333" s="77" t="inlineStr">
        <is>
          <t>Undergraduate</t>
        </is>
      </c>
      <c r="O333" s="77" t="inlineStr"/>
      <c r="P333" s="77" t="inlineStr">
        <is>
          <t>Not stated</t>
        </is>
      </c>
      <c r="Q333" s="77" t="inlineStr">
        <is>
          <t>Unclear</t>
        </is>
      </c>
      <c r="R333" s="77" t="inlineStr">
        <is>
          <t>Unclear</t>
        </is>
      </c>
      <c r="S333" s="77" t="inlineStr">
        <is>
          <t>Not stated</t>
        </is>
      </c>
      <c r="T333" s="77" t="inlineStr">
        <is>
          <t>About 4 weeks</t>
        </is>
      </c>
      <c r="U333" s="77" t="inlineStr">
        <is>
          <t>Group placement with project</t>
        </is>
      </c>
      <c r="V333" s="77" t="inlineStr">
        <is>
          <t>Yes</t>
        </is>
      </c>
      <c r="W333" s="77" t="inlineStr">
        <is>
          <t>'negotiated project work that will make a tangible contribution' to the organisation [1].</t>
        </is>
      </c>
      <c r="X333" s="77" t="inlineStr">
        <is>
          <t>Yes</t>
        </is>
      </c>
      <c r="Y333" s="77" t="inlineStr">
        <is>
          <t>Students placed in groups, e.g. 18 at South Yorkshire Fire &amp; Rescue, four at Bluebell Wood [1].</t>
        </is>
      </c>
      <c r="Z333" s="77" t="inlineStr">
        <is>
          <t>Yes</t>
        </is>
      </c>
      <c r="AA333" s="77" t="inlineStr">
        <is>
          <t>Partner organisations agree the project and use outputs (e.g. hospice changed referral process) [1].</t>
        </is>
      </c>
      <c r="AB333" s="77" t="inlineStr">
        <is>
          <t>Charity/community</t>
        </is>
      </c>
      <c r="AC333" s="77" t="inlineStr">
        <is>
          <t>Agrees project, works with students, uses results</t>
        </is>
      </c>
      <c r="AD333" s="77" t="inlineStr">
        <is>
          <t>South Yorkshire Fire &amp; Rescue; Bluebell Wood Children's Hospice; Motion; Endeavour; Sheffield Futures (examples, years undated, began 2015)</t>
        </is>
      </c>
      <c r="AE333" s="77" t="inlineStr">
        <is>
          <t>Negotiated project outputs (needs assessment, evaluation, resources)</t>
        </is>
      </c>
      <c r="AF333" s="77">
        <f>IF(OR(V333="No",X333="No",Z333="No"),"Outside strict definition",IF(AND(V333="Yes",X333="Yes",Z333="Yes"),"Meets all three","Potentially relevant; evidence incomplete"))</f>
        <v/>
      </c>
      <c r="AG333" s="77" t="inlineStr">
        <is>
          <t>Current status unclear</t>
        </is>
      </c>
      <c r="AH333" s="77" t="inlineStr">
        <is>
          <t>undated (examples from 2015)</t>
        </is>
      </c>
      <c r="AI333" s="77" t="inlineStr">
        <is>
          <t>Yes</t>
        </is>
      </c>
      <c r="AJ333" s="77">
        <f>IF(AND(AI333="Yes",AF333="Meets all three",AG333="Current delivery confirmed"),"Yes","No")</f>
        <v/>
      </c>
      <c r="AK333" s="77" t="inlineStr">
        <is>
          <t>Over 2000 students in over 200 organisations since 2015 (cumulative, search summary)</t>
        </is>
      </c>
      <c r="AL333" s="77" t="inlineStr">
        <is>
          <t>RG20-S15-R1</t>
        </is>
      </c>
      <c r="AM333" s="77" t="inlineStr">
        <is>
          <t>No dated 2025/26 evidence; compulsory/credit status unstated; page calls students 'volunteered'.</t>
        </is>
      </c>
      <c r="AN333" s="77" t="inlineStr"/>
      <c r="AO333" s="77" t="inlineStr">
        <is>
          <t>UK</t>
        </is>
      </c>
      <c r="AP333" s="77" t="inlineStr">
        <is>
          <t>UK – Russell Group</t>
        </is>
      </c>
      <c r="AQ333" s="77" t="inlineStr">
        <is>
          <t>1–4 weeks</t>
        </is>
      </c>
      <c r="AR333" s="77" t="inlineStr">
        <is>
          <t>All/standard</t>
        </is>
      </c>
      <c r="AS333" s="77" t="inlineStr"/>
    </row>
    <row r="334">
      <c r="A334" s="77" t="inlineStr">
        <is>
          <t>RG21</t>
        </is>
      </c>
      <c r="B334" s="77" t="inlineStr">
        <is>
          <t>Southampton</t>
        </is>
      </c>
      <c r="C334" s="77" t="inlineStr">
        <is>
          <t>University-wide</t>
        </is>
      </c>
      <c r="D334" s="77" t="inlineStr">
        <is>
          <t>RG21-S01</t>
        </is>
      </c>
      <c r="E334" s="77" t="inlineStr"/>
      <c r="F334" s="77" t="inlineStr">
        <is>
          <t>No</t>
        </is>
      </c>
      <c r="G334" s="79" t="inlineStr">
        <is>
          <t>Student Innovation Projects</t>
        </is>
      </c>
      <c r="H334" s="77" t="inlineStr">
        <is>
          <t>Student Innovation Projects (live-client team projects)</t>
        </is>
      </c>
      <c r="I334" s="77" t="inlineStr"/>
      <c r="J334" s="77" t="inlineStr">
        <is>
          <t>Students from any degree apply to join small interdisciplinary teams that work for about 4 weeks (4-6 hours a week) on a challenge briefed by a business or non-profit client; after kick-off training and an initial client meeting they produce a final report and presentation to the client (a 'research and recommendation' style project).</t>
        </is>
      </c>
      <c r="K334" s="77" t="inlineStr">
        <is>
          <t>Careers, Employability and Student Enterprise</t>
        </is>
      </c>
      <c r="L334" s="77" t="inlineStr">
        <is>
          <t>Currently registered undergraduate and postgraduate students of any discipline who can commit to the full duration; places are competitive/applied for.</t>
        </is>
      </c>
      <c r="M334" s="77" t="inlineStr">
        <is>
          <t>Central provision</t>
        </is>
      </c>
      <c r="N334" s="77" t="inlineStr">
        <is>
          <t>Mixed</t>
        </is>
      </c>
      <c r="O334" s="77" t="inlineStr">
        <is>
          <t>Any</t>
        </is>
      </c>
      <c r="P334" s="77" t="inlineStr">
        <is>
          <t>Must apply; must be currently studying and able to commit to the 4 weeks; admissions/selection apply.</t>
        </is>
      </c>
      <c r="Q334" s="77" t="inlineStr">
        <is>
          <t>Selective/competitive</t>
        </is>
      </c>
      <c r="R334" s="77" t="inlineStr">
        <is>
          <t>Extracurricular</t>
        </is>
      </c>
      <c r="S334" s="77" t="inlineStr">
        <is>
          <t>No credit evidenced; co-curricular.</t>
        </is>
      </c>
      <c r="T334" s="77" t="inlineStr">
        <is>
          <t>About 4 weeks, 4-6 hours per week (older client guides: 6 weeks)</t>
        </is>
      </c>
      <c r="U334" s="77" t="inlineStr">
        <is>
          <t>Mix of virtual and in-person team meetings; kick-off training; client meetings.</t>
        </is>
      </c>
      <c r="V334" s="77" t="inlineStr">
        <is>
          <t>Yes</t>
        </is>
      </c>
      <c r="W334" s="77" t="inlineStr">
        <is>
          <t>Source 1/2: team works on a client-briefed business challenge and produces a final report and presentation; client brief approved by the University.</t>
        </is>
      </c>
      <c r="X334" s="77" t="inlineStr">
        <is>
          <t>Yes</t>
        </is>
      </c>
      <c r="Y334" s="77" t="inlineStr">
        <is>
          <t>Source 1/2: students work 'in small, interdisciplinary teams' (older guides 4-5; Innovation Challenge page 3-5).</t>
        </is>
      </c>
      <c r="Z334" s="77" t="inlineStr">
        <is>
          <t>Yes</t>
        </is>
      </c>
      <c r="AA334" s="77" t="inlineStr">
        <is>
          <t>Source 1/2: organisations submit a project brief for University approval, meet the team, and are asked to attend the student presentation and final report submission (client receives output).</t>
        </is>
      </c>
      <c r="AB334" s="77" t="inlineStr">
        <is>
          <t>Mixed</t>
        </is>
      </c>
      <c r="AC334" s="77" t="inlineStr">
        <is>
          <t>Business or non-profit client sets brief, meets team, attends final presentation and receives report.</t>
        </is>
      </c>
      <c r="AD334" s="77" t="inlineStr"/>
      <c r="AE334" s="77" t="inlineStr">
        <is>
          <t>Final report and client presentation</t>
        </is>
      </c>
      <c r="AF334" s="77">
        <f>IF(OR(V334="No",X334="No",Z334="No"),"Outside strict definition",IF(AND(V334="Yes",X334="Yes",Z334="Yes"),"Meets all three","Potentially relevant; evidence incomplete"))</f>
        <v/>
      </c>
      <c r="AG334" s="77" t="inlineStr">
        <is>
          <t>Current delivery confirmed</t>
        </is>
      </c>
      <c r="AH334" s="77" t="inlineStr">
        <is>
          <t>2025/26</t>
        </is>
      </c>
      <c r="AI334" s="77" t="inlineStr">
        <is>
          <t>Yes</t>
        </is>
      </c>
      <c r="AJ334" s="77">
        <f>IF(AND(AI334="Yes",AF334="Meets all three",AG334="Current delivery confirmed"),"Yes","No")</f>
        <v/>
      </c>
      <c r="AK334" s="77" t="inlineStr">
        <is>
          <t>'Up to 250 students per year' (search summary of a Southampton page; page date unclear).</t>
        </is>
      </c>
      <c r="AL334" s="77" t="inlineStr">
        <is>
          <t>RG21-S01-R1; RG21-S01-R2; RG21-S01-R3</t>
        </is>
      </c>
      <c r="AM334" s="77" t="inlineStr">
        <is>
          <t>Legacy research noted that the project route 'will end after Semester 1 of 2026/27'; this was NOT re-verified in this pass (a search summary of the SIP page reported that 2026/27 applications have closed and employers should contact the team about other ways to engage). Check whether the scheme is discontinued/replaced after Semester 1 2026/27. Team size on the current page not stated.</t>
        </is>
      </c>
      <c r="AN334" s="77" t="inlineStr">
        <is>
          <t>Student Innovation Projects and Challenges</t>
        </is>
      </c>
      <c r="AO334" s="77" t="inlineStr">
        <is>
          <t>UK</t>
        </is>
      </c>
      <c r="AP334" s="77" t="inlineStr">
        <is>
          <t>UK – Russell Group</t>
        </is>
      </c>
      <c r="AQ334" s="77" t="inlineStr">
        <is>
          <t>1–4 weeks</t>
        </is>
      </c>
      <c r="AR334" s="77" t="inlineStr">
        <is>
          <t>All/standard</t>
        </is>
      </c>
      <c r="AS334" s="77" t="inlineStr"/>
    </row>
    <row r="335">
      <c r="A335" s="77" t="inlineStr">
        <is>
          <t>RG21</t>
        </is>
      </c>
      <c r="B335" s="77" t="inlineStr">
        <is>
          <t>Southampton</t>
        </is>
      </c>
      <c r="C335" s="77" t="inlineStr">
        <is>
          <t>University-wide</t>
        </is>
      </c>
      <c r="D335" s="77" t="inlineStr">
        <is>
          <t>RG21-S02</t>
        </is>
      </c>
      <c r="E335" s="77" t="inlineStr"/>
      <c r="F335" s="77" t="inlineStr">
        <is>
          <t>No</t>
        </is>
      </c>
      <c r="G335" s="79" t="inlineStr">
        <is>
          <t>Student Innovation Challenge</t>
        </is>
      </c>
      <c r="H335" s="77" t="inlineStr">
        <is>
          <t>Student Innovation Challenge (Easter and Summer, 4-day employer challenge)</t>
        </is>
      </c>
      <c r="I335" s="77" t="inlineStr"/>
      <c r="J335" s="77" t="inlineStr">
        <is>
          <t>Intensive four-day project, run in the Easter and summer vacations, in which teams of 3-5 students tackle a real business challenge set by an employer, with a prize for the winning team.</t>
        </is>
      </c>
      <c r="K335" s="77" t="inlineStr">
        <is>
          <t>Careers, Employability and Student Enterprise</t>
        </is>
      </c>
      <c r="L335" s="77" t="inlineStr">
        <is>
          <t>Open to students from any degree (application).</t>
        </is>
      </c>
      <c r="M335" s="77" t="inlineStr">
        <is>
          <t>Central provision</t>
        </is>
      </c>
      <c r="N335" s="77" t="inlineStr">
        <is>
          <t>Mixed</t>
        </is>
      </c>
      <c r="O335" s="77" t="inlineStr"/>
      <c r="P335" s="77" t="inlineStr">
        <is>
          <t>Application; places capped.</t>
        </is>
      </c>
      <c r="Q335" s="77" t="inlineStr">
        <is>
          <t>Selective/competitive</t>
        </is>
      </c>
      <c r="R335" s="77" t="inlineStr">
        <is>
          <t>Extracurricular</t>
        </is>
      </c>
      <c r="S335" s="77" t="inlineStr">
        <is>
          <t>No credit evidenced.</t>
        </is>
      </c>
      <c r="T335" s="77" t="inlineStr">
        <is>
          <t>4 days</t>
        </is>
      </c>
      <c r="U335" s="77" t="inlineStr">
        <is>
          <t>Intensive vacation project; employer-provided challenge.</t>
        </is>
      </c>
      <c r="V335" s="77" t="inlineStr">
        <is>
          <t>Yes</t>
        </is>
      </c>
      <c r="W335" s="77" t="inlineStr">
        <is>
          <t>Source 1/2: team works on an employer-set business challenge for four days; client brief form (title, background, business need) approved by University (older guide). Defined output not explicitly quoted beyond team solution/presentation.</t>
        </is>
      </c>
      <c r="X335" s="77" t="inlineStr">
        <is>
          <t>Yes</t>
        </is>
      </c>
      <c r="Y335" s="77" t="inlineStr">
        <is>
          <t>Source 1/2: teams of 3-5 students (4-5 in the 2025-26 guide).</t>
        </is>
      </c>
      <c r="Z335" s="77" t="inlineStr">
        <is>
          <t>Yes</t>
        </is>
      </c>
      <c r="AA335" s="77" t="inlineStr">
        <is>
          <t>Source 1/2/3: employers submit a Client Brief Form and Client Agreement; challenge is 'from top employers'; (2021/22 guide) employers receive the team solutions and judge for the prize.</t>
        </is>
      </c>
      <c r="AB335" s="77" t="inlineStr">
        <is>
          <t>Business/commercial</t>
        </is>
      </c>
      <c r="AC335" s="77" t="inlineStr">
        <is>
          <t>Employer sets the challenge brief and engages with the teams.</t>
        </is>
      </c>
      <c r="AD335" s="77" t="inlineStr"/>
      <c r="AE335" s="77" t="inlineStr">
        <is>
          <t>Team solution/presentation to the employer (output form not quoted)</t>
        </is>
      </c>
      <c r="AF335" s="77">
        <f>IF(OR(V335="No",X335="No",Z335="No"),"Outside strict definition",IF(AND(V335="Yes",X335="Yes",Z335="Yes"),"Meets all three","Potentially relevant; evidence incomplete"))</f>
        <v/>
      </c>
      <c r="AG335" s="77" t="inlineStr">
        <is>
          <t>Current delivery confirmed</t>
        </is>
      </c>
      <c r="AH335" s="77" t="inlineStr">
        <is>
          <t>2025/26</t>
        </is>
      </c>
      <c r="AI335" s="77" t="inlineStr">
        <is>
          <t>Yes</t>
        </is>
      </c>
      <c r="AJ335" s="77">
        <f>IF(AND(AI335="Yes",AF335="Meets all three",AG335="Current delivery confirmed"),"Yes","No")</f>
        <v/>
      </c>
      <c r="AK335" s="77" t="inlineStr">
        <is>
          <t>'Limited to up to 100 students per year' (search summary; page date unclear).</t>
        </is>
      </c>
      <c r="AL335" s="77" t="inlineStr">
        <is>
          <t>RG21-S02-R1; RG21-S02-R2; RG21-S02-R3</t>
        </is>
      </c>
      <c r="AM335" s="77" t="inlineStr">
        <is>
          <t>Specific 2026 Easter/summer dates and named employers not found; defined output stated only indirectly (4-day format, so duration_band &lt;1 week).</t>
        </is>
      </c>
      <c r="AN335" s="77" t="inlineStr">
        <is>
          <t>Student Innovation Projects and Challenges (Innovation Challenge component)</t>
        </is>
      </c>
      <c r="AO335" s="77" t="inlineStr">
        <is>
          <t>UK</t>
        </is>
      </c>
      <c r="AP335" s="77" t="inlineStr">
        <is>
          <t>UK – Russell Group</t>
        </is>
      </c>
      <c r="AQ335" s="77" t="inlineStr">
        <is>
          <t>&lt;1 week</t>
        </is>
      </c>
      <c r="AR335" s="77" t="inlineStr">
        <is>
          <t>All/standard</t>
        </is>
      </c>
      <c r="AS335" s="77" t="inlineStr"/>
    </row>
    <row r="336">
      <c r="A336" s="77" t="inlineStr">
        <is>
          <t>RG21</t>
        </is>
      </c>
      <c r="B336" s="77" t="inlineStr">
        <is>
          <t>Southampton</t>
        </is>
      </c>
      <c r="C336" s="77" t="inlineStr">
        <is>
          <t>Programme/course</t>
        </is>
      </c>
      <c r="D336" s="77" t="inlineStr">
        <is>
          <t>RG21-S03</t>
        </is>
      </c>
      <c r="E336" s="77" t="inlineStr"/>
      <c r="F336" s="77" t="inlineStr">
        <is>
          <t>No</t>
        </is>
      </c>
      <c r="G336" s="79" t="inlineStr">
        <is>
          <t>Leading Sustainability, Innovation and Change (MBA live consulting project)</t>
        </is>
      </c>
      <c r="H336" s="77" t="inlineStr">
        <is>
          <t>MBA: Leading Sustainability, Innovation and Change - live group consulting project</t>
        </is>
      </c>
      <c r="I336" s="77" t="inlineStr"/>
      <c r="J336" s="77" t="inlineStr">
        <is>
          <t>MBA students (full-time MBA and Global Executive MBA) complete a 'live' group consultancy project for a client/local organisation as part of the Leading Sustainability, Innovation and Change module, combining teaching in Southampton with an international study trip.</t>
        </is>
      </c>
      <c r="K336" s="77" t="inlineStr">
        <is>
          <t>Southampton Business School</t>
        </is>
      </c>
      <c r="L336" s="77" t="inlineStr">
        <is>
          <t>MBA (full-time) and Global Executive MBA students</t>
        </is>
      </c>
      <c r="M336" s="77" t="inlineStr">
        <is>
          <t>Business/management</t>
        </is>
      </c>
      <c r="N336" s="77" t="inlineStr">
        <is>
          <t>Postgraduate taught</t>
        </is>
      </c>
      <c r="O336" s="77" t="inlineStr"/>
      <c r="P336" s="77" t="inlineStr"/>
      <c r="Q336" s="77" t="inlineStr">
        <is>
          <t>Compulsory within specified programmes</t>
        </is>
      </c>
      <c r="R336" s="77" t="inlineStr">
        <is>
          <t>Curricular</t>
        </is>
      </c>
      <c r="S336" s="77" t="inlineStr">
        <is>
          <t>Module component; credit weighting for the project not extracted.</t>
        </is>
      </c>
      <c r="T336" s="77" t="inlineStr">
        <is>
          <t>Part of a Semester 2 module (residential/study trip)</t>
        </is>
      </c>
      <c r="U336" s="77" t="inlineStr">
        <is>
          <t>Southampton teaching plus international study trip/residential; group consulting project</t>
        </is>
      </c>
      <c r="V336" s="77" t="inlineStr">
        <is>
          <t>Yes</t>
        </is>
      </c>
      <c r="W336" s="77" t="inlineStr">
        <is>
          <t>Source 1/2: 'live' group consulting project / consultancy project applying module learning to a business problem.</t>
        </is>
      </c>
      <c r="X336" s="77" t="inlineStr">
        <is>
          <t>Yes</t>
        </is>
      </c>
      <c r="Y336" s="77" t="inlineStr">
        <is>
          <t>Source 2: team of 5 to 7 students (Global Executive MBA); 2020-21 spec 4-6 per group.</t>
        </is>
      </c>
      <c r="Z336" s="77" t="inlineStr">
        <is>
          <t>Yes</t>
        </is>
      </c>
      <c r="AA336" s="77" t="inlineStr">
        <is>
          <t>Source 1/2: project is for a client/local organisation ('live' project with a client company).</t>
        </is>
      </c>
      <c r="AB336" s="77" t="inlineStr">
        <is>
          <t>Unclear</t>
        </is>
      </c>
      <c r="AC336" s="77" t="inlineStr">
        <is>
          <t>Client/local organisation hosts the live consultancy project; sector and how the client assesses/receives output not extracted.</t>
        </is>
      </c>
      <c r="AD336" s="77" t="inlineStr"/>
      <c r="AE336" s="77" t="inlineStr">
        <is>
          <t>Group consultancy project output for the client (report/presentation; form not quoted)</t>
        </is>
      </c>
      <c r="AF336" s="77">
        <f>IF(OR(V336="No",X336="No",Z336="No"),"Outside strict definition",IF(AND(V336="Yes",X336="Yes",Z336="Yes"),"Meets all three","Potentially relevant; evidence incomplete"))</f>
        <v/>
      </c>
      <c r="AG336" s="77" t="inlineStr">
        <is>
          <t>Current delivery confirmed</t>
        </is>
      </c>
      <c r="AH336" s="77" t="inlineStr">
        <is>
          <t>2026</t>
        </is>
      </c>
      <c r="AI336" s="77" t="inlineStr">
        <is>
          <t>Yes</t>
        </is>
      </c>
      <c r="AJ336" s="77">
        <f>IF(AND(AI336="Yes",AF336="Meets all three",AG336="Current delivery confirmed"),"Yes","No")</f>
        <v/>
      </c>
      <c r="AK336" s="77" t="inlineStr"/>
      <c r="AL336" s="77" t="inlineStr">
        <is>
          <t>RG21-S03-R1; RG21-S03-R2; RG21-S03-R3</t>
        </is>
      </c>
      <c r="AM336" s="77" t="inlineStr">
        <is>
          <t>Course pages are undated; currency inferred from the Global Executive MBA page giving a next start of September 2026 (application call), not from a dated module page. Client type (business vs other), client role in assessment, duration and credit weighting not extracted. Team size varies (4-6 vs 5-7).</t>
        </is>
      </c>
      <c r="AN336" s="77" t="inlineStr"/>
      <c r="AO336" s="77" t="inlineStr">
        <is>
          <t>UK</t>
        </is>
      </c>
      <c r="AP336" s="77" t="inlineStr">
        <is>
          <t>UK – Russell Group</t>
        </is>
      </c>
      <c r="AQ336" s="77" t="inlineStr">
        <is>
          <t>Unclear</t>
        </is>
      </c>
      <c r="AR336" s="77" t="inlineStr">
        <is>
          <t>All/standard</t>
        </is>
      </c>
      <c r="AS336" s="77" t="inlineStr"/>
    </row>
    <row r="337">
      <c r="A337" s="77" t="inlineStr">
        <is>
          <t>RG21</t>
        </is>
      </c>
      <c r="B337" s="77" t="inlineStr">
        <is>
          <t>Southampton</t>
        </is>
      </c>
      <c r="C337" s="77" t="inlineStr">
        <is>
          <t>Programme/course</t>
        </is>
      </c>
      <c r="D337" s="77" t="inlineStr">
        <is>
          <t>RG21-S04</t>
        </is>
      </c>
      <c r="E337" s="77" t="inlineStr"/>
      <c r="F337" s="77" t="inlineStr">
        <is>
          <t>No</t>
        </is>
      </c>
      <c r="G337" s="79" t="inlineStr">
        <is>
          <t>Online Master in Management (MiM) live consulting module</t>
        </is>
      </c>
      <c r="H337" s="77" t="inlineStr">
        <is>
          <t>Online MiM: live group consulting project for an international client</t>
        </is>
      </c>
      <c r="I337" s="77" t="inlineStr"/>
      <c r="J337" s="77" t="inlineStr">
        <is>
          <t>A 15-credit module on the online Master in Management with a live group consulting project for an international client, ending in a group presentation and project report.</t>
        </is>
      </c>
      <c r="K337" s="77" t="inlineStr">
        <is>
          <t>Southampton Business School (online)</t>
        </is>
      </c>
      <c r="L337" s="77" t="inlineStr">
        <is>
          <t>Online MiM students</t>
        </is>
      </c>
      <c r="M337" s="77" t="inlineStr">
        <is>
          <t>Business/management</t>
        </is>
      </c>
      <c r="N337" s="77" t="inlineStr">
        <is>
          <t>Postgraduate taught</t>
        </is>
      </c>
      <c r="O337" s="77" t="inlineStr"/>
      <c r="P337" s="77" t="inlineStr"/>
      <c r="Q337" s="77" t="inlineStr">
        <is>
          <t>Compulsory within specified programmes</t>
        </is>
      </c>
      <c r="R337" s="77" t="inlineStr">
        <is>
          <t>Curricular</t>
        </is>
      </c>
      <c r="S337" s="77" t="inlineStr">
        <is>
          <t>15 credits (module)</t>
        </is>
      </c>
      <c r="T337" s="77" t="inlineStr">
        <is>
          <t>Unclear</t>
        </is>
      </c>
      <c r="U337" s="77" t="inlineStr">
        <is>
          <t>Online</t>
        </is>
      </c>
      <c r="V337" s="77" t="inlineStr">
        <is>
          <t>Yes</t>
        </is>
      </c>
      <c r="W337" s="77" t="inlineStr">
        <is>
          <t>Source 1: live group consulting project culminating in a project report and presentation.</t>
        </is>
      </c>
      <c r="X337" s="77" t="inlineStr">
        <is>
          <t>Yes</t>
        </is>
      </c>
      <c r="Y337" s="77" t="inlineStr">
        <is>
          <t>Source 1: 'live group consulting project'.</t>
        </is>
      </c>
      <c r="Z337" s="77" t="inlineStr">
        <is>
          <t>Yes</t>
        </is>
      </c>
      <c r="AA337" s="77" t="inlineStr">
        <is>
          <t>Source 1: client is an international client for the live project; how the client participates (brief, feedback) not extracted.</t>
        </is>
      </c>
      <c r="AB337" s="77" t="inlineStr">
        <is>
          <t>Unclear</t>
        </is>
      </c>
      <c r="AC337" s="77" t="inlineStr">
        <is>
          <t>International client; type and role not extracted.</t>
        </is>
      </c>
      <c r="AD337" s="77" t="inlineStr"/>
      <c r="AE337" s="77" t="inlineStr">
        <is>
          <t>Group project report and presentation</t>
        </is>
      </c>
      <c r="AF337" s="77">
        <f>IF(OR(V337="No",X337="No",Z337="No"),"Outside strict definition",IF(AND(V337="Yes",X337="Yes",Z337="Yes"),"Meets all three","Potentially relevant; evidence incomplete"))</f>
        <v/>
      </c>
      <c r="AG337" s="77" t="inlineStr">
        <is>
          <t>Current status unclear</t>
        </is>
      </c>
      <c r="AH337" s="77" t="inlineStr"/>
      <c r="AI337" s="77" t="inlineStr">
        <is>
          <t>Yes</t>
        </is>
      </c>
      <c r="AJ337" s="77">
        <f>IF(AND(AI337="Yes",AF337="Meets all three",AG337="Current delivery confirmed"),"Yes","No")</f>
        <v/>
      </c>
      <c r="AK337" s="77" t="inlineStr"/>
      <c r="AL337" s="77" t="inlineStr">
        <is>
          <t>RG21-S04-R1</t>
        </is>
      </c>
      <c r="AM337" s="77" t="inlineStr">
        <is>
          <t>Page undated; module code, delivery year, client type and client role not retrieved. Possibly the online delivery of the MBA module S3 (not confirmed), so not counted as a clear separate route.</t>
        </is>
      </c>
      <c r="AN337" s="77" t="inlineStr"/>
      <c r="AO337" s="77" t="inlineStr">
        <is>
          <t>UK</t>
        </is>
      </c>
      <c r="AP337" s="77" t="inlineStr">
        <is>
          <t>UK – Russell Group</t>
        </is>
      </c>
      <c r="AQ337" s="77" t="inlineStr">
        <is>
          <t>Unclear</t>
        </is>
      </c>
      <c r="AR337" s="77" t="inlineStr">
        <is>
          <t>Unclear</t>
        </is>
      </c>
      <c r="AS337" s="77" t="inlineStr"/>
    </row>
    <row r="338">
      <c r="A338" s="77" t="inlineStr">
        <is>
          <t>RG21</t>
        </is>
      </c>
      <c r="B338" s="77" t="inlineStr">
        <is>
          <t>Southampton</t>
        </is>
      </c>
      <c r="C338" s="77" t="inlineStr">
        <is>
          <t>Programme/course</t>
        </is>
      </c>
      <c r="D338" s="77" t="inlineStr">
        <is>
          <t>RG21-S05</t>
        </is>
      </c>
      <c r="E338" s="77" t="inlineStr"/>
      <c r="F338" s="77" t="inlineStr">
        <is>
          <t>No</t>
        </is>
      </c>
      <c r="G338" s="79" t="inlineStr">
        <is>
          <t>Interdisciplinary Group Project (FEEG6046)</t>
        </is>
      </c>
      <c r="H338" s="77" t="inlineStr">
        <is>
          <t>Interdisciplinary Group Project - CDT in Complex Integrated Systems for Defence and Security</t>
        </is>
      </c>
      <c r="I338" s="77" t="inlineStr">
        <is>
          <t>FEEG6046</t>
        </is>
      </c>
      <c r="J338" s="77" t="inlineStr">
        <is>
          <t>Compulsory Semester 2 team project for the doctoral training cohort: teams of about four address practical real-world problems set by industry or government partners, each with an academic supervisor and an industrial advisor, and produce a 'demonstration' of their solution, a group report, and a video, with a possible presentation at an industry forum.</t>
        </is>
      </c>
      <c r="K338" s="77" t="inlineStr">
        <is>
          <t>CDT in Complex Integrated Systems for Defence and Security (Faculty of Engineering and Physical Sciences)</t>
        </is>
      </c>
      <c r="L338" s="77" t="inlineStr">
        <is>
          <t>CDT cohort students (module is compulsory; no referral)</t>
        </is>
      </c>
      <c r="M338" s="77" t="inlineStr">
        <is>
          <t>Engineering/computing</t>
        </is>
      </c>
      <c r="N338" s="77" t="inlineStr">
        <is>
          <t>Postgraduate research</t>
        </is>
      </c>
      <c r="O338" s="77" t="inlineStr">
        <is>
          <t>Year 1 (Semester 2)</t>
        </is>
      </c>
      <c r="P338" s="77" t="inlineStr">
        <is>
          <t>CDT cohort only.</t>
        </is>
      </c>
      <c r="Q338" s="77" t="inlineStr">
        <is>
          <t>Compulsory within specified programmes</t>
        </is>
      </c>
      <c r="R338" s="77" t="inlineStr">
        <is>
          <t>Curricular</t>
        </is>
      </c>
      <c r="S338" s="77" t="inlineStr">
        <is>
          <t>30 CATS (15 ECTS), Level 7; 2026-27 page lists technical report and video/audio recording; 2025-26 page lists group report/presentation 60% + individual contribution 40%.</t>
        </is>
      </c>
      <c r="T338" s="77" t="inlineStr">
        <is>
          <t>Semester 2</t>
        </is>
      </c>
      <c r="U338" s="77" t="inlineStr">
        <is>
          <t>Team project with supervisor and industrial advisor; interim review with industry partner.</t>
        </is>
      </c>
      <c r="V338" s="77" t="inlineStr">
        <is>
          <t>Yes</t>
        </is>
      </c>
      <c r="W338" s="77" t="inlineStr">
        <is>
          <t>Source 1: teams address a real-world problem set by industry or government partners and produce a demonstration plus report.</t>
        </is>
      </c>
      <c r="X338" s="77" t="inlineStr">
        <is>
          <t>Yes</t>
        </is>
      </c>
      <c r="Y338" s="77" t="inlineStr">
        <is>
          <t>Source 1: expected group size around 4, groups formed at start of Semester 2.</t>
        </is>
      </c>
      <c r="Z338" s="77" t="inlineStr">
        <is>
          <t>Yes</t>
        </is>
      </c>
      <c r="AA338" s="77" t="inlineStr">
        <is>
          <t>Source 1: problems set by industry/government partners; each team has an industrial advisor; industrial partner attends the week-1 meeting and mid-semester interim review (formative feedback); possible industry forum presentation.</t>
        </is>
      </c>
      <c r="AB338" s="77" t="inlineStr">
        <is>
          <t>Mixed</t>
        </is>
      </c>
      <c r="AC338" s="77" t="inlineStr">
        <is>
          <t>Industry or government partners set problem, advise, give formative feedback at interim review.</t>
        </is>
      </c>
      <c r="AD338" s="77" t="inlineStr"/>
      <c r="AE338" s="77" t="inlineStr">
        <is>
          <t>Demonstration of solution, group report and video</t>
        </is>
      </c>
      <c r="AF338" s="77">
        <f>IF(OR(V338="No",X338="No",Z338="No"),"Outside strict definition",IF(AND(V338="Yes",X338="Yes",Z338="Yes"),"Meets all three","Potentially relevant; evidence incomplete"))</f>
        <v/>
      </c>
      <c r="AG338" s="77" t="inlineStr">
        <is>
          <t>Current delivery confirmed</t>
        </is>
      </c>
      <c r="AH338" s="77" t="inlineStr">
        <is>
          <t>2026/27</t>
        </is>
      </c>
      <c r="AI338" s="77" t="inlineStr">
        <is>
          <t>Yes</t>
        </is>
      </c>
      <c r="AJ338" s="77">
        <f>IF(AND(AI338="Yes",AF338="Meets all three",AG338="Current delivery confirmed"),"Yes","No")</f>
        <v/>
      </c>
      <c r="AK338" s="77" t="inlineStr"/>
      <c r="AL338" s="77" t="inlineStr">
        <is>
          <t>RG21-S05-R1; RG21-S05-R2</t>
        </is>
      </c>
      <c r="AM338" s="77" t="inlineStr">
        <is>
          <t>Partner names not published. Cohort is a small CDT group; partner coverage inferred from module description stating problems are set by industry or government partners.</t>
        </is>
      </c>
      <c r="AN338" s="77" t="inlineStr"/>
      <c r="AO338" s="77" t="inlineStr">
        <is>
          <t>UK</t>
        </is>
      </c>
      <c r="AP338" s="77" t="inlineStr">
        <is>
          <t>UK – Russell Group</t>
        </is>
      </c>
      <c r="AQ338" s="77" t="inlineStr">
        <is>
          <t>~1 term/semester</t>
        </is>
      </c>
      <c r="AR338" s="77" t="inlineStr">
        <is>
          <t>All/standard</t>
        </is>
      </c>
      <c r="AS338" s="77" t="inlineStr"/>
    </row>
    <row r="339">
      <c r="A339" s="77" t="inlineStr">
        <is>
          <t>RG21</t>
        </is>
      </c>
      <c r="B339" s="77" t="inlineStr">
        <is>
          <t>Southampton</t>
        </is>
      </c>
      <c r="C339" s="77" t="inlineStr">
        <is>
          <t>Programme/course</t>
        </is>
      </c>
      <c r="D339" s="77" t="inlineStr">
        <is>
          <t>RG21-S06</t>
        </is>
      </c>
      <c r="E339" s="77" t="inlineStr"/>
      <c r="F339" s="77" t="inlineStr">
        <is>
          <t>No</t>
        </is>
      </c>
      <c r="G339" s="79" t="inlineStr">
        <is>
          <t>Interdisciplinary Team Project (SUST6003)</t>
        </is>
      </c>
      <c r="H339" s="77" t="inlineStr">
        <is>
          <t>Interdisciplinary Team Project - AI for Sustainability doctoral programme</t>
        </is>
      </c>
      <c r="I339" s="77" t="inlineStr">
        <is>
          <t>SUST6003</t>
        </is>
      </c>
      <c r="J339" s="77" t="inlineStr">
        <is>
          <t>Semester 2 team module in which doctoral students work in teams on a practical real-world sustainability problem set by industry and government partners, with an academic advisor and an industry advisor, producing a demonstration combining sustainability with electronics and/or AI.</t>
        </is>
      </c>
      <c r="K339" s="77" t="inlineStr">
        <is>
          <t>Doctoral Training Centre for AI for Sustainability</t>
        </is>
      </c>
      <c r="L339" s="77" t="inlineStr">
        <is>
          <t>AI for Sustainability doctoral programme entrants (compulsory)</t>
        </is>
      </c>
      <c r="M339" s="77" t="inlineStr">
        <is>
          <t>Engineering/computing; Science</t>
        </is>
      </c>
      <c r="N339" s="77" t="inlineStr">
        <is>
          <t>Postgraduate research</t>
        </is>
      </c>
      <c r="O339" s="77" t="inlineStr"/>
      <c r="P339" s="77" t="inlineStr"/>
      <c r="Q339" s="77" t="inlineStr">
        <is>
          <t>Compulsory within specified programmes</t>
        </is>
      </c>
      <c r="R339" s="77" t="inlineStr">
        <is>
          <t>Curricular</t>
        </is>
      </c>
      <c r="S339" s="77" t="inlineStr">
        <is>
          <t>30 CATS (15 ECTS), Level 7</t>
        </is>
      </c>
      <c r="T339" s="77" t="inlineStr">
        <is>
          <t>Semester 2</t>
        </is>
      </c>
      <c r="U339" s="77" t="inlineStr">
        <is>
          <t>Team project; starts with 2-day Software Carpentry workshop</t>
        </is>
      </c>
      <c r="V339" s="77" t="inlineStr">
        <is>
          <t>Yes</t>
        </is>
      </c>
      <c r="W339" s="77" t="inlineStr">
        <is>
          <t>Source 1: teams address a real-world sustainability problem and produce a demonstration.</t>
        </is>
      </c>
      <c r="X339" s="77" t="inlineStr">
        <is>
          <t>Yes</t>
        </is>
      </c>
      <c r="Y339" s="77" t="inlineStr">
        <is>
          <t>Source 1: 'Teams of students will work together'.</t>
        </is>
      </c>
      <c r="Z339" s="77" t="inlineStr">
        <is>
          <t>Yes</t>
        </is>
      </c>
      <c r="AA339" s="77" t="inlineStr">
        <is>
          <t>Source 1: problem set by industry and government partners; each team has an industry advisor.</t>
        </is>
      </c>
      <c r="AB339" s="77" t="inlineStr">
        <is>
          <t>Mixed</t>
        </is>
      </c>
      <c r="AC339" s="77" t="inlineStr">
        <is>
          <t>Industry and government partners set the problem and advise via an industry advisor.</t>
        </is>
      </c>
      <c r="AD339" s="77" t="inlineStr"/>
      <c r="AE339" s="77" t="inlineStr">
        <is>
          <t>Demonstration of solution</t>
        </is>
      </c>
      <c r="AF339" s="77">
        <f>IF(OR(V339="No",X339="No",Z339="No"),"Outside strict definition",IF(AND(V339="Yes",X339="Yes",Z339="Yes"),"Meets all three","Potentially relevant; evidence incomplete"))</f>
        <v/>
      </c>
      <c r="AG339" s="77" t="inlineStr">
        <is>
          <t>Current delivery confirmed</t>
        </is>
      </c>
      <c r="AH339" s="77" t="inlineStr">
        <is>
          <t>2025/26</t>
        </is>
      </c>
      <c r="AI339" s="77" t="inlineStr">
        <is>
          <t>Yes</t>
        </is>
      </c>
      <c r="AJ339" s="77">
        <f>IF(AND(AI339="Yes",AF339="Meets all three",AG339="Current delivery confirmed"),"Yes","No")</f>
        <v/>
      </c>
      <c r="AK339" s="77" t="inlineStr"/>
      <c r="AL339" s="77" t="inlineStr">
        <is>
          <t>RG21-S06-R1</t>
        </is>
      </c>
      <c r="AM339" s="77" t="inlineStr">
        <is>
          <t>2026/27 module page not retrieved; team size and partner names not shown. Module lead and cohort small.</t>
        </is>
      </c>
      <c r="AN339" s="77" t="inlineStr"/>
      <c r="AO339" s="77" t="inlineStr">
        <is>
          <t>UK</t>
        </is>
      </c>
      <c r="AP339" s="77" t="inlineStr">
        <is>
          <t>UK – Russell Group</t>
        </is>
      </c>
      <c r="AQ339" s="77" t="inlineStr">
        <is>
          <t>~1 term/semester</t>
        </is>
      </c>
      <c r="AR339" s="77" t="inlineStr">
        <is>
          <t>All/standard</t>
        </is>
      </c>
      <c r="AS339" s="77" t="inlineStr"/>
    </row>
    <row r="340">
      <c r="A340" s="77" t="inlineStr">
        <is>
          <t>RG21</t>
        </is>
      </c>
      <c r="B340" s="77" t="inlineStr">
        <is>
          <t>Southampton</t>
        </is>
      </c>
      <c r="C340" s="77" t="inlineStr">
        <is>
          <t>Programme/course</t>
        </is>
      </c>
      <c r="D340" s="77" t="inlineStr">
        <is>
          <t>RG21-S07</t>
        </is>
      </c>
      <c r="E340" s="77" t="inlineStr"/>
      <c r="F340" s="77" t="inlineStr">
        <is>
          <t>No</t>
        </is>
      </c>
      <c r="G340" s="79" t="inlineStr">
        <is>
          <t>Interdisciplinary Team Project (MIND6003)</t>
        </is>
      </c>
      <c r="H340" s="77" t="inlineStr">
        <is>
          <t>Interdisciplinary Team Project - MINDS CDT</t>
        </is>
      </c>
      <c r="I340" s="77" t="inlineStr">
        <is>
          <t>MIND6003</t>
        </is>
      </c>
      <c r="J340" s="77" t="inlineStr">
        <is>
          <t>Semester 2 team module for the CDT in Machine Intelligence for Nano-electronic Devices and Systems: teams work on a practical problem set by outside partners, each with an academic and an industry advisor, combining electronics and AI, with results presented at a public DemoFest.</t>
        </is>
      </c>
      <c r="K340" s="77" t="inlineStr">
        <is>
          <t>MINDS CDT</t>
        </is>
      </c>
      <c r="L340" s="77" t="inlineStr">
        <is>
          <t>MINDS CDT cohort</t>
        </is>
      </c>
      <c r="M340" s="77" t="inlineStr">
        <is>
          <t>Engineering/computing</t>
        </is>
      </c>
      <c r="N340" s="77" t="inlineStr">
        <is>
          <t>Postgraduate research</t>
        </is>
      </c>
      <c r="O340" s="77" t="inlineStr"/>
      <c r="P340" s="77" t="inlineStr"/>
      <c r="Q340" s="77" t="inlineStr">
        <is>
          <t>Compulsory within specified programmes</t>
        </is>
      </c>
      <c r="R340" s="77" t="inlineStr">
        <is>
          <t>Curricular</t>
        </is>
      </c>
      <c r="S340" s="77" t="inlineStr">
        <is>
          <t>30 CATS, Level 7</t>
        </is>
      </c>
      <c r="T340" s="77" t="inlineStr">
        <is>
          <t>Semester 2</t>
        </is>
      </c>
      <c r="U340" s="77" t="inlineStr">
        <is>
          <t>Team project; DemoFest in final week</t>
        </is>
      </c>
      <c r="V340" s="77" t="inlineStr">
        <is>
          <t>Yes</t>
        </is>
      </c>
      <c r="W340" s="77" t="inlineStr">
        <is>
          <t>Source 1: practical problem, integrated solution, demonstrated at DemoFest.</t>
        </is>
      </c>
      <c r="X340" s="77" t="inlineStr">
        <is>
          <t>Yes</t>
        </is>
      </c>
      <c r="Y340" s="77" t="inlineStr">
        <is>
          <t>Source 1: teams.</t>
        </is>
      </c>
      <c r="Z340" s="77" t="inlineStr">
        <is>
          <t>Yes</t>
        </is>
      </c>
      <c r="AA340" s="77" t="inlineStr">
        <is>
          <t>Source 1: problem set by outside partners; industry advisor per team.</t>
        </is>
      </c>
      <c r="AB340" s="77" t="inlineStr">
        <is>
          <t>Business/commercial</t>
        </is>
      </c>
      <c r="AC340" s="77" t="inlineStr">
        <is>
          <t>Outside (industry) partners set the problem; industry advisors. CDT partners named generically (Roke Manor, Thales, Intel, NXP in 2019 CDT news) not tied to this module.</t>
        </is>
      </c>
      <c r="AD340" s="77" t="inlineStr"/>
      <c r="AE340" s="77" t="inlineStr">
        <is>
          <t>Integrated electronics+AI solution demonstrated at DemoFest</t>
        </is>
      </c>
      <c r="AF340" s="77">
        <f>IF(OR(V340="No",X340="No",Z340="No"),"Outside strict definition",IF(AND(V340="Yes",X340="Yes",Z340="Yes"),"Meets all three","Potentially relevant; evidence incomplete"))</f>
        <v/>
      </c>
      <c r="AG340" s="77" t="inlineStr">
        <is>
          <t>Current status unclear</t>
        </is>
      </c>
      <c r="AH340" s="77" t="inlineStr">
        <is>
          <t>2023/24</t>
        </is>
      </c>
      <c r="AI340" s="77" t="inlineStr">
        <is>
          <t>Yes</t>
        </is>
      </c>
      <c r="AJ340" s="77">
        <f>IF(AND(AI340="Yes",AF340="Meets all three",AG340="Current delivery confirmed"),"Yes","No")</f>
        <v/>
      </c>
      <c r="AK340" s="77" t="inlineStr"/>
      <c r="AL340" s="77" t="inlineStr">
        <is>
          <t>RG21-S07-R1; RG21-S07-R2</t>
        </is>
      </c>
      <c r="AM340" s="77" t="inlineStr">
        <is>
          <t>Undated module page (module lead listed for 2023-24); no 2025/26 or 2026/27 evidence found. Partner type inferred from 'industry advisor' - 'outside partners' otherwise unspecified.</t>
        </is>
      </c>
      <c r="AN340" s="77" t="inlineStr"/>
      <c r="AO340" s="77" t="inlineStr">
        <is>
          <t>UK</t>
        </is>
      </c>
      <c r="AP340" s="77" t="inlineStr">
        <is>
          <t>UK – Russell Group</t>
        </is>
      </c>
      <c r="AQ340" s="77" t="inlineStr">
        <is>
          <t>~1 term/semester</t>
        </is>
      </c>
      <c r="AR340" s="77" t="inlineStr">
        <is>
          <t>All/standard</t>
        </is>
      </c>
      <c r="AS340" s="77" t="inlineStr"/>
    </row>
    <row r="341">
      <c r="A341" s="77" t="inlineStr">
        <is>
          <t>RG21</t>
        </is>
      </c>
      <c r="B341" s="77" t="inlineStr">
        <is>
          <t>Southampton</t>
        </is>
      </c>
      <c r="C341" s="77" t="inlineStr">
        <is>
          <t>Programme/course</t>
        </is>
      </c>
      <c r="D341" s="77" t="inlineStr">
        <is>
          <t>RG21-S08</t>
        </is>
      </c>
      <c r="E341" s="77" t="inlineStr"/>
      <c r="F341" s="77" t="inlineStr">
        <is>
          <t>No</t>
        </is>
      </c>
      <c r="G341" s="79" t="inlineStr">
        <is>
          <t>Small Scale Research Projects (PSYC8042)</t>
        </is>
      </c>
      <c r="H341" s="77" t="inlineStr">
        <is>
          <t>Doctorate in Educational Psychology: Small Scale Research Projects with a local authority partner</t>
        </is>
      </c>
      <c r="I341" s="77" t="inlineStr">
        <is>
          <t>PSYC8042</t>
        </is>
      </c>
      <c r="J341" s="77" t="inlineStr">
        <is>
          <t>Year 1 core unit of the Doctorate in Educational Psychology: trainees work in small groups with a Local Authority partner and the module lead to design a research project, seek ethics approval, collect and analyse data; the write-up (~5,000 words) has collaborative method and results sections and independent introduction and discussion.</t>
        </is>
      </c>
      <c r="K341" s="77" t="inlineStr">
        <is>
          <t>School of Psychology / Doctorate in Educational Psychology</t>
        </is>
      </c>
      <c r="L341" s="77" t="inlineStr">
        <is>
          <t>Doctorate in Educational Psychology trainees</t>
        </is>
      </c>
      <c r="M341" s="77" t="inlineStr">
        <is>
          <t>Arts/humanities/social sciences; Other (law, health, design, architecture…)</t>
        </is>
      </c>
      <c r="N341" s="77" t="inlineStr">
        <is>
          <t>Postgraduate taught</t>
        </is>
      </c>
      <c r="O341" s="77" t="inlineStr">
        <is>
          <t>Year 1</t>
        </is>
      </c>
      <c r="P341" s="77" t="inlineStr"/>
      <c r="Q341" s="77" t="inlineStr">
        <is>
          <t>Compulsory within specified programmes</t>
        </is>
      </c>
      <c r="R341" s="77" t="inlineStr">
        <is>
          <t>Curricular</t>
        </is>
      </c>
      <c r="S341" s="77" t="inlineStr">
        <is>
          <t>Core unit; write-up ~5,000 words (method/results collaborative); marked Fail/Low Pass/Pass/Distinction</t>
        </is>
      </c>
      <c r="T341" s="77" t="inlineStr">
        <is>
          <t>Unclear (Year 1 unit)</t>
        </is>
      </c>
      <c r="U341" s="77" t="inlineStr">
        <is>
          <t>Small-group research project</t>
        </is>
      </c>
      <c r="V341" s="77" t="inlineStr">
        <is>
          <t>Yes</t>
        </is>
      </c>
      <c r="W341" s="77" t="inlineStr">
        <is>
          <t>Source 1: trainees design and carry out a small-scale research project with ethics approval and a written report.</t>
        </is>
      </c>
      <c r="X341" s="77" t="inlineStr">
        <is>
          <t>Yes</t>
        </is>
      </c>
      <c r="Y341" s="77" t="inlineStr">
        <is>
          <t>Source 1: 'work in small groups'; method and results sections are collaborative group work (introduction and discussion individual).</t>
        </is>
      </c>
      <c r="Z341" s="77" t="inlineStr">
        <is>
          <t>Yes</t>
        </is>
      </c>
      <c r="AA341" s="77" t="inlineStr">
        <is>
          <t>Source 1: trainees work with a Local Authority Partner and module lead; (older handbook, source 2) projects are collaborative projects set by the local authority with a local authority EP and a University supervisor.</t>
        </is>
      </c>
      <c r="AB341" s="77" t="inlineStr">
        <is>
          <t>Public sector</t>
        </is>
      </c>
      <c r="AC341" s="77" t="inlineStr">
        <is>
          <t>Local authority partner works with groups and (older handbook) sets the projects; whether the LA receives the report is not extracted.</t>
        </is>
      </c>
      <c r="AD341" s="77" t="inlineStr"/>
      <c r="AE341" s="77" t="inlineStr">
        <is>
          <t>Group research project with a written report</t>
        </is>
      </c>
      <c r="AF341" s="77">
        <f>IF(OR(V341="No",X341="No",Z341="No"),"Outside strict definition",IF(AND(V341="Yes",X341="Yes",Z341="Yes"),"Meets all three","Potentially relevant; evidence incomplete"))</f>
        <v/>
      </c>
      <c r="AG341" s="77" t="inlineStr">
        <is>
          <t>Current delivery confirmed</t>
        </is>
      </c>
      <c r="AH341" s="77" t="inlineStr">
        <is>
          <t>2026/27</t>
        </is>
      </c>
      <c r="AI341" s="77" t="inlineStr">
        <is>
          <t>Yes</t>
        </is>
      </c>
      <c r="AJ341" s="77">
        <f>IF(AND(AI341="Yes",AF341="Meets all three",AG341="Current delivery confirmed"),"Yes","No")</f>
        <v/>
      </c>
      <c r="AK341" s="77" t="inlineStr"/>
      <c r="AL341" s="77" t="inlineStr">
        <is>
          <t>RG21-S08-R1; RG21-S08-R2</t>
        </is>
      </c>
      <c r="AM341" s="77" t="inlineStr">
        <is>
          <t>Partner role as project-setter comes from an older (2022-23) handbook; current page says only that trainees work with a LA partner. Duration not extracted. Output is a research write-up rather than a client deliverable; borderline on project criterion A but a defined project with defined output.</t>
        </is>
      </c>
      <c r="AN341" s="77" t="inlineStr"/>
      <c r="AO341" s="77" t="inlineStr">
        <is>
          <t>UK</t>
        </is>
      </c>
      <c r="AP341" s="77" t="inlineStr">
        <is>
          <t>UK – Russell Group</t>
        </is>
      </c>
      <c r="AQ341" s="77" t="inlineStr">
        <is>
          <t>Unclear</t>
        </is>
      </c>
      <c r="AR341" s="77" t="inlineStr">
        <is>
          <t>All/standard</t>
        </is>
      </c>
      <c r="AS341" s="77" t="inlineStr"/>
    </row>
    <row r="342">
      <c r="A342" s="77" t="inlineStr">
        <is>
          <t>RG21</t>
        </is>
      </c>
      <c r="B342" s="77" t="inlineStr">
        <is>
          <t>Southampton</t>
        </is>
      </c>
      <c r="C342" s="77" t="inlineStr">
        <is>
          <t>Faculty/school</t>
        </is>
      </c>
      <c r="D342" s="77" t="inlineStr">
        <is>
          <t>RG21-S09</t>
        </is>
      </c>
      <c r="E342" s="77" t="inlineStr"/>
      <c r="F342" s="77" t="inlineStr">
        <is>
          <t>No</t>
        </is>
      </c>
      <c r="G342" s="79" t="inlineStr">
        <is>
          <t>Group Design Project (FEEG6013)</t>
        </is>
      </c>
      <c r="H342" s="77" t="inlineStr">
        <is>
          <t>Faculty-wide MEng Group Design Project</t>
        </is>
      </c>
      <c r="I342" s="77" t="inlineStr">
        <is>
          <t>FEEG6013</t>
        </is>
      </c>
      <c r="J342" s="77" t="inlineStr">
        <is>
          <t>Core MEng module (45 CATS) in which groups apply engineering knowledge to a design problem, meeting regularly with a supervisor and 'any external sponsor', presenting plans/progress to supervisors, coordinator or external industry sponsor, and submitting a group report, video and final presentation in May.</t>
        </is>
      </c>
      <c r="K342" s="77" t="inlineStr">
        <is>
          <t>Faculty of Engineering and Physical Sciences</t>
        </is>
      </c>
      <c r="L342" s="77" t="inlineStr">
        <is>
          <t>Core in MEng programmes incl. Civil, Ship Science, Mechanical etc. (per programme specifications)</t>
        </is>
      </c>
      <c r="M342" s="77" t="inlineStr">
        <is>
          <t>Engineering/computing</t>
        </is>
      </c>
      <c r="N342" s="77" t="inlineStr">
        <is>
          <t>Undergraduate</t>
        </is>
      </c>
      <c r="O342" s="77" t="inlineStr">
        <is>
          <t>Final MEng year</t>
        </is>
      </c>
      <c r="P342" s="77" t="inlineStr"/>
      <c r="Q342" s="77" t="inlineStr">
        <is>
          <t>Compulsory within specified programmes</t>
        </is>
      </c>
      <c r="R342" s="77" t="inlineStr">
        <is>
          <t>Curricular</t>
        </is>
      </c>
      <c r="S342" s="77" t="inlineStr">
        <is>
          <t>45 CATS / 22.5 ECTS; group report, video, presentation plus individual design journal summary</t>
        </is>
      </c>
      <c r="T342" s="77" t="inlineStr">
        <is>
          <t>Full year (to May)</t>
        </is>
      </c>
      <c r="U342" s="77" t="inlineStr">
        <is>
          <t>Group design project with supervisor and sponsor</t>
        </is>
      </c>
      <c r="V342" s="77" t="inlineStr">
        <is>
          <t>Yes</t>
        </is>
      </c>
      <c r="W342" s="77" t="inlineStr">
        <is>
          <t>Source 1: group design problem with report, video and presentation.</t>
        </is>
      </c>
      <c r="X342" s="77" t="inlineStr">
        <is>
          <t>Yes</t>
        </is>
      </c>
      <c r="Y342" s="77" t="inlineStr">
        <is>
          <t>Source 1: groups present and submit group outputs.</t>
        </is>
      </c>
      <c r="Z342" s="77" t="inlineStr">
        <is>
          <t>Unclear</t>
        </is>
      </c>
      <c r="AA342" s="77" t="inlineStr">
        <is>
          <t>Source 1: 'any external sponsor' and 'many projects have additional sponsorship from industry' - sponsor involvement is optional/some projects.</t>
        </is>
      </c>
      <c r="AB342" s="77" t="inlineStr">
        <is>
          <t>Business/commercial</t>
        </is>
      </c>
      <c r="AC342" s="77" t="inlineStr">
        <is>
          <t>External industry sponsor (where present) meets groups and receives first-term progress presentation.</t>
        </is>
      </c>
      <c r="AD342" s="77" t="inlineStr"/>
      <c r="AE342" s="77" t="inlineStr">
        <is>
          <t>Design project report, video and final presentation</t>
        </is>
      </c>
      <c r="AF342" s="77">
        <f>IF(OR(V342="No",X342="No",Z342="No"),"Outside strict definition",IF(AND(V342="Yes",X342="Yes",Z342="Yes"),"Meets all three","Potentially relevant; evidence incomplete"))</f>
        <v/>
      </c>
      <c r="AG342" s="77" t="inlineStr">
        <is>
          <t>Current status unclear</t>
        </is>
      </c>
      <c r="AH342" s="77" t="inlineStr"/>
      <c r="AI342" s="77" t="inlineStr">
        <is>
          <t>Yes</t>
        </is>
      </c>
      <c r="AJ342" s="77">
        <f>IF(AND(AI342="Yes",AF342="Meets all three",AG342="Current delivery confirmed"),"Yes","No")</f>
        <v/>
      </c>
      <c r="AK342" s="77" t="inlineStr"/>
      <c r="AL342" s="77" t="inlineStr">
        <is>
          <t>RG21-S09-R1; RG21-S09-R2</t>
        </is>
      </c>
      <c r="AM342" s="77" t="inlineStr">
        <is>
          <t>Retrieved module page is the rolling 2028-29 catalogue page; no dated 2025/26 or 2026/27 FEEG6013 page retrieved. Proportion of externally sponsored projects unknown. Chemical Engineering equivalent CHEG6006 (2026-27) says 'many projects have additional sponsorship from industry' - same pattern, not recorded separately.</t>
        </is>
      </c>
      <c r="AN342" s="77" t="inlineStr"/>
      <c r="AO342" s="77" t="inlineStr">
        <is>
          <t>UK</t>
        </is>
      </c>
      <c r="AP342" s="77" t="inlineStr">
        <is>
          <t>UK – Russell Group</t>
        </is>
      </c>
      <c r="AQ342" s="77" t="inlineStr">
        <is>
          <t>&gt;1 term</t>
        </is>
      </c>
      <c r="AR342" s="77" t="inlineStr">
        <is>
          <t>Some projects</t>
        </is>
      </c>
      <c r="AS342" s="77" t="inlineStr"/>
    </row>
    <row r="343">
      <c r="A343" s="77" t="inlineStr">
        <is>
          <t>RG21</t>
        </is>
      </c>
      <c r="B343" s="77" t="inlineStr">
        <is>
          <t>Southampton</t>
        </is>
      </c>
      <c r="C343" s="77" t="inlineStr">
        <is>
          <t>Programme/course</t>
        </is>
      </c>
      <c r="D343" s="77" t="inlineStr">
        <is>
          <t>RG21-S10</t>
        </is>
      </c>
      <c r="E343" s="77" t="inlineStr"/>
      <c r="F343" s="77" t="inlineStr">
        <is>
          <t>No</t>
        </is>
      </c>
      <c r="G343" s="79" t="inlineStr">
        <is>
          <t>Group Design Project (ECSP6000 / ELEC6200)</t>
        </is>
      </c>
      <c r="H343" s="77" t="inlineStr">
        <is>
          <t>Electronics and Computer Science MEng Group Design Project</t>
        </is>
      </c>
      <c r="I343" s="77" t="inlineStr">
        <is>
          <t>ECSP6000 / ELEC6200</t>
        </is>
      </c>
      <c r="J343" s="77" t="inlineStr">
        <is>
          <t>Final-year MEng electronics/computer systems module introducing intensive group project work in collaboration with an industrial or academic customer; groups of at least four, with projects typically based on an idea from an industrial partner or an academic project aiming at proof of concept or technology transfer.</t>
        </is>
      </c>
      <c r="K343" s="77" t="inlineStr">
        <is>
          <t>School of Electronics and Computer Science</t>
        </is>
      </c>
      <c r="L343" s="77" t="inlineStr">
        <is>
          <t>MEng Electronic Engineering (incl. with Computer Systems), Electrical and Electronic Engineering</t>
        </is>
      </c>
      <c r="M343" s="77" t="inlineStr">
        <is>
          <t>Engineering/computing</t>
        </is>
      </c>
      <c r="N343" s="77" t="inlineStr">
        <is>
          <t>Undergraduate</t>
        </is>
      </c>
      <c r="O343" s="77" t="inlineStr">
        <is>
          <t>Year 4 (MEng)</t>
        </is>
      </c>
      <c r="P343" s="77" t="inlineStr"/>
      <c r="Q343" s="77" t="inlineStr">
        <is>
          <t>Compulsory within specified programmes</t>
        </is>
      </c>
      <c r="R343" s="77" t="inlineStr">
        <is>
          <t>Curricular</t>
        </is>
      </c>
      <c r="S343" s="77" t="inlineStr">
        <is>
          <t>ECSP6000 page: individual reflection 10%, individual report 25%, group presentation/report 5%, group report 60%</t>
        </is>
      </c>
      <c r="T343" s="77" t="inlineStr">
        <is>
          <t>Unclear (year-long project)</t>
        </is>
      </c>
      <c r="U343" s="77" t="inlineStr">
        <is>
          <t>Group project with customer</t>
        </is>
      </c>
      <c r="V343" s="77" t="inlineStr">
        <is>
          <t>Yes</t>
        </is>
      </c>
      <c r="W343" s="77" t="inlineStr">
        <is>
          <t>Source 1: group design project to build proof of concept.</t>
        </is>
      </c>
      <c r="X343" s="77" t="inlineStr">
        <is>
          <t>Yes</t>
        </is>
      </c>
      <c r="Y343" s="77" t="inlineStr">
        <is>
          <t>Source 1: groups of at least four people.</t>
        </is>
      </c>
      <c r="Z343" s="77" t="inlineStr">
        <is>
          <t>Unclear</t>
        </is>
      </c>
      <c r="AA343" s="77" t="inlineStr">
        <is>
          <t>Source 1: customer may be industrial or academic; projects 'typically' from industrial partner - internal academic customers allowed.</t>
        </is>
      </c>
      <c r="AB343" s="77" t="inlineStr">
        <is>
          <t>Mixed</t>
        </is>
      </c>
      <c r="AC343" s="77" t="inlineStr">
        <is>
          <t>Industrial partner or academic research project acts as customer.</t>
        </is>
      </c>
      <c r="AD343" s="77" t="inlineStr"/>
      <c r="AE343" s="77" t="inlineStr">
        <is>
          <t>Prototype / proof of concept and group report</t>
        </is>
      </c>
      <c r="AF343" s="77">
        <f>IF(OR(V343="No",X343="No",Z343="No"),"Outside strict definition",IF(AND(V343="Yes",X343="Yes",Z343="Yes"),"Meets all three","Potentially relevant; evidence incomplete"))</f>
        <v/>
      </c>
      <c r="AG343" s="77" t="inlineStr">
        <is>
          <t>Current status unclear</t>
        </is>
      </c>
      <c r="AH343" s="77" t="inlineStr"/>
      <c r="AI343" s="77" t="inlineStr">
        <is>
          <t>Yes</t>
        </is>
      </c>
      <c r="AJ343" s="77">
        <f>IF(AND(AI343="Yes",AF343="Meets all three",AG343="Current delivery confirmed"),"Yes","No")</f>
        <v/>
      </c>
      <c r="AK343" s="77" t="inlineStr"/>
      <c r="AL343" s="77" t="inlineStr">
        <is>
          <t>RG21-S10-R1; RG21-S10-R2</t>
        </is>
      </c>
      <c r="AM343" s="77" t="inlineStr">
        <is>
          <t>Only future-year catalogue pages (2028-29 ECSP6000; 2029-30 ELEC6200) retrieved; programme page links a 2026-27 course description whose content was not seen. Share of industrial vs academic customers unknown.</t>
        </is>
      </c>
      <c r="AN343" s="77" t="inlineStr"/>
      <c r="AO343" s="77" t="inlineStr">
        <is>
          <t>UK</t>
        </is>
      </c>
      <c r="AP343" s="77" t="inlineStr">
        <is>
          <t>UK – Russell Group</t>
        </is>
      </c>
      <c r="AQ343" s="77" t="inlineStr">
        <is>
          <t>Unclear</t>
        </is>
      </c>
      <c r="AR343" s="77" t="inlineStr">
        <is>
          <t>Some projects</t>
        </is>
      </c>
      <c r="AS343" s="77" t="inlineStr"/>
    </row>
    <row r="344">
      <c r="A344" s="77" t="inlineStr">
        <is>
          <t>RG21</t>
        </is>
      </c>
      <c r="B344" s="77" t="inlineStr">
        <is>
          <t>Southampton</t>
        </is>
      </c>
      <c r="C344" s="77" t="inlineStr">
        <is>
          <t>Programme/course</t>
        </is>
      </c>
      <c r="D344" s="77" t="inlineStr">
        <is>
          <t>RG21-S11</t>
        </is>
      </c>
      <c r="E344" s="77" t="inlineStr"/>
      <c r="F344" s="77" t="inlineStr">
        <is>
          <t>No</t>
        </is>
      </c>
      <c r="G344" s="79" t="inlineStr">
        <is>
          <t>Design (ELEC2300)</t>
        </is>
      </c>
      <c r="H344" s="77" t="inlineStr">
        <is>
          <t>Part 2 Electronics Design (industry-judged group build)</t>
        </is>
      </c>
      <c r="I344" s="77" t="inlineStr">
        <is>
          <t>ELEC2300</t>
        </is>
      </c>
      <c r="J344" s="77" t="inlineStr">
        <is>
          <t>Student groups design, build and test a system to a predefined specification (e.g. drone, smart meter) and present it; a demonstration event has judges selected from industry evaluate the designs.</t>
        </is>
      </c>
      <c r="K344" s="77" t="inlineStr">
        <is>
          <t>School of Electronics and Computer Science</t>
        </is>
      </c>
      <c r="L344" s="77" t="inlineStr">
        <is>
          <t>Electronics/electrical/aerospace electronics programmes (project topic varies)</t>
        </is>
      </c>
      <c r="M344" s="77" t="inlineStr">
        <is>
          <t>Engineering/computing</t>
        </is>
      </c>
      <c r="N344" s="77" t="inlineStr">
        <is>
          <t>Undergraduate</t>
        </is>
      </c>
      <c r="O344" s="77" t="inlineStr">
        <is>
          <t>Part 2</t>
        </is>
      </c>
      <c r="P344" s="77" t="inlineStr"/>
      <c r="Q344" s="77" t="inlineStr">
        <is>
          <t>Compulsory within specified programmes</t>
        </is>
      </c>
      <c r="R344" s="77" t="inlineStr">
        <is>
          <t>Curricular</t>
        </is>
      </c>
      <c r="S344" s="77" t="inlineStr">
        <is>
          <t>Individual log books, group reports and quality assessment of designed system</t>
        </is>
      </c>
      <c r="T344" s="77" t="inlineStr">
        <is>
          <t>Unclear</t>
        </is>
      </c>
      <c r="U344" s="77" t="inlineStr">
        <is>
          <t>Group design-build-test; demo event</t>
        </is>
      </c>
      <c r="V344" s="77" t="inlineStr">
        <is>
          <t>Yes</t>
        </is>
      </c>
      <c r="W344" s="77" t="inlineStr">
        <is>
          <t>Source 1: design, build and test to specification; group reports.</t>
        </is>
      </c>
      <c r="X344" s="77" t="inlineStr">
        <is>
          <t>Yes</t>
        </is>
      </c>
      <c r="Y344" s="77" t="inlineStr">
        <is>
          <t>Source 1: 'student groups'.</t>
        </is>
      </c>
      <c r="Z344" s="77" t="inlineStr">
        <is>
          <t>Unclear</t>
        </is>
      </c>
      <c r="AA344" s="77" t="inlineStr">
        <is>
          <t>Source 1: specification is set by the department; the only external role is industry-selected judges at the demonstration (individuals/organisations not identified, no external brief).</t>
        </is>
      </c>
      <c r="AB344" s="77" t="inlineStr">
        <is>
          <t>Unclear</t>
        </is>
      </c>
      <c r="AC344" s="77" t="inlineStr">
        <is>
          <t>Industry judges evaluate the final demonstration.</t>
        </is>
      </c>
      <c r="AD344" s="77" t="inlineStr"/>
      <c r="AE344" s="77" t="inlineStr">
        <is>
          <t>Working designed system and group report</t>
        </is>
      </c>
      <c r="AF344" s="77">
        <f>IF(OR(V344="No",X344="No",Z344="No"),"Outside strict definition",IF(AND(V344="Yes",X344="Yes",Z344="Yes"),"Meets all three","Potentially relevant; evidence incomplete"))</f>
        <v/>
      </c>
      <c r="AG344" s="77" t="inlineStr">
        <is>
          <t>Current delivery confirmed</t>
        </is>
      </c>
      <c r="AH344" s="77" t="inlineStr">
        <is>
          <t>2026/27</t>
        </is>
      </c>
      <c r="AI344" s="77" t="inlineStr">
        <is>
          <t>Yes</t>
        </is>
      </c>
      <c r="AJ344" s="77">
        <f>IF(AND(AI344="Yes",AF344="Meets all three",AG344="Current delivery confirmed"),"Yes","No")</f>
        <v/>
      </c>
      <c r="AK344" s="77" t="inlineStr"/>
      <c r="AL344" s="77" t="inlineStr">
        <is>
          <t>RG21-S11-R1</t>
        </is>
      </c>
      <c r="AM344" s="77" t="inlineStr">
        <is>
          <t>Judging organisations not named; no external brief or client. Whether 'compulsory' is stated per programme not verified (reach inferred as programme-level).</t>
        </is>
      </c>
      <c r="AN344" s="77" t="inlineStr"/>
      <c r="AO344" s="77" t="inlineStr">
        <is>
          <t>UK</t>
        </is>
      </c>
      <c r="AP344" s="77" t="inlineStr">
        <is>
          <t>UK – Russell Group</t>
        </is>
      </c>
      <c r="AQ344" s="77" t="inlineStr">
        <is>
          <t>Unclear</t>
        </is>
      </c>
      <c r="AR344" s="77" t="inlineStr">
        <is>
          <t>Unclear</t>
        </is>
      </c>
      <c r="AS344" s="77" t="inlineStr"/>
    </row>
    <row r="345">
      <c r="A345" s="77" t="inlineStr">
        <is>
          <t>RG21</t>
        </is>
      </c>
      <c r="B345" s="77" t="inlineStr">
        <is>
          <t>Southampton</t>
        </is>
      </c>
      <c r="C345" s="77" t="inlineStr">
        <is>
          <t>Programme/course</t>
        </is>
      </c>
      <c r="D345" s="77" t="inlineStr">
        <is>
          <t>RG21-S12</t>
        </is>
      </c>
      <c r="E345" s="77" t="inlineStr"/>
      <c r="F345" s="77" t="inlineStr">
        <is>
          <t>No</t>
        </is>
      </c>
      <c r="G345" s="79" t="inlineStr">
        <is>
          <t>The Sustainability Professional (MSc) (GGES6008)</t>
        </is>
      </c>
      <c r="H345" s="77" t="inlineStr">
        <is>
          <t>The Sustainability Professional - group consultancy report</t>
        </is>
      </c>
      <c r="I345" s="77" t="inlineStr">
        <is>
          <t>GGES6008</t>
        </is>
      </c>
      <c r="J345" s="77" t="inlineStr">
        <is>
          <t>MSc module run with local and regional environmental and sustainability consultancies and other organisations; students work in groups to submit one full consultancy report as the primary assessment, plus an individual reflection and portfolio.</t>
        </is>
      </c>
      <c r="K345" s="77" t="inlineStr">
        <is>
          <t>School of Geography and Environmental Science</t>
        </is>
      </c>
      <c r="L345" s="77" t="inlineStr">
        <is>
          <t>Environmental/sustainability MSc programmes (which ones not confirmed)</t>
        </is>
      </c>
      <c r="M345" s="77" t="inlineStr">
        <is>
          <t>Science</t>
        </is>
      </c>
      <c r="N345" s="77" t="inlineStr">
        <is>
          <t>Postgraduate taught</t>
        </is>
      </c>
      <c r="O345" s="77" t="inlineStr"/>
      <c r="P345" s="77" t="inlineStr"/>
      <c r="Q345" s="77" t="inlineStr">
        <is>
          <t>Unclear</t>
        </is>
      </c>
      <c r="R345" s="77" t="inlineStr">
        <is>
          <t>Curricular</t>
        </is>
      </c>
      <c r="S345" s="77" t="inlineStr">
        <is>
          <t>Group consultancy report primary assessment; individual reflection and Sustainability Portfolio</t>
        </is>
      </c>
      <c r="T345" s="77" t="inlineStr">
        <is>
          <t>Unclear</t>
        </is>
      </c>
      <c r="U345" s="77" t="inlineStr">
        <is>
          <t>Expert-led case study workshops and group report</t>
        </is>
      </c>
      <c r="V345" s="77" t="inlineStr">
        <is>
          <t>Yes</t>
        </is>
      </c>
      <c r="W345" s="77" t="inlineStr">
        <is>
          <t>Source 1: group consultancy report as primary assessment via case study exercises.</t>
        </is>
      </c>
      <c r="X345" s="77" t="inlineStr">
        <is>
          <t>Yes</t>
        </is>
      </c>
      <c r="Y345" s="77" t="inlineStr">
        <is>
          <t>Source 1: students work in groups to submit one full consultancy report.</t>
        </is>
      </c>
      <c r="Z345" s="77" t="inlineStr">
        <is>
          <t>Unclear</t>
        </is>
      </c>
      <c r="AA345" s="77" t="inlineStr">
        <is>
          <t>Source 1: delivered in partnership with consultancies who deliver lectures and expert-led workshops; not stated that an external organisation supplies a live brief or receives the report.</t>
        </is>
      </c>
      <c r="AB345" s="77" t="inlineStr">
        <is>
          <t>Business/commercial</t>
        </is>
      </c>
      <c r="AC345" s="77" t="inlineStr">
        <is>
          <t>Consultancies contribute lectures and expert-led case-study workshops with feedback.</t>
        </is>
      </c>
      <c r="AD345" s="77" t="inlineStr"/>
      <c r="AE345" s="77" t="inlineStr">
        <is>
          <t>Group consultancy report</t>
        </is>
      </c>
      <c r="AF345" s="77">
        <f>IF(OR(V345="No",X345="No",Z345="No"),"Outside strict definition",IF(AND(V345="Yes",X345="Yes",Z345="Yes"),"Meets all three","Potentially relevant; evidence incomplete"))</f>
        <v/>
      </c>
      <c r="AG345" s="77" t="inlineStr">
        <is>
          <t>Current delivery confirmed</t>
        </is>
      </c>
      <c r="AH345" s="77" t="inlineStr">
        <is>
          <t>2026/27</t>
        </is>
      </c>
      <c r="AI345" s="77" t="inlineStr">
        <is>
          <t>Yes</t>
        </is>
      </c>
      <c r="AJ345" s="77">
        <f>IF(AND(AI345="Yes",AF345="Meets all three",AG345="Current delivery confirmed"),"Yes","No")</f>
        <v/>
      </c>
      <c r="AK345" s="77" t="inlineStr"/>
      <c r="AL345" s="77" t="inlineStr">
        <is>
          <t>RG21-S12-R1</t>
        </is>
      </c>
      <c r="AM345" s="77" t="inlineStr">
        <is>
          <t>Whether case studies are live external briefs and whether partners give feedback/assess is unknown; module-to-programme mapping unconfirmed.</t>
        </is>
      </c>
      <c r="AN345" s="77" t="inlineStr"/>
      <c r="AO345" s="77" t="inlineStr">
        <is>
          <t>UK</t>
        </is>
      </c>
      <c r="AP345" s="77" t="inlineStr">
        <is>
          <t>UK – Russell Group</t>
        </is>
      </c>
      <c r="AQ345" s="77" t="inlineStr">
        <is>
          <t>~1 term/semester</t>
        </is>
      </c>
      <c r="AR345" s="77" t="inlineStr">
        <is>
          <t>Unclear</t>
        </is>
      </c>
      <c r="AS345" s="77" t="inlineStr"/>
    </row>
    <row r="346">
      <c r="A346" s="77" t="inlineStr">
        <is>
          <t>RG21</t>
        </is>
      </c>
      <c r="B346" s="77" t="inlineStr">
        <is>
          <t>Southampton</t>
        </is>
      </c>
      <c r="C346" s="77" t="inlineStr">
        <is>
          <t>Programme/course</t>
        </is>
      </c>
      <c r="D346" s="77" t="inlineStr">
        <is>
          <t>RG21-S13</t>
        </is>
      </c>
      <c r="E346" s="77" t="inlineStr"/>
      <c r="F346" s="77" t="inlineStr">
        <is>
          <t>No</t>
        </is>
      </c>
      <c r="G346" s="79" t="inlineStr">
        <is>
          <t>Collaborate (Creative Computing) (ARTD2145)</t>
        </is>
      </c>
      <c r="H346" s="77" t="inlineStr">
        <is>
          <t>Collaborate (Creative Computing)</t>
        </is>
      </c>
      <c r="I346" s="77" t="inlineStr">
        <is>
          <t>ARTD2145</t>
        </is>
      </c>
      <c r="J346" s="77" t="inlineStr">
        <is>
          <t>Part 2 compulsory module (BSc Creative Computing): team projects in which students collaborate with students and/or practitioners from other disciplines or are set briefs from professional partners in the creative and cultural industries.</t>
        </is>
      </c>
      <c r="K346" s="77" t="inlineStr">
        <is>
          <t>Winchester School of Art, Department of Art and Media Technology</t>
        </is>
      </c>
      <c r="L346" s="77" t="inlineStr">
        <is>
          <t>BSc Creative Computing</t>
        </is>
      </c>
      <c r="M346" s="77" t="inlineStr">
        <is>
          <t>Arts/humanities/social sciences; Engineering/computing</t>
        </is>
      </c>
      <c r="N346" s="77" t="inlineStr">
        <is>
          <t>Undergraduate</t>
        </is>
      </c>
      <c r="O346" s="77" t="inlineStr">
        <is>
          <t>Year 2 (Level 5)</t>
        </is>
      </c>
      <c r="P346" s="77" t="inlineStr"/>
      <c r="Q346" s="77" t="inlineStr">
        <is>
          <t>Compulsory within specified programmes</t>
        </is>
      </c>
      <c r="R346" s="77" t="inlineStr">
        <is>
          <t>Curricular</t>
        </is>
      </c>
      <c r="S346" s="77" t="inlineStr">
        <is>
          <t>30 CATS / 15 ECTS; breakdown not seen</t>
        </is>
      </c>
      <c r="T346" s="77" t="inlineStr">
        <is>
          <t>Semester 1 (per search summary)</t>
        </is>
      </c>
      <c r="U346" s="77" t="inlineStr">
        <is>
          <t>Team projects</t>
        </is>
      </c>
      <c r="V346" s="77" t="inlineStr">
        <is>
          <t>Yes</t>
        </is>
      </c>
      <c r="W346" s="77" t="inlineStr">
        <is>
          <t>Source 1: group projects with team building and project management, producing creative outputs.</t>
        </is>
      </c>
      <c r="X346" s="77" t="inlineStr">
        <is>
          <t>Yes</t>
        </is>
      </c>
      <c r="Y346" s="77" t="inlineStr">
        <is>
          <t>Source 1: team building; collaborate with other students.</t>
        </is>
      </c>
      <c r="Z346" s="77" t="inlineStr">
        <is>
          <t>Unclear</t>
        </is>
      </c>
      <c r="AA346" s="77" t="inlineStr">
        <is>
          <t>Source 1: briefs 'from professional partners' is one option ('and/or' other-discipline collaboration) - external briefs optional.</t>
        </is>
      </c>
      <c r="AB346" s="77" t="inlineStr">
        <is>
          <t>Business/commercial</t>
        </is>
      </c>
      <c r="AC346" s="77" t="inlineStr">
        <is>
          <t>Professional partners in creative and cultural industries may set briefs.</t>
        </is>
      </c>
      <c r="AD346" s="77" t="inlineStr"/>
      <c r="AE346" s="77" t="inlineStr">
        <is>
          <t>Creative computing project outputs</t>
        </is>
      </c>
      <c r="AF346" s="77">
        <f>IF(OR(V346="No",X346="No",Z346="No"),"Outside strict definition",IF(AND(V346="Yes",X346="Yes",Z346="Yes"),"Meets all three","Potentially relevant; evidence incomplete"))</f>
        <v/>
      </c>
      <c r="AG346" s="77" t="inlineStr">
        <is>
          <t>Current delivery confirmed</t>
        </is>
      </c>
      <c r="AH346" s="77" t="inlineStr">
        <is>
          <t>2026/27</t>
        </is>
      </c>
      <c r="AI346" s="77" t="inlineStr">
        <is>
          <t>Yes</t>
        </is>
      </c>
      <c r="AJ346" s="77">
        <f>IF(AND(AI346="Yes",AF346="Meets all three",AG346="Current delivery confirmed"),"Yes","No")</f>
        <v/>
      </c>
      <c r="AK346" s="77" t="inlineStr"/>
      <c r="AL346" s="77" t="inlineStr">
        <is>
          <t>RG21-S13-R1</t>
        </is>
      </c>
      <c r="AM346" s="77" t="inlineStr">
        <is>
          <t>Which cohorts get external briefs; partner names; assessment breakdown.</t>
        </is>
      </c>
      <c r="AN346" s="77" t="inlineStr"/>
      <c r="AO346" s="77" t="inlineStr">
        <is>
          <t>UK</t>
        </is>
      </c>
      <c r="AP346" s="77" t="inlineStr">
        <is>
          <t>UK – Russell Group</t>
        </is>
      </c>
      <c r="AQ346" s="77" t="inlineStr">
        <is>
          <t>~1 term/semester</t>
        </is>
      </c>
      <c r="AR346" s="77" t="inlineStr">
        <is>
          <t>Some projects</t>
        </is>
      </c>
      <c r="AS346" s="77" t="inlineStr"/>
    </row>
    <row r="347">
      <c r="A347" s="77" t="inlineStr">
        <is>
          <t>RG21</t>
        </is>
      </c>
      <c r="B347" s="77" t="inlineStr">
        <is>
          <t>Southampton</t>
        </is>
      </c>
      <c r="C347" s="77" t="inlineStr">
        <is>
          <t>Programme/course</t>
        </is>
      </c>
      <c r="D347" s="77" t="inlineStr">
        <is>
          <t>RG21-S14</t>
        </is>
      </c>
      <c r="E347" s="77" t="inlineStr"/>
      <c r="F347" s="77" t="inlineStr">
        <is>
          <t>No</t>
        </is>
      </c>
      <c r="G347" s="79" t="inlineStr">
        <is>
          <t>Advertising and Branding in Action (ARTD6240)</t>
        </is>
      </c>
      <c r="H347" s="77" t="inlineStr">
        <is>
          <t>Advertising and Branding in Action (live briefs, agency simulation)</t>
        </is>
      </c>
      <c r="I347" s="77" t="inlineStr">
        <is>
          <t>ARTD6240</t>
        </is>
      </c>
      <c r="J347" s="77" t="inlineStr">
        <is>
          <t>MA Global Advertising and Branding module in which students work to live briefs acting in agency or in-house strategic account management roles, covering client brief interpretation, ideation, campaign planning and a pitch.</t>
        </is>
      </c>
      <c r="K347" s="77" t="inlineStr">
        <is>
          <t>Winchester School of Art</t>
        </is>
      </c>
      <c r="L347" s="77" t="inlineStr">
        <is>
          <t>MA Global Advertising and Branding (and online equivalent)</t>
        </is>
      </c>
      <c r="M347" s="77" t="inlineStr">
        <is>
          <t>Arts/humanities/social sciences</t>
        </is>
      </c>
      <c r="N347" s="77" t="inlineStr">
        <is>
          <t>Postgraduate taught</t>
        </is>
      </c>
      <c r="O347" s="77" t="inlineStr"/>
      <c r="P347" s="77" t="inlineStr"/>
      <c r="Q347" s="77" t="inlineStr">
        <is>
          <t>Compulsory within specified programmes</t>
        </is>
      </c>
      <c r="R347" s="77" t="inlineStr">
        <is>
          <t>Curricular</t>
        </is>
      </c>
      <c r="S347" s="77" t="inlineStr">
        <is>
          <t>300 study hours (48 taught); credit not extracted</t>
        </is>
      </c>
      <c r="T347" s="77" t="inlineStr">
        <is>
          <t>Semester 2 (assumed from sequence; unverified)</t>
        </is>
      </c>
      <c r="U347" s="77" t="inlineStr">
        <is>
          <t>Simulated agency</t>
        </is>
      </c>
      <c r="V347" s="77" t="inlineStr">
        <is>
          <t>Yes</t>
        </is>
      </c>
      <c r="W347" s="77" t="inlineStr">
        <is>
          <t>Source 1: campaign planning and pitch for a brief.</t>
        </is>
      </c>
      <c r="X347" s="77" t="inlineStr">
        <is>
          <t>Unclear</t>
        </is>
      </c>
      <c r="Y347" s="77" t="inlineStr">
        <is>
          <t>Source 1 does not say whether students work in teams or individually.</t>
        </is>
      </c>
      <c r="Z347" s="77" t="inlineStr">
        <is>
          <t>Unclear</t>
        </is>
      </c>
      <c r="AA347" s="77" t="inlineStr">
        <is>
          <t>Source 1: 'real client briefs in a simulated agency environment' - unclear whether an external client sets the brief or sees the pitch.</t>
        </is>
      </c>
      <c r="AB347" s="77" t="inlineStr">
        <is>
          <t>Unclear</t>
        </is>
      </c>
      <c r="AC347" s="77" t="inlineStr">
        <is>
          <t>Not evidenced.</t>
        </is>
      </c>
      <c r="AD347" s="77" t="inlineStr"/>
      <c r="AE347" s="77" t="inlineStr">
        <is>
          <t>Campaign pitch</t>
        </is>
      </c>
      <c r="AF347" s="77">
        <f>IF(OR(V347="No",X347="No",Z347="No"),"Outside strict definition",IF(AND(V347="Yes",X347="Yes",Z347="Yes"),"Meets all three","Potentially relevant; evidence incomplete"))</f>
        <v/>
      </c>
      <c r="AG347" s="77" t="inlineStr">
        <is>
          <t>Current delivery confirmed</t>
        </is>
      </c>
      <c r="AH347" s="77" t="inlineStr">
        <is>
          <t>2026/27</t>
        </is>
      </c>
      <c r="AI347" s="77" t="inlineStr">
        <is>
          <t>Yes</t>
        </is>
      </c>
      <c r="AJ347" s="77">
        <f>IF(AND(AI347="Yes",AF347="Meets all three",AG347="Current delivery confirmed"),"Yes","No")</f>
        <v/>
      </c>
      <c r="AK347" s="77" t="inlineStr"/>
      <c r="AL347" s="77" t="inlineStr">
        <is>
          <t>RG21-S14-R1</t>
        </is>
      </c>
      <c r="AM347" s="77" t="inlineStr">
        <is>
          <t>Whether briefs are from live external clients, group vs individual work, client participation.</t>
        </is>
      </c>
      <c r="AN347" s="77" t="inlineStr"/>
      <c r="AO347" s="77" t="inlineStr">
        <is>
          <t>UK</t>
        </is>
      </c>
      <c r="AP347" s="77" t="inlineStr">
        <is>
          <t>UK – Russell Group</t>
        </is>
      </c>
      <c r="AQ347" s="77" t="inlineStr">
        <is>
          <t>Unclear</t>
        </is>
      </c>
      <c r="AR347" s="77" t="inlineStr">
        <is>
          <t>Unclear</t>
        </is>
      </c>
      <c r="AS347" s="77" t="inlineStr"/>
    </row>
    <row r="348">
      <c r="A348" s="77" t="inlineStr">
        <is>
          <t>RG21</t>
        </is>
      </c>
      <c r="B348" s="77" t="inlineStr">
        <is>
          <t>Southampton</t>
        </is>
      </c>
      <c r="C348" s="77" t="inlineStr">
        <is>
          <t>Programme/course</t>
        </is>
      </c>
      <c r="D348" s="77" t="inlineStr">
        <is>
          <t>RG21-S15</t>
        </is>
      </c>
      <c r="E348" s="77" t="inlineStr"/>
      <c r="F348" s="77" t="inlineStr">
        <is>
          <t>No</t>
        </is>
      </c>
      <c r="G348" s="79" t="inlineStr">
        <is>
          <t>Industry Consultancy Projects (Centre for Risk Research)</t>
        </is>
      </c>
      <c r="H348" s="77" t="inlineStr">
        <is>
          <t>Centre for Risk Research industry consultancy projects</t>
        </is>
      </c>
      <c r="I348" s="77" t="inlineStr"/>
      <c r="J348" s="77" t="inlineStr">
        <is>
          <t>Legacy lead: Centre for Risk Research (Southampton Business School, Department of Decision Analytics and Risk) page listing 'Industry Consultancy Projects' for risk master's students; page content not retrieved. Related CRR news mentions growth of industry-led dissertation projects, which are likely individual dissertations.</t>
        </is>
      </c>
      <c r="K348" s="77" t="inlineStr">
        <is>
          <t>Centre for Risk Research</t>
        </is>
      </c>
      <c r="L348" s="77" t="inlineStr">
        <is>
          <t>Risk research master's programmes (e.g. MSc Risk Management)</t>
        </is>
      </c>
      <c r="M348" s="77" t="inlineStr">
        <is>
          <t>Business/management</t>
        </is>
      </c>
      <c r="N348" s="77" t="inlineStr">
        <is>
          <t>Postgraduate taught</t>
        </is>
      </c>
      <c r="O348" s="77" t="inlineStr"/>
      <c r="P348" s="77" t="inlineStr"/>
      <c r="Q348" s="77" t="inlineStr">
        <is>
          <t>Unclear</t>
        </is>
      </c>
      <c r="R348" s="77" t="inlineStr">
        <is>
          <t>Unclear</t>
        </is>
      </c>
      <c r="S348" s="77" t="inlineStr"/>
      <c r="T348" s="77" t="inlineStr">
        <is>
          <t>Unclear</t>
        </is>
      </c>
      <c r="U348" s="77" t="inlineStr"/>
      <c r="V348" s="77" t="inlineStr">
        <is>
          <t>Unclear</t>
        </is>
      </c>
      <c r="W348" s="77" t="inlineStr">
        <is>
          <t>Page not retrieved; only headline 'industry-led dissertation projects' (source 2).</t>
        </is>
      </c>
      <c r="X348" s="77" t="inlineStr">
        <is>
          <t>Unclear</t>
        </is>
      </c>
      <c r="Y348" s="77" t="inlineStr">
        <is>
          <t>Dissertations are typically individual; group format not evidenced.</t>
        </is>
      </c>
      <c r="Z348" s="77" t="inlineStr">
        <is>
          <t>Unclear</t>
        </is>
      </c>
      <c r="AA348" s="77" t="inlineStr">
        <is>
          <t>Industry-led projects implied; role of organisations not extracted.</t>
        </is>
      </c>
      <c r="AB348" s="77" t="inlineStr">
        <is>
          <t>Unclear</t>
        </is>
      </c>
      <c r="AC348" s="77" t="inlineStr">
        <is>
          <t>Not extracted.</t>
        </is>
      </c>
      <c r="AD348" s="77" t="inlineStr"/>
      <c r="AE348" s="77" t="inlineStr">
        <is>
          <t>Unclear</t>
        </is>
      </c>
      <c r="AF348" s="77">
        <f>IF(OR(V348="No",X348="No",Z348="No"),"Outside strict definition",IF(AND(V348="Yes",X348="Yes",Z348="Yes"),"Meets all three","Potentially relevant; evidence incomplete"))</f>
        <v/>
      </c>
      <c r="AG348" s="77" t="inlineStr">
        <is>
          <t>Current status unclear</t>
        </is>
      </c>
      <c r="AH348" s="77" t="inlineStr"/>
      <c r="AI348" s="77" t="inlineStr">
        <is>
          <t>Yes</t>
        </is>
      </c>
      <c r="AJ348" s="77">
        <f>IF(AND(AI348="Yes",AF348="Meets all three",AG348="Current delivery confirmed"),"Yes","No")</f>
        <v/>
      </c>
      <c r="AK348" s="77" t="inlineStr"/>
      <c r="AL348" s="77" t="inlineStr">
        <is>
          <t>RG21-S15-R1; RG21-S15-R2</t>
        </is>
      </c>
      <c r="AM348" s="77" t="inlineStr">
        <is>
          <t>Direct page content unavailable via search; legacy intake unverified.</t>
        </is>
      </c>
      <c r="AN348" s="77" t="inlineStr">
        <is>
          <t>Industry Consultancy Projects</t>
        </is>
      </c>
      <c r="AO348" s="77" t="inlineStr">
        <is>
          <t>UK</t>
        </is>
      </c>
      <c r="AP348" s="77" t="inlineStr">
        <is>
          <t>UK – Russell Group</t>
        </is>
      </c>
      <c r="AQ348" s="77" t="inlineStr">
        <is>
          <t>Unclear</t>
        </is>
      </c>
      <c r="AR348" s="77" t="inlineStr">
        <is>
          <t>Unclear</t>
        </is>
      </c>
      <c r="AS348" s="77" t="inlineStr"/>
    </row>
    <row r="349">
      <c r="A349" s="77" t="inlineStr">
        <is>
          <t>RG22</t>
        </is>
      </c>
      <c r="B349" s="77" t="inlineStr">
        <is>
          <t>UCL</t>
        </is>
      </c>
      <c r="C349" s="77" t="inlineStr">
        <is>
          <t>Programme/course</t>
        </is>
      </c>
      <c r="D349" s="77" t="inlineStr">
        <is>
          <t>RG22-S01</t>
        </is>
      </c>
      <c r="E349" s="77" t="inlineStr"/>
      <c r="F349" s="77" t="inlineStr">
        <is>
          <t>No</t>
        </is>
      </c>
      <c r="G349" s="79" t="inlineStr">
        <is>
          <t>Systems Engineering (COMP0016) - UCL IXN team project</t>
        </is>
      </c>
      <c r="H349" s="77" t="inlineStr">
        <is>
          <t>Systems Engineering team project with external partner (UCL Industry Exchange Network)</t>
        </is>
      </c>
      <c r="I349" s="77" t="inlineStr">
        <is>
          <t>COMP0016</t>
        </is>
      </c>
      <c r="J349" s="77" t="inlineStr">
        <is>
          <t>Second-year Computer Science students work in groups, each allocated a different project from an external partner, building a proof-of-concept design and prototype to the partner's requirements. Groups meet the partner regularly for input and feedback, have a PGTA and academic supervisor, and submit a portfolio (software, other artefacts, demo video). The module sits within the UCL Industry Exchange Network (IXN).</t>
        </is>
      </c>
      <c r="K349" s="77" t="inlineStr">
        <is>
          <t>UCL Computer Science (Faculty of Engineering Sciences)</t>
        </is>
      </c>
      <c r="L349" s="77" t="inlineStr">
        <is>
          <t>BSc Computer Science; MEng Computer Science</t>
        </is>
      </c>
      <c r="M349" s="77" t="inlineStr">
        <is>
          <t>Engineering/computing</t>
        </is>
      </c>
      <c r="N349" s="77" t="inlineStr">
        <is>
          <t>Undergraduate</t>
        </is>
      </c>
      <c r="O349" s="77" t="inlineStr">
        <is>
          <t>Year 2 (FHEQ Level 5)</t>
        </is>
      </c>
      <c r="P349" s="77" t="inlineStr">
        <is>
          <t>Module restricted to BSc/MEng Computer Science; object-oriented programming prerequisite.</t>
        </is>
      </c>
      <c r="Q349" s="77" t="inlineStr">
        <is>
          <t>Compulsory within specified programmes</t>
        </is>
      </c>
      <c r="R349" s="77" t="inlineStr">
        <is>
          <t>Curricular</t>
        </is>
      </c>
      <c r="S349" s="77" t="inlineStr">
        <is>
          <t>30 credits; 100% group activity (4 assessments), individual contribution also considered</t>
        </is>
      </c>
      <c r="T349" s="77" t="inlineStr">
        <is>
          <t>Full academic year (30 credits, taught across terms; exact length not stated in extract)</t>
        </is>
      </c>
      <c r="U349" s="77" t="inlineStr">
        <is>
          <t>In-person team project with external partner, PGTA and academic supervisor</t>
        </is>
      </c>
      <c r="V349" s="77" t="inlineStr">
        <is>
          <t>Yes</t>
        </is>
      </c>
      <c r="W349" s="77" t="inlineStr">
        <is>
          <t>Source 1: groups build a proof-of-concept design and prototype for an external partner's requirements; portfolio incl. software and demo video.</t>
        </is>
      </c>
      <c r="X349" s="77" t="inlineStr">
        <is>
          <t>Yes</t>
        </is>
      </c>
      <c r="Y349" s="77" t="inlineStr">
        <is>
          <t>Source 1: 'groups'; assessed 100% by group activity with individual contribution considered.</t>
        </is>
      </c>
      <c r="Z349" s="77" t="inlineStr">
        <is>
          <t>Yes</t>
        </is>
      </c>
      <c r="AA349" s="77" t="inlineStr">
        <is>
          <t>Source 1: each group works on a project from an external partner and meets regularly with the partner for input and feedback. Source 2: BSc page says students complete a team project set by one of the industry partners via IXN.</t>
        </is>
      </c>
      <c r="AB349" s="77" t="inlineStr">
        <is>
          <t>Mixed</t>
        </is>
      </c>
      <c r="AC349" s="77" t="inlineStr">
        <is>
          <t>Partner supplies requirements/brief and gives regular feedback; students' prototype is for the partner.</t>
        </is>
      </c>
      <c r="AD349" s="77" t="inlineStr">
        <is>
          <t>Historical examples only (e.g. a British Heart Foundation chatbot in a 2021-22 team blog); no 2025/26 client list found.</t>
        </is>
      </c>
      <c r="AE349" s="77" t="inlineStr">
        <is>
          <t>Proof-of-concept prototype, software, portfolio and demo video for the external partner</t>
        </is>
      </c>
      <c r="AF349" s="77">
        <f>IF(OR(V349="No",X349="No",Z349="No"),"Outside strict definition",IF(AND(V349="Yes",X349="Yes",Z349="Yes"),"Meets all three","Potentially relevant; evidence incomplete"))</f>
        <v/>
      </c>
      <c r="AG349" s="77" t="inlineStr">
        <is>
          <t>Current delivery confirmed</t>
        </is>
      </c>
      <c r="AH349" s="77" t="inlineStr">
        <is>
          <t>2025/26</t>
        </is>
      </c>
      <c r="AI349" s="77" t="inlineStr">
        <is>
          <t>Yes</t>
        </is>
      </c>
      <c r="AJ349" s="77">
        <f>IF(AND(AI349="Yes",AF349="Meets all three",AG349="Current delivery confirmed"),"Yes","No")</f>
        <v/>
      </c>
      <c r="AK349" s="77" t="inlineStr"/>
      <c r="AL349" s="77" t="inlineStr">
        <is>
          <t>RG22-S01-R1; RG22-S01-R2; RG22-S01-R3; RG22-S01-R4</t>
        </is>
      </c>
      <c r="AM349" s="77" t="inlineStr">
        <is>
          <t>Compulsory status inferred from the BSc page (team project set by an industry partner) and 2026 compulsory-module list; the module catalogue entry itself says only 'available on' BSc/MEng CS. No 2025/26 client list found. Partner sector mix unconfirmed (hence Mixed).</t>
        </is>
      </c>
      <c r="AN349" s="77" t="inlineStr"/>
      <c r="AO349" s="77" t="inlineStr">
        <is>
          <t>UK</t>
        </is>
      </c>
      <c r="AP349" s="77" t="inlineStr">
        <is>
          <t>UK – Russell Group</t>
        </is>
      </c>
      <c r="AQ349" s="77" t="inlineStr">
        <is>
          <t>&gt;1 term</t>
        </is>
      </c>
      <c r="AR349" s="77" t="inlineStr">
        <is>
          <t>All/standard</t>
        </is>
      </c>
      <c r="AS349" s="77" t="inlineStr"/>
    </row>
    <row r="350">
      <c r="A350" s="77" t="inlineStr">
        <is>
          <t>RG22</t>
        </is>
      </c>
      <c r="B350" s="77" t="inlineStr">
        <is>
          <t>UCL</t>
        </is>
      </c>
      <c r="C350" s="77" t="inlineStr">
        <is>
          <t>Programme/course</t>
        </is>
      </c>
      <c r="D350" s="77" t="inlineStr">
        <is>
          <t>RG22-S02</t>
        </is>
      </c>
      <c r="E350" s="77" t="inlineStr"/>
      <c r="F350" s="77" t="inlineStr">
        <is>
          <t>No</t>
        </is>
      </c>
      <c r="G350" s="79" t="inlineStr">
        <is>
          <t>Industry supervised MSc &amp; Undergraduate projects (EEE-IXN) - final-year team projects</t>
        </is>
      </c>
      <c r="H350" s="77" t="inlineStr">
        <is>
          <t>EEE Industry eXchange Network final-year industry team projects</t>
        </is>
      </c>
      <c r="I350" s="77" t="inlineStr"/>
      <c r="J350" s="77" t="inlineStr">
        <is>
          <t>Fourth-year (MEng) Electronic &amp; Electrical Engineering students work in teams of typically 4-5 on a six-month part-time proof-of-concept project proposed and mentored by a partner company, with a UCL academic supervisor; a student acts as liaison officer and students hand over report and code/designs to the company mentor.</t>
        </is>
      </c>
      <c r="K350" s="77" t="inlineStr">
        <is>
          <t>UCL Electronic &amp; Electrical Engineering</t>
        </is>
      </c>
      <c r="L350" s="77" t="inlineStr">
        <is>
          <t>EEE undergraduates/MSc (final-year team route is fourth-year UG)</t>
        </is>
      </c>
      <c r="M350" s="77" t="inlineStr">
        <is>
          <t>Engineering/computing</t>
        </is>
      </c>
      <c r="N350" s="77" t="inlineStr">
        <is>
          <t>Undergraduate</t>
        </is>
      </c>
      <c r="O350" s="77" t="inlineStr">
        <is>
          <t>Year 4 (team route); Year 3 route is individual/themed groups of 2-3</t>
        </is>
      </c>
      <c r="P350" s="77" t="inlineStr">
        <is>
          <t>Not stated in extract; participation basis not clear.</t>
        </is>
      </c>
      <c r="Q350" s="77" t="inlineStr">
        <is>
          <t>Unclear</t>
        </is>
      </c>
      <c r="R350" s="77" t="inlineStr">
        <is>
          <t>Curricular</t>
        </is>
      </c>
      <c r="S350" s="77" t="inlineStr">
        <is>
          <t>Not stated in extract</t>
        </is>
      </c>
      <c r="T350" s="77" t="inlineStr">
        <is>
          <t>About six months part-time (project work Oct 2025 to Mar 2026 in the 2025/26 cycle)</t>
        </is>
      </c>
      <c r="U350" s="77" t="inlineStr">
        <is>
          <t>Company-mentored team project plus academic supervisor</t>
        </is>
      </c>
      <c r="V350" s="77" t="inlineStr">
        <is>
          <t>Yes</t>
        </is>
      </c>
      <c r="W350" s="77" t="inlineStr">
        <is>
          <t>Source 1: proof-of-concept projects defined by partner company; handover of final report and code/designs.</t>
        </is>
      </c>
      <c r="X350" s="77" t="inlineStr">
        <is>
          <t>Yes</t>
        </is>
      </c>
      <c r="Y350" s="77" t="inlineStr">
        <is>
          <t>Source 1: fourth-year projects are team efforts for groups of typically 4 or 5, each student taking part of the project with interdependence expected; student liaison officer.</t>
        </is>
      </c>
      <c r="Z350" s="77" t="inlineStr">
        <is>
          <t>Yes</t>
        </is>
      </c>
      <c r="AA350" s="77" t="inlineStr">
        <is>
          <t>Source 1: company must name a lead contact and technical mentor(s); each project has a company mentor alongside a UCL supervisor; students hand over to company mentor.</t>
        </is>
      </c>
      <c r="AB350" s="77" t="inlineStr">
        <is>
          <t>Business/commercial</t>
        </is>
      </c>
      <c r="AC350" s="77" t="inlineStr">
        <is>
          <t>Company proposes project, supplies technical mentor, receives proof-of-concept output.</t>
        </is>
      </c>
      <c r="AD350" s="77" t="inlineStr"/>
      <c r="AE350" s="77" t="inlineStr">
        <is>
          <t>Proof-of-concept design/prototype, final report, handover to company mentor</t>
        </is>
      </c>
      <c r="AF350" s="77">
        <f>IF(OR(V350="No",X350="No",Z350="No"),"Outside strict definition",IF(AND(V350="Yes",X350="Yes",Z350="Yes"),"Meets all three","Potentially relevant; evidence incomplete"))</f>
        <v/>
      </c>
      <c r="AG350" s="77" t="inlineStr">
        <is>
          <t>Current delivery confirmed</t>
        </is>
      </c>
      <c r="AH350" s="77" t="inlineStr">
        <is>
          <t>2025/26</t>
        </is>
      </c>
      <c r="AI350" s="77" t="inlineStr">
        <is>
          <t>Yes</t>
        </is>
      </c>
      <c r="AJ350" s="77">
        <f>IF(AND(AI350="Yes",AF350="Meets all three",AG350="Current delivery confirmed"),"Yes","No")</f>
        <v/>
      </c>
      <c r="AK350" s="77" t="inlineStr"/>
      <c r="AL350" s="77" t="inlineStr">
        <is>
          <t>RG22-S02-R1; RG22-S02-R2</t>
        </is>
      </c>
      <c r="AM350" s="77" t="inlineStr">
        <is>
          <t>Page is a partner-facing call; unclear whether the IXN team route is compulsory for all EEE final-year students or one option among project types; no named companies for 2025/26; Year 3 route (themed groups of 2-3, each student a different approach) not separable as group work and not recorded.</t>
        </is>
      </c>
      <c r="AN350" s="77" t="inlineStr"/>
      <c r="AO350" s="77" t="inlineStr">
        <is>
          <t>UK</t>
        </is>
      </c>
      <c r="AP350" s="77" t="inlineStr">
        <is>
          <t>UK – Russell Group</t>
        </is>
      </c>
      <c r="AQ350" s="77" t="inlineStr">
        <is>
          <t>&gt;1 term</t>
        </is>
      </c>
      <c r="AR350" s="77" t="inlineStr">
        <is>
          <t>All/standard</t>
        </is>
      </c>
      <c r="AS350" s="77" t="inlineStr"/>
    </row>
    <row r="351">
      <c r="A351" s="77" t="inlineStr">
        <is>
          <t>RG22</t>
        </is>
      </c>
      <c r="B351" s="77" t="inlineStr">
        <is>
          <t>UCL</t>
        </is>
      </c>
      <c r="C351" s="77" t="inlineStr">
        <is>
          <t>Faculty/school</t>
        </is>
      </c>
      <c r="D351" s="77" t="inlineStr">
        <is>
          <t>RG22-S03</t>
        </is>
      </c>
      <c r="E351" s="77" t="inlineStr"/>
      <c r="F351" s="77" t="inlineStr">
        <is>
          <t>Yes</t>
        </is>
      </c>
      <c r="G351" s="79" t="inlineStr">
        <is>
          <t>Integrated Engineering Programme (IEP)</t>
        </is>
      </c>
      <c r="H351" s="77" t="inlineStr">
        <is>
          <t>UCL Faculty of Engineering Sciences Integrated Engineering Programme</t>
        </is>
      </c>
      <c r="I351" s="77" t="inlineStr"/>
      <c r="J351" s="77" t="inlineStr">
        <is>
          <t>Faculty-wide project-based engineering curriculum: departmental Scenario weeks (Years 1-2) and the cross-disciplinary two-week How to Change the World project (end of Year 2). Umbrella record; children assessed separately.</t>
        </is>
      </c>
      <c r="K351" s="77" t="inlineStr">
        <is>
          <t>UCL Centre for Engineering Education / Faculty of Engineering Sciences</t>
        </is>
      </c>
      <c r="L351" s="77" t="inlineStr">
        <is>
          <t>Engineering degrees (Civil Engineering students do not currently take How to Change the World); Management Science takes an IEP minor</t>
        </is>
      </c>
      <c r="M351" s="77" t="inlineStr">
        <is>
          <t>Engineering/computing</t>
        </is>
      </c>
      <c r="N351" s="77" t="inlineStr">
        <is>
          <t>Undergraduate</t>
        </is>
      </c>
      <c r="O351" s="77" t="inlineStr">
        <is>
          <t>Years 1-2</t>
        </is>
      </c>
      <c r="P351" s="77" t="inlineStr"/>
      <c r="Q351" s="77" t="inlineStr">
        <is>
          <t>Compulsory within specified programmes</t>
        </is>
      </c>
      <c r="R351" s="77" t="inlineStr">
        <is>
          <t>Curricular</t>
        </is>
      </c>
      <c r="S351" s="77" t="inlineStr"/>
      <c r="T351" s="77" t="inlineStr"/>
      <c r="U351" s="77" t="inlineStr">
        <is>
          <t>Project weeks</t>
        </is>
      </c>
      <c r="V351" s="77" t="inlineStr">
        <is>
          <t>Yes</t>
        </is>
      </c>
      <c r="W351" s="77" t="inlineStr">
        <is>
          <t>Source 1</t>
        </is>
      </c>
      <c r="X351" s="77" t="inlineStr">
        <is>
          <t>Yes</t>
        </is>
      </c>
      <c r="Y351" s="77" t="inlineStr">
        <is>
          <t>Source 1</t>
        </is>
      </c>
      <c r="Z351" s="77" t="inlineStr">
        <is>
          <t>Unclear</t>
        </is>
      </c>
      <c r="AA351" s="77" t="inlineStr">
        <is>
          <t>Employer role differs by child record.</t>
        </is>
      </c>
      <c r="AB351" s="77" t="inlineStr">
        <is>
          <t>Mixed</t>
        </is>
      </c>
      <c r="AC351" s="77" t="inlineStr"/>
      <c r="AD351" s="77" t="inlineStr"/>
      <c r="AE351" s="77" t="inlineStr"/>
      <c r="AF351" s="77">
        <f>IF(OR(V351="No",X351="No",Z351="No"),"Outside strict definition",IF(AND(V351="Yes",X351="Yes",Z351="Yes"),"Meets all three","Potentially relevant; evidence incomplete"))</f>
        <v/>
      </c>
      <c r="AG351" s="77" t="inlineStr">
        <is>
          <t>Current status unclear</t>
        </is>
      </c>
      <c r="AH351" s="77" t="inlineStr">
        <is>
          <t>2025</t>
        </is>
      </c>
      <c r="AI351" s="77" t="inlineStr">
        <is>
          <t>No</t>
        </is>
      </c>
      <c r="AJ351" s="77">
        <f>IF(AND(AI351="Yes",AF351="Meets all three",AG351="Current delivery confirmed"),"Yes","No")</f>
        <v/>
      </c>
      <c r="AK351" s="77" t="inlineStr"/>
      <c r="AL351" s="77" t="inlineStr">
        <is>
          <t>RG22-S03-R1</t>
        </is>
      </c>
      <c r="AM351" s="77" t="inlineStr">
        <is>
          <t>Umbrella; see S4 and S5.</t>
        </is>
      </c>
      <c r="AN351" s="77" t="inlineStr"/>
      <c r="AO351" s="77" t="inlineStr">
        <is>
          <t>UK</t>
        </is>
      </c>
      <c r="AP351" s="77" t="inlineStr">
        <is>
          <t>UK – Russell Group</t>
        </is>
      </c>
      <c r="AQ351" s="77" t="inlineStr">
        <is>
          <t>Unclear</t>
        </is>
      </c>
      <c r="AR351" s="77" t="inlineStr">
        <is>
          <t>Unclear</t>
        </is>
      </c>
      <c r="AS351" s="77" t="inlineStr">
        <is>
          <t>No (umbrella; children counted)</t>
        </is>
      </c>
    </row>
    <row r="352">
      <c r="A352" s="77" t="inlineStr">
        <is>
          <t>RG22</t>
        </is>
      </c>
      <c r="B352" s="77" t="inlineStr">
        <is>
          <t>UCL</t>
        </is>
      </c>
      <c r="C352" s="77" t="inlineStr">
        <is>
          <t>Faculty/school</t>
        </is>
      </c>
      <c r="D352" s="77" t="inlineStr">
        <is>
          <t>RG22-S04</t>
        </is>
      </c>
      <c r="E352" s="77" t="inlineStr">
        <is>
          <t>RG22-S03</t>
        </is>
      </c>
      <c r="F352" s="77" t="inlineStr">
        <is>
          <t>No</t>
        </is>
      </c>
      <c r="G352" s="79" t="inlineStr">
        <is>
          <t>IEP Scenario weeks</t>
        </is>
      </c>
      <c r="H352" s="77" t="inlineStr">
        <is>
          <t>Scenario weeks (intensive departmental team design projects, Years 1-2)</t>
        </is>
      </c>
      <c r="I352" s="77" t="inlineStr"/>
      <c r="J352" s="77" t="inlineStr">
        <is>
          <t>Week-long intensive team design projects in Years 1 and 2 where other teaching stops; each department runs its own. Some scenarios occasionally involve start-ups, companies, third-sector professionals or communities.</t>
        </is>
      </c>
      <c r="K352" s="77" t="inlineStr">
        <is>
          <t>UCL Faculty of Engineering Sciences departments</t>
        </is>
      </c>
      <c r="L352" s="77" t="inlineStr"/>
      <c r="M352" s="77" t="inlineStr">
        <is>
          <t>Engineering/computing</t>
        </is>
      </c>
      <c r="N352" s="77" t="inlineStr">
        <is>
          <t>Undergraduate</t>
        </is>
      </c>
      <c r="O352" s="77" t="inlineStr">
        <is>
          <t>Years 1-2</t>
        </is>
      </c>
      <c r="P352" s="77" t="inlineStr"/>
      <c r="Q352" s="77" t="inlineStr">
        <is>
          <t>Compulsory within specified programmes</t>
        </is>
      </c>
      <c r="R352" s="77" t="inlineStr">
        <is>
          <t>Curricular</t>
        </is>
      </c>
      <c r="S352" s="77" t="inlineStr">
        <is>
          <t>Not stated</t>
        </is>
      </c>
      <c r="T352" s="77" t="inlineStr">
        <is>
          <t>One week per scenario</t>
        </is>
      </c>
      <c r="U352" s="77" t="inlineStr">
        <is>
          <t>Intensive team project week</t>
        </is>
      </c>
      <c r="V352" s="77" t="inlineStr">
        <is>
          <t>Yes</t>
        </is>
      </c>
      <c r="W352" s="77" t="inlineStr">
        <is>
          <t>Source 1: intensive project-based experiences, a single technical design project.</t>
        </is>
      </c>
      <c r="X352" s="77" t="inlineStr">
        <is>
          <t>Yes</t>
        </is>
      </c>
      <c r="Y352" s="77" t="inlineStr">
        <is>
          <t>Source 1: teams focus on one technical design project.</t>
        </is>
      </c>
      <c r="Z352" s="77" t="inlineStr">
        <is>
          <t>Unclear</t>
        </is>
      </c>
      <c r="AA352" s="77" t="inlineStr">
        <is>
          <t>Source 1: scenarios only 'occasionally' collaborate with industry/third sector/communities; not the norm.</t>
        </is>
      </c>
      <c r="AB352" s="77" t="inlineStr">
        <is>
          <t>Mixed</t>
        </is>
      </c>
      <c r="AC352" s="77" t="inlineStr">
        <is>
          <t>Occasional external input to some scenarios.</t>
        </is>
      </c>
      <c r="AD352" s="77" t="inlineStr"/>
      <c r="AE352" s="77" t="inlineStr">
        <is>
          <t>Technical design project output</t>
        </is>
      </c>
      <c r="AF352" s="77">
        <f>IF(OR(V352="No",X352="No",Z352="No"),"Outside strict definition",IF(AND(V352="Yes",X352="Yes",Z352="Yes"),"Meets all three","Potentially relevant; evidence incomplete"))</f>
        <v/>
      </c>
      <c r="AG352" s="77" t="inlineStr">
        <is>
          <t>Current status unclear</t>
        </is>
      </c>
      <c r="AH352" s="77" t="inlineStr">
        <is>
          <t>undated</t>
        </is>
      </c>
      <c r="AI352" s="77" t="inlineStr">
        <is>
          <t>Yes</t>
        </is>
      </c>
      <c r="AJ352" s="77">
        <f>IF(AND(AI352="Yes",AF352="Meets all three",AG352="Current delivery confirmed"),"Yes","No")</f>
        <v/>
      </c>
      <c r="AK352" s="77" t="inlineStr"/>
      <c r="AL352" s="77" t="inlineStr">
        <is>
          <t>RG22-S04-R1</t>
        </is>
      </c>
      <c r="AM352" s="77" t="inlineStr">
        <is>
          <t>No scenario-by-scenario list of external partners; undated page with no 2025/26 corroboration.</t>
        </is>
      </c>
      <c r="AN352" s="77" t="inlineStr"/>
      <c r="AO352" s="77" t="inlineStr">
        <is>
          <t>UK</t>
        </is>
      </c>
      <c r="AP352" s="77" t="inlineStr">
        <is>
          <t>UK – Russell Group</t>
        </is>
      </c>
      <c r="AQ352" s="77" t="inlineStr">
        <is>
          <t>&lt;1 week</t>
        </is>
      </c>
      <c r="AR352" s="77" t="inlineStr">
        <is>
          <t>Some projects</t>
        </is>
      </c>
      <c r="AS352" s="77" t="inlineStr"/>
    </row>
    <row r="353">
      <c r="A353" s="77" t="inlineStr">
        <is>
          <t>RG22</t>
        </is>
      </c>
      <c r="B353" s="77" t="inlineStr">
        <is>
          <t>UCL</t>
        </is>
      </c>
      <c r="C353" s="77" t="inlineStr">
        <is>
          <t>Faculty/school</t>
        </is>
      </c>
      <c r="D353" s="77" t="inlineStr">
        <is>
          <t>RG22-S05</t>
        </is>
      </c>
      <c r="E353" s="77" t="inlineStr">
        <is>
          <t>RG22-S03</t>
        </is>
      </c>
      <c r="F353" s="77" t="inlineStr">
        <is>
          <t>No</t>
        </is>
      </c>
      <c r="G353" s="79" t="inlineStr">
        <is>
          <t>How to Change the World (IEP)</t>
        </is>
      </c>
      <c r="H353" s="77" t="inlineStr">
        <is>
          <t>How to Change the World - two-week interdisciplinary team challenge</t>
        </is>
      </c>
      <c r="I353" s="77" t="inlineStr"/>
      <c r="J353" s="77" t="inlineStr">
        <is>
          <t>Two-week interdisciplinary team project after Year 2 exams: teams of up to six across engineering disciplines, computer science and management science address an open societal challenge linked to the UN SDGs in facilitated workshops with industry/community partners, ending in an Innovation Showcase pitch to a panel of academics and external experts.</t>
        </is>
      </c>
      <c r="K353" s="77" t="inlineStr">
        <is>
          <t>UCL Centre for Engineering Education / Faculty of Engineering Sciences</t>
        </is>
      </c>
      <c r="L353" s="77" t="inlineStr">
        <is>
          <t>IEP engineering programmes, computer science, management science (Civil Engineering students do not currently participate)</t>
        </is>
      </c>
      <c r="M353" s="77" t="inlineStr">
        <is>
          <t>Engineering/computing; Business/management</t>
        </is>
      </c>
      <c r="N353" s="77" t="inlineStr">
        <is>
          <t>Undergraduate</t>
        </is>
      </c>
      <c r="O353" s="77" t="inlineStr">
        <is>
          <t>End of Year 2</t>
        </is>
      </c>
      <c r="P353" s="77" t="inlineStr"/>
      <c r="Q353" s="77" t="inlineStr">
        <is>
          <t>Compulsory within specified programmes</t>
        </is>
      </c>
      <c r="R353" s="77" t="inlineStr">
        <is>
          <t>Curricular</t>
        </is>
      </c>
      <c r="S353" s="77" t="inlineStr">
        <is>
          <t>Not stated</t>
        </is>
      </c>
      <c r="T353" s="77" t="inlineStr">
        <is>
          <t>Two weeks</t>
        </is>
      </c>
      <c r="U353" s="77" t="inlineStr">
        <is>
          <t>Intensive in-person challenge, workshops and pitch</t>
        </is>
      </c>
      <c r="V353" s="77" t="inlineStr">
        <is>
          <t>Yes</t>
        </is>
      </c>
      <c r="W353" s="77" t="inlineStr">
        <is>
          <t>Source 1: open-ended societal challenge; teams pitch concepts at final-day showcase.</t>
        </is>
      </c>
      <c r="X353" s="77" t="inlineStr">
        <is>
          <t>Yes</t>
        </is>
      </c>
      <c r="Y353" s="77" t="inlineStr">
        <is>
          <t>Source 1: teams of up to six engineering disciplines, computer scientists and management scientists.</t>
        </is>
      </c>
      <c r="Z353" s="77" t="inlineStr">
        <is>
          <t>Yes</t>
        </is>
      </c>
      <c r="AA353" s="77" t="inlineStr">
        <is>
          <t>Source 1: challenges created in partnership with external experts from policy, industry and the third sector; supported by industrial partners; teams pitch to a panel including external experts.</t>
        </is>
      </c>
      <c r="AB353" s="77" t="inlineStr">
        <is>
          <t>Mixed</t>
        </is>
      </c>
      <c r="AC353" s="77" t="inlineStr">
        <is>
          <t>Partners co-create challenges, run workshops and sit on feedback/judging panel.</t>
        </is>
      </c>
      <c r="AD353" s="77" t="inlineStr">
        <is>
          <t>Recent partners listed on UCL page (undated): UK Dept for Transport, ARUP, Engineers Without Borders UK, Motorola Solutions, Lloyds Banking Group.</t>
        </is>
      </c>
      <c r="AE353" s="77" t="inlineStr">
        <is>
          <t>Concept pitch/showcase</t>
        </is>
      </c>
      <c r="AF353" s="77">
        <f>IF(OR(V353="No",X353="No",Z353="No"),"Outside strict definition",IF(AND(V353="Yes",X353="Yes",Z353="Yes"),"Meets all three","Potentially relevant; evidence incomplete"))</f>
        <v/>
      </c>
      <c r="AG353" s="77" t="inlineStr">
        <is>
          <t>Current status unclear</t>
        </is>
      </c>
      <c r="AH353" s="77" t="inlineStr">
        <is>
          <t>2025</t>
        </is>
      </c>
      <c r="AI353" s="77" t="inlineStr">
        <is>
          <t>Yes</t>
        </is>
      </c>
      <c r="AJ353" s="77">
        <f>IF(AND(AI353="Yes",AF353="Meets all three",AG353="Current delivery confirmed"),"Yes","No")</f>
        <v/>
      </c>
      <c r="AK353" s="77" t="inlineStr"/>
      <c r="AL353" s="77" t="inlineStr">
        <is>
          <t>RG22-S05-R1; RG22-S05-R2</t>
        </is>
      </c>
      <c r="AM353" s="77" t="inlineStr">
        <is>
          <t>Page undated; only dated item is Nov 2025 news about How to Change the World Student Awards (summer 2025 delivery, i.e. 2024/25) - no 2025/26 or 2026 corroboration. Compulsory status per programme not verified from a programme specification. Partner role is workshop/panel rather than a single client brief.</t>
        </is>
      </c>
      <c r="AN353" s="77" t="inlineStr"/>
      <c r="AO353" s="77" t="inlineStr">
        <is>
          <t>UK</t>
        </is>
      </c>
      <c r="AP353" s="77" t="inlineStr">
        <is>
          <t>UK – Russell Group</t>
        </is>
      </c>
      <c r="AQ353" s="77" t="inlineStr">
        <is>
          <t>1-4 weeks</t>
        </is>
      </c>
      <c r="AR353" s="77" t="inlineStr">
        <is>
          <t>All/standard</t>
        </is>
      </c>
      <c r="AS353" s="77" t="inlineStr"/>
    </row>
    <row r="354">
      <c r="A354" s="77" t="inlineStr">
        <is>
          <t>RG22</t>
        </is>
      </c>
      <c r="B354" s="77" t="inlineStr">
        <is>
          <t>UCL</t>
        </is>
      </c>
      <c r="C354" s="77" t="inlineStr">
        <is>
          <t>Faculty/school</t>
        </is>
      </c>
      <c r="D354" s="77" t="inlineStr">
        <is>
          <t>RG22-S06</t>
        </is>
      </c>
      <c r="E354" s="77" t="inlineStr"/>
      <c r="F354" s="77" t="inlineStr">
        <is>
          <t>No</t>
        </is>
      </c>
      <c r="G354" s="79" t="inlineStr">
        <is>
          <t>Building a Better Future (BABF) consultancy project</t>
        </is>
      </c>
      <c r="H354" s="77" t="inlineStr">
        <is>
          <t>Bartlett Building a Better Future consultancy project (ExtendED Learning)</t>
        </is>
      </c>
      <c r="I354" s="77" t="inlineStr"/>
      <c r="J354" s="77" t="inlineStr">
        <is>
          <t>Two-week consultancy project: Bartlett students (UG, PG, PhD) rank partner organisations, are assigned to teams of 5-8, attend design-thinking/project-management workshops, visit sites/offices, and present recommendations on the host organisation's brief to a judging panel and host organisations.</t>
        </is>
      </c>
      <c r="K354" s="77" t="inlineStr">
        <is>
          <t>The Bartlett (UCL Faculty of the Built Environment) via ExtendED Learning</t>
        </is>
      </c>
      <c r="L354" s="77" t="inlineStr">
        <is>
          <t>Bartlett students only</t>
        </is>
      </c>
      <c r="M354" s="77" t="inlineStr">
        <is>
          <t>Other (law, health, design, architecture…)</t>
        </is>
      </c>
      <c r="N354" s="77" t="inlineStr">
        <is>
          <t>Mixed</t>
        </is>
      </c>
      <c r="O354" s="77" t="inlineStr"/>
      <c r="P354" s="77" t="inlineStr">
        <is>
          <t>Open only to Bartlett students; places allocated by preference.</t>
        </is>
      </c>
      <c r="Q354" s="77" t="inlineStr">
        <is>
          <t>Optional/elective</t>
        </is>
      </c>
      <c r="R354" s="77" t="inlineStr">
        <is>
          <t>Extracurricular</t>
        </is>
      </c>
      <c r="S354" s="77" t="inlineStr">
        <is>
          <t>No credit evidenced</t>
        </is>
      </c>
      <c r="T354" s="77" t="inlineStr">
        <is>
          <t>Two weeks (1-17 June 2026)</t>
        </is>
      </c>
      <c r="U354" s="77" t="inlineStr">
        <is>
          <t>In-person workshops, site/office visits, showcase</t>
        </is>
      </c>
      <c r="V354" s="77" t="inlineStr">
        <is>
          <t>Yes</t>
        </is>
      </c>
      <c r="W354" s="77" t="inlineStr">
        <is>
          <t>Sources 1-2: briefs set by host organisations; teams deliver 10-minute presentation of recommendations.</t>
        </is>
      </c>
      <c r="X354" s="77" t="inlineStr">
        <is>
          <t>Yes</t>
        </is>
      </c>
      <c r="Y354" s="77" t="inlineStr">
        <is>
          <t>Source 1: teams of five to eight.</t>
        </is>
      </c>
      <c r="Z354" s="77" t="inlineStr">
        <is>
          <t>Yes</t>
        </is>
      </c>
      <c r="AA354" s="77" t="inlineStr">
        <is>
          <t>Source 1: briefs set by AtkinsRealis, Buro Happold, Hereworks UK, Turner &amp; Townsend, Gensler, LB Islington and LB Sutton; teams present to judging panel and host organisations.</t>
        </is>
      </c>
      <c r="AB354" s="77" t="inlineStr">
        <is>
          <t>Mixed</t>
        </is>
      </c>
      <c r="AC354" s="77" t="inlineStr">
        <is>
          <t>Host organisations set briefs, host office visits, receive presentation and Q&amp;A.</t>
        </is>
      </c>
      <c r="AD354" s="77" t="inlineStr">
        <is>
          <t>2026: AtkinsRealis, Buro Happold, Hereworks UK, Turner &amp; Townsend, Gensler, London Boroughs of Islington and Sutton</t>
        </is>
      </c>
      <c r="AE354" s="77" t="inlineStr">
        <is>
          <t>Recommendations presentation to host organisation</t>
        </is>
      </c>
      <c r="AF354" s="77">
        <f>IF(OR(V354="No",X354="No",Z354="No"),"Outside strict definition",IF(AND(V354="Yes",X354="Yes",Z354="Yes"),"Meets all three","Potentially relevant; evidence incomplete"))</f>
        <v/>
      </c>
      <c r="AG354" s="77" t="inlineStr">
        <is>
          <t>Current delivery confirmed</t>
        </is>
      </c>
      <c r="AH354" s="77" t="inlineStr">
        <is>
          <t>2025/26</t>
        </is>
      </c>
      <c r="AI354" s="77" t="inlineStr">
        <is>
          <t>Yes</t>
        </is>
      </c>
      <c r="AJ354" s="77">
        <f>IF(AND(AI354="Yes",AF354="Meets all three",AG354="Current delivery confirmed"),"Yes","No")</f>
        <v/>
      </c>
      <c r="AK354" s="77" t="inlineStr">
        <is>
          <t>83 students in third edition (2026)</t>
        </is>
      </c>
      <c r="AL354" s="77" t="inlineStr">
        <is>
          <t>RG22-S06-R1; RG22-S06-R2</t>
        </is>
      </c>
      <c r="AM354" s="77" t="inlineStr">
        <is>
          <t>2026/27 call not found.</t>
        </is>
      </c>
      <c r="AN354" s="77" t="inlineStr"/>
      <c r="AO354" s="77" t="inlineStr">
        <is>
          <t>UK</t>
        </is>
      </c>
      <c r="AP354" s="77" t="inlineStr">
        <is>
          <t>UK – Russell Group</t>
        </is>
      </c>
      <c r="AQ354" s="77" t="inlineStr">
        <is>
          <t>1-4 weeks</t>
        </is>
      </c>
      <c r="AR354" s="77" t="inlineStr">
        <is>
          <t>All/standard</t>
        </is>
      </c>
      <c r="AS354" s="77" t="inlineStr"/>
    </row>
    <row r="355">
      <c r="A355" s="77" t="inlineStr">
        <is>
          <t>RG22</t>
        </is>
      </c>
      <c r="B355" s="77" t="inlineStr">
        <is>
          <t>UCL</t>
        </is>
      </c>
      <c r="C355" s="77" t="inlineStr">
        <is>
          <t>University-wide</t>
        </is>
      </c>
      <c r="D355" s="77" t="inlineStr">
        <is>
          <t>RG22-S07</t>
        </is>
      </c>
      <c r="E355" s="77" t="inlineStr"/>
      <c r="F355" s="77" t="inlineStr">
        <is>
          <t>No</t>
        </is>
      </c>
      <c r="G355" s="79" t="inlineStr">
        <is>
          <t>International Industry Challenges (Practera Nano Projects) - ExtendED Learning</t>
        </is>
      </c>
      <c r="H355" s="77" t="inlineStr">
        <is>
          <t>International Industry Challenge teams</t>
        </is>
      </c>
      <c r="I355" s="77" t="inlineStr"/>
      <c r="J355" s="77" t="inlineStr">
        <is>
          <t>Small teams of UCL students respond to a single brief from a real overseas employer (sourced via delivery partner Practera): briefing session, mid-project Q&amp;A, and a pitch event with feedback from the employer; about 25 hours over roughly three weeks, online with in-person orientation.</t>
        </is>
      </c>
      <c r="K355" s="77" t="inlineStr">
        <is>
          <t>UCL Careers / ExtendED Learning (Teaching &amp; Learning)</t>
        </is>
      </c>
      <c r="L355" s="77" t="inlineStr">
        <is>
          <t>All UCL undergraduate and taught postgraduate students (ExtendED eligibility)</t>
        </is>
      </c>
      <c r="M355" s="77" t="inlineStr">
        <is>
          <t>Central provision</t>
        </is>
      </c>
      <c r="N355" s="77" t="inlineStr">
        <is>
          <t>Mixed</t>
        </is>
      </c>
      <c r="O355" s="77" t="inlineStr"/>
      <c r="P355" s="77" t="inlineStr">
        <is>
          <t>ExtendED open to UG and PGT students; some places reserved for Careers Extra students; limited places (up to 150 in 2025).</t>
        </is>
      </c>
      <c r="Q355" s="77" t="inlineStr">
        <is>
          <t>Optional/elective</t>
        </is>
      </c>
      <c r="R355" s="77" t="inlineStr">
        <is>
          <t>Extracurricular</t>
        </is>
      </c>
      <c r="S355" s="77" t="inlineStr">
        <is>
          <t>Digital badge; no credit</t>
        </is>
      </c>
      <c r="T355" s="77" t="inlineStr">
        <is>
          <t>~25 hours, 26 May-15 June 2026</t>
        </is>
      </c>
      <c r="U355" s="77" t="inlineStr">
        <is>
          <t>Online teams with briefing, Q&amp;A, pitch</t>
        </is>
      </c>
      <c r="V355" s="77" t="inlineStr">
        <is>
          <t>Yes</t>
        </is>
      </c>
      <c r="W355" s="77" t="inlineStr">
        <is>
          <t>Source 1: team responds to one employer brief and delivers a pitch.</t>
        </is>
      </c>
      <c r="X355" s="77" t="inlineStr">
        <is>
          <t>Yes</t>
        </is>
      </c>
      <c r="Y355" s="77" t="inlineStr">
        <is>
          <t>Sources 1-2: 'teams' respond to a single brief; 'Industry Challenge Teams'.</t>
        </is>
      </c>
      <c r="Z355" s="77" t="inlineStr">
        <is>
          <t>Yes</t>
        </is>
      </c>
      <c r="AA355" s="77" t="inlineStr">
        <is>
          <t>Source 1: brief provided by a real international industry partner; team meets client at briefing and gets client feedback at pitch. Source 2 separates the AI-simulated variant (excluded).</t>
        </is>
      </c>
      <c r="AB355" s="77" t="inlineStr">
        <is>
          <t>Unclear</t>
        </is>
      </c>
      <c r="AC355" s="77" t="inlineStr">
        <is>
          <t>Employer sets brief, answers questions, gives pitch feedback.</t>
        </is>
      </c>
      <c r="AD355" s="77" t="inlineStr"/>
      <c r="AE355" s="77" t="inlineStr">
        <is>
          <t>Pitch to the employer</t>
        </is>
      </c>
      <c r="AF355" s="77">
        <f>IF(OR(V355="No",X355="No",Z355="No"),"Outside strict definition",IF(AND(V355="Yes",X355="Yes",Z355="Yes"),"Meets all three","Potentially relevant; evidence incomplete"))</f>
        <v/>
      </c>
      <c r="AG355" s="77" t="inlineStr">
        <is>
          <t>Current delivery confirmed</t>
        </is>
      </c>
      <c r="AH355" s="77" t="inlineStr">
        <is>
          <t>2025/26</t>
        </is>
      </c>
      <c r="AI355" s="77" t="inlineStr">
        <is>
          <t>Yes</t>
        </is>
      </c>
      <c r="AJ355" s="77">
        <f>IF(AND(AI355="Yes",AF355="Meets all three",AG355="Current delivery confirmed"),"Yes","No")</f>
        <v/>
      </c>
      <c r="AK355" s="77" t="inlineStr">
        <is>
          <t>Up to 150 places (2025 cycle)</t>
        </is>
      </c>
      <c r="AL355" s="77" t="inlineStr">
        <is>
          <t>RG22-S07-R1; RG22-S07-R2; RG22-S07-R3</t>
        </is>
      </c>
      <c r="AM355" s="77" t="inlineStr">
        <is>
          <t>Partner sector and named employers not found; exact team sizes not stated.</t>
        </is>
      </c>
      <c r="AN355" s="77" t="inlineStr"/>
      <c r="AO355" s="77" t="inlineStr">
        <is>
          <t>UK</t>
        </is>
      </c>
      <c r="AP355" s="77" t="inlineStr">
        <is>
          <t>UK – Russell Group</t>
        </is>
      </c>
      <c r="AQ355" s="77" t="inlineStr">
        <is>
          <t>1-4 weeks</t>
        </is>
      </c>
      <c r="AR355" s="77" t="inlineStr">
        <is>
          <t>All/standard</t>
        </is>
      </c>
      <c r="AS355" s="77" t="inlineStr"/>
    </row>
    <row r="356">
      <c r="A356" s="77" t="inlineStr">
        <is>
          <t>RG22</t>
        </is>
      </c>
      <c r="B356" s="77" t="inlineStr">
        <is>
          <t>UCL</t>
        </is>
      </c>
      <c r="C356" s="77" t="inlineStr">
        <is>
          <t>Programme/course</t>
        </is>
      </c>
      <c r="D356" s="77" t="inlineStr">
        <is>
          <t>RG22-S08</t>
        </is>
      </c>
      <c r="E356" s="77" t="inlineStr"/>
      <c r="F356" s="77" t="inlineStr">
        <is>
          <t>No</t>
        </is>
      </c>
      <c r="G356" s="79" t="inlineStr">
        <is>
          <t>Business Project (MSIN0314), MSc Marketing Science</t>
        </is>
      </c>
      <c r="H356" s="77" t="inlineStr">
        <is>
          <t>MSc Marketing Science Business Project</t>
        </is>
      </c>
      <c r="I356" s="77" t="inlineStr">
        <is>
          <t>MSIN0314</t>
        </is>
      </c>
      <c r="J356" s="77" t="inlineStr">
        <is>
          <t>Term 3, 45-credit team-based consultancy-style project: groups under faculty supervision work with real-world external organisations on a marketing challenge over about 10 weeks (e.g. product line expansion, new segment entry, campaign optimisation, controlled experiments).</t>
        </is>
      </c>
      <c r="K356" s="77" t="inlineStr">
        <is>
          <t>UCL School of Management</t>
        </is>
      </c>
      <c r="L356" s="77" t="inlineStr">
        <is>
          <t>MSc Marketing Science</t>
        </is>
      </c>
      <c r="M356" s="77" t="inlineStr">
        <is>
          <t>Business/management</t>
        </is>
      </c>
      <c r="N356" s="77" t="inlineStr">
        <is>
          <t>Postgraduate taught</t>
        </is>
      </c>
      <c r="O356" s="77" t="inlineStr"/>
      <c r="P356" s="77" t="inlineStr"/>
      <c r="Q356" s="77" t="inlineStr">
        <is>
          <t>Compulsory within specified programmes</t>
        </is>
      </c>
      <c r="R356" s="77" t="inlineStr">
        <is>
          <t>Curricular</t>
        </is>
      </c>
      <c r="S356" s="77" t="inlineStr">
        <is>
          <t>45 credits; individual and group components</t>
        </is>
      </c>
      <c r="T356" s="77" t="inlineStr">
        <is>
          <t>~10 weeks (Term 3)</t>
        </is>
      </c>
      <c r="U356" s="77" t="inlineStr">
        <is>
          <t>Supervised group consultancy project</t>
        </is>
      </c>
      <c r="V356" s="77" t="inlineStr">
        <is>
          <t>Yes</t>
        </is>
      </c>
      <c r="W356" s="77" t="inlineStr">
        <is>
          <t>Source 1: real marketing challenge; consultancy-style project.</t>
        </is>
      </c>
      <c r="X356" s="77" t="inlineStr">
        <is>
          <t>Yes</t>
        </is>
      </c>
      <c r="Y356" s="77" t="inlineStr">
        <is>
          <t>Source 1: students put into groups under faculty supervision; assessed with group and individual components.</t>
        </is>
      </c>
      <c r="Z356" s="77" t="inlineStr">
        <is>
          <t>Yes</t>
        </is>
      </c>
      <c r="AA356" s="77" t="inlineStr">
        <is>
          <t>Source 1: groups work with real-world external organisations (external client).</t>
        </is>
      </c>
      <c r="AB356" s="77" t="inlineStr">
        <is>
          <t>Unclear</t>
        </is>
      </c>
      <c r="AC356" s="77" t="inlineStr">
        <is>
          <t>External client organisation supplies the marketing challenge.</t>
        </is>
      </c>
      <c r="AD356" s="77" t="inlineStr"/>
      <c r="AE356" s="77" t="inlineStr">
        <is>
          <t>Consultancy project outputs for external organisation (not specified in extract)</t>
        </is>
      </c>
      <c r="AF356" s="77">
        <f>IF(OR(V356="No",X356="No",Z356="No"),"Outside strict definition",IF(AND(V356="Yes",X356="Yes",Z356="Yes"),"Meets all three","Potentially relevant; evidence incomplete"))</f>
        <v/>
      </c>
      <c r="AG356" s="77" t="inlineStr">
        <is>
          <t>Current status unclear</t>
        </is>
      </c>
      <c r="AH356" s="77" t="inlineStr">
        <is>
          <t>2025</t>
        </is>
      </c>
      <c r="AI356" s="77" t="inlineStr">
        <is>
          <t>Yes</t>
        </is>
      </c>
      <c r="AJ356" s="77">
        <f>IF(AND(AI356="Yes",AF356="Meets all three",AG356="Current delivery confirmed"),"Yes","No")</f>
        <v/>
      </c>
      <c r="AK356" s="77" t="inlineStr"/>
      <c r="AL356" s="77" t="inlineStr">
        <is>
          <t>RG22-S08-R1; RG22-S08-R2</t>
        </is>
      </c>
      <c r="AM356" s="77" t="inlineStr">
        <is>
          <t>Programme pages undated; no named 2025/26 clients or presentations found; 2025 info session and April 2025 advisory board are not delivery evidence. Partner sector not stated.</t>
        </is>
      </c>
      <c r="AN356" s="77" t="inlineStr"/>
      <c r="AO356" s="77" t="inlineStr">
        <is>
          <t>UK</t>
        </is>
      </c>
      <c r="AP356" s="77" t="inlineStr">
        <is>
          <t>UK – Russell Group</t>
        </is>
      </c>
      <c r="AQ356" s="77" t="inlineStr">
        <is>
          <t>~1 term/semester</t>
        </is>
      </c>
      <c r="AR356" s="77" t="inlineStr">
        <is>
          <t>All/standard</t>
        </is>
      </c>
      <c r="AS356" s="77" t="inlineStr"/>
    </row>
    <row r="357">
      <c r="A357" s="77" t="inlineStr">
        <is>
          <t>RG22</t>
        </is>
      </c>
      <c r="B357" s="77" t="inlineStr">
        <is>
          <t>UCL</t>
        </is>
      </c>
      <c r="C357" s="77" t="inlineStr">
        <is>
          <t>Programme/course</t>
        </is>
      </c>
      <c r="D357" s="77" t="inlineStr">
        <is>
          <t>RG22-S09</t>
        </is>
      </c>
      <c r="E357" s="77" t="inlineStr"/>
      <c r="F357" s="77" t="inlineStr">
        <is>
          <t>No</t>
        </is>
      </c>
      <c r="G357" s="79" t="inlineStr">
        <is>
          <t>Centre for Data Intensive Science and Industry (DISI) CDT group projects</t>
        </is>
      </c>
      <c r="H357" s="77" t="inlineStr">
        <is>
          <t>PhD CDT industry group projects</t>
        </is>
      </c>
      <c r="I357" s="77" t="inlineStr"/>
      <c r="J357" s="77" t="inlineStr">
        <is>
          <t>Partner companies bring real data/problems to teams of 3-4 first-year PhD students in the Data Intensive Science doctoral training centre; teams work about two days a week January-April on the partner's problem. Partners pitch at an annual event. Separate from six-month individual industry placements.</t>
        </is>
      </c>
      <c r="K357" s="77" t="inlineStr">
        <is>
          <t>UCL Centre for Data Intensive Science and Industry (Mathematical &amp; Physical Sciences)</t>
        </is>
      </c>
      <c r="L357" s="77" t="inlineStr">
        <is>
          <t>PhD students in the Data Intensive Science CDT</t>
        </is>
      </c>
      <c r="M357" s="77" t="inlineStr">
        <is>
          <t>Science</t>
        </is>
      </c>
      <c r="N357" s="77" t="inlineStr">
        <is>
          <t>Postgraduate research</t>
        </is>
      </c>
      <c r="O357" s="77" t="inlineStr">
        <is>
          <t>First-year PhD</t>
        </is>
      </c>
      <c r="P357" s="77" t="inlineStr"/>
      <c r="Q357" s="77" t="inlineStr">
        <is>
          <t>Compulsory within specified programmes</t>
        </is>
      </c>
      <c r="R357" s="77" t="inlineStr">
        <is>
          <t>Curricular</t>
        </is>
      </c>
      <c r="S357" s="77" t="inlineStr">
        <is>
          <t>Training component of CDT; credit not stated</t>
        </is>
      </c>
      <c r="T357" s="77" t="inlineStr">
        <is>
          <t>January-April, ~2 days per week</t>
        </is>
      </c>
      <c r="U357" s="77" t="inlineStr">
        <is>
          <t>Team projects with partner data</t>
        </is>
      </c>
      <c r="V357" s="77" t="inlineStr">
        <is>
          <t>Yes</t>
        </is>
      </c>
      <c r="W357" s="77" t="inlineStr">
        <is>
          <t>Source 1: partners bring real-world problems; example 2025 project building a machine-learning pipeline to detect levees for Fathom's flood maps.</t>
        </is>
      </c>
      <c r="X357" s="77" t="inlineStr">
        <is>
          <t>Yes</t>
        </is>
      </c>
      <c r="Y357" s="77" t="inlineStr">
        <is>
          <t>Source 1: teams of three to four junior PhD students.</t>
        </is>
      </c>
      <c r="Z357" s="77" t="inlineStr">
        <is>
          <t>Yes</t>
        </is>
      </c>
      <c r="AA357" s="77" t="inlineStr">
        <is>
          <t>Source 1: companies pitch projects at an annual partner event and provide problem/data; past partners ASOS, The Guardian, NCC Group, UKAEA, Fathom, Peak AI.</t>
        </is>
      </c>
      <c r="AB357" s="77" t="inlineStr">
        <is>
          <t>Business/commercial</t>
        </is>
      </c>
      <c r="AC357" s="77" t="inlineStr">
        <is>
          <t>Partner supplies problem and data, receives pipeline/analysis output.</t>
        </is>
      </c>
      <c r="AD357" s="77" t="inlineStr">
        <is>
          <t>ASOS, The Guardian, NCC Group, UK Atomic Energy Authority, Fathom, Peak AI (past rounds); 2025 Fathom</t>
        </is>
      </c>
      <c r="AE357" s="77" t="inlineStr">
        <is>
          <t>Data/ML pipeline or analysis for partner</t>
        </is>
      </c>
      <c r="AF357" s="77">
        <f>IF(OR(V357="No",X357="No",Z357="No"),"Outside strict definition",IF(AND(V357="Yes",X357="Yes",Z357="Yes"),"Meets all three","Potentially relevant; evidence incomplete"))</f>
        <v/>
      </c>
      <c r="AG357" s="77" t="inlineStr">
        <is>
          <t>Current delivery confirmed</t>
        </is>
      </c>
      <c r="AH357" s="77" t="inlineStr">
        <is>
          <t>2026</t>
        </is>
      </c>
      <c r="AI357" s="77" t="inlineStr">
        <is>
          <t>Yes</t>
        </is>
      </c>
      <c r="AJ357" s="77">
        <f>IF(AND(AI357="Yes",AF357="Meets all three",AG357="Current delivery confirmed"),"Yes","No")</f>
        <v/>
      </c>
      <c r="AK357" s="77" t="inlineStr">
        <is>
          <t>9 rounds completed; over 40 placements (separate route)</t>
        </is>
      </c>
      <c r="AL357" s="77" t="inlineStr">
        <is>
          <t>RG22-S09-R1; RG22-S09-R2</t>
        </is>
      </c>
      <c r="AM357" s="77" t="inlineStr">
        <is>
          <t>Compulsory status inferred from 'each PhD student takes two industry-led projects'; small centre cohort size not published.</t>
        </is>
      </c>
      <c r="AN357" s="77" t="inlineStr"/>
      <c r="AO357" s="77" t="inlineStr">
        <is>
          <t>UK</t>
        </is>
      </c>
      <c r="AP357" s="77" t="inlineStr">
        <is>
          <t>UK – Russell Group</t>
        </is>
      </c>
      <c r="AQ357" s="77" t="inlineStr">
        <is>
          <t>~1 term/semester</t>
        </is>
      </c>
      <c r="AR357" s="77" t="inlineStr">
        <is>
          <t>All/standard</t>
        </is>
      </c>
      <c r="AS357" s="77" t="inlineStr"/>
    </row>
    <row r="358">
      <c r="A358" s="77" t="inlineStr">
        <is>
          <t>RG22</t>
        </is>
      </c>
      <c r="B358" s="77" t="inlineStr">
        <is>
          <t>UCL</t>
        </is>
      </c>
      <c r="C358" s="77" t="inlineStr">
        <is>
          <t>Programme/course</t>
        </is>
      </c>
      <c r="D358" s="77" t="inlineStr">
        <is>
          <t>RG22-S10</t>
        </is>
      </c>
      <c r="E358" s="77" t="inlineStr"/>
      <c r="F358" s="77" t="inlineStr">
        <is>
          <t>No</t>
        </is>
      </c>
      <c r="G358" s="79" t="inlineStr">
        <is>
          <t>MPA Group Project (STEaPP)</t>
        </is>
      </c>
      <c r="H358" s="77" t="inlineStr">
        <is>
          <t>STEaPP Master of Public Administration group project for external clients</t>
        </is>
      </c>
      <c r="I358" s="77" t="inlineStr"/>
      <c r="J358" s="77" t="inlineStr">
        <is>
          <t>Nine-month major group project in which interdisciplinary student teams work with an external client on a real policy challenge with STEaPP faculty support; students may state preferences. The individual project route (needs departmental approval, e.g. with existing employer) is separate and not recorded.</t>
        </is>
      </c>
      <c r="K358" s="77" t="inlineStr">
        <is>
          <t>UCL Dept of Science, Technology, Engineering and Public Policy (STEaPP)</t>
        </is>
      </c>
      <c r="L358" s="77" t="inlineStr">
        <is>
          <t>STEaPP MPA programmes (several specialisms)</t>
        </is>
      </c>
      <c r="M358" s="77" t="inlineStr">
        <is>
          <t>Arts/humanities/social sciences; Engineering/computing</t>
        </is>
      </c>
      <c r="N358" s="77" t="inlineStr">
        <is>
          <t>Postgraduate taught</t>
        </is>
      </c>
      <c r="O358" s="77" t="inlineStr"/>
      <c r="P358" s="77" t="inlineStr"/>
      <c r="Q358" s="77" t="inlineStr">
        <is>
          <t>Compulsory within specified programmes</t>
        </is>
      </c>
      <c r="R358" s="77" t="inlineStr">
        <is>
          <t>Curricular</t>
        </is>
      </c>
      <c r="S358" s="77" t="inlineStr">
        <is>
          <t>60-credit final project (per search summary); group-project assessment details not captured</t>
        </is>
      </c>
      <c r="T358" s="77" t="inlineStr">
        <is>
          <t>Nine months (Term 2 to summer)</t>
        </is>
      </c>
      <c r="U358" s="77" t="inlineStr">
        <is>
          <t>Supervised client team project</t>
        </is>
      </c>
      <c r="V358" s="77" t="inlineStr">
        <is>
          <t>Yes</t>
        </is>
      </c>
      <c r="W358" s="77" t="inlineStr">
        <is>
          <t>Source 1: real-world policy challenge for a client with output for the client.</t>
        </is>
      </c>
      <c r="X358" s="77" t="inlineStr">
        <is>
          <t>Yes</t>
        </is>
      </c>
      <c r="Y358" s="77" t="inlineStr">
        <is>
          <t>Source 1: group project is the default major component; example team of five working with BSI.</t>
        </is>
      </c>
      <c r="Z358" s="77" t="inlineStr">
        <is>
          <t>Yes</t>
        </is>
      </c>
      <c r="AA358" s="77" t="inlineStr">
        <is>
          <t>Source 1: external client for each project; clients include BSI, Alan Turing Institute, UK Government Office for Science, Chatham House, Save the Children UK, ARUP, UNESCO.</t>
        </is>
      </c>
      <c r="AB358" s="77" t="inlineStr">
        <is>
          <t>Mixed</t>
        </is>
      </c>
      <c r="AC358" s="77" t="inlineStr">
        <is>
          <t>Client sets the policy challenge and receives the project output.</t>
        </is>
      </c>
      <c r="AD358" s="77" t="inlineStr">
        <is>
          <t>Undated listings: BSI, Alan Turing Institute, GO-Science, Chatham House, Save the Children UK, ARUP, UNESCO, Demos Helsinki</t>
        </is>
      </c>
      <c r="AE358" s="77" t="inlineStr">
        <is>
          <t>Policy report/recommendations for client</t>
        </is>
      </c>
      <c r="AF358" s="77">
        <f>IF(OR(V358="No",X358="No",Z358="No"),"Outside strict definition",IF(AND(V358="Yes",X358="Yes",Z358="Yes"),"Meets all three","Potentially relevant; evidence incomplete"))</f>
        <v/>
      </c>
      <c r="AG358" s="77" t="inlineStr">
        <is>
          <t>Current status unclear</t>
        </is>
      </c>
      <c r="AH358" s="77" t="inlineStr">
        <is>
          <t>2026</t>
        </is>
      </c>
      <c r="AI358" s="77" t="inlineStr">
        <is>
          <t>Yes</t>
        </is>
      </c>
      <c r="AJ358" s="77">
        <f>IF(AND(AI358="Yes",AF358="Meets all three",AG358="Current delivery confirmed"),"Yes","No")</f>
        <v/>
      </c>
      <c r="AK358" s="77" t="inlineStr"/>
      <c r="AL358" s="77" t="inlineStr">
        <is>
          <t>RG22-S10-R1; RG22-S10-R2</t>
        </is>
      </c>
      <c r="AM358" s="77" t="inlineStr">
        <is>
          <t>Group-project pages undated; the dated 2026 catalogue update (25 Aug 2026) is for the individual project module STEP0036; no dated 2025/26 group client list found. Group assessment weight not captured.</t>
        </is>
      </c>
      <c r="AN358" s="77" t="inlineStr"/>
      <c r="AO358" s="77" t="inlineStr">
        <is>
          <t>UK</t>
        </is>
      </c>
      <c r="AP358" s="77" t="inlineStr">
        <is>
          <t>UK – Russell Group</t>
        </is>
      </c>
      <c r="AQ358" s="77" t="inlineStr">
        <is>
          <t>&gt;1 term</t>
        </is>
      </c>
      <c r="AR358" s="77" t="inlineStr">
        <is>
          <t>All/standard</t>
        </is>
      </c>
      <c r="AS358" s="77" t="inlineStr"/>
    </row>
    <row r="359">
      <c r="A359" s="77" t="inlineStr">
        <is>
          <t>RG22</t>
        </is>
      </c>
      <c r="B359" s="77" t="inlineStr">
        <is>
          <t>UCL</t>
        </is>
      </c>
      <c r="C359" s="77" t="inlineStr">
        <is>
          <t>Programme/course</t>
        </is>
      </c>
      <c r="D359" s="77" t="inlineStr">
        <is>
          <t>RG22-S11</t>
        </is>
      </c>
      <c r="E359" s="77" t="inlineStr"/>
      <c r="F359" s="77" t="inlineStr">
        <is>
          <t>No</t>
        </is>
      </c>
      <c r="G359" s="79" t="inlineStr">
        <is>
          <t>Urban Economic Development MSc - UK Practice Engagement (London Project)</t>
        </is>
      </c>
      <c r="H359" s="77" t="inlineStr">
        <is>
          <t>DPU MSc Urban Economic Development London Project</t>
        </is>
      </c>
      <c r="I359" s="77" t="inlineStr"/>
      <c r="J359" s="77" t="inlineStr">
        <is>
          <t>Student groups carry out applied research projects for London partner organisations; in 2025-26 six projects for The Fitzrovia Partnership on circular economy waste streams using material flow analysis, interviews, mapping and audits; 2024-25 partners GLA, TfL and OPDC; groups produced policy-facing reports with recommendations.</t>
        </is>
      </c>
      <c r="K359" s="77" t="inlineStr">
        <is>
          <t>Bartlett Development Planning Unit</t>
        </is>
      </c>
      <c r="L359" s="77" t="inlineStr">
        <is>
          <t>MSc Urban Economic Development</t>
        </is>
      </c>
      <c r="M359" s="77" t="inlineStr">
        <is>
          <t>Other (law, health, design, architecture…)</t>
        </is>
      </c>
      <c r="N359" s="77" t="inlineStr">
        <is>
          <t>Postgraduate taught</t>
        </is>
      </c>
      <c r="O359" s="77" t="inlineStr"/>
      <c r="P359" s="77" t="inlineStr"/>
      <c r="Q359" s="77" t="inlineStr">
        <is>
          <t>Compulsory within specified programmes</t>
        </is>
      </c>
      <c r="R359" s="77" t="inlineStr">
        <is>
          <t>Curricular</t>
        </is>
      </c>
      <c r="S359" s="77" t="inlineStr">
        <is>
          <t>Not captured</t>
        </is>
      </c>
      <c r="T359" s="77" t="inlineStr">
        <is>
          <t>Not stated</t>
        </is>
      </c>
      <c r="U359" s="77" t="inlineStr">
        <is>
          <t>Group applied research with partner organisations</t>
        </is>
      </c>
      <c r="V359" s="77" t="inlineStr">
        <is>
          <t>Yes</t>
        </is>
      </c>
      <c r="W359" s="77" t="inlineStr">
        <is>
          <t>Source 1: applied research projects, final policy-facing report.</t>
        </is>
      </c>
      <c r="X359" s="77" t="inlineStr">
        <is>
          <t>Yes</t>
        </is>
      </c>
      <c r="Y359" s="77" t="inlineStr">
        <is>
          <t>Source 1: 'student groups' investigated six projects.</t>
        </is>
      </c>
      <c r="Z359" s="77" t="inlineStr">
        <is>
          <t>Yes</t>
        </is>
      </c>
      <c r="AA359" s="77" t="inlineStr">
        <is>
          <t>Source 1: partner organisations pose research questions and engage practitioners; partners The Fitzrovia Partnership (2025-26); GLA, TfL, OPDC (2024-25).</t>
        </is>
      </c>
      <c r="AB359" s="77" t="inlineStr">
        <is>
          <t>Mixed</t>
        </is>
      </c>
      <c r="AC359" s="77" t="inlineStr">
        <is>
          <t>Partners set questions and receive reports.</t>
        </is>
      </c>
      <c r="AD359" s="77" t="inlineStr">
        <is>
          <t>2025-26 The Fitzrovia Partnership; 2024-25 GLA, TfL, OPDC</t>
        </is>
      </c>
      <c r="AE359" s="77" t="inlineStr">
        <is>
          <t>Policy-facing report/recommendations</t>
        </is>
      </c>
      <c r="AF359" s="77">
        <f>IF(OR(V359="No",X359="No",Z359="No"),"Outside strict definition",IF(AND(V359="Yes",X359="Yes",Z359="Yes"),"Meets all three","Potentially relevant; evidence incomplete"))</f>
        <v/>
      </c>
      <c r="AG359" s="77" t="inlineStr">
        <is>
          <t>Current delivery confirmed</t>
        </is>
      </c>
      <c r="AH359" s="77" t="inlineStr">
        <is>
          <t>2025/26</t>
        </is>
      </c>
      <c r="AI359" s="77" t="inlineStr">
        <is>
          <t>Yes</t>
        </is>
      </c>
      <c r="AJ359" s="77">
        <f>IF(AND(AI359="Yes",AF359="Meets all three",AG359="Current delivery confirmed"),"Yes","No")</f>
        <v/>
      </c>
      <c r="AK359" s="77" t="inlineStr"/>
      <c r="AL359" s="77" t="inlineStr">
        <is>
          <t>RG22-S11-R1</t>
        </is>
      </c>
      <c r="AM359" s="77" t="inlineStr">
        <is>
          <t>Duration, credit weight and compulsory status of the practice module not captured.</t>
        </is>
      </c>
      <c r="AN359" s="77" t="inlineStr"/>
      <c r="AO359" s="77" t="inlineStr">
        <is>
          <t>UK</t>
        </is>
      </c>
      <c r="AP359" s="77" t="inlineStr">
        <is>
          <t>UK – Russell Group</t>
        </is>
      </c>
      <c r="AQ359" s="77" t="inlineStr">
        <is>
          <t>Unclear</t>
        </is>
      </c>
      <c r="AR359" s="77" t="inlineStr">
        <is>
          <t>All/standard</t>
        </is>
      </c>
      <c r="AS359" s="77" t="inlineStr"/>
    </row>
    <row r="360">
      <c r="A360" s="77" t="inlineStr">
        <is>
          <t>RG22</t>
        </is>
      </c>
      <c r="B360" s="77" t="inlineStr">
        <is>
          <t>UCL</t>
        </is>
      </c>
      <c r="C360" s="77" t="inlineStr">
        <is>
          <t>Programme/course</t>
        </is>
      </c>
      <c r="D360" s="77" t="inlineStr">
        <is>
          <t>RG22-S12</t>
        </is>
      </c>
      <c r="E360" s="77" t="inlineStr"/>
      <c r="F360" s="77" t="inlineStr">
        <is>
          <t>No</t>
        </is>
      </c>
      <c r="G360" s="79" t="inlineStr">
        <is>
          <t>Urban Development Planning MSc - London Project</t>
        </is>
      </c>
      <c r="H360" s="77" t="inlineStr">
        <is>
          <t>DPU MSc UDP London Project with community groups</t>
        </is>
      </c>
      <c r="I360" s="77" t="inlineStr"/>
      <c r="J360" s="77" t="inlineStr">
        <is>
          <t>Annual October-December group project in the core practice module co-designed with Just Space (alliance of London community groups); latest documented 2023-2025 co-production of planning policy propositions linked to the Fairville project.</t>
        </is>
      </c>
      <c r="K360" s="77" t="inlineStr">
        <is>
          <t>Bartlett Development Planning Unit</t>
        </is>
      </c>
      <c r="L360" s="77" t="inlineStr">
        <is>
          <t>MSc Urban Development Planning</t>
        </is>
      </c>
      <c r="M360" s="77" t="inlineStr">
        <is>
          <t>Other (law, health, design, architecture…)</t>
        </is>
      </c>
      <c r="N360" s="77" t="inlineStr">
        <is>
          <t>Postgraduate taught</t>
        </is>
      </c>
      <c r="O360" s="77" t="inlineStr"/>
      <c r="P360" s="77" t="inlineStr"/>
      <c r="Q360" s="77" t="inlineStr">
        <is>
          <t>Compulsory within specified programmes</t>
        </is>
      </c>
      <c r="R360" s="77" t="inlineStr">
        <is>
          <t>Curricular</t>
        </is>
      </c>
      <c r="S360" s="77" t="inlineStr">
        <is>
          <t>Not captured (core practice module)</t>
        </is>
      </c>
      <c r="T360" s="77" t="inlineStr">
        <is>
          <t>October-December</t>
        </is>
      </c>
      <c r="U360" s="77" t="inlineStr">
        <is>
          <t>Group project with community partners</t>
        </is>
      </c>
      <c r="V360" s="77" t="inlineStr">
        <is>
          <t>Yes</t>
        </is>
      </c>
      <c r="W360" s="77" t="inlineStr">
        <is>
          <t>Source 1: co-produced planning policy propositions.</t>
        </is>
      </c>
      <c r="X360" s="77" t="inlineStr">
        <is>
          <t>Yes</t>
        </is>
      </c>
      <c r="Y360" s="77" t="inlineStr">
        <is>
          <t>Source 1: described as a group project (students).</t>
        </is>
      </c>
      <c r="Z360" s="77" t="inlineStr">
        <is>
          <t>Yes</t>
        </is>
      </c>
      <c r="AA360" s="77" t="inlineStr">
        <is>
          <t>Source 1: Just Space and Southwark Planning Network community groups co-design the project; partnership since 2014.</t>
        </is>
      </c>
      <c r="AB360" s="77" t="inlineStr">
        <is>
          <t>Charity/community</t>
        </is>
      </c>
      <c r="AC360" s="77" t="inlineStr">
        <is>
          <t>Community groups co-design topic and use outputs.</t>
        </is>
      </c>
      <c r="AD360" s="77" t="inlineStr">
        <is>
          <t>Just Space, Southwark Planning Network (earlier years)</t>
        </is>
      </c>
      <c r="AE360" s="77" t="inlineStr">
        <is>
          <t>Policy propositions/co-produced outputs</t>
        </is>
      </c>
      <c r="AF360" s="77">
        <f>IF(OR(V360="No",X360="No",Z360="No"),"Outside strict definition",IF(AND(V360="Yes",X360="Yes",Z360="Yes"),"Meets all three","Potentially relevant; evidence incomplete"))</f>
        <v/>
      </c>
      <c r="AG360" s="77" t="inlineStr">
        <is>
          <t>Current status unclear</t>
        </is>
      </c>
      <c r="AH360" s="77" t="inlineStr">
        <is>
          <t>2025</t>
        </is>
      </c>
      <c r="AI360" s="77" t="inlineStr">
        <is>
          <t>Yes</t>
        </is>
      </c>
      <c r="AJ360" s="77">
        <f>IF(AND(AI360="Yes",AF360="Meets all three",AG360="Current delivery confirmed"),"Yes","No")</f>
        <v/>
      </c>
      <c r="AK360" s="77" t="inlineStr"/>
      <c r="AL360" s="77" t="inlineStr">
        <is>
          <t>RG22-S12-R1</t>
        </is>
      </c>
      <c r="AM360" s="77" t="inlineStr">
        <is>
          <t>Latest project dated 2023-2025; no 2025/26 cohort confirmation. Team structure inferred from 'group project' wording.</t>
        </is>
      </c>
      <c r="AN360" s="77" t="inlineStr"/>
      <c r="AO360" s="77" t="inlineStr">
        <is>
          <t>UK</t>
        </is>
      </c>
      <c r="AP360" s="77" t="inlineStr">
        <is>
          <t>UK – Russell Group</t>
        </is>
      </c>
      <c r="AQ360" s="77" t="inlineStr">
        <is>
          <t>~1 term/semester</t>
        </is>
      </c>
      <c r="AR360" s="77" t="inlineStr">
        <is>
          <t>All/standard</t>
        </is>
      </c>
      <c r="AS360" s="77" t="inlineStr"/>
    </row>
    <row r="361">
      <c r="A361" s="77" t="inlineStr">
        <is>
          <t>RG22</t>
        </is>
      </c>
      <c r="B361" s="77" t="inlineStr">
        <is>
          <t>UCL</t>
        </is>
      </c>
      <c r="C361" s="77" t="inlineStr">
        <is>
          <t>Programme/course</t>
        </is>
      </c>
      <c r="D361" s="77" t="inlineStr">
        <is>
          <t>RG22-S13</t>
        </is>
      </c>
      <c r="E361" s="77" t="inlineStr"/>
      <c r="F361" s="77" t="inlineStr">
        <is>
          <t>No</t>
        </is>
      </c>
      <c r="G361" s="79" t="inlineStr">
        <is>
          <t>Community-engaged Planning Projects (BPLN0033)</t>
        </is>
      </c>
      <c r="H361" s="77" t="inlineStr">
        <is>
          <t>Community-engaged Planning Projects</t>
        </is>
      </c>
      <c r="I361" s="77" t="inlineStr">
        <is>
          <t>BPLN0033</t>
        </is>
      </c>
      <c r="J361" s="77" t="inlineStr">
        <is>
          <t>15-credit Term 2 module: students design and run a participatory research project on a selected theme with community voices through fieldwork and engagement events; 80% group activity assessment; UCL community-engaged-learning list notes assessment co-designed with community partners.</t>
        </is>
      </c>
      <c r="K361" s="77" t="inlineStr">
        <is>
          <t>Bartlett School of Planning</t>
        </is>
      </c>
      <c r="L361" s="77" t="inlineStr">
        <is>
          <t>Priority to Bartlett School of Planning students; strict cap</t>
        </is>
      </c>
      <c r="M361" s="77" t="inlineStr">
        <is>
          <t>Other (law, health, design, architecture…)</t>
        </is>
      </c>
      <c r="N361" s="77" t="inlineStr">
        <is>
          <t>Postgraduate taught</t>
        </is>
      </c>
      <c r="O361" s="77" t="inlineStr"/>
      <c r="P361" s="77" t="inlineStr"/>
      <c r="Q361" s="77" t="inlineStr">
        <is>
          <t>Optional/elective</t>
        </is>
      </c>
      <c r="R361" s="77" t="inlineStr">
        <is>
          <t>Curricular</t>
        </is>
      </c>
      <c r="S361" s="77" t="inlineStr">
        <is>
          <t>15 credits; 80% group activity, 20% coursework</t>
        </is>
      </c>
      <c r="T361" s="77" t="inlineStr">
        <is>
          <t>Term 2</t>
        </is>
      </c>
      <c r="U361" s="77" t="inlineStr">
        <is>
          <t>In person, 5+ days fieldwork</t>
        </is>
      </c>
      <c r="V361" s="77" t="inlineStr">
        <is>
          <t>Yes</t>
        </is>
      </c>
      <c r="W361" s="77" t="inlineStr">
        <is>
          <t>Source 1: participatory research project in the field.</t>
        </is>
      </c>
      <c r="X361" s="77" t="inlineStr">
        <is>
          <t>Yes</t>
        </is>
      </c>
      <c r="Y361" s="77" t="inlineStr">
        <is>
          <t>Source 1: 80% group activity assessment.</t>
        </is>
      </c>
      <c r="Z361" s="77" t="inlineStr">
        <is>
          <t>Unclear</t>
        </is>
      </c>
      <c r="AA361" s="77" t="inlineStr">
        <is>
          <t>Source 2 lists CEL elements (community-based research; assessment co-designed with community partners) but partners are unnamed and the page does not state their role in this module.</t>
        </is>
      </c>
      <c r="AB361" s="77" t="inlineStr">
        <is>
          <t>Charity/community</t>
        </is>
      </c>
      <c r="AC361" s="77" t="inlineStr">
        <is>
          <t>Unclear</t>
        </is>
      </c>
      <c r="AD361" s="77" t="inlineStr"/>
      <c r="AE361" s="77" t="inlineStr">
        <is>
          <t>Not stated</t>
        </is>
      </c>
      <c r="AF361" s="77">
        <f>IF(OR(V361="No",X361="No",Z361="No"),"Outside strict definition",IF(AND(V361="Yes",X361="Yes",Z361="Yes"),"Meets all three","Potentially relevant; evidence incomplete"))</f>
        <v/>
      </c>
      <c r="AG361" s="77" t="inlineStr">
        <is>
          <t>Current status unclear</t>
        </is>
      </c>
      <c r="AH361" s="77" t="inlineStr">
        <is>
          <t>undated</t>
        </is>
      </c>
      <c r="AI361" s="77" t="inlineStr">
        <is>
          <t>Yes</t>
        </is>
      </c>
      <c r="AJ361" s="77">
        <f>IF(AND(AI361="Yes",AF361="Meets all three",AG361="Current delivery confirmed"),"Yes","No")</f>
        <v/>
      </c>
      <c r="AK361" s="77" t="inlineStr">
        <is>
          <t>61 students in previous year (per catalogue)</t>
        </is>
      </c>
      <c r="AL361" s="77" t="inlineStr">
        <is>
          <t>RG22-S13-R1; RG22-S13-R2</t>
        </is>
      </c>
      <c r="AM361" s="77" t="inlineStr">
        <is>
          <t>Community partners unnamed; deliverable and current-year delivery unknown.</t>
        </is>
      </c>
      <c r="AN361" s="77" t="inlineStr"/>
      <c r="AO361" s="77" t="inlineStr">
        <is>
          <t>UK</t>
        </is>
      </c>
      <c r="AP361" s="77" t="inlineStr">
        <is>
          <t>UK – Russell Group</t>
        </is>
      </c>
      <c r="AQ361" s="77" t="inlineStr">
        <is>
          <t>~1 term/semester</t>
        </is>
      </c>
      <c r="AR361" s="77" t="inlineStr">
        <is>
          <t>Unclear</t>
        </is>
      </c>
      <c r="AS361" s="77" t="inlineStr"/>
    </row>
    <row r="362">
      <c r="A362" s="77" t="inlineStr">
        <is>
          <t>RG22</t>
        </is>
      </c>
      <c r="B362" s="77" t="inlineStr">
        <is>
          <t>UCL</t>
        </is>
      </c>
      <c r="C362" s="77" t="inlineStr">
        <is>
          <t>Programme/course</t>
        </is>
      </c>
      <c r="D362" s="77" t="inlineStr">
        <is>
          <t>RG22-S14</t>
        </is>
      </c>
      <c r="E362" s="77" t="inlineStr"/>
      <c r="F362" s="77" t="inlineStr">
        <is>
          <t>No</t>
        </is>
      </c>
      <c r="G362" s="79" t="inlineStr">
        <is>
          <t>The Collaborative Economy (BASC0070)</t>
        </is>
      </c>
      <c r="H362" s="77" t="inlineStr">
        <is>
          <t>The Collaborative Economy</t>
        </is>
      </c>
      <c r="I362" s="77" t="inlineStr">
        <is>
          <t>BASC0070</t>
        </is>
      </c>
      <c r="J362" s="77" t="inlineStr">
        <is>
          <t>Year 2 module on BA Creative Arts and Humanities in which peer teams work on a prompt, question or provocation set by an outside organisation, via a January briefing, March collaborative event and evaluation by students and organisations.</t>
        </is>
      </c>
      <c r="K362" s="77" t="inlineStr">
        <is>
          <t>UCL Arts and Sciences / Faculty of Arts &amp; Humanities</t>
        </is>
      </c>
      <c r="L362" s="77" t="inlineStr">
        <is>
          <t>BA Creative Arts and Humanities only</t>
        </is>
      </c>
      <c r="M362" s="77" t="inlineStr">
        <is>
          <t>Arts/humanities/social sciences</t>
        </is>
      </c>
      <c r="N362" s="77" t="inlineStr">
        <is>
          <t>Undergraduate</t>
        </is>
      </c>
      <c r="O362" s="77" t="inlineStr">
        <is>
          <t>Year 2 (Level 5)</t>
        </is>
      </c>
      <c r="P362" s="77" t="inlineStr"/>
      <c r="Q362" s="77" t="inlineStr">
        <is>
          <t>Compulsory within specified programmes</t>
        </is>
      </c>
      <c r="R362" s="77" t="inlineStr">
        <is>
          <t>Curricular</t>
        </is>
      </c>
      <c r="S362" s="77" t="inlineStr">
        <is>
          <t>Not captured</t>
        </is>
      </c>
      <c r="T362" s="77" t="inlineStr">
        <is>
          <t>January-March (2025 cycle)</t>
        </is>
      </c>
      <c r="U362" s="77" t="inlineStr">
        <is>
          <t>Team challenge with external organisations</t>
        </is>
      </c>
      <c r="V362" s="77" t="inlineStr">
        <is>
          <t>Unclear</t>
        </is>
      </c>
      <c r="W362" s="77" t="inlineStr">
        <is>
          <t>Source 1: team addresses an outside-set prompt and produces an output, but the output is not shown.</t>
        </is>
      </c>
      <c r="X362" s="77" t="inlineStr">
        <is>
          <t>Yes</t>
        </is>
      </c>
      <c r="Y362" s="77" t="inlineStr">
        <is>
          <t>Source 1: peer groups/teams.</t>
        </is>
      </c>
      <c r="Z362" s="77" t="inlineStr">
        <is>
          <t>Yes</t>
        </is>
      </c>
      <c r="AA362" s="77" t="inlineStr">
        <is>
          <t>Source 1: prompt set by an outside group; Source 2: organisations take part in the collaborative event and evaluation.</t>
        </is>
      </c>
      <c r="AB362" s="77" t="inlineStr">
        <is>
          <t>Unclear</t>
        </is>
      </c>
      <c r="AC362" s="77" t="inlineStr">
        <is>
          <t>Set prompt, attend event, evaluate.</t>
        </is>
      </c>
      <c r="AD362" s="77" t="inlineStr"/>
      <c r="AE362" s="77" t="inlineStr">
        <is>
          <t>Not stated</t>
        </is>
      </c>
      <c r="AF362" s="77">
        <f>IF(OR(V362="No",X362="No",Z362="No"),"Outside strict definition",IF(AND(V362="Yes",X362="Yes",Z362="Yes"),"Meets all three","Potentially relevant; evidence incomplete"))</f>
        <v/>
      </c>
      <c r="AG362" s="77" t="inlineStr">
        <is>
          <t>Current status unclear</t>
        </is>
      </c>
      <c r="AH362" s="77" t="inlineStr">
        <is>
          <t>2025</t>
        </is>
      </c>
      <c r="AI362" s="77" t="inlineStr">
        <is>
          <t>Yes</t>
        </is>
      </c>
      <c r="AJ362" s="77">
        <f>IF(AND(AI362="Yes",AF362="Meets all three",AG362="Current delivery confirmed"),"Yes","No")</f>
        <v/>
      </c>
      <c r="AK362" s="77" t="inlineStr"/>
      <c r="AL362" s="77" t="inlineStr">
        <is>
          <t>RG22-S14-R1; RG22-S14-R2</t>
        </is>
      </c>
      <c r="AM362" s="77" t="inlineStr">
        <is>
          <t>Output/assessment unknown; timeline from 2024 news about 2025 cycle; partner sector unknown.</t>
        </is>
      </c>
      <c r="AN362" s="77" t="inlineStr"/>
      <c r="AO362" s="77" t="inlineStr">
        <is>
          <t>UK</t>
        </is>
      </c>
      <c r="AP362" s="77" t="inlineStr">
        <is>
          <t>UK – Russell Group</t>
        </is>
      </c>
      <c r="AQ362" s="77" t="inlineStr">
        <is>
          <t>Unclear</t>
        </is>
      </c>
      <c r="AR362" s="77" t="inlineStr">
        <is>
          <t>All/standard</t>
        </is>
      </c>
      <c r="AS362" s="77" t="inlineStr"/>
    </row>
    <row r="363">
      <c r="A363" s="77" t="inlineStr">
        <is>
          <t>RG22</t>
        </is>
      </c>
      <c r="B363" s="77" t="inlineStr">
        <is>
          <t>UCL</t>
        </is>
      </c>
      <c r="C363" s="77" t="inlineStr">
        <is>
          <t>Programme/course</t>
        </is>
      </c>
      <c r="D363" s="77" t="inlineStr">
        <is>
          <t>RG22-S15</t>
        </is>
      </c>
      <c r="E363" s="77" t="inlineStr"/>
      <c r="F363" s="77" t="inlineStr">
        <is>
          <t>No</t>
        </is>
      </c>
      <c r="G363" s="79" t="inlineStr">
        <is>
          <t>Innovation and Group Design Project (MECH0049)</t>
        </is>
      </c>
      <c r="H363" s="77" t="inlineStr">
        <is>
          <t>Innovation and Group Design Project</t>
        </is>
      </c>
      <c r="I363" s="77" t="inlineStr">
        <is>
          <t>MECH0049</t>
        </is>
      </c>
      <c r="J363" s="77" t="inlineStr">
        <is>
          <t>30-credit group module for three MSc programmes: groups design a complex engineering product/system, build a working prototype and business plan; industry liaison is 'where possible' and some programme pages say groups solve an industrial problem or develop their own idea.</t>
        </is>
      </c>
      <c r="K363" s="77" t="inlineStr">
        <is>
          <t>UCL Mechanical Engineering</t>
        </is>
      </c>
      <c r="L363" s="77" t="inlineStr">
        <is>
          <t>MSc Engineering with Finance; Engineering with Innovation and Entrepreneurship; Manufacturing with Innovation and Enterprise</t>
        </is>
      </c>
      <c r="M363" s="77" t="inlineStr">
        <is>
          <t>Engineering/computing</t>
        </is>
      </c>
      <c r="N363" s="77" t="inlineStr">
        <is>
          <t>Postgraduate taught</t>
        </is>
      </c>
      <c r="O363" s="77" t="inlineStr"/>
      <c r="P363" s="77" t="inlineStr"/>
      <c r="Q363" s="77" t="inlineStr">
        <is>
          <t>Compulsory within specified programmes</t>
        </is>
      </c>
      <c r="R363" s="77" t="inlineStr">
        <is>
          <t>Curricular</t>
        </is>
      </c>
      <c r="S363" s="77" t="inlineStr">
        <is>
          <t>30 credits; 100% group activity</t>
        </is>
      </c>
      <c r="T363" s="77" t="inlineStr">
        <is>
          <t>Terms 1-2</t>
        </is>
      </c>
      <c r="U363" s="77" t="inlineStr">
        <is>
          <t>In person</t>
        </is>
      </c>
      <c r="V363" s="77" t="inlineStr">
        <is>
          <t>Yes</t>
        </is>
      </c>
      <c r="W363" s="77" t="inlineStr">
        <is>
          <t>Source 1: prototype, specification, manufacturing plan, business plan.</t>
        </is>
      </c>
      <c r="X363" s="77" t="inlineStr">
        <is>
          <t>Yes</t>
        </is>
      </c>
      <c r="Y363" s="77" t="inlineStr">
        <is>
          <t>Source 1: 100% group activity.</t>
        </is>
      </c>
      <c r="Z363" s="77" t="inlineStr">
        <is>
          <t>Unclear</t>
        </is>
      </c>
      <c r="AA363" s="77" t="inlineStr">
        <is>
          <t>Source 1: 'work with industry in liaison, where possible'; own-idea alternative.</t>
        </is>
      </c>
      <c r="AB363" s="77" t="inlineStr">
        <is>
          <t>Business/commercial</t>
        </is>
      </c>
      <c r="AC363" s="77" t="inlineStr">
        <is>
          <t>Optional industry liaison</t>
        </is>
      </c>
      <c r="AD363" s="77" t="inlineStr"/>
      <c r="AE363" s="77" t="inlineStr">
        <is>
          <t>Prototype and business plan</t>
        </is>
      </c>
      <c r="AF363" s="77">
        <f>IF(OR(V363="No",X363="No",Z363="No"),"Outside strict definition",IF(AND(V363="Yes",X363="Yes",Z363="Yes"),"Meets all three","Potentially relevant; evidence incomplete"))</f>
        <v/>
      </c>
      <c r="AG363" s="77" t="inlineStr">
        <is>
          <t>Current delivery confirmed</t>
        </is>
      </c>
      <c r="AH363" s="77" t="inlineStr">
        <is>
          <t>2026/27</t>
        </is>
      </c>
      <c r="AI363" s="77" t="inlineStr">
        <is>
          <t>Yes</t>
        </is>
      </c>
      <c r="AJ363" s="77">
        <f>IF(AND(AI363="Yes",AF363="Meets all three",AG363="Current delivery confirmed"),"Yes","No")</f>
        <v/>
      </c>
      <c r="AK363" s="77" t="inlineStr">
        <is>
          <t>About 80 students in previous year (catalogue)</t>
        </is>
      </c>
      <c r="AL363" s="77" t="inlineStr">
        <is>
          <t>RG22-S15-R1</t>
        </is>
      </c>
      <c r="AM363" s="77" t="inlineStr">
        <is>
          <t>Share of industry-set projects unknown.</t>
        </is>
      </c>
      <c r="AN363" s="77" t="inlineStr"/>
      <c r="AO363" s="77" t="inlineStr">
        <is>
          <t>UK</t>
        </is>
      </c>
      <c r="AP363" s="77" t="inlineStr">
        <is>
          <t>UK – Russell Group</t>
        </is>
      </c>
      <c r="AQ363" s="77" t="inlineStr">
        <is>
          <t>&gt;1 term</t>
        </is>
      </c>
      <c r="AR363" s="77" t="inlineStr">
        <is>
          <t>Some projects</t>
        </is>
      </c>
      <c r="AS363" s="77" t="inlineStr"/>
    </row>
    <row r="364">
      <c r="A364" s="77" t="inlineStr">
        <is>
          <t>RG22</t>
        </is>
      </c>
      <c r="B364" s="77" t="inlineStr">
        <is>
          <t>UCL</t>
        </is>
      </c>
      <c r="C364" s="77" t="inlineStr">
        <is>
          <t>Programme/course</t>
        </is>
      </c>
      <c r="D364" s="77" t="inlineStr">
        <is>
          <t>RG22-S16</t>
        </is>
      </c>
      <c r="E364" s="77" t="inlineStr"/>
      <c r="F364" s="77" t="inlineStr">
        <is>
          <t>No</t>
        </is>
      </c>
      <c r="G364" s="79" t="inlineStr">
        <is>
          <t>MBA Health consultancy project (Global Business School for Health)</t>
        </is>
      </c>
      <c r="H364" s="77" t="inlineStr">
        <is>
          <t>MBA Health final-term consultancy project</t>
        </is>
      </c>
      <c r="I364" s="77" t="inlineStr"/>
      <c r="J364" s="77" t="inlineStr">
        <is>
          <t>Final-term consultancy project with a real health-sector client, with academic supervisor and industry mentor; students work independently or in small teams.</t>
        </is>
      </c>
      <c r="K364" s="77" t="inlineStr">
        <is>
          <t>UCL Global Business School for Health</t>
        </is>
      </c>
      <c r="L364" s="77" t="inlineStr">
        <is>
          <t>MBA Health (Executive MBA Health has similar Term 3 project)</t>
        </is>
      </c>
      <c r="M364" s="77" t="inlineStr">
        <is>
          <t>Business/management</t>
        </is>
      </c>
      <c r="N364" s="77" t="inlineStr">
        <is>
          <t>Postgraduate taught</t>
        </is>
      </c>
      <c r="O364" s="77" t="inlineStr"/>
      <c r="P364" s="77" t="inlineStr"/>
      <c r="Q364" s="77" t="inlineStr">
        <is>
          <t>Compulsory within specified programmes</t>
        </is>
      </c>
      <c r="R364" s="77" t="inlineStr">
        <is>
          <t>Curricular</t>
        </is>
      </c>
      <c r="S364" s="77" t="inlineStr">
        <is>
          <t>Not captured</t>
        </is>
      </c>
      <c r="T364" s="77" t="inlineStr">
        <is>
          <t>Final term</t>
        </is>
      </c>
      <c r="U364" s="77" t="inlineStr">
        <is>
          <t>Consultancy project</t>
        </is>
      </c>
      <c r="V364" s="77" t="inlineStr">
        <is>
          <t>Yes</t>
        </is>
      </c>
      <c r="W364" s="77" t="inlineStr">
        <is>
          <t>Source 1</t>
        </is>
      </c>
      <c r="X364" s="77" t="inlineStr">
        <is>
          <t>Unclear</t>
        </is>
      </c>
      <c r="Y364" s="77" t="inlineStr">
        <is>
          <t>Source 1: students work independently or in small teams; routes not separable.</t>
        </is>
      </c>
      <c r="Z364" s="77" t="inlineStr">
        <is>
          <t>Yes</t>
        </is>
      </c>
      <c r="AA364" s="77" t="inlineStr">
        <is>
          <t>Source 1: real client in the health sector; industry mentor.</t>
        </is>
      </c>
      <c r="AB364" s="77" t="inlineStr">
        <is>
          <t>Unclear</t>
        </is>
      </c>
      <c r="AC364" s="77" t="inlineStr">
        <is>
          <t>Client plus industry mentor</t>
        </is>
      </c>
      <c r="AD364" s="77" t="inlineStr"/>
      <c r="AE364" s="77" t="inlineStr">
        <is>
          <t>Consultancy solutions</t>
        </is>
      </c>
      <c r="AF364" s="77">
        <f>IF(OR(V364="No",X364="No",Z364="No"),"Outside strict definition",IF(AND(V364="Yes",X364="Yes",Z364="Yes"),"Meets all three","Potentially relevant; evidence incomplete"))</f>
        <v/>
      </c>
      <c r="AG364" s="77" t="inlineStr">
        <is>
          <t>Current status unclear</t>
        </is>
      </c>
      <c r="AH364" s="77" t="inlineStr">
        <is>
          <t>undated</t>
        </is>
      </c>
      <c r="AI364" s="77" t="inlineStr">
        <is>
          <t>Yes</t>
        </is>
      </c>
      <c r="AJ364" s="77">
        <f>IF(AND(AI364="Yes",AF364="Meets all three",AG364="Current delivery confirmed"),"Yes","No")</f>
        <v/>
      </c>
      <c r="AK364" s="77" t="inlineStr"/>
      <c r="AL364" s="77" t="inlineStr">
        <is>
          <t>RG22-S16-R1</t>
        </is>
      </c>
      <c r="AM364" s="77" t="inlineStr">
        <is>
          <t>Team vs individual split unknown.</t>
        </is>
      </c>
      <c r="AN364" s="77" t="inlineStr"/>
      <c r="AO364" s="77" t="inlineStr">
        <is>
          <t>UK</t>
        </is>
      </c>
      <c r="AP364" s="77" t="inlineStr">
        <is>
          <t>UK – Russell Group</t>
        </is>
      </c>
      <c r="AQ364" s="77" t="inlineStr">
        <is>
          <t>~1 term/semester</t>
        </is>
      </c>
      <c r="AR364" s="77" t="inlineStr">
        <is>
          <t>All/standard</t>
        </is>
      </c>
      <c r="AS364" s="77" t="inlineStr"/>
    </row>
    <row r="365">
      <c r="A365" s="77" t="inlineStr">
        <is>
          <t>RG22</t>
        </is>
      </c>
      <c r="B365" s="77" t="inlineStr">
        <is>
          <t>UCL</t>
        </is>
      </c>
      <c r="C365" s="77" t="inlineStr">
        <is>
          <t>University-wide</t>
        </is>
      </c>
      <c r="D365" s="77" t="inlineStr">
        <is>
          <t>RG22-S17</t>
        </is>
      </c>
      <c r="E365" s="77" t="inlineStr"/>
      <c r="F365" s="77" t="inlineStr">
        <is>
          <t>No</t>
        </is>
      </c>
      <c r="G365" s="79" t="inlineStr">
        <is>
          <t>UCL Researcher Consultancy Challenge</t>
        </is>
      </c>
      <c r="H365" s="77" t="inlineStr">
        <is>
          <t>Researcher Consultancy Challenge (UCL Careers)</t>
        </is>
      </c>
      <c r="I365" s="77" t="inlineStr"/>
      <c r="J365" s="77" t="inlineStr">
        <is>
          <t>Week-long programme for early-career researchers: a consultancy-skills training day followed by groups of researchers working on a real industry partner's problem, ending with presentations and feedback; usually July.</t>
        </is>
      </c>
      <c r="K365" s="77" t="inlineStr">
        <is>
          <t>UCL Careers (researcher careers)</t>
        </is>
      </c>
      <c r="L365" s="77" t="inlineStr">
        <is>
          <t>Early-career researchers (PhD students/postdocs)</t>
        </is>
      </c>
      <c r="M365" s="77" t="inlineStr">
        <is>
          <t>Central provision</t>
        </is>
      </c>
      <c r="N365" s="77" t="inlineStr">
        <is>
          <t>Postgraduate research</t>
        </is>
      </c>
      <c r="O365" s="77" t="inlineStr"/>
      <c r="P365" s="77" t="inlineStr">
        <is>
          <t>Early-career researchers only; application via newsletter.</t>
        </is>
      </c>
      <c r="Q365" s="77" t="inlineStr">
        <is>
          <t>Optional/elective</t>
        </is>
      </c>
      <c r="R365" s="77" t="inlineStr">
        <is>
          <t>Extracurricular</t>
        </is>
      </c>
      <c r="S365" s="77" t="inlineStr">
        <is>
          <t>None evidenced</t>
        </is>
      </c>
      <c r="T365" s="77" t="inlineStr">
        <is>
          <t>One week plus training day</t>
        </is>
      </c>
      <c r="U365" s="77" t="inlineStr">
        <is>
          <t>Team consultancy challenge</t>
        </is>
      </c>
      <c r="V365" s="77" t="inlineStr">
        <is>
          <t>Yes</t>
        </is>
      </c>
      <c r="W365" s="77" t="inlineStr">
        <is>
          <t>Source 1: team works on industry partner's problem and presents.</t>
        </is>
      </c>
      <c r="X365" s="77" t="inlineStr">
        <is>
          <t>Yes</t>
        </is>
      </c>
      <c r="Y365" s="77" t="inlineStr">
        <is>
          <t>Source 1: groups of researchers work together.</t>
        </is>
      </c>
      <c r="Z365" s="77" t="inlineStr">
        <is>
          <t>Yes</t>
        </is>
      </c>
      <c r="AA365" s="77" t="inlineStr">
        <is>
          <t>Source 1: industry partner's problem; presentations and feedback.</t>
        </is>
      </c>
      <c r="AB365" s="77" t="inlineStr">
        <is>
          <t>Business/commercial</t>
        </is>
      </c>
      <c r="AC365" s="77" t="inlineStr">
        <is>
          <t>Industry partner sets problem, gives feedback.</t>
        </is>
      </c>
      <c r="AD365" s="77" t="inlineStr"/>
      <c r="AE365" s="77" t="inlineStr">
        <is>
          <t>Presentation to partner</t>
        </is>
      </c>
      <c r="AF365" s="77">
        <f>IF(OR(V365="No",X365="No",Z365="No"),"Outside strict definition",IF(AND(V365="Yes",X365="Yes",Z365="Yes"),"Meets all three","Potentially relevant; evidence incomplete"))</f>
        <v/>
      </c>
      <c r="AG365" s="77" t="inlineStr">
        <is>
          <t>Current status unclear</t>
        </is>
      </c>
      <c r="AH365" s="77" t="inlineStr">
        <is>
          <t>2026</t>
        </is>
      </c>
      <c r="AI365" s="77" t="inlineStr">
        <is>
          <t>Yes</t>
        </is>
      </c>
      <c r="AJ365" s="77">
        <f>IF(AND(AI365="Yes",AF365="Meets all three",AG365="Current delivery confirmed"),"Yes","No")</f>
        <v/>
      </c>
      <c r="AK365" s="77" t="inlineStr"/>
      <c r="AL365" s="77" t="inlineStr">
        <is>
          <t>RG22-S17-R1</t>
        </is>
      </c>
      <c r="AM365" s="77" t="inlineStr">
        <is>
          <t>2026 training day described as 'likely' 3 July 2026; no confirmation it ran; partner names not found.</t>
        </is>
      </c>
      <c r="AN365" s="77" t="inlineStr"/>
      <c r="AO365" s="77" t="inlineStr">
        <is>
          <t>UK</t>
        </is>
      </c>
      <c r="AP365" s="77" t="inlineStr">
        <is>
          <t>UK – Russell Group</t>
        </is>
      </c>
      <c r="AQ365" s="77" t="inlineStr">
        <is>
          <t>1-4 weeks</t>
        </is>
      </c>
      <c r="AR365" s="77" t="inlineStr">
        <is>
          <t>All/standard</t>
        </is>
      </c>
      <c r="AS365" s="77" t="inlineStr"/>
    </row>
    <row r="366">
      <c r="A366" s="77" t="inlineStr">
        <is>
          <t>RG22</t>
        </is>
      </c>
      <c r="B366" s="77" t="inlineStr">
        <is>
          <t>UCL</t>
        </is>
      </c>
      <c r="C366" s="77" t="inlineStr">
        <is>
          <t>University-wide</t>
        </is>
      </c>
      <c r="D366" s="77" t="inlineStr">
        <is>
          <t>RG22-S18</t>
        </is>
      </c>
      <c r="E366" s="77" t="inlineStr"/>
      <c r="F366" s="77" t="inlineStr">
        <is>
          <t>No</t>
        </is>
      </c>
      <c r="G366" s="79" t="inlineStr">
        <is>
          <t>Grand Challenges x ChangeMakers</t>
        </is>
      </c>
      <c r="H366" s="77" t="inlineStr">
        <is>
          <t>UCL Grand Challenges x ChangeMakers student-staff projects</t>
        </is>
      </c>
      <c r="I366" s="77" t="inlineStr"/>
      <c r="J366" s="77" t="inlineStr">
        <is>
          <t>Funded (up to GBP 1,560) student-staff partnership projects of about 12 weeks addressing one of four Grand Challenges themes (Mental Health &amp; Wellbeing, Climate Crisis, Data-Empowered Societies, Inequalities); teams must include at least two students and one staff member. In 2025-26, 15 funded projects involved 35 student partners.</t>
        </is>
      </c>
      <c r="K366" s="77" t="inlineStr">
        <is>
          <t>UCL Grand Challenges / ChangeMakers</t>
        </is>
      </c>
      <c r="L366" s="77" t="inlineStr">
        <is>
          <t>Any UCL students and staff</t>
        </is>
      </c>
      <c r="M366" s="77" t="inlineStr">
        <is>
          <t>Central provision</t>
        </is>
      </c>
      <c r="N366" s="77" t="inlineStr">
        <is>
          <t>Mixed</t>
        </is>
      </c>
      <c r="O366" s="77" t="inlineStr"/>
      <c r="P366" s="77" t="inlineStr">
        <is>
          <t>Joint student-staff application; competitive funding.</t>
        </is>
      </c>
      <c r="Q366" s="77" t="inlineStr">
        <is>
          <t>Selective/competitive</t>
        </is>
      </c>
      <c r="R366" s="77" t="inlineStr">
        <is>
          <t>Extracurricular</t>
        </is>
      </c>
      <c r="S366" s="77" t="inlineStr">
        <is>
          <t>None</t>
        </is>
      </c>
      <c r="T366" s="77" t="inlineStr">
        <is>
          <t>~12 weeks across the year</t>
        </is>
      </c>
      <c r="U366" s="77" t="inlineStr">
        <is>
          <t>Funded student-staff project teams</t>
        </is>
      </c>
      <c r="V366" s="77" t="inlineStr">
        <is>
          <t>Yes</t>
        </is>
      </c>
      <c r="W366" s="77" t="inlineStr">
        <is>
          <t>Sources 1-2: ~12-week funded projects under Grand Challenge themes.</t>
        </is>
      </c>
      <c r="X366" s="77" t="inlineStr">
        <is>
          <t>Yes</t>
        </is>
      </c>
      <c r="Y366" s="77" t="inlineStr">
        <is>
          <t>Source 1: teams of at least two students plus staff.</t>
        </is>
      </c>
      <c r="Z366" s="77" t="inlineStr">
        <is>
          <t>Unclear</t>
        </is>
      </c>
      <c r="AA366" s="77" t="inlineStr">
        <is>
          <t>Partners are student-staff; no requirement for an external organisation. Only incidental external engagement (e.g. a site visit to OXCUU in one past project).</t>
        </is>
      </c>
      <c r="AB366" s="77" t="inlineStr">
        <is>
          <t>Other</t>
        </is>
      </c>
      <c r="AC366" s="77" t="inlineStr">
        <is>
          <t>Internal student-staff partnership; external involvement optional/incidental.</t>
        </is>
      </c>
      <c r="AD366" s="77" t="inlineStr"/>
      <c r="AE366" s="77" t="inlineStr">
        <is>
          <t>Project-specific</t>
        </is>
      </c>
      <c r="AF366" s="77">
        <f>IF(OR(V366="No",X366="No",Z366="No"),"Outside strict definition",IF(AND(V366="Yes",X366="Yes",Z366="Yes"),"Meets all three","Potentially relevant; evidence incomplete"))</f>
        <v/>
      </c>
      <c r="AG366" s="77" t="inlineStr">
        <is>
          <t>Current delivery confirmed</t>
        </is>
      </c>
      <c r="AH366" s="77" t="inlineStr">
        <is>
          <t>2025/26</t>
        </is>
      </c>
      <c r="AI366" s="77" t="inlineStr">
        <is>
          <t>Yes</t>
        </is>
      </c>
      <c r="AJ366" s="77">
        <f>IF(AND(AI366="Yes",AF366="Meets all three",AG366="Current delivery confirmed"),"Yes","No")</f>
        <v/>
      </c>
      <c r="AK366" s="77" t="inlineStr">
        <is>
          <t>15 funded projects, 35 student partners (2025-26)</t>
        </is>
      </c>
      <c r="AL366" s="77" t="inlineStr">
        <is>
          <t>RG22-S18-R1; RG22-S18-R2</t>
        </is>
      </c>
      <c r="AM366" s="77" t="inlineStr">
        <is>
          <t>Legacy row cited a 'September 2026 application call'; the September 2026 UCL page found says the next programme 'launches soon' (no open call or deadline). The 2025-26 call closed 23 Jan 2026. C is not shown: no external-organisation requirement.</t>
        </is>
      </c>
      <c r="AN366" s="77" t="inlineStr">
        <is>
          <t>Grand Challenges × ChangeMakers</t>
        </is>
      </c>
      <c r="AO366" s="77" t="inlineStr">
        <is>
          <t>UK</t>
        </is>
      </c>
      <c r="AP366" s="77" t="inlineStr">
        <is>
          <t>UK – Russell Group</t>
        </is>
      </c>
      <c r="AQ366" s="77" t="inlineStr">
        <is>
          <t>~1 term/semester</t>
        </is>
      </c>
      <c r="AR366" s="77" t="inlineStr">
        <is>
          <t>Some projects</t>
        </is>
      </c>
      <c r="AS366" s="77" t="inlineStr"/>
    </row>
    <row r="367">
      <c r="A367" s="77" t="inlineStr">
        <is>
          <t>RG23</t>
        </is>
      </c>
      <c r="B367" s="77" t="inlineStr">
        <is>
          <t>Warwick</t>
        </is>
      </c>
      <c r="C367" s="77" t="inlineStr">
        <is>
          <t>University-wide</t>
        </is>
      </c>
      <c r="D367" s="77" t="inlineStr">
        <is>
          <t>RG23-S01</t>
        </is>
      </c>
      <c r="E367" s="77" t="inlineStr"/>
      <c r="F367" s="77" t="inlineStr">
        <is>
          <t>No</t>
        </is>
      </c>
      <c r="G367" s="79" t="inlineStr">
        <is>
          <t>TeamWork International Experience Programme</t>
        </is>
      </c>
      <c r="H367" s="77" t="inlineStr">
        <is>
          <t>TeamWork International Experience Programme</t>
        </is>
      </c>
      <c r="I367" s="77" t="inlineStr"/>
      <c r="J367" s="77" t="inlineStr">
        <is>
          <t>Warwick Careers-run programme in which multidisciplinary teams of up to six students (Warwick students together with students from other universities, mixed by year and degree) spend four weeks part-time online working on a project provided by an external organisation. The organisation gives a pre-project briefing, holds regular check-ins and receives a final project presentation from the team.</t>
        </is>
      </c>
      <c r="K367" s="77" t="inlineStr">
        <is>
          <t>Warwick Careers (Student Opportunity) - employer-facing international programme</t>
        </is>
      </c>
      <c r="L367" s="77" t="inlineStr">
        <is>
          <t>All Warwick students (application and induction required)</t>
        </is>
      </c>
      <c r="M367" s="77" t="inlineStr">
        <is>
          <t>Central provision</t>
        </is>
      </c>
      <c r="N367" s="77" t="inlineStr">
        <is>
          <t>Mixed</t>
        </is>
      </c>
      <c r="O367" s="77" t="inlineStr">
        <is>
          <t>Any (teams mixed by year and degree)</t>
        </is>
      </c>
      <c r="P367" s="77" t="inlineStr">
        <is>
          <t>Students must apply for a place and complete a detailed induction programme; a bursary for students from under-represented groups was offered in the 2024 round (may have changed).</t>
        </is>
      </c>
      <c r="Q367" s="77" t="inlineStr">
        <is>
          <t>Selective/competitive</t>
        </is>
      </c>
      <c r="R367" s="77" t="inlineStr">
        <is>
          <t>Extracurricular</t>
        </is>
      </c>
      <c r="S367" s="77" t="inlineStr">
        <is>
          <t>No credit evidenced (careers programme).</t>
        </is>
      </c>
      <c r="T367" s="77" t="inlineStr">
        <is>
          <t>4 weeks, part-time (~10 hours/week for students; ~2 hours/week from the organisation)</t>
        </is>
      </c>
      <c r="U367" s="77" t="inlineStr">
        <is>
          <t>Online, multi-university teams</t>
        </is>
      </c>
      <c r="V367" s="77" t="inlineStr">
        <is>
          <t>Yes</t>
        </is>
      </c>
      <c r="W367" s="77" t="inlineStr">
        <is>
          <t>Teams work on a project the organisation describes (project detail supplied by the organisation) and finish with a project presentation to the organisation [1][2].</t>
        </is>
      </c>
      <c r="X367" s="77" t="inlineStr">
        <is>
          <t>Yes</t>
        </is>
      </c>
      <c r="Y367" s="77" t="inlineStr">
        <is>
          <t>Teams of up to 6 students assigned by the programme, multidisciplinary and mixed by year and degree [2].</t>
        </is>
      </c>
      <c r="Z367" s="77" t="inlineStr">
        <is>
          <t>Yes</t>
        </is>
      </c>
      <c r="AA367" s="77" t="inlineStr">
        <is>
          <t>The external organisation supplies the project, gives a pre-project briefing, holds regular check-ins and attends the final project presentation meeting [2]; employer feedback from the 2024 and 2025 rounds published [3].</t>
        </is>
      </c>
      <c r="AB367" s="77" t="inlineStr">
        <is>
          <t>Mixed</t>
        </is>
      </c>
      <c r="AC367" s="77" t="inlineStr">
        <is>
          <t>Supplies project brief; briefs, checks in with and receives final presentation from student team</t>
        </is>
      </c>
      <c r="AD367" s="77" t="inlineStr"/>
      <c r="AE367" s="77" t="inlineStr">
        <is>
          <t>Final project presentation to the organisation</t>
        </is>
      </c>
      <c r="AF367" s="77">
        <f>IF(OR(V367="No",X367="No",Z367="No"),"Outside strict definition",IF(AND(V367="Yes",X367="Yes",Z367="Yes"),"Meets all three","Potentially relevant; evidence incomplete"))</f>
        <v/>
      </c>
      <c r="AG367" s="77" t="inlineStr">
        <is>
          <t>Current delivery confirmed</t>
        </is>
      </c>
      <c r="AH367" s="77" t="inlineStr">
        <is>
          <t>2026/27 (next programme 22 Feb - 19 Mar 2027; 2024 and 2025 rounds delivered)</t>
        </is>
      </c>
      <c r="AI367" s="77" t="inlineStr">
        <is>
          <t>Yes</t>
        </is>
      </c>
      <c r="AJ367" s="77">
        <f>IF(AND(AI367="Yes",AF367="Meets all three",AG367="Current delivery confirmed"),"Yes","No")</f>
        <v/>
      </c>
      <c r="AK367" s="77" t="inlineStr"/>
      <c r="AL367" s="77" t="inlineStr">
        <is>
          <t>RG23-S01-R1; RG23-S01-R2; RG23-S01-R3</t>
        </is>
      </c>
      <c r="AM367" s="77" t="inlineStr">
        <is>
          <t>Partner-type evidence is a list of priority sectors (sustainability, global health, charity, finance, technology, arts, media, engineering), so 'Mixed' is inferred from sector priorities rather than named partners. Whether a 2026 round ran is not evidenced. Number of Warwick participants not published in results seen.</t>
        </is>
      </c>
      <c r="AN367" s="77" t="inlineStr"/>
      <c r="AO367" s="77" t="inlineStr">
        <is>
          <t>UK</t>
        </is>
      </c>
      <c r="AP367" s="77" t="inlineStr">
        <is>
          <t>UK – Russell Group</t>
        </is>
      </c>
      <c r="AQ367" s="77" t="inlineStr">
        <is>
          <t>1–4 weeks</t>
        </is>
      </c>
      <c r="AR367" s="77" t="inlineStr">
        <is>
          <t>All/standard</t>
        </is>
      </c>
      <c r="AS367" s="77" t="inlineStr"/>
    </row>
    <row r="368">
      <c r="A368" s="77" t="inlineStr">
        <is>
          <t>RG23</t>
        </is>
      </c>
      <c r="B368" s="77" t="inlineStr">
        <is>
          <t>Warwick</t>
        </is>
      </c>
      <c r="C368" s="77" t="inlineStr">
        <is>
          <t>Programme/course</t>
        </is>
      </c>
      <c r="D368" s="77" t="inlineStr">
        <is>
          <t>RG23-S02</t>
        </is>
      </c>
      <c r="E368" s="77" t="inlineStr"/>
      <c r="F368" s="77" t="inlineStr">
        <is>
          <t>No</t>
        </is>
      </c>
      <c r="G368" s="79" t="inlineStr">
        <is>
          <t>Strategic Consulting Project (group SCP) - MBA</t>
        </is>
      </c>
      <c r="H368" s="77" t="inlineStr">
        <is>
          <t>Strategic Consulting Project (group route)</t>
        </is>
      </c>
      <c r="I368" s="77" t="inlineStr"/>
      <c r="J368" s="77" t="inlineStr">
        <is>
          <t>WBS MBA capstone route in which a self-formed group of three MBA students undertakes a 10-12 week consultancy project for a client organisation, working to a client-completed project brief and Project Agreement that defines deliverables (e.g. presentation or management report). The client interviews the group, assigns a mentor/point of contact and gives access to data. WBS advertises projects and manages recruitment. Also described for the Global Online MBA (group of three addressing topics posed by the Client).</t>
        </is>
      </c>
      <c r="K368" s="77" t="inlineStr">
        <is>
          <t>Warwick Business School (CareersPlus / Employer Relations project team)</t>
        </is>
      </c>
      <c r="L368" s="77" t="inlineStr">
        <is>
          <t>MBA programmes (Full-time MBA per 2026 FAQ; Global Online MBA structure, January 2027 intake)</t>
        </is>
      </c>
      <c r="M368" s="77" t="inlineStr">
        <is>
          <t>Business/management</t>
        </is>
      </c>
      <c r="N368" s="77" t="inlineStr">
        <is>
          <t>Postgraduate taught</t>
        </is>
      </c>
      <c r="O368" s="77" t="inlineStr">
        <is>
          <t>Final stage of MBA (summer)</t>
        </is>
      </c>
      <c r="P368" s="77" t="inlineStr">
        <is>
          <t>MBA students only for group SCPs (2026 FAQ: Masters students can only be offered Individual Projects); client selects group by interview.</t>
        </is>
      </c>
      <c r="Q368" s="77" t="inlineStr">
        <is>
          <t>Optional/elective</t>
        </is>
      </c>
      <c r="R368" s="77" t="inlineStr">
        <is>
          <t>Curricular</t>
        </is>
      </c>
      <c r="S368" s="77" t="inlineStr">
        <is>
          <t>MBA final project (alternative to an Individual Project/dissertation); exact credit not captured.</t>
        </is>
      </c>
      <c r="T368" s="77" t="inlineStr">
        <is>
          <t>Typically 10-12 weeks, June to September</t>
        </is>
      </c>
      <c r="U368" s="77" t="inlineStr">
        <is>
          <t>In person / on site or virtual with client</t>
        </is>
      </c>
      <c r="V368" s="77" t="inlineStr">
        <is>
          <t>Yes</t>
        </is>
      </c>
      <c r="W368" s="77" t="inlineStr">
        <is>
          <t>Client completes a project brief and Project Agreement defining deliverables such as a presentation or management report [1]; Global Online MBA SCP addresses 'at least one topic posed by the Client' [2].</t>
        </is>
      </c>
      <c r="X368" s="77" t="inlineStr">
        <is>
          <t>Yes</t>
        </is>
      </c>
      <c r="Y368" s="77" t="inlineStr">
        <is>
          <t>'A group SCP consists of 3 students who will present themselves as a self-formed group' [1]; Global Online MBA: 'as a group of three' [2].</t>
        </is>
      </c>
      <c r="Z368" s="77" t="inlineStr">
        <is>
          <t>Yes</t>
        </is>
      </c>
      <c r="AA368" s="77" t="inlineStr">
        <is>
          <t>Client organisation submits the brief, interviews the group, must allocate an employee as mentor/point of contact, provides data access and reimburses expenses; max two group projects per organisation [1].</t>
        </is>
      </c>
      <c r="AB368" s="77" t="inlineStr">
        <is>
          <t>Unclear</t>
        </is>
      </c>
      <c r="AC368" s="77" t="inlineStr">
        <is>
          <t>Client: sets brief, selects group, mentors, receives deliverables</t>
        </is>
      </c>
      <c r="AD368" s="77" t="inlineStr"/>
      <c r="AE368" s="77" t="inlineStr">
        <is>
          <t>Presentation and/or management report agreed in Project Agreement</t>
        </is>
      </c>
      <c r="AF368" s="77">
        <f>IF(OR(V368="No",X368="No",Z368="No"),"Outside strict definition",IF(AND(V368="Yes",X368="Yes",Z368="Yes"),"Meets all three","Potentially relevant; evidence incomplete"))</f>
        <v/>
      </c>
      <c r="AG368" s="77" t="inlineStr">
        <is>
          <t>Current delivery confirmed</t>
        </is>
      </c>
      <c r="AH368" s="77" t="inlineStr">
        <is>
          <t>2026 (2026 project FAQ); Global Online MBA January 2027 structure</t>
        </is>
      </c>
      <c r="AI368" s="77" t="inlineStr">
        <is>
          <t>Yes</t>
        </is>
      </c>
      <c r="AJ368" s="77">
        <f>IF(AND(AI368="Yes",AF368="Meets all three",AG368="Current delivery confirmed"),"Yes","No")</f>
        <v/>
      </c>
      <c r="AK368" s="77" t="inlineStr"/>
      <c r="AL368" s="77" t="inlineStr">
        <is>
          <t>RG23-S02-R1; RG23-S02-R2</t>
        </is>
      </c>
      <c r="AM368" s="77" t="inlineStr">
        <is>
          <t>One search summary (unattributed between WBS FAQ versions) said SCPs were also offered to three MSc programmes (Business Analytics, ISDI, Marketing &amp; Strategy); the 2026 FAQ says Masters students only get Individual Projects - treated as historical. Client sector mix for SCPs not evidenced. Credit weighting not confirmed.</t>
        </is>
      </c>
      <c r="AN368" s="77" t="inlineStr"/>
      <c r="AO368" s="77" t="inlineStr">
        <is>
          <t>UK</t>
        </is>
      </c>
      <c r="AP368" s="77" t="inlineStr">
        <is>
          <t>UK – Russell Group</t>
        </is>
      </c>
      <c r="AQ368" s="77" t="inlineStr">
        <is>
          <t>~1 term/semester</t>
        </is>
      </c>
      <c r="AR368" s="77" t="inlineStr">
        <is>
          <t>All/standard</t>
        </is>
      </c>
      <c r="AS368" s="77" t="inlineStr"/>
    </row>
    <row r="369">
      <c r="A369" s="77" t="inlineStr">
        <is>
          <t>RG23</t>
        </is>
      </c>
      <c r="B369" s="77" t="inlineStr">
        <is>
          <t>Warwick</t>
        </is>
      </c>
      <c r="C369" s="77" t="inlineStr">
        <is>
          <t>Programme/course</t>
        </is>
      </c>
      <c r="D369" s="77" t="inlineStr">
        <is>
          <t>RG23-S03</t>
        </is>
      </c>
      <c r="E369" s="77" t="inlineStr"/>
      <c r="F369" s="77" t="inlineStr">
        <is>
          <t>No</t>
        </is>
      </c>
      <c r="G369" s="79" t="inlineStr">
        <is>
          <t>LeadershipPlus group consultancy project (Full-time MBA)</t>
        </is>
      </c>
      <c r="H369" s="77" t="inlineStr">
        <is>
          <t>LeadershipPlus group consultancy project</t>
        </is>
      </c>
      <c r="I369" s="77" t="inlineStr"/>
      <c r="J369" s="77" t="inlineStr">
        <is>
          <t>Group consultancy project within the Full-time MBA LeadershipPlus strand: groups of six to eight Full-time MBA students investigate a current business issue for a corporate, SME or not-for-profit client over about 9-10 weeks (January-March) and present findings and practical recommendations to the client and staff.</t>
        </is>
      </c>
      <c r="K369" s="77" t="inlineStr">
        <is>
          <t>Warwick Business School</t>
        </is>
      </c>
      <c r="L369" s="77" t="inlineStr">
        <is>
          <t>Full-time MBA</t>
        </is>
      </c>
      <c r="M369" s="77" t="inlineStr">
        <is>
          <t>Business/management</t>
        </is>
      </c>
      <c r="N369" s="77" t="inlineStr">
        <is>
          <t>Postgraduate taught</t>
        </is>
      </c>
      <c r="O369" s="77" t="inlineStr">
        <is>
          <t>Full-time MBA (spring term)</t>
        </is>
      </c>
      <c r="P369" s="77" t="inlineStr">
        <is>
          <t>Full-time MBA students</t>
        </is>
      </c>
      <c r="Q369" s="77" t="inlineStr">
        <is>
          <t>Unclear</t>
        </is>
      </c>
      <c r="R369" s="77" t="inlineStr">
        <is>
          <t>Curricular</t>
        </is>
      </c>
      <c r="S369" s="77" t="inlineStr">
        <is>
          <t>Not captured</t>
        </is>
      </c>
      <c r="T369" s="77" t="inlineStr">
        <is>
          <t>About 9-10 weeks (sources differ), January to March</t>
        </is>
      </c>
      <c r="U369" s="77" t="inlineStr">
        <is>
          <t>In person with client</t>
        </is>
      </c>
      <c r="V369" s="77" t="inlineStr">
        <is>
          <t>Yes</t>
        </is>
      </c>
      <c r="W369" s="77" t="inlineStr">
        <is>
          <t>Client's current business issue investigated; practical recommendations delivered [1][2].</t>
        </is>
      </c>
      <c r="X369" s="77" t="inlineStr">
        <is>
          <t>Yes</t>
        </is>
      </c>
      <c r="Y369" s="77" t="inlineStr">
        <is>
          <t>Groups of six to eight Full-time MBA students [1]; blog describes groups of seven or eight [2].</t>
        </is>
      </c>
      <c r="Z369" s="77" t="inlineStr">
        <is>
          <t>Yes</t>
        </is>
      </c>
      <c r="AA369" s="77" t="inlineStr">
        <is>
          <t>Corporate, SME or not-for-profit clients supply the business issue and receive findings presented to client and staff [1][2].</t>
        </is>
      </c>
      <c r="AB369" s="77" t="inlineStr">
        <is>
          <t>Mixed</t>
        </is>
      </c>
      <c r="AC369" s="77" t="inlineStr">
        <is>
          <t>Client sets business issue; receives presentation and recommendations</t>
        </is>
      </c>
      <c r="AD369" s="77" t="inlineStr"/>
      <c r="AE369" s="77" t="inlineStr">
        <is>
          <t>Findings and recommendations presented to client</t>
        </is>
      </c>
      <c r="AF369" s="77">
        <f>IF(OR(V369="No",X369="No",Z369="No"),"Outside strict definition",IF(AND(V369="Yes",X369="Yes",Z369="Yes"),"Meets all three","Potentially relevant; evidence incomplete"))</f>
        <v/>
      </c>
      <c r="AG369" s="77" t="inlineStr">
        <is>
          <t>Current status unclear</t>
        </is>
      </c>
      <c r="AH369" s="77" t="inlineStr">
        <is>
          <t>undated (one page described as 2024-era)</t>
        </is>
      </c>
      <c r="AI369" s="77" t="inlineStr">
        <is>
          <t>Yes</t>
        </is>
      </c>
      <c r="AJ369" s="77">
        <f>IF(AND(AI369="Yes",AF369="Meets all three",AG369="Current delivery confirmed"),"Yes","No")</f>
        <v/>
      </c>
      <c r="AK369" s="77" t="inlineStr"/>
      <c r="AL369" s="77" t="inlineStr">
        <is>
          <t>RG23-S03-R1; RG23-S03-R2; RG23-S03-R3</t>
        </is>
      </c>
      <c r="AM369" s="77" t="inlineStr">
        <is>
          <t>Sources undated or inconsistent (9 vs 10 weeks); no dated 2025/26-2026/27 corroboration; whether compulsory for all FT MBA students not confirmed.</t>
        </is>
      </c>
      <c r="AN369" s="77" t="inlineStr"/>
      <c r="AO369" s="77" t="inlineStr">
        <is>
          <t>UK</t>
        </is>
      </c>
      <c r="AP369" s="77" t="inlineStr">
        <is>
          <t>UK – Russell Group</t>
        </is>
      </c>
      <c r="AQ369" s="77" t="inlineStr">
        <is>
          <t>~1 term/semester</t>
        </is>
      </c>
      <c r="AR369" s="77" t="inlineStr">
        <is>
          <t>All/standard</t>
        </is>
      </c>
      <c r="AS369" s="77" t="inlineStr"/>
    </row>
    <row r="370">
      <c r="A370" s="77" t="inlineStr">
        <is>
          <t>RG23</t>
        </is>
      </c>
      <c r="B370" s="77" t="inlineStr">
        <is>
          <t>Warwick</t>
        </is>
      </c>
      <c r="C370" s="77" t="inlineStr">
        <is>
          <t>Programme/course</t>
        </is>
      </c>
      <c r="D370" s="77" t="inlineStr">
        <is>
          <t>RG23-S04</t>
        </is>
      </c>
      <c r="E370" s="77" t="inlineStr"/>
      <c r="F370" s="77" t="inlineStr">
        <is>
          <t>No</t>
        </is>
      </c>
      <c r="G370" s="79" t="inlineStr">
        <is>
          <t>Business with Consulting MSc - live client consulting projects</t>
        </is>
      </c>
      <c r="H370" s="77" t="inlineStr">
        <is>
          <t>MSc Business with Consulting live client projects</t>
        </is>
      </c>
      <c r="I370" s="77" t="inlineStr"/>
      <c r="J370" s="77" t="inlineStr">
        <is>
          <t>Alumni of the WBS MSc Business with Consulting describe consulting projects in the first two terms involving real clients, carried out in student teams. The current (2027-entry) course page lists eight compulsory modules plus one option but the search did not identify which module carries the live-client project.</t>
        </is>
      </c>
      <c r="K370" s="77" t="inlineStr">
        <is>
          <t>Warwick Business School</t>
        </is>
      </c>
      <c r="L370" s="77" t="inlineStr">
        <is>
          <t>MSc Business with Consulting</t>
        </is>
      </c>
      <c r="M370" s="77" t="inlineStr">
        <is>
          <t>Business/management</t>
        </is>
      </c>
      <c r="N370" s="77" t="inlineStr">
        <is>
          <t>Postgraduate taught</t>
        </is>
      </c>
      <c r="O370" s="77" t="inlineStr">
        <is>
          <t>Terms 1-2</t>
        </is>
      </c>
      <c r="P370" s="77" t="inlineStr">
        <is>
          <t>MSc Business with Consulting students</t>
        </is>
      </c>
      <c r="Q370" s="77" t="inlineStr">
        <is>
          <t>Unclear</t>
        </is>
      </c>
      <c r="R370" s="77" t="inlineStr">
        <is>
          <t>Curricular</t>
        </is>
      </c>
      <c r="S370" s="77" t="inlineStr"/>
      <c r="T370" s="77" t="inlineStr">
        <is>
          <t>Within terms 1-2 (exact length unknown)</t>
        </is>
      </c>
      <c r="U370" s="77" t="inlineStr"/>
      <c r="V370" s="77" t="inlineStr">
        <is>
          <t>Yes</t>
        </is>
      </c>
      <c r="W370" s="77" t="inlineStr">
        <is>
          <t>Alumni: 'the consulting projects in the first two terms involved real clients and we got to experience the full experience of a live project' [1].</t>
        </is>
      </c>
      <c r="X370" s="77" t="inlineStr">
        <is>
          <t>Unclear</t>
        </is>
      </c>
      <c r="Y370" s="77" t="inlineStr">
        <is>
          <t>Search summary states students were split into teams, but the statement could not be tied to a specific source page.</t>
        </is>
      </c>
      <c r="Z370" s="77" t="inlineStr">
        <is>
          <t>Yes</t>
        </is>
      </c>
      <c r="AA370" s="77" t="inlineStr">
        <is>
          <t>Alumni accounts describe 'real clients' / 'live client projects' [1][2]; role of client (brief, feedback) not detailed.</t>
        </is>
      </c>
      <c r="AB370" s="77" t="inlineStr">
        <is>
          <t>Unclear</t>
        </is>
      </c>
      <c r="AC370" s="77" t="inlineStr">
        <is>
          <t>Real client provides live project (detail unknown)</t>
        </is>
      </c>
      <c r="AD370" s="77" t="inlineStr"/>
      <c r="AE370" s="77" t="inlineStr"/>
      <c r="AF370" s="77">
        <f>IF(OR(V370="No",X370="No",Z370="No"),"Outside strict definition",IF(AND(V370="Yes",X370="Yes",Z370="Yes"),"Meets all three","Potentially relevant; evidence incomplete"))</f>
        <v/>
      </c>
      <c r="AG370" s="77" t="inlineStr">
        <is>
          <t>Current status unclear</t>
        </is>
      </c>
      <c r="AH370" s="77" t="inlineStr">
        <is>
          <t>undated alumni blogs; course page for 2027 entry does not name the project</t>
        </is>
      </c>
      <c r="AI370" s="77" t="inlineStr">
        <is>
          <t>Yes</t>
        </is>
      </c>
      <c r="AJ370" s="77">
        <f>IF(AND(AI370="Yes",AF370="Meets all three",AG370="Current delivery confirmed"),"Yes","No")</f>
        <v/>
      </c>
      <c r="AK370" s="77" t="inlineStr"/>
      <c r="AL370" s="77" t="inlineStr">
        <is>
          <t>RG23-S04-R1; RG23-S04-R2; RG23-S04-R3</t>
        </is>
      </c>
      <c r="AM370" s="77" t="inlineStr">
        <is>
          <t>Module code, team structure and client role not verified in official module documentation; current delivery not dated.</t>
        </is>
      </c>
      <c r="AN370" s="77" t="inlineStr"/>
      <c r="AO370" s="77" t="inlineStr">
        <is>
          <t>UK</t>
        </is>
      </c>
      <c r="AP370" s="77" t="inlineStr">
        <is>
          <t>UK – Russell Group</t>
        </is>
      </c>
      <c r="AQ370" s="77" t="inlineStr">
        <is>
          <t>Unclear</t>
        </is>
      </c>
      <c r="AR370" s="77" t="inlineStr">
        <is>
          <t>Unclear</t>
        </is>
      </c>
      <c r="AS370" s="77" t="inlineStr"/>
    </row>
    <row r="371">
      <c r="A371" s="77" t="inlineStr">
        <is>
          <t>RG23</t>
        </is>
      </c>
      <c r="B371" s="77" t="inlineStr">
        <is>
          <t>Warwick</t>
        </is>
      </c>
      <c r="C371" s="77" t="inlineStr">
        <is>
          <t>Programme/course</t>
        </is>
      </c>
      <c r="D371" s="77" t="inlineStr">
        <is>
          <t>RG23-S05</t>
        </is>
      </c>
      <c r="E371" s="77" t="inlineStr"/>
      <c r="F371" s="77" t="inlineStr">
        <is>
          <t>No</t>
        </is>
      </c>
      <c r="G371" s="79" t="inlineStr">
        <is>
          <t>Business Consulting</t>
        </is>
      </c>
      <c r="H371" s="77" t="inlineStr">
        <is>
          <t>Business Consulting (Foundation Year)</t>
        </is>
      </c>
      <c r="I371" s="77" t="inlineStr">
        <is>
          <t>IB013-15</t>
        </is>
      </c>
      <c r="J371" s="77" t="inlineStr">
        <is>
          <t>Foundation Year module (15 credits, 10 weeks) on WBS foundation-year business programmes. Course pages say students complete a third-term project working with an organisation to identify an issue or challenge; the 2024 catalogue describes a formal report on a placement or chosen business, assessed 70% individual assignment, 20% group presentation, 10% individual contribution report and minutes.</t>
        </is>
      </c>
      <c r="K371" s="77" t="inlineStr">
        <is>
          <t>Warwick Business School</t>
        </is>
      </c>
      <c r="L371" s="77" t="inlineStr">
        <is>
          <t>Business and Management / Management / International Business Management with Foundation Year BSc</t>
        </is>
      </c>
      <c r="M371" s="77" t="inlineStr">
        <is>
          <t>Business/management</t>
        </is>
      </c>
      <c r="N371" s="77" t="inlineStr">
        <is>
          <t>Undergraduate</t>
        </is>
      </c>
      <c r="O371" s="77" t="inlineStr">
        <is>
          <t>Foundation year</t>
        </is>
      </c>
      <c r="P371" s="77" t="inlineStr">
        <is>
          <t>Foundation-year students on WBS programmes</t>
        </is>
      </c>
      <c r="Q371" s="77" t="inlineStr">
        <is>
          <t>Compulsory within specified programmes</t>
        </is>
      </c>
      <c r="R371" s="77" t="inlineStr">
        <is>
          <t>Curricular</t>
        </is>
      </c>
      <c r="S371" s="77" t="inlineStr">
        <is>
          <t>15 credits; 70% individual assignment, 20% group presentation, 10% individual contribution report</t>
        </is>
      </c>
      <c r="T371" s="77" t="inlineStr">
        <is>
          <t>10 weeks</t>
        </is>
      </c>
      <c r="U371" s="77" t="inlineStr"/>
      <c r="V371" s="77" t="inlineStr">
        <is>
          <t>Yes</t>
        </is>
      </c>
      <c r="W371" s="77" t="inlineStr">
        <is>
          <t>Students work on a business consulting project with an organisation [1]; third-term project working with an organisation to identify an issue or challenge [2].</t>
        </is>
      </c>
      <c r="X371" s="77" t="inlineStr">
        <is>
          <t>Unclear</t>
        </is>
      </c>
      <c r="Y371" s="77" t="inlineStr">
        <is>
          <t>Group presentation worth 20% but main output is a 70% individual assignment; a resit route replaces group work [1]. Joint output not established.</t>
        </is>
      </c>
      <c r="Z371" s="77" t="inlineStr">
        <is>
          <t>Unclear</t>
        </is>
      </c>
      <c r="AA371" s="77" t="inlineStr">
        <is>
          <t>'project working with an organisation' [2], but catalogue frames the report as on 'a placement or chosen business' [1]; organisation's role (brief, feedback) not documented.</t>
        </is>
      </c>
      <c r="AB371" s="77" t="inlineStr">
        <is>
          <t>Unclear</t>
        </is>
      </c>
      <c r="AC371" s="77" t="inlineStr"/>
      <c r="AD371" s="77" t="inlineStr"/>
      <c r="AE371" s="77" t="inlineStr"/>
      <c r="AF371" s="77">
        <f>IF(OR(V371="No",X371="No",Z371="No"),"Outside strict definition",IF(AND(V371="Yes",X371="Yes",Z371="Yes"),"Meets all three","Potentially relevant; evidence incomplete"))</f>
        <v/>
      </c>
      <c r="AG371" s="77" t="inlineStr">
        <is>
          <t>Current status unclear</t>
        </is>
      </c>
      <c r="AH371" s="77" t="inlineStr">
        <is>
          <t>2024 (module catalogue)</t>
        </is>
      </c>
      <c r="AI371" s="77" t="inlineStr">
        <is>
          <t>Yes</t>
        </is>
      </c>
      <c r="AJ371" s="77">
        <f>IF(AND(AI371="Yes",AF371="Meets all three",AG371="Current delivery confirmed"),"Yes","No")</f>
        <v/>
      </c>
      <c r="AK371" s="77" t="inlineStr"/>
      <c r="AL371" s="77" t="inlineStr">
        <is>
          <t>RG23-S05-R1; RG23-S05-R2</t>
        </is>
      </c>
      <c r="AM371" s="77" t="inlineStr">
        <is>
          <t>Whether organisation participates actively; whether project is group or individual; no 2025/26+ catalogue seen.</t>
        </is>
      </c>
      <c r="AN371" s="77" t="inlineStr"/>
      <c r="AO371" s="77" t="inlineStr">
        <is>
          <t>UK</t>
        </is>
      </c>
      <c r="AP371" s="77" t="inlineStr">
        <is>
          <t>UK – Russell Group</t>
        </is>
      </c>
      <c r="AQ371" s="77" t="inlineStr">
        <is>
          <t>~1 term/semester</t>
        </is>
      </c>
      <c r="AR371" s="77" t="inlineStr">
        <is>
          <t>Unclear</t>
        </is>
      </c>
      <c r="AS371" s="77" t="inlineStr"/>
    </row>
    <row r="372">
      <c r="A372" s="77" t="inlineStr">
        <is>
          <t>RG23</t>
        </is>
      </c>
      <c r="B372" s="77" t="inlineStr">
        <is>
          <t>Warwick</t>
        </is>
      </c>
      <c r="C372" s="77" t="inlineStr">
        <is>
          <t>Faculty/school</t>
        </is>
      </c>
      <c r="D372" s="77" t="inlineStr">
        <is>
          <t>RG23-S06</t>
        </is>
      </c>
      <c r="E372" s="77" t="inlineStr"/>
      <c r="F372" s="77" t="inlineStr">
        <is>
          <t>No</t>
        </is>
      </c>
      <c r="G372" s="79" t="inlineStr">
        <is>
          <t>Group Project</t>
        </is>
      </c>
      <c r="H372" s="77" t="inlineStr">
        <is>
          <t>Engineering MEng Group Project</t>
        </is>
      </c>
      <c r="I372" s="77" t="inlineStr">
        <is>
          <t>ES410-30</t>
        </is>
      </c>
      <c r="J372" s="77" t="inlineStr">
        <is>
          <t>Fourth-year School of Engineering team project (30 credits, 25 weeks, 100% coursework) core for many MEng programmes. Teams of normally six students from different degree streams tackle tasks set by the School's Project Director, which ideally have industrial backing where possible. Examples cited on course pages include IMechE Formula Student, a Severn Trent reservoir design and a human-powered submarine.</t>
        </is>
      </c>
      <c r="K372" s="77" t="inlineStr">
        <is>
          <t>School of Engineering</t>
        </is>
      </c>
      <c r="L372" s="77" t="inlineStr">
        <is>
          <t>MEng Mechanical, Electronic, Civil, Automotive, Biomedical Systems, Systems Engineering etc.</t>
        </is>
      </c>
      <c r="M372" s="77" t="inlineStr">
        <is>
          <t>Engineering/computing</t>
        </is>
      </c>
      <c r="N372" s="77" t="inlineStr">
        <is>
          <t>Undergraduate</t>
        </is>
      </c>
      <c r="O372" s="77" t="inlineStr">
        <is>
          <t>Year 4 (MEng)</t>
        </is>
      </c>
      <c r="P372" s="77" t="inlineStr">
        <is>
          <t>MEng engineering students</t>
        </is>
      </c>
      <c r="Q372" s="77" t="inlineStr">
        <is>
          <t>Compulsory within specified programmes</t>
        </is>
      </c>
      <c r="R372" s="77" t="inlineStr">
        <is>
          <t>Curricular</t>
        </is>
      </c>
      <c r="S372" s="77" t="inlineStr">
        <is>
          <t>30 credits, 100% coursework</t>
        </is>
      </c>
      <c r="T372" s="77" t="inlineStr">
        <is>
          <t>25 weeks</t>
        </is>
      </c>
      <c r="U372" s="77" t="inlineStr"/>
      <c r="V372" s="77" t="inlineStr">
        <is>
          <t>Yes</t>
        </is>
      </c>
      <c r="W372" s="77" t="inlineStr">
        <is>
          <t>Defined project tasks set each year, e.g. reservoir design, racing car, submarine [1][2].</t>
        </is>
      </c>
      <c r="X372" s="77" t="inlineStr">
        <is>
          <t>Yes</t>
        </is>
      </c>
      <c r="Y372" s="77" t="inlineStr">
        <is>
          <t>Teams normally six students drawn from different degree streams [1].</t>
        </is>
      </c>
      <c r="Z372" s="77" t="inlineStr">
        <is>
          <t>Unclear</t>
        </is>
      </c>
      <c r="AA372" s="77" t="inlineStr">
        <is>
          <t>Projects 'ideally have industrial backing or can at least show industrial applicability' where possible [1] - industrial involvement is an aspiration, not the documented norm.</t>
        </is>
      </c>
      <c r="AB372" s="77" t="inlineStr">
        <is>
          <t>Unclear</t>
        </is>
      </c>
      <c r="AC372" s="77" t="inlineStr">
        <is>
          <t>Industrial backing for some projects (nature unspecified)</t>
        </is>
      </c>
      <c r="AD372" s="77" t="inlineStr">
        <is>
          <t>Severn Trent named as example project context on course page (role unverified)</t>
        </is>
      </c>
      <c r="AE372" s="77" t="inlineStr"/>
      <c r="AF372" s="77">
        <f>IF(OR(V372="No",X372="No",Z372="No"),"Outside strict definition",IF(AND(V372="Yes",X372="Yes",Z372="Yes"),"Meets all three","Potentially relevant; evidence incomplete"))</f>
        <v/>
      </c>
      <c r="AG372" s="77" t="inlineStr">
        <is>
          <t>Current status unclear</t>
        </is>
      </c>
      <c r="AH372" s="77" t="inlineStr">
        <is>
          <t>2022 (module catalogue)</t>
        </is>
      </c>
      <c r="AI372" s="77" t="inlineStr">
        <is>
          <t>Yes</t>
        </is>
      </c>
      <c r="AJ372" s="77">
        <f>IF(AND(AI372="Yes",AF372="Meets all three",AG372="Current delivery confirmed"),"Yes","No")</f>
        <v/>
      </c>
      <c r="AK372" s="77" t="inlineStr"/>
      <c r="AL372" s="77" t="inlineStr">
        <is>
          <t>RG23-S06-R1; RG23-S06-R2</t>
        </is>
      </c>
      <c r="AM372" s="77" t="inlineStr">
        <is>
          <t>No 2025/26+ catalogue entry seen; share and role of industrial sponsors unknown.</t>
        </is>
      </c>
      <c r="AN372" s="77" t="inlineStr"/>
      <c r="AO372" s="77" t="inlineStr">
        <is>
          <t>UK</t>
        </is>
      </c>
      <c r="AP372" s="77" t="inlineStr">
        <is>
          <t>UK – Russell Group</t>
        </is>
      </c>
      <c r="AQ372" s="77" t="inlineStr">
        <is>
          <t>&gt;1 term</t>
        </is>
      </c>
      <c r="AR372" s="77" t="inlineStr">
        <is>
          <t>Some projects</t>
        </is>
      </c>
      <c r="AS372" s="77" t="inlineStr"/>
    </row>
    <row r="373">
      <c r="A373" s="77" t="inlineStr">
        <is>
          <t>RG23</t>
        </is>
      </c>
      <c r="B373" s="77" t="inlineStr">
        <is>
          <t>Warwick</t>
        </is>
      </c>
      <c r="C373" s="77" t="inlineStr">
        <is>
          <t>Programme/course</t>
        </is>
      </c>
      <c r="D373" s="77" t="inlineStr">
        <is>
          <t>RG23-S07</t>
        </is>
      </c>
      <c r="E373" s="77" t="inlineStr"/>
      <c r="F373" s="77" t="inlineStr">
        <is>
          <t>No</t>
        </is>
      </c>
      <c r="G373" s="79" t="inlineStr">
        <is>
          <t>Group Project</t>
        </is>
      </c>
      <c r="H373" s="77" t="inlineStr">
        <is>
          <t>Group Project (Degree Apprenticeship, Electromechanical Engineering)</t>
        </is>
      </c>
      <c r="I373" s="77" t="inlineStr">
        <is>
          <t>ES3H7-30</t>
        </is>
      </c>
      <c r="J373" s="77" t="inlineStr">
        <is>
          <t>Level 3, 30-credit group project for degree apprentices; groups of normally six students undertake tasks predetermined each year by the School of Engineering Project Director in conjunction with industry (employers).</t>
        </is>
      </c>
      <c r="K373" s="77" t="inlineStr">
        <is>
          <t>School of Engineering</t>
        </is>
      </c>
      <c r="L373" s="77" t="inlineStr">
        <is>
          <t>Degree Apprenticeship in Electromechanical Engineering (DESA-H360), Year 4</t>
        </is>
      </c>
      <c r="M373" s="77" t="inlineStr">
        <is>
          <t>Engineering/computing</t>
        </is>
      </c>
      <c r="N373" s="77" t="inlineStr">
        <is>
          <t>Undergraduate</t>
        </is>
      </c>
      <c r="O373" s="77" t="inlineStr">
        <is>
          <t>Year 4 of apprenticeship programme</t>
        </is>
      </c>
      <c r="P373" s="77" t="inlineStr">
        <is>
          <t>Degree apprentices on DESA-H360</t>
        </is>
      </c>
      <c r="Q373" s="77" t="inlineStr">
        <is>
          <t>Compulsory within specified programmes</t>
        </is>
      </c>
      <c r="R373" s="77" t="inlineStr">
        <is>
          <t>Curricular</t>
        </is>
      </c>
      <c r="S373" s="77" t="inlineStr">
        <is>
          <t>30 credits, 100% coursework</t>
        </is>
      </c>
      <c r="T373" s="77" t="inlineStr"/>
      <c r="U373" s="77" t="inlineStr"/>
      <c r="V373" s="77" t="inlineStr">
        <is>
          <t>Yes</t>
        </is>
      </c>
      <c r="W373" s="77" t="inlineStr">
        <is>
          <t>Predetermined group project tasks set each year [1].</t>
        </is>
      </c>
      <c r="X373" s="77" t="inlineStr">
        <is>
          <t>Yes</t>
        </is>
      </c>
      <c r="Y373" s="77" t="inlineStr">
        <is>
          <t>Groups normally of six students [1].</t>
        </is>
      </c>
      <c r="Z373" s="77" t="inlineStr">
        <is>
          <t>Yes</t>
        </is>
      </c>
      <c r="AA373" s="77" t="inlineStr">
        <is>
          <t>'Tasks will be predetermined by the School of Engineering Project Director in conjunction with industry (employers) each year' [1] - employers co-set the brief.</t>
        </is>
      </c>
      <c r="AB373" s="77" t="inlineStr">
        <is>
          <t>Business/commercial</t>
        </is>
      </c>
      <c r="AC373" s="77" t="inlineStr">
        <is>
          <t>Employers co-set project tasks</t>
        </is>
      </c>
      <c r="AD373" s="77" t="inlineStr"/>
      <c r="AE373" s="77" t="inlineStr"/>
      <c r="AF373" s="77">
        <f>IF(OR(V373="No",X373="No",Z373="No"),"Outside strict definition",IF(AND(V373="Yes",X373="Yes",Z373="Yes"),"Meets all three","Potentially relevant; evidence incomplete"))</f>
        <v/>
      </c>
      <c r="AG373" s="77" t="inlineStr">
        <is>
          <t>Current status unclear</t>
        </is>
      </c>
      <c r="AH373" s="77" t="inlineStr">
        <is>
          <t>2024 (module catalogue)</t>
        </is>
      </c>
      <c r="AI373" s="77" t="inlineStr">
        <is>
          <t>Yes</t>
        </is>
      </c>
      <c r="AJ373" s="77">
        <f>IF(AND(AI373="Yes",AF373="Meets all three",AG373="Current delivery confirmed"),"Yes","No")</f>
        <v/>
      </c>
      <c r="AK373" s="77" t="inlineStr"/>
      <c r="AL373" s="77" t="inlineStr">
        <is>
          <t>RG23-S07-R1</t>
        </is>
      </c>
      <c r="AM373" s="77" t="inlineStr">
        <is>
          <t>No 2025/26+ catalogue seen; whether employers are apprentices' own employers and whether they assess/receive outputs unknown.</t>
        </is>
      </c>
      <c r="AN373" s="77" t="inlineStr"/>
      <c r="AO373" s="77" t="inlineStr">
        <is>
          <t>UK</t>
        </is>
      </c>
      <c r="AP373" s="77" t="inlineStr">
        <is>
          <t>UK – Russell Group</t>
        </is>
      </c>
      <c r="AQ373" s="77" t="inlineStr">
        <is>
          <t>Unclear</t>
        </is>
      </c>
      <c r="AR373" s="77" t="inlineStr">
        <is>
          <t>All/standard</t>
        </is>
      </c>
      <c r="AS373" s="77" t="inlineStr"/>
    </row>
    <row r="374">
      <c r="A374" s="77" t="inlineStr">
        <is>
          <t>RG23</t>
        </is>
      </c>
      <c r="B374" s="77" t="inlineStr">
        <is>
          <t>Warwick</t>
        </is>
      </c>
      <c r="C374" s="77" t="inlineStr">
        <is>
          <t>Programme/course</t>
        </is>
      </c>
      <c r="D374" s="77" t="inlineStr">
        <is>
          <t>RG23-S08</t>
        </is>
      </c>
      <c r="E374" s="77" t="inlineStr"/>
      <c r="F374" s="77" t="inlineStr">
        <is>
          <t>No</t>
        </is>
      </c>
      <c r="G374" s="79" t="inlineStr">
        <is>
          <t>Group Project</t>
        </is>
      </c>
      <c r="H374" s="77" t="inlineStr">
        <is>
          <t>Computer Science Group Project</t>
        </is>
      </c>
      <c r="I374" s="77" t="inlineStr">
        <is>
          <t>CS407-30</t>
        </is>
      </c>
      <c r="J374" s="77" t="inlineStr">
        <is>
          <t>Final-year (MEng) Computer Science group project in which groups of 4-6 students engineer a complex software system or conduct a research project to the requirements of a customer, who may be an academic or an industrial partner.</t>
        </is>
      </c>
      <c r="K374" s="77" t="inlineStr">
        <is>
          <t>Department of Computer Science</t>
        </is>
      </c>
      <c r="L374" s="77" t="inlineStr">
        <is>
          <t>Computer Science MEng (Year 4)</t>
        </is>
      </c>
      <c r="M374" s="77" t="inlineStr">
        <is>
          <t>Engineering/computing</t>
        </is>
      </c>
      <c r="N374" s="77" t="inlineStr">
        <is>
          <t>Undergraduate</t>
        </is>
      </c>
      <c r="O374" s="77" t="inlineStr">
        <is>
          <t>Year 4 (MEng)</t>
        </is>
      </c>
      <c r="P374" s="77" t="inlineStr"/>
      <c r="Q374" s="77" t="inlineStr">
        <is>
          <t>Unclear</t>
        </is>
      </c>
      <c r="R374" s="77" t="inlineStr">
        <is>
          <t>Curricular</t>
        </is>
      </c>
      <c r="S374" s="77" t="inlineStr">
        <is>
          <t>30 credits</t>
        </is>
      </c>
      <c r="T374" s="77" t="inlineStr"/>
      <c r="U374" s="77" t="inlineStr"/>
      <c r="V374" s="77" t="inlineStr">
        <is>
          <t>Yes</t>
        </is>
      </c>
      <c r="W374" s="77" t="inlineStr">
        <is>
          <t>Engineer complex software systems or conduct research projects 'according to the requirements of a customer' [1].</t>
        </is>
      </c>
      <c r="X374" s="77" t="inlineStr">
        <is>
          <t>Yes</t>
        </is>
      </c>
      <c r="Y374" s="77" t="inlineStr">
        <is>
          <t>Each group has between 4 and 6 students [1].</t>
        </is>
      </c>
      <c r="Z374" s="77" t="inlineStr">
        <is>
          <t>Unclear</t>
        </is>
      </c>
      <c r="AA374" s="77" t="inlineStr">
        <is>
          <t>Customer 'may be an academic or an industrial partner' [1]; archived catalogue said the customer 'will normally be an industrial partner' [2] - current wording does not make external customers the norm.</t>
        </is>
      </c>
      <c r="AB374" s="77" t="inlineStr">
        <is>
          <t>Mixed</t>
        </is>
      </c>
      <c r="AC374" s="77" t="inlineStr">
        <is>
          <t>Customer sets requirements (academic/internal or industrial)</t>
        </is>
      </c>
      <c r="AD374" s="77" t="inlineStr"/>
      <c r="AE374" s="77" t="inlineStr"/>
      <c r="AF374" s="77">
        <f>IF(OR(V374="No",X374="No",Z374="No"),"Outside strict definition",IF(AND(V374="Yes",X374="Yes",Z374="Yes"),"Meets all three","Potentially relevant; evidence incomplete"))</f>
        <v/>
      </c>
      <c r="AG374" s="77" t="inlineStr">
        <is>
          <t>Current status unclear</t>
        </is>
      </c>
      <c r="AH374" s="77" t="inlineStr">
        <is>
          <t>Undated module page; Fourth Year Computer Science MEng 2025/26 course page exists but CS407 listing not confirmed in extract</t>
        </is>
      </c>
      <c r="AI374" s="77" t="inlineStr">
        <is>
          <t>Yes</t>
        </is>
      </c>
      <c r="AJ374" s="77">
        <f>IF(AND(AI374="Yes",AF374="Meets all three",AG374="Current delivery confirmed"),"Yes","No")</f>
        <v/>
      </c>
      <c r="AK374" s="77" t="inlineStr"/>
      <c r="AL374" s="77" t="inlineStr">
        <is>
          <t>RG23-S08-R1; RG23-S08-R2</t>
        </is>
      </c>
      <c r="AM374" s="77" t="inlineStr">
        <is>
          <t>Share of industrial customers; whether CS407 is listed on 2025/26-2026/27 course structures (not confirmed in extract).</t>
        </is>
      </c>
      <c r="AN374" s="77" t="inlineStr"/>
      <c r="AO374" s="77" t="inlineStr">
        <is>
          <t>UK</t>
        </is>
      </c>
      <c r="AP374" s="77" t="inlineStr">
        <is>
          <t>UK – Russell Group</t>
        </is>
      </c>
      <c r="AQ374" s="77" t="inlineStr">
        <is>
          <t>&gt;1 term</t>
        </is>
      </c>
      <c r="AR374" s="77" t="inlineStr">
        <is>
          <t>Some projects</t>
        </is>
      </c>
      <c r="AS374" s="77" t="inlineStr"/>
    </row>
    <row r="375">
      <c r="A375" s="77" t="inlineStr">
        <is>
          <t>RG23</t>
        </is>
      </c>
      <c r="B375" s="77" t="inlineStr">
        <is>
          <t>Warwick</t>
        </is>
      </c>
      <c r="C375" s="77" t="inlineStr">
        <is>
          <t>Programme/course</t>
        </is>
      </c>
      <c r="D375" s="77" t="inlineStr">
        <is>
          <t>RG23-S09</t>
        </is>
      </c>
      <c r="E375" s="77" t="inlineStr"/>
      <c r="F375" s="77" t="inlineStr">
        <is>
          <t>No</t>
        </is>
      </c>
      <c r="G375" s="79" t="inlineStr">
        <is>
          <t>Industry Impact Projects (MSc International Trade, Strategy and Operations)</t>
        </is>
      </c>
      <c r="H375" s="77" t="inlineStr">
        <is>
          <t>Industry Impact Projects</t>
        </is>
      </c>
      <c r="I375" s="77" t="inlineStr"/>
      <c r="J375" s="77" t="inlineStr">
        <is>
          <t>On WMG's MSc International Trade, Strategy and Operations, groups of students work on a pre-defined industrial challenge provided by a corporate partner; students have worked with Tata companies (Tata Motors, Tata Steel, Tata AutoComp Systems) on topics such as EV lifecycle assessment and steel logistics. The programme also offers individual Company Collaboration Projects (individual route, not counted here).</t>
        </is>
      </c>
      <c r="K375" s="77" t="inlineStr">
        <is>
          <t>WMG</t>
        </is>
      </c>
      <c r="L375" s="77" t="inlineStr">
        <is>
          <t>MSc International Trade, Strategy and Operations</t>
        </is>
      </c>
      <c r="M375" s="77" t="inlineStr">
        <is>
          <t>Engineering/computing</t>
        </is>
      </c>
      <c r="N375" s="77" t="inlineStr">
        <is>
          <t>Postgraduate taught</t>
        </is>
      </c>
      <c r="O375" s="77" t="inlineStr"/>
      <c r="P375" s="77" t="inlineStr"/>
      <c r="Q375" s="77" t="inlineStr">
        <is>
          <t>Unclear</t>
        </is>
      </c>
      <c r="R375" s="77" t="inlineStr">
        <is>
          <t>Curricular</t>
        </is>
      </c>
      <c r="S375" s="77" t="inlineStr"/>
      <c r="T375" s="77" t="inlineStr"/>
      <c r="U375" s="77" t="inlineStr"/>
      <c r="V375" s="77" t="inlineStr">
        <is>
          <t>Yes</t>
        </is>
      </c>
      <c r="W375" s="77" t="inlineStr">
        <is>
          <t>Pre-defined industrial challenge (e.g. EV lifecycle assessment, steel logistics) [1].</t>
        </is>
      </c>
      <c r="X375" s="77" t="inlineStr">
        <is>
          <t>Yes</t>
        </is>
      </c>
      <c r="Y375" s="77" t="inlineStr">
        <is>
          <t>'groups of students work on a pre-defined industrial challenge' [1].</t>
        </is>
      </c>
      <c r="Z375" s="77" t="inlineStr">
        <is>
          <t>Yes</t>
        </is>
      </c>
      <c r="AA375" s="77" t="inlineStr">
        <is>
          <t>Challenge provided by a corporate partner; students collaborated with Tata Motors, Tata Steel and Tata AutoComp Systems [1].</t>
        </is>
      </c>
      <c r="AB375" s="77" t="inlineStr">
        <is>
          <t>Business/commercial</t>
        </is>
      </c>
      <c r="AC375" s="77" t="inlineStr">
        <is>
          <t>Corporate partner provides industrial challenge</t>
        </is>
      </c>
      <c r="AD375" s="77" t="inlineStr">
        <is>
          <t>Tata Motors, Tata Steel, Tata AutoComp Systems (year not stated)</t>
        </is>
      </c>
      <c r="AE375" s="77" t="inlineStr"/>
      <c r="AF375" s="77">
        <f>IF(OR(V375="No",X375="No",Z375="No"),"Outside strict definition",IF(AND(V375="Yes",X375="Yes",Z375="Yes"),"Meets all three","Potentially relevant; evidence incomplete"))</f>
        <v/>
      </c>
      <c r="AG375" s="77" t="inlineStr">
        <is>
          <t>Current status unclear</t>
        </is>
      </c>
      <c r="AH375" s="77" t="inlineStr">
        <is>
          <t>undated programme page</t>
        </is>
      </c>
      <c r="AI375" s="77" t="inlineStr">
        <is>
          <t>Yes</t>
        </is>
      </c>
      <c r="AJ375" s="77">
        <f>IF(AND(AI375="Yes",AF375="Meets all three",AG375="Current delivery confirmed"),"Yes","No")</f>
        <v/>
      </c>
      <c r="AK375" s="77" t="inlineStr"/>
      <c r="AL375" s="77" t="inlineStr">
        <is>
          <t>RG23-S09-R1</t>
        </is>
      </c>
      <c r="AM375" s="77" t="inlineStr">
        <is>
          <t>Evidence is a search-summary paraphrase only (extended verification search could not be run: search budget exhausted); credit, duration, compulsory status and current delivery not verified.</t>
        </is>
      </c>
      <c r="AN375" s="77" t="inlineStr"/>
      <c r="AO375" s="77" t="inlineStr">
        <is>
          <t>UK</t>
        </is>
      </c>
      <c r="AP375" s="77" t="inlineStr">
        <is>
          <t>UK – Russell Group</t>
        </is>
      </c>
      <c r="AQ375" s="77" t="inlineStr">
        <is>
          <t>Unclear</t>
        </is>
      </c>
      <c r="AR375" s="77" t="inlineStr">
        <is>
          <t>All/standard</t>
        </is>
      </c>
      <c r="AS375" s="77" t="inlineStr"/>
    </row>
    <row r="376">
      <c r="A376" s="77" t="inlineStr">
        <is>
          <t>RG23</t>
        </is>
      </c>
      <c r="B376" s="77" t="inlineStr">
        <is>
          <t>Warwick</t>
        </is>
      </c>
      <c r="C376" s="77" t="inlineStr">
        <is>
          <t>Programme/course</t>
        </is>
      </c>
      <c r="D376" s="77" t="inlineStr">
        <is>
          <t>RG23-S10</t>
        </is>
      </c>
      <c r="E376" s="77" t="inlineStr"/>
      <c r="F376" s="77" t="inlineStr">
        <is>
          <t>No</t>
        </is>
      </c>
      <c r="G376" s="79" t="inlineStr">
        <is>
          <t>Industry Collaboration Project (MSc Innovation and Entrepreneurship)</t>
        </is>
      </c>
      <c r="H376" s="77" t="inlineStr">
        <is>
          <t>Industry Collaboration Project</t>
        </is>
      </c>
      <c r="I376" s="77" t="inlineStr"/>
      <c r="J376" s="77" t="inlineStr">
        <is>
          <t>WMG MSc Innovation and Entrepreneurship project in which students develop solutions to a real-world industry problem set in consultation with a WMG partner organisation; assessed by supervisor and independent assessor. Not described as a team project.</t>
        </is>
      </c>
      <c r="K376" s="77" t="inlineStr">
        <is>
          <t>WMG</t>
        </is>
      </c>
      <c r="L376" s="77" t="inlineStr">
        <is>
          <t>MSc Innovation and Entrepreneurship</t>
        </is>
      </c>
      <c r="M376" s="77" t="inlineStr">
        <is>
          <t>Engineering/computing</t>
        </is>
      </c>
      <c r="N376" s="77" t="inlineStr">
        <is>
          <t>Postgraduate taught</t>
        </is>
      </c>
      <c r="O376" s="77" t="inlineStr"/>
      <c r="P376" s="77" t="inlineStr"/>
      <c r="Q376" s="77" t="inlineStr">
        <is>
          <t>Unclear</t>
        </is>
      </c>
      <c r="R376" s="77" t="inlineStr">
        <is>
          <t>Curricular</t>
        </is>
      </c>
      <c r="S376" s="77" t="inlineStr"/>
      <c r="T376" s="77" t="inlineStr"/>
      <c r="U376" s="77" t="inlineStr"/>
      <c r="V376" s="77" t="inlineStr">
        <is>
          <t>Yes</t>
        </is>
      </c>
      <c r="W376" s="77" t="inlineStr">
        <is>
          <t>Solutions to a real-world industry problem [1].</t>
        </is>
      </c>
      <c r="X376" s="77" t="inlineStr">
        <is>
          <t>Unclear</t>
        </is>
      </c>
      <c r="Y376" s="77" t="inlineStr">
        <is>
          <t>Page describes a project but not team working [1].</t>
        </is>
      </c>
      <c r="Z376" s="77" t="inlineStr">
        <is>
          <t>Yes</t>
        </is>
      </c>
      <c r="AA376" s="77" t="inlineStr">
        <is>
          <t>Problem set in consultation with a WMG partner organisation [1].</t>
        </is>
      </c>
      <c r="AB376" s="77" t="inlineStr">
        <is>
          <t>Unclear</t>
        </is>
      </c>
      <c r="AC376" s="77" t="inlineStr">
        <is>
          <t>Partner organisation co-sets problem</t>
        </is>
      </c>
      <c r="AD376" s="77" t="inlineStr"/>
      <c r="AE376" s="77" t="inlineStr"/>
      <c r="AF376" s="77">
        <f>IF(OR(V376="No",X376="No",Z376="No"),"Outside strict definition",IF(AND(V376="Yes",X376="Yes",Z376="Yes"),"Meets all three","Potentially relevant; evidence incomplete"))</f>
        <v/>
      </c>
      <c r="AG376" s="77" t="inlineStr">
        <is>
          <t>Current status unclear</t>
        </is>
      </c>
      <c r="AH376" s="77" t="inlineStr">
        <is>
          <t>undated programme page</t>
        </is>
      </c>
      <c r="AI376" s="77" t="inlineStr">
        <is>
          <t>Yes</t>
        </is>
      </c>
      <c r="AJ376" s="77">
        <f>IF(AND(AI376="Yes",AF376="Meets all three",AG376="Current delivery confirmed"),"Yes","No")</f>
        <v/>
      </c>
      <c r="AK376" s="77" t="inlineStr"/>
      <c r="AL376" s="77" t="inlineStr">
        <is>
          <t>RG23-S10-R1</t>
        </is>
      </c>
      <c r="AM376" s="77" t="inlineStr">
        <is>
          <t>Individual vs group not established; paraphrase only; WMG partner organisations assumed external (not verified).</t>
        </is>
      </c>
      <c r="AN376" s="77" t="inlineStr"/>
      <c r="AO376" s="77" t="inlineStr">
        <is>
          <t>UK</t>
        </is>
      </c>
      <c r="AP376" s="77" t="inlineStr">
        <is>
          <t>UK – Russell Group</t>
        </is>
      </c>
      <c r="AQ376" s="77" t="inlineStr">
        <is>
          <t>Unclear</t>
        </is>
      </c>
      <c r="AR376" s="77" t="inlineStr">
        <is>
          <t>All/standard</t>
        </is>
      </c>
      <c r="AS376" s="77" t="inlineStr"/>
    </row>
    <row r="377">
      <c r="A377" s="77" t="inlineStr">
        <is>
          <t>RG23</t>
        </is>
      </c>
      <c r="B377" s="77" t="inlineStr">
        <is>
          <t>Warwick</t>
        </is>
      </c>
      <c r="C377" s="77" t="inlineStr">
        <is>
          <t>Programme/course</t>
        </is>
      </c>
      <c r="D377" s="77" t="inlineStr">
        <is>
          <t>RG23-S11</t>
        </is>
      </c>
      <c r="E377" s="77" t="inlineStr"/>
      <c r="F377" s="77" t="inlineStr">
        <is>
          <t>No</t>
        </is>
      </c>
      <c r="G377" s="79" t="inlineStr">
        <is>
          <t>Practice-based Project</t>
        </is>
      </c>
      <c r="H377" s="77" t="inlineStr">
        <is>
          <t>Practice-based Project (Global Sustainable Development)</t>
        </is>
      </c>
      <c r="I377" s="77" t="inlineStr">
        <is>
          <t>GD903-60</t>
        </is>
      </c>
      <c r="J377" s="77" t="inlineStr">
        <is>
          <t>Masters capstone in the School for Cross-faculty Studies (Global Sustainable Development) in which teams work on a 'client' project brief for promoting sustainable development; partners may be external organisations identified by the student or the School's Placement Officer.</t>
        </is>
      </c>
      <c r="K377" s="77" t="inlineStr">
        <is>
          <t>Global Sustainable Development (School for Cross-faculty Studies)</t>
        </is>
      </c>
      <c r="L377" s="77" t="inlineStr">
        <is>
          <t>GSD Masters programmes</t>
        </is>
      </c>
      <c r="M377" s="77" t="inlineStr">
        <is>
          <t>Arts/humanities/social sciences</t>
        </is>
      </c>
      <c r="N377" s="77" t="inlineStr">
        <is>
          <t>Postgraduate taught</t>
        </is>
      </c>
      <c r="O377" s="77" t="inlineStr"/>
      <c r="P377" s="77" t="inlineStr"/>
      <c r="Q377" s="77" t="inlineStr">
        <is>
          <t>Unclear</t>
        </is>
      </c>
      <c r="R377" s="77" t="inlineStr">
        <is>
          <t>Curricular</t>
        </is>
      </c>
      <c r="S377" s="77" t="inlineStr">
        <is>
          <t>60 credits</t>
        </is>
      </c>
      <c r="T377" s="77" t="inlineStr"/>
      <c r="U377" s="77" t="inlineStr"/>
      <c r="V377" s="77" t="inlineStr">
        <is>
          <t>Yes</t>
        </is>
      </c>
      <c r="W377" s="77" t="inlineStr">
        <is>
          <t>'client' project brief for promoting sustainable development [1].</t>
        </is>
      </c>
      <c r="X377" s="77" t="inlineStr">
        <is>
          <t>Yes</t>
        </is>
      </c>
      <c r="Y377" s="77" t="inlineStr">
        <is>
          <t>Teams work on the client project brief [1].</t>
        </is>
      </c>
      <c r="Z377" s="77" t="inlineStr">
        <is>
          <t>Unclear</t>
        </is>
      </c>
      <c r="AA377" s="77" t="inlineStr">
        <is>
          <t>Partner 'may be' external organisations identified by the student or Placement Officer [1] - external clients not documented as the norm.</t>
        </is>
      </c>
      <c r="AB377" s="77" t="inlineStr">
        <is>
          <t>Unclear</t>
        </is>
      </c>
      <c r="AC377" s="77" t="inlineStr"/>
      <c r="AD377" s="77" t="inlineStr"/>
      <c r="AE377" s="77" t="inlineStr"/>
      <c r="AF377" s="77">
        <f>IF(OR(V377="No",X377="No",Z377="No"),"Outside strict definition",IF(AND(V377="Yes",X377="Yes",Z377="Yes"),"Meets all three","Potentially relevant; evidence incomplete"))</f>
        <v/>
      </c>
      <c r="AG377" s="77" t="inlineStr">
        <is>
          <t>Current status unclear</t>
        </is>
      </c>
      <c r="AH377" s="77" t="inlineStr">
        <is>
          <t>2021 (module catalogue)</t>
        </is>
      </c>
      <c r="AI377" s="77" t="inlineStr">
        <is>
          <t>Yes</t>
        </is>
      </c>
      <c r="AJ377" s="77">
        <f>IF(AND(AI377="Yes",AF377="Meets all three",AG377="Current delivery confirmed"),"Yes","No")</f>
        <v/>
      </c>
      <c r="AK377" s="77" t="inlineStr"/>
      <c r="AL377" s="77" t="inlineStr">
        <is>
          <t>RG23-S11-R1</t>
        </is>
      </c>
      <c r="AM377" s="77" t="inlineStr">
        <is>
          <t>Only 2021 catalogue seen (paraphrase); whether still delivered; client sources.</t>
        </is>
      </c>
      <c r="AN377" s="77" t="inlineStr"/>
      <c r="AO377" s="77" t="inlineStr">
        <is>
          <t>UK</t>
        </is>
      </c>
      <c r="AP377" s="77" t="inlineStr">
        <is>
          <t>UK – Russell Group</t>
        </is>
      </c>
      <c r="AQ377" s="77" t="inlineStr">
        <is>
          <t>Unclear</t>
        </is>
      </c>
      <c r="AR377" s="77" t="inlineStr">
        <is>
          <t>Some projects</t>
        </is>
      </c>
      <c r="AS377" s="77" t="inlineStr"/>
    </row>
    <row r="378">
      <c r="A378" s="77" t="inlineStr">
        <is>
          <t>RG23</t>
        </is>
      </c>
      <c r="B378" s="77" t="inlineStr">
        <is>
          <t>Warwick</t>
        </is>
      </c>
      <c r="C378" s="77" t="inlineStr">
        <is>
          <t>Programme/course</t>
        </is>
      </c>
      <c r="D378" s="77" t="inlineStr">
        <is>
          <t>RG23-S12</t>
        </is>
      </c>
      <c r="E378" s="77" t="inlineStr"/>
      <c r="F378" s="77" t="inlineStr">
        <is>
          <t>No</t>
        </is>
      </c>
      <c r="G378" s="79" t="inlineStr">
        <is>
          <t>Applied Communication Project</t>
        </is>
      </c>
      <c r="H378" s="77" t="inlineStr">
        <is>
          <t>Applied Communication Project</t>
        </is>
      </c>
      <c r="I378" s="77" t="inlineStr">
        <is>
          <t>LP916-15</t>
        </is>
      </c>
      <c r="J378" s="77" t="inlineStr">
        <is>
          <t>Applied Linguistics postgraduate module (15 credits) in which teams work on a live brief and present a strategic proposal to the client at the end of the module.</t>
        </is>
      </c>
      <c r="K378" s="77" t="inlineStr">
        <is>
          <t>Applied Linguistics</t>
        </is>
      </c>
      <c r="L378" s="77" t="inlineStr"/>
      <c r="M378" s="77" t="inlineStr">
        <is>
          <t>Arts/humanities/social sciences</t>
        </is>
      </c>
      <c r="N378" s="77" t="inlineStr">
        <is>
          <t>Postgraduate taught</t>
        </is>
      </c>
      <c r="O378" s="77" t="inlineStr"/>
      <c r="P378" s="77" t="inlineStr"/>
      <c r="Q378" s="77" t="inlineStr">
        <is>
          <t>Unclear</t>
        </is>
      </c>
      <c r="R378" s="77" t="inlineStr">
        <is>
          <t>Curricular</t>
        </is>
      </c>
      <c r="S378" s="77" t="inlineStr">
        <is>
          <t>15 credits</t>
        </is>
      </c>
      <c r="T378" s="77" t="inlineStr"/>
      <c r="U378" s="77" t="inlineStr"/>
      <c r="V378" s="77" t="inlineStr">
        <is>
          <t>Yes</t>
        </is>
      </c>
      <c r="W378" s="77" t="inlineStr">
        <is>
          <t>Live brief leading to a strategic proposal [1].</t>
        </is>
      </c>
      <c r="X378" s="77" t="inlineStr">
        <is>
          <t>Yes</t>
        </is>
      </c>
      <c r="Y378" s="77" t="inlineStr">
        <is>
          <t>Teams work on the live brief [1].</t>
        </is>
      </c>
      <c r="Z378" s="77" t="inlineStr">
        <is>
          <t>Unclear</t>
        </is>
      </c>
      <c r="AA378" s="77" t="inlineStr">
        <is>
          <t>Proposal presented to 'the client' [1]; whether clients are external organisations is not stated in the extract.</t>
        </is>
      </c>
      <c r="AB378" s="77" t="inlineStr">
        <is>
          <t>Unclear</t>
        </is>
      </c>
      <c r="AC378" s="77" t="inlineStr">
        <is>
          <t>Client sets live brief and receives proposal (identity unknown)</t>
        </is>
      </c>
      <c r="AD378" s="77" t="inlineStr"/>
      <c r="AE378" s="77" t="inlineStr"/>
      <c r="AF378" s="77">
        <f>IF(OR(V378="No",X378="No",Z378="No"),"Outside strict definition",IF(AND(V378="Yes",X378="Yes",Z378="Yes"),"Meets all three","Potentially relevant; evidence incomplete"))</f>
        <v/>
      </c>
      <c r="AG378" s="77" t="inlineStr">
        <is>
          <t>Current status unclear</t>
        </is>
      </c>
      <c r="AH378" s="77" t="inlineStr">
        <is>
          <t>2024 (module catalogue)</t>
        </is>
      </c>
      <c r="AI378" s="77" t="inlineStr">
        <is>
          <t>Yes</t>
        </is>
      </c>
      <c r="AJ378" s="77">
        <f>IF(AND(AI378="Yes",AF378="Meets all three",AG378="Current delivery confirmed"),"Yes","No")</f>
        <v/>
      </c>
      <c r="AK378" s="77" t="inlineStr"/>
      <c r="AL378" s="77" t="inlineStr">
        <is>
          <t>RG23-S12-R1</t>
        </is>
      </c>
      <c r="AM378" s="77" t="inlineStr">
        <is>
          <t>Client identity/externality; programme eligibility; current delivery; paraphrase only.</t>
        </is>
      </c>
      <c r="AN378" s="77" t="inlineStr"/>
      <c r="AO378" s="77" t="inlineStr">
        <is>
          <t>UK</t>
        </is>
      </c>
      <c r="AP378" s="77" t="inlineStr">
        <is>
          <t>UK – Russell Group</t>
        </is>
      </c>
      <c r="AQ378" s="77" t="inlineStr">
        <is>
          <t>Unclear</t>
        </is>
      </c>
      <c r="AR378" s="77" t="inlineStr">
        <is>
          <t>Unclear</t>
        </is>
      </c>
      <c r="AS378" s="77" t="inlineStr"/>
    </row>
    <row r="379">
      <c r="A379" s="77" t="inlineStr">
        <is>
          <t>RG24</t>
        </is>
      </c>
      <c r="B379" s="77" t="inlineStr">
        <is>
          <t>York</t>
        </is>
      </c>
      <c r="C379" s="77" t="inlineStr">
        <is>
          <t>University-wide</t>
        </is>
      </c>
      <c r="D379" s="77" t="inlineStr">
        <is>
          <t>RG24-S01</t>
        </is>
      </c>
      <c r="E379" s="77" t="inlineStr"/>
      <c r="F379" s="77" t="inlineStr">
        <is>
          <t>Yes</t>
        </is>
      </c>
      <c r="G379" s="79" t="inlineStr">
        <is>
          <t>York Interdisciplinary Modules (YIMs)</t>
        </is>
      </c>
      <c r="H379" s="77" t="inlineStr">
        <is>
          <t>York Interdisciplinary Modules</t>
        </is>
      </c>
      <c r="I379" s="77" t="inlineStr"/>
      <c r="J379" s="77" t="inlineStr">
        <is>
          <t>Umbrella of 20-credit elective modules in which students from different disciplines work in multidisciplinary teams on sustainability-related challenges. Only some YIMs involve outside organisations: Sustainability Clinic (S1) and Climate Crisis Action Lab (S2) are recorded as child routes.</t>
        </is>
      </c>
      <c r="K379" s="77" t="inlineStr">
        <is>
          <t>Environmental Sustainability at York (ESAY) with participating departments</t>
        </is>
      </c>
      <c r="L379" s="77" t="inlineStr">
        <is>
          <t>Elective modules open (subject to timetable and department availability) to 3rd-year undergraduates and, for some modules, postgraduates</t>
        </is>
      </c>
      <c r="M379" s="77" t="inlineStr">
        <is>
          <t>Central provision</t>
        </is>
      </c>
      <c r="N379" s="77" t="inlineStr">
        <is>
          <t>Mixed</t>
        </is>
      </c>
      <c r="O379" s="77" t="inlineStr"/>
      <c r="P379" s="77" t="inlineStr"/>
      <c r="Q379" s="77" t="inlineStr">
        <is>
          <t>Optional/elective</t>
        </is>
      </c>
      <c r="R379" s="77" t="inlineStr">
        <is>
          <t>Curricular</t>
        </is>
      </c>
      <c r="S379" s="77" t="inlineStr">
        <is>
          <t>20 credits (elective)</t>
        </is>
      </c>
      <c r="T379" s="77" t="inlineStr"/>
      <c r="U379" s="77" t="inlineStr"/>
      <c r="V379" s="77" t="inlineStr">
        <is>
          <t>Unclear</t>
        </is>
      </c>
      <c r="W379" s="77" t="inlineStr">
        <is>
          <t>Umbrella; project content depends on module (src 1).</t>
        </is>
      </c>
      <c r="X379" s="77" t="inlineStr">
        <is>
          <t>Yes</t>
        </is>
      </c>
      <c r="Y379" s="77" t="inlineStr">
        <is>
          <t>Students work in multi-disciplinary teams (src 1).</t>
        </is>
      </c>
      <c r="Z379" s="77" t="inlineStr">
        <is>
          <t>Unclear</t>
        </is>
      </c>
      <c r="AA379" s="77" t="inlineStr">
        <is>
          <t>'Only in some YIMs do students work with outside organisations' such as community groups, small businesses, government bodies and/or NGOs (src 1, search paraphrase). Tested at child level.</t>
        </is>
      </c>
      <c r="AB379" s="77" t="inlineStr">
        <is>
          <t>Mixed</t>
        </is>
      </c>
      <c r="AC379" s="77" t="inlineStr"/>
      <c r="AD379" s="77" t="inlineStr"/>
      <c r="AE379" s="77" t="inlineStr"/>
      <c r="AF379" s="77">
        <f>IF(OR(V379="No",X379="No",Z379="No"),"Outside strict definition",IF(AND(V379="Yes",X379="Yes",Z379="Yes"),"Meets all three","Potentially relevant; evidence incomplete"))</f>
        <v/>
      </c>
      <c r="AG379" s="77" t="inlineStr">
        <is>
          <t>Current delivery confirmed</t>
        </is>
      </c>
      <c r="AH379" s="77" t="inlineStr">
        <is>
          <t>2026/27</t>
        </is>
      </c>
      <c r="AI379" s="77" t="inlineStr">
        <is>
          <t>No</t>
        </is>
      </c>
      <c r="AJ379" s="77">
        <f>IF(AND(AI379="Yes",AF379="Meets all three",AG379="Current delivery confirmed"),"Yes","No")</f>
        <v/>
      </c>
      <c r="AK379" s="77" t="inlineStr"/>
      <c r="AL379" s="77" t="inlineStr">
        <is>
          <t>RG24-S01-R1; RG24-S01-R2</t>
        </is>
      </c>
      <c r="AM379" s="77" t="inlineStr">
        <is>
          <t>Not counted separately; children S1, S2 carry the assessment. Other YIMs (e.g. Future of Food, Sustainability and Policy) not tested for external partners.</t>
        </is>
      </c>
      <c r="AN379" s="77" t="inlineStr">
        <is>
          <t>York Interdisciplinary Modules</t>
        </is>
      </c>
      <c r="AO379" s="77" t="inlineStr">
        <is>
          <t>UK</t>
        </is>
      </c>
      <c r="AP379" s="77" t="inlineStr">
        <is>
          <t>UK – Russell Group</t>
        </is>
      </c>
      <c r="AQ379" s="77" t="inlineStr">
        <is>
          <t>Unclear</t>
        </is>
      </c>
      <c r="AR379" s="77" t="inlineStr">
        <is>
          <t>Some projects</t>
        </is>
      </c>
      <c r="AS379" s="77" t="inlineStr">
        <is>
          <t>No (umbrella; children counted)</t>
        </is>
      </c>
    </row>
    <row r="380">
      <c r="A380" s="77" t="inlineStr">
        <is>
          <t>RG24</t>
        </is>
      </c>
      <c r="B380" s="77" t="inlineStr">
        <is>
          <t>York</t>
        </is>
      </c>
      <c r="C380" s="77" t="inlineStr">
        <is>
          <t>Cross-faculty</t>
        </is>
      </c>
      <c r="D380" s="77" t="inlineStr">
        <is>
          <t>RG24-S02</t>
        </is>
      </c>
      <c r="E380" s="77" t="inlineStr">
        <is>
          <t>RG24-S01</t>
        </is>
      </c>
      <c r="F380" s="77" t="inlineStr">
        <is>
          <t>No</t>
        </is>
      </c>
      <c r="G380" s="79" t="inlineStr">
        <is>
          <t>Sustainability Clinic</t>
        </is>
      </c>
      <c r="H380" s="77" t="inlineStr">
        <is>
          <t>Sustainability Clinic</t>
        </is>
      </c>
      <c r="I380" s="77" t="inlineStr">
        <is>
          <t>ESA00001H / ESA00002H / ESA00002M (elective); ENV00054H and ENV00111M (Environment and Geography versions)</t>
        </is>
      </c>
      <c r="J380" s="77" t="inlineStr">
        <is>
          <t>Multidisciplinary student teams (drawn from a range of departments) act on behalf of external clients on live real-world sustainability problems, supported by training, a project facilitator and university experts, and reflect on the project in an assessed report. Clients can be members of the public, local government, community groups, charities or businesses.</t>
        </is>
      </c>
      <c r="K380" s="77" t="inlineStr">
        <is>
          <t>Environmental Sustainability at York (ESAY) with Environment and Geography and participating departments</t>
        </is>
      </c>
      <c r="L380" s="77" t="inlineStr">
        <is>
          <t>Elective for 3rd-year undergraduates (semester 1, repeated semester 2) and postgraduates (semester 2) across departments, subject to timetable and department availability; core for 3rd-year Environment and Geography undergraduates (per search summary)</t>
        </is>
      </c>
      <c r="M380" s="77" t="inlineStr">
        <is>
          <t>Central provision; Science</t>
        </is>
      </c>
      <c r="N380" s="77" t="inlineStr">
        <is>
          <t>Mixed</t>
        </is>
      </c>
      <c r="O380" s="77" t="inlineStr">
        <is>
          <t>UG year 3; PGT</t>
        </is>
      </c>
      <c r="P380" s="77" t="inlineStr">
        <is>
          <t>Subject to timetable and department availability; not shown as open to every degree</t>
        </is>
      </c>
      <c r="Q380" s="77" t="inlineStr">
        <is>
          <t>Optional/elective</t>
        </is>
      </c>
      <c r="R380" s="77" t="inlineStr">
        <is>
          <t>Curricular</t>
        </is>
      </c>
      <c r="S380" s="77" t="inlineStr">
        <is>
          <t>20 credits; reflective report (2000 words UG ESA00001H 2025-26; 3000 words PG ENV00111M)</t>
        </is>
      </c>
      <c r="T380" s="77" t="inlineStr">
        <is>
          <t>One semester</t>
        </is>
      </c>
      <c r="U380" s="77" t="inlineStr">
        <is>
          <t>Team project with client, facilitator, training workshops</t>
        </is>
      </c>
      <c r="V380" s="77" t="inlineStr">
        <is>
          <t>Yes</t>
        </is>
      </c>
      <c r="W380" s="77" t="inlineStr">
        <is>
          <t>Students 'work on behalf of clients on live real-world sustainability problems'; learning outcomes include defining and undertaking a live project and understanding client needs (src 1,3).</t>
        </is>
      </c>
      <c r="X380" s="77" t="inlineStr">
        <is>
          <t>Yes</t>
        </is>
      </c>
      <c r="Y380" s="77" t="inlineStr">
        <is>
          <t>'All projects are tackled by multi-disciplinary student teams drawn from a range of Departments' (src 1).</t>
        </is>
      </c>
      <c r="Z380" s="77" t="inlineStr">
        <is>
          <t>Yes</t>
        </is>
      </c>
      <c r="AA380" s="77" t="inlineStr">
        <is>
          <t>Clients (external to the university) set the live problem and receive the project outputs: 'Clients could be members of the general public, local government, community groups, charities or businesses' (src 1). Named partners include Yorkshire Wildlife Trust, York Minster, North Yorkshire Moors Railway (src 2, undated).</t>
        </is>
      </c>
      <c r="AB380" s="77" t="inlineStr">
        <is>
          <t>Mixed</t>
        </is>
      </c>
      <c r="AC380" s="77" t="inlineStr">
        <is>
          <t>Supplies live problem as client; receives team outputs</t>
        </is>
      </c>
      <c r="AD380" s="77" t="inlineStr">
        <is>
          <t>Yorkshire Wildlife Trust, The Rugby Football League, York Minster, North Yorkshire Moors Railway (undated pages)</t>
        </is>
      </c>
      <c r="AE380" s="77" t="inlineStr">
        <is>
          <t>Client project outputs plus individual reflective report</t>
        </is>
      </c>
      <c r="AF380" s="77">
        <f>IF(OR(V380="No",X380="No",Z380="No"),"Outside strict definition",IF(AND(V380="Yes",X380="Yes",Z380="Yes"),"Meets all three","Potentially relevant; evidence incomplete"))</f>
        <v/>
      </c>
      <c r="AG380" s="77" t="inlineStr">
        <is>
          <t>Current delivery confirmed</t>
        </is>
      </c>
      <c r="AH380" s="77" t="inlineStr">
        <is>
          <t>2026/27</t>
        </is>
      </c>
      <c r="AI380" s="77" t="inlineStr">
        <is>
          <t>Yes</t>
        </is>
      </c>
      <c r="AJ380" s="77">
        <f>IF(AND(AI380="Yes",AF380="Meets all three",AG380="Current delivery confirmed"),"Yes","No")</f>
        <v/>
      </c>
      <c r="AK380" s="77" t="inlineStr">
        <is>
          <t>'Over 450 students and 65 partner organisations have taken part to date' (cumulative; university news page, search summary; year of statement unclear; a different page reports 69 organisations)</t>
        </is>
      </c>
      <c r="AL380" s="77" t="inlineStr">
        <is>
          <t>RG24-S02-R1; RG24-S02-R2; RG24-S02-R3; RG24-S02-R4</t>
        </is>
      </c>
      <c r="AM380" s="77" t="inlineStr">
        <is>
          <t>Eligibility is 'subject to department availability', so University-wide access not established (kept Cross-faculty, as legacy). Core status within Environment and Geography is from a search summary of the 2023-24/24-25 catalogue.</t>
        </is>
      </c>
      <c r="AN380" s="77" t="inlineStr">
        <is>
          <t>Sustainability Clinic</t>
        </is>
      </c>
      <c r="AO380" s="77" t="inlineStr">
        <is>
          <t>UK</t>
        </is>
      </c>
      <c r="AP380" s="77" t="inlineStr">
        <is>
          <t>UK – Russell Group</t>
        </is>
      </c>
      <c r="AQ380" s="77" t="inlineStr">
        <is>
          <t>~1 term/semester</t>
        </is>
      </c>
      <c r="AR380" s="77" t="inlineStr">
        <is>
          <t>All/standard</t>
        </is>
      </c>
      <c r="AS380" s="77" t="inlineStr"/>
    </row>
    <row r="381">
      <c r="A381" s="77" t="inlineStr">
        <is>
          <t>RG24</t>
        </is>
      </c>
      <c r="B381" s="77" t="inlineStr">
        <is>
          <t>York</t>
        </is>
      </c>
      <c r="C381" s="77" t="inlineStr">
        <is>
          <t>Cross-faculty</t>
        </is>
      </c>
      <c r="D381" s="77" t="inlineStr">
        <is>
          <t>RG24-S03</t>
        </is>
      </c>
      <c r="E381" s="77" t="inlineStr">
        <is>
          <t>RG24-S01</t>
        </is>
      </c>
      <c r="F381" s="77" t="inlineStr">
        <is>
          <t>No</t>
        </is>
      </c>
      <c r="G381" s="79" t="inlineStr">
        <is>
          <t>Climate Crisis Action Lab (Climate Crisis: Advocacy and Action YIM)</t>
        </is>
      </c>
      <c r="H381" s="77" t="inlineStr">
        <is>
          <t>Climate Crisis Action Lab</t>
        </is>
      </c>
      <c r="I381" s="77" t="inlineStr">
        <is>
          <t>ESA00003H</t>
        </is>
      </c>
      <c r="J381" s="77" t="inlineStr">
        <is>
          <t>Multidisciplinary teams (Chemistry, Environment and Geography, York Law School) receive a short brief from an outside organisation, likely a campaign group, assemble and assess evidence on the issue and produce a group report; a separate non-assessed client-facing output (report or campaign materials) is created for the client.</t>
        </is>
      </c>
      <c r="K381" s="77" t="inlineStr">
        <is>
          <t>Chemistry, Environment and Geography, York Law School (via ESAY)</t>
        </is>
      </c>
      <c r="L381" s="77" t="inlineStr">
        <is>
          <t>Elective, 3rd-year undergraduates (YIM)</t>
        </is>
      </c>
      <c r="M381" s="77" t="inlineStr">
        <is>
          <t>Central provision; Science; Other (law, health, design, architecture…)</t>
        </is>
      </c>
      <c r="N381" s="77" t="inlineStr">
        <is>
          <t>Undergraduate</t>
        </is>
      </c>
      <c r="O381" s="77" t="inlineStr">
        <is>
          <t>Year 3</t>
        </is>
      </c>
      <c r="P381" s="77" t="inlineStr"/>
      <c r="Q381" s="77" t="inlineStr">
        <is>
          <t>Optional/elective</t>
        </is>
      </c>
      <c r="R381" s="77" t="inlineStr">
        <is>
          <t>Curricular</t>
        </is>
      </c>
      <c r="S381" s="77" t="inlineStr">
        <is>
          <t>20 credits (YIM); group output and individual participation/contribution assessed</t>
        </is>
      </c>
      <c r="T381" s="77" t="inlineStr">
        <is>
          <t>One semester</t>
        </is>
      </c>
      <c r="U381" s="77" t="inlineStr">
        <is>
          <t>Multidisciplinary team project for a campaign-group client</t>
        </is>
      </c>
      <c r="V381" s="77" t="inlineStr">
        <is>
          <t>Yes</t>
        </is>
      </c>
      <c r="W381" s="77" t="inlineStr">
        <is>
          <t>Outside organisation gives a brief; teams produce evidence analysis and a group output plus a client-facing report or campaign materials (src 1).</t>
        </is>
      </c>
      <c r="X381" s="77" t="inlineStr">
        <is>
          <t>Yes</t>
        </is>
      </c>
      <c r="Y381" s="77" t="inlineStr">
        <is>
          <t>Students are split into multidisciplinary teams; group report assessed with individual contributions specified (src 1).</t>
        </is>
      </c>
      <c r="Z381" s="77" t="inlineStr">
        <is>
          <t>Yes</t>
        </is>
      </c>
      <c r="AA381" s="77" t="inlineStr">
        <is>
          <t>'Each year an outside organisation gives the team a short brief' - likely a campaign group such as the Environmental Law Foundation; client receives non-assessed output (src 1).</t>
        </is>
      </c>
      <c r="AB381" s="77" t="inlineStr">
        <is>
          <t>Charity/community</t>
        </is>
      </c>
      <c r="AC381" s="77" t="inlineStr">
        <is>
          <t>Sets brief; receives client-facing report/campaign materials</t>
        </is>
      </c>
      <c r="AD381" s="77" t="inlineStr">
        <is>
          <t>Environmental Law Foundation and Rights: Community: Action given as likely examples (not confirmed for a specific year)</t>
        </is>
      </c>
      <c r="AE381" s="77" t="inlineStr">
        <is>
          <t>Group report; client-facing report or campaign materials</t>
        </is>
      </c>
      <c r="AF381" s="77">
        <f>IF(OR(V381="No",X381="No",Z381="No"),"Outside strict definition",IF(AND(V381="Yes",X381="Yes",Z381="Yes"),"Meets all three","Potentially relevant; evidence incomplete"))</f>
        <v/>
      </c>
      <c r="AG381" s="77" t="inlineStr">
        <is>
          <t>Paused/discontinued</t>
        </is>
      </c>
      <c r="AH381" s="77" t="inlineStr">
        <is>
          <t>2025/26</t>
        </is>
      </c>
      <c r="AI381" s="77" t="inlineStr">
        <is>
          <t>Yes</t>
        </is>
      </c>
      <c r="AJ381" s="77">
        <f>IF(AND(AI381="Yes",AF381="Meets all three",AG381="Current delivery confirmed"),"Yes","No")</f>
        <v/>
      </c>
      <c r="AK381" s="77" t="inlineStr"/>
      <c r="AL381" s="77" t="inlineStr">
        <is>
          <t>RG24-S03-R1; RG24-S03-R2</t>
        </is>
      </c>
      <c r="AM381" s="77" t="inlineStr">
        <is>
          <t>York YIM teaching page states the module will not run in 2026/27, while a features page says it is available from 2026/27 - treated as not running in 2026/27 (verify with esay@york.ac.uk). Partner naming is 'likely', not confirmed for a cohort.</t>
        </is>
      </c>
      <c r="AN381" s="77" t="inlineStr"/>
      <c r="AO381" s="77" t="inlineStr">
        <is>
          <t>UK</t>
        </is>
      </c>
      <c r="AP381" s="77" t="inlineStr">
        <is>
          <t>UK – Russell Group</t>
        </is>
      </c>
      <c r="AQ381" s="77" t="inlineStr">
        <is>
          <t>~1 term/semester</t>
        </is>
      </c>
      <c r="AR381" s="77" t="inlineStr">
        <is>
          <t>All/standard</t>
        </is>
      </c>
      <c r="AS381" s="77" t="inlineStr"/>
    </row>
    <row r="382">
      <c r="A382" s="77" t="inlineStr">
        <is>
          <t>RG24</t>
        </is>
      </c>
      <c r="B382" s="77" t="inlineStr">
        <is>
          <t>York</t>
        </is>
      </c>
      <c r="C382" s="77" t="inlineStr">
        <is>
          <t>Cross-faculty</t>
        </is>
      </c>
      <c r="D382" s="77" t="inlineStr">
        <is>
          <t>RG24-S04</t>
        </is>
      </c>
      <c r="E382" s="77" t="inlineStr"/>
      <c r="F382" s="77" t="inlineStr">
        <is>
          <t>Yes</t>
        </is>
      </c>
      <c r="G382" s="79" t="inlineStr">
        <is>
          <t>Community Engaged Learning (CEL)</t>
        </is>
      </c>
      <c r="H382" s="77" t="inlineStr">
        <is>
          <t>Community Engaged Learning</t>
        </is>
      </c>
      <c r="I382" s="77" t="inlineStr"/>
      <c r="J382" s="77" t="inlineStr">
        <is>
          <t>Central CEL team (Staff teaching support) works with departments to embed student-team projects with community partners (charities, museums, schools) in taught modules. Children recorded: Public History Project (S3), Community Action Project (S4), Beyond the Book (S5); the Sustainability Clinic (S1) is also cited as a CEL module.</t>
        </is>
      </c>
      <c r="K382" s="77" t="inlineStr">
        <is>
          <t>Community Engaged Learning team, University of York</t>
        </is>
      </c>
      <c r="L382" s="77" t="inlineStr">
        <is>
          <t>Module-specific; e.g. Public History projects limited to History students</t>
        </is>
      </c>
      <c r="M382" s="77" t="inlineStr">
        <is>
          <t>Central provision; Arts/humanities/social sciences; Science</t>
        </is>
      </c>
      <c r="N382" s="77" t="inlineStr">
        <is>
          <t>Undergraduate</t>
        </is>
      </c>
      <c r="O382" s="77" t="inlineStr"/>
      <c r="P382" s="77" t="inlineStr"/>
      <c r="Q382" s="77" t="inlineStr">
        <is>
          <t>Unclear</t>
        </is>
      </c>
      <c r="R382" s="77" t="inlineStr">
        <is>
          <t>Curricular</t>
        </is>
      </c>
      <c r="S382" s="77" t="inlineStr"/>
      <c r="T382" s="77" t="inlineStr"/>
      <c r="U382" s="77" t="inlineStr"/>
      <c r="V382" s="77" t="inlineStr">
        <is>
          <t>Yes</t>
        </is>
      </c>
      <c r="W382" s="77" t="inlineStr">
        <is>
          <t>'Collaborate with external partners on real-world challenges' (src 1).</t>
        </is>
      </c>
      <c r="X382" s="77" t="inlineStr">
        <is>
          <t>Yes</t>
        </is>
      </c>
      <c r="Y382" s="77" t="inlineStr">
        <is>
          <t>Student-delivered team projects (src 1).</t>
        </is>
      </c>
      <c r="Z382" s="77" t="inlineStr">
        <is>
          <t>Unclear</t>
        </is>
      </c>
      <c r="AA382" s="77" t="inlineStr">
        <is>
          <t>Community partners (158 in 2024/25) - mostly charities/community organisations; mixed with some internal bodies in examples (src 1).</t>
        </is>
      </c>
      <c r="AB382" s="77" t="inlineStr">
        <is>
          <t>Mixed</t>
        </is>
      </c>
      <c r="AC382" s="77" t="inlineStr"/>
      <c r="AD382" s="77" t="inlineStr"/>
      <c r="AE382" s="77" t="inlineStr"/>
      <c r="AF382" s="77">
        <f>IF(OR(V382="No",X382="No",Z382="No"),"Outside strict definition",IF(AND(V382="Yes",X382="Yes",Z382="Yes"),"Meets all three","Potentially relevant; evidence incomplete"))</f>
        <v/>
      </c>
      <c r="AG382" s="77" t="inlineStr">
        <is>
          <t>Current delivery confirmed</t>
        </is>
      </c>
      <c r="AH382" s="77" t="inlineStr">
        <is>
          <t>2024/25</t>
        </is>
      </c>
      <c r="AI382" s="77" t="inlineStr">
        <is>
          <t>No</t>
        </is>
      </c>
      <c r="AJ382" s="77">
        <f>IF(AND(AI382="Yes",AF382="Meets all three",AG382="Current delivery confirmed"),"Yes","No")</f>
        <v/>
      </c>
      <c r="AK382" s="77" t="inlineStr">
        <is>
          <t>2024/25: 158 community partners, 1,424 students, 61 student-delivered projects (CEL staff page, as reported in search summary); another university page says CEL is in 12 taught modules across three faculties</t>
        </is>
      </c>
      <c r="AL382" s="77" t="inlineStr">
        <is>
          <t>RG24-S04-R1</t>
        </is>
      </c>
      <c r="AM382" s="77" t="inlineStr">
        <is>
          <t>Umbrella, not counted. The 12 CEL taught modules are not all identified; further departmental instances likely.</t>
        </is>
      </c>
      <c r="AN382" s="77" t="inlineStr"/>
      <c r="AO382" s="77" t="inlineStr">
        <is>
          <t>UK</t>
        </is>
      </c>
      <c r="AP382" s="77" t="inlineStr">
        <is>
          <t>UK – Russell Group</t>
        </is>
      </c>
      <c r="AQ382" s="77" t="inlineStr">
        <is>
          <t>Unclear</t>
        </is>
      </c>
      <c r="AR382" s="77" t="inlineStr">
        <is>
          <t>Unclear</t>
        </is>
      </c>
      <c r="AS382" s="77" t="inlineStr">
        <is>
          <t>No (umbrella; children counted)</t>
        </is>
      </c>
    </row>
    <row r="383">
      <c r="A383" s="77" t="inlineStr">
        <is>
          <t>RG24</t>
        </is>
      </c>
      <c r="B383" s="77" t="inlineStr">
        <is>
          <t>York</t>
        </is>
      </c>
      <c r="C383" s="77" t="inlineStr">
        <is>
          <t>Programme/course</t>
        </is>
      </c>
      <c r="D383" s="77" t="inlineStr">
        <is>
          <t>RG24-S05</t>
        </is>
      </c>
      <c r="E383" s="77" t="inlineStr">
        <is>
          <t>RG24-S04</t>
        </is>
      </c>
      <c r="F383" s="77" t="inlineStr">
        <is>
          <t>No</t>
        </is>
      </c>
      <c r="G383" s="79" t="inlineStr">
        <is>
          <t>Public History Project</t>
        </is>
      </c>
      <c r="H383" s="77" t="inlineStr">
        <is>
          <t>Public History Project</t>
        </is>
      </c>
      <c r="I383" s="77" t="inlineStr">
        <is>
          <t>HIS00130I</t>
        </is>
      </c>
      <c r="J383" s="77" t="inlineStr">
        <is>
          <t>Core Year 2 History module: small student teams produce a public history output (e.g. exhibition, school curriculum materials, walking tour/trail, podcast, spotlight talk for museum volunteers) to a brief from an external partner such as a museum or community group, supported by workshops and project facilitators; assessed by group presentation and individual reflection.</t>
        </is>
      </c>
      <c r="K383" s="77" t="inlineStr">
        <is>
          <t>Department of History</t>
        </is>
      </c>
      <c r="L383" s="77" t="inlineStr">
        <is>
          <t>BA History (core Year 2)</t>
        </is>
      </c>
      <c r="M383" s="77" t="inlineStr">
        <is>
          <t>Arts/humanities/social sciences</t>
        </is>
      </c>
      <c r="N383" s="77" t="inlineStr">
        <is>
          <t>Undergraduate</t>
        </is>
      </c>
      <c r="O383" s="77" t="inlineStr">
        <is>
          <t>Year 2</t>
        </is>
      </c>
      <c r="P383" s="77" t="inlineStr">
        <is>
          <t>History students only</t>
        </is>
      </c>
      <c r="Q383" s="77" t="inlineStr">
        <is>
          <t>Compulsory within specified programmes</t>
        </is>
      </c>
      <c r="R383" s="77" t="inlineStr">
        <is>
          <t>Curricular</t>
        </is>
      </c>
      <c r="S383" s="77" t="inlineStr">
        <is>
          <t>20 credits; group presentation and 1,500-word individual reflection</t>
        </is>
      </c>
      <c r="T383" s="77" t="inlineStr">
        <is>
          <t>Semester 1</t>
        </is>
      </c>
      <c r="U383" s="77" t="inlineStr">
        <is>
          <t>Team project for external partner</t>
        </is>
      </c>
      <c r="V383" s="77" t="inlineStr">
        <is>
          <t>Yes</t>
        </is>
      </c>
      <c r="W383" s="77" t="inlineStr">
        <is>
          <t>Teams work on a public history project to a partner brief; examples of outputs listed (src 1).</t>
        </is>
      </c>
      <c r="X383" s="77" t="inlineStr">
        <is>
          <t>Yes</t>
        </is>
      </c>
      <c r="Y383" s="77" t="inlineStr">
        <is>
          <t>'Students work in small teams'; summative group presentation (src 1).</t>
        </is>
      </c>
      <c r="Z383" s="77" t="inlineStr">
        <is>
          <t>Yes</t>
        </is>
      </c>
      <c r="AA383" s="77" t="inlineStr">
        <is>
          <t>Brief supplied by an external partner organisation such as a museum or community group; partner-use outputs (src 1).</t>
        </is>
      </c>
      <c r="AB383" s="77" t="inlineStr">
        <is>
          <t>Mixed</t>
        </is>
      </c>
      <c r="AC383" s="77" t="inlineStr">
        <is>
          <t>Provides project brief; recipient of output</t>
        </is>
      </c>
      <c r="AD383" s="77" t="inlineStr"/>
      <c r="AE383" s="77" t="inlineStr">
        <is>
          <t>Public history resource/event plus group presentation</t>
        </is>
      </c>
      <c r="AF383" s="77">
        <f>IF(OR(V383="No",X383="No",Z383="No"),"Outside strict definition",IF(AND(V383="Yes",X383="Yes",Z383="Yes"),"Meets all three","Potentially relevant; evidence incomplete"))</f>
        <v/>
      </c>
      <c r="AG383" s="77" t="inlineStr">
        <is>
          <t>Current delivery confirmed</t>
        </is>
      </c>
      <c r="AH383" s="77" t="inlineStr">
        <is>
          <t>2025/26</t>
        </is>
      </c>
      <c r="AI383" s="77" t="inlineStr">
        <is>
          <t>Yes</t>
        </is>
      </c>
      <c r="AJ383" s="77">
        <f>IF(AND(AI383="Yes",AF383="Meets all three",AG383="Current delivery confirmed"),"Yes","No")</f>
        <v/>
      </c>
      <c r="AK383" s="77" t="inlineStr"/>
      <c r="AL383" s="77" t="inlineStr">
        <is>
          <t>RG24-S05-R1; RG24-S05-R2</t>
        </is>
      </c>
      <c r="AM383" s="77" t="inlineStr">
        <is>
          <t>No 2026/27 entry seen; partners/mix of internal vs external (e.g. University archives) not enumerated.</t>
        </is>
      </c>
      <c r="AN383" s="77" t="inlineStr"/>
      <c r="AO383" s="77" t="inlineStr">
        <is>
          <t>UK</t>
        </is>
      </c>
      <c r="AP383" s="77" t="inlineStr">
        <is>
          <t>UK – Russell Group</t>
        </is>
      </c>
      <c r="AQ383" s="77" t="inlineStr">
        <is>
          <t>~1 term/semester</t>
        </is>
      </c>
      <c r="AR383" s="77" t="inlineStr">
        <is>
          <t>All/standard</t>
        </is>
      </c>
      <c r="AS383" s="77" t="inlineStr"/>
    </row>
    <row r="384">
      <c r="A384" s="77" t="inlineStr">
        <is>
          <t>RG24</t>
        </is>
      </c>
      <c r="B384" s="77" t="inlineStr">
        <is>
          <t>York</t>
        </is>
      </c>
      <c r="C384" s="77" t="inlineStr">
        <is>
          <t>Programme/course</t>
        </is>
      </c>
      <c r="D384" s="77" t="inlineStr">
        <is>
          <t>RG24-S06</t>
        </is>
      </c>
      <c r="E384" s="77" t="inlineStr">
        <is>
          <t>RG24-S04</t>
        </is>
      </c>
      <c r="F384" s="77" t="inlineStr">
        <is>
          <t>No</t>
        </is>
      </c>
      <c r="G384" s="79" t="inlineStr">
        <is>
          <t>Community Action Project</t>
        </is>
      </c>
      <c r="H384" s="77" t="inlineStr">
        <is>
          <t>Community Action Project</t>
        </is>
      </c>
      <c r="I384" s="77" t="inlineStr">
        <is>
          <t>PSY00075H</t>
        </is>
      </c>
      <c r="J384" s="77" t="inlineStr">
        <is>
          <t>Small student teams work to a brief from an external partner organisation (projects typically on mental health or wellbeing, often local charities), applying psychology to real problems and producing outputs for non-academic audiences, supported by project facilitators and skills workshops.</t>
        </is>
      </c>
      <c r="K384" s="77" t="inlineStr">
        <is>
          <t>Department of Psychology</t>
        </is>
      </c>
      <c r="L384" s="77" t="inlineStr">
        <is>
          <t>Psychology students (level H module); wider eligibility not established</t>
        </is>
      </c>
      <c r="M384" s="77" t="inlineStr">
        <is>
          <t>Science</t>
        </is>
      </c>
      <c r="N384" s="77" t="inlineStr">
        <is>
          <t>Undergraduate</t>
        </is>
      </c>
      <c r="O384" s="77" t="inlineStr"/>
      <c r="P384" s="77" t="inlineStr"/>
      <c r="Q384" s="77" t="inlineStr">
        <is>
          <t>Unclear</t>
        </is>
      </c>
      <c r="R384" s="77" t="inlineStr">
        <is>
          <t>Curricular</t>
        </is>
      </c>
      <c r="S384" s="77" t="inlineStr">
        <is>
          <t>20 credits</t>
        </is>
      </c>
      <c r="T384" s="77" t="inlineStr">
        <is>
          <t>Not stated in extract</t>
        </is>
      </c>
      <c r="U384" s="77" t="inlineStr">
        <is>
          <t>Team project for external partner</t>
        </is>
      </c>
      <c r="V384" s="77" t="inlineStr">
        <is>
          <t>Yes</t>
        </is>
      </c>
      <c r="W384" s="77" t="inlineStr">
        <is>
          <t>Teams deliver projects for non-academic audiences to partner brief (src 1).</t>
        </is>
      </c>
      <c r="X384" s="77" t="inlineStr">
        <is>
          <t>Yes</t>
        </is>
      </c>
      <c r="Y384" s="77" t="inlineStr">
        <is>
          <t>'Students will work in small teams to a brief provided by an external partner organisation' (src 1).</t>
        </is>
      </c>
      <c r="Z384" s="77" t="inlineStr">
        <is>
          <t>Yes</t>
        </is>
      </c>
      <c r="AA384" s="77" t="inlineStr">
        <is>
          <t>External partner organisation provides brief; CEL page says teams work with local charities to capture and analyse evidence of their impact (src 1,2).</t>
        </is>
      </c>
      <c r="AB384" s="77" t="inlineStr">
        <is>
          <t>Charity/community</t>
        </is>
      </c>
      <c r="AC384" s="77" t="inlineStr">
        <is>
          <t>Provides brief; receives outputs</t>
        </is>
      </c>
      <c r="AD384" s="77" t="inlineStr"/>
      <c r="AE384" s="77" t="inlineStr">
        <is>
          <t>Non-academic output (e.g. impact evidence analysis, resources)</t>
        </is>
      </c>
      <c r="AF384" s="77">
        <f>IF(OR(V384="No",X384="No",Z384="No"),"Outside strict definition",IF(AND(V384="Yes",X384="Yes",Z384="Yes"),"Meets all three","Potentially relevant; evidence incomplete"))</f>
        <v/>
      </c>
      <c r="AG384" s="77" t="inlineStr">
        <is>
          <t>Current delivery confirmed</t>
        </is>
      </c>
      <c r="AH384" s="77" t="inlineStr">
        <is>
          <t>2025/26</t>
        </is>
      </c>
      <c r="AI384" s="77" t="inlineStr">
        <is>
          <t>Yes</t>
        </is>
      </c>
      <c r="AJ384" s="77">
        <f>IF(AND(AI384="Yes",AF384="Meets all three",AG384="Current delivery confirmed"),"Yes","No")</f>
        <v/>
      </c>
      <c r="AK384" s="77" t="inlineStr"/>
      <c r="AL384" s="77" t="inlineStr">
        <is>
          <t>RG24-S06-R1; RG24-S06-R2</t>
        </is>
      </c>
      <c r="AM384" s="77" t="inlineStr">
        <is>
          <t>Whether compulsory/elective and open outside Psychology not shown; no named partners; 2026/27 specification reportedly available but not read.</t>
        </is>
      </c>
      <c r="AN384" s="77" t="inlineStr"/>
      <c r="AO384" s="77" t="inlineStr">
        <is>
          <t>UK</t>
        </is>
      </c>
      <c r="AP384" s="77" t="inlineStr">
        <is>
          <t>UK – Russell Group</t>
        </is>
      </c>
      <c r="AQ384" s="77" t="inlineStr">
        <is>
          <t>Unclear</t>
        </is>
      </c>
      <c r="AR384" s="77" t="inlineStr">
        <is>
          <t>All/standard</t>
        </is>
      </c>
      <c r="AS384" s="77" t="inlineStr"/>
    </row>
    <row r="385">
      <c r="A385" s="77" t="inlineStr">
        <is>
          <t>RG24</t>
        </is>
      </c>
      <c r="B385" s="77" t="inlineStr">
        <is>
          <t>York</t>
        </is>
      </c>
      <c r="C385" s="77" t="inlineStr">
        <is>
          <t>Programme/course</t>
        </is>
      </c>
      <c r="D385" s="77" t="inlineStr">
        <is>
          <t>RG24-S07</t>
        </is>
      </c>
      <c r="E385" s="77" t="inlineStr">
        <is>
          <t>RG24-S04</t>
        </is>
      </c>
      <c r="F385" s="77" t="inlineStr">
        <is>
          <t>No</t>
        </is>
      </c>
      <c r="G385" s="79" t="inlineStr">
        <is>
          <t>Beyond the Book: Community Projects - Semester 1</t>
        </is>
      </c>
      <c r="H385" s="77" t="inlineStr">
        <is>
          <t>Beyond the Book: Community Projects</t>
        </is>
      </c>
      <c r="I385" s="77" t="inlineStr">
        <is>
          <t>ENG00175I</t>
        </is>
      </c>
      <c r="J385" s="77" t="inlineStr">
        <is>
          <t>CEL module in English and Related Literature: each semester the CEL team sets up partner projects; students rank preferences and are allocated to project teams that deliver outputs (e.g. podcast, recipe book, event design, oral histories).</t>
        </is>
      </c>
      <c r="K385" s="77" t="inlineStr">
        <is>
          <t>Department of English and Related Literature with CEL team</t>
        </is>
      </c>
      <c r="L385" s="77" t="inlineStr">
        <is>
          <t>Not established beyond English</t>
        </is>
      </c>
      <c r="M385" s="77" t="inlineStr">
        <is>
          <t>Arts/humanities/social sciences</t>
        </is>
      </c>
      <c r="N385" s="77" t="inlineStr">
        <is>
          <t>Undergraduate</t>
        </is>
      </c>
      <c r="O385" s="77" t="inlineStr"/>
      <c r="P385" s="77" t="inlineStr"/>
      <c r="Q385" s="77" t="inlineStr">
        <is>
          <t>Unclear</t>
        </is>
      </c>
      <c r="R385" s="77" t="inlineStr">
        <is>
          <t>Curricular</t>
        </is>
      </c>
      <c r="S385" s="77" t="inlineStr">
        <is>
          <t>20 credits</t>
        </is>
      </c>
      <c r="T385" s="77" t="inlineStr">
        <is>
          <t>Semester 1</t>
        </is>
      </c>
      <c r="U385" s="77" t="inlineStr">
        <is>
          <t>Allocated team projects with partners</t>
        </is>
      </c>
      <c r="V385" s="77" t="inlineStr">
        <is>
          <t>Yes</t>
        </is>
      </c>
      <c r="W385" s="77" t="inlineStr">
        <is>
          <t>Listed pilot projects each have a defined output (podcast, book of recipes, event design, oral histories) (src 1).</t>
        </is>
      </c>
      <c r="X385" s="77" t="inlineStr">
        <is>
          <t>Yes</t>
        </is>
      </c>
      <c r="Y385" s="77" t="inlineStr">
        <is>
          <t>Students are allocated to 'project teams' based on ranked choices (src 1, search summary).</t>
        </is>
      </c>
      <c r="Z385" s="77" t="inlineStr">
        <is>
          <t>Unclear</t>
        </is>
      </c>
      <c r="AA385" s="77" t="inlineStr">
        <is>
          <t>Pilot partners include external bodies (York City of Sanctuary; York Mystery Plays) but also University-affiliated bodies (Borthwick Institute of Archives; York Festival of Ideas) - internal share undetermined.</t>
        </is>
      </c>
      <c r="AB385" s="77" t="inlineStr">
        <is>
          <t>Mixed</t>
        </is>
      </c>
      <c r="AC385" s="77" t="inlineStr">
        <is>
          <t>Hosts project / receives output</t>
        </is>
      </c>
      <c r="AD385" s="77" t="inlineStr">
        <is>
          <t>Borthwick Institute of Archives, York City of Sanctuary, York Festival of Ideas, York Mystery Plays (pilot projects, catalogue)</t>
        </is>
      </c>
      <c r="AE385" s="77" t="inlineStr">
        <is>
          <t>Project output for partner</t>
        </is>
      </c>
      <c r="AF385" s="77">
        <f>IF(OR(V385="No",X385="No",Z385="No"),"Outside strict definition",IF(AND(V385="Yes",X385="Yes",Z385="Yes"),"Meets all three","Potentially relevant; evidence incomplete"))</f>
        <v/>
      </c>
      <c r="AG385" s="77" t="inlineStr">
        <is>
          <t>Current delivery confirmed</t>
        </is>
      </c>
      <c r="AH385" s="77" t="inlineStr">
        <is>
          <t>2026/27</t>
        </is>
      </c>
      <c r="AI385" s="77" t="inlineStr">
        <is>
          <t>Yes</t>
        </is>
      </c>
      <c r="AJ385" s="77">
        <f>IF(AND(AI385="Yes",AF385="Meets all three",AG385="Current delivery confirmed"),"Yes","No")</f>
        <v/>
      </c>
      <c r="AK385" s="77" t="inlineStr"/>
      <c r="AL385" s="77" t="inlineStr">
        <is>
          <t>RG24-S07-R1</t>
        </is>
      </c>
      <c r="AM385" s="77" t="inlineStr">
        <is>
          <t>Mixed internal/external partners; partners for 2026/27 not published; C left Unclear per mixed-client ruling.</t>
        </is>
      </c>
      <c r="AN385" s="77" t="inlineStr"/>
      <c r="AO385" s="77" t="inlineStr">
        <is>
          <t>UK</t>
        </is>
      </c>
      <c r="AP385" s="77" t="inlineStr">
        <is>
          <t>UK – Russell Group</t>
        </is>
      </c>
      <c r="AQ385" s="77" t="inlineStr">
        <is>
          <t>~1 term/semester</t>
        </is>
      </c>
      <c r="AR385" s="77" t="inlineStr">
        <is>
          <t>Unclear</t>
        </is>
      </c>
      <c r="AS385" s="77" t="inlineStr"/>
    </row>
    <row r="386">
      <c r="A386" s="77" t="inlineStr">
        <is>
          <t>RG24</t>
        </is>
      </c>
      <c r="B386" s="77" t="inlineStr">
        <is>
          <t>York</t>
        </is>
      </c>
      <c r="C386" s="77" t="inlineStr">
        <is>
          <t>Programme/course</t>
        </is>
      </c>
      <c r="D386" s="77" t="inlineStr">
        <is>
          <t>RG24-S08</t>
        </is>
      </c>
      <c r="E386" s="77" t="inlineStr"/>
      <c r="F386" s="77" t="inlineStr">
        <is>
          <t>No</t>
        </is>
      </c>
      <c r="G386" s="79" t="inlineStr">
        <is>
          <t>Student consultancy projects / Business Consultancy Project</t>
        </is>
      </c>
      <c r="H386" s="77" t="inlineStr">
        <is>
          <t>Undergraduate Business Consultancy Project</t>
        </is>
      </c>
      <c r="I386" s="77" t="inlineStr">
        <is>
          <t>MAN00019H</t>
        </is>
      </c>
      <c r="J386" s="77" t="inlineStr">
        <is>
          <t>Undergraduate students deliver a six-week part-time consultancy assignment in groups for individual external clients (businesses, charities, public-sector bodies) on a client-specified project; linked to a 20-credit Business Consultancy Project option module covering client relations and presenting recommendations. Examples: ethical policy template for a food manufacturer, visitor-growth strategy for a charity site, market research for a small cosmetics firm.</t>
        </is>
      </c>
      <c r="K386" s="77" t="inlineStr">
        <is>
          <t>School for Business and Society / York Management School</t>
        </is>
      </c>
      <c r="L386" s="77" t="inlineStr">
        <is>
          <t>Option in BA Business and Society (and with a year in industry) and BSc Accounting, Business Finance and Management; other programmes not confirmed</t>
        </is>
      </c>
      <c r="M386" s="77" t="inlineStr">
        <is>
          <t>Business/management</t>
        </is>
      </c>
      <c r="N386" s="77" t="inlineStr">
        <is>
          <t>Undergraduate</t>
        </is>
      </c>
      <c r="O386" s="77" t="inlineStr">
        <is>
          <t>Year 3 (Year 4 with industry year)</t>
        </is>
      </c>
      <c r="P386" s="77" t="inlineStr"/>
      <c r="Q386" s="77" t="inlineStr">
        <is>
          <t>Optional/elective</t>
        </is>
      </c>
      <c r="R386" s="77" t="inlineStr">
        <is>
          <t>Curricular</t>
        </is>
      </c>
      <c r="S386" s="77" t="inlineStr">
        <is>
          <t>20 credits; 60% coursework, 40% groupwork</t>
        </is>
      </c>
      <c r="T386" s="77" t="inlineStr">
        <is>
          <t>Six-week part-time assignment within Semester 2 (project Jan-Mar)</t>
        </is>
      </c>
      <c r="U386" s="77" t="inlineStr">
        <is>
          <t>Group consultancy for client</t>
        </is>
      </c>
      <c r="V386" s="77" t="inlineStr">
        <is>
          <t>Yes</t>
        </is>
      </c>
      <c r="W386" s="77" t="inlineStr">
        <is>
          <t>Problem definition to final report; client-specified project (src 1,2).</t>
        </is>
      </c>
      <c r="X386" s="77" t="inlineStr">
        <is>
          <t>Yes</t>
        </is>
      </c>
      <c r="Y386" s="77" t="inlineStr">
        <is>
          <t>'Undergraduate students deliver a six-week part-time consultancy assignment in groups for individual clients' (src 2); 40% groupwork assessment (src 1).</t>
        </is>
      </c>
      <c r="Z386" s="77" t="inlineStr">
        <is>
          <t>Yes</t>
        </is>
      </c>
      <c r="AA386" s="77" t="inlineStr">
        <is>
          <t>Clients (businesses, charities, public sector) specify the project and receive the consultancy output (src 2).</t>
        </is>
      </c>
      <c r="AB386" s="77" t="inlineStr">
        <is>
          <t>Mixed</t>
        </is>
      </c>
      <c r="AC386" s="77" t="inlineStr">
        <is>
          <t>Client: specifies project and receives deliverable</t>
        </is>
      </c>
      <c r="AD386" s="77" t="inlineStr"/>
      <c r="AE386" s="77" t="inlineStr">
        <is>
          <t>Consultancy report/recommendations to client</t>
        </is>
      </c>
      <c r="AF386" s="77">
        <f>IF(OR(V386="No",X386="No",Z386="No"),"Outside strict definition",IF(AND(V386="Yes",X386="Yes",Z386="Yes"),"Meets all three","Potentially relevant; evidence incomplete"))</f>
        <v/>
      </c>
      <c r="AG386" s="77" t="inlineStr">
        <is>
          <t>Current delivery confirmed</t>
        </is>
      </c>
      <c r="AH386" s="77" t="inlineStr">
        <is>
          <t>2026/27</t>
        </is>
      </c>
      <c r="AI386" s="77" t="inlineStr">
        <is>
          <t>Yes</t>
        </is>
      </c>
      <c r="AJ386" s="77">
        <f>IF(AND(AI386="Yes",AF386="Meets all three",AG386="Current delivery confirmed"),"Yes","No")</f>
        <v/>
      </c>
      <c r="AK386" s="77" t="inlineStr"/>
      <c r="AL386" s="77" t="inlineStr">
        <is>
          <t>RG24-S08-R1; RG24-S08-R2; RG24-S08-R3</t>
        </is>
      </c>
      <c r="AM386" s="77" t="inlineStr">
        <is>
          <t>Linkage between the consultancy web page and the module is from search-summary reading of degree pages; module entry itself mentions client relations but not named clients. No named partners or participation numbers. Duration of the client assignment is six weeks (band reflects client phase; module runs one semester).</t>
        </is>
      </c>
      <c r="AN386" s="77" t="inlineStr"/>
      <c r="AO386" s="77" t="inlineStr">
        <is>
          <t>UK</t>
        </is>
      </c>
      <c r="AP386" s="77" t="inlineStr">
        <is>
          <t>UK – Russell Group</t>
        </is>
      </c>
      <c r="AQ386" s="77" t="inlineStr">
        <is>
          <t>~1 term/semester</t>
        </is>
      </c>
      <c r="AR386" s="77" t="inlineStr">
        <is>
          <t>All/standard</t>
        </is>
      </c>
      <c r="AS386" s="77" t="inlineStr"/>
    </row>
    <row r="387">
      <c r="A387" s="77" t="inlineStr">
        <is>
          <t>RG24</t>
        </is>
      </c>
      <c r="B387" s="77" t="inlineStr">
        <is>
          <t>York</t>
        </is>
      </c>
      <c r="C387" s="77" t="inlineStr">
        <is>
          <t>Programme/course</t>
        </is>
      </c>
      <c r="D387" s="77" t="inlineStr">
        <is>
          <t>RG24-S09</t>
        </is>
      </c>
      <c r="E387" s="77" t="inlineStr"/>
      <c r="F387" s="77" t="inlineStr">
        <is>
          <t>No</t>
        </is>
      </c>
      <c r="G387" s="79" t="inlineStr">
        <is>
          <t>MSc Management applied (work-based) dissertation with live business projects</t>
        </is>
      </c>
      <c r="H387" s="77" t="inlineStr">
        <is>
          <t>Work-based dissertation</t>
        </is>
      </c>
      <c r="I387" s="77" t="inlineStr"/>
      <c r="J387" s="77" t="inlineStr">
        <is>
          <t>Applied dissertation route on MSc Management: students work in small groups with a single company on a live business challenge (strategy, leadership, sustainability, supply chains), with a Project Coordinator managing introductions and check-ins with the business; completion certificate awarded.</t>
        </is>
      </c>
      <c r="K387" s="77" t="inlineStr">
        <is>
          <t>York Management School</t>
        </is>
      </c>
      <c r="L387" s="77" t="inlineStr">
        <is>
          <t>MSc Management (similar applied routes appear on other York MSc pages but are unconfirmed)</t>
        </is>
      </c>
      <c r="M387" s="77" t="inlineStr">
        <is>
          <t>Business/management</t>
        </is>
      </c>
      <c r="N387" s="77" t="inlineStr">
        <is>
          <t>Postgraduate taught</t>
        </is>
      </c>
      <c r="O387" s="77" t="inlineStr"/>
      <c r="P387" s="77" t="inlineStr"/>
      <c r="Q387" s="77" t="inlineStr">
        <is>
          <t>Optional/elective</t>
        </is>
      </c>
      <c r="R387" s="77" t="inlineStr">
        <is>
          <t>Curricular</t>
        </is>
      </c>
      <c r="S387" s="77" t="inlineStr">
        <is>
          <t>Dissertation route (credit not stated in extract)</t>
        </is>
      </c>
      <c r="T387" s="77" t="inlineStr">
        <is>
          <t>Dissertation period (not stated)</t>
        </is>
      </c>
      <c r="U387" s="77" t="inlineStr">
        <is>
          <t>Small-group live project</t>
        </is>
      </c>
      <c r="V387" s="77" t="inlineStr">
        <is>
          <t>Yes</t>
        </is>
      </c>
      <c r="W387" s="77" t="inlineStr">
        <is>
          <t>'Actual, live challenges set by businesses' (src 1).</t>
        </is>
      </c>
      <c r="X387" s="77" t="inlineStr">
        <is>
          <t>Yes</t>
        </is>
      </c>
      <c r="Y387" s="77" t="inlineStr">
        <is>
          <t>'Working in small groups with a single company' (src 1, search summary); note: reassessment of whether the output is a joint deliverable or individual dissertation not verified.</t>
        </is>
      </c>
      <c r="Z387" s="77" t="inlineStr">
        <is>
          <t>Yes</t>
        </is>
      </c>
      <c r="AA387" s="77" t="inlineStr">
        <is>
          <t>Challenges set by businesses; check-ins with the business through project coordinator; past partners Optio Group, Think Consulting Solutions, Gong Cha Global (src 1).</t>
        </is>
      </c>
      <c r="AB387" s="77" t="inlineStr">
        <is>
          <t>Business/commercial</t>
        </is>
      </c>
      <c r="AC387" s="77" t="inlineStr">
        <is>
          <t>Sets challenge; ongoing check-ins</t>
        </is>
      </c>
      <c r="AD387" s="77" t="inlineStr">
        <is>
          <t>Optio Group, Think Consulting Solutions, Gong Cha Global (undated course page)</t>
        </is>
      </c>
      <c r="AE387" s="77" t="inlineStr">
        <is>
          <t>Applied dissertation/report for business</t>
        </is>
      </c>
      <c r="AF387" s="77">
        <f>IF(OR(V387="No",X387="No",Z387="No"),"Outside strict definition",IF(AND(V387="Yes",X387="Yes",Z387="Yes"),"Meets all three","Potentially relevant; evidence incomplete"))</f>
        <v/>
      </c>
      <c r="AG387" s="77" t="inlineStr">
        <is>
          <t>Current status unclear</t>
        </is>
      </c>
      <c r="AH387" s="77" t="inlineStr">
        <is>
          <t>undated</t>
        </is>
      </c>
      <c r="AI387" s="77" t="inlineStr">
        <is>
          <t>Yes</t>
        </is>
      </c>
      <c r="AJ387" s="77">
        <f>IF(AND(AI387="Yes",AF387="Meets all three",AG387="Current delivery confirmed"),"Yes","No")</f>
        <v/>
      </c>
      <c r="AK387" s="77" t="inlineStr"/>
      <c r="AL387" s="77" t="inlineStr">
        <is>
          <t>RG24-S09-R1</t>
        </is>
      </c>
      <c r="AM387" s="77" t="inlineStr">
        <is>
          <t>Course page undated and no dated corroboration; whether the final assessed output is individual (dissertation) or group not confirmed - B should be re-verified.</t>
        </is>
      </c>
      <c r="AN387" s="77" t="inlineStr"/>
      <c r="AO387" s="77" t="inlineStr">
        <is>
          <t>UK</t>
        </is>
      </c>
      <c r="AP387" s="77" t="inlineStr">
        <is>
          <t>UK – Russell Group</t>
        </is>
      </c>
      <c r="AQ387" s="77" t="inlineStr">
        <is>
          <t>Unclear</t>
        </is>
      </c>
      <c r="AR387" s="77" t="inlineStr">
        <is>
          <t>All/standard</t>
        </is>
      </c>
      <c r="AS387" s="77" t="inlineStr"/>
    </row>
    <row r="388">
      <c r="A388" s="77" t="inlineStr">
        <is>
          <t>RG24</t>
        </is>
      </c>
      <c r="B388" s="77" t="inlineStr">
        <is>
          <t>York</t>
        </is>
      </c>
      <c r="C388" s="77" t="inlineStr">
        <is>
          <t>Programme/course</t>
        </is>
      </c>
      <c r="D388" s="77" t="inlineStr">
        <is>
          <t>RG24-S10</t>
        </is>
      </c>
      <c r="E388" s="77" t="inlineStr"/>
      <c r="F388" s="77" t="inlineStr">
        <is>
          <t>No</t>
        </is>
      </c>
      <c r="G388" s="79" t="inlineStr">
        <is>
          <t>Group Sustainable Business Project</t>
        </is>
      </c>
      <c r="H388" s="77" t="inlineStr">
        <is>
          <t>Group Sustainable Business Project</t>
        </is>
      </c>
      <c r="I388" s="77" t="inlineStr">
        <is>
          <t>ENV00120M</t>
        </is>
      </c>
      <c r="J388" s="77" t="inlineStr">
        <is>
          <t>Core module of the MSc Sustainable Business (York-Maastricht): student groups develop and implement projects from broad ideas defined by business partners, with workshops, weekly meetings with business partners and seminars where staff and industry partners review the report.</t>
        </is>
      </c>
      <c r="K388" s="77" t="inlineStr">
        <is>
          <t>Department of Environment and Geography</t>
        </is>
      </c>
      <c r="L388" s="77" t="inlineStr">
        <is>
          <t>MSc Sustainable Business: Leadership, Innovation and Management (core)</t>
        </is>
      </c>
      <c r="M388" s="77" t="inlineStr">
        <is>
          <t>Business/management; Science</t>
        </is>
      </c>
      <c r="N388" s="77" t="inlineStr">
        <is>
          <t>Postgraduate taught</t>
        </is>
      </c>
      <c r="O388" s="77" t="inlineStr"/>
      <c r="P388" s="77" t="inlineStr"/>
      <c r="Q388" s="77" t="inlineStr">
        <is>
          <t>Compulsory within specified programmes</t>
        </is>
      </c>
      <c r="R388" s="77" t="inlineStr">
        <is>
          <t>Curricular</t>
        </is>
      </c>
      <c r="S388" s="77" t="inlineStr">
        <is>
          <t>20 credits; individual report built on group project report proposal</t>
        </is>
      </c>
      <c r="T388" s="77" t="inlineStr">
        <is>
          <t>Semester 2</t>
        </is>
      </c>
      <c r="U388" s="77" t="inlineStr">
        <is>
          <t>Group project with business partners</t>
        </is>
      </c>
      <c r="V388" s="77" t="inlineStr">
        <is>
          <t>Yes</t>
        </is>
      </c>
      <c r="W388" s="77" t="inlineStr">
        <is>
          <t>Projects developed from broad ideas defined by business partners; group proposal and report (src 1).</t>
        </is>
      </c>
      <c r="X388" s="77" t="inlineStr">
        <is>
          <t>Yes</t>
        </is>
      </c>
      <c r="Y388" s="77" t="inlineStr">
        <is>
          <t>'Developed and implemented by student groups'; group proposal (src 1).</t>
        </is>
      </c>
      <c r="Z388" s="77" t="inlineStr">
        <is>
          <t>Yes</t>
        </is>
      </c>
      <c r="AA388" s="77" t="inlineStr">
        <is>
          <t>Business partners define ideas, meet groups weekly and review reports in seminars (src 1); course page describes collaborating with an external organisation committed to sustainable business (src 2).</t>
        </is>
      </c>
      <c r="AB388" s="77" t="inlineStr">
        <is>
          <t>Business/commercial</t>
        </is>
      </c>
      <c r="AC388" s="77" t="inlineStr">
        <is>
          <t>Defines project idea; weekly meetings; reviews reports</t>
        </is>
      </c>
      <c r="AD388" s="77" t="inlineStr"/>
      <c r="AE388" s="77" t="inlineStr">
        <is>
          <t>Group proposal and individual sustainable business report</t>
        </is>
      </c>
      <c r="AF388" s="77">
        <f>IF(OR(V388="No",X388="No",Z388="No"),"Outside strict definition",IF(AND(V388="Yes",X388="Yes",Z388="Yes"),"Meets all three","Potentially relevant; evidence incomplete"))</f>
        <v/>
      </c>
      <c r="AG388" s="77" t="inlineStr">
        <is>
          <t>Current delivery confirmed</t>
        </is>
      </c>
      <c r="AH388" s="77" t="inlineStr">
        <is>
          <t>2025/26</t>
        </is>
      </c>
      <c r="AI388" s="77" t="inlineStr">
        <is>
          <t>Yes</t>
        </is>
      </c>
      <c r="AJ388" s="77">
        <f>IF(AND(AI388="Yes",AF388="Meets all three",AG388="Current delivery confirmed"),"Yes","No")</f>
        <v/>
      </c>
      <c r="AK388" s="77" t="inlineStr"/>
      <c r="AL388" s="77" t="inlineStr">
        <is>
          <t>RG24-S10-R1; RG24-S10-R2</t>
        </is>
      </c>
      <c r="AM388" s="77" t="inlineStr">
        <is>
          <t>No named partners; 2026/27 specification exists but not seen; final report is individual though prepared within a group project.</t>
        </is>
      </c>
      <c r="AN388" s="77" t="inlineStr"/>
      <c r="AO388" s="77" t="inlineStr">
        <is>
          <t>UK</t>
        </is>
      </c>
      <c r="AP388" s="77" t="inlineStr">
        <is>
          <t>UK – Russell Group</t>
        </is>
      </c>
      <c r="AQ388" s="77" t="inlineStr">
        <is>
          <t>~1 term/semester</t>
        </is>
      </c>
      <c r="AR388" s="77" t="inlineStr">
        <is>
          <t>All/standard</t>
        </is>
      </c>
      <c r="AS388" s="77" t="inlineStr"/>
    </row>
    <row r="389">
      <c r="A389" s="77" t="inlineStr">
        <is>
          <t>RG24</t>
        </is>
      </c>
      <c r="B389" s="77" t="inlineStr">
        <is>
          <t>York</t>
        </is>
      </c>
      <c r="C389" s="77" t="inlineStr">
        <is>
          <t>Programme/course</t>
        </is>
      </c>
      <c r="D389" s="77" t="inlineStr">
        <is>
          <t>RG24-S11</t>
        </is>
      </c>
      <c r="E389" s="77" t="inlineStr"/>
      <c r="F389" s="77" t="inlineStr">
        <is>
          <t>No</t>
        </is>
      </c>
      <c r="G389" s="79" t="inlineStr">
        <is>
          <t>Migrants' Rights: Law and Policy Clinic</t>
        </is>
      </c>
      <c r="H389" s="77" t="inlineStr">
        <is>
          <t>Migrants' Rights: Law and Policy Clinic</t>
        </is>
      </c>
      <c r="I389" s="77" t="inlineStr">
        <is>
          <t>LAW00093H</t>
        </is>
      </c>
      <c r="J389" s="77" t="inlineStr">
        <is>
          <t>Small student groups each advise on two cases from charities and organisations working with migrants (Citizens Advice, migrant centres, local authorities, homelessness and domestic-violence charities) treated as clients, producing written advice letters and a briefing on possible law/policy change.</t>
        </is>
      </c>
      <c r="K389" s="77" t="inlineStr">
        <is>
          <t>York Law School</t>
        </is>
      </c>
      <c r="L389" s="77" t="inlineStr">
        <is>
          <t>Law students (level H); eligibility not further established</t>
        </is>
      </c>
      <c r="M389" s="77" t="inlineStr">
        <is>
          <t>Other (law, health, design, architecture…)</t>
        </is>
      </c>
      <c r="N389" s="77" t="inlineStr">
        <is>
          <t>Undergraduate</t>
        </is>
      </c>
      <c r="O389" s="77" t="inlineStr"/>
      <c r="P389" s="77" t="inlineStr"/>
      <c r="Q389" s="77" t="inlineStr">
        <is>
          <t>Optional/elective</t>
        </is>
      </c>
      <c r="R389" s="77" t="inlineStr">
        <is>
          <t>Curricular</t>
        </is>
      </c>
      <c r="S389" s="77" t="inlineStr">
        <is>
          <t>Not stated in extract</t>
        </is>
      </c>
      <c r="T389" s="77" t="inlineStr"/>
      <c r="U389" s="77" t="inlineStr"/>
      <c r="V389" s="77" t="inlineStr">
        <is>
          <t>Yes</t>
        </is>
      </c>
      <c r="W389" s="77" t="inlineStr">
        <is>
          <t>Advice letters per case plus policy briefing (src 1).</t>
        </is>
      </c>
      <c r="X389" s="77" t="inlineStr">
        <is>
          <t>Yes</t>
        </is>
      </c>
      <c r="Y389" s="77" t="inlineStr">
        <is>
          <t>'Each group will advise on two cases' (src 1).</t>
        </is>
      </c>
      <c r="Z389" s="77" t="inlineStr">
        <is>
          <t>Yes</t>
        </is>
      </c>
      <c r="AA389" s="77" t="inlineStr">
        <is>
          <t>'Cases are likely to come from charities and organisations working with migrants. These organisations will be treated as clients' (src 1) - hedged wording.</t>
        </is>
      </c>
      <c r="AB389" s="77" t="inlineStr">
        <is>
          <t>Mixed</t>
        </is>
      </c>
      <c r="AC389" s="77" t="inlineStr">
        <is>
          <t>Client commissioning written advice</t>
        </is>
      </c>
      <c r="AD389" s="77" t="inlineStr"/>
      <c r="AE389" s="77" t="inlineStr">
        <is>
          <t>Written advice letters; law/policy briefing</t>
        </is>
      </c>
      <c r="AF389" s="77">
        <f>IF(OR(V389="No",X389="No",Z389="No"),"Outside strict definition",IF(AND(V389="Yes",X389="Yes",Z389="Yes"),"Meets all three","Potentially relevant; evidence incomplete"))</f>
        <v/>
      </c>
      <c r="AG389" s="77" t="inlineStr">
        <is>
          <t>Current status unclear</t>
        </is>
      </c>
      <c r="AH389" s="77" t="inlineStr">
        <is>
          <t>2024/25</t>
        </is>
      </c>
      <c r="AI389" s="77" t="inlineStr">
        <is>
          <t>Yes</t>
        </is>
      </c>
      <c r="AJ389" s="77">
        <f>IF(AND(AI389="Yes",AF389="Meets all three",AG389="Current delivery confirmed"),"Yes","No")</f>
        <v/>
      </c>
      <c r="AK389" s="77" t="inlineStr"/>
      <c r="AL389" s="77" t="inlineStr">
        <is>
          <t>RG24-S11-R1; RG24-S11-R2</t>
        </is>
      </c>
      <c r="AM389" s="77" t="inlineStr">
        <is>
          <t>Only a 2024-25 catalogue entry and an undated clinic page seen; no 2025/26 or 2026/27 confirmation; 'likely to come from' hedge.</t>
        </is>
      </c>
      <c r="AN389" s="77" t="inlineStr"/>
      <c r="AO389" s="77" t="inlineStr">
        <is>
          <t>UK</t>
        </is>
      </c>
      <c r="AP389" s="77" t="inlineStr">
        <is>
          <t>UK – Russell Group</t>
        </is>
      </c>
      <c r="AQ389" s="77" t="inlineStr">
        <is>
          <t>~1 term/semester</t>
        </is>
      </c>
      <c r="AR389" s="77" t="inlineStr">
        <is>
          <t>All/standard</t>
        </is>
      </c>
      <c r="AS389" s="77" t="inlineStr"/>
    </row>
    <row r="390">
      <c r="A390" s="77" t="inlineStr">
        <is>
          <t>RG24</t>
        </is>
      </c>
      <c r="B390" s="77" t="inlineStr">
        <is>
          <t>York</t>
        </is>
      </c>
      <c r="C390" s="77" t="inlineStr">
        <is>
          <t>Programme/course</t>
        </is>
      </c>
      <c r="D390" s="77" t="inlineStr">
        <is>
          <t>RG24-S12</t>
        </is>
      </c>
      <c r="E390" s="77" t="inlineStr"/>
      <c r="F390" s="77" t="inlineStr">
        <is>
          <t>No</t>
        </is>
      </c>
      <c r="G390" s="79" t="inlineStr">
        <is>
          <t>Education STEP 1 programme</t>
        </is>
      </c>
      <c r="H390" s="77" t="inlineStr">
        <is>
          <t>Education STEP 1 first-year employer/community challenge</t>
        </is>
      </c>
      <c r="I390" s="77" t="inlineStr"/>
      <c r="J390" s="77" t="inlineStr">
        <is>
          <t>Education-exclusive first-year programme in which teams solve a real-world educational problem presented by a community partner / industry employer, researching the issue and presenting a solution to the partner.</t>
        </is>
      </c>
      <c r="K390" s="77" t="inlineStr">
        <is>
          <t>Department of Education</t>
        </is>
      </c>
      <c r="L390" s="77" t="inlineStr">
        <is>
          <t>First-year Education students</t>
        </is>
      </c>
      <c r="M390" s="77" t="inlineStr">
        <is>
          <t>Arts/humanities/social sciences</t>
        </is>
      </c>
      <c r="N390" s="77" t="inlineStr">
        <is>
          <t>Undergraduate</t>
        </is>
      </c>
      <c r="O390" s="77" t="inlineStr">
        <is>
          <t>Year 1</t>
        </is>
      </c>
      <c r="P390" s="77" t="inlineStr"/>
      <c r="Q390" s="77" t="inlineStr">
        <is>
          <t>Unclear</t>
        </is>
      </c>
      <c r="R390" s="77" t="inlineStr">
        <is>
          <t>Unclear</t>
        </is>
      </c>
      <c r="S390" s="77" t="inlineStr"/>
      <c r="T390" s="77" t="inlineStr"/>
      <c r="U390" s="77" t="inlineStr"/>
      <c r="V390" s="77" t="inlineStr">
        <is>
          <t>Yes</t>
        </is>
      </c>
      <c r="W390" s="77" t="inlineStr">
        <is>
          <t>Defined challenge; solution researched and presented to the partner (src 1).</t>
        </is>
      </c>
      <c r="X390" s="77" t="inlineStr">
        <is>
          <t>Yes</t>
        </is>
      </c>
      <c r="Y390" s="77" t="inlineStr">
        <is>
          <t>'Students work in teams' (src 1).</t>
        </is>
      </c>
      <c r="Z390" s="77" t="inlineStr">
        <is>
          <t>Yes</t>
        </is>
      </c>
      <c r="AA390" s="77" t="inlineStr">
        <is>
          <t>Challenge supplied by community partner/employer; solution presented to the partner (src 1).</t>
        </is>
      </c>
      <c r="AB390" s="77" t="inlineStr">
        <is>
          <t>Unclear</t>
        </is>
      </c>
      <c r="AC390" s="77" t="inlineStr">
        <is>
          <t>Sets challenge; receives presentation</t>
        </is>
      </c>
      <c r="AD390" s="77" t="inlineStr"/>
      <c r="AE390" s="77" t="inlineStr">
        <is>
          <t>Team solution presentation</t>
        </is>
      </c>
      <c r="AF390" s="77">
        <f>IF(OR(V390="No",X390="No",Z390="No"),"Outside strict definition",IF(AND(V390="Yes",X390="Yes",Z390="Yes"),"Meets all three","Potentially relevant; evidence incomplete"))</f>
        <v/>
      </c>
      <c r="AG390" s="77" t="inlineStr">
        <is>
          <t>Current status unclear</t>
        </is>
      </c>
      <c r="AH390" s="77" t="inlineStr">
        <is>
          <t>undated</t>
        </is>
      </c>
      <c r="AI390" s="77" t="inlineStr">
        <is>
          <t>Yes</t>
        </is>
      </c>
      <c r="AJ390" s="77">
        <f>IF(AND(AI390="Yes",AF390="Meets all three",AG390="Current delivery confirmed"),"Yes","No")</f>
        <v/>
      </c>
      <c r="AK390" s="77" t="inlineStr"/>
      <c r="AL390" s="77" t="inlineStr">
        <is>
          <t>RG24-S12-R1</t>
        </is>
      </c>
      <c r="AM390" s="77" t="inlineStr">
        <is>
          <t>Single undated careers page; no module catalogue entry found; credit-bearing status, duration, partners and whether currently running unknown; partner described both as 'industry employer' and 'community partner'.</t>
        </is>
      </c>
      <c r="AN390" s="77" t="inlineStr"/>
      <c r="AO390" s="77" t="inlineStr">
        <is>
          <t>UK</t>
        </is>
      </c>
      <c r="AP390" s="77" t="inlineStr">
        <is>
          <t>UK – Russell Group</t>
        </is>
      </c>
      <c r="AQ390" s="77" t="inlineStr">
        <is>
          <t>Unclear</t>
        </is>
      </c>
      <c r="AR390" s="77" t="inlineStr">
        <is>
          <t>All/standard</t>
        </is>
      </c>
      <c r="AS390" s="77" t="inlineStr"/>
    </row>
    <row r="391">
      <c r="A391" s="77" t="inlineStr">
        <is>
          <t>RG24</t>
        </is>
      </c>
      <c r="B391" s="77" t="inlineStr">
        <is>
          <t>York</t>
        </is>
      </c>
      <c r="C391" s="77" t="inlineStr">
        <is>
          <t>Programme/course</t>
        </is>
      </c>
      <c r="D391" s="77" t="inlineStr">
        <is>
          <t>RG24-S13</t>
        </is>
      </c>
      <c r="E391" s="77" t="inlineStr"/>
      <c r="F391" s="77" t="inlineStr">
        <is>
          <t>No</t>
        </is>
      </c>
      <c r="G391" s="79" t="inlineStr">
        <is>
          <t>Group Project (Integrated Masters) - Computer Science</t>
        </is>
      </c>
      <c r="H391" s="77" t="inlineStr">
        <is>
          <t>Group Project (Integrated Masters)</t>
        </is>
      </c>
      <c r="I391" s="77" t="inlineStr">
        <is>
          <t>COM00138M</t>
        </is>
      </c>
      <c r="J391" s="77" t="inlineStr">
        <is>
          <t>40-credit software engineering team project simulating real-world industrial projects, with teams meeting the module leader and/or an external customer; learning outcomes include communicating with customers who have a problem to be solved.</t>
        </is>
      </c>
      <c r="K391" s="77" t="inlineStr">
        <is>
          <t>Department of Computer Science</t>
        </is>
      </c>
      <c r="L391" s="77" t="inlineStr">
        <is>
          <t>Integrated Masters Computer Science (level M)</t>
        </is>
      </c>
      <c r="M391" s="77" t="inlineStr">
        <is>
          <t>Engineering/computing</t>
        </is>
      </c>
      <c r="N391" s="77" t="inlineStr">
        <is>
          <t>Undergraduate</t>
        </is>
      </c>
      <c r="O391" s="77" t="inlineStr"/>
      <c r="P391" s="77" t="inlineStr"/>
      <c r="Q391" s="77" t="inlineStr">
        <is>
          <t>Compulsory within specified programmes</t>
        </is>
      </c>
      <c r="R391" s="77" t="inlineStr">
        <is>
          <t>Curricular</t>
        </is>
      </c>
      <c r="S391" s="77" t="inlineStr">
        <is>
          <t>40 credits; groupwork 90% (20%+70%) and 10% coursework</t>
        </is>
      </c>
      <c r="T391" s="77" t="inlineStr">
        <is>
          <t>Semester 1 to Semester 2</t>
        </is>
      </c>
      <c r="U391" s="77" t="inlineStr"/>
      <c r="V391" s="77" t="inlineStr">
        <is>
          <t>Yes</t>
        </is>
      </c>
      <c r="W391" s="77" t="inlineStr">
        <is>
          <t>Software engineering project for a customer (src 1).</t>
        </is>
      </c>
      <c r="X391" s="77" t="inlineStr">
        <is>
          <t>Yes</t>
        </is>
      </c>
      <c r="Y391" s="77" t="inlineStr">
        <is>
          <t>Team project; groupwork assessments (src 1).</t>
        </is>
      </c>
      <c r="Z391" s="77" t="inlineStr">
        <is>
          <t>Unclear</t>
        </is>
      </c>
      <c r="AA391" s="77" t="inlineStr">
        <is>
          <t>'Each team will have several meetings with either the module leader or the external customer or both' - external customer role optional/unclear; aim is to 'simulate' industrial context (src 1).</t>
        </is>
      </c>
      <c r="AB391" s="77" t="inlineStr">
        <is>
          <t>Unclear</t>
        </is>
      </c>
      <c r="AC391" s="77" t="inlineStr">
        <is>
          <t>External customer meetings (extent unclear)</t>
        </is>
      </c>
      <c r="AD391" s="77" t="inlineStr"/>
      <c r="AE391" s="77" t="inlineStr"/>
      <c r="AF391" s="77">
        <f>IF(OR(V391="No",X391="No",Z391="No"),"Outside strict definition",IF(AND(V391="Yes",X391="Yes",Z391="Yes"),"Meets all three","Potentially relevant; evidence incomplete"))</f>
        <v/>
      </c>
      <c r="AG391" s="77" t="inlineStr">
        <is>
          <t>Current delivery confirmed</t>
        </is>
      </c>
      <c r="AH391" s="77" t="inlineStr">
        <is>
          <t>2026/27</t>
        </is>
      </c>
      <c r="AI391" s="77" t="inlineStr">
        <is>
          <t>Yes</t>
        </is>
      </c>
      <c r="AJ391" s="77">
        <f>IF(AND(AI391="Yes",AF391="Meets all three",AG391="Current delivery confirmed"),"Yes","No")</f>
        <v/>
      </c>
      <c r="AK391" s="77" t="inlineStr"/>
      <c r="AL391" s="77" t="inlineStr">
        <is>
          <t>RG24-S13-R1</t>
        </is>
      </c>
      <c r="AM391" s="77" t="inlineStr">
        <is>
          <t>Whether customers are external organisations for all teams, or module leader/staff; no named customers. Compulsory status inferred from integrated masters module but not verified.</t>
        </is>
      </c>
      <c r="AN391" s="77" t="inlineStr"/>
      <c r="AO391" s="77" t="inlineStr">
        <is>
          <t>UK</t>
        </is>
      </c>
      <c r="AP391" s="77" t="inlineStr">
        <is>
          <t>UK – Russell Group</t>
        </is>
      </c>
      <c r="AQ391" s="77" t="inlineStr">
        <is>
          <t>&gt;1 term</t>
        </is>
      </c>
      <c r="AR391" s="77" t="inlineStr">
        <is>
          <t>Unclear</t>
        </is>
      </c>
      <c r="AS391" s="77" t="inlineStr"/>
    </row>
    <row r="392">
      <c r="A392" s="77" t="inlineStr">
        <is>
          <t>UK01</t>
        </is>
      </c>
      <c r="B392" s="77" t="inlineStr">
        <is>
          <t>Bath</t>
        </is>
      </c>
      <c r="C392" s="77" t="inlineStr">
        <is>
          <t>University-wide</t>
        </is>
      </c>
      <c r="D392" s="77" t="inlineStr">
        <is>
          <t>UK01-S01</t>
        </is>
      </c>
      <c r="E392" s="77" t="inlineStr"/>
      <c r="F392" s="77" t="inlineStr">
        <is>
          <t>No</t>
        </is>
      </c>
      <c r="G392" s="79" t="inlineStr">
        <is>
          <t>Vertically Integrated Projects (VIP)</t>
        </is>
      </c>
      <c r="H392" s="77" t="inlineStr">
        <is>
          <t>Vertically Integrated Projects (VIP)</t>
        </is>
      </c>
      <c r="I392" s="77" t="inlineStr"/>
      <c r="J392" s="77" t="inlineStr">
        <is>
          <t>Multi-level, interdisciplinary teams of undergraduate, postgraduate and doctoral students work with academic directors on long-term real-world (sustainability) research projects. External organisations 'may' contribute to existing or new VIPs, but no standard external client is evidenced.</t>
        </is>
      </c>
      <c r="K392" s="77" t="inlineStr">
        <is>
          <t>University VIP network (Bath)</t>
        </is>
      </c>
      <c r="L392" s="77" t="inlineStr">
        <is>
          <t>All courses</t>
        </is>
      </c>
      <c r="M392" s="77" t="inlineStr">
        <is>
          <t>Central provision</t>
        </is>
      </c>
      <c r="N392" s="77" t="inlineStr">
        <is>
          <t>Mixed</t>
        </is>
      </c>
      <c r="O392" s="77" t="inlineStr">
        <is>
          <t>Any</t>
        </is>
      </c>
      <c r="P392" s="77" t="inlineStr">
        <is>
          <t>Open to all UG, PG and doctoral students; students not on a placement year get priority</t>
        </is>
      </c>
      <c r="Q392" s="77" t="inlineStr">
        <is>
          <t>Optional/elective</t>
        </is>
      </c>
      <c r="R392" s="77" t="inlineStr">
        <is>
          <t>Mixed</t>
        </is>
      </c>
      <c r="S392" s="77" t="inlineStr">
        <is>
          <t>Mostly not credit-bearing ('currently extra-curricular'); some academic areas moving to credit</t>
        </is>
      </c>
      <c r="T392" s="77" t="inlineStr">
        <is>
          <t>Multi-year projects; students join for the academic year</t>
        </is>
      </c>
      <c r="U392" s="77" t="inlineStr">
        <is>
          <t>Team projects led by academic directors</t>
        </is>
      </c>
      <c r="V392" s="77" t="inlineStr">
        <is>
          <t>Yes</t>
        </is>
      </c>
      <c r="W392" s="77" t="inlineStr">
        <is>
          <t>Long-term real-world research-based projects with academic directors [1].</t>
        </is>
      </c>
      <c r="X392" s="77" t="inlineStr">
        <is>
          <t>Yes</t>
        </is>
      </c>
      <c r="Y392" s="77" t="inlineStr">
        <is>
          <t>'inter-disciplinary, multi-level teams of students' working with academic staff [1].</t>
        </is>
      </c>
      <c r="Z392" s="77" t="inlineStr">
        <is>
          <t>Unclear</t>
        </is>
      </c>
      <c r="AA392" s="77" t="inlineStr">
        <is>
          <t>'There may be the opportunity for external organisations to contribute to existing or new VIPs' [1]; no documented external client/brief/feedback for current teams.</t>
        </is>
      </c>
      <c r="AB392" s="77" t="inlineStr">
        <is>
          <t>Unclear</t>
        </is>
      </c>
      <c r="AC392" s="77" t="inlineStr">
        <is>
          <t>Optional external contribution only</t>
        </is>
      </c>
      <c r="AD392" s="77" t="inlineStr"/>
      <c r="AE392" s="77" t="inlineStr">
        <is>
          <t>Not specified</t>
        </is>
      </c>
      <c r="AF392" s="77">
        <f>IF(OR(V392="No",X392="No",Z392="No"),"Outside strict definition",IF(AND(V392="Yes",X392="Yes",Z392="Yes"),"Meets all three","Potentially relevant; evidence incomplete"))</f>
        <v/>
      </c>
      <c r="AG392" s="77" t="inlineStr">
        <is>
          <t>Current delivery confirmed</t>
        </is>
      </c>
      <c r="AH392" s="77" t="inlineStr">
        <is>
          <t>2025/26</t>
        </is>
      </c>
      <c r="AI392" s="77" t="inlineStr">
        <is>
          <t>Yes</t>
        </is>
      </c>
      <c r="AJ392" s="77">
        <f>IF(AND(AI392="Yes",AF392="Meets all three",AG392="Current delivery confirmed"),"Yes","No")</f>
        <v/>
      </c>
      <c r="AK392" s="77" t="inlineStr">
        <is>
          <t>250 students, 11 project teams, 16 academic leads (2025/26) [1]</t>
        </is>
      </c>
      <c r="AL392" s="77" t="inlineStr">
        <is>
          <t>UK01-S01-R1</t>
        </is>
      </c>
      <c r="AM392" s="77" t="inlineStr">
        <is>
          <t>Which, if any, VIP teams have a named external partner; credit status by department.</t>
        </is>
      </c>
      <c r="AN392" s="77" t="inlineStr">
        <is>
          <t>Vertically Integrated Projects (VIP)</t>
        </is>
      </c>
      <c r="AO392" s="77" t="inlineStr">
        <is>
          <t>UK</t>
        </is>
      </c>
      <c r="AP392" s="77" t="inlineStr">
        <is>
          <t>UK – additional</t>
        </is>
      </c>
      <c r="AQ392" s="77" t="inlineStr">
        <is>
          <t>&gt;1 term</t>
        </is>
      </c>
      <c r="AR392" s="77" t="inlineStr">
        <is>
          <t>Some projects</t>
        </is>
      </c>
      <c r="AS392" s="77" t="inlineStr"/>
    </row>
    <row r="393">
      <c r="A393" s="77" t="inlineStr">
        <is>
          <t>UK01</t>
        </is>
      </c>
      <c r="B393" s="77" t="inlineStr">
        <is>
          <t>Bath</t>
        </is>
      </c>
      <c r="C393" s="77" t="inlineStr">
        <is>
          <t>Programme/course</t>
        </is>
      </c>
      <c r="D393" s="77" t="inlineStr">
        <is>
          <t>UK01-S02</t>
        </is>
      </c>
      <c r="E393" s="77" t="inlineStr"/>
      <c r="F393" s="77" t="inlineStr">
        <is>
          <t>No</t>
        </is>
      </c>
      <c r="G393" s="79" t="inlineStr">
        <is>
          <t>Group Design and Business Project (MEng Mechanical; MEng Electronic &amp; Electrical)</t>
        </is>
      </c>
      <c r="H393" s="77" t="inlineStr">
        <is>
          <t>Group Design and Business Project (MEng Mechanical; MEng Electronic &amp; Electrical)</t>
        </is>
      </c>
      <c r="I393" s="77" t="inlineStr"/>
      <c r="J393" s="77" t="inlineStr">
        <is>
          <t>Third-year MEng teams (second semester) work for about 14 weeks on a project brief provided by an external company, guided by an academic supervisor, producing technical and commercial solutions presented to the company in July.</t>
        </is>
      </c>
      <c r="K393" s="77" t="inlineStr">
        <is>
          <t>Faculty of Engineering &amp; Design</t>
        </is>
      </c>
      <c r="L393" s="77" t="inlineStr">
        <is>
          <t>MEng Mechanical Engineering; MEng Electronic and Electrical Engineering</t>
        </is>
      </c>
      <c r="M393" s="77" t="inlineStr">
        <is>
          <t>Engineering/computing</t>
        </is>
      </c>
      <c r="N393" s="77" t="inlineStr">
        <is>
          <t>Undergraduate</t>
        </is>
      </c>
      <c r="O393" s="77" t="inlineStr">
        <is>
          <t>Year 3 (semester 2)</t>
        </is>
      </c>
      <c r="P393" s="77" t="inlineStr">
        <is>
          <t>Named MEng programmes</t>
        </is>
      </c>
      <c r="Q393" s="77" t="inlineStr">
        <is>
          <t>Compulsory within specified programmes</t>
        </is>
      </c>
      <c r="R393" s="77" t="inlineStr">
        <is>
          <t>Curricular</t>
        </is>
      </c>
      <c r="S393" s="77" t="inlineStr">
        <is>
          <t>Unit credit/assessment not retrieved</t>
        </is>
      </c>
      <c r="T393" s="77" t="inlineStr">
        <is>
          <t>~14 weeks, Feb to July</t>
        </is>
      </c>
      <c r="U393" s="77" t="inlineStr">
        <is>
          <t>Team project with company brief, mid-term review, Design Exhibition</t>
        </is>
      </c>
      <c r="V393" s="77" t="inlineStr">
        <is>
          <t>Yes</t>
        </is>
      </c>
      <c r="W393" s="77" t="inlineStr">
        <is>
          <t>Company brief; 'detailed technical and commercial solutions' [1].</t>
        </is>
      </c>
      <c r="X393" s="77" t="inlineStr">
        <is>
          <t>Yes</t>
        </is>
      </c>
      <c r="Y393" s="77" t="inlineStr">
        <is>
          <t>'we match you with a suitable student team'; each team has an academic supervisor [1].</t>
        </is>
      </c>
      <c r="Z393" s="77" t="inlineStr">
        <is>
          <t>Unclear</t>
        </is>
      </c>
      <c r="AA393" s="77" t="inlineStr">
        <is>
          <t>'Your company provides the project brief'; company meets team every 2-3 weeks, attends mid-term review and Design Exhibition, receives July final presentation [1]. Not stated whether every team has an external company (some briefs may be internal); marked Unclear per coverage ruling.</t>
        </is>
      </c>
      <c r="AB393" s="77" t="inlineStr">
        <is>
          <t>Business/commercial</t>
        </is>
      </c>
      <c r="AC393" s="77" t="inlineStr">
        <is>
          <t>Provides brief; meets team; receives final solution</t>
        </is>
      </c>
      <c r="AD393" s="77" t="inlineStr">
        <is>
          <t>RUH Bath, Airbus, Shellworks, National Composites Centre, UKAEA, CERN, AgriSound (partner page, no year given)</t>
        </is>
      </c>
      <c r="AE393" s="77" t="inlineStr">
        <is>
          <t>Technical and commercial solution, final presentation to company</t>
        </is>
      </c>
      <c r="AF393" s="77">
        <f>IF(OR(V393="No",X393="No",Z393="No"),"Outside strict definition",IF(AND(V393="Yes",X393="Yes",Z393="Yes"),"Meets all three","Potentially relevant; evidence incomplete"))</f>
        <v/>
      </c>
      <c r="AG393" s="77" t="inlineStr">
        <is>
          <t>Current status unclear</t>
        </is>
      </c>
      <c r="AH393" s="77" t="inlineStr">
        <is>
          <t>Undated (months only)</t>
        </is>
      </c>
      <c r="AI393" s="77" t="inlineStr">
        <is>
          <t>Yes</t>
        </is>
      </c>
      <c r="AJ393" s="77">
        <f>IF(AND(AI393="Yes",AF393="Meets all three",AG393="Current delivery confirmed"),"Yes","No")</f>
        <v/>
      </c>
      <c r="AK393" s="77" t="inlineStr"/>
      <c r="AL393" s="77" t="inlineStr">
        <is>
          <t>UK01-S02-R1</t>
        </is>
      </c>
      <c r="AM393" s="77" t="inlineStr">
        <is>
          <t>Compulsory status, credit, proportion of teams with external companies, and dated 2025/26 delivery not verified (unit catalogue 2024/25 lists 'Group business &amp; design project' units per search result only).</t>
        </is>
      </c>
      <c r="AN393" s="77" t="inlineStr"/>
      <c r="AO393" s="77" t="inlineStr">
        <is>
          <t>UK</t>
        </is>
      </c>
      <c r="AP393" s="77" t="inlineStr">
        <is>
          <t>UK – additional</t>
        </is>
      </c>
      <c r="AQ393" s="77" t="inlineStr">
        <is>
          <t>~1 term/semester</t>
        </is>
      </c>
      <c r="AR393" s="77" t="inlineStr">
        <is>
          <t>Unclear</t>
        </is>
      </c>
      <c r="AS393" s="77" t="inlineStr"/>
    </row>
    <row r="394">
      <c r="A394" s="77" t="inlineStr">
        <is>
          <t>UK01</t>
        </is>
      </c>
      <c r="B394" s="77" t="inlineStr">
        <is>
          <t>Bath</t>
        </is>
      </c>
      <c r="C394" s="77" t="inlineStr">
        <is>
          <t>Programme/course</t>
        </is>
      </c>
      <c r="D394" s="77" t="inlineStr">
        <is>
          <t>UK01-S03</t>
        </is>
      </c>
      <c r="E394" s="77" t="inlineStr"/>
      <c r="F394" s="77" t="inlineStr">
        <is>
          <t>No</t>
        </is>
      </c>
      <c r="G394" s="79" t="inlineStr">
        <is>
          <t>MSc Practice Track (School of Management)</t>
        </is>
      </c>
      <c r="H394" s="77" t="inlineStr">
        <is>
          <t>MSc Practice Track (School of Management)</t>
        </is>
      </c>
      <c r="I394" s="77" t="inlineStr"/>
      <c r="J394" s="77" t="inlineStr">
        <is>
          <t>Summer option for MSc HRM, International Management, Management, Marketing and Sustainability &amp; Management: teams work on a project with an external client organisation, about 7-8 full-time weeks (June-July), instead of a dissertation; teams can combine several MSc courses; no fee to partners.</t>
        </is>
      </c>
      <c r="K394" s="77" t="inlineStr">
        <is>
          <t>School of Management</t>
        </is>
      </c>
      <c r="L394" s="77" t="inlineStr">
        <is>
          <t>Five named School of Management MSc programmes</t>
        </is>
      </c>
      <c r="M394" s="77" t="inlineStr">
        <is>
          <t>Business/management</t>
        </is>
      </c>
      <c r="N394" s="77" t="inlineStr">
        <is>
          <t>Postgraduate taught</t>
        </is>
      </c>
      <c r="O394" s="77" t="inlineStr">
        <is>
          <t>MSc summer</t>
        </is>
      </c>
      <c r="P394" s="77" t="inlineStr">
        <is>
          <t>Named MSc programmes; option, not required</t>
        </is>
      </c>
      <c r="Q394" s="77" t="inlineStr">
        <is>
          <t>Optional/elective</t>
        </is>
      </c>
      <c r="R394" s="77" t="inlineStr">
        <is>
          <t>Curricular</t>
        </is>
      </c>
      <c r="S394" s="77" t="inlineStr">
        <is>
          <t>Not stated</t>
        </is>
      </c>
      <c r="T394" s="77" t="inlineStr">
        <is>
          <t>7-8 weeks full time (June-July); ~3 months per general page</t>
        </is>
      </c>
      <c r="U394" s="77" t="inlineStr">
        <is>
          <t>Team client project</t>
        </is>
      </c>
      <c r="V394" s="77" t="inlineStr">
        <is>
          <t>Yes</t>
        </is>
      </c>
      <c r="W394" s="77" t="inlineStr">
        <is>
          <t>Project with an external client organisation; deliverable not specified [1][2].</t>
        </is>
      </c>
      <c r="X394" s="77" t="inlineStr">
        <is>
          <t>Yes</t>
        </is>
      </c>
      <c r="Y394" s="77" t="inlineStr">
        <is>
          <t>'Work in teams on a project with an external client organisation' [1]; MSc teams can combine courses [2].</t>
        </is>
      </c>
      <c r="Z394" s="77" t="inlineStr">
        <is>
          <t>Yes</t>
        </is>
      </c>
      <c r="AA394" s="77" t="inlineStr">
        <is>
          <t>External client organisation; 'We welcome partners from all sectors and of all sizes', no fee [1][2].</t>
        </is>
      </c>
      <c r="AB394" s="77" t="inlineStr">
        <is>
          <t>Mixed</t>
        </is>
      </c>
      <c r="AC394" s="77" t="inlineStr">
        <is>
          <t>Client providing project</t>
        </is>
      </c>
      <c r="AD394" s="77" t="inlineStr"/>
      <c r="AE394" s="77" t="inlineStr">
        <is>
          <t>Not specified</t>
        </is>
      </c>
      <c r="AF394" s="77">
        <f>IF(OR(V394="No",X394="No",Z394="No"),"Outside strict definition",IF(AND(V394="Yes",X394="Yes",Z394="Yes"),"Meets all three","Potentially relevant; evidence incomplete"))</f>
        <v/>
      </c>
      <c r="AG394" s="77" t="inlineStr">
        <is>
          <t>Current status unclear</t>
        </is>
      </c>
      <c r="AH394" s="77" t="inlineStr">
        <is>
          <t>Undated; course links point to 2027 entry</t>
        </is>
      </c>
      <c r="AI394" s="77" t="inlineStr">
        <is>
          <t>Yes</t>
        </is>
      </c>
      <c r="AJ394" s="77">
        <f>IF(AND(AI394="Yes",AF394="Meets all three",AG394="Current delivery confirmed"),"Yes","No")</f>
        <v/>
      </c>
      <c r="AK394" s="77" t="inlineStr"/>
      <c r="AL394" s="77" t="inlineStr">
        <is>
          <t>UK01-S03-R1; UK01-S03-R2</t>
        </is>
      </c>
      <c r="AM394" s="77" t="inlineStr">
        <is>
          <t>Dated 2025/26 delivery, named clients, credit and team size not found; duration band set to nearest option (7-8 weeks, i.e. &gt;4 weeks but under a term).</t>
        </is>
      </c>
      <c r="AN394" s="77" t="inlineStr"/>
      <c r="AO394" s="77" t="inlineStr">
        <is>
          <t>UK</t>
        </is>
      </c>
      <c r="AP394" s="77" t="inlineStr">
        <is>
          <t>UK – additional</t>
        </is>
      </c>
      <c r="AQ394" s="77" t="inlineStr">
        <is>
          <t>1-4 weeks</t>
        </is>
      </c>
      <c r="AR394" s="77" t="inlineStr">
        <is>
          <t>All/standard</t>
        </is>
      </c>
      <c r="AS394" s="77" t="inlineStr"/>
    </row>
    <row r="395">
      <c r="A395" s="77" t="inlineStr">
        <is>
          <t>UK01</t>
        </is>
      </c>
      <c r="B395" s="77" t="inlineStr">
        <is>
          <t>Bath</t>
        </is>
      </c>
      <c r="C395" s="77" t="inlineStr">
        <is>
          <t>Programme/course</t>
        </is>
      </c>
      <c r="D395" s="77" t="inlineStr">
        <is>
          <t>UK01-S04</t>
        </is>
      </c>
      <c r="E395" s="77" t="inlineStr"/>
      <c r="F395" s="77" t="inlineStr">
        <is>
          <t>No</t>
        </is>
      </c>
      <c r="G395" s="79" t="inlineStr">
        <is>
          <t>MSc Consulting Project (six-week team project, Semester 2)</t>
        </is>
      </c>
      <c r="H395" s="77" t="inlineStr">
        <is>
          <t>MSc Consulting Project (six-week team project, Semester 2)</t>
        </is>
      </c>
      <c r="I395" s="77" t="inlineStr"/>
      <c r="J395" s="77" t="inlineStr">
        <is>
          <t>Six-week team consulting project with a local organisation in Feb-Mar of Semester 2 on School of Management MSc timeline; counts towards a University of Bath Award.</t>
        </is>
      </c>
      <c r="K395" s="77" t="inlineStr">
        <is>
          <t>School of Management</t>
        </is>
      </c>
      <c r="L395" s="77" t="inlineStr">
        <is>
          <t>School of Management MSc students (programmes not itemised)</t>
        </is>
      </c>
      <c r="M395" s="77" t="inlineStr">
        <is>
          <t>Business/management</t>
        </is>
      </c>
      <c r="N395" s="77" t="inlineStr">
        <is>
          <t>Postgraduate taught</t>
        </is>
      </c>
      <c r="O395" s="77" t="inlineStr">
        <is>
          <t>MSc semester 2</t>
        </is>
      </c>
      <c r="P395" s="77" t="inlineStr">
        <is>
          <t>Not stated</t>
        </is>
      </c>
      <c r="Q395" s="77" t="inlineStr">
        <is>
          <t>Unclear</t>
        </is>
      </c>
      <c r="R395" s="77" t="inlineStr">
        <is>
          <t>Unclear</t>
        </is>
      </c>
      <c r="S395" s="77" t="inlineStr">
        <is>
          <t>Counts towards a Bath Award; credit not stated</t>
        </is>
      </c>
      <c r="T395" s="77" t="inlineStr">
        <is>
          <t>6 weeks, Feb-Mar</t>
        </is>
      </c>
      <c r="U395" s="77" t="inlineStr">
        <is>
          <t>Team consulting project</t>
        </is>
      </c>
      <c r="V395" s="77" t="inlineStr">
        <is>
          <t>Yes</t>
        </is>
      </c>
      <c r="W395" s="77" t="inlineStr">
        <is>
          <t>'six-week team consulting project' [1]; deliverable not specified.</t>
        </is>
      </c>
      <c r="X395" s="77" t="inlineStr">
        <is>
          <t>Yes</t>
        </is>
      </c>
      <c r="Y395" s="77" t="inlineStr">
        <is>
          <t>'team consulting project' [1].</t>
        </is>
      </c>
      <c r="Z395" s="77" t="inlineStr">
        <is>
          <t>Yes</t>
        </is>
      </c>
      <c r="AA395" s="77" t="inlineStr">
        <is>
          <t>'with a local organisation' [1]; how the organisation participates not described.</t>
        </is>
      </c>
      <c r="AB395" s="77" t="inlineStr">
        <is>
          <t>Unclear</t>
        </is>
      </c>
      <c r="AC395" s="77" t="inlineStr">
        <is>
          <t>Local organisation (role not described)</t>
        </is>
      </c>
      <c r="AD395" s="77" t="inlineStr"/>
      <c r="AE395" s="77" t="inlineStr">
        <is>
          <t>Not specified</t>
        </is>
      </c>
      <c r="AF395" s="77">
        <f>IF(OR(V395="No",X395="No",Z395="No"),"Outside strict definition",IF(AND(V395="Yes",X395="Yes",Z395="Yes"),"Meets all three","Potentially relevant; evidence incomplete"))</f>
        <v/>
      </c>
      <c r="AG395" s="77" t="inlineStr">
        <is>
          <t>Current status unclear</t>
        </is>
      </c>
      <c r="AH395" s="77" t="inlineStr">
        <is>
          <t>Undated; course links point to 2027 entry</t>
        </is>
      </c>
      <c r="AI395" s="77" t="inlineStr">
        <is>
          <t>Yes</t>
        </is>
      </c>
      <c r="AJ395" s="77">
        <f>IF(AND(AI395="Yes",AF395="Meets all three",AG395="Current delivery confirmed"),"Yes","No")</f>
        <v/>
      </c>
      <c r="AK395" s="77" t="inlineStr"/>
      <c r="AL395" s="77" t="inlineStr">
        <is>
          <t>UK01-S04-R1</t>
        </is>
      </c>
      <c r="AM395" s="77" t="inlineStr">
        <is>
          <t>Curricular vs extracurricular, compulsory vs optional, partner role, deliverable; 6 weeks falls between bands (1-4 weeks / term).</t>
        </is>
      </c>
      <c r="AN395" s="77" t="inlineStr"/>
      <c r="AO395" s="77" t="inlineStr">
        <is>
          <t>UK</t>
        </is>
      </c>
      <c r="AP395" s="77" t="inlineStr">
        <is>
          <t>UK – additional</t>
        </is>
      </c>
      <c r="AQ395" s="77" t="inlineStr">
        <is>
          <t>1-4 weeks</t>
        </is>
      </c>
      <c r="AR395" s="77" t="inlineStr">
        <is>
          <t>Unclear</t>
        </is>
      </c>
      <c r="AS395" s="77" t="inlineStr"/>
    </row>
    <row r="396">
      <c r="A396" s="77" t="inlineStr">
        <is>
          <t>UK01</t>
        </is>
      </c>
      <c r="B396" s="77" t="inlineStr">
        <is>
          <t>Bath</t>
        </is>
      </c>
      <c r="C396" s="77" t="inlineStr">
        <is>
          <t>Faculty/school</t>
        </is>
      </c>
      <c r="D396" s="77" t="inlineStr">
        <is>
          <t>UK01-S05</t>
        </is>
      </c>
      <c r="E396" s="77" t="inlineStr"/>
      <c r="F396" s="77" t="inlineStr">
        <is>
          <t>No</t>
        </is>
      </c>
      <c r="G396" s="79" t="inlineStr">
        <is>
          <t>Big Team Challenge (employer-set first-week challenge)</t>
        </is>
      </c>
      <c r="H396" s="77" t="inlineStr">
        <is>
          <t>Big Team Challenge (employer-set first-week challenge)</t>
        </is>
      </c>
      <c r="I396" s="77" t="inlineStr"/>
      <c r="J396" s="77" t="inlineStr">
        <is>
          <t>Short induction-period activity in which students work in teams on a real business challenge set by a partner employer and present ideas back to it (UG version in welcome week; MSc version in first two weeks). Past sponsors named in search result: EY, Kraft Heinz, L'Oreal, Uniqlo, Accenture, AlphaSights.</t>
        </is>
      </c>
      <c r="K396" s="77" t="inlineStr">
        <is>
          <t>School of Management (welcome week)</t>
        </is>
      </c>
      <c r="L396" s="77" t="inlineStr">
        <is>
          <t>School of Management UG and MSc</t>
        </is>
      </c>
      <c r="M396" s="77" t="inlineStr">
        <is>
          <t>Business/management</t>
        </is>
      </c>
      <c r="N396" s="77" t="inlineStr">
        <is>
          <t>Mixed</t>
        </is>
      </c>
      <c r="O396" s="77" t="inlineStr">
        <is>
          <t>Entry</t>
        </is>
      </c>
      <c r="P396" s="77" t="inlineStr">
        <is>
          <t>Not verified</t>
        </is>
      </c>
      <c r="Q396" s="77" t="inlineStr">
        <is>
          <t>Unclear</t>
        </is>
      </c>
      <c r="R396" s="77" t="inlineStr">
        <is>
          <t>Extracurricular</t>
        </is>
      </c>
      <c r="S396" s="77" t="inlineStr">
        <is>
          <t>None evidenced</t>
        </is>
      </c>
      <c r="T396" s="77" t="inlineStr">
        <is>
          <t>~1 week (UG welcome week); first two weeks (MSc)</t>
        </is>
      </c>
      <c r="U396" s="77" t="inlineStr">
        <is>
          <t>Team challenge, presentation to employer</t>
        </is>
      </c>
      <c r="V396" s="77" t="inlineStr">
        <is>
          <t>Unclear</t>
        </is>
      </c>
      <c r="W396" s="77" t="inlineStr">
        <is>
          <t>Defined employer challenge with ideas presented back, but output substance unverified; short format.</t>
        </is>
      </c>
      <c r="X396" s="77" t="inlineStr">
        <is>
          <t>Yes</t>
        </is>
      </c>
      <c r="Y396" s="77" t="inlineStr">
        <is>
          <t>Students work together in teams [search summary].</t>
        </is>
      </c>
      <c r="Z396" s="77" t="inlineStr">
        <is>
          <t>Yes</t>
        </is>
      </c>
      <c r="AA396" s="77" t="inlineStr">
        <is>
          <t>Employer sets the challenge and receives the presentation (search-summary paraphrase of Bath pages; not opened directly).</t>
        </is>
      </c>
      <c r="AB396" s="77" t="inlineStr">
        <is>
          <t>Business/commercial</t>
        </is>
      </c>
      <c r="AC396" s="77" t="inlineStr">
        <is>
          <t>Sets challenge; receives presentation</t>
        </is>
      </c>
      <c r="AD396" s="77" t="inlineStr">
        <is>
          <t>EY, Kraft Heinz, L'Oreal, Uniqlo, Accenture, AlphaSights (past, undated)</t>
        </is>
      </c>
      <c r="AE396" s="77" t="inlineStr">
        <is>
          <t>Presentation of ideas</t>
        </is>
      </c>
      <c r="AF396" s="77">
        <f>IF(OR(V396="No",X396="No",Z396="No"),"Outside strict definition",IF(AND(V396="Yes",X396="Yes",Z396="Yes"),"Meets all three","Potentially relevant; evidence incomplete"))</f>
        <v/>
      </c>
      <c r="AG396" s="77" t="inlineStr">
        <is>
          <t>Current status unclear</t>
        </is>
      </c>
      <c r="AH396" s="77" t="inlineStr">
        <is>
          <t>Undated</t>
        </is>
      </c>
      <c r="AI396" s="77" t="inlineStr">
        <is>
          <t>Yes</t>
        </is>
      </c>
      <c r="AJ396" s="77">
        <f>IF(AND(AI396="Yes",AF396="Meets all three",AG396="Current delivery confirmed"),"Yes","No")</f>
        <v/>
      </c>
      <c r="AK396" s="77" t="inlineStr"/>
      <c r="AL396" s="77" t="inlineStr">
        <is>
          <t>UK01-S05-R1</t>
        </is>
      </c>
      <c r="AM396" s="77" t="inlineStr">
        <is>
          <t>No page text obtained; 2026 cohort not found; whether defined output qualifies as a project.</t>
        </is>
      </c>
      <c r="AN396" s="77" t="inlineStr"/>
      <c r="AO396" s="77" t="inlineStr">
        <is>
          <t>UK</t>
        </is>
      </c>
      <c r="AP396" s="77" t="inlineStr">
        <is>
          <t>UK – additional</t>
        </is>
      </c>
      <c r="AQ396" s="77" t="inlineStr">
        <is>
          <t>&lt;1 week</t>
        </is>
      </c>
      <c r="AR396" s="77" t="inlineStr">
        <is>
          <t>Unclear</t>
        </is>
      </c>
      <c r="AS396" s="77" t="inlineStr"/>
    </row>
    <row r="397">
      <c r="A397" s="77" t="inlineStr">
        <is>
          <t>UK01</t>
        </is>
      </c>
      <c r="B397" s="77" t="inlineStr">
        <is>
          <t>Bath</t>
        </is>
      </c>
      <c r="C397" s="77" t="inlineStr">
        <is>
          <t>Unclear</t>
        </is>
      </c>
      <c r="D397" s="77" t="inlineStr">
        <is>
          <t>UK01-S06</t>
        </is>
      </c>
      <c r="E397" s="77" t="inlineStr"/>
      <c r="F397" s="77" t="inlineStr">
        <is>
          <t>No</t>
        </is>
      </c>
      <c r="G397" s="79" t="inlineStr">
        <is>
          <t>180 Degrees Consulting, Bath branch</t>
        </is>
      </c>
      <c r="H397" s="77" t="inlineStr">
        <is>
          <t>180 Degrees Consulting, Bath branch</t>
        </is>
      </c>
      <c r="I397" s="77" t="inlineStr"/>
      <c r="J397" s="77" t="inlineStr">
        <is>
          <t>Student consulting society whose small teams advise social enterprises/charities and small businesses (examples: Devon physiotherapy clinic SEO strategy; Canadian animal sanctuary; global humanitarian charity), led by Engagement Managers.</t>
        </is>
      </c>
      <c r="K397" s="77" t="inlineStr">
        <is>
          <t>Student-run branch of 180 Degrees Consulting (Bath)</t>
        </is>
      </c>
      <c r="L397" s="77" t="inlineStr">
        <is>
          <t>Not stated</t>
        </is>
      </c>
      <c r="M397" s="77" t="inlineStr">
        <is>
          <t>Central provision</t>
        </is>
      </c>
      <c r="N397" s="77" t="inlineStr">
        <is>
          <t>Unclear</t>
        </is>
      </c>
      <c r="O397" s="77" t="inlineStr">
        <is>
          <t>Any</t>
        </is>
      </c>
      <c r="P397" s="77" t="inlineStr">
        <is>
          <t>Selective (global site: 'carefully selected')</t>
        </is>
      </c>
      <c r="Q397" s="77" t="inlineStr">
        <is>
          <t>Selective/competitive</t>
        </is>
      </c>
      <c r="R397" s="77" t="inlineStr">
        <is>
          <t>Extracurricular</t>
        </is>
      </c>
      <c r="S397" s="77" t="inlineStr">
        <is>
          <t>None</t>
        </is>
      </c>
      <c r="T397" s="77" t="inlineStr">
        <is>
          <t>Unclear</t>
        </is>
      </c>
      <c r="U397" s="77" t="inlineStr">
        <is>
          <t>Student society consulting projects</t>
        </is>
      </c>
      <c r="V397" s="77" t="inlineStr">
        <is>
          <t>Yes</t>
        </is>
      </c>
      <c r="W397" s="77" t="inlineStr">
        <is>
          <t>Consulting projects (e.g. SEO strategy) for named client types [1].</t>
        </is>
      </c>
      <c r="X397" s="77" t="inlineStr">
        <is>
          <t>Yes</t>
        </is>
      </c>
      <c r="Y397" s="77" t="inlineStr">
        <is>
          <t>Engagement Manager leads projects; teams work together (search summary: small teams) [1].</t>
        </is>
      </c>
      <c r="Z397" s="77" t="inlineStr">
        <is>
          <t>Yes</t>
        </is>
      </c>
      <c r="AA397" s="77" t="inlineStr">
        <is>
          <t>External clients (physiotherapy clinic, animal sanctuary, humanitarian charity) [1]; the organisations are student-society clients, not necessarily university-run.</t>
        </is>
      </c>
      <c r="AB397" s="77" t="inlineStr">
        <is>
          <t>Mixed</t>
        </is>
      </c>
      <c r="AC397" s="77" t="inlineStr">
        <is>
          <t>Client</t>
        </is>
      </c>
      <c r="AD397" s="77" t="inlineStr"/>
      <c r="AE397" s="77" t="inlineStr">
        <is>
          <t>Consulting recommendations (unspecified)</t>
        </is>
      </c>
      <c r="AF397" s="77">
        <f>IF(OR(V397="No",X397="No",Z397="No"),"Outside strict definition",IF(AND(V397="Yes",X397="Yes",Z397="Yes"),"Meets all three","Potentially relevant; evidence incomplete"))</f>
        <v/>
      </c>
      <c r="AG397" s="77" t="inlineStr">
        <is>
          <t>Current status unclear</t>
        </is>
      </c>
      <c r="AH397" s="77" t="inlineStr">
        <is>
          <t>Undated student case study</t>
        </is>
      </c>
      <c r="AI397" s="77" t="inlineStr">
        <is>
          <t>Yes</t>
        </is>
      </c>
      <c r="AJ397" s="77">
        <f>IF(AND(AI397="Yes",AF397="Meets all three",AG397="Current delivery confirmed"),"Yes","No")</f>
        <v/>
      </c>
      <c r="AK397" s="77" t="inlineStr"/>
      <c r="AL397" s="77" t="inlineStr">
        <is>
          <t>UK01-S06-R1</t>
        </is>
      </c>
      <c r="AM397" s="77" t="inlineStr">
        <is>
          <t>University hosting vs student-run, current activity, selection process.</t>
        </is>
      </c>
      <c r="AN397" s="77" t="inlineStr"/>
      <c r="AO397" s="77" t="inlineStr">
        <is>
          <t>UK</t>
        </is>
      </c>
      <c r="AP397" s="77" t="inlineStr">
        <is>
          <t>UK – additional</t>
        </is>
      </c>
      <c r="AQ397" s="77" t="inlineStr">
        <is>
          <t>Unclear</t>
        </is>
      </c>
      <c r="AR397" s="77" t="inlineStr">
        <is>
          <t>All/standard</t>
        </is>
      </c>
      <c r="AS397" s="77" t="inlineStr"/>
    </row>
    <row r="398">
      <c r="A398" s="77" t="inlineStr">
        <is>
          <t>UK01</t>
        </is>
      </c>
      <c r="B398" s="77" t="inlineStr">
        <is>
          <t>Bath</t>
        </is>
      </c>
      <c r="C398" s="77" t="inlineStr">
        <is>
          <t>Cross-faculty</t>
        </is>
      </c>
      <c r="D398" s="77" t="inlineStr">
        <is>
          <t>UK01-S07</t>
        </is>
      </c>
      <c r="E398" s="77" t="inlineStr"/>
      <c r="F398" s="77" t="inlineStr">
        <is>
          <t>No</t>
        </is>
      </c>
      <c r="G398" s="79" t="inlineStr">
        <is>
          <t>Postgraduate consultancy projects in lieu of dissertation (Engineering &amp; Design; Humanities &amp; Social Sciences)</t>
        </is>
      </c>
      <c r="H398" s="77" t="inlineStr">
        <is>
          <t>Postgraduate consultancy projects in lieu of dissertation (Engineering &amp; Design; Humanities &amp; Social Sciences)</t>
        </is>
      </c>
      <c r="I398" s="77" t="inlineStr"/>
      <c r="J398" s="77" t="inlineStr">
        <is>
          <t>Option on named MSc/MA courses (e.g. Engineering Business Management, Innovation and Technology Management, Sport Management, Education, International Education and Globalisation) to complete a ~3-month consultancy project with a partner company/organisation instead of a dissertation; may be done alone or in a small group.</t>
        </is>
      </c>
      <c r="K398" s="77" t="inlineStr">
        <is>
          <t>Faculties of Engineering &amp; Design, Humanities &amp; Social Sciences</t>
        </is>
      </c>
      <c r="L398" s="77" t="inlineStr">
        <is>
          <t>Named MSc/MA courses</t>
        </is>
      </c>
      <c r="M398" s="77" t="inlineStr">
        <is>
          <t>Engineering/computing; Arts/humanities/social sciences</t>
        </is>
      </c>
      <c r="N398" s="77" t="inlineStr">
        <is>
          <t>Postgraduate taught</t>
        </is>
      </c>
      <c r="O398" s="77" t="inlineStr">
        <is>
          <t>MSc summer</t>
        </is>
      </c>
      <c r="P398" s="77" t="inlineStr">
        <is>
          <t>Subject to availability; limited places; dissertation if no project secured</t>
        </is>
      </c>
      <c r="Q398" s="77" t="inlineStr">
        <is>
          <t>Optional/elective</t>
        </is>
      </c>
      <c r="R398" s="77" t="inlineStr">
        <is>
          <t>Curricular</t>
        </is>
      </c>
      <c r="S398" s="77" t="inlineStr">
        <is>
          <t>e.g. 30 credits (EBM, Education per search result)</t>
        </is>
      </c>
      <c r="T398" s="77" t="inlineStr">
        <is>
          <t>~3 months in summer</t>
        </is>
      </c>
      <c r="U398" s="77" t="inlineStr">
        <is>
          <t>Consultancy project with partner</t>
        </is>
      </c>
      <c r="V398" s="77" t="inlineStr">
        <is>
          <t>Yes</t>
        </is>
      </c>
      <c r="W398" s="77" t="inlineStr">
        <is>
          <t>Company/organisation challenge or research extension [1].</t>
        </is>
      </c>
      <c r="X398" s="77" t="inlineStr">
        <is>
          <t>Unclear</t>
        </is>
      </c>
      <c r="Y398" s="77" t="inlineStr">
        <is>
          <t>'you can work as part of a small group or on your own' [1]; routes not separable.</t>
        </is>
      </c>
      <c r="Z398" s="77" t="inlineStr">
        <is>
          <t>Yes</t>
        </is>
      </c>
      <c r="AA398" s="77" t="inlineStr">
        <is>
          <t>'work with one of the university's partner companies' [1].</t>
        </is>
      </c>
      <c r="AB398" s="77" t="inlineStr">
        <is>
          <t>Mixed</t>
        </is>
      </c>
      <c r="AC398" s="77" t="inlineStr">
        <is>
          <t>Provides challenge</t>
        </is>
      </c>
      <c r="AD398" s="77" t="inlineStr"/>
      <c r="AE398" s="77" t="inlineStr">
        <is>
          <t>Not specified (presentation/written account per Education MA search result)</t>
        </is>
      </c>
      <c r="AF398" s="77">
        <f>IF(OR(V398="No",X398="No",Z398="No"),"Outside strict definition",IF(AND(V398="Yes",X398="Yes",Z398="Yes"),"Meets all three","Potentially relevant; evidence incomplete"))</f>
        <v/>
      </c>
      <c r="AG398" s="77" t="inlineStr">
        <is>
          <t>Current status unclear</t>
        </is>
      </c>
      <c r="AH398" s="77" t="inlineStr">
        <is>
          <t>Undated</t>
        </is>
      </c>
      <c r="AI398" s="77" t="inlineStr">
        <is>
          <t>Yes</t>
        </is>
      </c>
      <c r="AJ398" s="77">
        <f>IF(AND(AI398="Yes",AF398="Meets all three",AG398="Current delivery confirmed"),"Yes","No")</f>
        <v/>
      </c>
      <c r="AK398" s="77" t="inlineStr"/>
      <c r="AL398" s="77" t="inlineStr">
        <is>
          <t>UK01-S07-R1</t>
        </is>
      </c>
      <c r="AM398" s="77" t="inlineStr">
        <is>
          <t>Group vs individual split by course; current delivery.</t>
        </is>
      </c>
      <c r="AN398" s="77" t="inlineStr"/>
      <c r="AO398" s="77" t="inlineStr">
        <is>
          <t>UK</t>
        </is>
      </c>
      <c r="AP398" s="77" t="inlineStr">
        <is>
          <t>UK – additional</t>
        </is>
      </c>
      <c r="AQ398" s="77" t="inlineStr">
        <is>
          <t>~1 term/semester</t>
        </is>
      </c>
      <c r="AR398" s="77" t="inlineStr">
        <is>
          <t>Some projects</t>
        </is>
      </c>
      <c r="AS398" s="77" t="inlineStr"/>
    </row>
    <row r="399">
      <c r="A399" s="77" t="inlineStr">
        <is>
          <t>UK02</t>
        </is>
      </c>
      <c r="B399" s="77" t="inlineStr">
        <is>
          <t>St Andrews</t>
        </is>
      </c>
      <c r="C399" s="77" t="inlineStr">
        <is>
          <t>Unclear</t>
        </is>
      </c>
      <c r="D399" s="77" t="inlineStr">
        <is>
          <t>UK02-S01</t>
        </is>
      </c>
      <c r="E399" s="77" t="inlineStr"/>
      <c r="F399" s="77" t="inlineStr">
        <is>
          <t>No</t>
        </is>
      </c>
      <c r="G399" s="79" t="inlineStr">
        <is>
          <t>Vertically Integrated Projects (VIP)</t>
        </is>
      </c>
      <c r="H399" s="77" t="inlineStr">
        <is>
          <t>Vertically Integrated Projects (VIP)</t>
        </is>
      </c>
      <c r="I399" s="77" t="inlineStr">
        <is>
          <t>VP-prefixed modules (e.g. VP2026)</t>
        </is>
      </c>
      <c r="J399" s="77" t="inlineStr">
        <is>
          <t>Credit-bearing taught modules in which a supervisor leads a student team drawn from different disciplines and levels of study that contributes to an ongoing research project addressing genuine research questions; students may stay with a project across semesters. Projects are academic-led; external involvement varies by project (e.g. St Andrews Forest VIP joins academics, practitioners and local 'neighbours' and produces a commissioned report and group presentation for the University's Environmental Sustainability Board, i.e. an internal client).</t>
        </is>
      </c>
      <c r="K399" s="77" t="inlineStr">
        <is>
          <t>Central Education (VIP team, viprojects@st-andrews.ac.uk)</t>
        </is>
      </c>
      <c r="L399" s="77" t="inlineStr">
        <is>
          <t>Not re-verified in this review (legacy row states Arts and Science students at different study levels)</t>
        </is>
      </c>
      <c r="M399" s="77" t="inlineStr">
        <is>
          <t>Central provision</t>
        </is>
      </c>
      <c r="N399" s="77" t="inlineStr">
        <is>
          <t>Undergraduate</t>
        </is>
      </c>
      <c r="O399" s="77" t="inlineStr">
        <is>
          <t>Different levels of study combined</t>
        </is>
      </c>
      <c r="P399" s="77" t="inlineStr">
        <is>
          <t>One VIP per semester; must be taken for credit; application required (rolling, projects may close when full). Faculty-level eligibility not re-verified.</t>
        </is>
      </c>
      <c r="Q399" s="77" t="inlineStr">
        <is>
          <t>Optional/elective</t>
        </is>
      </c>
      <c r="R399" s="77" t="inlineStr">
        <is>
          <t>Curricular</t>
        </is>
      </c>
      <c r="S399" s="77" t="inlineStr">
        <is>
          <t>10, 15, 20 or 30 SCOTCAT credits per semester; 5 credits for returning students; appears on transcript</t>
        </is>
      </c>
      <c r="T399" s="77" t="inlineStr">
        <is>
          <t>Per semester; multi-semester participation encouraged</t>
        </is>
      </c>
      <c r="U399" s="77" t="inlineStr">
        <is>
          <t>In person research team</t>
        </is>
      </c>
      <c r="V399" s="77" t="inlineStr">
        <is>
          <t>Yes</t>
        </is>
      </c>
      <c r="W399" s="77" t="inlineStr">
        <is>
          <t>Team contributes to an ongoing research project addressing 'genuine research questions' [2][3]; St Andrews Forest example produces a commissioned report and group presentation [4].</t>
        </is>
      </c>
      <c r="X399" s="77" t="inlineStr">
        <is>
          <t>Yes</t>
        </is>
      </c>
      <c r="Y399" s="77" t="inlineStr">
        <is>
          <t>'A VIP brings together a student team formed from different disciplines and levels of study' [3]; the team addresses research questions jointly [2].</t>
        </is>
      </c>
      <c r="Z399" s="77" t="inlineStr">
        <is>
          <t>Unclear</t>
        </is>
      </c>
      <c r="AA399" s="77" t="inlineStr">
        <is>
          <t>Projects are academic research projects led by a supervisor [3]. No VIP-wide evidence of external organisations setting briefs or receiving outputs. The St Andrews Forest VIP involves 'practitioners and our neighbours', but its report is commissioned by the University's Environmental Sustainability Board (internal) [4]. No list of VIPs naming external companies or charities was found. WebFetch of the VIP projects page (2026-10-13): 19-21 projects listed (e.g. Mutual Aid Clinic, Beauty and the Biz, PeaceHub, Biodiversity Literacy) and 'None of the projects names an external partner organisation, company, or charity'; the page states no faculty eligibility.</t>
        </is>
      </c>
      <c r="AB399" s="77" t="inlineStr">
        <is>
          <t>Unclear</t>
        </is>
      </c>
      <c r="AC399" s="77" t="inlineStr">
        <is>
          <t>Mostly internal academic research; occasional external practitioners/community participants in individual projects</t>
        </is>
      </c>
      <c r="AD399" s="77" t="inlineStr"/>
      <c r="AE399" s="77" t="inlineStr">
        <is>
          <t>Research contributions; project-specific outputs (e.g. report and group presentation in St Andrews Forest VIP)</t>
        </is>
      </c>
      <c r="AF399" s="77">
        <f>IF(OR(V399="No",X399="No",Z399="No"),"Outside strict definition",IF(AND(V399="Yes",X399="Yes",Z399="Yes"),"Meets all three","Potentially relevant; evidence incomplete"))</f>
        <v/>
      </c>
      <c r="AG399" s="77" t="inlineStr">
        <is>
          <t>Current delivery confirmed</t>
        </is>
      </c>
      <c r="AH399" s="77" t="inlineStr">
        <is>
          <t>2026/27</t>
        </is>
      </c>
      <c r="AI399" s="77" t="inlineStr">
        <is>
          <t>Yes</t>
        </is>
      </c>
      <c r="AJ399" s="77">
        <f>IF(AND(AI399="Yes",AF399="Meets all three",AG399="Current delivery confirmed"),"Yes","No")</f>
        <v/>
      </c>
      <c r="AK399" s="77" t="inlineStr"/>
      <c r="AL399" s="77" t="inlineStr">
        <is>
          <t>UK02-S01-R1; UK02-S01-R2; UK02-S01-R3; UK02-S01-R4; UK02-S01-R5; UK02-S01-R6</t>
        </is>
      </c>
      <c r="AM399" s="77" t="inlineStr">
        <is>
          <t>Faculty eligibility not stated on projects page (legacy row says Arts and Science); the page does not name external partners, so C stays Unclear.</t>
        </is>
      </c>
      <c r="AN399" s="77" t="inlineStr">
        <is>
          <t>Vertically Integrated Projects (VIP)</t>
        </is>
      </c>
      <c r="AO399" s="77" t="inlineStr">
        <is>
          <t>UK</t>
        </is>
      </c>
      <c r="AP399" s="77" t="inlineStr">
        <is>
          <t>UK – additional</t>
        </is>
      </c>
      <c r="AQ399" s="77" t="inlineStr">
        <is>
          <t>~1 term/semester</t>
        </is>
      </c>
      <c r="AR399" s="77" t="inlineStr">
        <is>
          <t>Some projects</t>
        </is>
      </c>
      <c r="AS399" s="77" t="inlineStr"/>
    </row>
    <row r="400">
      <c r="A400" s="77" t="inlineStr">
        <is>
          <t>UK02</t>
        </is>
      </c>
      <c r="B400" s="77" t="inlineStr">
        <is>
          <t>St Andrews</t>
        </is>
      </c>
      <c r="C400" s="77" t="inlineStr">
        <is>
          <t>University-wide</t>
        </is>
      </c>
      <c r="D400" s="77" t="inlineStr">
        <is>
          <t>UK02-S02</t>
        </is>
      </c>
      <c r="E400" s="77" t="inlineStr"/>
      <c r="F400" s="77" t="inlineStr">
        <is>
          <t>No</t>
        </is>
      </c>
      <c r="G400" s="79" t="inlineStr">
        <is>
          <t>Summer Team Enterprise Programme (STEP)</t>
        </is>
      </c>
      <c r="H400" s="77" t="inlineStr">
        <is>
          <t>Summer Team Enterprise Programme (STEP)</t>
        </is>
      </c>
      <c r="I400" s="77" t="inlineStr"/>
      <c r="J400" s="77" t="inlineStr">
        <is>
          <t>Fully online, unpaid summer skills-development programme: undergraduates are placed in remote teams of six or seven (by time zone and project preference) to deliver a 'real-life' consulting project designed and supported by University staff for University academic Schools and professional service units. Outputs include research reports, videos, educational resources used at the University, creative work or websites.</t>
        </is>
      </c>
      <c r="K400" s="77" t="inlineStr">
        <is>
          <t>International Education and Lifelong Learning Institute (IELLI) / Education</t>
        </is>
      </c>
      <c r="L400" s="77" t="inlineStr">
        <is>
          <t>St Andrews undergraduates (no faculty restriction stated)</t>
        </is>
      </c>
      <c r="M400" s="77" t="inlineStr">
        <is>
          <t>Central provision</t>
        </is>
      </c>
      <c r="N400" s="77" t="inlineStr">
        <is>
          <t>Undergraduate</t>
        </is>
      </c>
      <c r="O400" s="77" t="inlineStr">
        <is>
          <t>Not stated</t>
        </is>
      </c>
      <c r="P400" s="77" t="inlineStr">
        <is>
          <t>Application required (2026 deadline 4 May)</t>
        </is>
      </c>
      <c r="Q400" s="77" t="inlineStr">
        <is>
          <t>Selective/competitive</t>
        </is>
      </c>
      <c r="R400" s="77" t="inlineStr">
        <is>
          <t>Extracurricular</t>
        </is>
      </c>
      <c r="S400" s="77" t="inlineStr">
        <is>
          <t>No credit; recorded on HEAR transcript; LinkedIn badge on completion</t>
        </is>
      </c>
      <c r="T400" s="77" t="inlineStr">
        <is>
          <t>About 7 weeks (2026: core project work 25 May-13 July; closing ceremony 3 August), 4-6 hours/week</t>
        </is>
      </c>
      <c r="U400" s="77" t="inlineStr">
        <is>
          <t>Online, remote teams</t>
        </is>
      </c>
      <c r="V400" s="77" t="inlineStr">
        <is>
          <t>Yes</t>
        </is>
      </c>
      <c r="W400" s="77" t="inlineStr">
        <is>
          <t>'Real-life project' with outputs such as research report, video, educational resource, creative work or website [1]; 'real consulting project' [2].</t>
        </is>
      </c>
      <c r="X400" s="77" t="inlineStr">
        <is>
          <t>Yes</t>
        </is>
      </c>
      <c r="Y400" s="77" t="inlineStr">
        <is>
          <t>Students placed in a remote project team of six or seven undergraduates [1].</t>
        </is>
      </c>
      <c r="Z400" s="77" t="inlineStr">
        <is>
          <t>No</t>
        </is>
      </c>
      <c r="AA400" s="77" t="inlineStr">
        <is>
          <t>Clients are internal: projects are 'designed and supported by University staff' [1] for 'various University academic Schools and professional service units' [2]. No external organisation evidenced.</t>
        </is>
      </c>
      <c r="AB400" s="77" t="inlineStr">
        <is>
          <t>Other</t>
        </is>
      </c>
      <c r="AC400" s="77" t="inlineStr">
        <is>
          <t>Internal University Schools and professional service units act as project sponsors (internal clients - does not satisfy C)</t>
        </is>
      </c>
      <c r="AD400" s="77" t="inlineStr"/>
      <c r="AE400" s="77" t="inlineStr">
        <is>
          <t>Research report, video, educational resource, creative work or website</t>
        </is>
      </c>
      <c r="AF400" s="77">
        <f>IF(OR(V400="No",X400="No",Z400="No"),"Outside strict definition",IF(AND(V400="Yes",X400="Yes",Z400="Yes"),"Meets all three","Potentially relevant; evidence incomplete"))</f>
        <v/>
      </c>
      <c r="AG400" s="77" t="inlineStr">
        <is>
          <t>Current delivery confirmed</t>
        </is>
      </c>
      <c r="AH400" s="77" t="inlineStr">
        <is>
          <t>2026</t>
        </is>
      </c>
      <c r="AI400" s="77" t="inlineStr">
        <is>
          <t>Yes</t>
        </is>
      </c>
      <c r="AJ400" s="77">
        <f>IF(AND(AI400="Yes",AF400="Meets all three",AG400="Current delivery confirmed"),"Yes","No")</f>
        <v/>
      </c>
      <c r="AK400" s="77" t="inlineStr"/>
      <c r="AL400" s="77" t="inlineStr">
        <is>
          <t>UK02-S02-R1; UK02-S02-R2</t>
        </is>
      </c>
      <c r="AM400" s="77" t="inlineStr">
        <is>
          <t>Duration band left Unclear: about 7 weeks part-time (4-6 h/week), which falls between the '1-4 weeks' and '~1 term' bands. The 2026 project list was not retrieved, so some projects may have external sponsors.</t>
        </is>
      </c>
      <c r="AN400" s="77" t="inlineStr"/>
      <c r="AO400" s="77" t="inlineStr">
        <is>
          <t>UK</t>
        </is>
      </c>
      <c r="AP400" s="77" t="inlineStr">
        <is>
          <t>UK – additional</t>
        </is>
      </c>
      <c r="AQ400" s="77" t="inlineStr">
        <is>
          <t>Unclear</t>
        </is>
      </c>
      <c r="AR400" s="77" t="inlineStr">
        <is>
          <t>Unclear</t>
        </is>
      </c>
      <c r="AS400" s="77" t="inlineStr"/>
    </row>
    <row r="401">
      <c r="A401" s="77" t="inlineStr">
        <is>
          <t>UK02</t>
        </is>
      </c>
      <c r="B401" s="77" t="inlineStr">
        <is>
          <t>St Andrews</t>
        </is>
      </c>
      <c r="C401" s="77" t="inlineStr">
        <is>
          <t>Programme/course</t>
        </is>
      </c>
      <c r="D401" s="77" t="inlineStr">
        <is>
          <t>UK02-S03</t>
        </is>
      </c>
      <c r="E401" s="77" t="inlineStr"/>
      <c r="F401" s="77" t="inlineStr">
        <is>
          <t>No</t>
        </is>
      </c>
      <c r="G401" s="79" t="inlineStr">
        <is>
          <t>CS3099 Software Engineering Team Project</t>
        </is>
      </c>
      <c r="H401" s="77" t="inlineStr">
        <is>
          <t>CS3099 Software Engineering Team Project</t>
        </is>
      </c>
      <c r="I401" s="77" t="inlineStr">
        <is>
          <t>CS3099</t>
        </is>
      </c>
      <c r="J401" s="77" t="inlineStr">
        <is>
          <t>Full-year third-year Computer Science module in which teams specify, plan, design, implement, test and document a medium-sized software system under staff guidance. A 2025 School blog states that industry engagement (Doors Open events) led to the involvement of Experian and Skyscanner in the module, with accessibility built in 'in collaboration with Skyscanner'; their exact role (brief-setting, feedback, assessment) is not documented.</t>
        </is>
      </c>
      <c r="K401" s="77" t="inlineStr">
        <is>
          <t>School of Computer Science</t>
        </is>
      </c>
      <c r="L401" s="77" t="inlineStr">
        <is>
          <t>Computer Science honours (prerequisites CS2002 and CS2101 or CS2001)</t>
        </is>
      </c>
      <c r="M401" s="77" t="inlineStr">
        <is>
          <t>Engineering/computing</t>
        </is>
      </c>
      <c r="N401" s="77" t="inlineStr">
        <is>
          <t>Undergraduate</t>
        </is>
      </c>
      <c r="O401" s="77" t="inlineStr">
        <is>
          <t>Year 3</t>
        </is>
      </c>
      <c r="P401" s="77" t="inlineStr">
        <is>
          <t>Prerequisites CS2002 and (CS2101 or CS2001)</t>
        </is>
      </c>
      <c r="Q401" s="77" t="inlineStr">
        <is>
          <t>Unclear</t>
        </is>
      </c>
      <c r="R401" s="77" t="inlineStr">
        <is>
          <t>Curricular</t>
        </is>
      </c>
      <c r="S401" s="77" t="inlineStr">
        <is>
          <t>30 SCOTCAT (15 ECTS); 100% coursework, no reassessment</t>
        </is>
      </c>
      <c r="T401" s="77" t="inlineStr">
        <is>
          <t>Full year</t>
        </is>
      </c>
      <c r="U401" s="77" t="inlineStr">
        <is>
          <t>In person team project</t>
        </is>
      </c>
      <c r="V401" s="77" t="inlineStr">
        <is>
          <t>Yes</t>
        </is>
      </c>
      <c r="W401" s="77" t="inlineStr">
        <is>
          <t>Teams build a medium-sized software system from specification to documentation [1].</t>
        </is>
      </c>
      <c r="X401" s="77" t="inlineStr">
        <is>
          <t>Yes</t>
        </is>
      </c>
      <c r="Y401" s="77" t="inlineStr">
        <is>
          <t>Team project; third-year undergraduates 'work in groups to create a software product' [1][2].</t>
        </is>
      </c>
      <c r="Z401" s="77" t="inlineStr">
        <is>
          <t>Unclear</t>
        </is>
      </c>
      <c r="AA401" s="77" t="inlineStr">
        <is>
          <t>Blog reports 'involvement of Experian and Skyscanner' and accessibility built in 'in collaboration with Skyscanner' [2], but does not say whether they set briefs, act as clients, or give feedback; catalogue describes work 'under the guidance of a member of staff' with no client mentioned [1].</t>
        </is>
      </c>
      <c r="AB401" s="77" t="inlineStr">
        <is>
          <t>Business/commercial</t>
        </is>
      </c>
      <c r="AC401" s="77" t="inlineStr">
        <is>
          <t>Involvement of Experian and Skyscanner (role unspecified); Skyscanner collaborated on accessibility theme</t>
        </is>
      </c>
      <c r="AD401" s="77" t="inlineStr">
        <is>
          <t>Experian, Skyscanner (blog, April 2025)</t>
        </is>
      </c>
      <c r="AE401" s="77" t="inlineStr">
        <is>
          <t>Software product with documentation</t>
        </is>
      </c>
      <c r="AF401" s="77">
        <f>IF(OR(V401="No",X401="No",Z401="No"),"Outside strict definition",IF(AND(V401="Yes",X401="Yes",Z401="Yes"),"Meets all three","Potentially relevant; evidence incomplete"))</f>
        <v/>
      </c>
      <c r="AG401" s="77" t="inlineStr">
        <is>
          <t>Current delivery confirmed</t>
        </is>
      </c>
      <c r="AH401" s="77" t="inlineStr">
        <is>
          <t>2026/27</t>
        </is>
      </c>
      <c r="AI401" s="77" t="inlineStr">
        <is>
          <t>Yes</t>
        </is>
      </c>
      <c r="AJ401" s="77">
        <f>IF(AND(AI401="Yes",AF401="Meets all three",AG401="Current delivery confirmed"),"Yes","No")</f>
        <v/>
      </c>
      <c r="AK401" s="77" t="inlineStr"/>
      <c r="AL401" s="77" t="inlineStr">
        <is>
          <t>UK02-S03-R1; UK02-S03-R2; UK02-S03-R3</t>
        </is>
      </c>
      <c r="AM401" s="77" t="inlineStr">
        <is>
          <t>Whether industry partners set project briefs for all/some teams and whether this continued after 2025; whether CS3099 is compulsory for CS single honours.</t>
        </is>
      </c>
      <c r="AN401" s="77" t="inlineStr"/>
      <c r="AO401" s="77" t="inlineStr">
        <is>
          <t>UK</t>
        </is>
      </c>
      <c r="AP401" s="77" t="inlineStr">
        <is>
          <t>UK – additional</t>
        </is>
      </c>
      <c r="AQ401" s="77" t="inlineStr">
        <is>
          <t>&gt;1 term</t>
        </is>
      </c>
      <c r="AR401" s="77" t="inlineStr">
        <is>
          <t>Unclear</t>
        </is>
      </c>
      <c r="AS401" s="77" t="inlineStr"/>
    </row>
    <row r="402">
      <c r="A402" s="77" t="inlineStr">
        <is>
          <t>UK02</t>
        </is>
      </c>
      <c r="B402" s="77" t="inlineStr">
        <is>
          <t>St Andrews</t>
        </is>
      </c>
      <c r="C402" s="77" t="inlineStr">
        <is>
          <t>Programme/course</t>
        </is>
      </c>
      <c r="D402" s="77" t="inlineStr">
        <is>
          <t>UK02-S04</t>
        </is>
      </c>
      <c r="E402" s="77" t="inlineStr"/>
      <c r="F402" s="77" t="inlineStr">
        <is>
          <t>No</t>
        </is>
      </c>
      <c r="G402" s="79" t="inlineStr">
        <is>
          <t>Management MSc - consultancy projects with local organisations</t>
        </is>
      </c>
      <c r="H402" s="77" t="inlineStr">
        <is>
          <t>Management MSc - consultancy projects with local organisations</t>
        </is>
      </c>
      <c r="I402" s="77" t="inlineStr"/>
      <c r="J402" s="77" t="inlineStr">
        <is>
          <t>Course page for the Management MSc (Business School, 2027 entry) states the programme includes practical elements applying theory to real organisations and 'the opportunity to work on consultancy projects with local organisations'. The module carrying these projects, team structure, and whether all students take part were not identified.</t>
        </is>
      </c>
      <c r="K402" s="77" t="inlineStr">
        <is>
          <t>Business School (formerly School of Management)</t>
        </is>
      </c>
      <c r="L402" s="77" t="inlineStr">
        <is>
          <t>Management MSc</t>
        </is>
      </c>
      <c r="M402" s="77" t="inlineStr">
        <is>
          <t>Business/management</t>
        </is>
      </c>
      <c r="N402" s="77" t="inlineStr">
        <is>
          <t>Postgraduate taught</t>
        </is>
      </c>
      <c r="O402" s="77" t="inlineStr">
        <is>
          <t>One-year MSc</t>
        </is>
      </c>
      <c r="P402" s="77" t="inlineStr">
        <is>
          <t>Management MSc students</t>
        </is>
      </c>
      <c r="Q402" s="77" t="inlineStr">
        <is>
          <t>Optional/elective</t>
        </is>
      </c>
      <c r="R402" s="77" t="inlineStr">
        <is>
          <t>Unclear</t>
        </is>
      </c>
      <c r="S402" s="77" t="inlineStr">
        <is>
          <t>Not identified</t>
        </is>
      </c>
      <c r="T402" s="77" t="inlineStr">
        <is>
          <t>Not identified</t>
        </is>
      </c>
      <c r="U402" s="77" t="inlineStr">
        <is>
          <t>Not identified</t>
        </is>
      </c>
      <c r="V402" s="77" t="inlineStr">
        <is>
          <t>Unclear</t>
        </is>
      </c>
      <c r="W402" s="77" t="inlineStr">
        <is>
          <t>'Consultancy projects' named [1], but no brief, output or module description found.</t>
        </is>
      </c>
      <c r="X402" s="77" t="inlineStr">
        <is>
          <t>Unclear</t>
        </is>
      </c>
      <c r="Y402" s="77" t="inlineStr">
        <is>
          <t>Page (fetched 2026-10-13) does not mention group work; teaching is lectures, tutorials, workshops and seminars. The six compulsory modules and 15 options listed include no named consultancy module, so the consultancy opportunity is not shown to be a core assessed route.</t>
        </is>
      </c>
      <c r="Z402" s="77" t="inlineStr">
        <is>
          <t>Unclear</t>
        </is>
      </c>
      <c r="AA402" s="77" t="inlineStr">
        <is>
          <t>Projects are 'with local organisations' [1]; worded as an 'opportunity', role of organisations not described.</t>
        </is>
      </c>
      <c r="AB402" s="77" t="inlineStr">
        <is>
          <t>Unclear</t>
        </is>
      </c>
      <c r="AC402" s="77" t="inlineStr">
        <is>
          <t>Local organisations (role not described)</t>
        </is>
      </c>
      <c r="AD402" s="77" t="inlineStr"/>
      <c r="AE402" s="77" t="inlineStr">
        <is>
          <t>Not identified</t>
        </is>
      </c>
      <c r="AF402" s="77">
        <f>IF(OR(V402="No",X402="No",Z402="No"),"Outside strict definition",IF(AND(V402="Yes",X402="Yes",Z402="Yes"),"Meets all three","Potentially relevant; evidence incomplete"))</f>
        <v/>
      </c>
      <c r="AG402" s="77" t="inlineStr">
        <is>
          <t>Current status unclear</t>
        </is>
      </c>
      <c r="AH402" s="77" t="inlineStr">
        <is>
          <t>2027 entry (prospectus)</t>
        </is>
      </c>
      <c r="AI402" s="77" t="inlineStr">
        <is>
          <t>Yes</t>
        </is>
      </c>
      <c r="AJ402" s="77">
        <f>IF(AND(AI402="Yes",AF402="Meets all three",AG402="Current delivery confirmed"),"Yes","No")</f>
        <v/>
      </c>
      <c r="AK402" s="77" t="inlineStr"/>
      <c r="AL402" s="77" t="inlineStr">
        <is>
          <t>UK02-S04-R1; UK02-S04-R2</t>
        </is>
      </c>
      <c r="AM402" s="77" t="inlineStr">
        <is>
          <t>Identify the MN module carrying the consultancy projects, its group structure, client role and whether compulsory; similar 'consultancy projects' wording appears for the Management MLitt (2025-26 archive) and may apply across Business School MSc/MLitt programmes.</t>
        </is>
      </c>
      <c r="AN402" s="77" t="inlineStr"/>
      <c r="AO402" s="77" t="inlineStr">
        <is>
          <t>UK</t>
        </is>
      </c>
      <c r="AP402" s="77" t="inlineStr">
        <is>
          <t>UK – additional</t>
        </is>
      </c>
      <c r="AQ402" s="77" t="inlineStr">
        <is>
          <t>Unclear</t>
        </is>
      </c>
      <c r="AR402" s="77" t="inlineStr">
        <is>
          <t>Unclear</t>
        </is>
      </c>
      <c r="AS402" s="77" t="inlineStr"/>
    </row>
    <row r="403">
      <c r="A403" s="77" t="inlineStr">
        <is>
          <t>UK02</t>
        </is>
      </c>
      <c r="B403" s="77" t="inlineStr">
        <is>
          <t>St Andrews</t>
        </is>
      </c>
      <c r="C403" s="77" t="inlineStr">
        <is>
          <t>Unclear</t>
        </is>
      </c>
      <c r="D403" s="77" t="inlineStr">
        <is>
          <t>UK02-S05</t>
        </is>
      </c>
      <c r="E403" s="77" t="inlineStr"/>
      <c r="F403" s="77" t="inlineStr">
        <is>
          <t>No</t>
        </is>
      </c>
      <c r="G403" s="79" t="inlineStr">
        <is>
          <t>St Andrews Playfair Consultancy Group</t>
        </is>
      </c>
      <c r="H403" s="77" t="inlineStr">
        <is>
          <t>St Andrews Playfair Consultancy Group (student-run pro bono consultancy society)</t>
        </is>
      </c>
      <c r="I403" s="77" t="inlineStr"/>
      <c r="J403" s="77" t="inlineStr">
        <is>
          <t>Student-run society providing pro bono consulting to local, national and international organisations. Per its listings, teams of about 5-6 student consultants are assigned to each project; two cycles of about 10 weeks per year; services include market entry strategy, competitive analysis and organisational restructuring. Recent clients named include Kidscape and Streetbox. Student-run, not a University scheme.</t>
        </is>
      </c>
      <c r="K403" s="77" t="inlineStr">
        <is>
          <t>Student society</t>
        </is>
      </c>
      <c r="L403" s="77" t="inlineStr">
        <is>
          <t>Not established (selection criteria not retrieved)</t>
        </is>
      </c>
      <c r="M403" s="77" t="inlineStr">
        <is>
          <t>Central provision</t>
        </is>
      </c>
      <c r="N403" s="77" t="inlineStr">
        <is>
          <t>Unclear</t>
        </is>
      </c>
      <c r="O403" s="77" t="inlineStr"/>
      <c r="P403" s="77" t="inlineStr">
        <is>
          <t>Not established</t>
        </is>
      </c>
      <c r="Q403" s="77" t="inlineStr">
        <is>
          <t>Selective/competitive</t>
        </is>
      </c>
      <c r="R403" s="77" t="inlineStr">
        <is>
          <t>Extracurricular</t>
        </is>
      </c>
      <c r="S403" s="77" t="inlineStr">
        <is>
          <t>None evidenced</t>
        </is>
      </c>
      <c r="T403" s="77" t="inlineStr">
        <is>
          <t>About 10 weeks per cycle, two cycles a year</t>
        </is>
      </c>
      <c r="U403" s="77" t="inlineStr">
        <is>
          <t>Student consulting teams</t>
        </is>
      </c>
      <c r="V403" s="77" t="inlineStr">
        <is>
          <t>Yes</t>
        </is>
      </c>
      <c r="W403" s="77" t="inlineStr">
        <is>
          <t>Consulting projects (market entry, competitive analysis, restructuring) for client organisations [1].</t>
        </is>
      </c>
      <c r="X403" s="77" t="inlineStr">
        <is>
          <t>Yes</t>
        </is>
      </c>
      <c r="Y403" s="77" t="inlineStr">
        <is>
          <t>Dedicated student-led teams of about 5-6 consultants per project [1].</t>
        </is>
      </c>
      <c r="Z403" s="77" t="inlineStr">
        <is>
          <t>Yes</t>
        </is>
      </c>
      <c r="AA403" s="77" t="inlineStr">
        <is>
          <t>External clients (charities to tech companies; Kidscape, Streetbox named) commission the projects [1]. Evidence is a search-summary of Playfair/Gradcracker listings and a University graduation citation; WebFetch of the Gradcracker page returned 403.</t>
        </is>
      </c>
      <c r="AB403" s="77" t="inlineStr">
        <is>
          <t>Mixed</t>
        </is>
      </c>
      <c r="AC403" s="77" t="inlineStr">
        <is>
          <t>Client commissioning consulting project</t>
        </is>
      </c>
      <c r="AD403" s="77" t="inlineStr">
        <is>
          <t>Kidscape, Streetbox (undated listing)</t>
        </is>
      </c>
      <c r="AE403" s="77" t="inlineStr">
        <is>
          <t>Consulting recommendations/report (form not retrieved)</t>
        </is>
      </c>
      <c r="AF403" s="77">
        <f>IF(OR(V403="No",X403="No",Z403="No"),"Outside strict definition",IF(AND(V403="Yes",X403="Yes",Z403="Yes"),"Meets all three","Potentially relevant; evidence incomplete"))</f>
        <v/>
      </c>
      <c r="AG403" s="77" t="inlineStr">
        <is>
          <t>Current status unclear</t>
        </is>
      </c>
      <c r="AH403" s="77" t="inlineStr">
        <is>
          <t>Undated (2023 graduation citation mentions ten completed projects in that year)</t>
        </is>
      </c>
      <c r="AI403" s="77" t="inlineStr">
        <is>
          <t>Yes</t>
        </is>
      </c>
      <c r="AJ403" s="77">
        <f>IF(AND(AI403="Yes",AF403="Meets all three",AG403="Current delivery confirmed"),"Yes","No")</f>
        <v/>
      </c>
      <c r="AK403" s="77" t="inlineStr">
        <is>
          <t>Ten projects completed in one year per a graduation citation (c.2023)</t>
        </is>
      </c>
      <c r="AL403" s="77" t="inlineStr">
        <is>
          <t>UK02-S05-R1; UK02-S05-R2</t>
        </is>
      </c>
      <c r="AM403" s="77" t="inlineStr">
        <is>
          <t>Current activity, University recognition and who may join; evidence is secondary and undated. Student-led so not a University-provided structure.</t>
        </is>
      </c>
      <c r="AN403" s="77" t="inlineStr"/>
      <c r="AO403" s="77" t="inlineStr">
        <is>
          <t>UK</t>
        </is>
      </c>
      <c r="AP403" s="77" t="inlineStr">
        <is>
          <t>UK – additional</t>
        </is>
      </c>
      <c r="AQ403" s="77" t="inlineStr">
        <is>
          <t>~1 term/semester</t>
        </is>
      </c>
      <c r="AR403" s="77" t="inlineStr">
        <is>
          <t>All/standard</t>
        </is>
      </c>
      <c r="AS403" s="77" t="inlineStr"/>
    </row>
    <row r="404">
      <c r="A404" s="77" t="inlineStr">
        <is>
          <t>UK03</t>
        </is>
      </c>
      <c r="B404" s="77" t="inlineStr">
        <is>
          <t>Lancaster</t>
        </is>
      </c>
      <c r="C404" s="77" t="inlineStr">
        <is>
          <t>Faculty/school</t>
        </is>
      </c>
      <c r="D404" s="77" t="inlineStr">
        <is>
          <t>UK03-S01</t>
        </is>
      </c>
      <c r="E404" s="77" t="inlineStr"/>
      <c r="F404" s="77" t="inlineStr">
        <is>
          <t>Yes</t>
        </is>
      </c>
      <c r="G404" s="79" t="inlineStr">
        <is>
          <t>LUMS Company Projects / Consultancy Projects (Management School consultancy project modules)</t>
        </is>
      </c>
      <c r="H404" s="77" t="inlineStr"/>
      <c r="I404" s="77" t="inlineStr"/>
      <c r="J404" s="77" t="inlineStr">
        <is>
          <t>Management School framework in which a Company Projects team sources and scopes real-world projects from external companies for undergraduate and postgraduate consultancy-project modules; student teams negotiate the brief with the client, analyse data and make recommendations. Umbrella for the programme-specific routes below.</t>
        </is>
      </c>
      <c r="K404" s="77" t="inlineStr">
        <is>
          <t>Lancaster University Management School (LUMS) Careers / Company Projects team</t>
        </is>
      </c>
      <c r="L404" s="77" t="inlineStr">
        <is>
          <t>Management School degrees that include a consultancy or company-project module; compulsory in some degrees, optional in others (alternatives may be offered)</t>
        </is>
      </c>
      <c r="M404" s="77" t="inlineStr">
        <is>
          <t>Business/management</t>
        </is>
      </c>
      <c r="N404" s="77" t="inlineStr">
        <is>
          <t>Mixed</t>
        </is>
      </c>
      <c r="O404" s="77" t="inlineStr"/>
      <c r="P404" s="77" t="inlineStr"/>
      <c r="Q404" s="77" t="inlineStr">
        <is>
          <t>Compulsory within specified programmes</t>
        </is>
      </c>
      <c r="R404" s="77" t="inlineStr">
        <is>
          <t>Curricular</t>
        </is>
      </c>
      <c r="S404" s="77" t="inlineStr"/>
      <c r="T404" s="77" t="inlineStr">
        <is>
          <t>Varies by module</t>
        </is>
      </c>
      <c r="U404" s="77" t="inlineStr"/>
      <c r="V404" s="77" t="inlineStr">
        <is>
          <t>Yes</t>
        </is>
      </c>
      <c r="W404" s="77" t="inlineStr">
        <is>
          <t>Teams tackle a real-world challenge for a partner company (src 1).</t>
        </is>
      </c>
      <c r="X404" s="77" t="inlineStr">
        <is>
          <t>Yes</t>
        </is>
      </c>
      <c r="Y404" s="77" t="inlineStr">
        <is>
          <t>'Work in small teams' (src 1).</t>
        </is>
      </c>
      <c r="Z404" s="77" t="inlineStr">
        <is>
          <t>Yes</t>
        </is>
      </c>
      <c r="AA404" s="77" t="inlineStr">
        <is>
          <t>Partner companies (Companies House-registered, trading 1+ year, 5-10 hours commitment) supply the project; teams negotiate scope with the client (src 1, 2).</t>
        </is>
      </c>
      <c r="AB404" s="77" t="inlineStr">
        <is>
          <t>Business/commercial</t>
        </is>
      </c>
      <c r="AC404" s="77" t="inlineStr">
        <is>
          <t>Company hosts supply live project and contact time</t>
        </is>
      </c>
      <c r="AD404" s="77" t="inlineStr"/>
      <c r="AE404" s="77" t="inlineStr">
        <is>
          <t>Consultancy report/recommendations to company</t>
        </is>
      </c>
      <c r="AF404" s="77">
        <f>IF(OR(V404="No",X404="No",Z404="No"),"Outside strict definition",IF(AND(V404="Yes",X404="Yes",Z404="Yes"),"Meets all three","Potentially relevant; evidence incomplete"))</f>
        <v/>
      </c>
      <c r="AG404" s="77" t="inlineStr">
        <is>
          <t>Current status unclear</t>
        </is>
      </c>
      <c r="AH404" s="77" t="inlineStr">
        <is>
          <t>2025 (news: 668 students since 2023)</t>
        </is>
      </c>
      <c r="AI404" s="77" t="inlineStr">
        <is>
          <t>No</t>
        </is>
      </c>
      <c r="AJ404" s="77">
        <f>IF(AND(AI404="Yes",AF404="Meets all three",AG404="Current delivery confirmed"),"Yes","No")</f>
        <v/>
      </c>
      <c r="AK404" s="77" t="inlineStr">
        <is>
          <t>Careers Projects Team: &gt;150 bespoke projects delivered; since 2023, 668 students and &gt;160 employer partners (cumulative, news item c. 2025); LUMS also states &gt;800 consultancy projects since 2010 (search summary, unquoted).</t>
        </is>
      </c>
      <c r="AL404" s="77" t="inlineStr">
        <is>
          <t>UK03-S01-R1; UK03-S01-R2; UK03-S01-R3</t>
        </is>
      </c>
      <c r="AM404" s="77" t="inlineStr">
        <is>
          <t>Umbrella page does not name modules/degrees; undated pages. Counted via children.</t>
        </is>
      </c>
      <c r="AN404" s="77" t="inlineStr"/>
      <c r="AO404" s="77" t="inlineStr">
        <is>
          <t>UK</t>
        </is>
      </c>
      <c r="AP404" s="77" t="inlineStr">
        <is>
          <t>UK – additional</t>
        </is>
      </c>
      <c r="AQ404" s="77" t="inlineStr">
        <is>
          <t>Unclear</t>
        </is>
      </c>
      <c r="AR404" s="77" t="inlineStr">
        <is>
          <t>All/standard</t>
        </is>
      </c>
      <c r="AS404" s="77" t="inlineStr">
        <is>
          <t>No (umbrella; children counted)</t>
        </is>
      </c>
    </row>
    <row r="405">
      <c r="A405" s="77" t="inlineStr">
        <is>
          <t>UK03</t>
        </is>
      </c>
      <c r="B405" s="77" t="inlineStr">
        <is>
          <t>Lancaster</t>
        </is>
      </c>
      <c r="C405" s="77" t="inlineStr">
        <is>
          <t>Programme/course</t>
        </is>
      </c>
      <c r="D405" s="77" t="inlineStr">
        <is>
          <t>UK03-S02</t>
        </is>
      </c>
      <c r="E405" s="77" t="inlineStr">
        <is>
          <t>UK03-S01</t>
        </is>
      </c>
      <c r="F405" s="77" t="inlineStr">
        <is>
          <t>No</t>
        </is>
      </c>
      <c r="G405" s="79" t="inlineStr">
        <is>
          <t>Research Consultancy Project (BSc Marketing and related Marketing degrees)</t>
        </is>
      </c>
      <c r="H405" s="77" t="inlineStr"/>
      <c r="I405" s="77" t="inlineStr"/>
      <c r="J405" s="77" t="inlineStr">
        <is>
          <t>Final-year core consultancy-style research project: students work in a small team on a live client brief in marketing (market research, analytics), negotiating the brief with the client and reporting recommendations. Appears in Marketing BSc and variants (e.g. Marketing with Psychology, Marketing (Industry)).</t>
        </is>
      </c>
      <c r="K405" s="77" t="inlineStr">
        <is>
          <t>LUMS Department of Marketing</t>
        </is>
      </c>
      <c r="L405" s="77" t="inlineStr">
        <is>
          <t>BSc Marketing (N500), Marketing with Psychology (N5C8), Marketing (Industry) (N505) and related degrees</t>
        </is>
      </c>
      <c r="M405" s="77" t="inlineStr">
        <is>
          <t>Business/management</t>
        </is>
      </c>
      <c r="N405" s="77" t="inlineStr">
        <is>
          <t>Undergraduate</t>
        </is>
      </c>
      <c r="O405" s="77" t="inlineStr">
        <is>
          <t>Final year</t>
        </is>
      </c>
      <c r="P405" s="77" t="inlineStr"/>
      <c r="Q405" s="77" t="inlineStr">
        <is>
          <t>Compulsory within specified programmes</t>
        </is>
      </c>
      <c r="R405" s="77" t="inlineStr">
        <is>
          <t>Curricular</t>
        </is>
      </c>
      <c r="S405" s="77" t="inlineStr"/>
      <c r="T405" s="77" t="inlineStr">
        <is>
          <t>Module length not retrieved</t>
        </is>
      </c>
      <c r="U405" s="77" t="inlineStr"/>
      <c r="V405" s="77" t="inlineStr">
        <is>
          <t>Yes</t>
        </is>
      </c>
      <c r="W405" s="77" t="inlineStr">
        <is>
          <t>Consultancy-style research project investigating a marketing issue for a live client (src 1, 2).</t>
        </is>
      </c>
      <c r="X405" s="77" t="inlineStr">
        <is>
          <t>Yes</t>
        </is>
      </c>
      <c r="Y405" s="77" t="inlineStr">
        <is>
          <t>'as part of a small team' (src 1).</t>
        </is>
      </c>
      <c r="Z405" s="77" t="inlineStr">
        <is>
          <t>Yes</t>
        </is>
      </c>
      <c r="AA405" s="77" t="inlineStr">
        <is>
          <t>Live client project; groups negotiate scope with client; past clients listed (src 2, 3).</t>
        </is>
      </c>
      <c r="AB405" s="77" t="inlineStr">
        <is>
          <t>Mixed</t>
        </is>
      </c>
      <c r="AC405" s="77" t="inlineStr">
        <is>
          <t>Client sets brief; scope negotiated with client</t>
        </is>
      </c>
      <c r="AD405" s="77" t="inlineStr">
        <is>
          <t>MOBO Awards, Saatchi &amp; Saatchi, Tesco, Lake District Tourism, plus SMEs and charities (as listed on Marketing with Psychology (Industry) page, undated)</t>
        </is>
      </c>
      <c r="AE405" s="77" t="inlineStr">
        <is>
          <t>Group research report/presentation to client</t>
        </is>
      </c>
      <c r="AF405" s="77">
        <f>IF(OR(V405="No",X405="No",Z405="No"),"Outside strict definition",IF(AND(V405="Yes",X405="Yes",Z405="Yes"),"Meets all three","Potentially relevant; evidence incomplete"))</f>
        <v/>
      </c>
      <c r="AG405" s="77" t="inlineStr">
        <is>
          <t>Current status unclear</t>
        </is>
      </c>
      <c r="AH405" s="77" t="inlineStr">
        <is>
          <t>2026 entry page</t>
        </is>
      </c>
      <c r="AI405" s="77" t="inlineStr">
        <is>
          <t>Yes</t>
        </is>
      </c>
      <c r="AJ405" s="77">
        <f>IF(AND(AI405="Yes",AF405="Meets all three",AG405="Current delivery confirmed"),"Yes","No")</f>
        <v/>
      </c>
      <c r="AK405" s="77" t="inlineStr"/>
      <c r="AL405" s="77" t="inlineStr">
        <is>
          <t>UK03-S02-R1; UK03-S02-R2; UK03-S02-R3</t>
        </is>
      </c>
      <c r="AM405" s="77" t="inlineStr">
        <is>
          <t>Module code and credit not retrieved; 2026/2027-entry course pages list the module but no 2025/26 or 2026/27 module catalogue or cohort confirmation; older MKTG310 handbook (2017-18) describes the predecessor. Duration band is inferred as module-length, not stated.</t>
        </is>
      </c>
      <c r="AN405" s="77" t="inlineStr"/>
      <c r="AO405" s="77" t="inlineStr">
        <is>
          <t>UK</t>
        </is>
      </c>
      <c r="AP405" s="77" t="inlineStr">
        <is>
          <t>UK – additional</t>
        </is>
      </c>
      <c r="AQ405" s="77" t="inlineStr">
        <is>
          <t>~1 term/semester</t>
        </is>
      </c>
      <c r="AR405" s="77" t="inlineStr">
        <is>
          <t>All/standard</t>
        </is>
      </c>
      <c r="AS405" s="77" t="inlineStr"/>
    </row>
    <row r="406">
      <c r="A406" s="77" t="inlineStr">
        <is>
          <t>UK03</t>
        </is>
      </c>
      <c r="B406" s="77" t="inlineStr">
        <is>
          <t>Lancaster</t>
        </is>
      </c>
      <c r="C406" s="77" t="inlineStr">
        <is>
          <t>Programme/course</t>
        </is>
      </c>
      <c r="D406" s="77" t="inlineStr">
        <is>
          <t>UK03-S03</t>
        </is>
      </c>
      <c r="E406" s="77" t="inlineStr">
        <is>
          <t>UK03-S01</t>
        </is>
      </c>
      <c r="F406" s="77" t="inlineStr">
        <is>
          <t>No</t>
        </is>
      </c>
      <c r="G406" s="79" t="inlineStr">
        <is>
          <t>Design Consultancy (BA Design; Marketing and Design BSc)</t>
        </is>
      </c>
      <c r="H406" s="77" t="inlineStr"/>
      <c r="I406" s="77" t="inlineStr"/>
      <c r="J406" s="77" t="inlineStr">
        <is>
          <t>Final-year core module in which student design teams work with a real client on a live project, shaping the brief with the client (product, brand, UX, design strategy) and delivering design research-based solutions; Marketing and Design BSc has a similar consultancy module.</t>
        </is>
      </c>
      <c r="K406" s="77" t="inlineStr">
        <is>
          <t>Lancaster Institute for Contemporary Arts / Design (Faculty of Humanities, Arts and Social Sciences); Marketing and Design jointly with LUMS</t>
        </is>
      </c>
      <c r="L406" s="77" t="inlineStr">
        <is>
          <t>BA Design (W281) and variants; Marketing and Design BSc (NW52)</t>
        </is>
      </c>
      <c r="M406" s="77" t="inlineStr">
        <is>
          <t>Arts/humanities/social sciences; Other (law, health, design, architecture…)</t>
        </is>
      </c>
      <c r="N406" s="77" t="inlineStr">
        <is>
          <t>Undergraduate</t>
        </is>
      </c>
      <c r="O406" s="77" t="inlineStr">
        <is>
          <t>Final year</t>
        </is>
      </c>
      <c r="P406" s="77" t="inlineStr"/>
      <c r="Q406" s="77" t="inlineStr">
        <is>
          <t>Compulsory within specified programmes</t>
        </is>
      </c>
      <c r="R406" s="77" t="inlineStr">
        <is>
          <t>Curricular</t>
        </is>
      </c>
      <c r="S406" s="77" t="inlineStr"/>
      <c r="T406" s="77" t="inlineStr">
        <is>
          <t>Entire final year (stated on Study Abroad variant page)</t>
        </is>
      </c>
      <c r="U406" s="77" t="inlineStr"/>
      <c r="V406" s="77" t="inlineStr">
        <is>
          <t>Yes</t>
        </is>
      </c>
      <c r="W406" s="77" t="inlineStr">
        <is>
          <t>Live project with a real client delivering creative solutions (src 1).</t>
        </is>
      </c>
      <c r="X406" s="77" t="inlineStr">
        <is>
          <t>Yes</t>
        </is>
      </c>
      <c r="Y406" s="77" t="inlineStr">
        <is>
          <t>'In a team, you will tackle real business challenges'; aligned with 'your team's strengths' (src 1).</t>
        </is>
      </c>
      <c r="Z406" s="77" t="inlineStr">
        <is>
          <t>Yes</t>
        </is>
      </c>
      <c r="AA406" s="77" t="inlineStr">
        <is>
          <t>Briefs are shaped with the client; students manage client relationships (src 1).</t>
        </is>
      </c>
      <c r="AB406" s="77" t="inlineStr">
        <is>
          <t>Unclear</t>
        </is>
      </c>
      <c r="AC406" s="77" t="inlineStr">
        <is>
          <t>Real client shapes brief</t>
        </is>
      </c>
      <c r="AD406" s="77" t="inlineStr"/>
      <c r="AE406" s="77" t="inlineStr">
        <is>
          <t>Design solution/research for client</t>
        </is>
      </c>
      <c r="AF406" s="77">
        <f>IF(OR(V406="No",X406="No",Z406="No"),"Outside strict definition",IF(AND(V406="Yes",X406="Yes",Z406="Yes"),"Meets all three","Potentially relevant; evidence incomplete"))</f>
        <v/>
      </c>
      <c r="AG406" s="77" t="inlineStr">
        <is>
          <t>Current status unclear</t>
        </is>
      </c>
      <c r="AH406" s="77" t="inlineStr">
        <is>
          <t>2026 entry page</t>
        </is>
      </c>
      <c r="AI406" s="77" t="inlineStr">
        <is>
          <t>Yes</t>
        </is>
      </c>
      <c r="AJ406" s="77">
        <f>IF(AND(AI406="Yes",AF406="Meets all three",AG406="Current delivery confirmed"),"Yes","No")</f>
        <v/>
      </c>
      <c r="AK406" s="77" t="inlineStr"/>
      <c r="AL406" s="77" t="inlineStr">
        <is>
          <t>UK03-S03-R1; UK03-S03-R2; UK03-S03-R3</t>
        </is>
      </c>
      <c r="AM406" s="77" t="inlineStr">
        <is>
          <t>Client sectors/names not retrieved; credit not retrieved; no cohort/dated delivery evidence beyond 2026-entry course pages.</t>
        </is>
      </c>
      <c r="AN406" s="77" t="inlineStr"/>
      <c r="AO406" s="77" t="inlineStr">
        <is>
          <t>UK</t>
        </is>
      </c>
      <c r="AP406" s="77" t="inlineStr">
        <is>
          <t>UK – additional</t>
        </is>
      </c>
      <c r="AQ406" s="77" t="inlineStr">
        <is>
          <t>&gt;1 term</t>
        </is>
      </c>
      <c r="AR406" s="77" t="inlineStr">
        <is>
          <t>All/standard</t>
        </is>
      </c>
      <c r="AS406" s="77" t="inlineStr"/>
    </row>
    <row r="407">
      <c r="A407" s="77" t="inlineStr">
        <is>
          <t>UK03</t>
        </is>
      </c>
      <c r="B407" s="77" t="inlineStr">
        <is>
          <t>Lancaster</t>
        </is>
      </c>
      <c r="C407" s="77" t="inlineStr">
        <is>
          <t>Programme/course</t>
        </is>
      </c>
      <c r="D407" s="77" t="inlineStr">
        <is>
          <t>UK03-S04</t>
        </is>
      </c>
      <c r="E407" s="77" t="inlineStr">
        <is>
          <t>UK03-S01</t>
        </is>
      </c>
      <c r="F407" s="77" t="inlineStr">
        <is>
          <t>No</t>
        </is>
      </c>
      <c r="G407" s="79" t="inlineStr">
        <is>
          <t>MBA Consultancy Challenge and Corporate Challenge (Lancaster MBA)</t>
        </is>
      </c>
      <c r="H407" s="77" t="inlineStr"/>
      <c r="I407" s="77" t="inlineStr"/>
      <c r="J407" s="77" t="inlineStr">
        <is>
          <t>Action-learning MBA challenge in which teams act as consultants to a client organisation, analyse a problem and develop implementable recommendations; the programme culminates in a Corporate Challenge consultancy project for a major firm.</t>
        </is>
      </c>
      <c r="K407" s="77" t="inlineStr">
        <is>
          <t>LUMS MBA</t>
        </is>
      </c>
      <c r="L407" s="77" t="inlineStr">
        <is>
          <t>Lancaster MBA (full-time); Executive MBA has a similar group consultancy challenge</t>
        </is>
      </c>
      <c r="M407" s="77" t="inlineStr">
        <is>
          <t>Business/management</t>
        </is>
      </c>
      <c r="N407" s="77" t="inlineStr">
        <is>
          <t>Postgraduate taught</t>
        </is>
      </c>
      <c r="O407" s="77" t="inlineStr"/>
      <c r="P407" s="77" t="inlineStr"/>
      <c r="Q407" s="77" t="inlineStr">
        <is>
          <t>Compulsory within specified programmes</t>
        </is>
      </c>
      <c r="R407" s="77" t="inlineStr">
        <is>
          <t>Curricular</t>
        </is>
      </c>
      <c r="S407" s="77" t="inlineStr"/>
      <c r="T407" s="77" t="inlineStr">
        <is>
          <t>Fixed points in programme (not retrieved)</t>
        </is>
      </c>
      <c r="U407" s="77" t="inlineStr"/>
      <c r="V407" s="77" t="inlineStr">
        <is>
          <t>Yes</t>
        </is>
      </c>
      <c r="W407" s="77" t="inlineStr">
        <is>
          <t>Analyse a problem for a client organisation and develop recommendations (src 1).</t>
        </is>
      </c>
      <c r="X407" s="77" t="inlineStr">
        <is>
          <t>Yes</t>
        </is>
      </c>
      <c r="Y407" s="77" t="inlineStr">
        <is>
          <t>'Teams of students' act as consultants; one blog describes 10 teams of 4-5 (older) (src 1).</t>
        </is>
      </c>
      <c r="Z407" s="77" t="inlineStr">
        <is>
          <t>Yes</t>
        </is>
      </c>
      <c r="AA407" s="77" t="inlineStr">
        <is>
          <t>Client organisation supplies the problem and receives recommendations; RSPCA testimonial praises an MBA student team (src 1, 2).</t>
        </is>
      </c>
      <c r="AB407" s="77" t="inlineStr">
        <is>
          <t>Mixed</t>
        </is>
      </c>
      <c r="AC407" s="77" t="inlineStr">
        <is>
          <t>Client organisation sets problem</t>
        </is>
      </c>
      <c r="AD407" s="77" t="inlineStr"/>
      <c r="AE407" s="77" t="inlineStr">
        <is>
          <t>Consultancy recommendations to client</t>
        </is>
      </c>
      <c r="AF407" s="77">
        <f>IF(OR(V407="No",X407="No",Z407="No"),"Outside strict definition",IF(AND(V407="Yes",X407="Yes",Z407="Yes"),"Meets all three","Potentially relevant; evidence incomplete"))</f>
        <v/>
      </c>
      <c r="AG407" s="77" t="inlineStr">
        <is>
          <t>Current status unclear</t>
        </is>
      </c>
      <c r="AH407" s="77" t="inlineStr">
        <is>
          <t>undated</t>
        </is>
      </c>
      <c r="AI407" s="77" t="inlineStr">
        <is>
          <t>Yes</t>
        </is>
      </c>
      <c r="AJ407" s="77">
        <f>IF(AND(AI407="Yes",AF407="Meets all three",AG407="Current delivery confirmed"),"Yes","No")</f>
        <v/>
      </c>
      <c r="AK407" s="77" t="inlineStr"/>
      <c r="AL407" s="77" t="inlineStr">
        <is>
          <t>UK03-S04-R1; UK03-S04-R2</t>
        </is>
      </c>
      <c r="AM407" s="77" t="inlineStr">
        <is>
          <t>Pages undated; module name/credit/team size for current MBA not confirmed; Executive MBA version says 'real-life problem or business simulation' (Unclear).</t>
        </is>
      </c>
      <c r="AN407" s="77" t="inlineStr"/>
      <c r="AO407" s="77" t="inlineStr">
        <is>
          <t>UK</t>
        </is>
      </c>
      <c r="AP407" s="77" t="inlineStr">
        <is>
          <t>UK – additional</t>
        </is>
      </c>
      <c r="AQ407" s="77" t="inlineStr">
        <is>
          <t>Unclear</t>
        </is>
      </c>
      <c r="AR407" s="77" t="inlineStr">
        <is>
          <t>All/standard</t>
        </is>
      </c>
      <c r="AS407" s="77" t="inlineStr"/>
    </row>
    <row r="408">
      <c r="A408" s="77" t="inlineStr">
        <is>
          <t>UK03</t>
        </is>
      </c>
      <c r="B408" s="77" t="inlineStr">
        <is>
          <t>Lancaster</t>
        </is>
      </c>
      <c r="C408" s="77" t="inlineStr">
        <is>
          <t>Programme/course</t>
        </is>
      </c>
      <c r="D408" s="77" t="inlineStr">
        <is>
          <t>UK03-S05</t>
        </is>
      </c>
      <c r="E408" s="77" t="inlineStr">
        <is>
          <t>UK03-S01</t>
        </is>
      </c>
      <c r="F408" s="77" t="inlineStr">
        <is>
          <t>No</t>
        </is>
      </c>
      <c r="G408" s="79" t="inlineStr">
        <is>
          <t>Company-based group project (MSc Advanced Management, Consulting and Change)</t>
        </is>
      </c>
      <c r="H408" s="77" t="inlineStr"/>
      <c r="I408" s="77" t="inlineStr"/>
      <c r="J408" s="77" t="inlineStr">
        <is>
          <t>Option replacing the individual literature-review dissertation: students work in groups with an industry partner on a company-based project (consulting intervention for a client or organisational dilemma). Group route recorded separately from the individual dissertation route.</t>
        </is>
      </c>
      <c r="K408" s="77" t="inlineStr">
        <is>
          <t>LUMS Organisation, Work and Technology</t>
        </is>
      </c>
      <c r="L408" s="77" t="inlineStr">
        <is>
          <t>MSc Advanced Management, Consulting and Change</t>
        </is>
      </c>
      <c r="M408" s="77" t="inlineStr">
        <is>
          <t>Business/management</t>
        </is>
      </c>
      <c r="N408" s="77" t="inlineStr">
        <is>
          <t>Postgraduate taught</t>
        </is>
      </c>
      <c r="O408" s="77" t="inlineStr"/>
      <c r="P408" s="77" t="inlineStr"/>
      <c r="Q408" s="77" t="inlineStr">
        <is>
          <t>Optional/elective</t>
        </is>
      </c>
      <c r="R408" s="77" t="inlineStr">
        <is>
          <t>Curricular</t>
        </is>
      </c>
      <c r="S408" s="77" t="inlineStr"/>
      <c r="T408" s="77" t="inlineStr">
        <is>
          <t>Dissertation period (not retrieved)</t>
        </is>
      </c>
      <c r="U408" s="77" t="inlineStr"/>
      <c r="V408" s="77" t="inlineStr">
        <is>
          <t>Yes</t>
        </is>
      </c>
      <c r="W408" s="77" t="inlineStr">
        <is>
          <t>Company-based project as dissertation option (src 1).</t>
        </is>
      </c>
      <c r="X408" s="77" t="inlineStr">
        <is>
          <t>Yes</t>
        </is>
      </c>
      <c r="Y408" s="77" t="inlineStr">
        <is>
          <t>'working in groups and in collaboration with an industry partner' (src 1).</t>
        </is>
      </c>
      <c r="Z408" s="77" t="inlineStr">
        <is>
          <t>Yes</t>
        </is>
      </c>
      <c r="AA408" s="77" t="inlineStr">
        <is>
          <t>Industry partner collaborates on the company-based project (src 1).</t>
        </is>
      </c>
      <c r="AB408" s="77" t="inlineStr">
        <is>
          <t>Business/commercial</t>
        </is>
      </c>
      <c r="AC408" s="77" t="inlineStr">
        <is>
          <t>Industry partner collaborates; clients assigned</t>
        </is>
      </c>
      <c r="AD408" s="77" t="inlineStr"/>
      <c r="AE408" s="77" t="inlineStr">
        <is>
          <t>Group company report/consulting intervention</t>
        </is>
      </c>
      <c r="AF408" s="77">
        <f>IF(OR(V408="No",X408="No",Z408="No"),"Outside strict definition",IF(AND(V408="Yes",X408="Yes",Z408="Yes"),"Meets all three","Potentially relevant; evidence incomplete"))</f>
        <v/>
      </c>
      <c r="AG408" s="77" t="inlineStr">
        <is>
          <t>Current delivery confirmed</t>
        </is>
      </c>
      <c r="AH408" s="77" t="inlineStr">
        <is>
          <t>2026/27 (2026-entry course page)</t>
        </is>
      </c>
      <c r="AI408" s="77" t="inlineStr">
        <is>
          <t>Yes</t>
        </is>
      </c>
      <c r="AJ408" s="77">
        <f>IF(AND(AI408="Yes",AF408="Meets all three",AG408="Current delivery confirmed"),"Yes","No")</f>
        <v/>
      </c>
      <c r="AK408" s="77" t="inlineStr"/>
      <c r="AL408" s="77" t="inlineStr">
        <is>
          <t>UK03-S05-R1</t>
        </is>
      </c>
      <c r="AM408" s="77" t="inlineStr">
        <is>
          <t>Group formation process is from the sister MSc Management blog; module code/credit not retrieved. Programme described as evolved from MA Human Resources and Consulting.</t>
        </is>
      </c>
      <c r="AN408" s="77" t="inlineStr"/>
      <c r="AO408" s="77" t="inlineStr">
        <is>
          <t>UK</t>
        </is>
      </c>
      <c r="AP408" s="77" t="inlineStr">
        <is>
          <t>UK – additional</t>
        </is>
      </c>
      <c r="AQ408" s="77" t="inlineStr">
        <is>
          <t>Unclear</t>
        </is>
      </c>
      <c r="AR408" s="77" t="inlineStr">
        <is>
          <t>All/standard</t>
        </is>
      </c>
      <c r="AS408" s="77" t="inlineStr"/>
    </row>
    <row r="409">
      <c r="A409" s="77" t="inlineStr">
        <is>
          <t>UK03</t>
        </is>
      </c>
      <c r="B409" s="77" t="inlineStr">
        <is>
          <t>Lancaster</t>
        </is>
      </c>
      <c r="C409" s="77" t="inlineStr">
        <is>
          <t>Programme/course</t>
        </is>
      </c>
      <c r="D409" s="77" t="inlineStr">
        <is>
          <t>UK03-S06</t>
        </is>
      </c>
      <c r="E409" s="77" t="inlineStr">
        <is>
          <t>UK03-S01</t>
        </is>
      </c>
      <c r="F409" s="77" t="inlineStr">
        <is>
          <t>No</t>
        </is>
      </c>
      <c r="G409" s="79" t="inlineStr">
        <is>
          <t>Organisational Diagnosis and Consulting live project (MA Human Resources and Consulting)</t>
        </is>
      </c>
      <c r="H409" s="77" t="inlineStr"/>
      <c r="I409" s="77" t="inlineStr"/>
      <c r="J409" s="77" t="inlineStr">
        <is>
          <t>Term 2 consultancy project in which teams of 6-8 students act as a consultancy group for an external client organisation (private or public, any size) on an HR-related live brief: diagnose, gather data, recommend change; students manage the client relationship with tutor support.</t>
        </is>
      </c>
      <c r="K409" s="77" t="inlineStr">
        <is>
          <t>LUMS Organisation, Work and Technology</t>
        </is>
      </c>
      <c r="L409" s="77" t="inlineStr">
        <is>
          <t>MA Human Resources and Consulting</t>
        </is>
      </c>
      <c r="M409" s="77" t="inlineStr">
        <is>
          <t>Business/management</t>
        </is>
      </c>
      <c r="N409" s="77" t="inlineStr">
        <is>
          <t>Postgraduate taught</t>
        </is>
      </c>
      <c r="O409" s="77" t="inlineStr"/>
      <c r="P409" s="77" t="inlineStr"/>
      <c r="Q409" s="77" t="inlineStr">
        <is>
          <t>Compulsory within specified programmes</t>
        </is>
      </c>
      <c r="R409" s="77" t="inlineStr">
        <is>
          <t>Curricular</t>
        </is>
      </c>
      <c r="S409" s="77" t="inlineStr"/>
      <c r="T409" s="77" t="inlineStr">
        <is>
          <t>8-10 weeks in Term 2 (sources differ: 8 weeks; 10 weeks)</t>
        </is>
      </c>
      <c r="U409" s="77" t="inlineStr"/>
      <c r="V409" s="77" t="inlineStr">
        <is>
          <t>Yes</t>
        </is>
      </c>
      <c r="W409" s="77" t="inlineStr">
        <is>
          <t>Live consultancy brief (src 1).</t>
        </is>
      </c>
      <c r="X409" s="77" t="inlineStr">
        <is>
          <t>Yes</t>
        </is>
      </c>
      <c r="Y409" s="77" t="inlineStr">
        <is>
          <t>Teams of six-eight (src 1).</t>
        </is>
      </c>
      <c r="Z409" s="77" t="inlineStr">
        <is>
          <t>Yes</t>
        </is>
      </c>
      <c r="AA409" s="77" t="inlineStr">
        <is>
          <t>Client organisation (private/public sector) provides live brief (src 1, 2).</t>
        </is>
      </c>
      <c r="AB409" s="77" t="inlineStr">
        <is>
          <t>Mixed</t>
        </is>
      </c>
      <c r="AC409" s="77" t="inlineStr">
        <is>
          <t>Client sets HR brief</t>
        </is>
      </c>
      <c r="AD409" s="77" t="inlineStr"/>
      <c r="AE409" s="77" t="inlineStr">
        <is>
          <t>Diagnosis and recommendations to client</t>
        </is>
      </c>
      <c r="AF409" s="77">
        <f>IF(OR(V409="No",X409="No",Z409="No"),"Outside strict definition",IF(AND(V409="Yes",X409="Yes",Z409="Yes"),"Meets all three","Potentially relevant; evidence incomplete"))</f>
        <v/>
      </c>
      <c r="AG409" s="77" t="inlineStr">
        <is>
          <t>Current delivery confirmed</t>
        </is>
      </c>
      <c r="AH409" s="77" t="inlineStr">
        <is>
          <t>2025/26 (2025-entry page)</t>
        </is>
      </c>
      <c r="AI409" s="77" t="inlineStr">
        <is>
          <t>No</t>
        </is>
      </c>
      <c r="AJ409" s="77">
        <f>IF(AND(AI409="Yes",AF409="Meets all three",AG409="Current delivery confirmed"),"Yes","No")</f>
        <v/>
      </c>
      <c r="AK409" s="77" t="inlineStr"/>
      <c r="AL409" s="77" t="inlineStr">
        <is>
          <t>UK03-S06-R1; UK03-S06-R2</t>
        </is>
      </c>
      <c r="AM409" s="77" t="inlineStr">
        <is>
          <t>Search summary indicates the MA has been succeeded by MSc Advanced Management, Consulting and Change (S5), so this may be discontinued for 2026 entry; flagged as probable predecessor of S5 and not to be double counted.</t>
        </is>
      </c>
      <c r="AN409" s="77" t="inlineStr"/>
      <c r="AO409" s="77" t="inlineStr">
        <is>
          <t>UK</t>
        </is>
      </c>
      <c r="AP409" s="77" t="inlineStr">
        <is>
          <t>UK – additional</t>
        </is>
      </c>
      <c r="AQ409" s="77" t="inlineStr">
        <is>
          <t>~1 term/semester</t>
        </is>
      </c>
      <c r="AR409" s="77" t="inlineStr">
        <is>
          <t>All/standard</t>
        </is>
      </c>
      <c r="AS409" s="77" t="inlineStr">
        <is>
          <t>No (possible duplicate of UK03-S05)</t>
        </is>
      </c>
    </row>
    <row r="410">
      <c r="A410" s="77" t="inlineStr">
        <is>
          <t>UK03</t>
        </is>
      </c>
      <c r="B410" s="77" t="inlineStr">
        <is>
          <t>Lancaster</t>
        </is>
      </c>
      <c r="C410" s="77" t="inlineStr">
        <is>
          <t>Programme/course</t>
        </is>
      </c>
      <c r="D410" s="77" t="inlineStr">
        <is>
          <t>UK03-S07</t>
        </is>
      </c>
      <c r="E410" s="77" t="inlineStr">
        <is>
          <t>UK03-S01</t>
        </is>
      </c>
      <c r="F410" s="77" t="inlineStr">
        <is>
          <t>No</t>
        </is>
      </c>
      <c r="G410" s="79" t="inlineStr">
        <is>
          <t>Company-based project (MSc Management)</t>
        </is>
      </c>
      <c r="H410" s="77" t="inlineStr"/>
      <c r="I410" s="77" t="inlineStr"/>
      <c r="J410" s="77" t="inlineStr">
        <is>
          <t>Option to the independent research project: teams of four students solve a live business issue for a local firm and produce an assessed company report. Students choose teammates, interview and rank company preferences; department assigns clients (per student blog).</t>
        </is>
      </c>
      <c r="K410" s="77" t="inlineStr">
        <is>
          <t>LUMS</t>
        </is>
      </c>
      <c r="L410" s="77" t="inlineStr">
        <is>
          <t>MSc Management (MiM) and sibling Management MSc programmes (International Business and Strategic Management; Management and AI pages also appear)</t>
        </is>
      </c>
      <c r="M410" s="77" t="inlineStr">
        <is>
          <t>Business/management</t>
        </is>
      </c>
      <c r="N410" s="77" t="inlineStr">
        <is>
          <t>Postgraduate taught</t>
        </is>
      </c>
      <c r="O410" s="77" t="inlineStr"/>
      <c r="P410" s="77" t="inlineStr"/>
      <c r="Q410" s="77" t="inlineStr">
        <is>
          <t>Optional/elective</t>
        </is>
      </c>
      <c r="R410" s="77" t="inlineStr">
        <is>
          <t>Curricular</t>
        </is>
      </c>
      <c r="S410" s="77" t="inlineStr"/>
      <c r="T410" s="77" t="inlineStr">
        <is>
          <t>Not retrieved</t>
        </is>
      </c>
      <c r="U410" s="77" t="inlineStr"/>
      <c r="V410" s="77" t="inlineStr">
        <is>
          <t>Yes</t>
        </is>
      </c>
      <c r="W410" s="77" t="inlineStr">
        <is>
          <t>Assessed company report on a live business issue (src 1).</t>
        </is>
      </c>
      <c r="X410" s="77" t="inlineStr">
        <is>
          <t>Yes</t>
        </is>
      </c>
      <c r="Y410" s="77" t="inlineStr">
        <is>
          <t>Team of four students (src 1).</t>
        </is>
      </c>
      <c r="Z410" s="77" t="inlineStr">
        <is>
          <t>Yes</t>
        </is>
      </c>
      <c r="AA410" s="77" t="inlineStr">
        <is>
          <t>Live issue for a local firm; clients assigned by department (src 1, 2).</t>
        </is>
      </c>
      <c r="AB410" s="77" t="inlineStr">
        <is>
          <t>Business/commercial</t>
        </is>
      </c>
      <c r="AC410" s="77" t="inlineStr">
        <is>
          <t>Firm supplies live issue</t>
        </is>
      </c>
      <c r="AD410" s="77" t="inlineStr"/>
      <c r="AE410" s="77" t="inlineStr">
        <is>
          <t>Company report</t>
        </is>
      </c>
      <c r="AF410" s="77">
        <f>IF(OR(V410="No",X410="No",Z410="No"),"Outside strict definition",IF(AND(V410="Yes",X410="Yes",Z410="Yes"),"Meets all three","Potentially relevant; evidence incomplete"))</f>
        <v/>
      </c>
      <c r="AG410" s="77" t="inlineStr">
        <is>
          <t>Current status unclear</t>
        </is>
      </c>
      <c r="AH410" s="77" t="inlineStr">
        <is>
          <t>undated (2027-entry pages exist)</t>
        </is>
      </c>
      <c r="AI410" s="77" t="inlineStr">
        <is>
          <t>Yes</t>
        </is>
      </c>
      <c r="AJ410" s="77">
        <f>IF(AND(AI410="Yes",AF410="Meets all three",AG410="Current delivery confirmed"),"Yes","No")</f>
        <v/>
      </c>
      <c r="AK410" s="77" t="inlineStr"/>
      <c r="AL410" s="77" t="inlineStr">
        <is>
          <t>UK03-S07-R1; UK03-S07-R2</t>
        </is>
      </c>
      <c r="AM410" s="77" t="inlineStr">
        <is>
          <t>Programme page undated; group formation details come from a blog; other Management MSc variants not separately assessed.</t>
        </is>
      </c>
      <c r="AN410" s="77" t="inlineStr"/>
      <c r="AO410" s="77" t="inlineStr">
        <is>
          <t>UK</t>
        </is>
      </c>
      <c r="AP410" s="77" t="inlineStr">
        <is>
          <t>UK – additional</t>
        </is>
      </c>
      <c r="AQ410" s="77" t="inlineStr">
        <is>
          <t>Unclear</t>
        </is>
      </c>
      <c r="AR410" s="77" t="inlineStr">
        <is>
          <t>All/standard</t>
        </is>
      </c>
      <c r="AS410" s="77" t="inlineStr"/>
    </row>
    <row r="411">
      <c r="A411" s="77" t="inlineStr">
        <is>
          <t>UK03</t>
        </is>
      </c>
      <c r="B411" s="77" t="inlineStr">
        <is>
          <t>Lancaster</t>
        </is>
      </c>
      <c r="C411" s="77" t="inlineStr">
        <is>
          <t>Programme/course</t>
        </is>
      </c>
      <c r="D411" s="77" t="inlineStr">
        <is>
          <t>UK03-S08</t>
        </is>
      </c>
      <c r="E411" s="77" t="inlineStr">
        <is>
          <t>UK03-S01</t>
        </is>
      </c>
      <c r="F411" s="77" t="inlineStr">
        <is>
          <t>No</t>
        </is>
      </c>
      <c r="G411" s="79" t="inlineStr">
        <is>
          <t>Action project / consultancy project (MSc Project Management)</t>
        </is>
      </c>
      <c r="H411" s="77" t="inlineStr"/>
      <c r="I411" s="77" t="inlineStr"/>
      <c r="J411" s="77" t="inlineStr">
        <is>
          <t>Dissertation alternative: an industry action project with a real outcome, usually in groups of two to three (pairs/triples), or consultancy project with SMEs; the individual dissertation is a reflection on the project.</t>
        </is>
      </c>
      <c r="K411" s="77" t="inlineStr">
        <is>
          <t>LUMS / National Centre for Project Management</t>
        </is>
      </c>
      <c r="L411" s="77" t="inlineStr">
        <is>
          <t>MSc Project Management</t>
        </is>
      </c>
      <c r="M411" s="77" t="inlineStr">
        <is>
          <t>Business/management</t>
        </is>
      </c>
      <c r="N411" s="77" t="inlineStr">
        <is>
          <t>Postgraduate taught</t>
        </is>
      </c>
      <c r="O411" s="77" t="inlineStr"/>
      <c r="P411" s="77" t="inlineStr"/>
      <c r="Q411" s="77" t="inlineStr">
        <is>
          <t>Optional/elective</t>
        </is>
      </c>
      <c r="R411" s="77" t="inlineStr">
        <is>
          <t>Curricular</t>
        </is>
      </c>
      <c r="S411" s="77" t="inlineStr"/>
      <c r="T411" s="77" t="inlineStr">
        <is>
          <t>Dissertation period (not retrieved)</t>
        </is>
      </c>
      <c r="U411" s="77" t="inlineStr"/>
      <c r="V411" s="77" t="inlineStr">
        <is>
          <t>Yes</t>
        </is>
      </c>
      <c r="W411" s="77" t="inlineStr">
        <is>
          <t>Industry project with a real outcome (src 1).</t>
        </is>
      </c>
      <c r="X411" s="77" t="inlineStr">
        <is>
          <t>Yes</t>
        </is>
      </c>
      <c r="Y411" s="77" t="inlineStr">
        <is>
          <t>'usually done in groups of two to three' (src 1; pairs count as group; 'usually' noted).</t>
        </is>
      </c>
      <c r="Z411" s="77" t="inlineStr">
        <is>
          <t>Yes</t>
        </is>
      </c>
      <c r="AA411" s="77" t="inlineStr">
        <is>
          <t>Consultancy project with SMEs / industry partner (src 1, 2).</t>
        </is>
      </c>
      <c r="AB411" s="77" t="inlineStr">
        <is>
          <t>Business/commercial</t>
        </is>
      </c>
      <c r="AC411" s="77" t="inlineStr">
        <is>
          <t>SMEs/industry partner host project</t>
        </is>
      </c>
      <c r="AD411" s="77" t="inlineStr"/>
      <c r="AE411" s="77" t="inlineStr">
        <is>
          <t>Project outcome plus individual reflective dissertation</t>
        </is>
      </c>
      <c r="AF411" s="77">
        <f>IF(OR(V411="No",X411="No",Z411="No"),"Outside strict definition",IF(AND(V411="Yes",X411="Yes",Z411="Yes"),"Meets all three","Potentially relevant; evidence incomplete"))</f>
        <v/>
      </c>
      <c r="AG411" s="77" t="inlineStr">
        <is>
          <t>Current delivery confirmed</t>
        </is>
      </c>
      <c r="AH411" s="77" t="inlineStr">
        <is>
          <t>2026/27 (2026-entry page)</t>
        </is>
      </c>
      <c r="AI411" s="77" t="inlineStr">
        <is>
          <t>Yes</t>
        </is>
      </c>
      <c r="AJ411" s="77">
        <f>IF(AND(AI411="Yes",AF411="Meets all three",AG411="Current delivery confirmed"),"Yes","No")</f>
        <v/>
      </c>
      <c r="AK411" s="77" t="inlineStr"/>
      <c r="AL411" s="77" t="inlineStr">
        <is>
          <t>UK03-S08-R1; UK03-S08-R2</t>
        </is>
      </c>
      <c r="AM411" s="77" t="inlineStr">
        <is>
          <t>Individual-only possibility ('usually') not fully excluded; sources are search summaries.</t>
        </is>
      </c>
      <c r="AN411" s="77" t="inlineStr"/>
      <c r="AO411" s="77" t="inlineStr">
        <is>
          <t>UK</t>
        </is>
      </c>
      <c r="AP411" s="77" t="inlineStr">
        <is>
          <t>UK – additional</t>
        </is>
      </c>
      <c r="AQ411" s="77" t="inlineStr">
        <is>
          <t>Unclear</t>
        </is>
      </c>
      <c r="AR411" s="77" t="inlineStr">
        <is>
          <t>All/standard</t>
        </is>
      </c>
      <c r="AS411" s="77" t="inlineStr"/>
    </row>
    <row r="412">
      <c r="A412" s="77" t="inlineStr">
        <is>
          <t>UK03</t>
        </is>
      </c>
      <c r="B412" s="77" t="inlineStr">
        <is>
          <t>Lancaster</t>
        </is>
      </c>
      <c r="C412" s="77" t="inlineStr">
        <is>
          <t>Programme/course</t>
        </is>
      </c>
      <c r="D412" s="77" t="inlineStr">
        <is>
          <t>UK03-S09</t>
        </is>
      </c>
      <c r="E412" s="77" t="inlineStr">
        <is>
          <t>UK03-S01</t>
        </is>
      </c>
      <c r="F412" s="77" t="inlineStr">
        <is>
          <t>No</t>
        </is>
      </c>
      <c r="G412" s="79" t="inlineStr">
        <is>
          <t>Company Commissioned Dissertation (MSc Digital and Social Media Marketing)</t>
        </is>
      </c>
      <c r="H412" s="77" t="inlineStr"/>
      <c r="I412" s="77" t="inlineStr"/>
      <c r="J412" s="77" t="inlineStr">
        <is>
          <t>Final assessment is a live client consultancy project: self-selected student team works with a company client and supervisor, addresses a real business challenge and may present findings to the client.</t>
        </is>
      </c>
      <c r="K412" s="77" t="inlineStr">
        <is>
          <t>LUMS Department of Marketing</t>
        </is>
      </c>
      <c r="L412" s="77" t="inlineStr">
        <is>
          <t>MSc Digital and Social Media Marketing (other Marketing MSc pages mention optional live dissertations)</t>
        </is>
      </c>
      <c r="M412" s="77" t="inlineStr">
        <is>
          <t>Business/management</t>
        </is>
      </c>
      <c r="N412" s="77" t="inlineStr">
        <is>
          <t>Postgraduate taught</t>
        </is>
      </c>
      <c r="O412" s="77" t="inlineStr"/>
      <c r="P412" s="77" t="inlineStr"/>
      <c r="Q412" s="77" t="inlineStr">
        <is>
          <t>Compulsory within specified programmes</t>
        </is>
      </c>
      <c r="R412" s="77" t="inlineStr">
        <is>
          <t>Curricular</t>
        </is>
      </c>
      <c r="S412" s="77" t="inlineStr"/>
      <c r="T412" s="77" t="inlineStr">
        <is>
          <t>Dissertation period (not retrieved)</t>
        </is>
      </c>
      <c r="U412" s="77" t="inlineStr"/>
      <c r="V412" s="77" t="inlineStr">
        <is>
          <t>Yes</t>
        </is>
      </c>
      <c r="W412" s="77" t="inlineStr">
        <is>
          <t>Real business challenge; findings presented to client (src 1).</t>
        </is>
      </c>
      <c r="X412" s="77" t="inlineStr">
        <is>
          <t>Yes</t>
        </is>
      </c>
      <c r="Y412" s="77" t="inlineStr">
        <is>
          <t>'self-selected team' (src 1).</t>
        </is>
      </c>
      <c r="Z412" s="77" t="inlineStr">
        <is>
          <t>Yes</t>
        </is>
      </c>
      <c r="AA412" s="77" t="inlineStr">
        <is>
          <t>Company client with supervisor input; may present to client (src 1).</t>
        </is>
      </c>
      <c r="AB412" s="77" t="inlineStr">
        <is>
          <t>Business/commercial</t>
        </is>
      </c>
      <c r="AC412" s="77" t="inlineStr">
        <is>
          <t>Company client</t>
        </is>
      </c>
      <c r="AD412" s="77" t="inlineStr"/>
      <c r="AE412" s="77" t="inlineStr">
        <is>
          <t>Company-commissioned dissertation report/presentation</t>
        </is>
      </c>
      <c r="AF412" s="77">
        <f>IF(OR(V412="No",X412="No",Z412="No"),"Outside strict definition",IF(AND(V412="Yes",X412="Yes",Z412="Yes"),"Meets all three","Potentially relevant; evidence incomplete"))</f>
        <v/>
      </c>
      <c r="AG412" s="77" t="inlineStr">
        <is>
          <t>Current delivery confirmed</t>
        </is>
      </c>
      <c r="AH412" s="77" t="inlineStr">
        <is>
          <t>2026/27 (2026-entry page)</t>
        </is>
      </c>
      <c r="AI412" s="77" t="inlineStr">
        <is>
          <t>Yes</t>
        </is>
      </c>
      <c r="AJ412" s="77">
        <f>IF(AND(AI412="Yes",AF412="Meets all three",AG412="Current delivery confirmed"),"Yes","No")</f>
        <v/>
      </c>
      <c r="AK412" s="77" t="inlineStr"/>
      <c r="AL412" s="77" t="inlineStr">
        <is>
          <t>UK03-S09-R1</t>
        </is>
      </c>
      <c r="AM412" s="77" t="inlineStr">
        <is>
          <t>Whether CCD is compulsory vs one of options not fully clear; exact weighting not retrieved. Search summary only.</t>
        </is>
      </c>
      <c r="AN412" s="77" t="inlineStr"/>
      <c r="AO412" s="77" t="inlineStr">
        <is>
          <t>UK</t>
        </is>
      </c>
      <c r="AP412" s="77" t="inlineStr">
        <is>
          <t>UK – additional</t>
        </is>
      </c>
      <c r="AQ412" s="77" t="inlineStr">
        <is>
          <t>Unclear</t>
        </is>
      </c>
      <c r="AR412" s="77" t="inlineStr">
        <is>
          <t>All/standard</t>
        </is>
      </c>
      <c r="AS412" s="77" t="inlineStr"/>
    </row>
    <row r="413">
      <c r="A413" s="77" t="inlineStr">
        <is>
          <t>UK03</t>
        </is>
      </c>
      <c r="B413" s="77" t="inlineStr">
        <is>
          <t>Lancaster</t>
        </is>
      </c>
      <c r="C413" s="77" t="inlineStr">
        <is>
          <t>Cross-faculty</t>
        </is>
      </c>
      <c r="D413" s="77" t="inlineStr">
        <is>
          <t>UK03-S10</t>
        </is>
      </c>
      <c r="E413" s="77" t="inlineStr"/>
      <c r="F413" s="77" t="inlineStr">
        <is>
          <t>No</t>
        </is>
      </c>
      <c r="G413" s="79" t="inlineStr">
        <is>
          <t>LUMS annual hackathon (MSc Digital Business, Innovation and Management) with Fujitsu/Heathrow</t>
        </is>
      </c>
      <c r="H413" s="77" t="inlineStr"/>
      <c r="I413" s="77" t="inlineStr"/>
      <c r="J413" s="77" t="inlineStr">
        <is>
          <t>Two-day annual hackathon: 32 students from MSc Project Management, DBIM and Cyber Security teams worked on an AI and cybersecurity challenge with Heathrow as client; Fujitsu and Heathrow executives gave talks; winning team sponsored by Fujitsu.</t>
        </is>
      </c>
      <c r="K413" s="77" t="inlineStr">
        <is>
          <t>LUMS (DBIM programme)</t>
        </is>
      </c>
      <c r="L413" s="77" t="inlineStr">
        <is>
          <t>Students on MSc PM, DBIM and Cyber Security</t>
        </is>
      </c>
      <c r="M413" s="77" t="inlineStr">
        <is>
          <t>Business/management; Engineering/computing</t>
        </is>
      </c>
      <c r="N413" s="77" t="inlineStr">
        <is>
          <t>Postgraduate taught</t>
        </is>
      </c>
      <c r="O413" s="77" t="inlineStr"/>
      <c r="P413" s="77" t="inlineStr"/>
      <c r="Q413" s="77" t="inlineStr">
        <is>
          <t>Unclear</t>
        </is>
      </c>
      <c r="R413" s="77" t="inlineStr">
        <is>
          <t>Mixed</t>
        </is>
      </c>
      <c r="S413" s="77" t="inlineStr"/>
      <c r="T413" s="77" t="inlineStr">
        <is>
          <t>2 days</t>
        </is>
      </c>
      <c r="U413" s="77" t="inlineStr"/>
      <c r="V413" s="77" t="inlineStr">
        <is>
          <t>Unclear</t>
        </is>
      </c>
      <c r="W413" s="77" t="inlineStr">
        <is>
          <t>Challenge with client; defined output for client not evidenced (src 1).</t>
        </is>
      </c>
      <c r="X413" s="77" t="inlineStr">
        <is>
          <t>Yes</t>
        </is>
      </c>
      <c r="Y413" s="77" t="inlineStr">
        <is>
          <t>Students worked in teams (src 1).</t>
        </is>
      </c>
      <c r="Z413" s="77" t="inlineStr">
        <is>
          <t>Yes</t>
        </is>
      </c>
      <c r="AA413" s="77" t="inlineStr">
        <is>
          <t>Heathrow as client; Fujitsu and Heathrow speakers; Fujitsu sponsors prize (src 1).</t>
        </is>
      </c>
      <c r="AB413" s="77" t="inlineStr">
        <is>
          <t>Business/commercial</t>
        </is>
      </c>
      <c r="AC413" s="77" t="inlineStr">
        <is>
          <t>Client sets challenge; sponsor</t>
        </is>
      </c>
      <c r="AD413" s="77" t="inlineStr">
        <is>
          <t>Heathrow, Fujitsu (April 2026)</t>
        </is>
      </c>
      <c r="AE413" s="77" t="inlineStr">
        <is>
          <t>Not specified</t>
        </is>
      </c>
      <c r="AF413" s="77">
        <f>IF(OR(V413="No",X413="No",Z413="No"),"Outside strict definition",IF(AND(V413="Yes",X413="Yes",Z413="Yes"),"Meets all three","Potentially relevant; evidence incomplete"))</f>
        <v/>
      </c>
      <c r="AG413" s="77" t="inlineStr">
        <is>
          <t>Current delivery confirmed</t>
        </is>
      </c>
      <c r="AH413" s="77" t="inlineStr">
        <is>
          <t>2026</t>
        </is>
      </c>
      <c r="AI413" s="77" t="inlineStr">
        <is>
          <t>Yes</t>
        </is>
      </c>
      <c r="AJ413" s="77">
        <f>IF(AND(AI413="Yes",AF413="Meets all three",AG413="Current delivery confirmed"),"Yes","No")</f>
        <v/>
      </c>
      <c r="AK413" s="77" t="inlineStr">
        <is>
          <t>32 students (2026 event)</t>
        </is>
      </c>
      <c r="AL413" s="77" t="inlineStr">
        <is>
          <t>UK03-S10-R1</t>
        </is>
      </c>
      <c r="AM413" s="77" t="inlineStr">
        <is>
          <t>Whether a defined output is produced for the client is not evidenced; earlier editions used fictional scenarios (Fujitsu/Kingfisher; Welsh Water).</t>
        </is>
      </c>
      <c r="AN413" s="77" t="inlineStr"/>
      <c r="AO413" s="77" t="inlineStr">
        <is>
          <t>UK</t>
        </is>
      </c>
      <c r="AP413" s="77" t="inlineStr">
        <is>
          <t>UK – additional</t>
        </is>
      </c>
      <c r="AQ413" s="77" t="inlineStr">
        <is>
          <t>&lt;1 week</t>
        </is>
      </c>
      <c r="AR413" s="77" t="inlineStr">
        <is>
          <t>Unclear</t>
        </is>
      </c>
      <c r="AS413" s="77" t="inlineStr"/>
    </row>
    <row r="414">
      <c r="A414" s="77" t="inlineStr">
        <is>
          <t>UK03</t>
        </is>
      </c>
      <c r="B414" s="77" t="inlineStr">
        <is>
          <t>Lancaster</t>
        </is>
      </c>
      <c r="C414" s="77" t="inlineStr">
        <is>
          <t>Programme/course</t>
        </is>
      </c>
      <c r="D414" s="77" t="inlineStr">
        <is>
          <t>UK03-S11</t>
        </is>
      </c>
      <c r="E414" s="77" t="inlineStr"/>
      <c r="F414" s="77" t="inlineStr">
        <is>
          <t>No</t>
        </is>
      </c>
      <c r="G414" s="79" t="inlineStr">
        <is>
          <t>Industrial Group Projects (Physics)</t>
        </is>
      </c>
      <c r="H414" s="77" t="inlineStr"/>
      <c r="I414" s="77" t="inlineStr"/>
      <c r="J414" s="77" t="inlineStr">
        <is>
          <t>Third-year physics students in groups of 3-6 tackle a technically oriented problem set by a company via a short briefing document; teams meet clients in early October, report weekly, then write individual reports and present at departmental conference; reports supplied to clients. Recent example: Siemens Energy (recycling a plastic for subsea use).</t>
        </is>
      </c>
      <c r="K414" s="77" t="inlineStr">
        <is>
          <t>Department of Physics</t>
        </is>
      </c>
      <c r="L414" s="77" t="inlineStr">
        <is>
          <t>BSc and MPhys Physics degrees</t>
        </is>
      </c>
      <c r="M414" s="77" t="inlineStr">
        <is>
          <t>Science</t>
        </is>
      </c>
      <c r="N414" s="77" t="inlineStr">
        <is>
          <t>Undergraduate</t>
        </is>
      </c>
      <c r="O414" s="77" t="inlineStr">
        <is>
          <t>Year 3</t>
        </is>
      </c>
      <c r="P414" s="77" t="inlineStr"/>
      <c r="Q414" s="77" t="inlineStr">
        <is>
          <t>Compulsory within specified programmes</t>
        </is>
      </c>
      <c r="R414" s="77" t="inlineStr">
        <is>
          <t>Curricular</t>
        </is>
      </c>
      <c r="S414" s="77" t="inlineStr">
        <is>
          <t>25% of third-year marks; individual report + presentation</t>
        </is>
      </c>
      <c r="T414" s="77" t="inlineStr">
        <is>
          <t>Academic year (from October)</t>
        </is>
      </c>
      <c r="U414" s="77" t="inlineStr"/>
      <c r="V414" s="77" t="inlineStr">
        <is>
          <t>Yes</t>
        </is>
      </c>
      <c r="W414" s="77" t="inlineStr">
        <is>
          <t>Company-defined problem, research phase and reports (src 1).</t>
        </is>
      </c>
      <c r="X414" s="77" t="inlineStr">
        <is>
          <t>Yes</t>
        </is>
      </c>
      <c r="Y414" s="77" t="inlineStr">
        <is>
          <t>'small groups of 3-6 people' (src 1); individual reports also required.</t>
        </is>
      </c>
      <c r="Z414" s="77" t="inlineStr">
        <is>
          <t>Yes</t>
        </is>
      </c>
      <c r="AA414" s="77" t="inlineStr">
        <is>
          <t>Companies provide briefing, meet students on first day, host visit, answer queries, receive reports (src 1).</t>
        </is>
      </c>
      <c r="AB414" s="77" t="inlineStr">
        <is>
          <t>Business/commercial</t>
        </is>
      </c>
      <c r="AC414" s="77" t="inlineStr">
        <is>
          <t>Company sets problem, supervises informally, receives reports</t>
        </is>
      </c>
      <c r="AD414" s="77" t="inlineStr">
        <is>
          <t>Siemens Energy (per 2026 course page)</t>
        </is>
      </c>
      <c r="AE414" s="77" t="inlineStr">
        <is>
          <t>Group research with individual reports and conference presentation; reports to clients</t>
        </is>
      </c>
      <c r="AF414" s="77">
        <f>IF(OR(V414="No",X414="No",Z414="No"),"Outside strict definition",IF(AND(V414="Yes",X414="Yes",Z414="Yes"),"Meets all three","Potentially relevant; evidence incomplete"))</f>
        <v/>
      </c>
      <c r="AG414" s="77" t="inlineStr">
        <is>
          <t>Current status unclear</t>
        </is>
      </c>
      <c r="AH414" s="77" t="inlineStr">
        <is>
          <t>2026 (course page references recent project)</t>
        </is>
      </c>
      <c r="AI414" s="77" t="inlineStr">
        <is>
          <t>Yes</t>
        </is>
      </c>
      <c r="AJ414" s="77">
        <f>IF(AND(AI414="Yes",AF414="Meets all three",AG414="Current delivery confirmed"),"Yes","No")</f>
        <v/>
      </c>
      <c r="AK414" s="77" t="inlineStr"/>
      <c r="AL414" s="77" t="inlineStr">
        <is>
          <t>UK03-S11-R1; UK03-S11-R2</t>
        </is>
      </c>
      <c r="AM414" s="77" t="inlineStr">
        <is>
          <t>Scheme page undated; compulsory status inferred from 25% of marks wording; dated cohort evidence not confirmed.</t>
        </is>
      </c>
      <c r="AN414" s="77" t="inlineStr"/>
      <c r="AO414" s="77" t="inlineStr">
        <is>
          <t>UK</t>
        </is>
      </c>
      <c r="AP414" s="77" t="inlineStr">
        <is>
          <t>UK – additional</t>
        </is>
      </c>
      <c r="AQ414" s="77" t="inlineStr">
        <is>
          <t>&gt;1 term</t>
        </is>
      </c>
      <c r="AR414" s="77" t="inlineStr">
        <is>
          <t>All/standard</t>
        </is>
      </c>
      <c r="AS414" s="77" t="inlineStr"/>
    </row>
    <row r="415">
      <c r="A415" s="77" t="inlineStr">
        <is>
          <t>UK03</t>
        </is>
      </c>
      <c r="B415" s="77" t="inlineStr">
        <is>
          <t>Lancaster</t>
        </is>
      </c>
      <c r="C415" s="77" t="inlineStr">
        <is>
          <t>Programme/course</t>
        </is>
      </c>
      <c r="D415" s="77" t="inlineStr">
        <is>
          <t>UK03-S12</t>
        </is>
      </c>
      <c r="E415" s="77" t="inlineStr"/>
      <c r="F415" s="77" t="inlineStr">
        <is>
          <t>No</t>
        </is>
      </c>
      <c r="G415" s="79" t="inlineStr">
        <is>
          <t>Industry-based group projects (ENGR 445 and short team projects), School of Engineering</t>
        </is>
      </c>
      <c r="H415" s="77" t="inlineStr"/>
      <c r="I415" s="77" t="inlineStr">
        <is>
          <t>ENGR 445</t>
        </is>
      </c>
      <c r="J415" s="77" t="inlineStr">
        <is>
          <t>Integrated MEng students complete an extended team project (teams typically 4-6) addressing real company problems; nine-month fourth-year project (c.1500 hours) plus two-week team projects in March and June; examples include Wasp (Cumbria) tidal turbine prototype (8 MEng students) and Pennine Pods.</t>
        </is>
      </c>
      <c r="K415" s="77" t="inlineStr">
        <is>
          <t>School of Engineering (Engineering Engagement Team)</t>
        </is>
      </c>
      <c r="L415" s="77" t="inlineStr">
        <is>
          <t>Integrated MEng programmes (ENGR 445 core); two-week projects for Years 3-4</t>
        </is>
      </c>
      <c r="M415" s="77" t="inlineStr">
        <is>
          <t>Engineering/computing</t>
        </is>
      </c>
      <c r="N415" s="77" t="inlineStr">
        <is>
          <t>Undergraduate</t>
        </is>
      </c>
      <c r="O415" s="77" t="inlineStr">
        <is>
          <t>Year 4 (MEng); Years 3-4 for short projects</t>
        </is>
      </c>
      <c r="P415" s="77" t="inlineStr"/>
      <c r="Q415" s="77" t="inlineStr">
        <is>
          <t>Compulsory within specified programmes</t>
        </is>
      </c>
      <c r="R415" s="77" t="inlineStr">
        <is>
          <t>Curricular</t>
        </is>
      </c>
      <c r="S415" s="77" t="inlineStr">
        <is>
          <t>c.1500 indicative hours (fourth-year project)</t>
        </is>
      </c>
      <c r="T415" s="77" t="inlineStr">
        <is>
          <t>Nine months (fourth year) and two weeks (short projects)</t>
        </is>
      </c>
      <c r="U415" s="77" t="inlineStr"/>
      <c r="V415" s="77" t="inlineStr">
        <is>
          <t>Yes</t>
        </is>
      </c>
      <c r="W415" s="77" t="inlineStr">
        <is>
          <t>Real company problems, prototype/specification deliverables (src 1, 2).</t>
        </is>
      </c>
      <c r="X415" s="77" t="inlineStr">
        <is>
          <t>Yes</t>
        </is>
      </c>
      <c r="Y415" s="77" t="inlineStr">
        <is>
          <t>Teams of typically four to six (src 1).</t>
        </is>
      </c>
      <c r="Z415" s="77" t="inlineStr">
        <is>
          <t>Yes</t>
        </is>
      </c>
      <c r="AA415" s="77" t="inlineStr">
        <is>
          <t>Companies supply real problems and materials; engineering does not charge for credit-bearing projects (src 1, 2).</t>
        </is>
      </c>
      <c r="AB415" s="77" t="inlineStr">
        <is>
          <t>Mixed</t>
        </is>
      </c>
      <c r="AC415" s="77" t="inlineStr">
        <is>
          <t>Company sponsors problem; supplies materials</t>
        </is>
      </c>
      <c r="AD415" s="77" t="inlineStr">
        <is>
          <t>Wasp (Cumbria) Ltd, Pennine Pods; engagement partners incl. QinetiQ, NNL, Linde, Sellafield, BAE Systems, Yorkshire Water, United Utilities, DfT (not confirmed as ENGR 445 sponsors for 2025/26)</t>
        </is>
      </c>
      <c r="AE415" s="77" t="inlineStr">
        <is>
          <t>Prototype/report/specification for company</t>
        </is>
      </c>
      <c r="AF415" s="77">
        <f>IF(OR(V415="No",X415="No",Z415="No"),"Outside strict definition",IF(AND(V415="Yes",X415="Yes",Z415="Yes"),"Meets all three","Potentially relevant; evidence incomplete"))</f>
        <v/>
      </c>
      <c r="AG415" s="77" t="inlineStr">
        <is>
          <t>Current status unclear</t>
        </is>
      </c>
      <c r="AH415" s="77" t="inlineStr">
        <is>
          <t>2027-entry course pages</t>
        </is>
      </c>
      <c r="AI415" s="77" t="inlineStr">
        <is>
          <t>Yes</t>
        </is>
      </c>
      <c r="AJ415" s="77">
        <f>IF(AND(AI415="Yes",AF415="Meets all three",AG415="Current delivery confirmed"),"Yes","No")</f>
        <v/>
      </c>
      <c r="AK415" s="77" t="inlineStr"/>
      <c r="AL415" s="77" t="inlineStr">
        <is>
          <t>UK03-S12-R1; UK03-S12-R2; UK03-S12-R3</t>
        </is>
      </c>
      <c r="AM415" s="77" t="inlineStr">
        <is>
          <t>No 2025/26 sponsor list found; scheme pages undated; case studies undated.</t>
        </is>
      </c>
      <c r="AN415" s="77" t="inlineStr"/>
      <c r="AO415" s="77" t="inlineStr">
        <is>
          <t>UK</t>
        </is>
      </c>
      <c r="AP415" s="77" t="inlineStr">
        <is>
          <t>UK – additional</t>
        </is>
      </c>
      <c r="AQ415" s="77" t="inlineStr">
        <is>
          <t>&gt;1 term</t>
        </is>
      </c>
      <c r="AR415" s="77" t="inlineStr">
        <is>
          <t>All/standard</t>
        </is>
      </c>
      <c r="AS415" s="77" t="inlineStr"/>
    </row>
    <row r="416">
      <c r="A416" s="77" t="inlineStr">
        <is>
          <t>UK03</t>
        </is>
      </c>
      <c r="B416" s="77" t="inlineStr">
        <is>
          <t>Lancaster</t>
        </is>
      </c>
      <c r="C416" s="77" t="inlineStr">
        <is>
          <t>Programme/course</t>
        </is>
      </c>
      <c r="D416" s="77" t="inlineStr">
        <is>
          <t>UK03-S13</t>
        </is>
      </c>
      <c r="E416" s="77" t="inlineStr"/>
      <c r="F416" s="77" t="inlineStr">
        <is>
          <t>No</t>
        </is>
      </c>
      <c r="G416" s="79" t="inlineStr">
        <is>
          <t>Group project with industry-set briefs (MSc Data Science, Term 1)</t>
        </is>
      </c>
      <c r="H416" s="77" t="inlineStr"/>
      <c r="I416" s="77" t="inlineStr"/>
      <c r="J416" s="77" t="inlineStr">
        <is>
          <t>Term 1 group project in multi-skilled teams solving an industrial data science problem from briefs given by industrial speakers (older sci-tech page); current Term 1 page describes hands-on AI/data-science team projects supported by industry talks. Individual summer placement/dissertation is a separate non-group route.</t>
        </is>
      </c>
      <c r="K416" s="77" t="inlineStr">
        <is>
          <t>Faculty of Science and Technology (SCC, Mathematics and Statistics, LEC)</t>
        </is>
      </c>
      <c r="L416" s="77" t="inlineStr">
        <is>
          <t>MSc Data Science</t>
        </is>
      </c>
      <c r="M416" s="77" t="inlineStr">
        <is>
          <t>Science; Engineering/computing</t>
        </is>
      </c>
      <c r="N416" s="77" t="inlineStr">
        <is>
          <t>Postgraduate taught</t>
        </is>
      </c>
      <c r="O416" s="77" t="inlineStr"/>
      <c r="P416" s="77" t="inlineStr"/>
      <c r="Q416" s="77" t="inlineStr">
        <is>
          <t>Compulsory within specified programmes</t>
        </is>
      </c>
      <c r="R416" s="77" t="inlineStr">
        <is>
          <t>Curricular</t>
        </is>
      </c>
      <c r="S416" s="77" t="inlineStr"/>
      <c r="T416" s="77" t="inlineStr">
        <is>
          <t>Term 1</t>
        </is>
      </c>
      <c r="U416" s="77" t="inlineStr"/>
      <c r="V416" s="77" t="inlineStr">
        <is>
          <t>Unclear</t>
        </is>
      </c>
      <c r="W416" s="77" t="inlineStr">
        <is>
          <t>Industrial data science problem (older page) vs hands-on projects (current page) (src 1, 2).</t>
        </is>
      </c>
      <c r="X416" s="77" t="inlineStr">
        <is>
          <t>Yes</t>
        </is>
      </c>
      <c r="Y416" s="77" t="inlineStr">
        <is>
          <t>Multi-skilled teams (src 1).</t>
        </is>
      </c>
      <c r="Z416" s="77" t="inlineStr">
        <is>
          <t>Unclear</t>
        </is>
      </c>
      <c r="AA416" s="77" t="inlineStr">
        <is>
          <t>Industrial speakers provide briefs per older page; not confirmed that external organisations set/assess briefs in current version (src 1, 2).</t>
        </is>
      </c>
      <c r="AB416" s="77" t="inlineStr">
        <is>
          <t>Unclear</t>
        </is>
      </c>
      <c r="AC416" s="77" t="inlineStr"/>
      <c r="AD416" s="77" t="inlineStr"/>
      <c r="AE416" s="77" t="inlineStr">
        <is>
          <t>Not specified</t>
        </is>
      </c>
      <c r="AF416" s="77">
        <f>IF(OR(V416="No",X416="No",Z416="No"),"Outside strict definition",IF(AND(V416="Yes",X416="Yes",Z416="Yes"),"Meets all three","Potentially relevant; evidence incomplete"))</f>
        <v/>
      </c>
      <c r="AG416" s="77" t="inlineStr">
        <is>
          <t>Current status unclear</t>
        </is>
      </c>
      <c r="AH416" s="77" t="inlineStr">
        <is>
          <t>undated / 2027 entry</t>
        </is>
      </c>
      <c r="AI416" s="77" t="inlineStr">
        <is>
          <t>Yes</t>
        </is>
      </c>
      <c r="AJ416" s="77">
        <f>IF(AND(AI416="Yes",AF416="Meets all three",AG416="Current delivery confirmed"),"Yes","No")</f>
        <v/>
      </c>
      <c r="AK416" s="77" t="inlineStr"/>
      <c r="AL416" s="77" t="inlineStr">
        <is>
          <t>UK03-S13-R1; UK03-S13-R2</t>
        </is>
      </c>
      <c r="AM416" s="77" t="inlineStr">
        <is>
          <t>Two pages describe module differently; need module handbook to confirm external briefs.</t>
        </is>
      </c>
      <c r="AN416" s="77" t="inlineStr"/>
      <c r="AO416" s="77" t="inlineStr">
        <is>
          <t>UK</t>
        </is>
      </c>
      <c r="AP416" s="77" t="inlineStr">
        <is>
          <t>UK – additional</t>
        </is>
      </c>
      <c r="AQ416" s="77" t="inlineStr">
        <is>
          <t>~1 term/semester</t>
        </is>
      </c>
      <c r="AR416" s="77" t="inlineStr">
        <is>
          <t>Unclear</t>
        </is>
      </c>
      <c r="AS416" s="77" t="inlineStr"/>
    </row>
    <row r="417">
      <c r="A417" s="77" t="inlineStr">
        <is>
          <t>UK03</t>
        </is>
      </c>
      <c r="B417" s="77" t="inlineStr">
        <is>
          <t>Lancaster</t>
        </is>
      </c>
      <c r="C417" s="77" t="inlineStr">
        <is>
          <t>Programme/course</t>
        </is>
      </c>
      <c r="D417" s="77" t="inlineStr">
        <is>
          <t>UK03-S14</t>
        </is>
      </c>
      <c r="E417" s="77" t="inlineStr"/>
      <c r="F417" s="77" t="inlineStr">
        <is>
          <t>No</t>
        </is>
      </c>
      <c r="G417" s="79" t="inlineStr">
        <is>
          <t>Applied Learning Studios 1 and 2 (MA Sustainability and Global Environmental Futures)</t>
        </is>
      </c>
      <c r="H417" s="77" t="inlineStr"/>
      <c r="I417" s="77" t="inlineStr"/>
      <c r="J417" s="77" t="inlineStr">
        <is>
          <t>Studio modules where students receive a live brief and work in group projects; projects may be tied to real-world issues and external clients, or be academic.</t>
        </is>
      </c>
      <c r="K417" s="77" t="inlineStr">
        <is>
          <t>School of Global Affairs (per course page)</t>
        </is>
      </c>
      <c r="L417" s="77" t="inlineStr">
        <is>
          <t>MA Sustainability and Global Environmental Futures</t>
        </is>
      </c>
      <c r="M417" s="77" t="inlineStr">
        <is>
          <t>Arts/humanities/social sciences</t>
        </is>
      </c>
      <c r="N417" s="77" t="inlineStr">
        <is>
          <t>Postgraduate taught</t>
        </is>
      </c>
      <c r="O417" s="77" t="inlineStr"/>
      <c r="P417" s="77" t="inlineStr"/>
      <c r="Q417" s="77" t="inlineStr">
        <is>
          <t>Compulsory within specified programmes</t>
        </is>
      </c>
      <c r="R417" s="77" t="inlineStr">
        <is>
          <t>Curricular</t>
        </is>
      </c>
      <c r="S417" s="77" t="inlineStr"/>
      <c r="T417" s="77" t="inlineStr">
        <is>
          <t>Module length not retrieved</t>
        </is>
      </c>
      <c r="U417" s="77" t="inlineStr"/>
      <c r="V417" s="77" t="inlineStr">
        <is>
          <t>Yes</t>
        </is>
      </c>
      <c r="W417" s="77" t="inlineStr">
        <is>
          <t>Live brief met through group project (src 1).</t>
        </is>
      </c>
      <c r="X417" s="77" t="inlineStr">
        <is>
          <t>Yes</t>
        </is>
      </c>
      <c r="Y417" s="77" t="inlineStr">
        <is>
          <t>'work with others in a group project' (src 1).</t>
        </is>
      </c>
      <c r="Z417" s="77" t="inlineStr">
        <is>
          <t>Unclear</t>
        </is>
      </c>
      <c r="AA417" s="77" t="inlineStr">
        <is>
          <t>Projects 'may be linked to real world issues and external clients' (src 1) - optional wording.</t>
        </is>
      </c>
      <c r="AB417" s="77" t="inlineStr">
        <is>
          <t>Unclear</t>
        </is>
      </c>
      <c r="AC417" s="77" t="inlineStr"/>
      <c r="AD417" s="77" t="inlineStr"/>
      <c r="AE417" s="77" t="inlineStr">
        <is>
          <t>Group project outputs</t>
        </is>
      </c>
      <c r="AF417" s="77">
        <f>IF(OR(V417="No",X417="No",Z417="No"),"Outside strict definition",IF(AND(V417="Yes",X417="Yes",Z417="Yes"),"Meets all three","Potentially relevant; evidence incomplete"))</f>
        <v/>
      </c>
      <c r="AG417" s="77" t="inlineStr">
        <is>
          <t>Current delivery confirmed</t>
        </is>
      </c>
      <c r="AH417" s="77" t="inlineStr">
        <is>
          <t>2026/27 (2026-entry page)</t>
        </is>
      </c>
      <c r="AI417" s="77" t="inlineStr">
        <is>
          <t>Yes</t>
        </is>
      </c>
      <c r="AJ417" s="77">
        <f>IF(AND(AI417="Yes",AF417="Meets all three",AG417="Current delivery confirmed"),"Yes","No")</f>
        <v/>
      </c>
      <c r="AK417" s="77" t="inlineStr"/>
      <c r="AL417" s="77" t="inlineStr">
        <is>
          <t>UK03-S14-R1</t>
        </is>
      </c>
      <c r="AM417" s="77" t="inlineStr">
        <is>
          <t>No named clients; need studio module guides.</t>
        </is>
      </c>
      <c r="AN417" s="77" t="inlineStr"/>
      <c r="AO417" s="77" t="inlineStr">
        <is>
          <t>UK</t>
        </is>
      </c>
      <c r="AP417" s="77" t="inlineStr">
        <is>
          <t>UK – additional</t>
        </is>
      </c>
      <c r="AQ417" s="77" t="inlineStr">
        <is>
          <t>Unclear</t>
        </is>
      </c>
      <c r="AR417" s="77" t="inlineStr">
        <is>
          <t>Some projects</t>
        </is>
      </c>
      <c r="AS417" s="77" t="inlineStr"/>
    </row>
    <row r="418">
      <c r="A418" s="77" t="inlineStr">
        <is>
          <t>UK03</t>
        </is>
      </c>
      <c r="B418" s="77" t="inlineStr">
        <is>
          <t>Lancaster</t>
        </is>
      </c>
      <c r="C418" s="77" t="inlineStr">
        <is>
          <t>Programme/course</t>
        </is>
      </c>
      <c r="D418" s="77" t="inlineStr">
        <is>
          <t>UK03-S15</t>
        </is>
      </c>
      <c r="E418" s="77" t="inlineStr"/>
      <c r="F418" s="77" t="inlineStr">
        <is>
          <t>No</t>
        </is>
      </c>
      <c r="G418" s="79" t="inlineStr">
        <is>
          <t>Second-year live client project (BA Architecture)</t>
        </is>
      </c>
      <c r="H418" s="77" t="inlineStr"/>
      <c r="I418" s="77" t="inlineStr"/>
      <c r="J418" s="77" t="inlineStr">
        <is>
          <t>Second-year design of a retrofit live project working directly with a client such as Lancaster Music Co-op or Queen's Market Morecambe.</t>
        </is>
      </c>
      <c r="K418" s="77" t="inlineStr">
        <is>
          <t>Lancaster Institute for Contemporary Arts / Architecture</t>
        </is>
      </c>
      <c r="L418" s="77" t="inlineStr">
        <is>
          <t>BA Architecture (K100)</t>
        </is>
      </c>
      <c r="M418" s="77" t="inlineStr">
        <is>
          <t>Other (law, health, design, architecture…)</t>
        </is>
      </c>
      <c r="N418" s="77" t="inlineStr">
        <is>
          <t>Undergraduate</t>
        </is>
      </c>
      <c r="O418" s="77" t="inlineStr">
        <is>
          <t>Year 2</t>
        </is>
      </c>
      <c r="P418" s="77" t="inlineStr"/>
      <c r="Q418" s="77" t="inlineStr">
        <is>
          <t>Compulsory within specified programmes</t>
        </is>
      </c>
      <c r="R418" s="77" t="inlineStr">
        <is>
          <t>Curricular</t>
        </is>
      </c>
      <c r="S418" s="77" t="inlineStr"/>
      <c r="T418" s="77" t="inlineStr">
        <is>
          <t>Not retrieved</t>
        </is>
      </c>
      <c r="U418" s="77" t="inlineStr"/>
      <c r="V418" s="77" t="inlineStr">
        <is>
          <t>Yes</t>
        </is>
      </c>
      <c r="W418" s="77" t="inlineStr">
        <is>
          <t>Retrofit design project for a client (src 1).</t>
        </is>
      </c>
      <c r="X418" s="77" t="inlineStr">
        <is>
          <t>Unclear</t>
        </is>
      </c>
      <c r="Y418" s="77" t="inlineStr">
        <is>
          <t>Team/individual structure not stated (src 1).</t>
        </is>
      </c>
      <c r="Z418" s="77" t="inlineStr">
        <is>
          <t>Yes</t>
        </is>
      </c>
      <c r="AA418" s="77" t="inlineStr">
        <is>
          <t>Work directly with a client such as Lancaster Music Co Op or Queen's Market Morecambe (src 1).</t>
        </is>
      </c>
      <c r="AB418" s="77" t="inlineStr">
        <is>
          <t>Unclear</t>
        </is>
      </c>
      <c r="AC418" s="77" t="inlineStr">
        <is>
          <t>Client for live project</t>
        </is>
      </c>
      <c r="AD418" s="77" t="inlineStr">
        <is>
          <t>Lancaster Music Co Op, Queen's Market Morecambe (course page, 2026 entry)</t>
        </is>
      </c>
      <c r="AE418" s="77" t="inlineStr">
        <is>
          <t>Retrofit design proposal</t>
        </is>
      </c>
      <c r="AF418" s="77">
        <f>IF(OR(V418="No",X418="No",Z418="No"),"Outside strict definition",IF(AND(V418="Yes",X418="Yes",Z418="Yes"),"Meets all three","Potentially relevant; evidence incomplete"))</f>
        <v/>
      </c>
      <c r="AG418" s="77" t="inlineStr">
        <is>
          <t>Current status unclear</t>
        </is>
      </c>
      <c r="AH418" s="77" t="inlineStr">
        <is>
          <t>2026 entry page</t>
        </is>
      </c>
      <c r="AI418" s="77" t="inlineStr">
        <is>
          <t>Yes</t>
        </is>
      </c>
      <c r="AJ418" s="77">
        <f>IF(AND(AI418="Yes",AF418="Meets all three",AG418="Current delivery confirmed"),"Yes","No")</f>
        <v/>
      </c>
      <c r="AK418" s="77" t="inlineStr"/>
      <c r="AL418" s="77" t="inlineStr">
        <is>
          <t>UK03-S15-R1</t>
        </is>
      </c>
      <c r="AM418" s="77" t="inlineStr">
        <is>
          <t>Group vs individual working not established; partner types inferred from names - treat as Unclear.</t>
        </is>
      </c>
      <c r="AN418" s="77" t="inlineStr"/>
      <c r="AO418" s="77" t="inlineStr">
        <is>
          <t>UK</t>
        </is>
      </c>
      <c r="AP418" s="77" t="inlineStr">
        <is>
          <t>UK – additional</t>
        </is>
      </c>
      <c r="AQ418" s="77" t="inlineStr">
        <is>
          <t>Unclear</t>
        </is>
      </c>
      <c r="AR418" s="77" t="inlineStr">
        <is>
          <t>Unclear</t>
        </is>
      </c>
      <c r="AS418" s="77" t="inlineStr"/>
    </row>
    <row r="419">
      <c r="A419" s="77" t="inlineStr">
        <is>
          <t>UK03</t>
        </is>
      </c>
      <c r="B419" s="77" t="inlineStr">
        <is>
          <t>Lancaster</t>
        </is>
      </c>
      <c r="C419" s="77" t="inlineStr">
        <is>
          <t>Programme/course</t>
        </is>
      </c>
      <c r="D419" s="77" t="inlineStr">
        <is>
          <t>UK03-S16</t>
        </is>
      </c>
      <c r="E419" s="77" t="inlineStr"/>
      <c r="F419" s="77" t="inlineStr">
        <is>
          <t>No</t>
        </is>
      </c>
      <c r="G419" s="79" t="inlineStr">
        <is>
          <t>Software Engineering Studio III / Software Design Studio Project III (Live Studio)</t>
        </is>
      </c>
      <c r="H419" s="77" t="inlineStr"/>
      <c r="I419" s="77" t="inlineStr">
        <is>
          <t>SCC.331 (older code unconfirmed)</t>
        </is>
      </c>
      <c r="J419" s="77" t="inlineStr">
        <is>
          <t>Year 3 studio module (30 credits): groups build a large system deployed with live users, agile approach, with industry involvement and work 'closely with clients'.</t>
        </is>
      </c>
      <c r="K419" s="77" t="inlineStr">
        <is>
          <t>School of Computing and Communications</t>
        </is>
      </c>
      <c r="L419" s="77" t="inlineStr">
        <is>
          <t>BSc Software Engineering (G602) and variants</t>
        </is>
      </c>
      <c r="M419" s="77" t="inlineStr">
        <is>
          <t>Engineering/computing</t>
        </is>
      </c>
      <c r="N419" s="77" t="inlineStr">
        <is>
          <t>Undergraduate</t>
        </is>
      </c>
      <c r="O419" s="77" t="inlineStr">
        <is>
          <t>Year 3</t>
        </is>
      </c>
      <c r="P419" s="77" t="inlineStr"/>
      <c r="Q419" s="77" t="inlineStr">
        <is>
          <t>Compulsory within specified programmes</t>
        </is>
      </c>
      <c r="R419" s="77" t="inlineStr">
        <is>
          <t>Curricular</t>
        </is>
      </c>
      <c r="S419" s="77" t="inlineStr">
        <is>
          <t>30 credits</t>
        </is>
      </c>
      <c r="T419" s="77" t="inlineStr">
        <is>
          <t>Academic year (inferred)</t>
        </is>
      </c>
      <c r="U419" s="77" t="inlineStr"/>
      <c r="V419" s="77" t="inlineStr">
        <is>
          <t>Yes</t>
        </is>
      </c>
      <c r="W419" s="77" t="inlineStr">
        <is>
          <t>System deployed with live users (src 1).</t>
        </is>
      </c>
      <c r="X419" s="77" t="inlineStr">
        <is>
          <t>Yes</t>
        </is>
      </c>
      <c r="Y419" s="77" t="inlineStr">
        <is>
          <t>Large team / groups (src 1).</t>
        </is>
      </c>
      <c r="Z419" s="77" t="inlineStr">
        <is>
          <t>Unclear</t>
        </is>
      </c>
      <c r="AA419" s="77" t="inlineStr">
        <is>
          <t>'Industry involvement' and 'clients' stated but not shown to be external organisations (src 1, 2).</t>
        </is>
      </c>
      <c r="AB419" s="77" t="inlineStr">
        <is>
          <t>Unclear</t>
        </is>
      </c>
      <c r="AC419" s="77" t="inlineStr"/>
      <c r="AD419" s="77" t="inlineStr"/>
      <c r="AE419" s="77" t="inlineStr">
        <is>
          <t>Deployed software system</t>
        </is>
      </c>
      <c r="AF419" s="77">
        <f>IF(OR(V419="No",X419="No",Z419="No"),"Outside strict definition",IF(AND(V419="Yes",X419="Yes",Z419="Yes"),"Meets all three","Potentially relevant; evidence incomplete"))</f>
        <v/>
      </c>
      <c r="AG419" s="77" t="inlineStr">
        <is>
          <t>Current status unclear</t>
        </is>
      </c>
      <c r="AH419" s="77" t="inlineStr">
        <is>
          <t>2027-entry page (module handbook 2016)</t>
        </is>
      </c>
      <c r="AI419" s="77" t="inlineStr">
        <is>
          <t>Yes</t>
        </is>
      </c>
      <c r="AJ419" s="77">
        <f>IF(AND(AI419="Yes",AF419="Meets all three",AG419="Current delivery confirmed"),"Yes","No")</f>
        <v/>
      </c>
      <c r="AK419" s="77" t="inlineStr"/>
      <c r="AL419" s="77" t="inlineStr">
        <is>
          <t>UK03-S16-R1; UK03-S16-R2</t>
        </is>
      </c>
      <c r="AM419" s="77" t="inlineStr">
        <is>
          <t>Module code from 2016 handbook uncertain; no client names; need current module guide.</t>
        </is>
      </c>
      <c r="AN419" s="77" t="inlineStr"/>
      <c r="AO419" s="77" t="inlineStr">
        <is>
          <t>UK</t>
        </is>
      </c>
      <c r="AP419" s="77" t="inlineStr">
        <is>
          <t>UK – additional</t>
        </is>
      </c>
      <c r="AQ419" s="77" t="inlineStr">
        <is>
          <t>Unclear</t>
        </is>
      </c>
      <c r="AR419" s="77" t="inlineStr">
        <is>
          <t>Unclear</t>
        </is>
      </c>
      <c r="AS419" s="77" t="inlineStr"/>
    </row>
    <row r="420">
      <c r="A420" s="77" t="inlineStr">
        <is>
          <t>UK04</t>
        </is>
      </c>
      <c r="B420" s="77" t="inlineStr">
        <is>
          <t>Loughborough</t>
        </is>
      </c>
      <c r="C420" s="77" t="inlineStr">
        <is>
          <t>Programme/course</t>
        </is>
      </c>
      <c r="D420" s="77" t="inlineStr">
        <is>
          <t>UK04-S01</t>
        </is>
      </c>
      <c r="E420" s="77" t="inlineStr"/>
      <c r="F420" s="77" t="inlineStr">
        <is>
          <t>No</t>
        </is>
      </c>
      <c r="G420" s="79" t="inlineStr">
        <is>
          <t>Collaborative Project (Loughborough University London)</t>
        </is>
      </c>
      <c r="H420" s="77" t="inlineStr">
        <is>
          <t>Collaborative Project</t>
        </is>
      </c>
      <c r="I420" s="77" t="inlineStr"/>
      <c r="J420" s="77" t="inlineStr">
        <is>
          <t>Team-based action-learning module at Loughborough University London in which students from different disciplines form multidisciplinary teams to solve a real business/organisational challenge set by a partner organisation, culminating in the annual Collaborative Project Show. 2026 partners included Sports Interactive, Workplace Futures Group, West Ham United Foundation, Sysdoc, The Commonwealth Secretariat and Plexal.</t>
        </is>
      </c>
      <c r="K420" s="77" t="inlineStr">
        <is>
          <t>Loughborough University London (Institute-level; London campus programmes)</t>
        </is>
      </c>
      <c r="L420" s="77" t="inlineStr">
        <is>
          <t>Listed as a 15-credit module in London-campus MSc programmes (e.g. Computer Science (London), Media and Communication (London); 2020/21 spec lists it as compulsory in MSc Digital Marketing). A 2019 article says it is open to all full-time and part-time students at Loughborough University London.</t>
        </is>
      </c>
      <c r="M420" s="77" t="inlineStr">
        <is>
          <t>Central provision; Business/management; Engineering/computing; Arts/humanities/social sciences</t>
        </is>
      </c>
      <c r="N420" s="77" t="inlineStr">
        <is>
          <t>Postgraduate taught</t>
        </is>
      </c>
      <c r="O420" s="77" t="inlineStr">
        <is>
          <t>Master's programmes (London campus)</t>
        </is>
      </c>
      <c r="P420" s="77" t="inlineStr">
        <is>
          <t>London campus students only; 2019 statement 'open to all full-time and part-time students at Loughborough University London' (undergraduate Collaborate Sprint is a separate short format).</t>
        </is>
      </c>
      <c r="Q420" s="77" t="inlineStr">
        <is>
          <t>Compulsory within specified programmes</t>
        </is>
      </c>
      <c r="R420" s="77" t="inlineStr">
        <is>
          <t>Curricular</t>
        </is>
      </c>
      <c r="S420" s="77" t="inlineStr">
        <is>
          <t>15 credits (programme pages; LLP008 in 2020/21 spec); assessment detail not found</t>
        </is>
      </c>
      <c r="T420" s="77" t="inlineStr">
        <is>
          <t>One module (term-length; exact timetable not found)</t>
        </is>
      </c>
      <c r="U420" s="77" t="inlineStr">
        <is>
          <t>In-person at London campus; teams of multidisciplinary students; partner briefs; final Project Show presentation</t>
        </is>
      </c>
      <c r="V420" s="77" t="inlineStr">
        <is>
          <t>Yes</t>
        </is>
      </c>
      <c r="W420" s="77" t="inlineStr">
        <is>
          <t>Students 'create solutions to real business challenges provided by organisations' and showcase them at the Collaborative Project Show [1]; Computer Science (London) page: multidisciplinary team tackling a real-world challenge set by an industry partner [3].</t>
        </is>
      </c>
      <c r="X420" s="77" t="inlineStr">
        <is>
          <t>Yes</t>
        </is>
      </c>
      <c r="Y420" s="77" t="inlineStr">
        <is>
          <t>'They work in teams'; interdisciplinary teams formed from different disciplines [1][2].</t>
        </is>
      </c>
      <c r="Z420" s="77" t="inlineStr">
        <is>
          <t>Yes</t>
        </is>
      </c>
      <c r="AA420" s="77" t="inlineStr">
        <is>
          <t>External organisations set the challenge and take part in the Show; 2026 cohort worked with nine organisations; partner Workplace Futures Group set a project [1]. Over 200 organisations collaborated with the London campus since 2015 (all collaboration types, not only this module) [1].</t>
        </is>
      </c>
      <c r="AB420" s="77" t="inlineStr">
        <is>
          <t>Mixed</t>
        </is>
      </c>
      <c r="AC420" s="77" t="inlineStr">
        <is>
          <t>Sets live challenge/brief; engages with team; receives presentation at the Show</t>
        </is>
      </c>
      <c r="AD420" s="77" t="inlineStr">
        <is>
          <t>2026: Sports Interactive, Workplace Futures Group, West Ham United Foundation, Sysdoc, The Commonwealth Secretariat, Plexal; UNICEF and Sainsbury's named in VC blog (June 2026)</t>
        </is>
      </c>
      <c r="AE420" s="77" t="inlineStr">
        <is>
          <t>Solution/recommendations presented at Collaborative Project Show</t>
        </is>
      </c>
      <c r="AF420" s="77">
        <f>IF(OR(V420="No",X420="No",Z420="No"),"Outside strict definition",IF(AND(V420="Yes",X420="Yes",Z420="Yes"),"Meets all three","Potentially relevant; evidence incomplete"))</f>
        <v/>
      </c>
      <c r="AG420" s="77" t="inlineStr">
        <is>
          <t>Current delivery confirmed</t>
        </is>
      </c>
      <c r="AH420" s="77" t="inlineStr">
        <is>
          <t>2026 (Collaborative Project Show, June 2026)</t>
        </is>
      </c>
      <c r="AI420" s="77" t="inlineStr">
        <is>
          <t>Yes</t>
        </is>
      </c>
      <c r="AJ420" s="77">
        <f>IF(AND(AI420="Yes",AF420="Meets all three",AG420="Current delivery confirmed"),"Yes","No")</f>
        <v/>
      </c>
      <c r="AK420" s="77" t="inlineStr">
        <is>
          <t>2018: 660+ postgraduate students in 122 teams for 19 organisations (cumulative first-year figure); 2026: 9 organisations, 100+ students in Show per VC blog</t>
        </is>
      </c>
      <c r="AL420" s="77" t="inlineStr">
        <is>
          <t>UK04-S01-R1; UK04-S01-R2; UK04-S01-R3; UK04-S01-R4</t>
        </is>
      </c>
      <c r="AM420" s="77" t="inlineStr">
        <is>
          <t>Exact credit/compulsory status per current London programme; whether all London programmes include it; assessment weighting; term of delivery.</t>
        </is>
      </c>
      <c r="AN420" s="77" t="inlineStr"/>
      <c r="AO420" s="77" t="inlineStr">
        <is>
          <t>UK</t>
        </is>
      </c>
      <c r="AP420" s="77" t="inlineStr">
        <is>
          <t>UK – additional</t>
        </is>
      </c>
      <c r="AQ420" s="77" t="inlineStr">
        <is>
          <t>~1 term/semester</t>
        </is>
      </c>
      <c r="AR420" s="77" t="inlineStr">
        <is>
          <t>All/standard</t>
        </is>
      </c>
      <c r="AS420" s="77" t="inlineStr"/>
    </row>
    <row r="421">
      <c r="A421" s="77" t="inlineStr">
        <is>
          <t>UK04</t>
        </is>
      </c>
      <c r="B421" s="77" t="inlineStr">
        <is>
          <t>Loughborough</t>
        </is>
      </c>
      <c r="C421" s="77" t="inlineStr">
        <is>
          <t>Programme/course</t>
        </is>
      </c>
      <c r="D421" s="77" t="inlineStr">
        <is>
          <t>UK04-S02</t>
        </is>
      </c>
      <c r="E421" s="77" t="inlineStr"/>
      <c r="F421" s="77" t="inlineStr">
        <is>
          <t>No</t>
        </is>
      </c>
      <c r="G421" s="79" t="inlineStr">
        <is>
          <t>Industry Experience Project (Loughborough Business School MSc programmes)</t>
        </is>
      </c>
      <c r="H421" s="77" t="inlineStr">
        <is>
          <t>Industry Experience Project</t>
        </is>
      </c>
      <c r="I421" s="77" t="inlineStr"/>
      <c r="J421" s="77" t="inlineStr">
        <is>
          <t>45-credit summer-semester group project on MSc programmes (e.g. Management, International Business, Finance, Finance and Management, Marketing). Students work in a group on a real organisational problem prescribed by a 'client' company, running consultancy across the project lifecycle and delivering agreed outputs. Past clients include GB Snowsport, Cross Country Trains (Management page) and Vector Consumer, TISA (Finance page). Related offering: Business School 'Work with our students' invites employers to commission master's consultancy projects.</t>
        </is>
      </c>
      <c r="K421" s="77" t="inlineStr">
        <is>
          <t>Loughborough Business School</t>
        </is>
      </c>
      <c r="L421" s="77" t="inlineStr">
        <is>
          <t>MSc Management; International Business; Finance; Finance and Management; Marketing and related MSc pages list an Industry Experience Project (45 credits); full-time MBA has a 30-credit Business Administration Industry Experience Project option.</t>
        </is>
      </c>
      <c r="M421" s="77" t="inlineStr">
        <is>
          <t>Business/management</t>
        </is>
      </c>
      <c r="N421" s="77" t="inlineStr">
        <is>
          <t>Postgraduate taught</t>
        </is>
      </c>
      <c r="O421" s="77" t="inlineStr">
        <is>
          <t>Summer semester of MSc</t>
        </is>
      </c>
      <c r="P421" s="77" t="inlineStr">
        <is>
          <t>Students on named MSc programmes.</t>
        </is>
      </c>
      <c r="Q421" s="77" t="inlineStr">
        <is>
          <t>Unclear</t>
        </is>
      </c>
      <c r="R421" s="77" t="inlineStr">
        <is>
          <t>Curricular</t>
        </is>
      </c>
      <c r="S421" s="77" t="inlineStr">
        <is>
          <t>45 credits (MBA version 30 credits)</t>
        </is>
      </c>
      <c r="T421" s="77" t="inlineStr">
        <is>
          <t>Summer semester</t>
        </is>
      </c>
      <c r="U421" s="77" t="inlineStr">
        <is>
          <t>Group consultancy project for a client company</t>
        </is>
      </c>
      <c r="V421" s="77" t="inlineStr">
        <is>
          <t>Yes</t>
        </is>
      </c>
      <c r="W421" s="77" t="inlineStr">
        <is>
          <t>Real organisational problem; 'range of agreed outputs to a deadline' [1][2].</t>
        </is>
      </c>
      <c r="X421" s="77" t="inlineStr">
        <is>
          <t>Yes</t>
        </is>
      </c>
      <c r="Y421" s="77" t="inlineStr">
        <is>
          <t>'working in a group'; aim to 'work effectively in a group' [1].</t>
        </is>
      </c>
      <c r="Z421" s="77" t="inlineStr">
        <is>
          <t>Yes</t>
        </is>
      </c>
      <c r="AA421" s="77" t="inlineStr">
        <is>
          <t>Problem 'prescribed by a client company'; named past clients GB Snowsport, Cross Country Trains, Vector Consumer, TISA [1][2]. Interaction detail (supervision/feedback/assessment) not evidenced.</t>
        </is>
      </c>
      <c r="AB421" s="77" t="inlineStr">
        <is>
          <t>Business/commercial</t>
        </is>
      </c>
      <c r="AC421" s="77" t="inlineStr">
        <is>
          <t>Prescribes the organisational problem as client; receives outputs (assumed from 'client'; not explicitly evidenced)</t>
        </is>
      </c>
      <c r="AD421" s="77" t="inlineStr">
        <is>
          <t>GB Snowsport, Cross Country Trains (undated page); Vector Consumer, The Investing and Saving Alliance (TISA) (undated page)</t>
        </is>
      </c>
      <c r="AE421" s="77" t="inlineStr">
        <is>
          <t>Consultancy outputs agreed with the client company</t>
        </is>
      </c>
      <c r="AF421" s="77">
        <f>IF(OR(V421="No",X421="No",Z421="No"),"Outside strict definition",IF(AND(V421="Yes",X421="Yes",Z421="Yes"),"Meets all three","Potentially relevant; evidence incomplete"))</f>
        <v/>
      </c>
      <c r="AG421" s="77" t="inlineStr">
        <is>
          <t>Current status unclear</t>
        </is>
      </c>
      <c r="AH421" s="77" t="inlineStr">
        <is>
          <t>undated course pages (2026 entry pages exist but module year not shown)</t>
        </is>
      </c>
      <c r="AI421" s="77" t="inlineStr">
        <is>
          <t>Yes</t>
        </is>
      </c>
      <c r="AJ421" s="77">
        <f>IF(AND(AI421="Yes",AF421="Meets all three",AG421="Current delivery confirmed"),"Yes","No")</f>
        <v/>
      </c>
      <c r="AK421" s="77" t="inlineStr"/>
      <c r="AL421" s="77" t="inlineStr">
        <is>
          <t>UK04-S02-R1; UK04-S02-R2; UK04-S02-R3</t>
        </is>
      </c>
      <c r="AM421" s="77" t="inlineStr">
        <is>
          <t>No dated 2025/26 or 2026/27 module spec or cohort found; compulsory vs optional status per programme not verified; exact team size and whether every programme uses external clients; MBA version is individual/optional (see S3).</t>
        </is>
      </c>
      <c r="AN421" s="77" t="inlineStr"/>
      <c r="AO421" s="77" t="inlineStr">
        <is>
          <t>UK</t>
        </is>
      </c>
      <c r="AP421" s="77" t="inlineStr">
        <is>
          <t>UK – additional</t>
        </is>
      </c>
      <c r="AQ421" s="77" t="inlineStr">
        <is>
          <t>~1 term/semester</t>
        </is>
      </c>
      <c r="AR421" s="77" t="inlineStr">
        <is>
          <t>All/standard</t>
        </is>
      </c>
      <c r="AS421" s="77" t="inlineStr"/>
    </row>
    <row r="422">
      <c r="A422" s="77" t="inlineStr">
        <is>
          <t>UK04</t>
        </is>
      </c>
      <c r="B422" s="77" t="inlineStr">
        <is>
          <t>Loughborough</t>
        </is>
      </c>
      <c r="C422" s="77" t="inlineStr">
        <is>
          <t>Programme/course</t>
        </is>
      </c>
      <c r="D422" s="77" t="inlineStr">
        <is>
          <t>UK04-S03</t>
        </is>
      </c>
      <c r="E422" s="77" t="inlineStr"/>
      <c r="F422" s="77" t="inlineStr">
        <is>
          <t>No</t>
        </is>
      </c>
      <c r="G422" s="79" t="inlineStr">
        <is>
          <t>MBA Consultancy Project / Managing Innovation live projects (Loughborough full-time MBA)</t>
        </is>
      </c>
      <c r="H422" s="77" t="inlineStr">
        <is>
          <t>MBA Consultancy Project</t>
        </is>
      </c>
      <c r="I422" s="77" t="inlineStr"/>
      <c r="J422" s="77" t="inlineStr">
        <is>
          <t>Full-time MBA students choose between a Business Administration Project, a Consultancy Project (team-based, addressing a client organisation's real-world challenges, within the Capstone Challenge) or a Work Based Learning Project on the internship pathway. The Managing Innovation module is also reported to involve live projects with innovation partners and presentation to company directors.</t>
        </is>
      </c>
      <c r="K422" s="77" t="inlineStr">
        <is>
          <t>Loughborough Business School</t>
        </is>
      </c>
      <c r="L422" s="77" t="inlineStr">
        <is>
          <t>Full-time MBA</t>
        </is>
      </c>
      <c r="M422" s="77" t="inlineStr">
        <is>
          <t>Business/management</t>
        </is>
      </c>
      <c r="N422" s="77" t="inlineStr">
        <is>
          <t>Postgraduate taught</t>
        </is>
      </c>
      <c r="O422" s="77" t="inlineStr">
        <is>
          <t>MBA</t>
        </is>
      </c>
      <c r="P422" s="77" t="inlineStr">
        <is>
          <t>MBA students; professionals with 3+ years experience</t>
        </is>
      </c>
      <c r="Q422" s="77" t="inlineStr">
        <is>
          <t>Optional/elective</t>
        </is>
      </c>
      <c r="R422" s="77" t="inlineStr">
        <is>
          <t>Curricular</t>
        </is>
      </c>
      <c r="S422" s="77" t="inlineStr">
        <is>
          <t>Consultancy project credit not found</t>
        </is>
      </c>
      <c r="T422" s="77" t="inlineStr">
        <is>
          <t>Not found</t>
        </is>
      </c>
      <c r="U422" s="77" t="inlineStr">
        <is>
          <t>Team consultancy for client organisation</t>
        </is>
      </c>
      <c r="V422" s="77" t="inlineStr">
        <is>
          <t>Yes</t>
        </is>
      </c>
      <c r="W422" s="77" t="inlineStr">
        <is>
          <t>Applies theory/research to a client organisation's real-world challenges [1].</t>
        </is>
      </c>
      <c r="X422" s="77" t="inlineStr">
        <is>
          <t>Yes</t>
        </is>
      </c>
      <c r="Y422" s="77" t="inlineStr">
        <is>
          <t>'work as part of a team' on the Consultancy Project [1]; Managing Innovation team composition not stated.</t>
        </is>
      </c>
      <c r="Z422" s="77" t="inlineStr">
        <is>
          <t>Yes</t>
        </is>
      </c>
      <c r="AA422" s="77" t="inlineStr">
        <is>
          <t>Client organisation's real-world challenges [1]; Managing Innovation: present strategies to company directors [2]. Specific partner roles not detailed.</t>
        </is>
      </c>
      <c r="AB422" s="77" t="inlineStr">
        <is>
          <t>Business/commercial</t>
        </is>
      </c>
      <c r="AC422" s="77" t="inlineStr">
        <is>
          <t>Client whose challenge is addressed; directors receive presentations (Managing Innovation)</t>
        </is>
      </c>
      <c r="AD422" s="77" t="inlineStr"/>
      <c r="AE422" s="77" t="inlineStr">
        <is>
          <t>Consultancy report/recommendations</t>
        </is>
      </c>
      <c r="AF422" s="77">
        <f>IF(OR(V422="No",X422="No",Z422="No"),"Outside strict definition",IF(AND(V422="Yes",X422="Yes",Z422="Yes"),"Meets all three","Potentially relevant; evidence incomplete"))</f>
        <v/>
      </c>
      <c r="AG422" s="77" t="inlineStr">
        <is>
          <t>Current status unclear</t>
        </is>
      </c>
      <c r="AH422" s="77" t="inlineStr">
        <is>
          <t>undated</t>
        </is>
      </c>
      <c r="AI422" s="77" t="inlineStr">
        <is>
          <t>Yes</t>
        </is>
      </c>
      <c r="AJ422" s="77">
        <f>IF(AND(AI422="Yes",AF422="Meets all three",AG422="Current delivery confirmed"),"Yes","No")</f>
        <v/>
      </c>
      <c r="AK422" s="77" t="inlineStr"/>
      <c r="AL422" s="77" t="inlineStr">
        <is>
          <t>UK04-S03-R1; UK04-S03-R2</t>
        </is>
      </c>
      <c r="AM422" s="77" t="inlineStr">
        <is>
          <t>Current-year delivery; credit value; whether Consultancy Project is chosen by many students; Managing Innovation live-project route not separately verified as group.</t>
        </is>
      </c>
      <c r="AN422" s="77" t="inlineStr"/>
      <c r="AO422" s="77" t="inlineStr">
        <is>
          <t>UK</t>
        </is>
      </c>
      <c r="AP422" s="77" t="inlineStr">
        <is>
          <t>UK – additional</t>
        </is>
      </c>
      <c r="AQ422" s="77" t="inlineStr">
        <is>
          <t>Unclear</t>
        </is>
      </c>
      <c r="AR422" s="77" t="inlineStr">
        <is>
          <t>All/standard</t>
        </is>
      </c>
      <c r="AS422" s="77" t="inlineStr"/>
    </row>
    <row r="423">
      <c r="A423" s="77" t="inlineStr">
        <is>
          <t>UK04</t>
        </is>
      </c>
      <c r="B423" s="77" t="inlineStr">
        <is>
          <t>Loughborough</t>
        </is>
      </c>
      <c r="C423" s="77" t="inlineStr">
        <is>
          <t>University-wide</t>
        </is>
      </c>
      <c r="D423" s="77" t="inlineStr">
        <is>
          <t>UK04-S04</t>
        </is>
      </c>
      <c r="E423" s="77" t="inlineStr"/>
      <c r="F423" s="77" t="inlineStr">
        <is>
          <t>No</t>
        </is>
      </c>
      <c r="G423" s="79" t="inlineStr">
        <is>
          <t>Talent Match Consultancy Programme</t>
        </is>
      </c>
      <c r="H423" s="77" t="inlineStr">
        <is>
          <t>Talent Match Consultancy Programme</t>
        </is>
      </c>
      <c r="I423" s="77" t="inlineStr"/>
      <c r="J423" s="77" t="inlineStr">
        <is>
          <t>Paid, three-week virtual consultancy (starting late August 2026) in which current Loughborough students and 2025-26 graduates form consulting teams to carry out a project for a real UK start-up, SME or non-profit, receiving a project brief and delivering findings and recommendations in a professional report. Themes: growth strategy, sustainable impact, investment strategy, user experience.</t>
        </is>
      </c>
      <c r="K423" s="77" t="inlineStr">
        <is>
          <t>Careers Network (Target Connect applications)</t>
        </is>
      </c>
      <c r="L423" s="77" t="inlineStr">
        <is>
          <t>Current students and 2025-26 graduates; no faculty restriction stated</t>
        </is>
      </c>
      <c r="M423" s="77" t="inlineStr">
        <is>
          <t>Central provision</t>
        </is>
      </c>
      <c r="N423" s="77" t="inlineStr">
        <is>
          <t>Mixed</t>
        </is>
      </c>
      <c r="O423" s="77" t="inlineStr">
        <is>
          <t>Any (not stated)</t>
        </is>
      </c>
      <c r="P423" s="77" t="inlineStr">
        <is>
          <t>Current students and 2025-26 graduates; application via Target Connect (closed 9 August 2026).</t>
        </is>
      </c>
      <c r="Q423" s="77" t="inlineStr">
        <is>
          <t>Selective/competitive</t>
        </is>
      </c>
      <c r="R423" s="77" t="inlineStr">
        <is>
          <t>Extracurricular</t>
        </is>
      </c>
      <c r="S423" s="77" t="inlineStr">
        <is>
          <t>Paid; no credit evidenced</t>
        </is>
      </c>
      <c r="T423" s="77" t="inlineStr">
        <is>
          <t>3 weeks</t>
        </is>
      </c>
      <c r="U423" s="77" t="inlineStr">
        <is>
          <t>Virtual consultancy teams</t>
        </is>
      </c>
      <c r="V423" s="77" t="inlineStr">
        <is>
          <t>Yes</t>
        </is>
      </c>
      <c r="W423" s="77" t="inlineStr">
        <is>
          <t>Project brief; findings and recommendations in a professional report [1].</t>
        </is>
      </c>
      <c r="X423" s="77" t="inlineStr">
        <is>
          <t>Yes</t>
        </is>
      </c>
      <c r="Y423" s="77" t="inlineStr">
        <is>
          <t>'work as part of a consulting team'; 'collaborate' as team [1].</t>
        </is>
      </c>
      <c r="Z423" s="77" t="inlineStr">
        <is>
          <t>Yes</t>
        </is>
      </c>
      <c r="AA423" s="77" t="inlineStr">
        <is>
          <t>Project is for 'a real business based in the UK' (start-up, SME or non-profit); client context presented to [1].</t>
        </is>
      </c>
      <c r="AB423" s="77" t="inlineStr">
        <is>
          <t>Mixed</t>
        </is>
      </c>
      <c r="AC423" s="77" t="inlineStr">
        <is>
          <t>Client providing the project brief</t>
        </is>
      </c>
      <c r="AD423" s="77" t="inlineStr"/>
      <c r="AE423" s="77" t="inlineStr">
        <is>
          <t>Professional report with findings and recommendations</t>
        </is>
      </c>
      <c r="AF423" s="77">
        <f>IF(OR(V423="No",X423="No",Z423="No"),"Outside strict definition",IF(AND(V423="Yes",X423="Yes",Z423="Yes"),"Meets all three","Potentially relevant; evidence incomplete"))</f>
        <v/>
      </c>
      <c r="AG423" s="77" t="inlineStr">
        <is>
          <t>Current delivery confirmed</t>
        </is>
      </c>
      <c r="AH423" s="77" t="inlineStr">
        <is>
          <t>2026 (Aug 2026 call; programme began late Aug 2026)</t>
        </is>
      </c>
      <c r="AI423" s="77" t="inlineStr">
        <is>
          <t>Yes</t>
        </is>
      </c>
      <c r="AJ423" s="77">
        <f>IF(AND(AI423="Yes",AF423="Meets all three",AG423="Current delivery confirmed"),"Yes","No")</f>
        <v/>
      </c>
      <c r="AK423" s="77" t="inlineStr"/>
      <c r="AL423" s="77" t="inlineStr">
        <is>
          <t>UK04-S04-R1</t>
        </is>
      </c>
      <c r="AM423" s="77" t="inlineStr">
        <is>
          <t>Team sizes, number of participants and named clients not found; whether earlier years ran; the 2026 edition is described as new.</t>
        </is>
      </c>
      <c r="AN423" s="77" t="inlineStr"/>
      <c r="AO423" s="77" t="inlineStr">
        <is>
          <t>UK</t>
        </is>
      </c>
      <c r="AP423" s="77" t="inlineStr">
        <is>
          <t>UK – additional</t>
        </is>
      </c>
      <c r="AQ423" s="77" t="inlineStr">
        <is>
          <t>1–4 weeks</t>
        </is>
      </c>
      <c r="AR423" s="77" t="inlineStr">
        <is>
          <t>All/standard</t>
        </is>
      </c>
      <c r="AS423" s="77" t="inlineStr"/>
    </row>
    <row r="424">
      <c r="A424" s="77" t="inlineStr">
        <is>
          <t>UK04</t>
        </is>
      </c>
      <c r="B424" s="77" t="inlineStr">
        <is>
          <t>Loughborough</t>
        </is>
      </c>
      <c r="C424" s="77" t="inlineStr">
        <is>
          <t>Programme/course</t>
        </is>
      </c>
      <c r="D424" s="77" t="inlineStr">
        <is>
          <t>UK04-S05</t>
        </is>
      </c>
      <c r="E424" s="77" t="inlineStr"/>
      <c r="F424" s="77" t="inlineStr">
        <is>
          <t>No</t>
        </is>
      </c>
      <c r="G424" s="79" t="inlineStr">
        <is>
          <t>Physics industry group projects (Year 3 group project and final-year year-long group project)</t>
        </is>
      </c>
      <c r="H424" s="77" t="inlineStr">
        <is>
          <t>Physics industry group projects</t>
        </is>
      </c>
      <c r="I424" s="77" t="inlineStr"/>
      <c r="J424" s="77" t="inlineStr">
        <is>
          <t>In Physics degrees, third-year students collaborate with an industrial partner to agree a user requirement specification and derive a system requirement specification; final-year students manage a year-long group project with an external stakeholder (staff mentors &lt;10 hours per group). Example final-year projects: seabed object detection (NLA Blue), AR/AI physics showcase (IBM), high-frequency power transmission (UK government BEIS team).</t>
        </is>
      </c>
      <c r="K424" s="77" t="inlineStr">
        <is>
          <t>Department of Physics</t>
        </is>
      </c>
      <c r="L424" s="77" t="inlineStr">
        <is>
          <t>Physics, Engineering Physics, Physics with Computing, Mathematics and Physics BSc/MPhys (Group Project modules)</t>
        </is>
      </c>
      <c r="M424" s="77" t="inlineStr">
        <is>
          <t>Science</t>
        </is>
      </c>
      <c r="N424" s="77" t="inlineStr">
        <is>
          <t>Undergraduate</t>
        </is>
      </c>
      <c r="O424" s="77" t="inlineStr">
        <is>
          <t>Years 3 and final year</t>
        </is>
      </c>
      <c r="P424" s="77" t="inlineStr">
        <is>
          <t>Physics-related degree students</t>
        </is>
      </c>
      <c r="Q424" s="77" t="inlineStr">
        <is>
          <t>Unclear</t>
        </is>
      </c>
      <c r="R424" s="77" t="inlineStr">
        <is>
          <t>Curricular</t>
        </is>
      </c>
      <c r="S424" s="77" t="inlineStr">
        <is>
          <t>Physics BSc Group Project: ~1500 hours effort per project (search paraphrase); credits not found</t>
        </is>
      </c>
      <c r="T424" s="77" t="inlineStr">
        <is>
          <t>Year-long (final year)</t>
        </is>
      </c>
      <c r="U424" s="77" t="inlineStr">
        <is>
          <t>Group projects with external partner/stakeholder; light staff mentoring</t>
        </is>
      </c>
      <c r="V424" s="77" t="inlineStr">
        <is>
          <t>Yes</t>
        </is>
      </c>
      <c r="W424" s="77" t="inlineStr">
        <is>
          <t>Requirement specification and project deliverables with industrial partner; named example projects [1][2].</t>
        </is>
      </c>
      <c r="X424" s="77" t="inlineStr">
        <is>
          <t>Yes</t>
        </is>
      </c>
      <c r="Y424" s="77" t="inlineStr">
        <is>
          <t>'group projects are central'; staff mentors meet each group [1]; department page: industry-based group project [2].</t>
        </is>
      </c>
      <c r="Z424" s="77" t="inlineStr">
        <is>
          <t>Yes</t>
        </is>
      </c>
      <c r="AA424" s="77" t="inlineStr">
        <is>
          <t>Students collaborate with an industrial partner/external stakeholder; partners reprise roles across years [1]; named partners NLA Blue, IBM, BEIS [2].</t>
        </is>
      </c>
      <c r="AB424" s="77" t="inlineStr">
        <is>
          <t>Mixed</t>
        </is>
      </c>
      <c r="AC424" s="77" t="inlineStr">
        <is>
          <t>Partner agrees requirement specification / acts as external stakeholder for the project</t>
        </is>
      </c>
      <c r="AD424" s="77" t="inlineStr">
        <is>
          <t>NLA Blue, IBM, UK government BEIS Technical Energy Specialist team (department page, undated)</t>
        </is>
      </c>
      <c r="AE424" s="77" t="inlineStr">
        <is>
          <t>Project outputs against partner requirements (e.g. detection system, demonstrator)</t>
        </is>
      </c>
      <c r="AF424" s="77">
        <f>IF(OR(V424="No",X424="No",Z424="No"),"Outside strict definition",IF(AND(V424="Yes",X424="Yes",Z424="Yes"),"Meets all three","Potentially relevant; evidence incomplete"))</f>
        <v/>
      </c>
      <c r="AG424" s="77" t="inlineStr">
        <is>
          <t>Current status unclear</t>
        </is>
      </c>
      <c r="AH424" s="77" t="inlineStr">
        <is>
          <t>2024/25 cohort (arXiv Jan 2026)</t>
        </is>
      </c>
      <c r="AI424" s="77" t="inlineStr">
        <is>
          <t>Yes</t>
        </is>
      </c>
      <c r="AJ424" s="77">
        <f>IF(AND(AI424="Yes",AF424="Meets all three",AG424="Current delivery confirmed"),"Yes","No")</f>
        <v/>
      </c>
      <c r="AK424" s="77" t="inlineStr">
        <is>
          <t>2024/25: 'met professional expectations' in 89% of cases (not a participation count)</t>
        </is>
      </c>
      <c r="AL424" s="77" t="inlineStr">
        <is>
          <t>UK04-S05-R1; UK04-S05-R2</t>
        </is>
      </c>
      <c r="AM424" s="77" t="inlineStr">
        <is>
          <t>Compulsory vs optional (department page says 'opportunity'); team size; module codes; confirmation of 2025/26 delivery; independent verification of partner involvement beyond authors' own paper.</t>
        </is>
      </c>
      <c r="AN424" s="77" t="inlineStr"/>
      <c r="AO424" s="77" t="inlineStr">
        <is>
          <t>UK</t>
        </is>
      </c>
      <c r="AP424" s="77" t="inlineStr">
        <is>
          <t>UK – additional</t>
        </is>
      </c>
      <c r="AQ424" s="77" t="inlineStr">
        <is>
          <t>&gt;1 term</t>
        </is>
      </c>
      <c r="AR424" s="77" t="inlineStr">
        <is>
          <t>All/standard</t>
        </is>
      </c>
      <c r="AS424" s="77" t="inlineStr"/>
    </row>
    <row r="425">
      <c r="A425" s="77" t="inlineStr">
        <is>
          <t>UK04</t>
        </is>
      </c>
      <c r="B425" s="77" t="inlineStr">
        <is>
          <t>Loughborough</t>
        </is>
      </c>
      <c r="C425" s="77" t="inlineStr">
        <is>
          <t>Faculty/school</t>
        </is>
      </c>
      <c r="D425" s="77" t="inlineStr">
        <is>
          <t>UK04-S06</t>
        </is>
      </c>
      <c r="E425" s="77" t="inlineStr"/>
      <c r="F425" s="77" t="inlineStr">
        <is>
          <t>No</t>
        </is>
      </c>
      <c r="G425" s="79" t="inlineStr">
        <is>
          <t>Wolfson School Industry Collaboration Programme (Teaching Contract Scheme)</t>
        </is>
      </c>
      <c r="H425" s="77" t="inlineStr">
        <is>
          <t>Industry Collaboration Programme</t>
        </is>
      </c>
      <c r="I425" s="77" t="inlineStr"/>
      <c r="J425" s="77" t="inlineStr">
        <is>
          <t>Companies set real-life group projects for Wolfson School students in the 2nd or 4th year; an industry tutor makes three focused visits including the final presentations and an academic supervises. Earlier (2015-16) version: consortium of companies (e.g. Rolls-Royce, JCB, Renishaw, Jaguar Land Rover) provides projects for small student teams, with a written report and oral presentation to the company.</t>
        </is>
      </c>
      <c r="K425" s="77" t="inlineStr">
        <is>
          <t>Wolfson School of Mechanical, Electrical and Manufacturing Engineering</t>
        </is>
      </c>
      <c r="L425" s="77" t="inlineStr">
        <is>
          <t>Wolfson School undergraduate (incl. MEng) students in 2nd or 4th year</t>
        </is>
      </c>
      <c r="M425" s="77" t="inlineStr">
        <is>
          <t>Engineering/computing</t>
        </is>
      </c>
      <c r="N425" s="77" t="inlineStr">
        <is>
          <t>Undergraduate</t>
        </is>
      </c>
      <c r="O425" s="77" t="inlineStr">
        <is>
          <t>Year 2 or Year 4 (final year)</t>
        </is>
      </c>
      <c r="P425" s="77" t="inlineStr">
        <is>
          <t>Wolfson School students</t>
        </is>
      </c>
      <c r="Q425" s="77" t="inlineStr">
        <is>
          <t>Unclear</t>
        </is>
      </c>
      <c r="R425" s="77" t="inlineStr">
        <is>
          <t>Curricular</t>
        </is>
      </c>
      <c r="S425" s="77" t="inlineStr">
        <is>
          <t>Within the academic curriculum; academic supervisor assesses, normally seeking industrialist advice (2015-16 page); module list includes 'Integrated Industrial Group Projects' (25WS007META)</t>
        </is>
      </c>
      <c r="T425" s="77" t="inlineStr">
        <is>
          <t>Not stated (academic year/semester)</t>
        </is>
      </c>
      <c r="U425" s="77" t="inlineStr">
        <is>
          <t>Company-set projects; 3 industry tutor visits; final presentation</t>
        </is>
      </c>
      <c r="V425" s="77" t="inlineStr">
        <is>
          <t>Yes</t>
        </is>
      </c>
      <c r="W425" s="77" t="inlineStr">
        <is>
          <t>Real-life projects; formal report and oral presentation [1][2].</t>
        </is>
      </c>
      <c r="X425" s="77" t="inlineStr">
        <is>
          <t>Yes</t>
        </is>
      </c>
      <c r="Y425" s="77" t="inlineStr">
        <is>
          <t>'real-life group projects'; 'small student teams' [1][2].</t>
        </is>
      </c>
      <c r="Z425" s="77" t="inlineStr">
        <is>
          <t>Yes</t>
        </is>
      </c>
      <c r="AA425" s="77" t="inlineStr">
        <is>
          <t>Company sets the project, provides industry tutor for three visits including final presentations; presentation to the company [1][2].</t>
        </is>
      </c>
      <c r="AB425" s="77" t="inlineStr">
        <is>
          <t>Business/commercial</t>
        </is>
      </c>
      <c r="AC425" s="77" t="inlineStr">
        <is>
          <t>Sets project; industry tutor visits; attends/gives feedback at final presentation</t>
        </is>
      </c>
      <c r="AD425" s="77" t="inlineStr">
        <is>
          <t>2015-16 list: GE Sensing, Renishaw, Bosch, JCB, Jaguar Land Rover, Kohler Mira, Bentley, Rolls-Royce, Perkins, Ford (outdated)</t>
        </is>
      </c>
      <c r="AE425" s="77" t="inlineStr">
        <is>
          <t>Formal written report and oral presentation to company</t>
        </is>
      </c>
      <c r="AF425" s="77">
        <f>IF(OR(V425="No",X425="No",Z425="No"),"Outside strict definition",IF(AND(V425="Yes",X425="Yes",Z425="Yes"),"Meets all three","Potentially relevant; evidence incomplete"))</f>
        <v/>
      </c>
      <c r="AG425" s="77" t="inlineStr">
        <is>
          <t>Current status unclear</t>
        </is>
      </c>
      <c r="AH425" s="77" t="inlineStr">
        <is>
          <t>undated (company list 2015-16)</t>
        </is>
      </c>
      <c r="AI425" s="77" t="inlineStr">
        <is>
          <t>Yes</t>
        </is>
      </c>
      <c r="AJ425" s="77">
        <f>IF(AND(AI425="Yes",AF425="Meets all three",AG425="Current delivery confirmed"),"Yes","No")</f>
        <v/>
      </c>
      <c r="AK425" s="77" t="inlineStr"/>
      <c r="AL425" s="77" t="inlineStr">
        <is>
          <t>UK04-S06-R1; UK04-S06-R2</t>
        </is>
      </c>
      <c r="AM425" s="77" t="inlineStr">
        <is>
          <t>No dated 2025/26 evidence; link between this programme and the 'Integrated Industrial Group Projects' module not confirmed; share of students on externally-sponsored projects; compulsory status.</t>
        </is>
      </c>
      <c r="AN425" s="77" t="inlineStr"/>
      <c r="AO425" s="77" t="inlineStr">
        <is>
          <t>UK</t>
        </is>
      </c>
      <c r="AP425" s="77" t="inlineStr">
        <is>
          <t>UK – additional</t>
        </is>
      </c>
      <c r="AQ425" s="77" t="inlineStr">
        <is>
          <t>Unclear</t>
        </is>
      </c>
      <c r="AR425" s="77" t="inlineStr">
        <is>
          <t>All/standard</t>
        </is>
      </c>
      <c r="AS425" s="77" t="inlineStr"/>
    </row>
    <row r="426">
      <c r="A426" s="77" t="inlineStr">
        <is>
          <t>UK04</t>
        </is>
      </c>
      <c r="B426" s="77" t="inlineStr">
        <is>
          <t>Loughborough</t>
        </is>
      </c>
      <c r="C426" s="77" t="inlineStr">
        <is>
          <t>Programme/course</t>
        </is>
      </c>
      <c r="D426" s="77" t="inlineStr">
        <is>
          <t>UK04-S07</t>
        </is>
      </c>
      <c r="E426" s="77" t="inlineStr"/>
      <c r="F426" s="77" t="inlineStr">
        <is>
          <t>No</t>
        </is>
      </c>
      <c r="G426" s="79" t="inlineStr">
        <is>
          <t>Industry Project (MSc User Experience Design / MA User Experience and Service Design)</t>
        </is>
      </c>
      <c r="H426" s="77" t="inlineStr">
        <is>
          <t>User Experience Industry Project</t>
        </is>
      </c>
      <c r="I426" s="77" t="inlineStr"/>
      <c r="J426" s="77" t="inlineStr">
        <is>
          <t>15-credit Industry Project in which small teams of students work on a creative, problem-oriented brief created by a partnering organisation (with School support) and present their responses to the briefing company. 2023 showcase partners: Sainsbury's Customer Experience team and SCS; Capco mentioned by a student.</t>
        </is>
      </c>
      <c r="K426" s="77" t="inlineStr">
        <is>
          <t>School of Design and Creative Arts</t>
        </is>
      </c>
      <c r="L426" s="77" t="inlineStr">
        <is>
          <t>MSc User Experience Design; MA/MSc User Experience and Service Design (incl. London variant lists a related 15-credit Collaborative Project)</t>
        </is>
      </c>
      <c r="M426" s="77" t="inlineStr">
        <is>
          <t>Other (law, health, design, architecture…); Arts/humanities/social sciences</t>
        </is>
      </c>
      <c r="N426" s="77" t="inlineStr">
        <is>
          <t>Postgraduate taught</t>
        </is>
      </c>
      <c r="O426" s="77" t="inlineStr">
        <is>
          <t>Master's</t>
        </is>
      </c>
      <c r="P426" s="77" t="inlineStr">
        <is>
          <t>Students on named programmes</t>
        </is>
      </c>
      <c r="Q426" s="77" t="inlineStr">
        <is>
          <t>Compulsory within specified programmes</t>
        </is>
      </c>
      <c r="R426" s="77" t="inlineStr">
        <is>
          <t>Curricular</t>
        </is>
      </c>
      <c r="S426" s="77" t="inlineStr">
        <is>
          <t>15 credits</t>
        </is>
      </c>
      <c r="T426" s="77" t="inlineStr">
        <is>
          <t>Module (term not stated)</t>
        </is>
      </c>
      <c r="U426" s="77" t="inlineStr">
        <is>
          <t>Small teams; partner brief; presentation to company</t>
        </is>
      </c>
      <c r="V426" s="77" t="inlineStr">
        <is>
          <t>Yes</t>
        </is>
      </c>
      <c r="W426" s="77" t="inlineStr">
        <is>
          <t>Creative problem-oriented brief with evidence-based design outcome for sponsoring organisation [1][2].</t>
        </is>
      </c>
      <c r="X426" s="77" t="inlineStr">
        <is>
          <t>Yes</t>
        </is>
      </c>
      <c r="Y426" s="77" t="inlineStr">
        <is>
          <t>'small teams of students' [1].</t>
        </is>
      </c>
      <c r="Z426" s="77" t="inlineStr">
        <is>
          <t>Yes</t>
        </is>
      </c>
      <c r="AA426" s="77" t="inlineStr">
        <is>
          <t>Partners create briefs; teams 'ultimately present their responses directly to their briefing company' [1].</t>
        </is>
      </c>
      <c r="AB426" s="77" t="inlineStr">
        <is>
          <t>Business/commercial</t>
        </is>
      </c>
      <c r="AC426" s="77" t="inlineStr">
        <is>
          <t>Creates brief; receives presentation</t>
        </is>
      </c>
      <c r="AD426" s="77" t="inlineStr">
        <is>
          <t>Sainsbury's, SCS (2023 showcase); Capco (student account)</t>
        </is>
      </c>
      <c r="AE426" s="77" t="inlineStr">
        <is>
          <t>Design response presented to the briefing company</t>
        </is>
      </c>
      <c r="AF426" s="77">
        <f>IF(OR(V426="No",X426="No",Z426="No"),"Outside strict definition",IF(AND(V426="Yes",X426="Yes",Z426="Yes"),"Meets all three","Potentially relevant; evidence incomplete"))</f>
        <v/>
      </c>
      <c r="AG426" s="77" t="inlineStr">
        <is>
          <t>Current status unclear</t>
        </is>
      </c>
      <c r="AH426" s="77" t="inlineStr">
        <is>
          <t>2023 (showcase); programme page undated</t>
        </is>
      </c>
      <c r="AI426" s="77" t="inlineStr">
        <is>
          <t>Yes</t>
        </is>
      </c>
      <c r="AJ426" s="77">
        <f>IF(AND(AI426="Yes",AF426="Meets all three",AG426="Current delivery confirmed"),"Yes","No")</f>
        <v/>
      </c>
      <c r="AK426" s="77" t="inlineStr"/>
      <c r="AL426" s="77" t="inlineStr">
        <is>
          <t>UK04-S07-R1; UK04-S07-R2</t>
        </is>
      </c>
      <c r="AM426" s="77" t="inlineStr">
        <is>
          <t>No 2025/26 partner list found; the 2025 showcase page contains no industry-project partner detail.</t>
        </is>
      </c>
      <c r="AN426" s="77" t="inlineStr"/>
      <c r="AO426" s="77" t="inlineStr">
        <is>
          <t>UK</t>
        </is>
      </c>
      <c r="AP426" s="77" t="inlineStr">
        <is>
          <t>UK – additional</t>
        </is>
      </c>
      <c r="AQ426" s="77" t="inlineStr">
        <is>
          <t>~1 term/semester</t>
        </is>
      </c>
      <c r="AR426" s="77" t="inlineStr">
        <is>
          <t>All/standard</t>
        </is>
      </c>
      <c r="AS426" s="77" t="inlineStr"/>
    </row>
    <row r="427">
      <c r="A427" s="77" t="inlineStr">
        <is>
          <t>UK04</t>
        </is>
      </c>
      <c r="B427" s="77" t="inlineStr">
        <is>
          <t>Loughborough</t>
        </is>
      </c>
      <c r="C427" s="77" t="inlineStr">
        <is>
          <t>Faculty/school</t>
        </is>
      </c>
      <c r="D427" s="77" t="inlineStr">
        <is>
          <t>UK04-S08</t>
        </is>
      </c>
      <c r="E427" s="77" t="inlineStr"/>
      <c r="F427" s="77" t="inlineStr">
        <is>
          <t>No</t>
        </is>
      </c>
      <c r="G427" s="79" t="inlineStr">
        <is>
          <t>Cross-School Design Weeks (School of Architecture, Building and Civil Engineering)</t>
        </is>
      </c>
      <c r="H427" s="77" t="inlineStr">
        <is>
          <t>Cross-School Design Week</t>
        </is>
      </c>
      <c r="I427" s="77" t="inlineStr"/>
      <c r="J427" s="77" t="inlineStr">
        <is>
          <t>Annual cross-disciplinary week in which Architecture, Building and Civil Engineering students work in mixed teams on real-world design challenges and present to a panel of industry partners. Past briefs: sustainability, a community hub, redesigning an area on campus.</t>
        </is>
      </c>
      <c r="K427" s="77" t="inlineStr">
        <is>
          <t>School of Architecture, Building and Civil Engineering</t>
        </is>
      </c>
      <c r="L427" s="77" t="inlineStr">
        <is>
          <t>ABCE undergraduates (cross-course)</t>
        </is>
      </c>
      <c r="M427" s="77" t="inlineStr">
        <is>
          <t>Engineering/computing; Other (law, health, design, architecture…)</t>
        </is>
      </c>
      <c r="N427" s="77" t="inlineStr">
        <is>
          <t>Undergraduate</t>
        </is>
      </c>
      <c r="O427" s="77" t="inlineStr">
        <is>
          <t>Not stated</t>
        </is>
      </c>
      <c r="P427" s="77" t="inlineStr">
        <is>
          <t>ABCE students</t>
        </is>
      </c>
      <c r="Q427" s="77" t="inlineStr">
        <is>
          <t>Unclear</t>
        </is>
      </c>
      <c r="R427" s="77" t="inlineStr">
        <is>
          <t>Curricular</t>
        </is>
      </c>
      <c r="S427" s="77" t="inlineStr">
        <is>
          <t>Within curriculum; credit not found</t>
        </is>
      </c>
      <c r="T427" s="77" t="inlineStr">
        <is>
          <t>1 week</t>
        </is>
      </c>
      <c r="U427" s="77" t="inlineStr">
        <is>
          <t>Cross-discipline teams; showcase to industry panel</t>
        </is>
      </c>
      <c r="V427" s="77" t="inlineStr">
        <is>
          <t>Yes</t>
        </is>
      </c>
      <c r="W427" s="77" t="inlineStr">
        <is>
          <t>Team design proposals showcased [1].</t>
        </is>
      </c>
      <c r="X427" s="77" t="inlineStr">
        <is>
          <t>Yes</t>
        </is>
      </c>
      <c r="Y427" s="77" t="inlineStr">
        <is>
          <t>Teams of students from different disciplines [1].</t>
        </is>
      </c>
      <c r="Z427" s="77" t="inlineStr">
        <is>
          <t>Unclear</t>
        </is>
      </c>
      <c r="AA427" s="77" t="inlineStr">
        <is>
          <t>Ideas 'showcased to a panel of our well-established industry partners' [1], but who sets briefs is unclear (some are campus redesigns, i.e. internal).</t>
        </is>
      </c>
      <c r="AB427" s="77" t="inlineStr">
        <is>
          <t>Business/commercial</t>
        </is>
      </c>
      <c r="AC427" s="77" t="inlineStr">
        <is>
          <t>Panel receives/feeds back on presentations</t>
        </is>
      </c>
      <c r="AD427" s="77" t="inlineStr"/>
      <c r="AE427" s="77" t="inlineStr">
        <is>
          <t>Design proposal presented to industry panel</t>
        </is>
      </c>
      <c r="AF427" s="77">
        <f>IF(OR(V427="No",X427="No",Z427="No"),"Outside strict definition",IF(AND(V427="Yes",X427="Yes",Z427="Yes"),"Meets all three","Potentially relevant; evidence incomplete"))</f>
        <v/>
      </c>
      <c r="AG427" s="77" t="inlineStr">
        <is>
          <t>Current status unclear</t>
        </is>
      </c>
      <c r="AH427" s="77" t="inlineStr">
        <is>
          <t>undated</t>
        </is>
      </c>
      <c r="AI427" s="77" t="inlineStr">
        <is>
          <t>Yes</t>
        </is>
      </c>
      <c r="AJ427" s="77">
        <f>IF(AND(AI427="Yes",AF427="Meets all three",AG427="Current delivery confirmed"),"Yes","No")</f>
        <v/>
      </c>
      <c r="AK427" s="77" t="inlineStr"/>
      <c r="AL427" s="77" t="inlineStr">
        <is>
          <t>UK04-S08-R1</t>
        </is>
      </c>
      <c r="AM427" s="77" t="inlineStr">
        <is>
          <t>Who sets briefs; years; panel involvement beyond viewing; dates of recent weeks.</t>
        </is>
      </c>
      <c r="AN427" s="77" t="inlineStr"/>
      <c r="AO427" s="77" t="inlineStr">
        <is>
          <t>UK</t>
        </is>
      </c>
      <c r="AP427" s="77" t="inlineStr">
        <is>
          <t>UK – additional</t>
        </is>
      </c>
      <c r="AQ427" s="77" t="inlineStr">
        <is>
          <t>1 week</t>
        </is>
      </c>
      <c r="AR427" s="77" t="inlineStr">
        <is>
          <t>Some projects</t>
        </is>
      </c>
      <c r="AS427" s="77" t="inlineStr"/>
    </row>
    <row r="428">
      <c r="A428" s="77" t="inlineStr">
        <is>
          <t>UK04</t>
        </is>
      </c>
      <c r="B428" s="77" t="inlineStr">
        <is>
          <t>Loughborough</t>
        </is>
      </c>
      <c r="C428" s="77" t="inlineStr">
        <is>
          <t>Unclear</t>
        </is>
      </c>
      <c r="D428" s="77" t="inlineStr">
        <is>
          <t>UK04-S09</t>
        </is>
      </c>
      <c r="E428" s="77" t="inlineStr"/>
      <c r="F428" s="77" t="inlineStr">
        <is>
          <t>No</t>
        </is>
      </c>
      <c r="G428" s="79" t="inlineStr">
        <is>
          <t>Loughborough AI Challenge Camp</t>
        </is>
      </c>
      <c r="H428" s="77" t="inlineStr">
        <is>
          <t>AI Challenge Camp 2026</t>
        </is>
      </c>
      <c r="I428" s="77" t="inlineStr"/>
      <c r="J428" s="77" t="inlineStr">
        <is>
          <t>Week-long camp (26-30 January 2026) where undergraduates from several disciplines worked in four teams, each mentored by a PhD researcher, on challenges set by industry and academic partners; final presentations to an expert panel. Winning challenge 'Automating Healthcare Onboarding' set by These Hands Academy Ltd.</t>
        </is>
      </c>
      <c r="K428" s="77" t="inlineStr">
        <is>
          <t>Led by Prof Diwei Zhou (department not confirmed)</t>
        </is>
      </c>
      <c r="L428" s="77" t="inlineStr">
        <is>
          <t>Undergraduates from several disciplines</t>
        </is>
      </c>
      <c r="M428" s="77" t="inlineStr">
        <is>
          <t>Science; Engineering/computing</t>
        </is>
      </c>
      <c r="N428" s="77" t="inlineStr">
        <is>
          <t>Undergraduate</t>
        </is>
      </c>
      <c r="O428" s="77" t="inlineStr">
        <is>
          <t>Not stated</t>
        </is>
      </c>
      <c r="P428" s="77" t="inlineStr">
        <is>
          <t>Not stated</t>
        </is>
      </c>
      <c r="Q428" s="77" t="inlineStr">
        <is>
          <t>Selective/competitive</t>
        </is>
      </c>
      <c r="R428" s="77" t="inlineStr">
        <is>
          <t>Unclear</t>
        </is>
      </c>
      <c r="S428" s="77" t="inlineStr">
        <is>
          <t>Not stated</t>
        </is>
      </c>
      <c r="T428" s="77" t="inlineStr">
        <is>
          <t>5 days (26-30 Jan 2026)</t>
        </is>
      </c>
      <c r="U428" s="77" t="inlineStr">
        <is>
          <t>On campus; 4 teams with PhD mentors</t>
        </is>
      </c>
      <c r="V428" s="77" t="inlineStr">
        <is>
          <t>Yes</t>
        </is>
      </c>
      <c r="W428" s="77" t="inlineStr">
        <is>
          <t>Teams built solutions (e.g. decision-tree/scoring framework with AI explainer) and presented to expert panel [1].</t>
        </is>
      </c>
      <c r="X428" s="77" t="inlineStr">
        <is>
          <t>Yes</t>
        </is>
      </c>
      <c r="Y428" s="77" t="inlineStr">
        <is>
          <t>Four teams, each with a PhD mentor [1].</t>
        </is>
      </c>
      <c r="Z428" s="77" t="inlineStr">
        <is>
          <t>Unclear</t>
        </is>
      </c>
      <c r="AA428" s="77" t="inlineStr">
        <is>
          <t>Challenges set by 'industry and academic partners'; only one named industry setter (These Hands Academy Ltd, healthcare) [1]; academic share unknown.</t>
        </is>
      </c>
      <c r="AB428" s="77" t="inlineStr">
        <is>
          <t>Mixed</t>
        </is>
      </c>
      <c r="AC428" s="77" t="inlineStr">
        <is>
          <t>Sets challenge (industry and academic partners)</t>
        </is>
      </c>
      <c r="AD428" s="77" t="inlineStr">
        <is>
          <t>These Hands Academy Ltd (2026)</t>
        </is>
      </c>
      <c r="AE428" s="77" t="inlineStr">
        <is>
          <t>Data-science solution presented to expert panel</t>
        </is>
      </c>
      <c r="AF428" s="77">
        <f>IF(OR(V428="No",X428="No",Z428="No"),"Outside strict definition",IF(AND(V428="Yes",X428="Yes",Z428="Yes"),"Meets all three","Potentially relevant; evidence incomplete"))</f>
        <v/>
      </c>
      <c r="AG428" s="77" t="inlineStr">
        <is>
          <t>Current delivery confirmed</t>
        </is>
      </c>
      <c r="AH428" s="77" t="inlineStr">
        <is>
          <t>2026 (Jan)</t>
        </is>
      </c>
      <c r="AI428" s="77" t="inlineStr">
        <is>
          <t>Yes</t>
        </is>
      </c>
      <c r="AJ428" s="77">
        <f>IF(AND(AI428="Yes",AF428="Meets all three",AG428="Current delivery confirmed"),"Yes","No")</f>
        <v/>
      </c>
      <c r="AK428" s="77" t="inlineStr"/>
      <c r="AL428" s="77" t="inlineStr">
        <is>
          <t>UK04-S09-R1</t>
        </is>
      </c>
      <c r="AM428" s="77" t="inlineStr">
        <is>
          <t>Which challenges were set by external vs academic partners; eligibility/selection; whether recurring; credit.</t>
        </is>
      </c>
      <c r="AN428" s="77" t="inlineStr"/>
      <c r="AO428" s="77" t="inlineStr">
        <is>
          <t>UK</t>
        </is>
      </c>
      <c r="AP428" s="77" t="inlineStr">
        <is>
          <t>UK – additional</t>
        </is>
      </c>
      <c r="AQ428" s="77" t="inlineStr">
        <is>
          <t>&lt;1 week</t>
        </is>
      </c>
      <c r="AR428" s="77" t="inlineStr">
        <is>
          <t>Some projects</t>
        </is>
      </c>
      <c r="AS428" s="77" t="inlineStr"/>
    </row>
    <row r="429">
      <c r="A429" s="77" t="inlineStr">
        <is>
          <t>UK04</t>
        </is>
      </c>
      <c r="B429" s="77" t="inlineStr">
        <is>
          <t>Loughborough</t>
        </is>
      </c>
      <c r="C429" s="77" t="inlineStr">
        <is>
          <t>Programme/course</t>
        </is>
      </c>
      <c r="D429" s="77" t="inlineStr">
        <is>
          <t>UK04-S10</t>
        </is>
      </c>
      <c r="E429" s="77" t="inlineStr"/>
      <c r="F429" s="77" t="inlineStr">
        <is>
          <t>No</t>
        </is>
      </c>
      <c r="G429" s="79" t="inlineStr">
        <is>
          <t>School of Design and Creative Arts live industry briefs (Design Week; final-year 7-day project; Industrial Design design sprint)</t>
        </is>
      </c>
      <c r="H429" s="77" t="inlineStr">
        <is>
          <t>SDCA live industry briefs</t>
        </is>
      </c>
      <c r="I429" s="77" t="inlineStr"/>
      <c r="J429" s="77" t="inlineStr">
        <is>
          <t>School arranges live projects with industry partners who create and review briefs. Design Week 2025: second-year Industrial Design and Product Design and Technology students tackled live briefs from Cambridge Consultants, Joseph Joseph and Kohler Mira. Final-year 7-day project (2020-21 evidence): briefs from Panasonic, DCA and Seymour Powell, who also judged. Industrial Design BA sprint module: each student selects one brief and sends a proposal to the company for feedback (individual).</t>
        </is>
      </c>
      <c r="K429" s="77" t="inlineStr">
        <is>
          <t>School of Design and Creative Arts</t>
        </is>
      </c>
      <c r="L429" s="77" t="inlineStr">
        <is>
          <t>Industrial Design BA; Product Design and Technology BSc</t>
        </is>
      </c>
      <c r="M429" s="77" t="inlineStr">
        <is>
          <t>Other (law, health, design, architecture…)</t>
        </is>
      </c>
      <c r="N429" s="77" t="inlineStr">
        <is>
          <t>Undergraduate</t>
        </is>
      </c>
      <c r="O429" s="77" t="inlineStr">
        <is>
          <t>Year 2 (Design Week); final year (7-day project)</t>
        </is>
      </c>
      <c r="P429" s="77" t="inlineStr">
        <is>
          <t>Named design programmes</t>
        </is>
      </c>
      <c r="Q429" s="77" t="inlineStr">
        <is>
          <t>Compulsory within specified programmes</t>
        </is>
      </c>
      <c r="R429" s="77" t="inlineStr">
        <is>
          <t>Curricular</t>
        </is>
      </c>
      <c r="S429" s="77" t="inlineStr">
        <is>
          <t>Not found</t>
        </is>
      </c>
      <c r="T429" s="77" t="inlineStr">
        <is>
          <t>1 week (Design Week); 7 days (final-year project)</t>
        </is>
      </c>
      <c r="U429" s="77" t="inlineStr">
        <is>
          <t>Live briefs; company judging</t>
        </is>
      </c>
      <c r="V429" s="77" t="inlineStr">
        <is>
          <t>Yes</t>
        </is>
      </c>
      <c r="W429" s="77" t="inlineStr">
        <is>
          <t>Design proposals responding to company briefs [1][2].</t>
        </is>
      </c>
      <c r="X429" s="77" t="inlineStr">
        <is>
          <t>Unclear</t>
        </is>
      </c>
      <c r="Y429" s="77" t="inlineStr">
        <is>
          <t>Team/individual split not stated for Design Week or 7-day project; Industrial Design sprint proposal appears individual [3].</t>
        </is>
      </c>
      <c r="Z429" s="77" t="inlineStr">
        <is>
          <t>Yes</t>
        </is>
      </c>
      <c r="AA429" s="77" t="inlineStr">
        <is>
          <t>Companies set and judge briefs (Panasonic, DCA, Seymour Powell 2020; Cambridge Consultants, Joseph Joseph, Kohler Mira 2025) [1][2][4].</t>
        </is>
      </c>
      <c r="AB429" s="77" t="inlineStr">
        <is>
          <t>Business/commercial</t>
        </is>
      </c>
      <c r="AC429" s="77" t="inlineStr">
        <is>
          <t>Sets brief; judges; gives feedback</t>
        </is>
      </c>
      <c r="AD429" s="77" t="inlineStr">
        <is>
          <t>Cambridge Consultants, Joseph Joseph, Kohler Mira (Design Week 2025); Panasonic, DCA, Seymour Powell (2020)</t>
        </is>
      </c>
      <c r="AE429" s="77" t="inlineStr">
        <is>
          <t>Design proposals/concepts</t>
        </is>
      </c>
      <c r="AF429" s="77">
        <f>IF(OR(V429="No",X429="No",Z429="No"),"Outside strict definition",IF(AND(V429="Yes",X429="Yes",Z429="Yes"),"Meets all three","Potentially relevant; evidence incomplete"))</f>
        <v/>
      </c>
      <c r="AG429" s="77" t="inlineStr">
        <is>
          <t>Current status unclear</t>
        </is>
      </c>
      <c r="AH429" s="77" t="inlineStr">
        <is>
          <t>2025 (Design Week 2025; exact date not shown)</t>
        </is>
      </c>
      <c r="AI429" s="77" t="inlineStr">
        <is>
          <t>Yes</t>
        </is>
      </c>
      <c r="AJ429" s="77">
        <f>IF(AND(AI429="Yes",AF429="Meets all three",AG429="Current delivery confirmed"),"Yes","No")</f>
        <v/>
      </c>
      <c r="AK429" s="77" t="inlineStr"/>
      <c r="AL429" s="77" t="inlineStr">
        <is>
          <t>UK04-S10-R1; UK04-S10-R2; UK04-S10-R3; UK04-S10-R4</t>
        </is>
      </c>
      <c r="AM429" s="77" t="inlineStr">
        <is>
          <t>Group vs individual working; whether the final-year 7-day project still runs; compulsory status; credits.</t>
        </is>
      </c>
      <c r="AN429" s="77" t="inlineStr"/>
      <c r="AO429" s="77" t="inlineStr">
        <is>
          <t>UK</t>
        </is>
      </c>
      <c r="AP429" s="77" t="inlineStr">
        <is>
          <t>UK – additional</t>
        </is>
      </c>
      <c r="AQ429" s="77" t="inlineStr">
        <is>
          <t>1 week</t>
        </is>
      </c>
      <c r="AR429" s="77" t="inlineStr">
        <is>
          <t>All/standard</t>
        </is>
      </c>
      <c r="AS429" s="77" t="inlineStr"/>
    </row>
    <row r="430">
      <c r="A430" s="77" t="inlineStr">
        <is>
          <t>UK04</t>
        </is>
      </c>
      <c r="B430" s="77" t="inlineStr">
        <is>
          <t>Loughborough</t>
        </is>
      </c>
      <c r="C430" s="77" t="inlineStr">
        <is>
          <t>Programme/course</t>
        </is>
      </c>
      <c r="D430" s="77" t="inlineStr">
        <is>
          <t>UK04-S11</t>
        </is>
      </c>
      <c r="E430" s="77" t="inlineStr"/>
      <c r="F430" s="77" t="inlineStr">
        <is>
          <t>No</t>
        </is>
      </c>
      <c r="G430" s="79" t="inlineStr">
        <is>
          <t>EnerHy Centre for Doctoral Training design-and-build project (Cadent)</t>
        </is>
      </c>
      <c r="H430" s="77" t="inlineStr">
        <is>
          <t>EnerHy CDT team project</t>
        </is>
      </c>
      <c r="I430" s="77" t="inlineStr"/>
      <c r="J430" s="77" t="inlineStr">
        <is>
          <t>Six-month design-and-build project posed by Cadent (UK gas distribution network) completed by a 13-person multidisciplinary team of EnerHy CDT students, producing a pipe inspection gauge prototype unveiled at an event.</t>
        </is>
      </c>
      <c r="K430" s="77" t="inlineStr">
        <is>
          <t>EnerHy Centre for Doctoral Training (Loughborough-led)</t>
        </is>
      </c>
      <c r="L430" s="77" t="inlineStr">
        <is>
          <t>EnerHy CDT doctoral students</t>
        </is>
      </c>
      <c r="M430" s="77" t="inlineStr">
        <is>
          <t>Engineering/computing; Science</t>
        </is>
      </c>
      <c r="N430" s="77" t="inlineStr">
        <is>
          <t>Postgraduate research</t>
        </is>
      </c>
      <c r="O430" s="77" t="inlineStr">
        <is>
          <t>CDT cohort</t>
        </is>
      </c>
      <c r="P430" s="77" t="inlineStr">
        <is>
          <t>CDT students only</t>
        </is>
      </c>
      <c r="Q430" s="77" t="inlineStr">
        <is>
          <t>Compulsory within specified programmes</t>
        </is>
      </c>
      <c r="R430" s="77" t="inlineStr">
        <is>
          <t>Curricular</t>
        </is>
      </c>
      <c r="S430" s="77" t="inlineStr">
        <is>
          <t>Not found</t>
        </is>
      </c>
      <c r="T430" s="77" t="inlineStr">
        <is>
          <t>6 months</t>
        </is>
      </c>
      <c r="U430" s="77" t="inlineStr">
        <is>
          <t>Multidisciplinary team design-and-build</t>
        </is>
      </c>
      <c r="V430" s="77" t="inlineStr">
        <is>
          <t>Yes</t>
        </is>
      </c>
      <c r="W430" s="77" t="inlineStr">
        <is>
          <t>Prototype pipe inspection gauge delivered [1].</t>
        </is>
      </c>
      <c r="X430" s="77" t="inlineStr">
        <is>
          <t>Yes</t>
        </is>
      </c>
      <c r="Y430" s="77" t="inlineStr">
        <is>
          <t>'13-person multidisciplinary team' [1].</t>
        </is>
      </c>
      <c r="Z430" s="77" t="inlineStr">
        <is>
          <t>Unclear</t>
        </is>
      </c>
      <c r="AA430" s="77" t="inlineStr">
        <is>
          <t>This year's project was posed by Cadent [1]; whether external clients are the documented norm for the CDT team project each year is not evidenced.</t>
        </is>
      </c>
      <c r="AB430" s="77" t="inlineStr">
        <is>
          <t>Business/commercial</t>
        </is>
      </c>
      <c r="AC430" s="77" t="inlineStr">
        <is>
          <t>Poses project</t>
        </is>
      </c>
      <c r="AD430" s="77" t="inlineStr">
        <is>
          <t>Cadent (2025)</t>
        </is>
      </c>
      <c r="AE430" s="77" t="inlineStr">
        <is>
          <t>Prototype pipe inspection gauge</t>
        </is>
      </c>
      <c r="AF430" s="77">
        <f>IF(OR(V430="No",X430="No",Z430="No"),"Outside strict definition",IF(AND(V430="Yes",X430="Yes",Z430="Yes"),"Meets all three","Potentially relevant; evidence incomplete"))</f>
        <v/>
      </c>
      <c r="AG430" s="77" t="inlineStr">
        <is>
          <t>Current delivery confirmed</t>
        </is>
      </c>
      <c r="AH430" s="77" t="inlineStr">
        <is>
          <t>2025 (news Sept 2025)</t>
        </is>
      </c>
      <c r="AI430" s="77" t="inlineStr">
        <is>
          <t>Yes</t>
        </is>
      </c>
      <c r="AJ430" s="77">
        <f>IF(AND(AI430="Yes",AF430="Meets all three",AG430="Current delivery confirmed"),"Yes","No")</f>
        <v/>
      </c>
      <c r="AK430" s="77" t="inlineStr"/>
      <c r="AL430" s="77" t="inlineStr">
        <is>
          <t>UK04-S11-R1</t>
        </is>
      </c>
      <c r="AM430" s="77" t="inlineStr">
        <is>
          <t>Whether compulsory for all CDT students and recurs annually with different partners; CDT is jointly hosted (other universities).</t>
        </is>
      </c>
      <c r="AN430" s="77" t="inlineStr"/>
      <c r="AO430" s="77" t="inlineStr">
        <is>
          <t>UK</t>
        </is>
      </c>
      <c r="AP430" s="77" t="inlineStr">
        <is>
          <t>UK – additional</t>
        </is>
      </c>
      <c r="AQ430" s="77" t="inlineStr">
        <is>
          <t>&gt;1 term</t>
        </is>
      </c>
      <c r="AR430" s="77" t="inlineStr">
        <is>
          <t>Unclear</t>
        </is>
      </c>
      <c r="AS430" s="77" t="inlineStr"/>
    </row>
    <row r="431">
      <c r="A431" s="77" t="inlineStr">
        <is>
          <t>UK04</t>
        </is>
      </c>
      <c r="B431" s="77" t="inlineStr">
        <is>
          <t>Loughborough</t>
        </is>
      </c>
      <c r="C431" s="77" t="inlineStr">
        <is>
          <t>Unclear</t>
        </is>
      </c>
      <c r="D431" s="77" t="inlineStr">
        <is>
          <t>UK04-S12</t>
        </is>
      </c>
      <c r="E431" s="77" t="inlineStr"/>
      <c r="F431" s="77" t="inlineStr">
        <is>
          <t>No</t>
        </is>
      </c>
      <c r="G431" s="79" t="inlineStr">
        <is>
          <t>Collaborate Sprint (Loughborough University London)</t>
        </is>
      </c>
      <c r="H431" s="77" t="inlineStr">
        <is>
          <t>Collaborate Sprint</t>
        </is>
      </c>
      <c r="I431" s="77" t="inlineStr"/>
      <c r="J431" s="77" t="inlineStr">
        <is>
          <t>2-day condensed version of the Collaborative Project for Loughborough undergraduates at the London campus; first edition (June 2022) with Holland &amp; Barrett on improving global health via supply chains; teams built, researched and pitched solutions.</t>
        </is>
      </c>
      <c r="K431" s="77" t="inlineStr">
        <is>
          <t>Loughborough University London</t>
        </is>
      </c>
      <c r="L431" s="77" t="inlineStr">
        <is>
          <t>Loughborough undergraduates (2022)</t>
        </is>
      </c>
      <c r="M431" s="77" t="inlineStr">
        <is>
          <t>Central provision</t>
        </is>
      </c>
      <c r="N431" s="77" t="inlineStr">
        <is>
          <t>Undergraduate</t>
        </is>
      </c>
      <c r="O431" s="77" t="inlineStr">
        <is>
          <t>Not stated</t>
        </is>
      </c>
      <c r="P431" s="77" t="inlineStr">
        <is>
          <t>Open to Loughborough undergraduates in 2022</t>
        </is>
      </c>
      <c r="Q431" s="77" t="inlineStr">
        <is>
          <t>Optional/elective</t>
        </is>
      </c>
      <c r="R431" s="77" t="inlineStr">
        <is>
          <t>Extracurricular</t>
        </is>
      </c>
      <c r="S431" s="77" t="inlineStr">
        <is>
          <t>None evidenced</t>
        </is>
      </c>
      <c r="T431" s="77" t="inlineStr">
        <is>
          <t>2 days</t>
        </is>
      </c>
      <c r="U431" s="77" t="inlineStr">
        <is>
          <t>On campus, London</t>
        </is>
      </c>
      <c r="V431" s="77" t="inlineStr">
        <is>
          <t>Yes</t>
        </is>
      </c>
      <c r="W431" s="77" t="inlineStr">
        <is>
          <t>Pitched sustainable solutions to partner challenge [1].</t>
        </is>
      </c>
      <c r="X431" s="77" t="inlineStr">
        <is>
          <t>Yes</t>
        </is>
      </c>
      <c r="Y431" s="77" t="inlineStr">
        <is>
          <t>Participants built teams [1].</t>
        </is>
      </c>
      <c r="Z431" s="77" t="inlineStr">
        <is>
          <t>Yes</t>
        </is>
      </c>
      <c r="AA431" s="77" t="inlineStr">
        <is>
          <t>Partner organisation Holland &amp; Barrett set challenge (2022) [1].</t>
        </is>
      </c>
      <c r="AB431" s="77" t="inlineStr">
        <is>
          <t>Business/commercial</t>
        </is>
      </c>
      <c r="AC431" s="77" t="inlineStr">
        <is>
          <t>Sets challenge</t>
        </is>
      </c>
      <c r="AD431" s="77" t="inlineStr">
        <is>
          <t>Holland &amp; Barrett (2022)</t>
        </is>
      </c>
      <c r="AE431" s="77" t="inlineStr">
        <is>
          <t>Pitched solution</t>
        </is>
      </c>
      <c r="AF431" s="77">
        <f>IF(OR(V431="No",X431="No",Z431="No"),"Outside strict definition",IF(AND(V431="Yes",X431="Yes",Z431="Yes"),"Meets all three","Potentially relevant; evidence incomplete"))</f>
        <v/>
      </c>
      <c r="AG431" s="77" t="inlineStr">
        <is>
          <t>Historical delivery only</t>
        </is>
      </c>
      <c r="AH431" s="77" t="inlineStr">
        <is>
          <t>2022</t>
        </is>
      </c>
      <c r="AI431" s="77" t="inlineStr">
        <is>
          <t>Yes</t>
        </is>
      </c>
      <c r="AJ431" s="77">
        <f>IF(AND(AI431="Yes",AF431="Meets all three",AG431="Current delivery confirmed"),"Yes","No")</f>
        <v/>
      </c>
      <c r="AK431" s="77" t="inlineStr"/>
      <c r="AL431" s="77" t="inlineStr">
        <is>
          <t>UK04-S12-R1</t>
        </is>
      </c>
      <c r="AM431" s="77" t="inlineStr">
        <is>
          <t>Whether Sprint ran after 2022/23; a later sustainability sprint was seen only as a headline.</t>
        </is>
      </c>
      <c r="AN431" s="77" t="inlineStr"/>
      <c r="AO431" s="77" t="inlineStr">
        <is>
          <t>UK</t>
        </is>
      </c>
      <c r="AP431" s="77" t="inlineStr">
        <is>
          <t>UK – additional</t>
        </is>
      </c>
      <c r="AQ431" s="77" t="inlineStr">
        <is>
          <t>&lt;1 week</t>
        </is>
      </c>
      <c r="AR431" s="77" t="inlineStr">
        <is>
          <t>All/standard</t>
        </is>
      </c>
      <c r="AS431" s="77" t="inlineStr"/>
    </row>
    <row r="432">
      <c r="A432" s="77" t="inlineStr">
        <is>
          <t>UK05</t>
        </is>
      </c>
      <c r="B432" s="77" t="inlineStr">
        <is>
          <t>Aberdeen</t>
        </is>
      </c>
      <c r="C432" s="77" t="inlineStr">
        <is>
          <t>University-wide</t>
        </is>
      </c>
      <c r="D432" s="77" t="inlineStr">
        <is>
          <t>UK05-S01</t>
        </is>
      </c>
      <c r="E432" s="77" t="inlineStr"/>
      <c r="F432" s="77" t="inlineStr">
        <is>
          <t>No</t>
        </is>
      </c>
      <c r="G432" s="79" t="inlineStr">
        <is>
          <t>Work-Based Learning: Team Projects with Employer Partners</t>
        </is>
      </c>
      <c r="H432" s="77" t="inlineStr">
        <is>
          <t>Work-Based Learning: Team Projects with Employer Partners</t>
        </is>
      </c>
      <c r="I432" s="77" t="inlineStr">
        <is>
          <t>PD2503</t>
        </is>
      </c>
      <c r="J432" s="77" t="inlineStr">
        <is>
          <t>Level 2 credit-bearing course in which students apply for a preferred sponsored project, are interviewed, and then work in teams on a real project for a sponsoring organisation: a team project plan is sent to the sponsor for sign-off or changes, the team produces a group report, and a pre-recorded pitch is shown to the class and the project sponsors at the end. Projects must add value for the sponsor and link to at least one University 2040 theme (sustainability, internationalisation, inclusion). Individual project application and reflective reports are also assessed.</t>
        </is>
      </c>
      <c r="K432" s="77" t="inlineStr">
        <is>
          <t>Professional Development (catalogue subject); Careers and Employability lists it among curricular work-experience courses</t>
        </is>
      </c>
      <c r="L432" s="77" t="inlineStr">
        <is>
          <t>Any undergraduate programme (Level 2)</t>
        </is>
      </c>
      <c r="M432" s="77" t="inlineStr">
        <is>
          <t>Central provision</t>
        </is>
      </c>
      <c r="N432" s="77" t="inlineStr">
        <is>
          <t>Undergraduate</t>
        </is>
      </c>
      <c r="O432" s="77" t="inlineStr">
        <is>
          <t>Level 2 (second-year)</t>
        </is>
      </c>
      <c r="P432" s="77" t="inlineStr">
        <is>
          <t>Prerequisites listed as Programme Level 2 and Any Undergraduate Programme; entry via project application and interview</t>
        </is>
      </c>
      <c r="Q432" s="77" t="inlineStr">
        <is>
          <t>Selective/competitive</t>
        </is>
      </c>
      <c r="R432" s="77" t="inlineStr">
        <is>
          <t>Curricular</t>
        </is>
      </c>
      <c r="S432" s="77" t="inlineStr">
        <is>
          <t>15 SCQF credits (7.5 ECTS); Achieved/Not Achieved. Components: application 5%, interview 5%, pre-project reflective report 5%, reflective test 5%, draft project plan signed off by sponsor 5%, final team plan 5%, milestone check-in 10%, pitch 10% (description says 15%), group report 40%, end reflective report 10% (sum 100%).</t>
        </is>
      </c>
      <c r="T432" s="77" t="inlineStr">
        <is>
          <t>One term (second term)</t>
        </is>
      </c>
      <c r="U432" s="77" t="inlineStr">
        <is>
          <t>Aberdeen campus; team project with sponsor contact</t>
        </is>
      </c>
      <c r="V432" s="77" t="inlineStr">
        <is>
          <t>Yes</t>
        </is>
      </c>
      <c r="W432" s="77" t="inlineStr">
        <is>
          <t>A defined sponsored project run from application through project plan and milestones to a group report and pitch [1][2].</t>
        </is>
      </c>
      <c r="X432" s="77" t="inlineStr">
        <is>
          <t>Yes</t>
        </is>
      </c>
      <c r="Y432" s="77" t="inlineStr">
        <is>
          <t>Course title and catalogue describe working in a team on a real project, with a team project plan and final team submission/group report [1][2].</t>
        </is>
      </c>
      <c r="Z432" s="77" t="inlineStr">
        <is>
          <t>Yes</t>
        </is>
      </c>
      <c r="AA432" s="77" t="inlineStr">
        <is>
          <t>Each project has a sponsoring organisation: students work directly with the project sponsor and get feedback; the draft plan goes to the sponsor for sign-off; the final pitch is shown to the project sponsors; projects must add value for the sponsor [1][2].</t>
        </is>
      </c>
      <c r="AB432" s="77" t="inlineStr">
        <is>
          <t>Unclear</t>
        </is>
      </c>
      <c r="AC432" s="77" t="inlineStr">
        <is>
          <t>Project sponsor: sets the project, signs off the plan, gives feedback, receives the pitch</t>
        </is>
      </c>
      <c r="AD432" s="77" t="inlineStr"/>
      <c r="AE432" s="77" t="inlineStr">
        <is>
          <t>Team project plan, group report, pre-recorded pitch to sponsors</t>
        </is>
      </c>
      <c r="AF432" s="77">
        <f>IF(OR(V432="No",X432="No",Z432="No"),"Outside strict definition",IF(AND(V432="Yes",X432="Yes",Z432="Yes"),"Meets all three","Potentially relevant; evidence incomplete"))</f>
        <v/>
      </c>
      <c r="AG432" s="77" t="inlineStr">
        <is>
          <t>Current status unclear</t>
        </is>
      </c>
      <c r="AH432" s="77" t="inlineStr">
        <is>
          <t>2024/25</t>
        </is>
      </c>
      <c r="AI432" s="77" t="inlineStr">
        <is>
          <t>Yes</t>
        </is>
      </c>
      <c r="AJ432" s="77">
        <f>IF(AND(AI432="Yes",AF432="Meets all three",AG432="Current delivery confirmed"),"Yes","No")</f>
        <v/>
      </c>
      <c r="AK432" s="77" t="inlineStr">
        <is>
          <t>23 undergraduates from a range of disciplines enrolled when the course launched in January 2025 (staff blog) [3]</t>
        </is>
      </c>
      <c r="AL432" s="77" t="inlineStr">
        <is>
          <t>UK05-S01-R1; UK05-S01-R2; UK05-S01-R3</t>
        </is>
      </c>
      <c r="AM432" s="77" t="inlineStr">
        <is>
          <t>Fetched catalogue page is headed Academic session 2024-2025 (URL path /2025/); no 2025/26 or 2026/27 delivery evidence, so status is unclear. Partner sectors and named sponsors not published on the page.</t>
        </is>
      </c>
      <c r="AN432" s="77" t="inlineStr"/>
      <c r="AO432" s="77" t="inlineStr">
        <is>
          <t>UK</t>
        </is>
      </c>
      <c r="AP432" s="77" t="inlineStr">
        <is>
          <t>UK – additional</t>
        </is>
      </c>
      <c r="AQ432" s="77" t="inlineStr">
        <is>
          <t>~1 term/semester</t>
        </is>
      </c>
      <c r="AR432" s="77" t="inlineStr">
        <is>
          <t>All/standard</t>
        </is>
      </c>
      <c r="AS432" s="77" t="inlineStr"/>
    </row>
    <row r="433">
      <c r="A433" s="77" t="inlineStr">
        <is>
          <t>UK05</t>
        </is>
      </c>
      <c r="B433" s="77" t="inlineStr">
        <is>
          <t>Aberdeen</t>
        </is>
      </c>
      <c r="C433" s="77" t="inlineStr">
        <is>
          <t>Unclear</t>
        </is>
      </c>
      <c r="D433" s="77" t="inlineStr">
        <is>
          <t>UK05-S02</t>
        </is>
      </c>
      <c r="E433" s="77" t="inlineStr"/>
      <c r="F433" s="77" t="inlineStr">
        <is>
          <t>No</t>
        </is>
      </c>
      <c r="G433" s="79" t="inlineStr">
        <is>
          <t>Employer-led Interdisciplinary Project</t>
        </is>
      </c>
      <c r="H433" s="77" t="inlineStr">
        <is>
          <t>Employer-led Interdisciplinary Project</t>
        </is>
      </c>
      <c r="I433" s="77" t="inlineStr">
        <is>
          <t>ED3537</t>
        </is>
      </c>
      <c r="J433" s="77" t="inlineStr">
        <is>
          <t>Level 3 course in which students work together in a small group on a consultancy-style project hosted by a micro-business, organisation or charity.</t>
        </is>
      </c>
      <c r="K433" s="77" t="inlineStr">
        <is>
          <t>Catalogue subject: Education</t>
        </is>
      </c>
      <c r="L433" s="77" t="inlineStr">
        <is>
          <t>Any undergraduate programme at Level 3 or Level 4</t>
        </is>
      </c>
      <c r="M433" s="77" t="inlineStr">
        <is>
          <t>Central provision</t>
        </is>
      </c>
      <c r="N433" s="77" t="inlineStr">
        <is>
          <t>Undergraduate</t>
        </is>
      </c>
      <c r="O433" s="77" t="inlineStr">
        <is>
          <t>Level 3 or 4</t>
        </is>
      </c>
      <c r="P433" s="77" t="inlineStr">
        <is>
          <t>Prerequisites: Programme Level 3 or 4 and Any Undergraduate Programme; no exclusions</t>
        </is>
      </c>
      <c r="Q433" s="77" t="inlineStr">
        <is>
          <t>Optional/elective</t>
        </is>
      </c>
      <c r="R433" s="77" t="inlineStr">
        <is>
          <t>Curricular</t>
        </is>
      </c>
      <c r="S433" s="77" t="inlineStr">
        <is>
          <t>30 credits (15 ECTS). Report: Individual 50%; Oral Presentation: Group (recorded 10 min) 30%; 1000-word literature review 20%; formative group progress report.</t>
        </is>
      </c>
      <c r="T433" s="77" t="inlineStr">
        <is>
          <t>Not retrieved</t>
        </is>
      </c>
      <c r="U433" s="77" t="inlineStr">
        <is>
          <t>Not retrieved</t>
        </is>
      </c>
      <c r="V433" s="77" t="inlineStr">
        <is>
          <t>Yes</t>
        </is>
      </c>
      <c r="W433" s="77" t="inlineStr">
        <is>
          <t>Consultancy-style project [1].</t>
        </is>
      </c>
      <c r="X433" s="77" t="inlineStr">
        <is>
          <t>Yes</t>
        </is>
      </c>
      <c r="Y433" s="77" t="inlineStr">
        <is>
          <t>Students work together in a small group [1].</t>
        </is>
      </c>
      <c r="Z433" s="77" t="inlineStr">
        <is>
          <t>Unclear</t>
        </is>
      </c>
      <c r="AA433" s="77" t="inlineStr">
        <is>
          <t>Earlier (2023/24) catalogue summary says projects are hosted by a micro-business, organisation or charity [1]; the 2025/26 page fetched does not state the host role. Held Unclear.</t>
        </is>
      </c>
      <c r="AB433" s="77" t="inlineStr">
        <is>
          <t>Mixed</t>
        </is>
      </c>
      <c r="AC433" s="77" t="inlineStr">
        <is>
          <t>Host organisation for the consultancy project (micro-businesses, other organisations, charities)</t>
        </is>
      </c>
      <c r="AD433" s="77" t="inlineStr"/>
      <c r="AE433" s="77" t="inlineStr">
        <is>
          <t>Group recorded presentation plus individual report and literature review</t>
        </is>
      </c>
      <c r="AF433" s="77">
        <f>IF(OR(V433="No",X433="No",Z433="No"),"Outside strict definition",IF(AND(V433="Yes",X433="Yes",Z433="Yes"),"Meets all three","Potentially relevant; evidence incomplete"))</f>
        <v/>
      </c>
      <c r="AG433" s="77" t="inlineStr">
        <is>
          <t>Current delivery confirmed</t>
        </is>
      </c>
      <c r="AH433" s="77" t="inlineStr">
        <is>
          <t>2025/26 (catalogue)</t>
        </is>
      </c>
      <c r="AI433" s="77" t="inlineStr">
        <is>
          <t>Yes</t>
        </is>
      </c>
      <c r="AJ433" s="77">
        <f>IF(AND(AI433="Yes",AF433="Meets all three",AG433="Current delivery confirmed"),"Yes","No")</f>
        <v/>
      </c>
      <c r="AK433" s="77" t="inlineStr"/>
      <c r="AL433" s="77" t="inlineStr">
        <is>
          <t>UK05-S02-R1; UK05-S02-R2</t>
        </is>
      </c>
      <c r="AM433" s="77" t="inlineStr">
        <is>
          <t>Catalogue shows the course for 2025-2026 (30 credits), but the page excerpt retrieved gave no host-organisation detail. The host micro-business/organisation/charity description comes from the 2023/24 catalogue summary; host role (brief, feedback, assessment) not shown, so C held Unclear. Possible overlap with ED3536 lineage unverified.</t>
        </is>
      </c>
      <c r="AN433" s="77" t="inlineStr"/>
      <c r="AO433" s="77" t="inlineStr">
        <is>
          <t>UK</t>
        </is>
      </c>
      <c r="AP433" s="77" t="inlineStr">
        <is>
          <t>UK – additional</t>
        </is>
      </c>
      <c r="AQ433" s="77" t="inlineStr">
        <is>
          <t>Unclear</t>
        </is>
      </c>
      <c r="AR433" s="77" t="inlineStr">
        <is>
          <t>Unclear</t>
        </is>
      </c>
      <c r="AS433" s="77" t="inlineStr"/>
    </row>
    <row r="434">
      <c r="A434" s="77" t="inlineStr">
        <is>
          <t>UK05</t>
        </is>
      </c>
      <c r="B434" s="77" t="inlineStr">
        <is>
          <t>Aberdeen</t>
        </is>
      </c>
      <c r="C434" s="77" t="inlineStr">
        <is>
          <t>Faculty/school</t>
        </is>
      </c>
      <c r="D434" s="77" t="inlineStr">
        <is>
          <t>UK05-S03</t>
        </is>
      </c>
      <c r="E434" s="77" t="inlineStr"/>
      <c r="F434" s="77" t="inlineStr">
        <is>
          <t>No</t>
        </is>
      </c>
      <c r="G434" s="79" t="inlineStr">
        <is>
          <t>Engineering Work Experience</t>
        </is>
      </c>
      <c r="H434" s="77" t="inlineStr">
        <is>
          <t>Engineering Work Experience</t>
        </is>
      </c>
      <c r="I434" s="77" t="inlineStr">
        <is>
          <t>ED251A</t>
        </is>
      </c>
      <c r="J434" s="77" t="inlineStr">
        <is>
          <t>Second-year engineering course in which students do a group consultancy project for a local engineering organisation, working on a real-life project brief. Projects run January to March, about 10 weeks.</t>
        </is>
      </c>
      <c r="K434" s="77" t="inlineStr">
        <is>
          <t>School of Engineering (catalogue subject code ED)</t>
        </is>
      </c>
      <c r="L434" s="77" t="inlineStr">
        <is>
          <t>Engineering (EG) students</t>
        </is>
      </c>
      <c r="M434" s="77" t="inlineStr">
        <is>
          <t>Engineering/computing</t>
        </is>
      </c>
      <c r="N434" s="77" t="inlineStr">
        <is>
          <t>Undergraduate</t>
        </is>
      </c>
      <c r="O434" s="77" t="inlineStr">
        <is>
          <t>Year 2 (per case study)</t>
        </is>
      </c>
      <c r="P434" s="77" t="inlineStr">
        <is>
          <t>Entry requirements: Any Undergraduate Programme (Studied), Programme Level 2, Engineering (EG) (Studied); no place limit stated</t>
        </is>
      </c>
      <c r="Q434" s="77" t="inlineStr">
        <is>
          <t>Unclear</t>
        </is>
      </c>
      <c r="R434" s="77" t="inlineStr">
        <is>
          <t>Curricular</t>
        </is>
      </c>
      <c r="S434" s="77" t="inlineStr">
        <is>
          <t>15 credits (7.5 ECTS). Reflective Report 40%; Group Report 30%; Group Oral Presentation 30%; resit single reflective report 100%.</t>
        </is>
      </c>
      <c r="T434" s="77" t="inlineStr">
        <is>
          <t>About 10 weeks, January to March (2018 case study)</t>
        </is>
      </c>
      <c r="U434" s="77" t="inlineStr">
        <is>
          <t>Group consultancy project with a local organisation</t>
        </is>
      </c>
      <c r="V434" s="77" t="inlineStr">
        <is>
          <t>Yes</t>
        </is>
      </c>
      <c r="W434" s="77" t="inlineStr">
        <is>
          <t>Group consultancy project on a real-life project brief [1][2].</t>
        </is>
      </c>
      <c r="X434" s="77" t="inlineStr">
        <is>
          <t>Yes</t>
        </is>
      </c>
      <c r="Y434" s="77" t="inlineStr">
        <is>
          <t>Group consultancy project [1]; consultancy-style group projects [2].</t>
        </is>
      </c>
      <c r="Z434" s="77" t="inlineStr">
        <is>
          <t>Yes</t>
        </is>
      </c>
      <c r="AA434" s="77" t="inlineStr">
        <is>
          <t>The project is for a local engineering organisation, which supplies the real-life project brief [1][2].</t>
        </is>
      </c>
      <c r="AB434" s="77" t="inlineStr">
        <is>
          <t>Unclear</t>
        </is>
      </c>
      <c r="AC434" s="77" t="inlineStr">
        <is>
          <t>Local engineering organisation supplies the brief and acts as consultancy client</t>
        </is>
      </c>
      <c r="AD434" s="77" t="inlineStr"/>
      <c r="AE434" s="77" t="inlineStr">
        <is>
          <t>Consultancy project output for the organisation (form not retrieved)</t>
        </is>
      </c>
      <c r="AF434" s="77">
        <f>IF(OR(V434="No",X434="No",Z434="No"),"Outside strict definition",IF(AND(V434="Yes",X434="Yes",Z434="Yes"),"Meets all three","Potentially relevant; evidence incomplete"))</f>
        <v/>
      </c>
      <c r="AG434" s="77" t="inlineStr">
        <is>
          <t>Current delivery confirmed</t>
        </is>
      </c>
      <c r="AH434" s="77" t="inlineStr">
        <is>
          <t>2025/26</t>
        </is>
      </c>
      <c r="AI434" s="77" t="inlineStr">
        <is>
          <t>Yes</t>
        </is>
      </c>
      <c r="AJ434" s="77">
        <f>IF(AND(AI434="Yes",AF434="Meets all three",AG434="Current delivery confirmed"),"Yes","No")</f>
        <v/>
      </c>
      <c r="AK434" s="77" t="inlineStr"/>
      <c r="AL434" s="77" t="inlineStr">
        <is>
          <t>UK05-S03-R1; UK05-S03-R2</t>
        </is>
      </c>
      <c r="AM434" s="77" t="inlineStr">
        <is>
          <t>Compulsory status not stated on the page. Partner sectors/named organisations and external assessment role not shown. The 10-week January-March duration comes from a 2018 case study.</t>
        </is>
      </c>
      <c r="AN434" s="77" t="inlineStr"/>
      <c r="AO434" s="77" t="inlineStr">
        <is>
          <t>UK</t>
        </is>
      </c>
      <c r="AP434" s="77" t="inlineStr">
        <is>
          <t>UK – additional</t>
        </is>
      </c>
      <c r="AQ434" s="77" t="inlineStr">
        <is>
          <t>~1 term/semester</t>
        </is>
      </c>
      <c r="AR434" s="77" t="inlineStr">
        <is>
          <t>All/standard</t>
        </is>
      </c>
      <c r="AS434" s="77" t="inlineStr"/>
    </row>
    <row r="435">
      <c r="A435" s="77" t="inlineStr">
        <is>
          <t>UK05</t>
        </is>
      </c>
      <c r="B435" s="77" t="inlineStr">
        <is>
          <t>Aberdeen</t>
        </is>
      </c>
      <c r="C435" s="77" t="inlineStr">
        <is>
          <t>Programme/course</t>
        </is>
      </c>
      <c r="D435" s="77" t="inlineStr">
        <is>
          <t>UK05-S04</t>
        </is>
      </c>
      <c r="E435" s="77" t="inlineStr"/>
      <c r="F435" s="77" t="inlineStr">
        <is>
          <t>No</t>
        </is>
      </c>
      <c r="G435" s="79" t="inlineStr">
        <is>
          <t>Computing Science work-based learning course (Collaborate with Future Talent)</t>
        </is>
      </c>
      <c r="H435" s="77" t="inlineStr">
        <is>
          <t>Computing Science work-based learning course</t>
        </is>
      </c>
      <c r="I435" s="77" t="inlineStr"/>
      <c r="J435" s="77" t="inlineStr">
        <is>
          <t>Fourth-year Computing Science course: employers propose projects and are matched with students, meet them weekly for guidance and complete an end-of-project appraisal. Runs 10 weeks, September to December, about 10 hours a week. Whether students work individually or in teams was not established.</t>
        </is>
      </c>
      <c r="K435" s="77" t="inlineStr">
        <is>
          <t>Department of Computing Science (School of Natural and Computing Sciences)</t>
        </is>
      </c>
      <c r="L435" s="77" t="inlineStr">
        <is>
          <t>Computing Science, Year 4</t>
        </is>
      </c>
      <c r="M435" s="77" t="inlineStr">
        <is>
          <t>Engineering/computing</t>
        </is>
      </c>
      <c r="N435" s="77" t="inlineStr">
        <is>
          <t>Undergraduate</t>
        </is>
      </c>
      <c r="O435" s="77" t="inlineStr">
        <is>
          <t>Year 4</t>
        </is>
      </c>
      <c r="P435" s="77" t="inlineStr">
        <is>
          <t>Year 4 Computer Science students whose prior academic performance meets the required level</t>
        </is>
      </c>
      <c r="Q435" s="77" t="inlineStr">
        <is>
          <t>Selective/competitive</t>
        </is>
      </c>
      <c r="R435" s="77" t="inlineStr">
        <is>
          <t>Curricular</t>
        </is>
      </c>
      <c r="S435" s="77" t="inlineStr">
        <is>
          <t>Not retrieved</t>
        </is>
      </c>
      <c r="T435" s="77" t="inlineStr">
        <is>
          <t>10 weeks, September to December, about 10 hours/week</t>
        </is>
      </c>
      <c r="U435" s="77" t="inlineStr">
        <is>
          <t>Employer-hosted project with weekly employer meetings</t>
        </is>
      </c>
      <c r="V435" s="77" t="inlineStr">
        <is>
          <t>Yes</t>
        </is>
      </c>
      <c r="W435" s="77" t="inlineStr">
        <is>
          <t>Employer-proposed project completed over 10 weeks with an end-of-project appraisal [1].</t>
        </is>
      </c>
      <c r="X435" s="77" t="inlineStr">
        <is>
          <t>No</t>
        </is>
      </c>
      <c r="Y435" s="77" t="inlineStr">
        <is>
          <t>Employer page says "You'll supervise a student who contributes to your project as part of their degree programme" (singular), suggesting individual projects; team working not stated [1]. Marked No on the singular-student evidence (near-miss).</t>
        </is>
      </c>
      <c r="Z435" s="77" t="inlineStr">
        <is>
          <t>Yes</t>
        </is>
      </c>
      <c r="AA435" s="77" t="inlineStr">
        <is>
          <t>Employer proposes the project, meets weekly for guidance, feedback and context, and completes an end-of-project appraisal to support student assessment [1].</t>
        </is>
      </c>
      <c r="AB435" s="77" t="inlineStr">
        <is>
          <t>Unclear</t>
        </is>
      </c>
      <c r="AC435" s="77" t="inlineStr">
        <is>
          <t>Proposes the project, gives weekly guidance, appraises at the end</t>
        </is>
      </c>
      <c r="AD435" s="77" t="inlineStr"/>
      <c r="AE435" s="77" t="inlineStr">
        <is>
          <t>Not retrieved</t>
        </is>
      </c>
      <c r="AF435" s="77">
        <f>IF(OR(V435="No",X435="No",Z435="No"),"Outside strict definition",IF(AND(V435="Yes",X435="Yes",Z435="Yes"),"Meets all three","Potentially relevant; evidence incomplete"))</f>
        <v/>
      </c>
      <c r="AG435" s="77" t="inlineStr">
        <is>
          <t>Current status unclear</t>
        </is>
      </c>
      <c r="AH435" s="77" t="inlineStr"/>
      <c r="AI435" s="77" t="inlineStr">
        <is>
          <t>Yes</t>
        </is>
      </c>
      <c r="AJ435" s="77">
        <f>IF(AND(AI435="Yes",AF435="Meets all three",AG435="Current delivery confirmed"),"Yes","No")</f>
        <v/>
      </c>
      <c r="AK435" s="77" t="inlineStr"/>
      <c r="AL435" s="77" t="inlineStr">
        <is>
          <t>UK05-S04-R1</t>
        </is>
      </c>
      <c r="AM435" s="77" t="inlineStr">
        <is>
          <t>Course code and credits not on the page; dated delivery not evidenced; individual vs team inferred from singular wording only.</t>
        </is>
      </c>
      <c r="AN435" s="77" t="inlineStr"/>
      <c r="AO435" s="77" t="inlineStr">
        <is>
          <t>UK</t>
        </is>
      </c>
      <c r="AP435" s="77" t="inlineStr">
        <is>
          <t>UK – additional</t>
        </is>
      </c>
      <c r="AQ435" s="77" t="inlineStr">
        <is>
          <t>~1 term/semester</t>
        </is>
      </c>
      <c r="AR435" s="77" t="inlineStr">
        <is>
          <t>All/standard</t>
        </is>
      </c>
      <c r="AS435" s="77" t="inlineStr"/>
    </row>
    <row r="436">
      <c r="A436" s="77" t="inlineStr">
        <is>
          <t>UK05</t>
        </is>
      </c>
      <c r="B436" s="77" t="inlineStr">
        <is>
          <t>Aberdeen</t>
        </is>
      </c>
      <c r="C436" s="77" t="inlineStr">
        <is>
          <t>Unclear</t>
        </is>
      </c>
      <c r="D436" s="77" t="inlineStr">
        <is>
          <t>UK05-S05</t>
        </is>
      </c>
      <c r="E436" s="77" t="inlineStr"/>
      <c r="F436" s="77" t="inlineStr">
        <is>
          <t>No</t>
        </is>
      </c>
      <c r="G436" s="79" t="inlineStr">
        <is>
          <t>ABDN Grad Challenge</t>
        </is>
      </c>
      <c r="H436" s="77" t="inlineStr">
        <is>
          <t>ABDN Grad Challenge</t>
        </is>
      </c>
      <c r="I436" s="77" t="inlineStr"/>
      <c r="J436" s="77" t="inlineStr">
        <is>
          <t>Careers-run programme in which graduating students take part in project-based virtual work experience in cross-discipline teams, tackling real-life challenges set by employer partners.</t>
        </is>
      </c>
      <c r="K436" s="77" t="inlineStr">
        <is>
          <t>Careers and Employability Service</t>
        </is>
      </c>
      <c r="L436" s="77" t="inlineStr">
        <is>
          <t>Graduating students (cross-discipline)</t>
        </is>
      </c>
      <c r="M436" s="77" t="inlineStr">
        <is>
          <t>Central provision</t>
        </is>
      </c>
      <c r="N436" s="77" t="inlineStr">
        <is>
          <t>Unclear</t>
        </is>
      </c>
      <c r="O436" s="77" t="inlineStr">
        <is>
          <t>Final year / graduating</t>
        </is>
      </c>
      <c r="P436" s="77" t="inlineStr">
        <is>
          <t>Graduating students; detailed eligibility not retrieved</t>
        </is>
      </c>
      <c r="Q436" s="77" t="inlineStr">
        <is>
          <t>Optional/elective</t>
        </is>
      </c>
      <c r="R436" s="77" t="inlineStr">
        <is>
          <t>Extracurricular</t>
        </is>
      </c>
      <c r="S436" s="77" t="inlineStr">
        <is>
          <t>Not retrieved</t>
        </is>
      </c>
      <c r="T436" s="77" t="inlineStr">
        <is>
          <t>Not retrieved</t>
        </is>
      </c>
      <c r="U436" s="77" t="inlineStr">
        <is>
          <t>Virtual</t>
        </is>
      </c>
      <c r="V436" s="77" t="inlineStr">
        <is>
          <t>Unclear</t>
        </is>
      </c>
      <c r="W436" s="77" t="inlineStr">
        <is>
          <t>Described as project-based, but the defined output was not retrieved [1].</t>
        </is>
      </c>
      <c r="X436" s="77" t="inlineStr">
        <is>
          <t>Yes</t>
        </is>
      </c>
      <c r="Y436" s="77" t="inlineStr">
        <is>
          <t>Students work as part of a cross-discipline team [1].</t>
        </is>
      </c>
      <c r="Z436" s="77" t="inlineStr">
        <is>
          <t>Unclear</t>
        </is>
      </c>
      <c r="AA436" s="77" t="inlineStr">
        <is>
          <t>Challenges are 'set by our employer partners' [1]. Because the programme is framed as virtual work experience and there is no evidence that employers engage with students or receive outputs, C is held as Unclear under the simulation ruling.</t>
        </is>
      </c>
      <c r="AB436" s="77" t="inlineStr">
        <is>
          <t>Unclear</t>
        </is>
      </c>
      <c r="AC436" s="77" t="inlineStr">
        <is>
          <t>Sets challenges</t>
        </is>
      </c>
      <c r="AD436" s="77" t="inlineStr"/>
      <c r="AE436" s="77" t="inlineStr">
        <is>
          <t>Not retrieved</t>
        </is>
      </c>
      <c r="AF436" s="77">
        <f>IF(OR(V436="No",X436="No",Z436="No"),"Outside strict definition",IF(AND(V436="Yes",X436="Yes",Z436="Yes"),"Meets all three","Potentially relevant; evidence incomplete"))</f>
        <v/>
      </c>
      <c r="AG436" s="77" t="inlineStr">
        <is>
          <t>Current status unclear</t>
        </is>
      </c>
      <c r="AH436" s="77" t="inlineStr"/>
      <c r="AI436" s="77" t="inlineStr">
        <is>
          <t>Yes</t>
        </is>
      </c>
      <c r="AJ436" s="77">
        <f>IF(AND(AI436="Yes",AF436="Meets all three",AG436="Current delivery confirmed"),"Yes","No")</f>
        <v/>
      </c>
      <c r="AK436" s="77" t="inlineStr"/>
      <c r="AL436" s="77" t="inlineStr">
        <is>
          <t>UK05-S05-R1</t>
        </is>
      </c>
      <c r="AM436" s="77" t="inlineStr">
        <is>
          <t>The Grad Challenge page URL returned 404 on fetch (may have moved); format, dates and employer engagement could not be verified; the search extract is the only evidence.</t>
        </is>
      </c>
      <c r="AN436" s="77" t="inlineStr"/>
      <c r="AO436" s="77" t="inlineStr">
        <is>
          <t>UK</t>
        </is>
      </c>
      <c r="AP436" s="77" t="inlineStr">
        <is>
          <t>UK – additional</t>
        </is>
      </c>
      <c r="AQ436" s="77" t="inlineStr">
        <is>
          <t>Unclear</t>
        </is>
      </c>
      <c r="AR436" s="77" t="inlineStr">
        <is>
          <t>Unclear</t>
        </is>
      </c>
      <c r="AS436" s="77" t="inlineStr"/>
    </row>
    <row r="437">
      <c r="A437" s="77" t="inlineStr">
        <is>
          <t>UK05</t>
        </is>
      </c>
      <c r="B437" s="77" t="inlineStr">
        <is>
          <t>Aberdeen</t>
        </is>
      </c>
      <c r="C437" s="77" t="inlineStr">
        <is>
          <t>Faculty/school</t>
        </is>
      </c>
      <c r="D437" s="77" t="inlineStr">
        <is>
          <t>UK05-S06</t>
        </is>
      </c>
      <c r="E437" s="77" t="inlineStr"/>
      <c r="F437" s="77" t="inlineStr">
        <is>
          <t>No</t>
        </is>
      </c>
      <c r="G437" s="79" t="inlineStr">
        <is>
          <t>Working Together: Employability for Arts &amp; Social Sciences</t>
        </is>
      </c>
      <c r="H437" s="77" t="inlineStr">
        <is>
          <t>Working Together: Employability for Arts &amp; Social Sciences</t>
        </is>
      </c>
      <c r="I437" s="77" t="inlineStr">
        <is>
          <t>ED3536</t>
        </is>
      </c>
      <c r="J437" s="77" t="inlineStr">
        <is>
          <t>Third-year course for Arts &amp; Social Sciences students: a group, work-based project provided by a local business or charity, assessed by a reflective report and group oral presentation. Described in a staff case study (Universities Scotland report November 2018; talks July 2019); the course was later adapted for Engineering (ED251A).</t>
        </is>
      </c>
      <c r="K437" s="77" t="inlineStr">
        <is>
          <t>Arts &amp; Social Sciences (per case study)</t>
        </is>
      </c>
      <c r="L437" s="77" t="inlineStr">
        <is>
          <t>Arts &amp; Social Sciences students (per case study)</t>
        </is>
      </c>
      <c r="M437" s="77" t="inlineStr">
        <is>
          <t>Arts/humanities/social sciences</t>
        </is>
      </c>
      <c r="N437" s="77" t="inlineStr">
        <is>
          <t>Undergraduate</t>
        </is>
      </c>
      <c r="O437" s="77" t="inlineStr">
        <is>
          <t>Year 3</t>
        </is>
      </c>
      <c r="P437" s="77" t="inlineStr">
        <is>
          <t>Not verified</t>
        </is>
      </c>
      <c r="Q437" s="77" t="inlineStr">
        <is>
          <t>Unclear</t>
        </is>
      </c>
      <c r="R437" s="77" t="inlineStr">
        <is>
          <t>Curricular</t>
        </is>
      </c>
      <c r="S437" s="77" t="inlineStr">
        <is>
          <t>Summative reflective report/group oral presentation; credits not retrieved</t>
        </is>
      </c>
      <c r="T437" s="77" t="inlineStr">
        <is>
          <t>Not retrieved</t>
        </is>
      </c>
      <c r="U437" s="77" t="inlineStr">
        <is>
          <t>Group work-based project</t>
        </is>
      </c>
      <c r="V437" s="77" t="inlineStr">
        <is>
          <t>Yes</t>
        </is>
      </c>
      <c r="W437" s="77" t="inlineStr">
        <is>
          <t>Group, work-based project [1].</t>
        </is>
      </c>
      <c r="X437" s="77" t="inlineStr">
        <is>
          <t>Yes</t>
        </is>
      </c>
      <c r="Y437" s="77" t="inlineStr">
        <is>
          <t>Students complete a group project with a group oral presentation [1].</t>
        </is>
      </c>
      <c r="Z437" s="77" t="inlineStr">
        <is>
          <t>Yes</t>
        </is>
      </c>
      <c r="AA437" s="77" t="inlineStr">
        <is>
          <t>The project is provided by a local business or charity [1]; role in feedback/assessment not retrieved.</t>
        </is>
      </c>
      <c r="AB437" s="77" t="inlineStr">
        <is>
          <t>Mixed</t>
        </is>
      </c>
      <c r="AC437" s="77" t="inlineStr">
        <is>
          <t>Provides the project</t>
        </is>
      </c>
      <c r="AD437" s="77" t="inlineStr"/>
      <c r="AE437" s="77" t="inlineStr">
        <is>
          <t>Group oral presentation and reflective report</t>
        </is>
      </c>
      <c r="AF437" s="77">
        <f>IF(OR(V437="No",X437="No",Z437="No"),"Outside strict definition",IF(AND(V437="Yes",X437="Yes",Z437="Yes"),"Meets all three","Potentially relevant; evidence incomplete"))</f>
        <v/>
      </c>
      <c r="AG437" s="77" t="inlineStr">
        <is>
          <t>Current status unclear</t>
        </is>
      </c>
      <c r="AH437" s="77" t="inlineStr">
        <is>
          <t>2018/19 (case study)</t>
        </is>
      </c>
      <c r="AI437" s="77" t="inlineStr">
        <is>
          <t>Yes</t>
        </is>
      </c>
      <c r="AJ437" s="77">
        <f>IF(AND(AI437="Yes",AF437="Meets all three",AG437="Current delivery confirmed"),"Yes","No")</f>
        <v/>
      </c>
      <c r="AK437" s="77" t="inlineStr"/>
      <c r="AL437" s="77" t="inlineStr">
        <is>
          <t>UK05-S06-R1</t>
        </is>
      </c>
      <c r="AM437" s="77" t="inlineStr">
        <is>
          <t>Current catalogue entry for ED3536 not checked; may be superseded by ED3537 (Employer-led Interdisciplinary Project). Credits, assessment weights and eligibility not retrieved.</t>
        </is>
      </c>
      <c r="AN437" s="77" t="inlineStr"/>
      <c r="AO437" s="77" t="inlineStr">
        <is>
          <t>UK</t>
        </is>
      </c>
      <c r="AP437" s="77" t="inlineStr">
        <is>
          <t>UK – additional</t>
        </is>
      </c>
      <c r="AQ437" s="77" t="inlineStr">
        <is>
          <t>Unclear</t>
        </is>
      </c>
      <c r="AR437" s="77" t="inlineStr">
        <is>
          <t>All/standard</t>
        </is>
      </c>
      <c r="AS437" s="77" t="inlineStr"/>
    </row>
    <row r="438">
      <c r="A438" s="77" t="inlineStr">
        <is>
          <t>UK06</t>
        </is>
      </c>
      <c r="B438" s="77" t="inlineStr">
        <is>
          <t>Reading</t>
        </is>
      </c>
      <c r="C438" s="77" t="inlineStr">
        <is>
          <t>Programme/course</t>
        </is>
      </c>
      <c r="D438" s="77" t="inlineStr">
        <is>
          <t>UK06-S01</t>
        </is>
      </c>
      <c r="E438" s="77" t="inlineStr"/>
      <c r="F438" s="77" t="inlineStr">
        <is>
          <t>No</t>
        </is>
      </c>
      <c r="G438" s="79" t="inlineStr">
        <is>
          <t>Entrepreneurship and Innovation Consultancy Project</t>
        </is>
      </c>
      <c r="H438" s="77" t="inlineStr">
        <is>
          <t>Entrepreneurship and Innovation Consultancy Project (MSc, Henley Business School)</t>
        </is>
      </c>
      <c r="I438" s="77" t="inlineStr">
        <is>
          <t>MMM161</t>
        </is>
      </c>
      <c r="J438" s="77" t="inlineStr">
        <is>
          <t>Postgraduate summer capstone in which student consultancy teams practise on case studies then work for a real host entrepreneur from mid-June to late July, meeting the host face to face and online; teams present their analysis and each student writes a project proposal sent to the host entrepreneur.</t>
        </is>
      </c>
      <c r="K438" s="77" t="inlineStr">
        <is>
          <t>Henley Business School (Digitalisation, Marketing and Entrepreneurship)</t>
        </is>
      </c>
      <c r="L438" s="77" t="inlineStr">
        <is>
          <t>MSc Entrepreneurship and Innovation (programme specification treats MMM161 as the dissertation equivalent); other programmes using the module not verified</t>
        </is>
      </c>
      <c r="M438" s="77" t="inlineStr">
        <is>
          <t>Business/management</t>
        </is>
      </c>
      <c r="N438" s="77" t="inlineStr">
        <is>
          <t>Postgraduate taught</t>
        </is>
      </c>
      <c r="O438" s="77" t="inlineStr">
        <is>
          <t>Master's, summer capstone</t>
        </is>
      </c>
      <c r="P438" s="77" t="inlineStr">
        <is>
          <t>Master's-level (Level 7) module; programme eligibility beyond MSc Entrepreneurship and Innovation not verified.</t>
        </is>
      </c>
      <c r="Q438" s="77" t="inlineStr">
        <is>
          <t>Compulsory within specified programmes</t>
        </is>
      </c>
      <c r="R438" s="77" t="inlineStr">
        <is>
          <t>Curricular</t>
        </is>
      </c>
      <c r="S438" s="77" t="inlineStr">
        <is>
          <t>40 credits, Level 7. 2025/6: Task 1 individual self-assessment 20%; Task 2 team oral presentation 30%; Task 3 individual 5,000-word proposal for the host entrepreneur 50%.</t>
        </is>
      </c>
      <c r="T438" s="77" t="inlineStr">
        <is>
          <t>Teams work with host mid-June to late July; module runs Semester 2/Summer (Task 3 due Week 12)</t>
        </is>
      </c>
      <c r="U438" s="77" t="inlineStr">
        <is>
          <t>In-person and online team meetings and host visits; convenor monitors attendance</t>
        </is>
      </c>
      <c r="V438" s="77" t="inlineStr">
        <is>
          <t>Yes</t>
        </is>
      </c>
      <c r="W438" s="77" t="inlineStr">
        <is>
          <t>Source 2: live consultancy for a real entrepreneur, 'not a case study'; outputs are team presentation and written project proposal for the host (source 1).</t>
        </is>
      </c>
      <c r="X438" s="77" t="inlineStr">
        <is>
          <t>Yes</t>
        </is>
      </c>
      <c r="Y438" s="77" t="inlineStr">
        <is>
          <t>Sources 1-2: consultancy team works with its project host; assessed 25-minute team presentation (30%). Individual proposals are also assessed, but teamwork on the live project is documented.</t>
        </is>
      </c>
      <c r="Z438" s="77" t="inlineStr">
        <is>
          <t>Yes</t>
        </is>
      </c>
      <c r="AA438" s="77" t="inlineStr">
        <is>
          <t>Source 2: students work for real entrepreneurs (project hosts) who interact with the team and receive the individual proposals; 2023/4 and earlier versions also had a client-facing team report. The team presentation itself is delivered to the convenor, not the client.</t>
        </is>
      </c>
      <c r="AB438" s="77" t="inlineStr">
        <is>
          <t>Business/commercial</t>
        </is>
      </c>
      <c r="AC438" s="77" t="inlineStr">
        <is>
          <t>Host entrepreneurs supply the venture/problem, meet the team and receive written proposals.</t>
        </is>
      </c>
      <c r="AD438" s="77" t="inlineStr"/>
      <c r="AE438" s="77" t="inlineStr">
        <is>
          <t>Team presentation; individual project proposal for the host entrepreneur</t>
        </is>
      </c>
      <c r="AF438" s="77">
        <f>IF(OR(V438="No",X438="No",Z438="No"),"Outside strict definition",IF(AND(V438="Yes",X438="Yes",Z438="Yes"),"Meets all three","Potentially relevant; evidence incomplete"))</f>
        <v/>
      </c>
      <c r="AG438" s="77" t="inlineStr">
        <is>
          <t>Current delivery confirmed</t>
        </is>
      </c>
      <c r="AH438" s="77" t="inlineStr">
        <is>
          <t>2025/26</t>
        </is>
      </c>
      <c r="AI438" s="77" t="inlineStr">
        <is>
          <t>Yes</t>
        </is>
      </c>
      <c r="AJ438" s="77">
        <f>IF(AND(AI438="Yes",AF438="Meets all three",AG438="Current delivery confirmed"),"Yes","No")</f>
        <v/>
      </c>
      <c r="AK438" s="77" t="inlineStr">
        <is>
          <t>Not published in sources found.</t>
        </is>
      </c>
      <c r="AL438" s="77" t="inlineStr">
        <is>
          <t>UK06-S01-R1; UK06-S01-R2; UK06-S01-R3</t>
        </is>
      </c>
      <c r="AM438" s="77" t="inlineStr">
        <is>
          <t>Programmes taking the module beyond MSc Entrepreneurship and Innovation, and whether it is compulsory vs optional elsewhere, not verified. Host entrepreneurs' sectors and names not published. Assessment structure changed between 2024/5 and 2025/6.</t>
        </is>
      </c>
      <c r="AN438" s="77" t="inlineStr"/>
      <c r="AO438" s="77" t="inlineStr">
        <is>
          <t>UK</t>
        </is>
      </c>
      <c r="AP438" s="77" t="inlineStr">
        <is>
          <t>UK – additional</t>
        </is>
      </c>
      <c r="AQ438" s="77" t="inlineStr">
        <is>
          <t>~1 term/semester</t>
        </is>
      </c>
      <c r="AR438" s="77" t="inlineStr">
        <is>
          <t>All/standard</t>
        </is>
      </c>
      <c r="AS438" s="77" t="inlineStr"/>
    </row>
    <row r="439">
      <c r="A439" s="77" t="inlineStr">
        <is>
          <t>UK06</t>
        </is>
      </c>
      <c r="B439" s="77" t="inlineStr">
        <is>
          <t>Reading</t>
        </is>
      </c>
      <c r="C439" s="77" t="inlineStr">
        <is>
          <t>Programme/course</t>
        </is>
      </c>
      <c r="D439" s="77" t="inlineStr">
        <is>
          <t>UK06-S02</t>
        </is>
      </c>
      <c r="E439" s="77" t="inlineStr"/>
      <c r="F439" s="77" t="inlineStr">
        <is>
          <t>No</t>
        </is>
      </c>
      <c r="G439" s="79" t="inlineStr">
        <is>
          <t>Capstone Project (ECM200)</t>
        </is>
      </c>
      <c r="H439" s="77" t="inlineStr">
        <is>
          <t>Capstone Project - team consultancy for an external organisation (Economics, Politics &amp; International Relations)</t>
        </is>
      </c>
      <c r="I439" s="77" t="inlineStr">
        <is>
          <t>ECM200</t>
        </is>
      </c>
      <c r="J439" s="77" t="inlineStr">
        <is>
          <t>Postgraduate teams, supervised by an academic, complete a project on behalf of an external organisation (business, government agency, NGO, start-up), analysing an issue the organisation faces; teams produce a report and/or client presentation and each student then writes an individual economics-focused report based on it.</t>
        </is>
      </c>
      <c r="K439" s="77" t="inlineStr">
        <is>
          <t>Department of Economics / School of Politics, Economics and International Relations (PPE)</t>
        </is>
      </c>
      <c r="L439" s="77" t="inlineStr">
        <is>
          <t>MSc Applied Economics, MSc Business Economics, MSc Economics and MSc Public Policy (Capstone is an alternative to the individual Applied Research Project and Placement PIM92 on Public Policy); teams may include students from different disciplines</t>
        </is>
      </c>
      <c r="M439" s="77" t="inlineStr">
        <is>
          <t>Arts/humanities/social sciences; Business/management</t>
        </is>
      </c>
      <c r="N439" s="77" t="inlineStr">
        <is>
          <t>Postgraduate taught</t>
        </is>
      </c>
      <c r="O439" s="77" t="inlineStr">
        <is>
          <t>Master's, full year</t>
        </is>
      </c>
      <c r="P439" s="77" t="inlineStr">
        <is>
          <t>MSc programmes listing the module; availability by programme not fully verified.</t>
        </is>
      </c>
      <c r="Q439" s="77" t="inlineStr">
        <is>
          <t>Optional/elective</t>
        </is>
      </c>
      <c r="R439" s="77" t="inlineStr">
        <is>
          <t>Curricular</t>
        </is>
      </c>
      <c r="S439" s="77" t="inlineStr">
        <is>
          <t>20 credits; assessed by individual written report 3,000-4,000 words (100%) based on the team's report for the external organisation, plus literature review</t>
        </is>
      </c>
      <c r="T439" s="77" t="inlineStr">
        <is>
          <t>Runs across the full year</t>
        </is>
      </c>
      <c r="U439" s="77" t="inlineStr">
        <is>
          <t>Small groups with academic supervisor; client presentation depending on project</t>
        </is>
      </c>
      <c r="V439" s="77" t="inlineStr">
        <is>
          <t>Yes</t>
        </is>
      </c>
      <c r="W439" s="77" t="inlineStr">
        <is>
          <t>Sources 1-3: comprehensive analysis of an issue facing an external organisation, producing a report and/or presentation.</t>
        </is>
      </c>
      <c r="X439" s="77" t="inlineStr">
        <is>
          <t>Yes</t>
        </is>
      </c>
      <c r="Y439" s="77" t="inlineStr">
        <is>
          <t>Sources 1-3: 'Working in small groups' with an academic supervisor to complete the project; assessed output is individual.</t>
        </is>
      </c>
      <c r="Z439" s="77" t="inlineStr">
        <is>
          <t>Yes</t>
        </is>
      </c>
      <c r="AA439" s="77" t="inlineStr">
        <is>
          <t>Sources 2-3: project completed 'on behalf of an external organisation'; past clients include businesses, government agencies, not-for-profits, NGOs and start-ups; teams may present findings to the client; organisations invited to propose projects via capstone@reading.ac.uk.</t>
        </is>
      </c>
      <c r="AB439" s="77" t="inlineStr">
        <is>
          <t>Mixed</t>
        </is>
      </c>
      <c r="AC439" s="77" t="inlineStr">
        <is>
          <t>External clients set the problem/brief and may receive the team's report and presentation.</t>
        </is>
      </c>
      <c r="AD439" s="77" t="inlineStr"/>
      <c r="AE439" s="77" t="inlineStr">
        <is>
          <t>Team report and/or client presentation; individual 3,000-4,000-word report</t>
        </is>
      </c>
      <c r="AF439" s="77">
        <f>IF(OR(V439="No",X439="No",Z439="No"),"Outside strict definition",IF(AND(V439="Yes",X439="Yes",Z439="Yes"),"Meets all three","Potentially relevant; evidence incomplete"))</f>
        <v/>
      </c>
      <c r="AG439" s="77" t="inlineStr">
        <is>
          <t>Current delivery confirmed</t>
        </is>
      </c>
      <c r="AH439" s="77" t="inlineStr">
        <is>
          <t>2025/26</t>
        </is>
      </c>
      <c r="AI439" s="77" t="inlineStr">
        <is>
          <t>Yes</t>
        </is>
      </c>
      <c r="AJ439" s="77">
        <f>IF(AND(AI439="Yes",AF439="Meets all three",AG439="Current delivery confirmed"),"Yes","No")</f>
        <v/>
      </c>
      <c r="AK439" s="77" t="inlineStr">
        <is>
          <t>Not published in sources found.</t>
        </is>
      </c>
      <c r="AL439" s="77" t="inlineStr">
        <is>
          <t>UK06-S02-R1; UK06-S02-R2; UK06-S02-R3; UK06-S02-R4</t>
        </is>
      </c>
      <c r="AM439" s="77" t="inlineStr">
        <is>
          <t>Named 2025/26 clients not published; 'depending on the project' whether the team presents to the client; programme-by-programme compulsory/optional status not verified (appears optional or one of two options).</t>
        </is>
      </c>
      <c r="AN439" s="77" t="inlineStr"/>
      <c r="AO439" s="77" t="inlineStr">
        <is>
          <t>UK</t>
        </is>
      </c>
      <c r="AP439" s="77" t="inlineStr">
        <is>
          <t>UK – additional</t>
        </is>
      </c>
      <c r="AQ439" s="77" t="inlineStr">
        <is>
          <t>&gt;1 term</t>
        </is>
      </c>
      <c r="AR439" s="77" t="inlineStr">
        <is>
          <t>All/standard</t>
        </is>
      </c>
      <c r="AS439" s="77" t="inlineStr"/>
    </row>
    <row r="440">
      <c r="A440" s="77" t="inlineStr">
        <is>
          <t>UK06</t>
        </is>
      </c>
      <c r="B440" s="77" t="inlineStr">
        <is>
          <t>Reading</t>
        </is>
      </c>
      <c r="C440" s="77" t="inlineStr">
        <is>
          <t>Programme/course</t>
        </is>
      </c>
      <c r="D440" s="77" t="inlineStr">
        <is>
          <t>UK06-S03</t>
        </is>
      </c>
      <c r="E440" s="77" t="inlineStr"/>
      <c r="F440" s="77" t="inlineStr">
        <is>
          <t>No</t>
        </is>
      </c>
      <c r="G440" s="79" t="inlineStr">
        <is>
          <t>Real Estate Opportunities (Industry Challenge)</t>
        </is>
      </c>
      <c r="H440" s="77" t="inlineStr">
        <is>
          <t>Real Estate Opportunities - Industry Challenge element (MSc Real Estate capstone)</t>
        </is>
      </c>
      <c r="I440" s="77" t="inlineStr">
        <is>
          <t>REMF56</t>
        </is>
      </c>
      <c r="J440" s="77" t="inlineStr">
        <is>
          <t>Capstone module with three group assignments (international field trip, Industry Challenge, Real Estate Strategy Game). In the Industry Challenge teams are assigned a task by an industry partner and deliver a group report and a 20-minute in-person group client presentation to that partner.</t>
        </is>
      </c>
      <c r="K440" s="77" t="inlineStr">
        <is>
          <t>Henley Business School (Real Estate and Planning)</t>
        </is>
      </c>
      <c r="L440" s="77" t="inlineStr">
        <is>
          <t>MSc Real Estate (capstone); other REP master's programmes not verified</t>
        </is>
      </c>
      <c r="M440" s="77" t="inlineStr">
        <is>
          <t>Business/management</t>
        </is>
      </c>
      <c r="N440" s="77" t="inlineStr">
        <is>
          <t>Postgraduate taught</t>
        </is>
      </c>
      <c r="O440" s="77" t="inlineStr">
        <is>
          <t>Master's, Semester 2</t>
        </is>
      </c>
      <c r="P440" s="77" t="inlineStr">
        <is>
          <t>Master's students on programmes including the module.</t>
        </is>
      </c>
      <c r="Q440" s="77" t="inlineStr">
        <is>
          <t>Compulsory within specified programmes</t>
        </is>
      </c>
      <c r="R440" s="77" t="inlineStr">
        <is>
          <t>Curricular</t>
        </is>
      </c>
      <c r="S440" s="77" t="inlineStr">
        <is>
          <t>20 credits, Level 7. Industry Challenge = 40% of module (group report 3,000 words plus 20-min group client presentation, Week 12 Semester 2).</t>
        </is>
      </c>
      <c r="T440" s="77" t="inlineStr">
        <is>
          <t>Course page describes a one-week industry challenge within a Semester 2 module</t>
        </is>
      </c>
      <c r="U440" s="77" t="inlineStr">
        <is>
          <t>Group work; in-person client presentation</t>
        </is>
      </c>
      <c r="V440" s="77" t="inlineStr">
        <is>
          <t>Yes</t>
        </is>
      </c>
      <c r="W440" s="77" t="inlineStr">
        <is>
          <t>Source 1: group report based on brief from industry partner plus client presentation.</t>
        </is>
      </c>
      <c r="X440" s="77" t="inlineStr">
        <is>
          <t>Yes</t>
        </is>
      </c>
      <c r="Y440" s="77" t="inlineStr">
        <is>
          <t>Source 1: 'teams of students'; group report and group presentation (stated as three group assignments).</t>
        </is>
      </c>
      <c r="Z440" s="77" t="inlineStr">
        <is>
          <t>Yes</t>
        </is>
      </c>
      <c r="AA440" s="77" t="inlineStr">
        <is>
          <t>Source 1: task/brief set by an industry partner; group presentation delivered to the industry partner.</t>
        </is>
      </c>
      <c r="AB440" s="77" t="inlineStr">
        <is>
          <t>Business/commercial</t>
        </is>
      </c>
      <c r="AC440" s="77" t="inlineStr">
        <is>
          <t>Industry partner sets the brief and receives the client presentation.</t>
        </is>
      </c>
      <c r="AD440" s="77" t="inlineStr"/>
      <c r="AE440" s="77" t="inlineStr">
        <is>
          <t>Group report (3,000 words) and 20-minute client presentation</t>
        </is>
      </c>
      <c r="AF440" s="77">
        <f>IF(OR(V440="No",X440="No",Z440="No"),"Outside strict definition",IF(AND(V440="Yes",X440="Yes",Z440="Yes"),"Meets all three","Potentially relevant; evidence incomplete"))</f>
        <v/>
      </c>
      <c r="AG440" s="77" t="inlineStr">
        <is>
          <t>Current delivery confirmed</t>
        </is>
      </c>
      <c r="AH440" s="77" t="inlineStr">
        <is>
          <t>2025/26</t>
        </is>
      </c>
      <c r="AI440" s="77" t="inlineStr">
        <is>
          <t>Yes</t>
        </is>
      </c>
      <c r="AJ440" s="77">
        <f>IF(AND(AI440="Yes",AF440="Meets all three",AG440="Current delivery confirmed"),"Yes","No")</f>
        <v/>
      </c>
      <c r="AK440" s="77" t="inlineStr">
        <is>
          <t>Not published in sources found.</t>
        </is>
      </c>
      <c r="AL440" s="77" t="inlineStr">
        <is>
          <t>UK06-S03-R1; UK06-S03-R2; UK06-S03-R3</t>
        </is>
      </c>
      <c r="AM440" s="77" t="inlineStr">
        <is>
          <t>Partner names not published; compulsory status 'capstone' for MSc Real Estate inferred from module description and course page; other programmes taking REMF56 not verified; marking involvement of partner not evidenced.</t>
        </is>
      </c>
      <c r="AN440" s="77" t="inlineStr"/>
      <c r="AO440" s="77" t="inlineStr">
        <is>
          <t>UK</t>
        </is>
      </c>
      <c r="AP440" s="77" t="inlineStr">
        <is>
          <t>UK – additional</t>
        </is>
      </c>
      <c r="AQ440" s="77" t="inlineStr">
        <is>
          <t>1–4 weeks</t>
        </is>
      </c>
      <c r="AR440" s="77" t="inlineStr">
        <is>
          <t>All/standard</t>
        </is>
      </c>
      <c r="AS440" s="77" t="inlineStr"/>
    </row>
    <row r="441">
      <c r="A441" s="77" t="inlineStr">
        <is>
          <t>UK06</t>
        </is>
      </c>
      <c r="B441" s="77" t="inlineStr">
        <is>
          <t>Reading</t>
        </is>
      </c>
      <c r="C441" s="77" t="inlineStr">
        <is>
          <t>Programme/course</t>
        </is>
      </c>
      <c r="D441" s="77" t="inlineStr">
        <is>
          <t>UK06-S04</t>
        </is>
      </c>
      <c r="E441" s="77" t="inlineStr"/>
      <c r="F441" s="77" t="inlineStr">
        <is>
          <t>No</t>
        </is>
      </c>
      <c r="G441" s="79" t="inlineStr">
        <is>
          <t>Management Consultancy Project</t>
        </is>
      </c>
      <c r="H441" s="77" t="inlineStr">
        <is>
          <t>Management Consultancy Project (MSc Management capstone)</t>
        </is>
      </c>
      <c r="I441" s="77" t="inlineStr">
        <is>
          <t>MMM190</t>
        </is>
      </c>
      <c r="J441" s="77" t="inlineStr">
        <is>
          <t>20-credit capstone on the Master's in Management: a consulting project with an organisation on a contemporary management problem, with projects developed in collaboration with specific organisations. One of several summer capstone options (study trip, work placement or applied project).</t>
        </is>
      </c>
      <c r="K441" s="77" t="inlineStr">
        <is>
          <t>Henley Business School</t>
        </is>
      </c>
      <c r="L441" s="77" t="inlineStr">
        <is>
          <t>MSc Management</t>
        </is>
      </c>
      <c r="M441" s="77" t="inlineStr">
        <is>
          <t>Business/management</t>
        </is>
      </c>
      <c r="N441" s="77" t="inlineStr">
        <is>
          <t>Postgraduate taught</t>
        </is>
      </c>
      <c r="O441" s="77" t="inlineStr"/>
      <c r="P441" s="77" t="inlineStr"/>
      <c r="Q441" s="77" t="inlineStr">
        <is>
          <t>Optional/elective</t>
        </is>
      </c>
      <c r="R441" s="77" t="inlineStr">
        <is>
          <t>Curricular</t>
        </is>
      </c>
      <c r="S441" s="77" t="inlineStr">
        <is>
          <t>20 credits (10 ECTS)</t>
        </is>
      </c>
      <c r="T441" s="77" t="inlineStr">
        <is>
          <t>Summer period</t>
        </is>
      </c>
      <c r="U441" s="77" t="inlineStr"/>
      <c r="V441" s="77" t="inlineStr">
        <is>
          <t>Yes</t>
        </is>
      </c>
      <c r="W441" s="77" t="inlineStr">
        <is>
          <t>Source 1: consulting project with an organisation addressing a contemporary management problem.</t>
        </is>
      </c>
      <c r="X441" s="77" t="inlineStr">
        <is>
          <t>Unclear</t>
        </is>
      </c>
      <c r="Y441" s="77" t="inlineStr">
        <is>
          <t>Source 1 does not say whether the consulting project is done in teams or individually; other core modules include group projects.</t>
        </is>
      </c>
      <c r="Z441" s="77" t="inlineStr">
        <is>
          <t>Unclear</t>
        </is>
      </c>
      <c r="AA441" s="77" t="inlineStr">
        <is>
          <t>Source 1: projects 'developed in collaboration with specific organisations' - but roles (brief, supervision, assessment) and whether this applies to all projects are not stated, and the summer capstone has alternative options.</t>
        </is>
      </c>
      <c r="AB441" s="77" t="inlineStr">
        <is>
          <t>Unclear</t>
        </is>
      </c>
      <c r="AC441" s="77" t="inlineStr">
        <is>
          <t>Collaborating organisations (role not specified).</t>
        </is>
      </c>
      <c r="AD441" s="77" t="inlineStr"/>
      <c r="AE441" s="77" t="inlineStr">
        <is>
          <t>Consulting project output (unspecified)</t>
        </is>
      </c>
      <c r="AF441" s="77">
        <f>IF(OR(V441="No",X441="No",Z441="No"),"Outside strict definition",IF(AND(V441="Yes",X441="Yes",Z441="Yes"),"Meets all three","Potentially relevant; evidence incomplete"))</f>
        <v/>
      </c>
      <c r="AG441" s="77" t="inlineStr">
        <is>
          <t>Current status unclear</t>
        </is>
      </c>
      <c r="AH441" s="77" t="inlineStr">
        <is>
          <t>undated (page shows September 2027 start)</t>
        </is>
      </c>
      <c r="AI441" s="77" t="inlineStr">
        <is>
          <t>Yes</t>
        </is>
      </c>
      <c r="AJ441" s="77">
        <f>IF(AND(AI441="Yes",AF441="Meets all three",AG441="Current delivery confirmed"),"Yes","No")</f>
        <v/>
      </c>
      <c r="AK441" s="77" t="inlineStr">
        <is>
          <t>Not published in sources found.</t>
        </is>
      </c>
      <c r="AL441" s="77" t="inlineStr">
        <is>
          <t>UK06-S04-R1</t>
        </is>
      </c>
      <c r="AM441" s="77" t="inlineStr">
        <is>
          <t>Team vs individual; client role; delivery year; no module record found in catalogue search.</t>
        </is>
      </c>
      <c r="AN441" s="77" t="inlineStr"/>
      <c r="AO441" s="77" t="inlineStr">
        <is>
          <t>UK</t>
        </is>
      </c>
      <c r="AP441" s="77" t="inlineStr">
        <is>
          <t>UK – additional</t>
        </is>
      </c>
      <c r="AQ441" s="77" t="inlineStr">
        <is>
          <t>Unclear</t>
        </is>
      </c>
      <c r="AR441" s="77" t="inlineStr">
        <is>
          <t>Unclear</t>
        </is>
      </c>
      <c r="AS441" s="77" t="inlineStr"/>
    </row>
    <row r="442">
      <c r="A442" s="77" t="inlineStr">
        <is>
          <t>UK06</t>
        </is>
      </c>
      <c r="B442" s="77" t="inlineStr">
        <is>
          <t>Reading</t>
        </is>
      </c>
      <c r="C442" s="77" t="inlineStr">
        <is>
          <t>Programme/course</t>
        </is>
      </c>
      <c r="D442" s="77" t="inlineStr">
        <is>
          <t>UK06-S05</t>
        </is>
      </c>
      <c r="E442" s="77" t="inlineStr"/>
      <c r="F442" s="77" t="inlineStr">
        <is>
          <t>No</t>
        </is>
      </c>
      <c r="G442" s="79" t="inlineStr">
        <is>
          <t>Assembling Strategy</t>
        </is>
      </c>
      <c r="H442" s="77" t="inlineStr">
        <is>
          <t>Assembling Strategy - live consulting engagement (MSc International Business)</t>
        </is>
      </c>
      <c r="I442" s="77" t="inlineStr">
        <is>
          <t>MMM194</t>
        </is>
      </c>
      <c r="J442" s="77" t="inlineStr">
        <is>
          <t>20-credit second-phase module applying first-semester frameworks to a real-life consulting project with an external company, emphasising client communication and teamwork.</t>
        </is>
      </c>
      <c r="K442" s="77" t="inlineStr">
        <is>
          <t>Henley Business School</t>
        </is>
      </c>
      <c r="L442" s="77" t="inlineStr">
        <is>
          <t>MSc International Business</t>
        </is>
      </c>
      <c r="M442" s="77" t="inlineStr">
        <is>
          <t>Business/management</t>
        </is>
      </c>
      <c r="N442" s="77" t="inlineStr">
        <is>
          <t>Postgraduate taught</t>
        </is>
      </c>
      <c r="O442" s="77" t="inlineStr"/>
      <c r="P442" s="77" t="inlineStr"/>
      <c r="Q442" s="77" t="inlineStr">
        <is>
          <t>Unclear</t>
        </is>
      </c>
      <c r="R442" s="77" t="inlineStr">
        <is>
          <t>Curricular</t>
        </is>
      </c>
      <c r="S442" s="77" t="inlineStr">
        <is>
          <t>20 credits (10 ECTS)</t>
        </is>
      </c>
      <c r="T442" s="77" t="inlineStr"/>
      <c r="U442" s="77" t="inlineStr"/>
      <c r="V442" s="77" t="inlineStr">
        <is>
          <t>Yes</t>
        </is>
      </c>
      <c r="W442" s="77" t="inlineStr">
        <is>
          <t>Source 1: real-life consulting project with an external company.</t>
        </is>
      </c>
      <c r="X442" s="77" t="inlineStr">
        <is>
          <t>Unclear</t>
        </is>
      </c>
      <c r="Y442" s="77" t="inlineStr">
        <is>
          <t>Source 1 lists 'teamwork' as a focus but does not state team-based delivery or assessment.</t>
        </is>
      </c>
      <c r="Z442" s="77" t="inlineStr">
        <is>
          <t>Yes</t>
        </is>
      </c>
      <c r="AA442" s="77" t="inlineStr">
        <is>
          <t>Source 1: consulting project with an external company (client communication).</t>
        </is>
      </c>
      <c r="AB442" s="77" t="inlineStr">
        <is>
          <t>Business/commercial</t>
        </is>
      </c>
      <c r="AC442" s="77" t="inlineStr">
        <is>
          <t>External company is the consulting client (details not published).</t>
        </is>
      </c>
      <c r="AD442" s="77" t="inlineStr"/>
      <c r="AE442" s="77" t="inlineStr">
        <is>
          <t>Consulting output (unspecified)</t>
        </is>
      </c>
      <c r="AF442" s="77">
        <f>IF(OR(V442="No",X442="No",Z442="No"),"Outside strict definition",IF(AND(V442="Yes",X442="Yes",Z442="Yes"),"Meets all three","Potentially relevant; evidence incomplete"))</f>
        <v/>
      </c>
      <c r="AG442" s="77" t="inlineStr">
        <is>
          <t>Current status unclear</t>
        </is>
      </c>
      <c r="AH442" s="77" t="inlineStr">
        <is>
          <t>undated</t>
        </is>
      </c>
      <c r="AI442" s="77" t="inlineStr">
        <is>
          <t>Yes</t>
        </is>
      </c>
      <c r="AJ442" s="77">
        <f>IF(AND(AI442="Yes",AF442="Meets all three",AG442="Current delivery confirmed"),"Yes","No")</f>
        <v/>
      </c>
      <c r="AK442" s="77" t="inlineStr">
        <is>
          <t>Not published in sources found.</t>
        </is>
      </c>
      <c r="AL442" s="77" t="inlineStr">
        <is>
          <t>UK06-S05-R1</t>
        </is>
      </c>
      <c r="AM442" s="77" t="inlineStr">
        <is>
          <t>Group structure, assessment, how many projects/companies, delivery year; no catalogue module record found.</t>
        </is>
      </c>
      <c r="AN442" s="77" t="inlineStr"/>
      <c r="AO442" s="77" t="inlineStr">
        <is>
          <t>UK</t>
        </is>
      </c>
      <c r="AP442" s="77" t="inlineStr">
        <is>
          <t>UK – additional</t>
        </is>
      </c>
      <c r="AQ442" s="77" t="inlineStr">
        <is>
          <t>Unclear</t>
        </is>
      </c>
      <c r="AR442" s="77" t="inlineStr">
        <is>
          <t>Unclear</t>
        </is>
      </c>
      <c r="AS442" s="77" t="inlineStr"/>
    </row>
    <row r="443">
      <c r="A443" s="77" t="inlineStr">
        <is>
          <t>UK06</t>
        </is>
      </c>
      <c r="B443" s="77" t="inlineStr">
        <is>
          <t>Reading</t>
        </is>
      </c>
      <c r="C443" s="77" t="inlineStr">
        <is>
          <t>Programme/course</t>
        </is>
      </c>
      <c r="D443" s="77" t="inlineStr">
        <is>
          <t>UK06-S06</t>
        </is>
      </c>
      <c r="E443" s="77" t="inlineStr"/>
      <c r="F443" s="77" t="inlineStr">
        <is>
          <t>No</t>
        </is>
      </c>
      <c r="G443" s="79" t="inlineStr">
        <is>
          <t>Executive MBA (Global) team consultancy projects</t>
        </is>
      </c>
      <c r="H443" s="77" t="inlineStr">
        <is>
          <t>Henley Executive MBA team projects for a start-up and an NGO</t>
        </is>
      </c>
      <c r="I443" s="77" t="inlineStr"/>
      <c r="J443" s="77" t="inlineStr">
        <is>
          <t>Executive MBA students complete a team-based consultancy-style project with an emerging international business or start-up, and a team project for an NGO in South Africa (as summarised from the programme page).</t>
        </is>
      </c>
      <c r="K443" s="77" t="inlineStr">
        <is>
          <t>Henley Business School</t>
        </is>
      </c>
      <c r="L443" s="77" t="inlineStr">
        <is>
          <t>Executive MBA (Global)</t>
        </is>
      </c>
      <c r="M443" s="77" t="inlineStr">
        <is>
          <t>Business/management</t>
        </is>
      </c>
      <c r="N443" s="77" t="inlineStr">
        <is>
          <t>Postgraduate taught</t>
        </is>
      </c>
      <c r="O443" s="77" t="inlineStr"/>
      <c r="P443" s="77" t="inlineStr"/>
      <c r="Q443" s="77" t="inlineStr">
        <is>
          <t>Compulsory within specified programmes</t>
        </is>
      </c>
      <c r="R443" s="77" t="inlineStr">
        <is>
          <t>Curricular</t>
        </is>
      </c>
      <c r="S443" s="77" t="inlineStr"/>
      <c r="T443" s="77" t="inlineStr"/>
      <c r="U443" s="77" t="inlineStr"/>
      <c r="V443" s="77" t="inlineStr">
        <is>
          <t>Yes</t>
        </is>
      </c>
      <c r="W443" s="77" t="inlineStr">
        <is>
          <t>Source 1 (summary paraphrase): consultancy-style project with start-up; NGO team project.</t>
        </is>
      </c>
      <c r="X443" s="77" t="inlineStr">
        <is>
          <t>Yes</t>
        </is>
      </c>
      <c r="Y443" s="77" t="inlineStr">
        <is>
          <t>Source 1: described as team-based.</t>
        </is>
      </c>
      <c r="Z443" s="77" t="inlineStr">
        <is>
          <t>Yes</t>
        </is>
      </c>
      <c r="AA443" s="77" t="inlineStr">
        <is>
          <t>Source 1: projects for an emerging international business/start-up and an NGO.</t>
        </is>
      </c>
      <c r="AB443" s="77" t="inlineStr">
        <is>
          <t>Mixed</t>
        </is>
      </c>
      <c r="AC443" s="77" t="inlineStr">
        <is>
          <t>Start-up and NGO host organisations</t>
        </is>
      </c>
      <c r="AD443" s="77" t="inlineStr"/>
      <c r="AE443" s="77" t="inlineStr">
        <is>
          <t>Unspecified</t>
        </is>
      </c>
      <c r="AF443" s="77">
        <f>IF(OR(V443="No",X443="No",Z443="No"),"Outside strict definition",IF(AND(V443="Yes",X443="Yes",Z443="Yes"),"Meets all three","Potentially relevant; evidence incomplete"))</f>
        <v/>
      </c>
      <c r="AG443" s="77" t="inlineStr">
        <is>
          <t>Current status unclear</t>
        </is>
      </c>
      <c r="AH443" s="77" t="inlineStr">
        <is>
          <t>undated</t>
        </is>
      </c>
      <c r="AI443" s="77" t="inlineStr">
        <is>
          <t>Yes</t>
        </is>
      </c>
      <c r="AJ443" s="77">
        <f>IF(AND(AI443="Yes",AF443="Meets all three",AG443="Current delivery confirmed"),"Yes","No")</f>
        <v/>
      </c>
      <c r="AK443" s="77" t="inlineStr">
        <is>
          <t>Not published in sources found.</t>
        </is>
      </c>
      <c r="AL443" s="77" t="inlineStr">
        <is>
          <t>UK06-S06-R1</t>
        </is>
      </c>
      <c r="AM443" s="77" t="inlineStr">
        <is>
          <t>Evidence is a search-summary paraphrase only; no module codes, assessment, or dates; executive (part-time, working-professional) cohort; compulsory status inferred.</t>
        </is>
      </c>
      <c r="AN443" s="77" t="inlineStr"/>
      <c r="AO443" s="77" t="inlineStr">
        <is>
          <t>UK</t>
        </is>
      </c>
      <c r="AP443" s="77" t="inlineStr">
        <is>
          <t>UK – additional</t>
        </is>
      </c>
      <c r="AQ443" s="77" t="inlineStr">
        <is>
          <t>Unclear</t>
        </is>
      </c>
      <c r="AR443" s="77" t="inlineStr">
        <is>
          <t>Unclear</t>
        </is>
      </c>
      <c r="AS443" s="77" t="inlineStr"/>
    </row>
    <row r="444">
      <c r="A444" s="77" t="inlineStr">
        <is>
          <t>UK06</t>
        </is>
      </c>
      <c r="B444" s="77" t="inlineStr">
        <is>
          <t>Reading</t>
        </is>
      </c>
      <c r="C444" s="77" t="inlineStr">
        <is>
          <t>Programme/course</t>
        </is>
      </c>
      <c r="D444" s="77" t="inlineStr">
        <is>
          <t>UK06-S07</t>
        </is>
      </c>
      <c r="E444" s="77" t="inlineStr"/>
      <c r="F444" s="77" t="inlineStr">
        <is>
          <t>No</t>
        </is>
      </c>
      <c r="G444" s="79" t="inlineStr">
        <is>
          <t>New Product Development (FB3NPD)</t>
        </is>
      </c>
      <c r="H444" s="77" t="inlineStr">
        <is>
          <t>New Product Development - final-year food product team project</t>
        </is>
      </c>
      <c r="I444" s="77" t="inlineStr">
        <is>
          <t>FB3NPD (earlier FB3FPD Food Product Development)</t>
        </is>
      </c>
      <c r="J444" s="77" t="inlineStr">
        <is>
          <t>Final-year teams are given a brief by industry experts and develop an original food product, showcased at an end-of-semester trade show and presented to industry professionals; group presentations, executive summary and peer assessment appear in the catalogue.</t>
        </is>
      </c>
      <c r="K444" s="77" t="inlineStr">
        <is>
          <t>Department of Food and Nutritional Sciences</t>
        </is>
      </c>
      <c r="L444" s="77" t="inlineStr">
        <is>
          <t>BSc Food Technology with Bioprocessing and related BSc Food/Nutrition programmes</t>
        </is>
      </c>
      <c r="M444" s="77" t="inlineStr">
        <is>
          <t>Science</t>
        </is>
      </c>
      <c r="N444" s="77" t="inlineStr">
        <is>
          <t>Undergraduate</t>
        </is>
      </c>
      <c r="O444" s="77" t="inlineStr">
        <is>
          <t>Final year (Part 3)</t>
        </is>
      </c>
      <c r="P444" s="77" t="inlineStr"/>
      <c r="Q444" s="77" t="inlineStr">
        <is>
          <t>Compulsory within specified programmes</t>
        </is>
      </c>
      <c r="R444" s="77" t="inlineStr">
        <is>
          <t>Curricular</t>
        </is>
      </c>
      <c r="S444" s="77" t="inlineStr">
        <is>
          <t>20 credits, Level 6</t>
        </is>
      </c>
      <c r="T444" s="77" t="inlineStr">
        <is>
          <t>One semester</t>
        </is>
      </c>
      <c r="U444" s="77" t="inlineStr"/>
      <c r="V444" s="77" t="inlineStr">
        <is>
          <t>Yes</t>
        </is>
      </c>
      <c r="W444" s="77" t="inlineStr">
        <is>
          <t>Sources 1-2: design, develop and evaluate a food product against a brief; trade show.</t>
        </is>
      </c>
      <c r="X444" s="77" t="inlineStr">
        <is>
          <t>Yes</t>
        </is>
      </c>
      <c r="Y444" s="77" t="inlineStr">
        <is>
          <t>Sources 1-2: 'work as a team'; group presentation and executive summary with peer assessment.</t>
        </is>
      </c>
      <c r="Z444" s="77" t="inlineStr">
        <is>
          <t>Unclear</t>
        </is>
      </c>
      <c r="AA444" s="77" t="inlineStr">
        <is>
          <t>Source 1: brief from 'industry experts' and presentation to 'industry professionals' - but no named external organisation is identified, so it is unclear that an external organisation sets the brief or whether the experts are internal staff.</t>
        </is>
      </c>
      <c r="AB444" s="77" t="inlineStr">
        <is>
          <t>Unclear</t>
        </is>
      </c>
      <c r="AC444" s="77" t="inlineStr">
        <is>
          <t>'Industry experts' set brief; 'industry professionals' view outputs (organisation not identified).</t>
        </is>
      </c>
      <c r="AD444" s="77" t="inlineStr"/>
      <c r="AE444" s="77" t="inlineStr">
        <is>
          <t>Original food product prototype, presentation, executive summary</t>
        </is>
      </c>
      <c r="AF444" s="77">
        <f>IF(OR(V444="No",X444="No",Z444="No"),"Outside strict definition",IF(AND(V444="Yes",X444="Yes",Z444="Yes"),"Meets all three","Potentially relevant; evidence incomplete"))</f>
        <v/>
      </c>
      <c r="AG444" s="77" t="inlineStr">
        <is>
          <t>Current status unclear</t>
        </is>
      </c>
      <c r="AH444" s="77" t="inlineStr">
        <is>
          <t>2025 programme specification / 2026/27 course page (module record 2023/4)</t>
        </is>
      </c>
      <c r="AI444" s="77" t="inlineStr">
        <is>
          <t>Yes</t>
        </is>
      </c>
      <c r="AJ444" s="77">
        <f>IF(AND(AI444="Yes",AF444="Meets all three",AG444="Current delivery confirmed"),"Yes","No")</f>
        <v/>
      </c>
      <c r="AK444" s="77" t="inlineStr">
        <is>
          <t>Not published in sources found.</t>
        </is>
      </c>
      <c r="AL444" s="77" t="inlineStr">
        <is>
          <t>UK06-S07-R1; UK06-S07-R2; UK06-S07-R3</t>
        </is>
      </c>
      <c r="AM444" s="77" t="inlineStr">
        <is>
          <t>Which organisations/individuals set the brief; whether external; module record for 2025/26; compulsory status per programme.</t>
        </is>
      </c>
      <c r="AN444" s="77" t="inlineStr"/>
      <c r="AO444" s="77" t="inlineStr">
        <is>
          <t>UK</t>
        </is>
      </c>
      <c r="AP444" s="77" t="inlineStr">
        <is>
          <t>UK – additional</t>
        </is>
      </c>
      <c r="AQ444" s="77" t="inlineStr">
        <is>
          <t>~1 term/semester</t>
        </is>
      </c>
      <c r="AR444" s="77" t="inlineStr">
        <is>
          <t>Unclear</t>
        </is>
      </c>
      <c r="AS444" s="77" t="inlineStr"/>
    </row>
    <row r="445">
      <c r="A445" s="77" t="inlineStr">
        <is>
          <t>UK06</t>
        </is>
      </c>
      <c r="B445" s="77" t="inlineStr">
        <is>
          <t>Reading</t>
        </is>
      </c>
      <c r="C445" s="77" t="inlineStr">
        <is>
          <t>Programme/course</t>
        </is>
      </c>
      <c r="D445" s="77" t="inlineStr">
        <is>
          <t>UK06-S08</t>
        </is>
      </c>
      <c r="E445" s="77" t="inlineStr"/>
      <c r="F445" s="77" t="inlineStr">
        <is>
          <t>No</t>
        </is>
      </c>
      <c r="G445" s="79" t="inlineStr">
        <is>
          <t>Going Public: Presenting the Past, Planning the Future</t>
        </is>
      </c>
      <c r="H445" s="77" t="inlineStr">
        <is>
          <t>Going Public - group project for an external partner (History / Archaeology and History)</t>
        </is>
      </c>
      <c r="I445" s="77" t="inlineStr">
        <is>
          <t>HS2GPP</t>
        </is>
      </c>
      <c r="J445" s="77" t="inlineStr">
        <is>
          <t>Second-year group project in which students choose from listed projects and work to a brief from an organisation outside the history department, producing a portfolio and presentation; peer assessment adjusts individual marks.</t>
        </is>
      </c>
      <c r="K445" s="77" t="inlineStr">
        <is>
          <t>Department of History / Archaeology</t>
        </is>
      </c>
      <c r="L445" s="77" t="inlineStr">
        <is>
          <t>BA Archaeology and History (optional); possibly other History programmes</t>
        </is>
      </c>
      <c r="M445" s="77" t="inlineStr">
        <is>
          <t>Arts/humanities/social sciences</t>
        </is>
      </c>
      <c r="N445" s="77" t="inlineStr">
        <is>
          <t>Undergraduate</t>
        </is>
      </c>
      <c r="O445" s="77" t="inlineStr">
        <is>
          <t>Year 2</t>
        </is>
      </c>
      <c r="P445" s="77" t="inlineStr"/>
      <c r="Q445" s="77" t="inlineStr">
        <is>
          <t>Optional/elective</t>
        </is>
      </c>
      <c r="R445" s="77" t="inlineStr">
        <is>
          <t>Curricular</t>
        </is>
      </c>
      <c r="S445" s="77" t="inlineStr">
        <is>
          <t>Group portfolio 40% and presentation 40% (peer-moderated); remainder not stated</t>
        </is>
      </c>
      <c r="T445" s="77" t="inlineStr"/>
      <c r="U445" s="77" t="inlineStr"/>
      <c r="V445" s="77" t="inlineStr">
        <is>
          <t>Yes</t>
        </is>
      </c>
      <c r="W445" s="77" t="inlineStr">
        <is>
          <t>Source 1: group project with portfolio and presentation to a partner brief.</t>
        </is>
      </c>
      <c r="X445" s="77" t="inlineStr">
        <is>
          <t>Yes</t>
        </is>
      </c>
      <c r="Y445" s="77" t="inlineStr">
        <is>
          <t>Sources 1-2: group project; peer assessment of individual contribution.</t>
        </is>
      </c>
      <c r="Z445" s="77" t="inlineStr">
        <is>
          <t>Unclear</t>
        </is>
      </c>
      <c r="AA445" s="77" t="inlineStr">
        <is>
          <t>Sources 1-2: 'external partners' / brief from an organisation 'outside the history department' - sector and independence from the University (e.g. university museums) not established.</t>
        </is>
      </c>
      <c r="AB445" s="77" t="inlineStr">
        <is>
          <t>Unclear</t>
        </is>
      </c>
      <c r="AC445" s="77" t="inlineStr">
        <is>
          <t>Partner organisation supplies brief (role in feedback/assessment not stated).</t>
        </is>
      </c>
      <c r="AD445" s="77" t="inlineStr"/>
      <c r="AE445" s="77" t="inlineStr">
        <is>
          <t>Portfolio and presentation</t>
        </is>
      </c>
      <c r="AF445" s="77">
        <f>IF(OR(V445="No",X445="No",Z445="No"),"Outside strict definition",IF(AND(V445="Yes",X445="Yes",Z445="Yes"),"Meets all three","Potentially relevant; evidence incomplete"))</f>
        <v/>
      </c>
      <c r="AG445" s="77" t="inlineStr">
        <is>
          <t>Current status unclear</t>
        </is>
      </c>
      <c r="AH445" s="77" t="inlineStr">
        <is>
          <t>2023/4 module record; 2026/27 course page</t>
        </is>
      </c>
      <c r="AI445" s="77" t="inlineStr">
        <is>
          <t>Yes</t>
        </is>
      </c>
      <c r="AJ445" s="77">
        <f>IF(AND(AI445="Yes",AF445="Meets all three",AG445="Current delivery confirmed"),"Yes","No")</f>
        <v/>
      </c>
      <c r="AK445" s="77" t="inlineStr">
        <is>
          <t>Not published in sources found.</t>
        </is>
      </c>
      <c r="AL445" s="77" t="inlineStr">
        <is>
          <t>UK06-S08-R1; UK06-S08-R2</t>
        </is>
      </c>
      <c r="AM445" s="77" t="inlineStr">
        <is>
          <t>Partner identity/type; whether partners are external to the University; current delivery year.</t>
        </is>
      </c>
      <c r="AN445" s="77" t="inlineStr"/>
      <c r="AO445" s="77" t="inlineStr">
        <is>
          <t>UK</t>
        </is>
      </c>
      <c r="AP445" s="77" t="inlineStr">
        <is>
          <t>UK – additional</t>
        </is>
      </c>
      <c r="AQ445" s="77" t="inlineStr">
        <is>
          <t>~1 term/semester</t>
        </is>
      </c>
      <c r="AR445" s="77" t="inlineStr">
        <is>
          <t>Unclear</t>
        </is>
      </c>
      <c r="AS445" s="77" t="inlineStr"/>
    </row>
    <row r="446">
      <c r="A446" s="77" t="inlineStr">
        <is>
          <t>UK06</t>
        </is>
      </c>
      <c r="B446" s="77" t="inlineStr">
        <is>
          <t>Reading</t>
        </is>
      </c>
      <c r="C446" s="77" t="inlineStr">
        <is>
          <t>Programme/course</t>
        </is>
      </c>
      <c r="D446" s="77" t="inlineStr">
        <is>
          <t>UK06-S09</t>
        </is>
      </c>
      <c r="E446" s="77" t="inlineStr"/>
      <c r="F446" s="77" t="inlineStr">
        <is>
          <t>No</t>
        </is>
      </c>
      <c r="G446" s="79" t="inlineStr">
        <is>
          <t>Real Jobs (Typography &amp; Graphic Communication)</t>
        </is>
      </c>
      <c r="H446" s="77" t="inlineStr">
        <is>
          <t>Real Jobs live-client briefs</t>
        </is>
      </c>
      <c r="I446" s="77" t="inlineStr">
        <is>
          <t>TY3PRP (Professional Practice, 2020/1 record)</t>
        </is>
      </c>
      <c r="J446" s="77" t="inlineStr">
        <is>
          <t>Students undertake at least two live-brief projects with real clients (e.g. charity rebrand, packaging, wayfinding), supported by tutors and assessed as completed; the department also runs an IBM-linked UX project and employer feedback on briefs.</t>
        </is>
      </c>
      <c r="K446" s="77" t="inlineStr">
        <is>
          <t>Department of Typography &amp; Graphic Communication</t>
        </is>
      </c>
      <c r="L446" s="77" t="inlineStr">
        <is>
          <t>BA Graphic Communication</t>
        </is>
      </c>
      <c r="M446" s="77" t="inlineStr">
        <is>
          <t>Arts/humanities/social sciences; Other (law, health, design, architecture…)</t>
        </is>
      </c>
      <c r="N446" s="77" t="inlineStr">
        <is>
          <t>Undergraduate</t>
        </is>
      </c>
      <c r="O446" s="77" t="inlineStr">
        <is>
          <t>Year 2 onward</t>
        </is>
      </c>
      <c r="P446" s="77" t="inlineStr"/>
      <c r="Q446" s="77" t="inlineStr">
        <is>
          <t>Compulsory within specified programmes</t>
        </is>
      </c>
      <c r="R446" s="77" t="inlineStr">
        <is>
          <t>Curricular</t>
        </is>
      </c>
      <c r="S446" s="77" t="inlineStr">
        <is>
          <t>Assessed per project by agreed rubric (2020/1 record)</t>
        </is>
      </c>
      <c r="T446" s="77" t="inlineStr"/>
      <c r="U446" s="77" t="inlineStr"/>
      <c r="V446" s="77" t="inlineStr">
        <is>
          <t>Yes</t>
        </is>
      </c>
      <c r="W446" s="77" t="inlineStr">
        <is>
          <t>Sources 1-2: live briefs with design outputs.</t>
        </is>
      </c>
      <c r="X446" s="77" t="inlineStr">
        <is>
          <t>Unclear</t>
        </is>
      </c>
      <c r="Y446" s="77" t="inlineStr">
        <is>
          <t>Source 1: students 'work one-on-one with real clients'; 2020/1 record says supervisors 'may require students to work in small teams'. Cannot separate individual and group routes.</t>
        </is>
      </c>
      <c r="Z446" s="77" t="inlineStr">
        <is>
          <t>Yes</t>
        </is>
      </c>
      <c r="AA446" s="77" t="inlineStr">
        <is>
          <t>Sources 1-2: real clients (e.g. BASIC, Longhaul, Reading City of Sanctuary), real budgets; IBM Design and OUP give feedback.</t>
        </is>
      </c>
      <c r="AB446" s="77" t="inlineStr">
        <is>
          <t>Mixed</t>
        </is>
      </c>
      <c r="AC446" s="77" t="inlineStr">
        <is>
          <t>Clients brief students, work with them to delivery and give feedback.</t>
        </is>
      </c>
      <c r="AD446" s="77" t="inlineStr"/>
      <c r="AE446" s="77" t="inlineStr">
        <is>
          <t>Design deliverables (rebrand, packaging, wayfinding, publicity)</t>
        </is>
      </c>
      <c r="AF446" s="77">
        <f>IF(OR(V446="No",X446="No",Z446="No"),"Outside strict definition",IF(AND(V446="Yes",X446="Yes",Z446="Yes"),"Meets all three","Potentially relevant; evidence incomplete"))</f>
        <v/>
      </c>
      <c r="AG446" s="77" t="inlineStr">
        <is>
          <t>Current status unclear</t>
        </is>
      </c>
      <c r="AH446" s="77" t="inlineStr">
        <is>
          <t>undated pages; module record 2020/1</t>
        </is>
      </c>
      <c r="AI446" s="77" t="inlineStr">
        <is>
          <t>Yes</t>
        </is>
      </c>
      <c r="AJ446" s="77">
        <f>IF(AND(AI446="Yes",AF446="Meets all three",AG446="Current delivery confirmed"),"Yes","No")</f>
        <v/>
      </c>
      <c r="AK446" s="77" t="inlineStr">
        <is>
          <t>Not published in sources found.</t>
        </is>
      </c>
      <c r="AL446" s="77" t="inlineStr">
        <is>
          <t>UK06-S09-R1; UK06-S09-R2</t>
        </is>
      </c>
      <c r="AM446" s="77" t="inlineStr">
        <is>
          <t>Individual vs team routes; current module codes; dates of named projects.</t>
        </is>
      </c>
      <c r="AN446" s="77" t="inlineStr"/>
      <c r="AO446" s="77" t="inlineStr">
        <is>
          <t>UK</t>
        </is>
      </c>
      <c r="AP446" s="77" t="inlineStr">
        <is>
          <t>UK – additional</t>
        </is>
      </c>
      <c r="AQ446" s="77" t="inlineStr">
        <is>
          <t>Unclear</t>
        </is>
      </c>
      <c r="AR446" s="77" t="inlineStr">
        <is>
          <t>All/standard</t>
        </is>
      </c>
      <c r="AS446" s="77" t="inlineStr"/>
    </row>
    <row r="447">
      <c r="A447" s="77" t="inlineStr">
        <is>
          <t>UK06</t>
        </is>
      </c>
      <c r="B447" s="77" t="inlineStr">
        <is>
          <t>Reading</t>
        </is>
      </c>
      <c r="C447" s="77" t="inlineStr">
        <is>
          <t>Programme/course</t>
        </is>
      </c>
      <c r="D447" s="77" t="inlineStr">
        <is>
          <t>UK06-S10</t>
        </is>
      </c>
      <c r="E447" s="77" t="inlineStr"/>
      <c r="F447" s="77" t="inlineStr">
        <is>
          <t>No</t>
        </is>
      </c>
      <c r="G447" s="79" t="inlineStr">
        <is>
          <t>Construction Live Project</t>
        </is>
      </c>
      <c r="H447" s="77" t="inlineStr">
        <is>
          <t>Construction Live Project</t>
        </is>
      </c>
      <c r="I447" s="77" t="inlineStr">
        <is>
          <t>CE3CLP1</t>
        </is>
      </c>
      <c r="J447" s="77" t="inlineStr">
        <is>
          <t>Two-week intensive: student teams plan on campus for five days then build a scaled replica of an iconic structure on site for five days, supported by academics and, in earlier versions, young professionals from a partner contractor and its supply chain.</t>
        </is>
      </c>
      <c r="K447" s="77" t="inlineStr">
        <is>
          <t>School of the Built Environment (Construction Management and Engineering)</t>
        </is>
      </c>
      <c r="L447" s="77" t="inlineStr">
        <is>
          <t>Built Environment undergraduate programmes (Level 6)</t>
        </is>
      </c>
      <c r="M447" s="77" t="inlineStr">
        <is>
          <t>Engineering/computing</t>
        </is>
      </c>
      <c r="N447" s="77" t="inlineStr">
        <is>
          <t>Undergraduate</t>
        </is>
      </c>
      <c r="O447" s="77" t="inlineStr">
        <is>
          <t>Final year</t>
        </is>
      </c>
      <c r="P447" s="77" t="inlineStr"/>
      <c r="Q447" s="77" t="inlineStr">
        <is>
          <t>Unclear</t>
        </is>
      </c>
      <c r="R447" s="77" t="inlineStr">
        <is>
          <t>Curricular</t>
        </is>
      </c>
      <c r="S447" s="77" t="inlineStr">
        <is>
          <t>20 credits (2024/5)</t>
        </is>
      </c>
      <c r="T447" s="77" t="inlineStr">
        <is>
          <t>Two weeks, residential</t>
        </is>
      </c>
      <c r="U447" s="77" t="inlineStr"/>
      <c r="V447" s="77" t="inlineStr">
        <is>
          <t>Yes</t>
        </is>
      </c>
      <c r="W447" s="77" t="inlineStr">
        <is>
          <t>Source 1: plan, schedule, cost, manage H&amp;S and build replica.</t>
        </is>
      </c>
      <c r="X447" s="77" t="inlineStr">
        <is>
          <t>Yes</t>
        </is>
      </c>
      <c r="Y447" s="77" t="inlineStr">
        <is>
          <t>Source 1: student teams.</t>
        </is>
      </c>
      <c r="Z447" s="77" t="inlineStr">
        <is>
          <t>Unclear</t>
        </is>
      </c>
      <c r="AA447" s="77" t="inlineStr">
        <is>
          <t>Sources 1-2: partner contractor staff/young professionals supported earlier versions; the partner is not a client setting a brief, and 2025/6 involvement not confirmed.</t>
        </is>
      </c>
      <c r="AB447" s="77" t="inlineStr">
        <is>
          <t>Business/commercial</t>
        </is>
      </c>
      <c r="AC447" s="77" t="inlineStr">
        <is>
          <t>Partner contractor staff support delivery (earlier version).</t>
        </is>
      </c>
      <c r="AD447" s="77" t="inlineStr"/>
      <c r="AE447" s="77" t="inlineStr">
        <is>
          <t>Scaled structure built on site</t>
        </is>
      </c>
      <c r="AF447" s="77">
        <f>IF(OR(V447="No",X447="No",Z447="No"),"Outside strict definition",IF(AND(V447="Yes",X447="Yes",Z447="Yes"),"Meets all three","Potentially relevant; evidence incomplete"))</f>
        <v/>
      </c>
      <c r="AG447" s="77" t="inlineStr">
        <is>
          <t>Current delivery confirmed</t>
        </is>
      </c>
      <c r="AH447" s="77" t="inlineStr">
        <is>
          <t>2025/26 (module listed); content 2024/5</t>
        </is>
      </c>
      <c r="AI447" s="77" t="inlineStr">
        <is>
          <t>Yes</t>
        </is>
      </c>
      <c r="AJ447" s="77">
        <f>IF(AND(AI447="Yes",AF447="Meets all three",AG447="Current delivery confirmed"),"Yes","No")</f>
        <v/>
      </c>
      <c r="AK447" s="77" t="inlineStr">
        <is>
          <t>Not published in sources found.</t>
        </is>
      </c>
      <c r="AL447" s="77" t="inlineStr">
        <is>
          <t>UK06-S10-R1; UK06-S10-R2; UK06-S10-R3</t>
        </is>
      </c>
      <c r="AM447" s="77" t="inlineStr">
        <is>
          <t>Whether partner contractor involvement continues and whether it amounts to external organisation setting brief/supervising/assessing; compulsory status.</t>
        </is>
      </c>
      <c r="AN447" s="77" t="inlineStr"/>
      <c r="AO447" s="77" t="inlineStr">
        <is>
          <t>UK</t>
        </is>
      </c>
      <c r="AP447" s="77" t="inlineStr">
        <is>
          <t>UK – additional</t>
        </is>
      </c>
      <c r="AQ447" s="77" t="inlineStr">
        <is>
          <t>1–4 weeks</t>
        </is>
      </c>
      <c r="AR447" s="77" t="inlineStr">
        <is>
          <t>Unclear</t>
        </is>
      </c>
      <c r="AS447" s="77" t="inlineStr"/>
    </row>
    <row r="448">
      <c r="A448" s="77" t="inlineStr">
        <is>
          <t>UK06</t>
        </is>
      </c>
      <c r="B448" s="77" t="inlineStr">
        <is>
          <t>Reading</t>
        </is>
      </c>
      <c r="C448" s="77" t="inlineStr">
        <is>
          <t>Programme/course</t>
        </is>
      </c>
      <c r="D448" s="77" t="inlineStr">
        <is>
          <t>UK06-S11</t>
        </is>
      </c>
      <c r="E448" s="77" t="inlineStr"/>
      <c r="F448" s="77" t="inlineStr">
        <is>
          <t>No</t>
        </is>
      </c>
      <c r="G448" s="79" t="inlineStr">
        <is>
          <t>Business Management (Case Studies)</t>
        </is>
      </c>
      <c r="H448" s="77" t="inlineStr">
        <is>
          <t>Farm/rural business case study teams (AP3A54)</t>
        </is>
      </c>
      <c r="I448" s="77" t="inlineStr">
        <is>
          <t>AP3A54</t>
        </is>
      </c>
      <c r="J448" s="77" t="inlineStr">
        <is>
          <t>Small teams (usually 4-5) work on case-study exercises for farms and rural enterprises, preparing a business proposal presented orally and in writing, usually in the presence of the business manager.</t>
        </is>
      </c>
      <c r="K448" s="77" t="inlineStr">
        <is>
          <t>School of Agriculture, Policy and Development</t>
        </is>
      </c>
      <c r="L448" s="77" t="inlineStr">
        <is>
          <t>BSc Agricultural Business Management</t>
        </is>
      </c>
      <c r="M448" s="77" t="inlineStr">
        <is>
          <t>Science</t>
        </is>
      </c>
      <c r="N448" s="77" t="inlineStr">
        <is>
          <t>Undergraduate</t>
        </is>
      </c>
      <c r="O448" s="77" t="inlineStr">
        <is>
          <t>Final year</t>
        </is>
      </c>
      <c r="P448" s="77" t="inlineStr"/>
      <c r="Q448" s="77" t="inlineStr">
        <is>
          <t>Unclear</t>
        </is>
      </c>
      <c r="R448" s="77" t="inlineStr">
        <is>
          <t>Curricular</t>
        </is>
      </c>
      <c r="S448" s="77" t="inlineStr"/>
      <c r="T448" s="77" t="inlineStr"/>
      <c r="U448" s="77" t="inlineStr"/>
      <c r="V448" s="77" t="inlineStr">
        <is>
          <t>Yes</t>
        </is>
      </c>
      <c r="W448" s="77" t="inlineStr">
        <is>
          <t>Source 1: business proposal for introduction of new enterprise or change to a rural business.</t>
        </is>
      </c>
      <c r="X448" s="77" t="inlineStr">
        <is>
          <t>Yes</t>
        </is>
      </c>
      <c r="Y448" s="77" t="inlineStr">
        <is>
          <t>Source 1: small teams (usually 4/5).</t>
        </is>
      </c>
      <c r="Z448" s="77" t="inlineStr">
        <is>
          <t>Unclear</t>
        </is>
      </c>
      <c r="AA448" s="77" t="inlineStr">
        <is>
          <t>Source 1: presented 'usually' in the presence of the manager of the business studied - not established as standard; real vs teaching case unclear.</t>
        </is>
      </c>
      <c r="AB448" s="77" t="inlineStr">
        <is>
          <t>Business/commercial</t>
        </is>
      </c>
      <c r="AC448" s="77" t="inlineStr">
        <is>
          <t>Business manager attends presentation (usually).</t>
        </is>
      </c>
      <c r="AD448" s="77" t="inlineStr"/>
      <c r="AE448" s="77" t="inlineStr">
        <is>
          <t>Business proposal report and presentation</t>
        </is>
      </c>
      <c r="AF448" s="77">
        <f>IF(OR(V448="No",X448="No",Z448="No"),"Outside strict definition",IF(AND(V448="Yes",X448="Yes",Z448="Yes"),"Meets all three","Potentially relevant; evidence incomplete"))</f>
        <v/>
      </c>
      <c r="AG448" s="77" t="inlineStr">
        <is>
          <t>Current status unclear</t>
        </is>
      </c>
      <c r="AH448" s="77" t="inlineStr">
        <is>
          <t>2023/4</t>
        </is>
      </c>
      <c r="AI448" s="77" t="inlineStr">
        <is>
          <t>Yes</t>
        </is>
      </c>
      <c r="AJ448" s="77">
        <f>IF(AND(AI448="Yes",AF448="Meets all three",AG448="Current delivery confirmed"),"Yes","No")</f>
        <v/>
      </c>
      <c r="AK448" s="77" t="inlineStr">
        <is>
          <t>Not published in sources found.</t>
        </is>
      </c>
      <c r="AL448" s="77" t="inlineStr">
        <is>
          <t>UK06-S11-R1</t>
        </is>
      </c>
      <c r="AM448" s="77" t="inlineStr">
        <is>
          <t>Module code may be retired; no 2025/26 equivalent found; case studies may be teaching cases.</t>
        </is>
      </c>
      <c r="AN448" s="77" t="inlineStr"/>
      <c r="AO448" s="77" t="inlineStr">
        <is>
          <t>UK</t>
        </is>
      </c>
      <c r="AP448" s="77" t="inlineStr">
        <is>
          <t>UK – additional</t>
        </is>
      </c>
      <c r="AQ448" s="77" t="inlineStr">
        <is>
          <t>Unclear</t>
        </is>
      </c>
      <c r="AR448" s="77" t="inlineStr">
        <is>
          <t>Some projects</t>
        </is>
      </c>
      <c r="AS448" s="77" t="inlineStr"/>
    </row>
    <row r="449">
      <c r="A449" s="77" t="inlineStr">
        <is>
          <t>UK07</t>
        </is>
      </c>
      <c r="B449" s="77" t="inlineStr">
        <is>
          <t>Surrey</t>
        </is>
      </c>
      <c r="C449" s="77" t="inlineStr">
        <is>
          <t>Programme/course</t>
        </is>
      </c>
      <c r="D449" s="77" t="inlineStr">
        <is>
          <t>UK07-S01</t>
        </is>
      </c>
      <c r="E449" s="77" t="inlineStr"/>
      <c r="F449" s="77" t="inlineStr">
        <is>
          <t>No</t>
        </is>
      </c>
      <c r="G449" s="79" t="inlineStr">
        <is>
          <t>Consulting Project (MANM448)</t>
        </is>
      </c>
      <c r="H449" s="77" t="inlineStr">
        <is>
          <t>Consulting Project</t>
        </is>
      </c>
      <c r="I449" s="77" t="inlineStr">
        <is>
          <t>MANM448</t>
        </is>
      </c>
      <c r="J449" s="77" t="inlineStr">
        <is>
          <t>Student groups take on a brief set by a client organisation, plan and deliver the consultancy engagement (including finding a client sponsor), give a formative presentation to the client, and produce a group consultancy presentation and report. Weekly group meetings February to July.</t>
        </is>
      </c>
      <c r="K449" s="77" t="inlineStr">
        <is>
          <t>Surrey Business School</t>
        </is>
      </c>
      <c r="L449" s="77" t="inlineStr">
        <is>
          <t>MSc Management (Surrey Business School)</t>
        </is>
      </c>
      <c r="M449" s="77" t="inlineStr">
        <is>
          <t>Business/management</t>
        </is>
      </c>
      <c r="N449" s="77" t="inlineStr">
        <is>
          <t>Postgraduate taught</t>
        </is>
      </c>
      <c r="O449" s="77" t="inlineStr"/>
      <c r="P449" s="77" t="inlineStr"/>
      <c r="Q449" s="77" t="inlineStr">
        <is>
          <t>Compulsory within specified programmes</t>
        </is>
      </c>
      <c r="R449" s="77" t="inlineStr">
        <is>
          <t>Curricular</t>
        </is>
      </c>
      <c r="S449" s="77" t="inlineStr">
        <is>
          <t>15 credits, FHEQ L7, Semester 2; group presentation 50% + group report 50% (2024/5, 2025/6)</t>
        </is>
      </c>
      <c r="T449" s="77" t="inlineStr">
        <is>
          <t>Semester 2 (Feb-Jul)</t>
        </is>
      </c>
      <c r="U449" s="77" t="inlineStr">
        <is>
          <t>Self-managed team consultancy with weekly group meetings</t>
        </is>
      </c>
      <c r="V449" s="77" t="inlineStr">
        <is>
          <t>Yes</t>
        </is>
      </c>
      <c r="W449" s="77" t="inlineStr">
        <is>
          <t>Live consulting project applying learning to a real business problem; consultancy report and presentation [1][2].</t>
        </is>
      </c>
      <c r="X449" s="77" t="inlineStr">
        <is>
          <t>Yes</t>
        </is>
      </c>
      <c r="Y449" s="77" t="inlineStr">
        <is>
          <t>Teams plan and deliver the engagement; two equally weighted group assessments [1][2].</t>
        </is>
      </c>
      <c r="Z449" s="77" t="inlineStr">
        <is>
          <t>Yes</t>
        </is>
      </c>
      <c r="AA449" s="77" t="inlineStr">
        <is>
          <t>Brief set by a client organisation; students present formatively to the client and client oral/written feedback is included in the final report; 2020/1 entry: report presented to the client organisation [1][2].</t>
        </is>
      </c>
      <c r="AB449" s="77" t="inlineStr">
        <is>
          <t>Unclear</t>
        </is>
      </c>
      <c r="AC449" s="77" t="inlineStr">
        <is>
          <t>Sets the brief, acts as client sponsor, gives feedback on formative presentation</t>
        </is>
      </c>
      <c r="AD449" s="77" t="inlineStr"/>
      <c r="AE449" s="77" t="inlineStr">
        <is>
          <t>Group consulting report and presentation to client</t>
        </is>
      </c>
      <c r="AF449" s="77">
        <f>IF(OR(V449="No",X449="No",Z449="No"),"Outside strict definition",IF(AND(V449="Yes",X449="Yes",Z449="Yes"),"Meets all three","Potentially relevant; evidence incomplete"))</f>
        <v/>
      </c>
      <c r="AG449" s="77" t="inlineStr">
        <is>
          <t>Current delivery confirmed</t>
        </is>
      </c>
      <c r="AH449" s="77" t="inlineStr">
        <is>
          <t>2025/26</t>
        </is>
      </c>
      <c r="AI449" s="77" t="inlineStr">
        <is>
          <t>Yes</t>
        </is>
      </c>
      <c r="AJ449" s="77">
        <f>IF(AND(AI449="Yes",AF449="Meets all three",AG449="Current delivery confirmed"),"Yes","No")</f>
        <v/>
      </c>
      <c r="AK449" s="77" t="inlineStr"/>
      <c r="AL449" s="77" t="inlineStr">
        <is>
          <t>UK07-S01-R1; UK07-S01-R2</t>
        </is>
      </c>
      <c r="AM449" s="77" t="inlineStr">
        <is>
          <t>Compulsory status is from the 2020/1 catalogue (Management MSc, Semester 2, Compulsory); 2025/6 programme listing not seen. Client sector and named clients not published.</t>
        </is>
      </c>
      <c r="AN449" s="77" t="inlineStr"/>
      <c r="AO449" s="77" t="inlineStr">
        <is>
          <t>UK</t>
        </is>
      </c>
      <c r="AP449" s="77" t="inlineStr">
        <is>
          <t>UK – additional</t>
        </is>
      </c>
      <c r="AQ449" s="77" t="inlineStr">
        <is>
          <t>~1 term/semester</t>
        </is>
      </c>
      <c r="AR449" s="77" t="inlineStr">
        <is>
          <t>All/standard</t>
        </is>
      </c>
      <c r="AS449" s="77" t="inlineStr"/>
    </row>
    <row r="450">
      <c r="A450" s="77" t="inlineStr">
        <is>
          <t>UK07</t>
        </is>
      </c>
      <c r="B450" s="77" t="inlineStr">
        <is>
          <t>Surrey</t>
        </is>
      </c>
      <c r="C450" s="77" t="inlineStr">
        <is>
          <t>Programme/course</t>
        </is>
      </c>
      <c r="D450" s="77" t="inlineStr">
        <is>
          <t>UK07-S02</t>
        </is>
      </c>
      <c r="E450" s="77" t="inlineStr"/>
      <c r="F450" s="77" t="inlineStr">
        <is>
          <t>No</t>
        </is>
      </c>
      <c r="G450" s="79" t="inlineStr">
        <is>
          <t>Dynamics of Business Consultancy (MSc Entrepreneurship &amp; Innovation Management)</t>
        </is>
      </c>
      <c r="H450" s="77" t="inlineStr">
        <is>
          <t>Dynamics of Business Consultancy</t>
        </is>
      </c>
      <c r="I450" s="77" t="inlineStr"/>
      <c r="J450" s="77" t="inlineStr">
        <is>
          <t>Compulsory Year 1 Semester 2 module in which small student teams act as consultants for an external organisation: they receive a live client brief, analyse a genuine workplace problem and develop practical, evidence-based recommendations.</t>
        </is>
      </c>
      <c r="K450" s="77" t="inlineStr">
        <is>
          <t>Surrey Business School</t>
        </is>
      </c>
      <c r="L450" s="77" t="inlineStr">
        <is>
          <t>MSc Entrepreneurship &amp; Innovation Management</t>
        </is>
      </c>
      <c r="M450" s="77" t="inlineStr">
        <is>
          <t>Business/management</t>
        </is>
      </c>
      <c r="N450" s="77" t="inlineStr">
        <is>
          <t>Postgraduate taught</t>
        </is>
      </c>
      <c r="O450" s="77" t="inlineStr"/>
      <c r="P450" s="77" t="inlineStr"/>
      <c r="Q450" s="77" t="inlineStr">
        <is>
          <t>Compulsory within specified programmes</t>
        </is>
      </c>
      <c r="R450" s="77" t="inlineStr">
        <is>
          <t>Curricular</t>
        </is>
      </c>
      <c r="S450" s="77" t="inlineStr">
        <is>
          <t>Credit/assessment not retrieved; programme is 180 credits FHEQ L7</t>
        </is>
      </c>
      <c r="T450" s="77" t="inlineStr">
        <is>
          <t>Semester 2</t>
        </is>
      </c>
      <c r="U450" s="77" t="inlineStr">
        <is>
          <t>Team consultancy for external organisation</t>
        </is>
      </c>
      <c r="V450" s="77" t="inlineStr">
        <is>
          <t>Yes</t>
        </is>
      </c>
      <c r="W450" s="77" t="inlineStr">
        <is>
          <t>Live client brief producing practical evidence-based recommendations [1].</t>
        </is>
      </c>
      <c r="X450" s="77" t="inlineStr">
        <is>
          <t>Yes</t>
        </is>
      </c>
      <c r="Y450" s="77" t="inlineStr">
        <is>
          <t>'small student teams act as consultants' [1].</t>
        </is>
      </c>
      <c r="Z450" s="77" t="inlineStr">
        <is>
          <t>Yes</t>
        </is>
      </c>
      <c r="AA450" s="77" t="inlineStr">
        <is>
          <t>Teams work for an external organisation on a live client brief [1].</t>
        </is>
      </c>
      <c r="AB450" s="77" t="inlineStr">
        <is>
          <t>Unclear</t>
        </is>
      </c>
      <c r="AC450" s="77" t="inlineStr">
        <is>
          <t>Provides live client brief (further role not published)</t>
        </is>
      </c>
      <c r="AD450" s="77" t="inlineStr"/>
      <c r="AE450" s="77" t="inlineStr">
        <is>
          <t>Recommendations to the client organisation (format not retrieved)</t>
        </is>
      </c>
      <c r="AF450" s="77">
        <f>IF(OR(V450="No",X450="No",Z450="No"),"Outside strict definition",IF(AND(V450="Yes",X450="Yes",Z450="Yes"),"Meets all three","Potentially relevant; evidence incomplete"))</f>
        <v/>
      </c>
      <c r="AG450" s="77" t="inlineStr">
        <is>
          <t>Current delivery confirmed</t>
        </is>
      </c>
      <c r="AH450" s="77" t="inlineStr">
        <is>
          <t>2026/27</t>
        </is>
      </c>
      <c r="AI450" s="77" t="inlineStr">
        <is>
          <t>Yes</t>
        </is>
      </c>
      <c r="AJ450" s="77">
        <f>IF(AND(AI450="Yes",AF450="Meets all three",AG450="Current delivery confirmed"),"Yes","No")</f>
        <v/>
      </c>
      <c r="AK450" s="77" t="inlineStr"/>
      <c r="AL450" s="77" t="inlineStr">
        <is>
          <t>UK07-S02-R1; UK07-S02-R2</t>
        </is>
      </c>
      <c r="AM450" s="77" t="inlineStr">
        <is>
          <t>Module code, credit and assessment not retrieved; programme page undated, corroborated by 2026/7 and 2025/6 programme catalogue entries. Possible overlap with S3 (MANM468) not resolved.</t>
        </is>
      </c>
      <c r="AN450" s="77" t="inlineStr"/>
      <c r="AO450" s="77" t="inlineStr">
        <is>
          <t>UK</t>
        </is>
      </c>
      <c r="AP450" s="77" t="inlineStr">
        <is>
          <t>UK – additional</t>
        </is>
      </c>
      <c r="AQ450" s="77" t="inlineStr">
        <is>
          <t>~1 term/semester</t>
        </is>
      </c>
      <c r="AR450" s="77" t="inlineStr">
        <is>
          <t>All/standard</t>
        </is>
      </c>
      <c r="AS450" s="77" t="inlineStr"/>
    </row>
    <row r="451">
      <c r="A451" s="77" t="inlineStr">
        <is>
          <t>UK07</t>
        </is>
      </c>
      <c r="B451" s="77" t="inlineStr">
        <is>
          <t>Surrey</t>
        </is>
      </c>
      <c r="C451" s="77" t="inlineStr">
        <is>
          <t>Programme/course</t>
        </is>
      </c>
      <c r="D451" s="77" t="inlineStr">
        <is>
          <t>UK07-S03</t>
        </is>
      </c>
      <c r="E451" s="77" t="inlineStr"/>
      <c r="F451" s="77" t="inlineStr">
        <is>
          <t>No</t>
        </is>
      </c>
      <c r="G451" s="79" t="inlineStr">
        <is>
          <t>Digital Business Challenge / Digital Project Development (MANM468)</t>
        </is>
      </c>
      <c r="H451" s="77" t="inlineStr">
        <is>
          <t>Digital Project Development</t>
        </is>
      </c>
      <c r="I451" s="77" t="inlineStr">
        <is>
          <t>MANM468</t>
        </is>
      </c>
      <c r="J451" s="77" t="inlineStr">
        <is>
          <t>Masters-level module (Feb-May) where student teams work on a digital-marketing problem for partner companies: teams review the company's current marketing, present to stakeholders, then execute agreed tasks (social media, SEO, UI/UX etc.). Partner companies commit at least two hours a week.</t>
        </is>
      </c>
      <c r="K451" s="77" t="inlineStr">
        <is>
          <t>Surrey Business School</t>
        </is>
      </c>
      <c r="L451" s="77" t="inlineStr">
        <is>
          <t>Compulsory on MSc Entrepreneurship &amp; Innovation Management (2025/6 catalogue)</t>
        </is>
      </c>
      <c r="M451" s="77" t="inlineStr">
        <is>
          <t>Business/management</t>
        </is>
      </c>
      <c r="N451" s="77" t="inlineStr">
        <is>
          <t>Postgraduate taught</t>
        </is>
      </c>
      <c r="O451" s="77" t="inlineStr"/>
      <c r="P451" s="77" t="inlineStr"/>
      <c r="Q451" s="77" t="inlineStr">
        <is>
          <t>Compulsory within specified programmes</t>
        </is>
      </c>
      <c r="R451" s="77" t="inlineStr">
        <is>
          <t>Curricular</t>
        </is>
      </c>
      <c r="S451" s="77" t="inlineStr">
        <is>
          <t>15 credits, FHEQ L7, Semester 2, cap 60</t>
        </is>
      </c>
      <c r="T451" s="77" t="inlineStr">
        <is>
          <t>Feb-May (one semester)</t>
        </is>
      </c>
      <c r="U451" s="77" t="inlineStr">
        <is>
          <t>Team project with weekly company meetings</t>
        </is>
      </c>
      <c r="V451" s="77" t="inlineStr">
        <is>
          <t>Yes</t>
        </is>
      </c>
      <c r="W451" s="77" t="inlineStr">
        <is>
          <t>Defined digital marketing problem per company; stakeholder presentation then agreed tasks [1].</t>
        </is>
      </c>
      <c r="X451" s="77" t="inlineStr">
        <is>
          <t>Yes</t>
        </is>
      </c>
      <c r="Y451" s="77" t="inlineStr">
        <is>
          <t>'Student teams' work on digital marketing for partner companies [1]; module teaching uses teams on business challenge [2].</t>
        </is>
      </c>
      <c r="Z451" s="77" t="inlineStr">
        <is>
          <t>Yes</t>
        </is>
      </c>
      <c r="AA451" s="77" t="inlineStr">
        <is>
          <t>Companies are recruited on a project proposal highlighting a digital marketing challenge, meet teams weekly (min 2 h/week) and attend the stakeholder presentation [1].</t>
        </is>
      </c>
      <c r="AB451" s="77" t="inlineStr">
        <is>
          <t>Business/commercial</t>
        </is>
      </c>
      <c r="AC451" s="77" t="inlineStr">
        <is>
          <t>Sets the challenge, meets teams weekly, receives presentation</t>
        </is>
      </c>
      <c r="AD451" s="77" t="inlineStr">
        <is>
          <t>Vision Engineering Ltd (credited students' SEO/social work; year not stated)</t>
        </is>
      </c>
      <c r="AE451" s="77" t="inlineStr">
        <is>
          <t>Stakeholder presentation and executed digital marketing work</t>
        </is>
      </c>
      <c r="AF451" s="77">
        <f>IF(OR(V451="No",X451="No",Z451="No"),"Outside strict definition",IF(AND(V451="Yes",X451="Yes",Z451="Yes"),"Meets all three","Potentially relevant; evidence incomplete"))</f>
        <v/>
      </c>
      <c r="AG451" s="77" t="inlineStr">
        <is>
          <t>Current delivery confirmed</t>
        </is>
      </c>
      <c r="AH451" s="77" t="inlineStr">
        <is>
          <t>2025/26</t>
        </is>
      </c>
      <c r="AI451" s="77" t="inlineStr">
        <is>
          <t>Yes</t>
        </is>
      </c>
      <c r="AJ451" s="77">
        <f>IF(AND(AI451="Yes",AF451="Meets all three",AG451="Current delivery confirmed"),"Yes","No")</f>
        <v/>
      </c>
      <c r="AK451" s="77" t="inlineStr"/>
      <c r="AL451" s="77" t="inlineStr">
        <is>
          <t>UK07-S03-R1; UK07-S03-R2</t>
        </is>
      </c>
      <c r="AM451" s="77" t="inlineStr">
        <is>
          <t>Link between the (undated) Digital Business Challenge page and the MANM468 catalogue entry rests on the search summary; 2025/6 catalogue snippet did not show team structure. Whether other programmes take it unknown.</t>
        </is>
      </c>
      <c r="AN451" s="77" t="inlineStr"/>
      <c r="AO451" s="77" t="inlineStr">
        <is>
          <t>UK</t>
        </is>
      </c>
      <c r="AP451" s="77" t="inlineStr">
        <is>
          <t>UK – additional</t>
        </is>
      </c>
      <c r="AQ451" s="77" t="inlineStr">
        <is>
          <t>~1 term/semester</t>
        </is>
      </c>
      <c r="AR451" s="77" t="inlineStr">
        <is>
          <t>All/standard</t>
        </is>
      </c>
      <c r="AS451" s="77" t="inlineStr"/>
    </row>
    <row r="452">
      <c r="A452" s="77" t="inlineStr">
        <is>
          <t>UK07</t>
        </is>
      </c>
      <c r="B452" s="77" t="inlineStr">
        <is>
          <t>Surrey</t>
        </is>
      </c>
      <c r="C452" s="77" t="inlineStr">
        <is>
          <t>Programme/course</t>
        </is>
      </c>
      <c r="D452" s="77" t="inlineStr">
        <is>
          <t>UK07-S04</t>
        </is>
      </c>
      <c r="E452" s="77" t="inlineStr"/>
      <c r="F452" s="77" t="inlineStr">
        <is>
          <t>No</t>
        </is>
      </c>
      <c r="G452" s="79" t="inlineStr">
        <is>
          <t>Employee Resourcing (MANM466) - client resourcing challenge</t>
        </is>
      </c>
      <c r="H452" s="77" t="inlineStr">
        <is>
          <t>Employee Resourcing</t>
        </is>
      </c>
      <c r="I452" s="77" t="inlineStr">
        <is>
          <t>MANM466</t>
        </is>
      </c>
      <c r="J452" s="77" t="inlineStr">
        <is>
          <t>Compulsory Semester 2 module on the Human Resources Management MSc. Teams work on a real resourcing challenge presented by a client organisation, are mentored by a senior manager from the client and coached by SBS staff, and present to an audience including senior HR professionals from the client.</t>
        </is>
      </c>
      <c r="K452" s="77" t="inlineStr">
        <is>
          <t>Surrey Business School</t>
        </is>
      </c>
      <c r="L452" s="77" t="inlineStr">
        <is>
          <t>MSc Human Resources Management</t>
        </is>
      </c>
      <c r="M452" s="77" t="inlineStr">
        <is>
          <t>Business/management</t>
        </is>
      </c>
      <c r="N452" s="77" t="inlineStr">
        <is>
          <t>Postgraduate taught</t>
        </is>
      </c>
      <c r="O452" s="77" t="inlineStr"/>
      <c r="P452" s="77" t="inlineStr"/>
      <c r="Q452" s="77" t="inlineStr">
        <is>
          <t>Compulsory within specified programmes</t>
        </is>
      </c>
      <c r="R452" s="77" t="inlineStr">
        <is>
          <t>Curricular</t>
        </is>
      </c>
      <c r="S452" s="77" t="inlineStr">
        <is>
          <t>Group presentation 40% + individual written assignment 60% (2024/5)</t>
        </is>
      </c>
      <c r="T452" s="77" t="inlineStr">
        <is>
          <t>Semester 2</t>
        </is>
      </c>
      <c r="U452" s="77" t="inlineStr">
        <is>
          <t>Client-mentored team challenge</t>
        </is>
      </c>
      <c r="V452" s="77" t="inlineStr">
        <is>
          <t>Yes</t>
        </is>
      </c>
      <c r="W452" s="77" t="inlineStr">
        <is>
          <t>Real resourcing challenge with group presentation [1].</t>
        </is>
      </c>
      <c r="X452" s="77" t="inlineStr">
        <is>
          <t>Yes</t>
        </is>
      </c>
      <c r="Y452" s="77" t="inlineStr">
        <is>
          <t>'each group' mentored; group presentation 40% [1].</t>
        </is>
      </c>
      <c r="Z452" s="77" t="inlineStr">
        <is>
          <t>Yes</t>
        </is>
      </c>
      <c r="AA452" s="77" t="inlineStr">
        <is>
          <t>Client presents the challenge, senior manager mentors each group, client HR professionals are in the presentation audience [1].</t>
        </is>
      </c>
      <c r="AB452" s="77" t="inlineStr">
        <is>
          <t>Business/commercial</t>
        </is>
      </c>
      <c r="AC452" s="77" t="inlineStr">
        <is>
          <t>Presents challenge, mentors groups, attends presentation</t>
        </is>
      </c>
      <c r="AD452" s="77" t="inlineStr"/>
      <c r="AE452" s="77" t="inlineStr">
        <is>
          <t>Group presentation (plus individual assignment)</t>
        </is>
      </c>
      <c r="AF452" s="77">
        <f>IF(OR(V452="No",X452="No",Z452="No"),"Outside strict definition",IF(AND(V452="Yes",X452="Yes",Z452="Yes"),"Meets all three","Potentially relevant; evidence incomplete"))</f>
        <v/>
      </c>
      <c r="AG452" s="77" t="inlineStr">
        <is>
          <t>Current status unclear</t>
        </is>
      </c>
      <c r="AH452" s="77" t="inlineStr">
        <is>
          <t>2024/25</t>
        </is>
      </c>
      <c r="AI452" s="77" t="inlineStr">
        <is>
          <t>Yes</t>
        </is>
      </c>
      <c r="AJ452" s="77">
        <f>IF(AND(AI452="Yes",AF452="Meets all three",AG452="Current delivery confirmed"),"Yes","No")</f>
        <v/>
      </c>
      <c r="AK452" s="77" t="inlineStr"/>
      <c r="AL452" s="77" t="inlineStr">
        <is>
          <t>UK07-S04-R1</t>
        </is>
      </c>
      <c r="AM452" s="77" t="inlineStr">
        <is>
          <t>Client description is from the 2024/5 catalogue; module remains listed in 2025/6 and 2026/7 catalogues but its 2025/6 descriptor text was not seen. Client type 'organisation' not sector-specified (typed Business/commercial on 'client organisation' HR context - weak).</t>
        </is>
      </c>
      <c r="AN452" s="77" t="inlineStr"/>
      <c r="AO452" s="77" t="inlineStr">
        <is>
          <t>UK</t>
        </is>
      </c>
      <c r="AP452" s="77" t="inlineStr">
        <is>
          <t>UK – additional</t>
        </is>
      </c>
      <c r="AQ452" s="77" t="inlineStr">
        <is>
          <t>~1 term/semester</t>
        </is>
      </c>
      <c r="AR452" s="77" t="inlineStr">
        <is>
          <t>All/standard</t>
        </is>
      </c>
      <c r="AS452" s="77" t="inlineStr"/>
    </row>
    <row r="453">
      <c r="A453" s="77" t="inlineStr">
        <is>
          <t>UK07</t>
        </is>
      </c>
      <c r="B453" s="77" t="inlineStr">
        <is>
          <t>Surrey</t>
        </is>
      </c>
      <c r="C453" s="77" t="inlineStr">
        <is>
          <t>Programme/course</t>
        </is>
      </c>
      <c r="D453" s="77" t="inlineStr">
        <is>
          <t>UK07-S05</t>
        </is>
      </c>
      <c r="E453" s="77" t="inlineStr"/>
      <c r="F453" s="77" t="inlineStr">
        <is>
          <t>No</t>
        </is>
      </c>
      <c r="G453" s="79" t="inlineStr">
        <is>
          <t>Hospitality, Tourism and Events Consultancy / Consultancy for the Visitor Economy (MAN3164 / MAN3251)</t>
        </is>
      </c>
      <c r="H453" s="77" t="inlineStr">
        <is>
          <t>Hospitality, Tourism and Events Consultancy</t>
        </is>
      </c>
      <c r="I453" s="77" t="inlineStr">
        <is>
          <t>MAN3164 (2025/6); MAN3251 (listed 2025/6 and 2026/7)</t>
        </is>
      </c>
      <c r="J453" s="77" t="inlineStr">
        <is>
          <t>Final-year BSc teams carry out a consultancy project for a designated hospitality, tourism or events organisation from inception to presenting recommendations, with a dedicated tutor and self-organised client meetings. Company contact meets students at least four times; firms help define the brief. Example: London Gatwick brief on Africa-route passenger preferences, with passenger interviews in departure lounges and report/presentation provided to the airport.</t>
        </is>
      </c>
      <c r="K453" s="77" t="inlineStr">
        <is>
          <t>Surrey Business School (Hospitality, Tourism &amp; Events)</t>
        </is>
      </c>
      <c r="L453" s="77" t="inlineStr">
        <is>
          <t>Final-year BSc Hospitality/Tourism/Events programmes (MAN3251 optional 30 credits, Semester 2, in International Tourism Management)</t>
        </is>
      </c>
      <c r="M453" s="77" t="inlineStr">
        <is>
          <t>Business/management</t>
        </is>
      </c>
      <c r="N453" s="77" t="inlineStr">
        <is>
          <t>Undergraduate</t>
        </is>
      </c>
      <c r="O453" s="77" t="inlineStr">
        <is>
          <t>Final year</t>
        </is>
      </c>
      <c r="P453" s="77" t="inlineStr"/>
      <c r="Q453" s="77" t="inlineStr">
        <is>
          <t>Optional/elective</t>
        </is>
      </c>
      <c r="R453" s="77" t="inlineStr">
        <is>
          <t>Curricular</t>
        </is>
      </c>
      <c r="S453" s="77" t="inlineStr">
        <is>
          <t>30 credits (MAN3251), Semester 2; assessment detail not retrieved</t>
        </is>
      </c>
      <c r="T453" s="77" t="inlineStr">
        <is>
          <t>Feb-May</t>
        </is>
      </c>
      <c r="U453" s="77" t="inlineStr">
        <is>
          <t>Supported group work with dedicated tutor and self-organised client meetings</t>
        </is>
      </c>
      <c r="V453" s="77" t="inlineStr">
        <is>
          <t>Yes</t>
        </is>
      </c>
      <c r="W453" s="77" t="inlineStr">
        <is>
          <t>Small consultancy project from inception to client recommendations [1][2].</t>
        </is>
      </c>
      <c r="X453" s="77" t="inlineStr">
        <is>
          <t>Yes</t>
        </is>
      </c>
      <c r="Y453" s="77" t="inlineStr">
        <is>
          <t>'collaboratively undertake a real consultancy project'; supported group work [1].</t>
        </is>
      </c>
      <c r="Z453" s="77" t="inlineStr">
        <is>
          <t>Yes</t>
        </is>
      </c>
      <c r="AA453" s="77" t="inlineStr">
        <is>
          <t>External industry client sets brief, meets team (&gt;=4 one-hour meetings) and receives recommendations/report; Gatwick example [1][2][3].</t>
        </is>
      </c>
      <c r="AB453" s="77" t="inlineStr">
        <is>
          <t>Business/commercial</t>
        </is>
      </c>
      <c r="AC453" s="77" t="inlineStr">
        <is>
          <t>Sets brief, regular meetings, receives report/presentation</t>
        </is>
      </c>
      <c r="AD453" s="77" t="inlineStr">
        <is>
          <t>London Gatwick Airport (year not stated in extract; search summary indicated 2026)</t>
        </is>
      </c>
      <c r="AE453" s="77" t="inlineStr">
        <is>
          <t>Report and presentation of recommendations to the organisation</t>
        </is>
      </c>
      <c r="AF453" s="77">
        <f>IF(OR(V453="No",X453="No",Z453="No"),"Outside strict definition",IF(AND(V453="Yes",X453="Yes",Z453="Yes"),"Meets all three","Potentially relevant; evidence incomplete"))</f>
        <v/>
      </c>
      <c r="AG453" s="77" t="inlineStr">
        <is>
          <t>Current delivery confirmed</t>
        </is>
      </c>
      <c r="AH453" s="77" t="inlineStr">
        <is>
          <t>2025/26</t>
        </is>
      </c>
      <c r="AI453" s="77" t="inlineStr">
        <is>
          <t>Yes</t>
        </is>
      </c>
      <c r="AJ453" s="77">
        <f>IF(AND(AI453="Yes",AF453="Meets all three",AG453="Current delivery confirmed"),"Yes","No")</f>
        <v/>
      </c>
      <c r="AK453" s="77" t="inlineStr"/>
      <c r="AL453" s="77" t="inlineStr">
        <is>
          <t>UK07-S05-R1; UK07-S05-R2; UK07-S05-R3</t>
        </is>
      </c>
      <c r="AM453" s="77" t="inlineStr">
        <is>
          <t>MAN3164 vs MAN3251 naming (likely renamed) not confirmed; MAN3251 descriptor not retrieved; Gatwick news year not confirmed.</t>
        </is>
      </c>
      <c r="AN453" s="77" t="inlineStr"/>
      <c r="AO453" s="77" t="inlineStr">
        <is>
          <t>UK</t>
        </is>
      </c>
      <c r="AP453" s="77" t="inlineStr">
        <is>
          <t>UK – additional</t>
        </is>
      </c>
      <c r="AQ453" s="77" t="inlineStr">
        <is>
          <t>~1 term/semester</t>
        </is>
      </c>
      <c r="AR453" s="77" t="inlineStr">
        <is>
          <t>All/standard</t>
        </is>
      </c>
      <c r="AS453" s="77" t="inlineStr"/>
    </row>
    <row r="454">
      <c r="A454" s="77" t="inlineStr">
        <is>
          <t>UK07</t>
        </is>
      </c>
      <c r="B454" s="77" t="inlineStr">
        <is>
          <t>Surrey</t>
        </is>
      </c>
      <c r="C454" s="77" t="inlineStr">
        <is>
          <t>Programme/course</t>
        </is>
      </c>
      <c r="D454" s="77" t="inlineStr">
        <is>
          <t>UK07-S06</t>
        </is>
      </c>
      <c r="E454" s="77" t="inlineStr"/>
      <c r="F454" s="77" t="inlineStr">
        <is>
          <t>No</t>
        </is>
      </c>
      <c r="G454" s="79" t="inlineStr">
        <is>
          <t>Applied Business Project (MAN3213) - Semester 1 group partner project</t>
        </is>
      </c>
      <c r="H454" s="77" t="inlineStr">
        <is>
          <t>Applied Business Project</t>
        </is>
      </c>
      <c r="I454" s="77" t="inlineStr">
        <is>
          <t>MAN3213</t>
        </is>
      </c>
      <c r="J454" s="77" t="inlineStr">
        <is>
          <t>In Semester 1 (2026/7 catalogue) students work in groups with an external business partner, typically an entrepreneurial start-up, to analyse the founder's journey, evaluate the business's position and propose growth through new revenue opportunities; the project is client-facing. Semester 2 is an individual new-venture proposal (not part of this route).</t>
        </is>
      </c>
      <c r="K454" s="77" t="inlineStr">
        <is>
          <t>Surrey Business School</t>
        </is>
      </c>
      <c r="L454" s="77" t="inlineStr">
        <is>
          <t>Surrey Business School undergraduate programmes (not retrieved)</t>
        </is>
      </c>
      <c r="M454" s="77" t="inlineStr">
        <is>
          <t>Business/management</t>
        </is>
      </c>
      <c r="N454" s="77" t="inlineStr">
        <is>
          <t>Undergraduate</t>
        </is>
      </c>
      <c r="O454" s="77" t="inlineStr">
        <is>
          <t>Final year (assumed; not retrieved)</t>
        </is>
      </c>
      <c r="P454" s="77" t="inlineStr"/>
      <c r="Q454" s="77" t="inlineStr">
        <is>
          <t>Unclear</t>
        </is>
      </c>
      <c r="R454" s="77" t="inlineStr">
        <is>
          <t>Curricular</t>
        </is>
      </c>
      <c r="S454" s="77" t="inlineStr">
        <is>
          <t>30 credits</t>
        </is>
      </c>
      <c r="T454" s="77" t="inlineStr">
        <is>
          <t>Semester 1 (group element)</t>
        </is>
      </c>
      <c r="U454" s="77" t="inlineStr">
        <is>
          <t>Group project with external business partner; client interaction</t>
        </is>
      </c>
      <c r="V454" s="77" t="inlineStr">
        <is>
          <t>Yes</t>
        </is>
      </c>
      <c r="W454" s="77" t="inlineStr">
        <is>
          <t>Analysis and growth proposals for a partner business [1].</t>
        </is>
      </c>
      <c r="X454" s="77" t="inlineStr">
        <is>
          <t>Yes</t>
        </is>
      </c>
      <c r="Y454" s="77" t="inlineStr">
        <is>
          <t>'students work in groups with an external business partner' [1].</t>
        </is>
      </c>
      <c r="Z454" s="77" t="inlineStr">
        <is>
          <t>Yes</t>
        </is>
      </c>
      <c r="AA454" s="77" t="inlineStr">
        <is>
          <t>Project is client-facing and requires interaction with the external business partner [1].</t>
        </is>
      </c>
      <c r="AB454" s="77" t="inlineStr">
        <is>
          <t>Business/commercial</t>
        </is>
      </c>
      <c r="AC454" s="77" t="inlineStr">
        <is>
          <t>Partner business (typically start-up) engaged with groups</t>
        </is>
      </c>
      <c r="AD454" s="77" t="inlineStr"/>
      <c r="AE454" s="77" t="inlineStr">
        <is>
          <t>Growth proposals for partner business</t>
        </is>
      </c>
      <c r="AF454" s="77">
        <f>IF(OR(V454="No",X454="No",Z454="No"),"Outside strict definition",IF(AND(V454="Yes",X454="Yes",Z454="Yes"),"Meets all three","Potentially relevant; evidence incomplete"))</f>
        <v/>
      </c>
      <c r="AG454" s="77" t="inlineStr">
        <is>
          <t>Current delivery confirmed</t>
        </is>
      </c>
      <c r="AH454" s="77" t="inlineStr">
        <is>
          <t>2026/27</t>
        </is>
      </c>
      <c r="AI454" s="77" t="inlineStr">
        <is>
          <t>Yes</t>
        </is>
      </c>
      <c r="AJ454" s="77">
        <f>IF(AND(AI454="Yes",AF454="Meets all three",AG454="Current delivery confirmed"),"Yes","No")</f>
        <v/>
      </c>
      <c r="AK454" s="77" t="inlineStr"/>
      <c r="AL454" s="77" t="inlineStr">
        <is>
          <t>UK07-S06-R1; UK07-S06-R2</t>
        </is>
      </c>
      <c r="AM454" s="77" t="inlineStr">
        <is>
          <t>The 2025/6 catalogue entry describes an individual business-idea project; the group-partner format appears from 2026/7. Programme eligibility, compulsory/optional status and partner names not retrieved.</t>
        </is>
      </c>
      <c r="AN454" s="77" t="inlineStr"/>
      <c r="AO454" s="77" t="inlineStr">
        <is>
          <t>UK</t>
        </is>
      </c>
      <c r="AP454" s="77" t="inlineStr">
        <is>
          <t>UK – additional</t>
        </is>
      </c>
      <c r="AQ454" s="77" t="inlineStr">
        <is>
          <t>~1 term/semester</t>
        </is>
      </c>
      <c r="AR454" s="77" t="inlineStr">
        <is>
          <t>All/standard</t>
        </is>
      </c>
      <c r="AS454" s="77" t="inlineStr"/>
    </row>
    <row r="455">
      <c r="A455" s="77" t="inlineStr">
        <is>
          <t>UK07</t>
        </is>
      </c>
      <c r="B455" s="77" t="inlineStr">
        <is>
          <t>Surrey</t>
        </is>
      </c>
      <c r="C455" s="77" t="inlineStr">
        <is>
          <t>Programme/course</t>
        </is>
      </c>
      <c r="D455" s="77" t="inlineStr">
        <is>
          <t>UK07-S07</t>
        </is>
      </c>
      <c r="E455" s="77" t="inlineStr"/>
      <c r="F455" s="77" t="inlineStr">
        <is>
          <t>No</t>
        </is>
      </c>
      <c r="G455" s="79" t="inlineStr">
        <is>
          <t>Business Consultancy Project (B-Clinic)</t>
        </is>
      </c>
      <c r="H455" s="77" t="inlineStr">
        <is>
          <t>B-Clinic Consultancy Project</t>
        </is>
      </c>
      <c r="I455" s="77" t="inlineStr"/>
      <c r="J455" s="77" t="inlineStr">
        <is>
          <t>Supervised consultancy for a partner company on a strategic issue; kick-off with client, student and supervisor; client contact meets student at least four times; 12,000-word report plus optional practical output (website prototype, campaign, design, database). Offered individually or in groups, short-term or a full semester; used as an option on the MSc Entrepreneurship &amp; Innovation Management.</t>
        </is>
      </c>
      <c r="K455" s="77" t="inlineStr">
        <is>
          <t>Surrey Business School</t>
        </is>
      </c>
      <c r="L455" s="77" t="inlineStr">
        <is>
          <t>MSc Entrepreneurship &amp; Innovation Management option; wider eligibility unclear</t>
        </is>
      </c>
      <c r="M455" s="77" t="inlineStr">
        <is>
          <t>Business/management</t>
        </is>
      </c>
      <c r="N455" s="77" t="inlineStr">
        <is>
          <t>Mixed</t>
        </is>
      </c>
      <c r="O455" s="77" t="inlineStr"/>
      <c r="P455" s="77" t="inlineStr"/>
      <c r="Q455" s="77" t="inlineStr">
        <is>
          <t>Optional/elective</t>
        </is>
      </c>
      <c r="R455" s="77" t="inlineStr">
        <is>
          <t>Curricular</t>
        </is>
      </c>
      <c r="S455" s="77" t="inlineStr">
        <is>
          <t>12,000-word report</t>
        </is>
      </c>
      <c r="T455" s="77" t="inlineStr">
        <is>
          <t>Short-term to a full semester</t>
        </is>
      </c>
      <c r="U455" s="77" t="inlineStr">
        <is>
          <t>Supervised client consultancy</t>
        </is>
      </c>
      <c r="V455" s="77" t="inlineStr">
        <is>
          <t>Yes</t>
        </is>
      </c>
      <c r="W455" s="77" t="inlineStr">
        <is>
          <t>Formal brief, objectives, deliverables, 12,000-word report [1].</t>
        </is>
      </c>
      <c r="X455" s="77" t="inlineStr">
        <is>
          <t>Unclear</t>
        </is>
      </c>
      <c r="Y455" s="77" t="inlineStr">
        <is>
          <t>Pages say projects may be individual or group, but 'each student submits a 12,000-word report'; routes not separable [1][2].</t>
        </is>
      </c>
      <c r="Z455" s="77" t="inlineStr">
        <is>
          <t>Yes</t>
        </is>
      </c>
      <c r="AA455" s="77" t="inlineStr">
        <is>
          <t>Business partner defines the brief, attends kick-off, meets student/supervisor and may agree a practical output [1].</t>
        </is>
      </c>
      <c r="AB455" s="77" t="inlineStr">
        <is>
          <t>Business/commercial</t>
        </is>
      </c>
      <c r="AC455" s="77" t="inlineStr">
        <is>
          <t>Defines brief, regular meetings</t>
        </is>
      </c>
      <c r="AD455" s="77" t="inlineStr"/>
      <c r="AE455" s="77" t="inlineStr">
        <is>
          <t>12,000-word report plus agreed practical output</t>
        </is>
      </c>
      <c r="AF455" s="77">
        <f>IF(OR(V455="No",X455="No",Z455="No"),"Outside strict definition",IF(AND(V455="Yes",X455="Yes",Z455="Yes"),"Meets all three","Potentially relevant; evidence incomplete"))</f>
        <v/>
      </c>
      <c r="AG455" s="77" t="inlineStr">
        <is>
          <t>Current status unclear</t>
        </is>
      </c>
      <c r="AH455" s="77" t="inlineStr">
        <is>
          <t>undated</t>
        </is>
      </c>
      <c r="AI455" s="77" t="inlineStr">
        <is>
          <t>Yes</t>
        </is>
      </c>
      <c r="AJ455" s="77">
        <f>IF(AND(AI455="Yes",AF455="Meets all three",AG455="Current delivery confirmed"),"Yes","No")</f>
        <v/>
      </c>
      <c r="AK455" s="77" t="inlineStr">
        <is>
          <t>B-Clinic reported as having supported more than 200 students and about 14 businesses a year (Innovate UK funding news; year not stated)</t>
        </is>
      </c>
      <c r="AL455" s="77" t="inlineStr">
        <is>
          <t>UK07-S07-R1; UK07-S07-R2</t>
        </is>
      </c>
      <c r="AM455" s="77" t="inlineStr">
        <is>
          <t>Group vs individual routes cannot be separated; page undated.</t>
        </is>
      </c>
      <c r="AN455" s="77" t="inlineStr"/>
      <c r="AO455" s="77" t="inlineStr">
        <is>
          <t>UK</t>
        </is>
      </c>
      <c r="AP455" s="77" t="inlineStr">
        <is>
          <t>UK – additional</t>
        </is>
      </c>
      <c r="AQ455" s="77" t="inlineStr">
        <is>
          <t>Unclear</t>
        </is>
      </c>
      <c r="AR455" s="77" t="inlineStr">
        <is>
          <t>All/standard</t>
        </is>
      </c>
      <c r="AS455" s="77" t="inlineStr"/>
    </row>
    <row r="456">
      <c r="A456" s="77" t="inlineStr">
        <is>
          <t>UK07</t>
        </is>
      </c>
      <c r="B456" s="77" t="inlineStr">
        <is>
          <t>Surrey</t>
        </is>
      </c>
      <c r="C456" s="77" t="inlineStr">
        <is>
          <t>Programme/course</t>
        </is>
      </c>
      <c r="D456" s="77" t="inlineStr">
        <is>
          <t>UK07-S08</t>
        </is>
      </c>
      <c r="E456" s="77" t="inlineStr"/>
      <c r="F456" s="77" t="inlineStr">
        <is>
          <t>No</t>
        </is>
      </c>
      <c r="G456" s="79" t="inlineStr">
        <is>
          <t>Integrative Applied Project (MANM363) - consultancy option</t>
        </is>
      </c>
      <c r="H456" s="77" t="inlineStr">
        <is>
          <t>MBA Integrative Applied Project</t>
        </is>
      </c>
      <c r="I456" s="77" t="inlineStr">
        <is>
          <t>MANM363</t>
        </is>
      </c>
      <c r="J456" s="77" t="inlineStr">
        <is>
          <t>Core 30-credit MBA Semester 2 independent project; students may choose a consultancy option on a live business problem with a real company (corporate, public or third sector) producing client-actionable outcomes, or a management research project.</t>
        </is>
      </c>
      <c r="K456" s="77" t="inlineStr">
        <is>
          <t>Surrey Business School</t>
        </is>
      </c>
      <c r="L456" s="77" t="inlineStr">
        <is>
          <t>MBA (consultancy option within core module)</t>
        </is>
      </c>
      <c r="M456" s="77" t="inlineStr">
        <is>
          <t>Business/management</t>
        </is>
      </c>
      <c r="N456" s="77" t="inlineStr">
        <is>
          <t>Postgraduate taught</t>
        </is>
      </c>
      <c r="O456" s="77" t="inlineStr"/>
      <c r="P456" s="77" t="inlineStr"/>
      <c r="Q456" s="77" t="inlineStr">
        <is>
          <t>Optional/elective</t>
        </is>
      </c>
      <c r="R456" s="77" t="inlineStr">
        <is>
          <t>Curricular</t>
        </is>
      </c>
      <c r="S456" s="77" t="inlineStr">
        <is>
          <t>30 credits</t>
        </is>
      </c>
      <c r="T456" s="77" t="inlineStr">
        <is>
          <t>Semester 2</t>
        </is>
      </c>
      <c r="U456" s="77" t="inlineStr">
        <is>
          <t>Independent project</t>
        </is>
      </c>
      <c r="V456" s="77" t="inlineStr">
        <is>
          <t>Yes</t>
        </is>
      </c>
      <c r="W456" s="77" t="inlineStr">
        <is>
          <t>Consultancy outcomes must be actionable by the client [1].</t>
        </is>
      </c>
      <c r="X456" s="77" t="inlineStr">
        <is>
          <t>Unclear</t>
        </is>
      </c>
      <c r="Y456" s="77" t="inlineStr">
        <is>
          <t>Described as an independent project; team format not stated [1].</t>
        </is>
      </c>
      <c r="Z456" s="77" t="inlineStr">
        <is>
          <t>Yes</t>
        </is>
      </c>
      <c r="AA456" s="77" t="inlineStr">
        <is>
          <t>Live business problem with a real company; judged on added value to the customer [1].</t>
        </is>
      </c>
      <c r="AB456" s="77" t="inlineStr">
        <is>
          <t>Mixed</t>
        </is>
      </c>
      <c r="AC456" s="77" t="inlineStr">
        <is>
          <t>Hosts live problem; benefits from outcomes</t>
        </is>
      </c>
      <c r="AD456" s="77" t="inlineStr"/>
      <c r="AE456" s="77" t="inlineStr">
        <is>
          <t>Consultancy outcome for client</t>
        </is>
      </c>
      <c r="AF456" s="77">
        <f>IF(OR(V456="No",X456="No",Z456="No"),"Outside strict definition",IF(AND(V456="Yes",X456="Yes",Z456="Yes"),"Meets all three","Potentially relevant; evidence incomplete"))</f>
        <v/>
      </c>
      <c r="AG456" s="77" t="inlineStr">
        <is>
          <t>Current delivery confirmed</t>
        </is>
      </c>
      <c r="AH456" s="77" t="inlineStr">
        <is>
          <t>2025/26</t>
        </is>
      </c>
      <c r="AI456" s="77" t="inlineStr">
        <is>
          <t>Yes</t>
        </is>
      </c>
      <c r="AJ456" s="77">
        <f>IF(AND(AI456="Yes",AF456="Meets all three",AG456="Current delivery confirmed"),"Yes","No")</f>
        <v/>
      </c>
      <c r="AK456" s="77" t="inlineStr"/>
      <c r="AL456" s="77" t="inlineStr">
        <is>
          <t>UK07-S08-R1</t>
        </is>
      </c>
      <c r="AM456" s="77" t="inlineStr">
        <is>
          <t>Group working unclear; consultancy is one option of two.</t>
        </is>
      </c>
      <c r="AN456" s="77" t="inlineStr"/>
      <c r="AO456" s="77" t="inlineStr">
        <is>
          <t>UK</t>
        </is>
      </c>
      <c r="AP456" s="77" t="inlineStr">
        <is>
          <t>UK – additional</t>
        </is>
      </c>
      <c r="AQ456" s="77" t="inlineStr">
        <is>
          <t>~1 term/semester</t>
        </is>
      </c>
      <c r="AR456" s="77" t="inlineStr">
        <is>
          <t>Some projects</t>
        </is>
      </c>
      <c r="AS456" s="77" t="inlineStr"/>
    </row>
    <row r="457">
      <c r="A457" s="77" t="inlineStr">
        <is>
          <t>UK07</t>
        </is>
      </c>
      <c r="B457" s="77" t="inlineStr">
        <is>
          <t>Surrey</t>
        </is>
      </c>
      <c r="C457" s="77" t="inlineStr">
        <is>
          <t>Faculty/school</t>
        </is>
      </c>
      <c r="D457" s="77" t="inlineStr">
        <is>
          <t>UK07-S09</t>
        </is>
      </c>
      <c r="E457" s="77" t="inlineStr"/>
      <c r="F457" s="77" t="inlineStr">
        <is>
          <t>No</t>
        </is>
      </c>
      <c r="G457" s="79" t="inlineStr">
        <is>
          <t>Multi-Disciplinary Design Project (ENGM001)</t>
        </is>
      </c>
      <c r="H457" s="77" t="inlineStr">
        <is>
          <t>Multi-Disciplinary Design Project</t>
        </is>
      </c>
      <c r="I457" s="77" t="inlineStr">
        <is>
          <t>ENGM001</t>
        </is>
      </c>
      <c r="J457" s="77" t="inlineStr">
        <is>
          <t>Semester 1 30-credit core module for MEng students: groups drawn from at least three engineering disciplines (aerospace, civil, chemical, electronic, mechanical, medical) work on industry-originated briefs from Royal Academy of Engineering Visiting Professors from Industry, with weekly meetings with the visiting professor; emulates an intensive industrial design project.</t>
        </is>
      </c>
      <c r="K457" s="77" t="inlineStr">
        <is>
          <t>School of Engineering (Chemistry and Chemical Engineering provider)</t>
        </is>
      </c>
      <c r="L457" s="77" t="inlineStr">
        <is>
          <t>MEng programmes incl. Aerospace, Civil, Electronic, Biomedical (core/compulsory)</t>
        </is>
      </c>
      <c r="M457" s="77" t="inlineStr">
        <is>
          <t>Engineering/computing</t>
        </is>
      </c>
      <c r="N457" s="77" t="inlineStr">
        <is>
          <t>Undergraduate</t>
        </is>
      </c>
      <c r="O457" s="77" t="inlineStr">
        <is>
          <t>MEng (FHEQ L7 module)</t>
        </is>
      </c>
      <c r="P457" s="77" t="inlineStr"/>
      <c r="Q457" s="77" t="inlineStr">
        <is>
          <t>Compulsory within specified programmes</t>
        </is>
      </c>
      <c r="R457" s="77" t="inlineStr">
        <is>
          <t>Curricular</t>
        </is>
      </c>
      <c r="S457" s="77" t="inlineStr">
        <is>
          <t>30 credits; 2025/6 marks for communication and teamwork across group meetings, presentations and oral exam; weighting not retrieved</t>
        </is>
      </c>
      <c r="T457" s="77" t="inlineStr">
        <is>
          <t>Semester 1</t>
        </is>
      </c>
      <c r="U457" s="77" t="inlineStr">
        <is>
          <t>Multi-disciplinary groups with industry Visiting Professor</t>
        </is>
      </c>
      <c r="V457" s="77" t="inlineStr">
        <is>
          <t>Yes</t>
        </is>
      </c>
      <c r="W457" s="77" t="inlineStr">
        <is>
          <t>Industry design briefs; reports, presentation, poster and viva in earlier years [1].</t>
        </is>
      </c>
      <c r="X457" s="77" t="inlineStr">
        <is>
          <t>Yes</t>
        </is>
      </c>
      <c r="Y457" s="77" t="inlineStr">
        <is>
          <t>Groups of at least three disciplines, often four; teamwork assessed [1].</t>
        </is>
      </c>
      <c r="Z457" s="77" t="inlineStr">
        <is>
          <t>Yes</t>
        </is>
      </c>
      <c r="AA457" s="77" t="inlineStr">
        <is>
          <t>Briefs come from RAE Visiting Professors from Industry supported by their sponsoring organisation; visiting professor meets weekly and records marks with tutors [1].</t>
        </is>
      </c>
      <c r="AB457" s="77" t="inlineStr">
        <is>
          <t>Business/commercial</t>
        </is>
      </c>
      <c r="AC457" s="77" t="inlineStr">
        <is>
          <t>Industry visiting professor supplies brief, mentors weekly, contributes to assessment</t>
        </is>
      </c>
      <c r="AD457" s="77" t="inlineStr"/>
      <c r="AE457" s="77" t="inlineStr">
        <is>
          <t>Design report/presentation/poster/viva</t>
        </is>
      </c>
      <c r="AF457" s="77">
        <f>IF(OR(V457="No",X457="No",Z457="No"),"Outside strict definition",IF(AND(V457="Yes",X457="Yes",Z457="Yes"),"Meets all three","Potentially relevant; evidence incomplete"))</f>
        <v/>
      </c>
      <c r="AG457" s="77" t="inlineStr">
        <is>
          <t>Current delivery confirmed</t>
        </is>
      </c>
      <c r="AH457" s="77" t="inlineStr">
        <is>
          <t>2025/26</t>
        </is>
      </c>
      <c r="AI457" s="77" t="inlineStr">
        <is>
          <t>Yes</t>
        </is>
      </c>
      <c r="AJ457" s="77">
        <f>IF(AND(AI457="Yes",AF457="Meets all three",AG457="Current delivery confirmed"),"Yes","No")</f>
        <v/>
      </c>
      <c r="AK457" s="77" t="inlineStr"/>
      <c r="AL457" s="77" t="inlineStr">
        <is>
          <t>UK07-S09-R1</t>
        </is>
      </c>
      <c r="AM457" s="77" t="inlineStr">
        <is>
          <t>Sponsoring organisations unnamed; visiting professors act through their companies, but the sponsor's direct engagement with students is via the professor.</t>
        </is>
      </c>
      <c r="AN457" s="77" t="inlineStr"/>
      <c r="AO457" s="77" t="inlineStr">
        <is>
          <t>UK</t>
        </is>
      </c>
      <c r="AP457" s="77" t="inlineStr">
        <is>
          <t>UK – additional</t>
        </is>
      </c>
      <c r="AQ457" s="77" t="inlineStr">
        <is>
          <t>~1 term/semester</t>
        </is>
      </c>
      <c r="AR457" s="77" t="inlineStr">
        <is>
          <t>All/standard</t>
        </is>
      </c>
      <c r="AS457" s="77" t="inlineStr"/>
    </row>
    <row r="458">
      <c r="A458" s="77" t="inlineStr">
        <is>
          <t>UK07</t>
        </is>
      </c>
      <c r="B458" s="77" t="inlineStr">
        <is>
          <t>Surrey</t>
        </is>
      </c>
      <c r="C458" s="77" t="inlineStr">
        <is>
          <t>Faculty/school</t>
        </is>
      </c>
      <c r="D458" s="77" t="inlineStr">
        <is>
          <t>UK07-S10</t>
        </is>
      </c>
      <c r="E458" s="77" t="inlineStr"/>
      <c r="F458" s="77" t="inlineStr">
        <is>
          <t>No</t>
        </is>
      </c>
      <c r="G458" s="79" t="inlineStr">
        <is>
          <t>Group Design Project (ENGM307 / ENG3162)</t>
        </is>
      </c>
      <c r="H458" s="77" t="inlineStr">
        <is>
          <t>Group Design Project</t>
        </is>
      </c>
      <c r="I458" s="77" t="inlineStr">
        <is>
          <t>ENGM307</t>
        </is>
      </c>
      <c r="J458" s="77" t="inlineStr">
        <is>
          <t>Small groups tackle a design challenge; 'where feasible' projects are proposed by industrial partners.</t>
        </is>
      </c>
      <c r="K458" s="77" t="inlineStr">
        <is>
          <t>School of Engineering</t>
        </is>
      </c>
      <c r="L458" s="77" t="inlineStr"/>
      <c r="M458" s="77" t="inlineStr">
        <is>
          <t>Engineering/computing</t>
        </is>
      </c>
      <c r="N458" s="77" t="inlineStr">
        <is>
          <t>Unclear</t>
        </is>
      </c>
      <c r="O458" s="77" t="inlineStr"/>
      <c r="P458" s="77" t="inlineStr"/>
      <c r="Q458" s="77" t="inlineStr">
        <is>
          <t>Unclear</t>
        </is>
      </c>
      <c r="R458" s="77" t="inlineStr">
        <is>
          <t>Curricular</t>
        </is>
      </c>
      <c r="S458" s="77" t="inlineStr"/>
      <c r="T458" s="77" t="inlineStr"/>
      <c r="U458" s="77" t="inlineStr"/>
      <c r="V458" s="77" t="inlineStr">
        <is>
          <t>Yes</t>
        </is>
      </c>
      <c r="W458" s="77" t="inlineStr">
        <is>
          <t>Group design challenge [1].</t>
        </is>
      </c>
      <c r="X458" s="77" t="inlineStr">
        <is>
          <t>Yes</t>
        </is>
      </c>
      <c r="Y458" s="77" t="inlineStr">
        <is>
          <t>Small groups [1].</t>
        </is>
      </c>
      <c r="Z458" s="77" t="inlineStr">
        <is>
          <t>Unclear</t>
        </is>
      </c>
      <c r="AA458" s="77" t="inlineStr">
        <is>
          <t>Only 'where feasible' industrial partners propose projects; 2027/8 version has staff as customers 'often through consultation with industry' [1].</t>
        </is>
      </c>
      <c r="AB458" s="77" t="inlineStr">
        <is>
          <t>Business/commercial</t>
        </is>
      </c>
      <c r="AC458" s="77" t="inlineStr">
        <is>
          <t>May propose projects</t>
        </is>
      </c>
      <c r="AD458" s="77" t="inlineStr"/>
      <c r="AE458" s="77" t="inlineStr"/>
      <c r="AF458" s="77">
        <f>IF(OR(V458="No",X458="No",Z458="No"),"Outside strict definition",IF(AND(V458="Yes",X458="Yes",Z458="Yes"),"Meets all three","Potentially relevant; evidence incomplete"))</f>
        <v/>
      </c>
      <c r="AG458" s="77" t="inlineStr">
        <is>
          <t>Current delivery confirmed</t>
        </is>
      </c>
      <c r="AH458" s="77" t="inlineStr">
        <is>
          <t>2025/26</t>
        </is>
      </c>
      <c r="AI458" s="77" t="inlineStr">
        <is>
          <t>Yes</t>
        </is>
      </c>
      <c r="AJ458" s="77">
        <f>IF(AND(AI458="Yes",AF458="Meets all three",AG458="Current delivery confirmed"),"Yes","No")</f>
        <v/>
      </c>
      <c r="AK458" s="77" t="inlineStr"/>
      <c r="AL458" s="77" t="inlineStr">
        <is>
          <t>UK07-S10-R1</t>
        </is>
      </c>
      <c r="AM458" s="77" t="inlineStr">
        <is>
          <t>Programmes, credits, partner share unknown.</t>
        </is>
      </c>
      <c r="AN458" s="77" t="inlineStr"/>
      <c r="AO458" s="77" t="inlineStr">
        <is>
          <t>UK</t>
        </is>
      </c>
      <c r="AP458" s="77" t="inlineStr">
        <is>
          <t>UK – additional</t>
        </is>
      </c>
      <c r="AQ458" s="77" t="inlineStr">
        <is>
          <t>Unclear</t>
        </is>
      </c>
      <c r="AR458" s="77" t="inlineStr">
        <is>
          <t>Some projects</t>
        </is>
      </c>
      <c r="AS458" s="77" t="inlineStr"/>
    </row>
    <row r="459">
      <c r="A459" s="77" t="inlineStr">
        <is>
          <t>UK07</t>
        </is>
      </c>
      <c r="B459" s="77" t="inlineStr">
        <is>
          <t>Surrey</t>
        </is>
      </c>
      <c r="C459" s="77" t="inlineStr">
        <is>
          <t>Programme/course</t>
        </is>
      </c>
      <c r="D459" s="77" t="inlineStr">
        <is>
          <t>UK07-S11</t>
        </is>
      </c>
      <c r="E459" s="77" t="inlineStr"/>
      <c r="F459" s="77" t="inlineStr">
        <is>
          <t>No</t>
        </is>
      </c>
      <c r="G459" s="79" t="inlineStr">
        <is>
          <t>Software Engineering Project (COM2027)</t>
        </is>
      </c>
      <c r="H459" s="77" t="inlineStr">
        <is>
          <t>Software Engineering Project</t>
        </is>
      </c>
      <c r="I459" s="77" t="inlineStr">
        <is>
          <t>COM2027</t>
        </is>
      </c>
      <c r="J459" s="77" t="inlineStr">
        <is>
          <t>Second-year team software project built from a high-level specification, supervised by a staff 'project sponsor'; teams deliver a system; presentations 'potentially' to external stakeholders.</t>
        </is>
      </c>
      <c r="K459" s="77" t="inlineStr">
        <is>
          <t>Department of Computer Science</t>
        </is>
      </c>
      <c r="L459" s="77" t="inlineStr">
        <is>
          <t>Computer Science BSc/MEng</t>
        </is>
      </c>
      <c r="M459" s="77" t="inlineStr">
        <is>
          <t>Engineering/computing</t>
        </is>
      </c>
      <c r="N459" s="77" t="inlineStr">
        <is>
          <t>Undergraduate</t>
        </is>
      </c>
      <c r="O459" s="77" t="inlineStr">
        <is>
          <t>Year 2</t>
        </is>
      </c>
      <c r="P459" s="77" t="inlineStr"/>
      <c r="Q459" s="77" t="inlineStr">
        <is>
          <t>Compulsory within specified programmes</t>
        </is>
      </c>
      <c r="R459" s="77" t="inlineStr">
        <is>
          <t>Curricular</t>
        </is>
      </c>
      <c r="S459" s="77" t="inlineStr"/>
      <c r="T459" s="77" t="inlineStr"/>
      <c r="U459" s="77" t="inlineStr"/>
      <c r="V459" s="77" t="inlineStr">
        <is>
          <t>Yes</t>
        </is>
      </c>
      <c r="W459" s="77" t="inlineStr">
        <is>
          <t>Large-scale team software project [1].</t>
        </is>
      </c>
      <c r="X459" s="77" t="inlineStr">
        <is>
          <t>Yes</t>
        </is>
      </c>
      <c r="Y459" s="77" t="inlineStr">
        <is>
          <t>Team project [1].</t>
        </is>
      </c>
      <c r="Z459" s="77" t="inlineStr">
        <is>
          <t>Unclear</t>
        </is>
      </c>
      <c r="AA459" s="77" t="inlineStr">
        <is>
          <t>Sponsor is a member of the teaching team; external stakeholders only potential audience; a course page says teams deliver to clients [1].</t>
        </is>
      </c>
      <c r="AB459" s="77" t="inlineStr">
        <is>
          <t>Unclear</t>
        </is>
      </c>
      <c r="AC459" s="77" t="inlineStr">
        <is>
          <t>Not evidenced</t>
        </is>
      </c>
      <c r="AD459" s="77" t="inlineStr"/>
      <c r="AE459" s="77" t="inlineStr"/>
      <c r="AF459" s="77">
        <f>IF(OR(V459="No",X459="No",Z459="No"),"Outside strict definition",IF(AND(V459="Yes",X459="Yes",Z459="Yes"),"Meets all three","Potentially relevant; evidence incomplete"))</f>
        <v/>
      </c>
      <c r="AG459" s="77" t="inlineStr">
        <is>
          <t>Current delivery confirmed</t>
        </is>
      </c>
      <c r="AH459" s="77" t="inlineStr">
        <is>
          <t>2026/27</t>
        </is>
      </c>
      <c r="AI459" s="77" t="inlineStr">
        <is>
          <t>Yes</t>
        </is>
      </c>
      <c r="AJ459" s="77">
        <f>IF(AND(AI459="Yes",AF459="Meets all three",AG459="Current delivery confirmed"),"Yes","No")</f>
        <v/>
      </c>
      <c r="AK459" s="77" t="inlineStr"/>
      <c r="AL459" s="77" t="inlineStr">
        <is>
          <t>UK07-S11-R1</t>
        </is>
      </c>
      <c r="AM459" s="77" t="inlineStr">
        <is>
          <t>No external organisation evidenced as client.</t>
        </is>
      </c>
      <c r="AN459" s="77" t="inlineStr"/>
      <c r="AO459" s="77" t="inlineStr">
        <is>
          <t>UK</t>
        </is>
      </c>
      <c r="AP459" s="77" t="inlineStr">
        <is>
          <t>UK – additional</t>
        </is>
      </c>
      <c r="AQ459" s="77" t="inlineStr">
        <is>
          <t>Unclear</t>
        </is>
      </c>
      <c r="AR459" s="77" t="inlineStr">
        <is>
          <t>Unclear</t>
        </is>
      </c>
      <c r="AS459" s="77" t="inlineStr"/>
    </row>
    <row r="460">
      <c r="A460" s="77" t="inlineStr">
        <is>
          <t>UK07</t>
        </is>
      </c>
      <c r="B460" s="77" t="inlineStr">
        <is>
          <t>Surrey</t>
        </is>
      </c>
      <c r="C460" s="77" t="inlineStr">
        <is>
          <t>Unclear</t>
        </is>
      </c>
      <c r="D460" s="77" t="inlineStr">
        <is>
          <t>UK07-S12</t>
        </is>
      </c>
      <c r="E460" s="77" t="inlineStr"/>
      <c r="F460" s="77" t="inlineStr">
        <is>
          <t>No</t>
        </is>
      </c>
      <c r="G460" s="79" t="inlineStr">
        <is>
          <t>IKEEP (Intrapreneurial Knowledge Exchange Enterprise Pathway)</t>
        </is>
      </c>
      <c r="H460" s="77" t="inlineStr">
        <is>
          <t>IKEEP</t>
        </is>
      </c>
      <c r="I460" s="77" t="inlineStr"/>
      <c r="J460" s="77" t="inlineStr">
        <is>
          <t>SETsquared-backed scheme: team of three students from varied disciplines (undergraduate and postgraduate) works on a 'backburner' innovation project for a local business or charity, intensively over 2 weeks or flexibly over 4 weeks; free to organisations; students receive a stipend.</t>
        </is>
      </c>
      <c r="K460" s="77" t="inlineStr">
        <is>
          <t>Student Enterprise</t>
        </is>
      </c>
      <c r="L460" s="77" t="inlineStr">
        <is>
          <t>Students across disciplines (restrictions not retrieved)</t>
        </is>
      </c>
      <c r="M460" s="77" t="inlineStr">
        <is>
          <t>Central provision</t>
        </is>
      </c>
      <c r="N460" s="77" t="inlineStr">
        <is>
          <t>Mixed</t>
        </is>
      </c>
      <c r="O460" s="77" t="inlineStr"/>
      <c r="P460" s="77" t="inlineStr"/>
      <c r="Q460" s="77" t="inlineStr">
        <is>
          <t>Selective/competitive</t>
        </is>
      </c>
      <c r="R460" s="77" t="inlineStr">
        <is>
          <t>Extracurricular</t>
        </is>
      </c>
      <c r="S460" s="77" t="inlineStr">
        <is>
          <t>Stipend on completion (2021: GBP450); not credit-bearing</t>
        </is>
      </c>
      <c r="T460" s="77" t="inlineStr">
        <is>
          <t>2-4 weeks (210 h in 2021)</t>
        </is>
      </c>
      <c r="U460" s="77" t="inlineStr">
        <is>
          <t>Short team placement with project brief</t>
        </is>
      </c>
      <c r="V460" s="77" t="inlineStr">
        <is>
          <t>Yes</t>
        </is>
      </c>
      <c r="W460" s="77" t="inlineStr">
        <is>
          <t>Organisation supplies a project brief developed with Student Enterprise [1].</t>
        </is>
      </c>
      <c r="X460" s="77" t="inlineStr">
        <is>
          <t>Yes</t>
        </is>
      </c>
      <c r="Y460" s="77" t="inlineStr">
        <is>
          <t>Team of three students [1].</t>
        </is>
      </c>
      <c r="Z460" s="77" t="inlineStr">
        <is>
          <t>Yes</t>
        </is>
      </c>
      <c r="AA460" s="77" t="inlineStr">
        <is>
          <t>Local business/charity submits brief and hosts the team [1][2].</t>
        </is>
      </c>
      <c r="AB460" s="77" t="inlineStr">
        <is>
          <t>Mixed</t>
        </is>
      </c>
      <c r="AC460" s="77" t="inlineStr">
        <is>
          <t>Supplies brief, hosts team</t>
        </is>
      </c>
      <c r="AD460" s="77" t="inlineStr"/>
      <c r="AE460" s="77" t="inlineStr">
        <is>
          <t>Project outcome for host organisation</t>
        </is>
      </c>
      <c r="AF460" s="77">
        <f>IF(OR(V460="No",X460="No",Z460="No"),"Outside strict definition",IF(AND(V460="Yes",X460="Yes",Z460="Yes"),"Meets all three","Potentially relevant; evidence incomplete"))</f>
        <v/>
      </c>
      <c r="AG460" s="77" t="inlineStr">
        <is>
          <t>Current status unclear</t>
        </is>
      </c>
      <c r="AH460" s="77" t="inlineStr">
        <is>
          <t>2021</t>
        </is>
      </c>
      <c r="AI460" s="77" t="inlineStr">
        <is>
          <t>Yes</t>
        </is>
      </c>
      <c r="AJ460" s="77">
        <f>IF(AND(AI460="Yes",AF460="Meets all three",AG460="Current delivery confirmed"),"Yes","No")</f>
        <v/>
      </c>
      <c r="AK460" s="77" t="inlineStr"/>
      <c r="AL460" s="77" t="inlineStr">
        <is>
          <t>UK07-S12-R1; UK07-S12-R2</t>
        </is>
      </c>
      <c r="AM460" s="77" t="inlineStr">
        <is>
          <t>Most dated pages are 2020-21; current 'Work with our students' page undated. Delivery in 2025/26 not verified.</t>
        </is>
      </c>
      <c r="AN460" s="77" t="inlineStr"/>
      <c r="AO460" s="77" t="inlineStr">
        <is>
          <t>UK</t>
        </is>
      </c>
      <c r="AP460" s="77" t="inlineStr">
        <is>
          <t>UK – additional</t>
        </is>
      </c>
      <c r="AQ460" s="77" t="inlineStr">
        <is>
          <t>1-4 weeks</t>
        </is>
      </c>
      <c r="AR460" s="77" t="inlineStr">
        <is>
          <t>All/standard</t>
        </is>
      </c>
      <c r="AS460" s="77" t="inlineStr"/>
    </row>
    <row r="461">
      <c r="A461" s="77" t="inlineStr">
        <is>
          <t>UK07</t>
        </is>
      </c>
      <c r="B461" s="77" t="inlineStr">
        <is>
          <t>Surrey</t>
        </is>
      </c>
      <c r="C461" s="77" t="inlineStr">
        <is>
          <t>Programme/course</t>
        </is>
      </c>
      <c r="D461" s="77" t="inlineStr">
        <is>
          <t>UK07-S13</t>
        </is>
      </c>
      <c r="E461" s="77" t="inlineStr"/>
      <c r="F461" s="77" t="inlineStr">
        <is>
          <t>No</t>
        </is>
      </c>
      <c r="G461" s="79" t="inlineStr">
        <is>
          <t>iTEK (Ready4Innovation challenges, ERA Foundation funded)</t>
        </is>
      </c>
      <c r="H461" s="77" t="inlineStr">
        <is>
          <t>iTEK</t>
        </is>
      </c>
      <c r="I461" s="77" t="inlineStr"/>
      <c r="J461" s="77" t="inlineStr">
        <is>
          <t>Intrapreneurship programme connecting SMEs and industry partners with small student teams drawn from the cohort attached to a module (began with MSc Artificial Intelligence); teams get intrapreneurship training and coaching and tackle SME-set innovation challenges (kick-off, review, delivery, handover) for short-term funded projects.</t>
        </is>
      </c>
      <c r="K461" s="77" t="inlineStr">
        <is>
          <t>Student Enterprise</t>
        </is>
      </c>
      <c r="L461" s="77" t="inlineStr">
        <is>
          <t>MSc Artificial Intelligence (initially)</t>
        </is>
      </c>
      <c r="M461" s="77" t="inlineStr">
        <is>
          <t>Central provision; Engineering/computing</t>
        </is>
      </c>
      <c r="N461" s="77" t="inlineStr">
        <is>
          <t>Postgraduate taught</t>
        </is>
      </c>
      <c r="O461" s="77" t="inlineStr"/>
      <c r="P461" s="77" t="inlineStr"/>
      <c r="Q461" s="77" t="inlineStr">
        <is>
          <t>Unclear</t>
        </is>
      </c>
      <c r="R461" s="77" t="inlineStr">
        <is>
          <t>Mixed</t>
        </is>
      </c>
      <c r="S461" s="77" t="inlineStr"/>
      <c r="T461" s="77" t="inlineStr">
        <is>
          <t>Short-term project (a Ready4Innovation summary indicated four weeks part-time; not confirmed)</t>
        </is>
      </c>
      <c r="U461" s="77" t="inlineStr">
        <is>
          <t>Team challenge with industry coaching</t>
        </is>
      </c>
      <c r="V461" s="77" t="inlineStr">
        <is>
          <t>Yes</t>
        </is>
      </c>
      <c r="W461" s="77" t="inlineStr">
        <is>
          <t>SME innovation challenge with testable, business-ready outcomes [1].</t>
        </is>
      </c>
      <c r="X461" s="77" t="inlineStr">
        <is>
          <t>Yes</t>
        </is>
      </c>
      <c r="Y461" s="77" t="inlineStr">
        <is>
          <t>'small student teams' [1].</t>
        </is>
      </c>
      <c r="Z461" s="77" t="inlineStr">
        <is>
          <t>Yes</t>
        </is>
      </c>
      <c r="AA461" s="77" t="inlineStr">
        <is>
          <t>SMEs set challenges and receive the team's project outcome [1].</t>
        </is>
      </c>
      <c r="AB461" s="77" t="inlineStr">
        <is>
          <t>Business/commercial</t>
        </is>
      </c>
      <c r="AC461" s="77" t="inlineStr">
        <is>
          <t>Sets challenge, receives output</t>
        </is>
      </c>
      <c r="AD461" s="77" t="inlineStr"/>
      <c r="AE461" s="77" t="inlineStr"/>
      <c r="AF461" s="77">
        <f>IF(OR(V461="No",X461="No",Z461="No"),"Outside strict definition",IF(AND(V461="Yes",X461="Yes",Z461="Yes"),"Meets all three","Potentially relevant; evidence incomplete"))</f>
        <v/>
      </c>
      <c r="AG461" s="77" t="inlineStr">
        <is>
          <t>Current status unclear</t>
        </is>
      </c>
      <c r="AH461" s="77" t="inlineStr">
        <is>
          <t>2022</t>
        </is>
      </c>
      <c r="AI461" s="77" t="inlineStr">
        <is>
          <t>Yes</t>
        </is>
      </c>
      <c r="AJ461" s="77">
        <f>IF(AND(AI461="Yes",AF461="Meets all three",AG461="Current delivery confirmed"),"Yes","No")</f>
        <v/>
      </c>
      <c r="AK461" s="77" t="inlineStr"/>
      <c r="AL461" s="77" t="inlineStr">
        <is>
          <t>UK07-S13-R1</t>
        </is>
      </c>
      <c r="AM461" s="77" t="inlineStr">
        <is>
          <t>ERA donation made 2022, extended 'for another year'; no 2025/26 cohort evidence. Duration, stipend and credit status unconfirmed.</t>
        </is>
      </c>
      <c r="AN461" s="77" t="inlineStr"/>
      <c r="AO461" s="77" t="inlineStr">
        <is>
          <t>UK</t>
        </is>
      </c>
      <c r="AP461" s="77" t="inlineStr">
        <is>
          <t>UK – additional</t>
        </is>
      </c>
      <c r="AQ461" s="77" t="inlineStr">
        <is>
          <t>1-4 weeks</t>
        </is>
      </c>
      <c r="AR461" s="77" t="inlineStr">
        <is>
          <t>All/standard</t>
        </is>
      </c>
      <c r="AS461" s="77" t="inlineStr"/>
    </row>
    <row r="462">
      <c r="A462" s="77" t="inlineStr">
        <is>
          <t>UK07</t>
        </is>
      </c>
      <c r="B462" s="77" t="inlineStr">
        <is>
          <t>Surrey</t>
        </is>
      </c>
      <c r="C462" s="77" t="inlineStr">
        <is>
          <t>Unclear</t>
        </is>
      </c>
      <c r="D462" s="77" t="inlineStr">
        <is>
          <t>UK07-S14</t>
        </is>
      </c>
      <c r="E462" s="77" t="inlineStr"/>
      <c r="F462" s="77" t="inlineStr">
        <is>
          <t>No</t>
        </is>
      </c>
      <c r="G462" s="79" t="inlineStr">
        <is>
          <t>Hackathon17</t>
        </is>
      </c>
      <c r="H462" s="77" t="inlineStr">
        <is>
          <t>Hackathon17 (SDG hackathon)</t>
        </is>
      </c>
      <c r="I462" s="77" t="inlineStr"/>
      <c r="J462" s="77" t="inlineStr">
        <is>
          <t>Three-day Student Enterprise hackathon: interdisciplinary teams address SDG-related problem statements, as a consultancy-style challenge or start-up.</t>
        </is>
      </c>
      <c r="K462" s="77" t="inlineStr">
        <is>
          <t>Student Enterprise</t>
        </is>
      </c>
      <c r="L462" s="77" t="inlineStr"/>
      <c r="M462" s="77" t="inlineStr">
        <is>
          <t>Central provision</t>
        </is>
      </c>
      <c r="N462" s="77" t="inlineStr">
        <is>
          <t>Mixed</t>
        </is>
      </c>
      <c r="O462" s="77" t="inlineStr"/>
      <c r="P462" s="77" t="inlineStr"/>
      <c r="Q462" s="77" t="inlineStr">
        <is>
          <t>Optional/elective</t>
        </is>
      </c>
      <c r="R462" s="77" t="inlineStr">
        <is>
          <t>Extracurricular</t>
        </is>
      </c>
      <c r="S462" s="77" t="inlineStr"/>
      <c r="T462" s="77" t="inlineStr">
        <is>
          <t>3 days</t>
        </is>
      </c>
      <c r="U462" s="77" t="inlineStr"/>
      <c r="V462" s="77" t="inlineStr">
        <is>
          <t>Unclear</t>
        </is>
      </c>
      <c r="W462" s="77" t="inlineStr">
        <is>
          <t>Teams create products/services for problem statements [1]; defined output for a named organisation not shown.</t>
        </is>
      </c>
      <c r="X462" s="77" t="inlineStr">
        <is>
          <t>Yes</t>
        </is>
      </c>
      <c r="Y462" s="77" t="inlineStr">
        <is>
          <t>Interdisciplinary teams [1].</t>
        </is>
      </c>
      <c r="Z462" s="77" t="inlineStr">
        <is>
          <t>Unclear</t>
        </is>
      </c>
      <c r="AA462" s="77" t="inlineStr">
        <is>
          <t>Industry partners (WWF, GRACE, Yakult Ltd, Environment Agency) involved per a staff profile; 2022 event sponsored by Yakult; whether partners set briefs/judge not shown [1].</t>
        </is>
      </c>
      <c r="AB462" s="77" t="inlineStr">
        <is>
          <t>Mixed</t>
        </is>
      </c>
      <c r="AC462" s="77" t="inlineStr">
        <is>
          <t>Involved; role unclear</t>
        </is>
      </c>
      <c r="AD462" s="77" t="inlineStr"/>
      <c r="AE462" s="77" t="inlineStr"/>
      <c r="AF462" s="77">
        <f>IF(OR(V462="No",X462="No",Z462="No"),"Outside strict definition",IF(AND(V462="Yes",X462="Yes",Z462="Yes"),"Meets all three","Potentially relevant; evidence incomplete"))</f>
        <v/>
      </c>
      <c r="AG462" s="77" t="inlineStr">
        <is>
          <t>Historical delivery only</t>
        </is>
      </c>
      <c r="AH462" s="77" t="inlineStr">
        <is>
          <t>2024</t>
        </is>
      </c>
      <c r="AI462" s="77" t="inlineStr">
        <is>
          <t>Yes</t>
        </is>
      </c>
      <c r="AJ462" s="77">
        <f>IF(AND(AI462="Yes",AF462="Meets all three",AG462="Current delivery confirmed"),"Yes","No")</f>
        <v/>
      </c>
      <c r="AK462" s="77" t="inlineStr"/>
      <c r="AL462" s="77" t="inlineStr">
        <is>
          <t>UK07-S14-R1</t>
        </is>
      </c>
      <c r="AM462" s="77" t="inlineStr">
        <is>
          <t>No 2025/26 edition found.</t>
        </is>
      </c>
      <c r="AN462" s="77" t="inlineStr"/>
      <c r="AO462" s="77" t="inlineStr">
        <is>
          <t>UK</t>
        </is>
      </c>
      <c r="AP462" s="77" t="inlineStr">
        <is>
          <t>UK – additional</t>
        </is>
      </c>
      <c r="AQ462" s="77" t="inlineStr">
        <is>
          <t>&lt;1 week</t>
        </is>
      </c>
      <c r="AR462" s="77" t="inlineStr">
        <is>
          <t>Unclear</t>
        </is>
      </c>
      <c r="AS462" s="77" t="inlineStr"/>
    </row>
    <row r="463">
      <c r="A463" s="77" t="inlineStr">
        <is>
          <t>UK07</t>
        </is>
      </c>
      <c r="B463" s="77" t="inlineStr">
        <is>
          <t>Surrey</t>
        </is>
      </c>
      <c r="C463" s="77" t="inlineStr">
        <is>
          <t>Programme/course</t>
        </is>
      </c>
      <c r="D463" s="77" t="inlineStr">
        <is>
          <t>UK07-S15</t>
        </is>
      </c>
      <c r="E463" s="77" t="inlineStr"/>
      <c r="F463" s="77" t="inlineStr">
        <is>
          <t>No</t>
        </is>
      </c>
      <c r="G463" s="79" t="inlineStr">
        <is>
          <t>Retail Consultancy Project (MAN3136)</t>
        </is>
      </c>
      <c r="H463" s="77" t="inlineStr">
        <is>
          <t>Retail Consultancy Project</t>
        </is>
      </c>
      <c r="I463" s="77" t="inlineStr">
        <is>
          <t>MAN3136</t>
        </is>
      </c>
      <c r="J463" s="77" t="inlineStr">
        <is>
          <t>Final-year retail module: written group project and group presentation to the client for a small consultancy project; 2020 news describes live Carabao/Simply Fresh campaigns with the companies on the assessment panel.</t>
        </is>
      </c>
      <c r="K463" s="77" t="inlineStr">
        <is>
          <t>Surrey Business School</t>
        </is>
      </c>
      <c r="L463" s="77" t="inlineStr"/>
      <c r="M463" s="77" t="inlineStr">
        <is>
          <t>Business/management</t>
        </is>
      </c>
      <c r="N463" s="77" t="inlineStr">
        <is>
          <t>Undergraduate</t>
        </is>
      </c>
      <c r="O463" s="77" t="inlineStr"/>
      <c r="P463" s="77" t="inlineStr"/>
      <c r="Q463" s="77" t="inlineStr">
        <is>
          <t>Unclear</t>
        </is>
      </c>
      <c r="R463" s="77" t="inlineStr">
        <is>
          <t>Curricular</t>
        </is>
      </c>
      <c r="S463" s="77" t="inlineStr"/>
      <c r="T463" s="77" t="inlineStr"/>
      <c r="U463" s="77" t="inlineStr"/>
      <c r="V463" s="77" t="inlineStr">
        <is>
          <t>Yes</t>
        </is>
      </c>
      <c r="W463" s="77" t="inlineStr">
        <is>
          <t>Plan, design and deliver a small retail consultancy project [1].</t>
        </is>
      </c>
      <c r="X463" s="77" t="inlineStr">
        <is>
          <t>Yes</t>
        </is>
      </c>
      <c r="Y463" s="77" t="inlineStr">
        <is>
          <t>Group project and presentation [1].</t>
        </is>
      </c>
      <c r="Z463" s="77" t="inlineStr">
        <is>
          <t>Unclear</t>
        </is>
      </c>
      <c r="AA463" s="77" t="inlineStr">
        <is>
          <t>Catalogue says 'hypothetical or real client'; routes not separated; 2020 news shows real client panel [1][2].</t>
        </is>
      </c>
      <c r="AB463" s="77" t="inlineStr">
        <is>
          <t>Business/commercial</t>
        </is>
      </c>
      <c r="AC463" s="77" t="inlineStr"/>
      <c r="AD463" s="77" t="inlineStr">
        <is>
          <t>Carabao; Simply Fresh (2020 news)</t>
        </is>
      </c>
      <c r="AE463" s="77" t="inlineStr"/>
      <c r="AF463" s="77">
        <f>IF(OR(V463="No",X463="No",Z463="No"),"Outside strict definition",IF(AND(V463="Yes",X463="Yes",Z463="Yes"),"Meets all three","Potentially relevant; evidence incomplete"))</f>
        <v/>
      </c>
      <c r="AG463" s="77" t="inlineStr">
        <is>
          <t>Historical delivery only</t>
        </is>
      </c>
      <c r="AH463" s="77" t="inlineStr">
        <is>
          <t>2022/23</t>
        </is>
      </c>
      <c r="AI463" s="77" t="inlineStr">
        <is>
          <t>Yes</t>
        </is>
      </c>
      <c r="AJ463" s="77">
        <f>IF(AND(AI463="Yes",AF463="Meets all three",AG463="Current delivery confirmed"),"Yes","No")</f>
        <v/>
      </c>
      <c r="AK463" s="77" t="inlineStr"/>
      <c r="AL463" s="77" t="inlineStr">
        <is>
          <t>UK07-S15-R1; UK07-S15-R2</t>
        </is>
      </c>
      <c r="AM463" s="77" t="inlineStr">
        <is>
          <t>No 2025/26 catalogue entry seen.</t>
        </is>
      </c>
      <c r="AN463" s="77" t="inlineStr"/>
      <c r="AO463" s="77" t="inlineStr">
        <is>
          <t>UK</t>
        </is>
      </c>
      <c r="AP463" s="77" t="inlineStr">
        <is>
          <t>UK – additional</t>
        </is>
      </c>
      <c r="AQ463" s="77" t="inlineStr">
        <is>
          <t>~1 term/semester</t>
        </is>
      </c>
      <c r="AR463" s="77" t="inlineStr">
        <is>
          <t>Some projects</t>
        </is>
      </c>
      <c r="AS463" s="77" t="inlineStr"/>
    </row>
    <row r="464">
      <c r="A464" s="77" t="inlineStr">
        <is>
          <t>UK08</t>
        </is>
      </c>
      <c r="B464" s="77" t="inlineStr">
        <is>
          <t>Sussex</t>
        </is>
      </c>
      <c r="C464" s="77" t="inlineStr">
        <is>
          <t>University-wide</t>
        </is>
      </c>
      <c r="D464" s="77" t="inlineStr">
        <is>
          <t>UK08-S01</t>
        </is>
      </c>
      <c r="E464" s="77" t="inlineStr"/>
      <c r="F464" s="77" t="inlineStr">
        <is>
          <t>No</t>
        </is>
      </c>
      <c r="G464" s="79" t="inlineStr">
        <is>
          <t>Career Lab Student Consultancy Programme</t>
        </is>
      </c>
      <c r="H464" s="77" t="inlineStr">
        <is>
          <t>Career Lab Student Consultancy Programme</t>
        </is>
      </c>
      <c r="I464" s="77" t="inlineStr"/>
      <c r="J464" s="77" t="inlineStr">
        <is>
          <t>Central Careers (Career Lab) extracurricular programme. After initial training, final-year undergraduates and taught postgraduates are placed in small multidisciplinary teams matched to an external organisation (charity/NGO, startup or large corporate) and work on that organisation's real challenge for four weeks (three for the summer run, c.20 hours in total), ending with a team presentation of recommendations to the client. Students receive a Real Living Wage-linked bursary paid by the university.</t>
        </is>
      </c>
      <c r="K464" s="77" t="inlineStr">
        <is>
          <t>Careers and Employability Centre - Career Lab</t>
        </is>
      </c>
      <c r="L464" s="77" t="inlineStr">
        <is>
          <t>Final-year undergraduates and taught postgraduates (no school restriction stated)</t>
        </is>
      </c>
      <c r="M464" s="77" t="inlineStr">
        <is>
          <t>Central provision</t>
        </is>
      </c>
      <c r="N464" s="77" t="inlineStr">
        <is>
          <t>Mixed</t>
        </is>
      </c>
      <c r="O464" s="77" t="inlineStr">
        <is>
          <t>Final-year UG; PGT</t>
        </is>
      </c>
      <c r="P464" s="77" t="inlineStr">
        <is>
          <t>Final-year UG and taught PG only; one participation per academic year; application required. PGT on courses with a guaranteed work project receive separate communication.</t>
        </is>
      </c>
      <c r="Q464" s="77" t="inlineStr">
        <is>
          <t>Selective/competitive</t>
        </is>
      </c>
      <c r="R464" s="77" t="inlineStr">
        <is>
          <t>Extracurricular</t>
        </is>
      </c>
      <c r="S464" s="77" t="inlineStr">
        <is>
          <t>Non-credit; paid bursary (GBP 269 for Winter 2025 / Spring 2026 runs)</t>
        </is>
      </c>
      <c r="T464" s="77" t="inlineStr">
        <is>
          <t>3-4 weeks (c.20 hours) after training; three runs a year (winter, spring, summer)</t>
        </is>
      </c>
      <c r="U464" s="77" t="inlineStr">
        <is>
          <t>Mostly remote research; team presentation to client</t>
        </is>
      </c>
      <c r="V464" s="77" t="inlineStr">
        <is>
          <t>Yes</t>
        </is>
      </c>
      <c r="W464" s="77" t="inlineStr">
        <is>
          <t>Teams address a real organisational challenge/brief and present recommendations to the client [1][2][3].</t>
        </is>
      </c>
      <c r="X464" s="77" t="inlineStr">
        <is>
          <t>Yes</t>
        </is>
      </c>
      <c r="Y464" s="77" t="inlineStr">
        <is>
          <t>Students placed in small multidisciplinary teams; a five-student team worked on the Hastings Direct brief [1][3].</t>
        </is>
      </c>
      <c r="Z464" s="77" t="inlineStr">
        <is>
          <t>Yes</t>
        </is>
      </c>
      <c r="AA464" s="77" t="inlineStr">
        <is>
          <t>External organisations set the project briefs and receive the team's presentation; e.g. Hastings Direct set a brief on its SDG contributions and later made changes partly aligned to the recommendations [1][3][4].</t>
        </is>
      </c>
      <c r="AB464" s="77" t="inlineStr">
        <is>
          <t>Mixed</t>
        </is>
      </c>
      <c r="AC464" s="77" t="inlineStr">
        <is>
          <t>Sets brief (client) and receives final presentation; organisations pay nothing (university funds student bursary).</t>
        </is>
      </c>
      <c r="AD464" s="77" t="inlineStr">
        <is>
          <t>Hastings Direct (2024 case study); AECOM, Komedia, Mindlab (past clients, undated page)</t>
        </is>
      </c>
      <c r="AE464" s="77" t="inlineStr">
        <is>
          <t>Team presentation of recommendations to client</t>
        </is>
      </c>
      <c r="AF464" s="77">
        <f>IF(OR(V464="No",X464="No",Z464="No"),"Outside strict definition",IF(AND(V464="Yes",X464="Yes",Z464="Yes"),"Meets all three","Potentially relevant; evidence incomplete"))</f>
        <v/>
      </c>
      <c r="AG464" s="77" t="inlineStr">
        <is>
          <t>Current delivery confirmed</t>
        </is>
      </c>
      <c r="AH464" s="77" t="inlineStr">
        <is>
          <t>2026/27</t>
        </is>
      </c>
      <c r="AI464" s="77" t="inlineStr">
        <is>
          <t>Yes</t>
        </is>
      </c>
      <c r="AJ464" s="77">
        <f>IF(AND(AI464="Yes",AF464="Meets all three",AG464="Current delivery confirmed"),"Yes","No")</f>
        <v/>
      </c>
      <c r="AK464" s="77" t="inlineStr"/>
      <c r="AL464" s="77" t="inlineStr">
        <is>
          <t>UK08-S01-R1; UK08-S01-R2; UK08-S01-R3; UK08-S01-R4; UK08-S01-R5</t>
        </is>
      </c>
      <c r="AM464" s="77" t="inlineStr">
        <is>
          <t>Exact eligibility wording (whether all schools/IDS/BSMS included) not quoted; 2023 organisations guide describes an older 100-hour Riipen-based format. Relationship to the 'Changing the Face of Consultancy' variant (broadcast 66181) not tested.</t>
        </is>
      </c>
      <c r="AN464" s="77" t="inlineStr"/>
      <c r="AO464" s="77" t="inlineStr">
        <is>
          <t>UK</t>
        </is>
      </c>
      <c r="AP464" s="77" t="inlineStr">
        <is>
          <t>UK – additional</t>
        </is>
      </c>
      <c r="AQ464" s="77" t="inlineStr">
        <is>
          <t>1–4 weeks</t>
        </is>
      </c>
      <c r="AR464" s="77" t="inlineStr">
        <is>
          <t>All/standard</t>
        </is>
      </c>
      <c r="AS464" s="77" t="inlineStr"/>
    </row>
    <row r="465">
      <c r="A465" s="77" t="inlineStr">
        <is>
          <t>UK08</t>
        </is>
      </c>
      <c r="B465" s="77" t="inlineStr">
        <is>
          <t>Sussex</t>
        </is>
      </c>
      <c r="C465" s="77" t="inlineStr">
        <is>
          <t>Programme/course</t>
        </is>
      </c>
      <c r="D465" s="77" t="inlineStr">
        <is>
          <t>UK08-S02</t>
        </is>
      </c>
      <c r="E465" s="77" t="inlineStr"/>
      <c r="F465" s="77" t="inlineStr">
        <is>
          <t>No</t>
        </is>
      </c>
      <c r="G465" s="79" t="inlineStr">
        <is>
          <t>Marketing Consultancy Project (Capstone)</t>
        </is>
      </c>
      <c r="H465" s="77" t="inlineStr">
        <is>
          <t>Marketing Consultancy Project (Capstone)</t>
        </is>
      </c>
      <c r="I465" s="77" t="inlineStr">
        <is>
          <t>105316 (module page ID)</t>
        </is>
      </c>
      <c r="J465" s="77" t="inlineStr">
        <is>
          <t>Level 6 Business School capstone module (15 credits, spring). Student teams receive a brief to produce a recommendation addressing a strategic marketing problem, presented as a group presentation and a written report; 'inspiration and tips' are provided by a top consulting firm. No evidence that a real organisation sets the brief or receives the output.</t>
        </is>
      </c>
      <c r="K465" s="77" t="inlineStr">
        <is>
          <t>University of Sussex Business School</t>
        </is>
      </c>
      <c r="L465" s="77" t="inlineStr">
        <is>
          <t>Marketing and Management BSc and related marketing degrees (exact list not verified)</t>
        </is>
      </c>
      <c r="M465" s="77" t="inlineStr">
        <is>
          <t>Business/management</t>
        </is>
      </c>
      <c r="N465" s="77" t="inlineStr">
        <is>
          <t>Undergraduate</t>
        </is>
      </c>
      <c r="O465" s="77" t="inlineStr">
        <is>
          <t>Final year (Level 6)</t>
        </is>
      </c>
      <c r="P465" s="77" t="inlineStr">
        <is>
          <t>Students on programmes offering the module</t>
        </is>
      </c>
      <c r="Q465" s="77" t="inlineStr">
        <is>
          <t>Unclear</t>
        </is>
      </c>
      <c r="R465" s="77" t="inlineStr">
        <is>
          <t>Curricular</t>
        </is>
      </c>
      <c r="S465" s="77" t="inlineStr">
        <is>
          <t>15 credits; 60% group presentation, 40% written report</t>
        </is>
      </c>
      <c r="T465" s="77" t="inlineStr">
        <is>
          <t>Spring teaching period</t>
        </is>
      </c>
      <c r="U465" s="77" t="inlineStr">
        <is>
          <t>In person (assumed; not verified)</t>
        </is>
      </c>
      <c r="V465" s="77" t="inlineStr">
        <is>
          <t>Yes</t>
        </is>
      </c>
      <c r="W465" s="77" t="inlineStr">
        <is>
          <t>Brief to produce a recommendation on a strategic marketing problem; outputs presentation and report [1].</t>
        </is>
      </c>
      <c r="X465" s="77" t="inlineStr">
        <is>
          <t>Yes</t>
        </is>
      </c>
      <c r="Y465" s="77" t="inlineStr">
        <is>
          <t>Teams prepare and present together; 60% group presentation [1].</t>
        </is>
      </c>
      <c r="Z465" s="77" t="inlineStr">
        <is>
          <t>Unclear</t>
        </is>
      </c>
      <c r="AA465" s="77" t="inlineStr">
        <is>
          <t>Only 'inspiration and tips provided from a top consulting firm' [1]; no evidence an external client supplies the brief, receives or assesses outputs.</t>
        </is>
      </c>
      <c r="AB465" s="77" t="inlineStr">
        <is>
          <t>Unclear</t>
        </is>
      </c>
      <c r="AC465" s="77" t="inlineStr">
        <is>
          <t>Consulting firm provides tips/inspiration (not shown as client)</t>
        </is>
      </c>
      <c r="AD465" s="77" t="inlineStr"/>
      <c r="AE465" s="77" t="inlineStr">
        <is>
          <t>Group presentation and written report</t>
        </is>
      </c>
      <c r="AF465" s="77">
        <f>IF(OR(V465="No",X465="No",Z465="No"),"Outside strict definition",IF(AND(V465="Yes",X465="Yes",Z465="Yes"),"Meets all three","Potentially relevant; evidence incomplete"))</f>
        <v/>
      </c>
      <c r="AG465" s="77" t="inlineStr">
        <is>
          <t>Current delivery confirmed</t>
        </is>
      </c>
      <c r="AH465" s="77" t="inlineStr">
        <is>
          <t>2026/27</t>
        </is>
      </c>
      <c r="AI465" s="77" t="inlineStr">
        <is>
          <t>Yes</t>
        </is>
      </c>
      <c r="AJ465" s="77">
        <f>IF(AND(AI465="Yes",AF465="Meets all three",AG465="Current delivery confirmed"),"Yes","No")</f>
        <v/>
      </c>
      <c r="AK465" s="77" t="inlineStr"/>
      <c r="AL465" s="77" t="inlineStr">
        <is>
          <t>UK08-S02-R1; UK08-S02-R2</t>
        </is>
      </c>
      <c r="AM465" s="77" t="inlineStr">
        <is>
          <t>Whether briefs come from real client organisations; whether core in any programme. Status based on module catalogue pages for 2025 and 2026 entry.</t>
        </is>
      </c>
      <c r="AN465" s="77" t="inlineStr"/>
      <c r="AO465" s="77" t="inlineStr">
        <is>
          <t>UK</t>
        </is>
      </c>
      <c r="AP465" s="77" t="inlineStr">
        <is>
          <t>UK – additional</t>
        </is>
      </c>
      <c r="AQ465" s="77" t="inlineStr">
        <is>
          <t>~1 term/semester</t>
        </is>
      </c>
      <c r="AR465" s="77" t="inlineStr">
        <is>
          <t>Unclear</t>
        </is>
      </c>
      <c r="AS465" s="77" t="inlineStr"/>
    </row>
    <row r="466">
      <c r="A466" s="77" t="inlineStr">
        <is>
          <t>UK08</t>
        </is>
      </c>
      <c r="B466" s="77" t="inlineStr">
        <is>
          <t>Sussex</t>
        </is>
      </c>
      <c r="C466" s="77" t="inlineStr">
        <is>
          <t>Programme/course</t>
        </is>
      </c>
      <c r="D466" s="77" t="inlineStr">
        <is>
          <t>UK08-S03</t>
        </is>
      </c>
      <c r="E466" s="77" t="inlineStr"/>
      <c r="F466" s="77" t="inlineStr">
        <is>
          <t>No</t>
        </is>
      </c>
      <c r="G466" s="79" t="inlineStr">
        <is>
          <t>Consultancy Project</t>
        </is>
      </c>
      <c r="H466" s="77" t="inlineStr">
        <is>
          <t>Consultancy Project</t>
        </is>
      </c>
      <c r="I466" s="77" t="inlineStr">
        <is>
          <t>111N1</t>
        </is>
      </c>
      <c r="J466" s="77" t="inlineStr">
        <is>
          <t>Level 7 Business School module (30 credits, summer, c.300 hours) in which students work in a group on a live consultancy project for an organisation, supervised by an academic; assessed by group presentation, group written submission and project. The Management MSc offers it as a dissertation alternative in which small groups prepare a consultancy project for a business / solve real challenges with local organisations; Business Analytics MSc and International Business and Development MSc also list a summer consultancy project (structure not verified).</t>
        </is>
      </c>
      <c r="K466" s="77" t="inlineStr">
        <is>
          <t>University of Sussex Business School</t>
        </is>
      </c>
      <c r="L466" s="77" t="inlineStr">
        <is>
          <t>Management MSc (dissertation option); possibly other Business School MSc programmes</t>
        </is>
      </c>
      <c r="M466" s="77" t="inlineStr">
        <is>
          <t>Business/management</t>
        </is>
      </c>
      <c r="N466" s="77" t="inlineStr">
        <is>
          <t>Postgraduate taught</t>
        </is>
      </c>
      <c r="O466" s="77" t="inlineStr">
        <is>
          <t>MSc summer period</t>
        </is>
      </c>
      <c r="P466" s="77" t="inlineStr">
        <is>
          <t>Business School MSc students choosing the consultancy option</t>
        </is>
      </c>
      <c r="Q466" s="77" t="inlineStr">
        <is>
          <t>Optional/elective</t>
        </is>
      </c>
      <c r="R466" s="77" t="inlineStr">
        <is>
          <t>Curricular</t>
        </is>
      </c>
      <c r="S466" s="77" t="inlineStr">
        <is>
          <t>30 credits Level 7; 100% coursework (group presentation, group written submission, project)</t>
        </is>
      </c>
      <c r="T466" s="77" t="inlineStr">
        <is>
          <t>Summer period, c.300 study hours</t>
        </is>
      </c>
      <c r="U466" s="77" t="inlineStr">
        <is>
          <t>Group consultancy with academic supervisor</t>
        </is>
      </c>
      <c r="V466" s="77" t="inlineStr">
        <is>
          <t>Yes</t>
        </is>
      </c>
      <c r="W466" s="77" t="inlineStr">
        <is>
          <t>Live consultancy project with group written submission and presentation [1].</t>
        </is>
      </c>
      <c r="X466" s="77" t="inlineStr">
        <is>
          <t>Yes</t>
        </is>
      </c>
      <c r="Y466" s="77" t="inlineStr">
        <is>
          <t>Students work in a group; consultancy teams supervised by an academic; group presentation and group written submission [1][2].</t>
        </is>
      </c>
      <c r="Z466" s="77" t="inlineStr">
        <is>
          <t>Yes</t>
        </is>
      </c>
      <c r="AA466" s="77" t="inlineStr">
        <is>
          <t>Described as a 'live consultancy project' and as solving real challenges with local organisations / preparing a consultancy project for a business [1][2].</t>
        </is>
      </c>
      <c r="AB466" s="77" t="inlineStr">
        <is>
          <t>Unclear</t>
        </is>
      </c>
      <c r="AC466" s="77" t="inlineStr">
        <is>
          <t>Organisation acts as consultancy client (exact role in assessment not stated)</t>
        </is>
      </c>
      <c r="AD466" s="77" t="inlineStr"/>
      <c r="AE466" s="77" t="inlineStr">
        <is>
          <t>Group consultancy report and presentation</t>
        </is>
      </c>
      <c r="AF466" s="77">
        <f>IF(OR(V466="No",X466="No",Z466="No"),"Outside strict definition",IF(AND(V466="Yes",X466="Yes",Z466="Yes"),"Meets all three","Potentially relevant; evidence incomplete"))</f>
        <v/>
      </c>
      <c r="AG466" s="77" t="inlineStr">
        <is>
          <t>Current status unclear</t>
        </is>
      </c>
      <c r="AH466" s="77" t="inlineStr">
        <is>
          <t>2024/25</t>
        </is>
      </c>
      <c r="AI466" s="77" t="inlineStr">
        <is>
          <t>Yes</t>
        </is>
      </c>
      <c r="AJ466" s="77">
        <f>IF(AND(AI466="Yes",AF466="Meets all three",AG466="Current delivery confirmed"),"Yes","No")</f>
        <v/>
      </c>
      <c r="AK466" s="77" t="inlineStr"/>
      <c r="AL466" s="77" t="inlineStr">
        <is>
          <t>UK08-S03-R1; UK08-S03-R2</t>
        </is>
      </c>
      <c r="AM466" s="77" t="inlineStr">
        <is>
          <t>Latest dated module page is 2024/25; Management MSc course page undated - no 2025/26 or 2026/27 corroboration obtained. Client sector mix not evidenced. Whether Business Analytics / IBD consultancy projects use the same module and group format not verified.</t>
        </is>
      </c>
      <c r="AN466" s="77" t="inlineStr"/>
      <c r="AO466" s="77" t="inlineStr">
        <is>
          <t>UK</t>
        </is>
      </c>
      <c r="AP466" s="77" t="inlineStr">
        <is>
          <t>UK – additional</t>
        </is>
      </c>
      <c r="AQ466" s="77" t="inlineStr">
        <is>
          <t>~1 term/semester</t>
        </is>
      </c>
      <c r="AR466" s="77" t="inlineStr">
        <is>
          <t>All/standard</t>
        </is>
      </c>
      <c r="AS466" s="77" t="inlineStr"/>
    </row>
    <row r="467">
      <c r="A467" s="77" t="inlineStr">
        <is>
          <t>UK09</t>
        </is>
      </c>
      <c r="B467" s="77" t="inlineStr">
        <is>
          <t>Leicester</t>
        </is>
      </c>
      <c r="C467" s="77" t="inlineStr">
        <is>
          <t>Programme/course</t>
        </is>
      </c>
      <c r="D467" s="77" t="inlineStr">
        <is>
          <t>UK09-S01</t>
        </is>
      </c>
      <c r="E467" s="77" t="inlineStr"/>
      <c r="F467" s="77" t="inlineStr">
        <is>
          <t>No</t>
        </is>
      </c>
      <c r="G467" s="79" t="inlineStr">
        <is>
          <t>Software Engineering Project (second-year team project, Computer Science / Software Engineering BSc)</t>
        </is>
      </c>
      <c r="H467" s="77" t="inlineStr">
        <is>
          <t>Software Engineering Project</t>
        </is>
      </c>
      <c r="I467" s="77" t="inlineStr">
        <is>
          <t>CO2201 (per 2020/21-2023/24 programme specifications)</t>
        </is>
      </c>
      <c r="J467" s="77" t="inlineStr">
        <is>
          <t>Second-year Computer Science and Software Engineering students work in teams to develop software, typically commissioned by an outside client. Projects run February-May; staff supervise and the client provides requirements, advice, technical support and feedback. The programme specification states the department aims for projects involving an external client wherever possible.</t>
        </is>
      </c>
      <c r="K467" s="77" t="inlineStr">
        <is>
          <t>School of Computing and Mathematical Sciences</t>
        </is>
      </c>
      <c r="L467" s="77" t="inlineStr">
        <is>
          <t>Computer Science BSc (and variants), Software Engineering BSc</t>
        </is>
      </c>
      <c r="M467" s="77" t="inlineStr">
        <is>
          <t>Engineering/computing</t>
        </is>
      </c>
      <c r="N467" s="77" t="inlineStr">
        <is>
          <t>Undergraduate</t>
        </is>
      </c>
      <c r="O467" s="77" t="inlineStr">
        <is>
          <t>Year 2</t>
        </is>
      </c>
      <c r="P467" s="77" t="inlineStr"/>
      <c r="Q467" s="77" t="inlineStr">
        <is>
          <t>Compulsory within specified programmes</t>
        </is>
      </c>
      <c r="R467" s="77" t="inlineStr">
        <is>
          <t>Curricular</t>
        </is>
      </c>
      <c r="S467" s="77" t="inlineStr">
        <is>
          <t>30 credits year-long in 2020/21-2023/24 specs; split into semester versions from 2024/25 (2023/24 spec note). Assessment weighting not found.</t>
        </is>
      </c>
      <c r="T467" s="77" t="inlineStr">
        <is>
          <t>February-May (student projects page); module year-long/semester split</t>
        </is>
      </c>
      <c r="U467" s="77" t="inlineStr">
        <is>
          <t>Team project, staff-supervised</t>
        </is>
      </c>
      <c r="V467" s="77" t="inlineStr">
        <is>
          <t>Yes</t>
        </is>
      </c>
      <c r="W467" s="77" t="inlineStr">
        <is>
          <t>Team develops software for a client brief with defined requirements [1][2].</t>
        </is>
      </c>
      <c r="X467" s="77" t="inlineStr">
        <is>
          <t>Yes</t>
        </is>
      </c>
      <c r="Y467" s="77" t="inlineStr">
        <is>
          <t>'Typical software engineering projects developed by teams of 2nd year students', focus on group work and project management [1][2].</t>
        </is>
      </c>
      <c r="Z467" s="77" t="inlineStr">
        <is>
          <t>Yes</t>
        </is>
      </c>
      <c r="AA467" s="77" t="inlineStr">
        <is>
          <t>Software 'typically commissioned by a real client'; client provides requirements, advice, technical support and feedback [1][2]; programme spec: external client 'wherever possible' [3] (so some internal/non-client projects possible).</t>
        </is>
      </c>
      <c r="AB467" s="77" t="inlineStr">
        <is>
          <t>Unclear</t>
        </is>
      </c>
      <c r="AC467" s="77" t="inlineStr">
        <is>
          <t>Client sets requirements and gives feedback during supervised project; client sector/type not stated; spec wording 'wherever possible' implies some projects lack an external client.</t>
        </is>
      </c>
      <c r="AD467" s="77" t="inlineStr"/>
      <c r="AE467" s="77" t="inlineStr">
        <is>
          <t>Working software delivered to client</t>
        </is>
      </c>
      <c r="AF467" s="77">
        <f>IF(OR(V467="No",X467="No",Z467="No"),"Outside strict definition",IF(AND(V467="Yes",X467="Yes",Z467="Yes"),"Meets all three","Potentially relevant; evidence incomplete"))</f>
        <v/>
      </c>
      <c r="AG467" s="77" t="inlineStr">
        <is>
          <t>Current status unclear</t>
        </is>
      </c>
      <c r="AH467" s="77" t="inlineStr">
        <is>
          <t>2024/25</t>
        </is>
      </c>
      <c r="AI467" s="77" t="inlineStr">
        <is>
          <t>Yes</t>
        </is>
      </c>
      <c r="AJ467" s="77">
        <f>IF(AND(AI467="Yes",AF467="Meets all three",AG467="Current delivery confirmed"),"Yes","No")</f>
        <v/>
      </c>
      <c r="AK467" s="77" t="inlineStr"/>
      <c r="AL467" s="77" t="inlineStr">
        <is>
          <t>UK09-S01-R1; UK09-S01-R2; UK09-S01-R3</t>
        </is>
      </c>
      <c r="AM467" s="77" t="inlineStr">
        <is>
          <t>Dated module evidence only to 2024/25 (2023/24 spec note on 2024/25 split); no dated 2025/26 or 2026/27 corroboration of CO2201 text obtained. Share of internal vs external clients and client types not published; named clients not found.</t>
        </is>
      </c>
      <c r="AN467" s="77" t="inlineStr"/>
      <c r="AO467" s="77" t="inlineStr">
        <is>
          <t>UK</t>
        </is>
      </c>
      <c r="AP467" s="77" t="inlineStr">
        <is>
          <t>UK – additional</t>
        </is>
      </c>
      <c r="AQ467" s="77" t="inlineStr">
        <is>
          <t>~1 term/semester</t>
        </is>
      </c>
      <c r="AR467" s="77" t="inlineStr">
        <is>
          <t>All/standard (course page: 'typically'; spec: 'wherever possible')</t>
        </is>
      </c>
      <c r="AS467" s="77" t="inlineStr"/>
    </row>
    <row r="468">
      <c r="A468" s="77" t="inlineStr">
        <is>
          <t>UK09</t>
        </is>
      </c>
      <c r="B468" s="77" t="inlineStr">
        <is>
          <t>Leicester</t>
        </is>
      </c>
      <c r="C468" s="77" t="inlineStr">
        <is>
          <t>Programme/course</t>
        </is>
      </c>
      <c r="D468" s="77" t="inlineStr">
        <is>
          <t>UK09-S02</t>
        </is>
      </c>
      <c r="E468" s="77" t="inlineStr"/>
      <c r="F468" s="77" t="inlineStr">
        <is>
          <t>No</t>
        </is>
      </c>
      <c r="G468" s="79" t="inlineStr">
        <is>
          <t>Industrial Mathematics Project</t>
        </is>
      </c>
      <c r="H468" s="77" t="inlineStr">
        <is>
          <t>Industrial Mathematics Project</t>
        </is>
      </c>
      <c r="I468" s="77" t="inlineStr">
        <is>
          <t>MA3513</t>
        </is>
      </c>
      <c r="J468" s="77" t="inlineStr">
        <is>
          <t>Third-year mathematics students apply modelling and data analytics to real business problems, working in groups in close collaboration with the industrial partners who provided the problems. Timeline mid-October to end of May, problem list finalised mid-September; staff supervise and the client supplies requirements, advice, technical support and feedback.</t>
        </is>
      </c>
      <c r="K468" s="77" t="inlineStr">
        <is>
          <t>School of Computing and Mathematical Sciences (Mathematics)</t>
        </is>
      </c>
      <c r="L468" s="77" t="inlineStr">
        <is>
          <t>Mathematics BSc/MMath and related degrees (taken instead of MA3516 Mathematics Research Project)</t>
        </is>
      </c>
      <c r="M468" s="77" t="inlineStr">
        <is>
          <t>Science</t>
        </is>
      </c>
      <c r="N468" s="77" t="inlineStr">
        <is>
          <t>Undergraduate</t>
        </is>
      </c>
      <c r="O468" s="77" t="inlineStr">
        <is>
          <t>Year 3</t>
        </is>
      </c>
      <c r="P468" s="77" t="inlineStr">
        <is>
          <t>Alternative to MA3516; only one may be taken. 2026 course page notes some Y3 options run in alternate years from 2026/7.</t>
        </is>
      </c>
      <c r="Q468" s="77" t="inlineStr">
        <is>
          <t>Optional/elective</t>
        </is>
      </c>
      <c r="R468" s="77" t="inlineStr">
        <is>
          <t>Curricular</t>
        </is>
      </c>
      <c r="S468" s="77" t="inlineStr">
        <is>
          <t>30 credits, year-long; assessment breakdown not found</t>
        </is>
      </c>
      <c r="T468" s="77" t="inlineStr">
        <is>
          <t>Mid-October to end of May</t>
        </is>
      </c>
      <c r="U468" s="77" t="inlineStr">
        <is>
          <t>Group project with industrial partner</t>
        </is>
      </c>
      <c r="V468" s="77" t="inlineStr">
        <is>
          <t>Yes</t>
        </is>
      </c>
      <c r="W468" s="77" t="inlineStr">
        <is>
          <t>Real business problems with partner-supplied briefs [1][2].</t>
        </is>
      </c>
      <c r="X468" s="77" t="inlineStr">
        <is>
          <t>Yes</t>
        </is>
      </c>
      <c r="Y468" s="77" t="inlineStr">
        <is>
          <t>'Students work in groups' with industrial partners [1].</t>
        </is>
      </c>
      <c r="Z468" s="77" t="inlineStr">
        <is>
          <t>Yes</t>
        </is>
      </c>
      <c r="AA468" s="77" t="inlineStr">
        <is>
          <t>Industrial partners provide the business problems; client provides requirements, advice, technical support and feedback [1].</t>
        </is>
      </c>
      <c r="AB468" s="77" t="inlineStr">
        <is>
          <t>Business/commercial</t>
        </is>
      </c>
      <c r="AC468" s="77" t="inlineStr">
        <is>
          <t>Supplies business problems; provides requirements and feedback during supervised project.</t>
        </is>
      </c>
      <c r="AD468" s="77" t="inlineStr"/>
      <c r="AE468" s="77" t="inlineStr">
        <is>
          <t>Group solution/report for the industrial problem (form not stated)</t>
        </is>
      </c>
      <c r="AF468" s="77">
        <f>IF(OR(V468="No",X468="No",Z468="No"),"Outside strict definition",IF(AND(V468="Yes",X468="Yes",Z468="Yes"),"Meets all three","Potentially relevant; evidence incomplete"))</f>
        <v/>
      </c>
      <c r="AG468" s="77" t="inlineStr">
        <is>
          <t>Current status unclear</t>
        </is>
      </c>
      <c r="AH468" s="77" t="inlineStr">
        <is>
          <t>undated</t>
        </is>
      </c>
      <c r="AI468" s="77" t="inlineStr">
        <is>
          <t>Yes</t>
        </is>
      </c>
      <c r="AJ468" s="77">
        <f>IF(AND(AI468="Yes",AF468="Meets all three",AG468="Current delivery confirmed"),"Yes","No")</f>
        <v/>
      </c>
      <c r="AK468" s="77" t="inlineStr"/>
      <c r="AL468" s="77" t="inlineStr">
        <is>
          <t>UK09-S02-R1; UK09-S02-R2</t>
        </is>
      </c>
      <c r="AM468" s="77" t="inlineStr">
        <is>
          <t>Student-projects page is undated; MA3513 listed in programme specifications (year-long, 30 credits) but no verified 2025/26 or 2026/27 entry or cohort; possible alternate-year running from 2026/7. Partner names not published for this module.</t>
        </is>
      </c>
      <c r="AN468" s="77" t="inlineStr"/>
      <c r="AO468" s="77" t="inlineStr">
        <is>
          <t>UK</t>
        </is>
      </c>
      <c r="AP468" s="77" t="inlineStr">
        <is>
          <t>UK – additional</t>
        </is>
      </c>
      <c r="AQ468" s="77" t="inlineStr">
        <is>
          <t>&gt;1 term</t>
        </is>
      </c>
      <c r="AR468" s="77" t="inlineStr">
        <is>
          <t>All/standard</t>
        </is>
      </c>
      <c r="AS468" s="77" t="inlineStr"/>
    </row>
    <row r="469">
      <c r="A469" s="77" t="inlineStr">
        <is>
          <t>UK09</t>
        </is>
      </c>
      <c r="B469" s="77" t="inlineStr">
        <is>
          <t>Leicester</t>
        </is>
      </c>
      <c r="C469" s="77" t="inlineStr">
        <is>
          <t>Cross-faculty</t>
        </is>
      </c>
      <c r="D469" s="77" t="inlineStr">
        <is>
          <t>UK09-S03</t>
        </is>
      </c>
      <c r="E469" s="77" t="inlineStr"/>
      <c r="F469" s="77" t="inlineStr">
        <is>
          <t>No</t>
        </is>
      </c>
      <c r="G469" s="79" t="inlineStr">
        <is>
          <t>Sustainability Enterprise Partnership Project (SEPP)</t>
        </is>
      </c>
      <c r="H469" s="77" t="inlineStr">
        <is>
          <t>Sustainability Enterprise Partnership Project</t>
        </is>
      </c>
      <c r="I469" s="77" t="inlineStr">
        <is>
          <t>NT3100</t>
        </is>
      </c>
      <c r="J469" s="77" t="inlineStr">
        <is>
          <t>Credit-bearing module: students from different disciplines gain Carbon Literacy accreditation, then work in groups with a partner business (mainly local SMEs) as 'sustainability advisors' to carry out a sustainability audit. Deliverables returned to the businesses: a group Written Industry Report and an individual Detailed Implementation Plan.</t>
        </is>
      </c>
      <c r="K469" s="77" t="inlineStr">
        <is>
          <t>Natural Sciences (module lead Dr Sarah Gretton)</t>
        </is>
      </c>
      <c r="L469" s="77" t="inlineStr">
        <is>
          <t>Final-year option on several degrees incl. Geology BSc, Physical Geography and Geology BSc, Creative Computing BSc, Medical Biochemistry BSc (2025/26 spec); selected via Online Module Selection</t>
        </is>
      </c>
      <c r="M469" s="77" t="inlineStr">
        <is>
          <t>Science; Engineering/computing</t>
        </is>
      </c>
      <c r="N469" s="77" t="inlineStr">
        <is>
          <t>Undergraduate</t>
        </is>
      </c>
      <c r="O469" s="77" t="inlineStr">
        <is>
          <t>Final year (Year 3)</t>
        </is>
      </c>
      <c r="P469" s="77" t="inlineStr">
        <is>
          <t>Must be available as an option on the student's programme; selected only during Online Module Selection window.</t>
        </is>
      </c>
      <c r="Q469" s="77" t="inlineStr">
        <is>
          <t>Optional/elective</t>
        </is>
      </c>
      <c r="R469" s="77" t="inlineStr">
        <is>
          <t>Curricular</t>
        </is>
      </c>
      <c r="S469" s="77" t="inlineStr">
        <is>
          <t>15 credits, Semester 1 (NT3100); group Written Industry Report plus individual Detailed Implementation Plan</t>
        </is>
      </c>
      <c r="T469" s="77" t="inlineStr">
        <is>
          <t>Semester 1</t>
        </is>
      </c>
      <c r="U469" s="77" t="inlineStr">
        <is>
          <t>Group audit with partner organisation; Carbon Literacy training</t>
        </is>
      </c>
      <c r="V469" s="77" t="inlineStr">
        <is>
          <t>Yes</t>
        </is>
      </c>
      <c r="W469" s="77" t="inlineStr">
        <is>
          <t>Sustainability audit of a partner business with recommendations; written report and implementation plan delivered to the business [1][2].</t>
        </is>
      </c>
      <c r="X469" s="77" t="inlineStr">
        <is>
          <t>Yes</t>
        </is>
      </c>
      <c r="Y469" s="77" t="inlineStr">
        <is>
          <t>'Students work in groups first, then individually'; Written Industry Report is a group project [1][2].</t>
        </is>
      </c>
      <c r="Z469" s="77" t="inlineStr">
        <is>
          <t>Yes</t>
        </is>
      </c>
      <c r="AA469" s="77" t="inlineStr">
        <is>
          <t>Partner businesses (mainly local SMEs) are audited by students and receive the group report and individual plan [1][2]. Partner selection process not described.</t>
        </is>
      </c>
      <c r="AB469" s="77" t="inlineStr">
        <is>
          <t>Business/commercial</t>
        </is>
      </c>
      <c r="AC469" s="77" t="inlineStr">
        <is>
          <t>Host organisation for the audit; receives the report and implementation plan.</t>
        </is>
      </c>
      <c r="AD469" s="77" t="inlineStr">
        <is>
          <t>Not found</t>
        </is>
      </c>
      <c r="AE469" s="77" t="inlineStr">
        <is>
          <t>Group Written Industry Report + individual Detailed Implementation Plan</t>
        </is>
      </c>
      <c r="AF469" s="77">
        <f>IF(OR(V469="No",X469="No",Z469="No"),"Outside strict definition",IF(AND(V469="Yes",X469="Yes",Z469="Yes"),"Meets all three","Potentially relevant; evidence incomplete"))</f>
        <v/>
      </c>
      <c r="AG469" s="77" t="inlineStr">
        <is>
          <t>Current delivery confirmed</t>
        </is>
      </c>
      <c r="AH469" s="77" t="inlineStr">
        <is>
          <t>2025/26</t>
        </is>
      </c>
      <c r="AI469" s="77" t="inlineStr">
        <is>
          <t>Yes</t>
        </is>
      </c>
      <c r="AJ469" s="77">
        <f>IF(AND(AI469="Yes",AF469="Meets all three",AG469="Current delivery confirmed"),"Yes","No")</f>
        <v/>
      </c>
      <c r="AK469" s="77" t="inlineStr"/>
      <c r="AL469" s="77" t="inlineStr">
        <is>
          <t>UK09-S03-R1; UK09-S03-R2; UK09-S03-R3; UK09-S03-R4; UK09-S03-R5</t>
        </is>
      </c>
      <c r="AM469" s="77" t="inlineStr">
        <is>
          <t>Number of students/partners not published; individual (not group) element is a second deliverable; page naming varies (Sustainable vs Sustainability Enterprise Partnership Project). Current delivery inferred from NT3100 listing in 2025/26 Medical Biochemistry programme specification.</t>
        </is>
      </c>
      <c r="AN469" s="77" t="inlineStr"/>
      <c r="AO469" s="77" t="inlineStr">
        <is>
          <t>UK</t>
        </is>
      </c>
      <c r="AP469" s="77" t="inlineStr">
        <is>
          <t>UK – additional</t>
        </is>
      </c>
      <c r="AQ469" s="77" t="inlineStr">
        <is>
          <t>~1 term/semester</t>
        </is>
      </c>
      <c r="AR469" s="77" t="inlineStr">
        <is>
          <t>All/standard</t>
        </is>
      </c>
      <c r="AS469" s="77" t="inlineStr"/>
    </row>
    <row r="470">
      <c r="A470" s="77" t="inlineStr">
        <is>
          <t>UK09</t>
        </is>
      </c>
      <c r="B470" s="77" t="inlineStr">
        <is>
          <t>Leicester</t>
        </is>
      </c>
      <c r="C470" s="77" t="inlineStr">
        <is>
          <t>Programme/course</t>
        </is>
      </c>
      <c r="D470" s="77" t="inlineStr">
        <is>
          <t>UK09-S04</t>
        </is>
      </c>
      <c r="E470" s="77" t="inlineStr"/>
      <c r="F470" s="77" t="inlineStr">
        <is>
          <t>No</t>
        </is>
      </c>
      <c r="G470" s="79" t="inlineStr">
        <is>
          <t>Client Led Media Production</t>
        </is>
      </c>
      <c r="H470" s="77" t="inlineStr">
        <is>
          <t>Client Led Media Production</t>
        </is>
      </c>
      <c r="I470" s="77" t="inlineStr">
        <is>
          <t>MS3035</t>
        </is>
      </c>
      <c r="J470" s="77" t="inlineStr">
        <is>
          <t>Final-year Media and Communication option in which students work to a client brief. Documented client is Leicestershire Partnership NHS Trust (CAMHS): students made a short film introducing a child and adolescent mental health team to young people (2023), and co-design content for the NHS under an AMC-LPT collaboration running since 2023.</t>
        </is>
      </c>
      <c r="K470" s="77" t="inlineStr">
        <is>
          <t>School of Arts / Media, Communication and Sociology</t>
        </is>
      </c>
      <c r="L470" s="77" t="inlineStr">
        <is>
          <t>Media and Communication BA (final-year option); other media/journalism programmes not confirmed</t>
        </is>
      </c>
      <c r="M470" s="77" t="inlineStr">
        <is>
          <t>Arts/humanities/social sciences</t>
        </is>
      </c>
      <c r="N470" s="77" t="inlineStr">
        <is>
          <t>Undergraduate</t>
        </is>
      </c>
      <c r="O470" s="77" t="inlineStr">
        <is>
          <t>Year 3</t>
        </is>
      </c>
      <c r="P470" s="77" t="inlineStr"/>
      <c r="Q470" s="77" t="inlineStr">
        <is>
          <t>Optional/elective</t>
        </is>
      </c>
      <c r="R470" s="77" t="inlineStr">
        <is>
          <t>Curricular</t>
        </is>
      </c>
      <c r="S470" s="77" t="inlineStr">
        <is>
          <t>15 credits, Semester 2, Level 6 (2020/21 and 2023/24 specs)</t>
        </is>
      </c>
      <c r="T470" s="77" t="inlineStr">
        <is>
          <t>Semester 2</t>
        </is>
      </c>
      <c r="U470" s="77" t="inlineStr">
        <is>
          <t>Client-led production project</t>
        </is>
      </c>
      <c r="V470" s="77" t="inlineStr">
        <is>
          <t>Yes</t>
        </is>
      </c>
      <c r="W470" s="77" t="inlineStr">
        <is>
          <t>Production to a client brief with identifiable output (short film) [1][2].</t>
        </is>
      </c>
      <c r="X470" s="77" t="inlineStr">
        <is>
          <t>Unclear</t>
        </is>
      </c>
      <c r="Y470" s="77" t="inlineStr">
        <is>
          <t>Sources say 'final year students ... produced a short film' but do not state team structure or assessment of individual vs group work [1].</t>
        </is>
      </c>
      <c r="Z470" s="77" t="inlineStr">
        <is>
          <t>Yes</t>
        </is>
      </c>
      <c r="AA470" s="77" t="inlineStr">
        <is>
          <t>LPT CAMHS commissioned the film, young people from the service shared experiences, and the Trust said the film will be used to introduce its team [1][2].</t>
        </is>
      </c>
      <c r="AB470" s="77" t="inlineStr">
        <is>
          <t>Public sector</t>
        </is>
      </c>
      <c r="AC470" s="77" t="inlineStr">
        <is>
          <t>NHS trust client sets the brief and uses the output; coordinated via AMC-LPT collaboration.</t>
        </is>
      </c>
      <c r="AD470" s="77" t="inlineStr">
        <is>
          <t>Leicestershire Partnership NHS Trust (CAMHS), 2023 film; collaboration since 2023</t>
        </is>
      </c>
      <c r="AE470" s="77" t="inlineStr">
        <is>
          <t>Short film / media content for NHS client</t>
        </is>
      </c>
      <c r="AF470" s="77">
        <f>IF(OR(V470="No",X470="No",Z470="No"),"Outside strict definition",IF(AND(V470="Yes",X470="Yes",Z470="Yes"),"Meets all three","Potentially relevant; evidence incomplete"))</f>
        <v/>
      </c>
      <c r="AG470" s="77" t="inlineStr">
        <is>
          <t>Current status unclear</t>
        </is>
      </c>
      <c r="AH470" s="77" t="inlineStr">
        <is>
          <t>2025</t>
        </is>
      </c>
      <c r="AI470" s="77" t="inlineStr">
        <is>
          <t>Yes</t>
        </is>
      </c>
      <c r="AJ470" s="77">
        <f>IF(AND(AI470="Yes",AF470="Meets all three",AG470="Current delivery confirmed"),"Yes","No")</f>
        <v/>
      </c>
      <c r="AK470" s="77" t="inlineStr"/>
      <c r="AL470" s="77" t="inlineStr">
        <is>
          <t>UK09-S04-R1; UK09-S04-R2; UK09-S04-R3</t>
        </is>
      </c>
      <c r="AM470" s="77" t="inlineStr">
        <is>
          <t>Team vs individual work not stated; other clients unknown; 2025/26 programme spec lists the module only in an 'indicative' option list; no cohort-level 2025/26 delivery evidence seen.</t>
        </is>
      </c>
      <c r="AN470" s="77" t="inlineStr"/>
      <c r="AO470" s="77" t="inlineStr">
        <is>
          <t>UK</t>
        </is>
      </c>
      <c r="AP470" s="77" t="inlineStr">
        <is>
          <t>UK – additional</t>
        </is>
      </c>
      <c r="AQ470" s="77" t="inlineStr">
        <is>
          <t>~1 term/semester</t>
        </is>
      </c>
      <c r="AR470" s="77" t="inlineStr">
        <is>
          <t>Unclear (only LPT evidenced)</t>
        </is>
      </c>
      <c r="AS470" s="77" t="inlineStr"/>
    </row>
    <row r="471">
      <c r="A471" s="77" t="inlineStr">
        <is>
          <t>UK09</t>
        </is>
      </c>
      <c r="B471" s="77" t="inlineStr">
        <is>
          <t>Leicester</t>
        </is>
      </c>
      <c r="C471" s="77" t="inlineStr">
        <is>
          <t>Programme/course</t>
        </is>
      </c>
      <c r="D471" s="77" t="inlineStr">
        <is>
          <t>UK09-S05</t>
        </is>
      </c>
      <c r="E471" s="77" t="inlineStr"/>
      <c r="F471" s="77" t="inlineStr">
        <is>
          <t>No</t>
        </is>
      </c>
      <c r="G471" s="79" t="inlineStr">
        <is>
          <t>Space Science and Engineering MSc Major Project (Phase A mission study)</t>
        </is>
      </c>
      <c r="H471" s="77" t="inlineStr">
        <is>
          <t>Space Science and Engineering MSc Major Project</t>
        </is>
      </c>
      <c r="I471" s="77" t="inlineStr"/>
      <c r="J471" s="77" t="inlineStr">
        <is>
          <t>Second-half-of-year team project: a Phase A study of a mission concept supplied by one or more industry partners (science objectives, architecture, payload, subsystems, operations), based at Space Park Leicester. Three assessed reviews go to a panel of academic and industry experts, ending in a group executive summary and individual technical reports forming a 'Yellow Book'. SEEDS pathway forms international teams with Politecnico di Torino and ISAE-Supaero (Thales Alenia Space Italy, ASI, CNES named).</t>
        </is>
      </c>
      <c r="K471" s="77" t="inlineStr">
        <is>
          <t>School of Engineering / Space Park Leicester</t>
        </is>
      </c>
      <c r="L471" s="77" t="inlineStr">
        <is>
          <t>MSc Space Science and Engineering (formerly Space Exploration Systems)</t>
        </is>
      </c>
      <c r="M471" s="77" t="inlineStr">
        <is>
          <t>Engineering/computing; Science</t>
        </is>
      </c>
      <c r="N471" s="77" t="inlineStr">
        <is>
          <t>Postgraduate taught</t>
        </is>
      </c>
      <c r="O471" s="77" t="inlineStr"/>
      <c r="P471" s="77" t="inlineStr"/>
      <c r="Q471" s="77" t="inlineStr">
        <is>
          <t>Unclear</t>
        </is>
      </c>
      <c r="R471" s="77" t="inlineStr">
        <is>
          <t>Curricular</t>
        </is>
      </c>
      <c r="S471" s="77" t="inlineStr">
        <is>
          <t>Credit weight not found; three panel reviews plus group executive summary and individual reports</t>
        </is>
      </c>
      <c r="T471" s="77" t="inlineStr">
        <is>
          <t>Second half of the MSc year</t>
        </is>
      </c>
      <c r="U471" s="77" t="inlineStr">
        <is>
          <t>Team mission-study project; optional international pathway</t>
        </is>
      </c>
      <c r="V471" s="77" t="inlineStr">
        <is>
          <t>Yes</t>
        </is>
      </c>
      <c r="W471" s="77" t="inlineStr">
        <is>
          <t>Phase A mission concept study with Yellow Book study report [1].</t>
        </is>
      </c>
      <c r="X471" s="77" t="inlineStr">
        <is>
          <t>Yes</t>
        </is>
      </c>
      <c r="Y471" s="77" t="inlineStr">
        <is>
          <t>Students work in teams; group executive summary plus individual reports [1].</t>
        </is>
      </c>
      <c r="Z471" s="77" t="inlineStr">
        <is>
          <t>Yes</t>
        </is>
      </c>
      <c r="AA471" s="77" t="inlineStr">
        <is>
          <t>Mission concept supplied by industry partner(s); panel of academic and industry experts reviews; UK/international themes chosen by a project committee including industry [1].</t>
        </is>
      </c>
      <c r="AB471" s="77" t="inlineStr">
        <is>
          <t>Mixed</t>
        </is>
      </c>
      <c r="AC471" s="77" t="inlineStr">
        <is>
          <t>Industry sets mission concept and reviews; space agencies (ASI, CNES) and Thales Alenia Space in SEEDS pathway.</t>
        </is>
      </c>
      <c r="AD471" s="77" t="inlineStr">
        <is>
          <t>Thales Alenia Space Italy, ASI, CNES (SEEDS pathway; year not stated)</t>
        </is>
      </c>
      <c r="AE471" s="77" t="inlineStr">
        <is>
          <t>Phase A study report (Yellow Book) with group executive summary</t>
        </is>
      </c>
      <c r="AF471" s="77">
        <f>IF(OR(V471="No",X471="No",Z471="No"),"Outside strict definition",IF(AND(V471="Yes",X471="Yes",Z471="Yes"),"Meets all three","Potentially relevant; evidence incomplete"))</f>
        <v/>
      </c>
      <c r="AG471" s="77" t="inlineStr">
        <is>
          <t>Current status unclear</t>
        </is>
      </c>
      <c r="AH471" s="77" t="inlineStr">
        <is>
          <t>2025/26 (programme spec exists; content not verified)</t>
        </is>
      </c>
      <c r="AI471" s="77" t="inlineStr">
        <is>
          <t>Yes</t>
        </is>
      </c>
      <c r="AJ471" s="77">
        <f>IF(AND(AI471="Yes",AF471="Meets all three",AG471="Current delivery confirmed"),"Yes","No")</f>
        <v/>
      </c>
      <c r="AK471" s="77" t="inlineStr"/>
      <c r="AL471" s="77" t="inlineStr">
        <is>
          <t>UK09-S05-R1; UK09-S05-R2</t>
        </is>
      </c>
      <c r="AM471" s="77" t="inlineStr">
        <is>
          <t>Programme was renamed (Space Exploration Systems MSc page noted as under review); 2025/26 specification content for the project not verified; credit weight and whether compulsory not confirmed; individual partner names for UK projects not found.</t>
        </is>
      </c>
      <c r="AN471" s="77" t="inlineStr"/>
      <c r="AO471" s="77" t="inlineStr">
        <is>
          <t>UK</t>
        </is>
      </c>
      <c r="AP471" s="77" t="inlineStr">
        <is>
          <t>UK – additional</t>
        </is>
      </c>
      <c r="AQ471" s="77" t="inlineStr">
        <is>
          <t>~1 term/semester</t>
        </is>
      </c>
      <c r="AR471" s="77" t="inlineStr">
        <is>
          <t>All/standard</t>
        </is>
      </c>
      <c r="AS471" s="77" t="inlineStr"/>
    </row>
    <row r="472">
      <c r="A472" s="77" t="inlineStr">
        <is>
          <t>UK09</t>
        </is>
      </c>
      <c r="B472" s="77" t="inlineStr">
        <is>
          <t>Leicester</t>
        </is>
      </c>
      <c r="C472" s="77" t="inlineStr">
        <is>
          <t>Programme/course</t>
        </is>
      </c>
      <c r="D472" s="77" t="inlineStr">
        <is>
          <t>UK09-S06</t>
        </is>
      </c>
      <c r="E472" s="77" t="inlineStr"/>
      <c r="F472" s="77" t="inlineStr">
        <is>
          <t>No</t>
        </is>
      </c>
      <c r="G472" s="79" t="inlineStr">
        <is>
          <t>Physics MPhys industrial group research project</t>
        </is>
      </c>
      <c r="H472" s="77" t="inlineStr">
        <is>
          <t>Group research project with an industrial partner (Physics MPhys)</t>
        </is>
      </c>
      <c r="I472" s="77" t="inlineStr"/>
      <c r="J472" s="77" t="inlineStr">
        <is>
          <t>Several Physics MPhys course pages say that in year three students can take a ten-week group research project with an industrial partner (e.g. Airbus Defence and Space, Jorin Ltd., Domino Printing, Weatherford International), giving project, budget and team management experience on a real project. A separate 15-credit PA3241 Industry Project (applied research on industry-relevant problems) also exists; its group/individual format is not known.</t>
        </is>
      </c>
      <c r="K472" s="77" t="inlineStr">
        <is>
          <t>School of Physics and Astronomy</t>
        </is>
      </c>
      <c r="L472" s="77" t="inlineStr">
        <is>
          <t>Physics MPhys variants and Physics BSc (course pages)</t>
        </is>
      </c>
      <c r="M472" s="77" t="inlineStr">
        <is>
          <t>Science</t>
        </is>
      </c>
      <c r="N472" s="77" t="inlineStr">
        <is>
          <t>Undergraduate</t>
        </is>
      </c>
      <c r="O472" s="77" t="inlineStr">
        <is>
          <t>Year 3</t>
        </is>
      </c>
      <c r="P472" s="77" t="inlineStr"/>
      <c r="Q472" s="77" t="inlineStr">
        <is>
          <t>Optional/elective</t>
        </is>
      </c>
      <c r="R472" s="77" t="inlineStr">
        <is>
          <t>Curricular</t>
        </is>
      </c>
      <c r="S472" s="77" t="inlineStr">
        <is>
          <t>Not found</t>
        </is>
      </c>
      <c r="T472" s="77" t="inlineStr">
        <is>
          <t>10 weeks</t>
        </is>
      </c>
      <c r="U472" s="77" t="inlineStr">
        <is>
          <t>Group research project with industrial partner</t>
        </is>
      </c>
      <c r="V472" s="77" t="inlineStr">
        <is>
          <t>Yes</t>
        </is>
      </c>
      <c r="W472" s="77" t="inlineStr">
        <is>
          <t>'Real project' group research project [1].</t>
        </is>
      </c>
      <c r="X472" s="77" t="inlineStr">
        <is>
          <t>Yes</t>
        </is>
      </c>
      <c r="Y472" s="77" t="inlineStr">
        <is>
          <t>Described as a ten-week group research project [1].</t>
        </is>
      </c>
      <c r="Z472" s="77" t="inlineStr">
        <is>
          <t>Unclear</t>
        </is>
      </c>
      <c r="AA472" s="77" t="inlineStr">
        <is>
          <t>Project is 'with an industrial partner' and partners are named, but how the partner participates (sets the problem, supervises, receives output) is not stated [1].</t>
        </is>
      </c>
      <c r="AB472" s="77" t="inlineStr">
        <is>
          <t>Business/commercial</t>
        </is>
      </c>
      <c r="AC472" s="77" t="inlineStr">
        <is>
          <t>Not specified beyond partnering on the project.</t>
        </is>
      </c>
      <c r="AD472" s="77" t="inlineStr">
        <is>
          <t>Airbus Defence and Space, Jorin Ltd., Domino Printing, Weatherford International (course page examples; year not stated)</t>
        </is>
      </c>
      <c r="AE472" s="77" t="inlineStr">
        <is>
          <t>Group research project output (not specified)</t>
        </is>
      </c>
      <c r="AF472" s="77">
        <f>IF(OR(V472="No",X472="No",Z472="No"),"Outside strict definition",IF(AND(V472="Yes",X472="Yes",Z472="Yes"),"Meets all three","Potentially relevant; evidence incomplete"))</f>
        <v/>
      </c>
      <c r="AG472" s="77" t="inlineStr">
        <is>
          <t>Current status unclear</t>
        </is>
      </c>
      <c r="AH472" s="77" t="inlineStr">
        <is>
          <t>undated</t>
        </is>
      </c>
      <c r="AI472" s="77" t="inlineStr">
        <is>
          <t>Yes</t>
        </is>
      </c>
      <c r="AJ472" s="77">
        <f>IF(AND(AI472="Yes",AF472="Meets all three",AG472="Current delivery confirmed"),"Yes","No")</f>
        <v/>
      </c>
      <c r="AK472" s="77" t="inlineStr"/>
      <c r="AL472" s="77" t="inlineStr">
        <is>
          <t>UK09-S06-R1</t>
        </is>
      </c>
      <c r="AM472" s="77" t="inlineStr">
        <is>
          <t>Pages are 250-850 days old; module code, credits, assessment and partner role not found; relationship to PA3241 Industry Project unclear. Duration is ten weeks (band shown conservatively as per brief categories; closer to ~1 term).</t>
        </is>
      </c>
      <c r="AN472" s="77" t="inlineStr"/>
      <c r="AO472" s="77" t="inlineStr">
        <is>
          <t>UK</t>
        </is>
      </c>
      <c r="AP472" s="77" t="inlineStr">
        <is>
          <t>UK – additional</t>
        </is>
      </c>
      <c r="AQ472" s="77" t="inlineStr">
        <is>
          <t>~1 term/semester</t>
        </is>
      </c>
      <c r="AR472" s="77" t="inlineStr">
        <is>
          <t>Unclear</t>
        </is>
      </c>
      <c r="AS472" s="77" t="inlineStr"/>
    </row>
    <row r="473">
      <c r="A473" s="77" t="inlineStr">
        <is>
          <t>UK09</t>
        </is>
      </c>
      <c r="B473" s="77" t="inlineStr">
        <is>
          <t>Leicester</t>
        </is>
      </c>
      <c r="C473" s="77" t="inlineStr">
        <is>
          <t>Faculty/school</t>
        </is>
      </c>
      <c r="D473" s="77" t="inlineStr">
        <is>
          <t>UK09-S07</t>
        </is>
      </c>
      <c r="E473" s="77" t="inlineStr"/>
      <c r="F473" s="77" t="inlineStr">
        <is>
          <t>No</t>
        </is>
      </c>
      <c r="G473" s="79" t="inlineStr">
        <is>
          <t>AI Agentic Solutions in Business Project (EMPAIP)</t>
        </is>
      </c>
      <c r="H473" s="77" t="inlineStr">
        <is>
          <t>AI Agentic Solutions in Business Project</t>
        </is>
      </c>
      <c r="I473" s="77" t="inlineStr"/>
      <c r="J473" s="77" t="inlineStr">
        <is>
          <t>New 60-credit practical postgraduate module (alternative to the dissertation) built on real employer briefs, designing and deploying AI agent solutions to real organisational needs; part of the Innovate UK-funded East Midlands Pathways to AI Programme led by the School of Business. About 180 students per year expected. Listed as an AI pathway on International Business MSc and Strategic Marketing MSc.</t>
        </is>
      </c>
      <c r="K473" s="77" t="inlineStr">
        <is>
          <t>School of Business</t>
        </is>
      </c>
      <c r="L473" s="77" t="inlineStr">
        <is>
          <t>Postgraduate taught School of Business programmes with AI pathway (International Business MSc, Strategic Marketing MSc)</t>
        </is>
      </c>
      <c r="M473" s="77" t="inlineStr">
        <is>
          <t>Business/management</t>
        </is>
      </c>
      <c r="N473" s="77" t="inlineStr">
        <is>
          <t>Postgraduate taught</t>
        </is>
      </c>
      <c r="O473" s="77" t="inlineStr"/>
      <c r="P473" s="77" t="inlineStr"/>
      <c r="Q473" s="77" t="inlineStr">
        <is>
          <t>Optional/elective</t>
        </is>
      </c>
      <c r="R473" s="77" t="inlineStr">
        <is>
          <t>Curricular</t>
        </is>
      </c>
      <c r="S473" s="77" t="inlineStr">
        <is>
          <t>60 credits, in place of dissertation</t>
        </is>
      </c>
      <c r="T473" s="77" t="inlineStr">
        <is>
          <t>Dissertation period (not stated)</t>
        </is>
      </c>
      <c r="U473" s="77" t="inlineStr">
        <is>
          <t>Employer-brief project</t>
        </is>
      </c>
      <c r="V473" s="77" t="inlineStr">
        <is>
          <t>Yes</t>
        </is>
      </c>
      <c r="W473" s="77" t="inlineStr">
        <is>
          <t>Authentic business challenges addressed by designing/deploying AI agent solutions [1].</t>
        </is>
      </c>
      <c r="X473" s="77" t="inlineStr">
        <is>
          <t>Unclear</t>
        </is>
      </c>
      <c r="Y473" s="77" t="inlineStr">
        <is>
          <t>No source states team or individual working [1][2].</t>
        </is>
      </c>
      <c r="Z473" s="77" t="inlineStr">
        <is>
          <t>Yes</t>
        </is>
      </c>
      <c r="AA473" s="77" t="inlineStr">
        <is>
          <t>'Based on real employer briefs' [1]; how employers supervise/receive outputs not detailed.</t>
        </is>
      </c>
      <c r="AB473" s="77" t="inlineStr">
        <is>
          <t>Business/commercial</t>
        </is>
      </c>
      <c r="AC473" s="77" t="inlineStr">
        <is>
          <t>Supply real briefs; local employers (regional ecosystem).</t>
        </is>
      </c>
      <c r="AD473" s="77" t="inlineStr"/>
      <c r="AE473" s="77" t="inlineStr">
        <is>
          <t>AI agent solution for employer need (assumed; not detailed)</t>
        </is>
      </c>
      <c r="AF473" s="77">
        <f>IF(OR(V473="No",X473="No",Z473="No"),"Outside strict definition",IF(AND(V473="Yes",X473="Yes",Z473="Yes"),"Meets all three","Potentially relevant; evidence incomplete"))</f>
        <v/>
      </c>
      <c r="AG473" s="77" t="inlineStr">
        <is>
          <t>Announced/forthcoming</t>
        </is>
      </c>
      <c r="AH473" s="77" t="inlineStr">
        <is>
          <t>2026</t>
        </is>
      </c>
      <c r="AI473" s="77" t="inlineStr">
        <is>
          <t>Yes</t>
        </is>
      </c>
      <c r="AJ473" s="77">
        <f>IF(AND(AI473="Yes",AF473="Meets all three",AG473="Current delivery confirmed"),"Yes","No")</f>
        <v/>
      </c>
      <c r="AK473" s="77" t="inlineStr">
        <is>
          <t>~180 students per year expected (announcement, 2026)</t>
        </is>
      </c>
      <c r="AL473" s="77" t="inlineStr">
        <is>
          <t>UK09-S07-R1; UK09-S07-R2</t>
        </is>
      </c>
      <c r="AM473" s="77" t="inlineStr">
        <is>
          <t>Group vs individual unknown; first cohort start date and partner names not found.</t>
        </is>
      </c>
      <c r="AN473" s="77" t="inlineStr"/>
      <c r="AO473" s="77" t="inlineStr">
        <is>
          <t>UK</t>
        </is>
      </c>
      <c r="AP473" s="77" t="inlineStr">
        <is>
          <t>UK – additional</t>
        </is>
      </c>
      <c r="AQ473" s="77" t="inlineStr">
        <is>
          <t>Unclear</t>
        </is>
      </c>
      <c r="AR473" s="77" t="inlineStr">
        <is>
          <t>All/standard (design principle, per announcement)</t>
        </is>
      </c>
      <c r="AS473" s="77" t="inlineStr"/>
    </row>
    <row r="474">
      <c r="A474" s="77" t="inlineStr">
        <is>
          <t>UK09</t>
        </is>
      </c>
      <c r="B474" s="77" t="inlineStr">
        <is>
          <t>Leicester</t>
        </is>
      </c>
      <c r="C474" s="77" t="inlineStr">
        <is>
          <t>Programme/course</t>
        </is>
      </c>
      <c r="D474" s="77" t="inlineStr">
        <is>
          <t>UK09-S08</t>
        </is>
      </c>
      <c r="E474" s="77" t="inlineStr"/>
      <c r="F474" s="77" t="inlineStr">
        <is>
          <t>No</t>
        </is>
      </c>
      <c r="G474" s="79" t="inlineStr">
        <is>
          <t>EG4007 Group Project (Mechanical/General/Aerospace Engineering MEng)</t>
        </is>
      </c>
      <c r="H474" s="77" t="inlineStr">
        <is>
          <t>Engineering MEng Group Project</t>
        </is>
      </c>
      <c r="I474" s="77" t="inlineStr">
        <is>
          <t>EG4007</t>
        </is>
      </c>
      <c r="J474" s="77" t="inlineStr">
        <is>
          <t>Final-year 30-credit year-long MEng group project exploring an engineering challenge, often with students from other engineering disciplines (paired with 15-credit Leadership and Project Management); course pages say project work 'may also include output from an industrial partner'. Second-year integrated design project is also team-based.</t>
        </is>
      </c>
      <c r="K474" s="77" t="inlineStr">
        <is>
          <t>School of Engineering</t>
        </is>
      </c>
      <c r="L474" s="77" t="inlineStr">
        <is>
          <t>MEng engineering degrees (Mechanical; likely General/Aerospace)</t>
        </is>
      </c>
      <c r="M474" s="77" t="inlineStr">
        <is>
          <t>Engineering/computing</t>
        </is>
      </c>
      <c r="N474" s="77" t="inlineStr">
        <is>
          <t>Undergraduate</t>
        </is>
      </c>
      <c r="O474" s="77" t="inlineStr">
        <is>
          <t>Year 4 (MEng)</t>
        </is>
      </c>
      <c r="P474" s="77" t="inlineStr"/>
      <c r="Q474" s="77" t="inlineStr">
        <is>
          <t>Compulsory within specified programmes</t>
        </is>
      </c>
      <c r="R474" s="77" t="inlineStr">
        <is>
          <t>Curricular</t>
        </is>
      </c>
      <c r="S474" s="77" t="inlineStr">
        <is>
          <t>30 credits year-long; must be passed for MEng (professional body accreditation)</t>
        </is>
      </c>
      <c r="T474" s="77" t="inlineStr">
        <is>
          <t>Year-long</t>
        </is>
      </c>
      <c r="U474" s="77" t="inlineStr">
        <is>
          <t>Team project</t>
        </is>
      </c>
      <c r="V474" s="77" t="inlineStr">
        <is>
          <t>Yes</t>
        </is>
      </c>
      <c r="W474" s="77" t="inlineStr">
        <is>
          <t>Group engineering challenge project [1].</t>
        </is>
      </c>
      <c r="X474" s="77" t="inlineStr">
        <is>
          <t>Yes</t>
        </is>
      </c>
      <c r="Y474" s="77" t="inlineStr">
        <is>
          <t>Group project, students from several disciplines [1].</t>
        </is>
      </c>
      <c r="Z474" s="77" t="inlineStr">
        <is>
          <t>Unclear</t>
        </is>
      </c>
      <c r="AA474" s="77" t="inlineStr">
        <is>
          <t>'May also include output from an industrial partner'; visits from partners possible [1]. Optional/occasional wording, no documented standard external client.</t>
        </is>
      </c>
      <c r="AB474" s="77" t="inlineStr">
        <is>
          <t>Unclear</t>
        </is>
      </c>
      <c r="AC474" s="77" t="inlineStr">
        <is>
          <t>Occasional industrial input; role unspecified.</t>
        </is>
      </c>
      <c r="AD474" s="77" t="inlineStr"/>
      <c r="AE474" s="77" t="inlineStr">
        <is>
          <t>Group engineering project output</t>
        </is>
      </c>
      <c r="AF474" s="77">
        <f>IF(OR(V474="No",X474="No",Z474="No"),"Outside strict definition",IF(AND(V474="Yes",X474="Yes",Z474="Yes"),"Meets all three","Potentially relevant; evidence incomplete"))</f>
        <v/>
      </c>
      <c r="AG474" s="77" t="inlineStr">
        <is>
          <t>Current status unclear</t>
        </is>
      </c>
      <c r="AH474" s="77" t="inlineStr">
        <is>
          <t>2025/26 (spec listed; content not verified)</t>
        </is>
      </c>
      <c r="AI474" s="77" t="inlineStr">
        <is>
          <t>Yes</t>
        </is>
      </c>
      <c r="AJ474" s="77">
        <f>IF(AND(AI474="Yes",AF474="Meets all three",AG474="Current delivery confirmed"),"Yes","No")</f>
        <v/>
      </c>
      <c r="AK474" s="77" t="inlineStr"/>
      <c r="AL474" s="77" t="inlineStr">
        <is>
          <t>UK09-S08-R1</t>
        </is>
      </c>
      <c r="AM474" s="77" t="inlineStr">
        <is>
          <t>Whether any group projects are industrially sponsored and how; 2025/26 and 2026/27 mechanical engineering specifications exist but extracts not obtained.</t>
        </is>
      </c>
      <c r="AN474" s="77" t="inlineStr"/>
      <c r="AO474" s="77" t="inlineStr">
        <is>
          <t>UK</t>
        </is>
      </c>
      <c r="AP474" s="77" t="inlineStr">
        <is>
          <t>UK – additional</t>
        </is>
      </c>
      <c r="AQ474" s="77" t="inlineStr">
        <is>
          <t>&gt;1 term</t>
        </is>
      </c>
      <c r="AR474" s="77" t="inlineStr">
        <is>
          <t>Some projects</t>
        </is>
      </c>
      <c r="AS474" s="77" t="inlineStr"/>
    </row>
    <row r="475">
      <c r="A475" s="77" t="inlineStr">
        <is>
          <t>UK09</t>
        </is>
      </c>
      <c r="B475" s="77" t="inlineStr">
        <is>
          <t>Leicester</t>
        </is>
      </c>
      <c r="C475" s="77" t="inlineStr">
        <is>
          <t>Programme/course</t>
        </is>
      </c>
      <c r="D475" s="77" t="inlineStr">
        <is>
          <t>UK09-S09</t>
        </is>
      </c>
      <c r="E475" s="77" t="inlineStr"/>
      <c r="F475" s="77" t="inlineStr">
        <is>
          <t>No</t>
        </is>
      </c>
      <c r="G475" s="79" t="inlineStr">
        <is>
          <t>Consultancy Challenge</t>
        </is>
      </c>
      <c r="H475" s="77" t="inlineStr">
        <is>
          <t>Consultancy Challenge</t>
        </is>
      </c>
      <c r="I475" s="77" t="inlineStr">
        <is>
          <t>MK2105</t>
        </is>
      </c>
      <c r="J475" s="77" t="inlineStr">
        <is>
          <t>15-credit Semester 2 Year 2 option on Business and Management BSc/BA (and Business and Law BA). Module pages list it but do not describe the activity, team structure or whether clients are real.</t>
        </is>
      </c>
      <c r="K475" s="77" t="inlineStr">
        <is>
          <t>School of Business</t>
        </is>
      </c>
      <c r="L475" s="77" t="inlineStr">
        <is>
          <t>Business and Management BSc/BA; Business and Law BA</t>
        </is>
      </c>
      <c r="M475" s="77" t="inlineStr">
        <is>
          <t>Business/management</t>
        </is>
      </c>
      <c r="N475" s="77" t="inlineStr">
        <is>
          <t>Undergraduate</t>
        </is>
      </c>
      <c r="O475" s="77" t="inlineStr">
        <is>
          <t>Year 2</t>
        </is>
      </c>
      <c r="P475" s="77" t="inlineStr"/>
      <c r="Q475" s="77" t="inlineStr">
        <is>
          <t>Optional/elective</t>
        </is>
      </c>
      <c r="R475" s="77" t="inlineStr">
        <is>
          <t>Curricular</t>
        </is>
      </c>
      <c r="S475" s="77" t="inlineStr">
        <is>
          <t>15 credits, Semester 2</t>
        </is>
      </c>
      <c r="T475" s="77" t="inlineStr">
        <is>
          <t>Semester 2</t>
        </is>
      </c>
      <c r="U475" s="77" t="inlineStr">
        <is>
          <t>Unknown</t>
        </is>
      </c>
      <c r="V475" s="77" t="inlineStr">
        <is>
          <t>Unclear</t>
        </is>
      </c>
      <c r="W475" s="77" t="inlineStr">
        <is>
          <t>Title only [1].</t>
        </is>
      </c>
      <c r="X475" s="77" t="inlineStr">
        <is>
          <t>Unclear</t>
        </is>
      </c>
      <c r="Y475" s="77" t="inlineStr">
        <is>
          <t>Not described.</t>
        </is>
      </c>
      <c r="Z475" s="77" t="inlineStr">
        <is>
          <t>Unclear</t>
        </is>
      </c>
      <c r="AA475" s="77" t="inlineStr">
        <is>
          <t>Not described; the University Employer toolkit separately lists 'summer consultancy challenges' where employers supply a brief, but not tied to this module [2].</t>
        </is>
      </c>
      <c r="AB475" s="77" t="inlineStr">
        <is>
          <t>Unclear</t>
        </is>
      </c>
      <c r="AC475" s="77" t="inlineStr">
        <is>
          <t>Unknown</t>
        </is>
      </c>
      <c r="AD475" s="77" t="inlineStr"/>
      <c r="AE475" s="77" t="inlineStr">
        <is>
          <t>Unknown</t>
        </is>
      </c>
      <c r="AF475" s="77">
        <f>IF(OR(V475="No",X475="No",Z475="No"),"Outside strict definition",IF(AND(V475="Yes",X475="Yes",Z475="Yes"),"Meets all three","Potentially relevant; evidence incomplete"))</f>
        <v/>
      </c>
      <c r="AG475" s="77" t="inlineStr">
        <is>
          <t>Current status unclear</t>
        </is>
      </c>
      <c r="AH475" s="77" t="inlineStr">
        <is>
          <t>2024/25 (programme spec listing)</t>
        </is>
      </c>
      <c r="AI475" s="77" t="inlineStr">
        <is>
          <t>Yes</t>
        </is>
      </c>
      <c r="AJ475" s="77">
        <f>IF(AND(AI475="Yes",AF475="Meets all three",AG475="Current delivery confirmed"),"Yes","No")</f>
        <v/>
      </c>
      <c r="AK475" s="77" t="inlineStr"/>
      <c r="AL475" s="77" t="inlineStr">
        <is>
          <t>UK09-S09-R1; UK09-S09-R2</t>
        </is>
      </c>
      <c r="AM475" s="77" t="inlineStr">
        <is>
          <t>Module content must be checked in module handbook; may be live-client consultancy (title) but unverified.</t>
        </is>
      </c>
      <c r="AN475" s="77" t="inlineStr"/>
      <c r="AO475" s="77" t="inlineStr">
        <is>
          <t>UK</t>
        </is>
      </c>
      <c r="AP475" s="77" t="inlineStr">
        <is>
          <t>UK – additional</t>
        </is>
      </c>
      <c r="AQ475" s="77" t="inlineStr">
        <is>
          <t>~1 term/semester</t>
        </is>
      </c>
      <c r="AR475" s="77" t="inlineStr">
        <is>
          <t>Unclear</t>
        </is>
      </c>
      <c r="AS475" s="77" t="inlineStr"/>
    </row>
    <row r="476">
      <c r="A476" s="77" t="inlineStr">
        <is>
          <t>UK10</t>
        </is>
      </c>
      <c r="B476" s="77" t="inlineStr">
        <is>
          <t>Strathclyde</t>
        </is>
      </c>
      <c r="C476" s="77" t="inlineStr">
        <is>
          <t>Cross-faculty</t>
        </is>
      </c>
      <c r="D476" s="77" t="inlineStr">
        <is>
          <t>UK10-S01</t>
        </is>
      </c>
      <c r="E476" s="77" t="inlineStr"/>
      <c r="F476" s="77" t="inlineStr">
        <is>
          <t>No</t>
        </is>
      </c>
      <c r="G476" s="79" t="inlineStr">
        <is>
          <t>Vertically Integrated Projects for Sustainable Development (VIP4SD)</t>
        </is>
      </c>
      <c r="H476" s="77" t="inlineStr">
        <is>
          <t>Vertically Integrated Projects for Sustainable Development</t>
        </is>
      </c>
      <c r="I476" s="77" t="inlineStr"/>
      <c r="J476" s="77" t="inlineStr">
        <is>
          <t>Multidisciplinary, multi-year, credit-bearing research/challenge projects addressing the UN SDGs. Teams combine students from different year groups and disciplines with academics and postgraduate researchers; individual projects (e.g. Energy for Development solar PV installations, STEM education in primary schools, Drug Discovery) work with collaborators such as local schools, the NHS and partners in Malawi, Rwanda and the Gambia. Whether external organisations are a standard source of the brief for every project is not evidenced.</t>
        </is>
      </c>
      <c r="K476" s="77" t="inlineStr">
        <is>
          <t>Centre for Sustainable Development / VIP4SD programme</t>
        </is>
      </c>
      <c r="L476" s="77" t="inlineStr">
        <is>
          <t>Projects across all four faculties (being introduced across all four faculties per Nov 2025 strategy); eligibility and credit values said to be listed on the programme site but not retrieved.</t>
        </is>
      </c>
      <c r="M476" s="77" t="inlineStr">
        <is>
          <t>Central provision; Engineering/computing; Science; Arts/humanities/social sciences; Business/management</t>
        </is>
      </c>
      <c r="N476" s="77" t="inlineStr">
        <is>
          <t>Mixed</t>
        </is>
      </c>
      <c r="O476" s="77" t="inlineStr">
        <is>
          <t>From second year to Honours and beyond (multi-year)</t>
        </is>
      </c>
      <c r="P476" s="77" t="inlineStr">
        <is>
          <t>Students in participating degrees and project teams; credit depends on degree.</t>
        </is>
      </c>
      <c r="Q476" s="77" t="inlineStr">
        <is>
          <t>Optional/elective</t>
        </is>
      </c>
      <c r="R476" s="77" t="inlineStr">
        <is>
          <t>Curricular</t>
        </is>
      </c>
      <c r="S476" s="77" t="inlineStr">
        <is>
          <t>Academic credit towards degree (value not retrieved).</t>
        </is>
      </c>
      <c r="T476" s="77" t="inlineStr">
        <is>
          <t>Multi-year participation; annual project cycles</t>
        </is>
      </c>
      <c r="U476" s="77" t="inlineStr">
        <is>
          <t>In-person project teams, vertically integrated</t>
        </is>
      </c>
      <c r="V476" s="77" t="inlineStr">
        <is>
          <t>Yes</t>
        </is>
      </c>
      <c r="W476" s="77" t="inlineStr">
        <is>
          <t>Research/challenge projects with defined SDG-related aims and outputs (e.g. solar PV installations, school STEM teaching) [1][2].</t>
        </is>
      </c>
      <c r="X476" s="77" t="inlineStr">
        <is>
          <t>Yes</t>
        </is>
      </c>
      <c r="Y476" s="77" t="inlineStr">
        <is>
          <t>Teams of students from different year groups and disciplines work collaboratively with staff and postgraduate researchers [1][2].</t>
        </is>
      </c>
      <c r="Z476" s="77" t="inlineStr">
        <is>
          <t>Unclear</t>
        </is>
      </c>
      <c r="AA476" s="77" t="inlineStr">
        <is>
          <t>Individual projects work with schools, NHS and overseas partners [2][3], but the source does not show external organisations setting the brief or taking part as client for each project; roles of partners (beneficiary vs client) not documented. Coverage 'some projects'.</t>
        </is>
      </c>
      <c r="AB476" s="77" t="inlineStr">
        <is>
          <t>Mixed</t>
        </is>
      </c>
      <c r="AC476" s="77" t="inlineStr">
        <is>
          <t>Collaborators/beneficiaries on individual projects (schools, NHS, overseas institutions); programme-level partners include Scottish Government, Royal Academy of Engineering, EAUC.</t>
        </is>
      </c>
      <c r="AD476" s="77" t="inlineStr">
        <is>
          <t>Local schools, NHS, partners in Malawi, Rwanda and the Gambia (undated programme pages)</t>
        </is>
      </c>
      <c r="AE476" s="77" t="inlineStr">
        <is>
          <t>Project outputs (e.g. installations, teaching interventions, research outputs)</t>
        </is>
      </c>
      <c r="AF476" s="77">
        <f>IF(OR(V476="No",X476="No",Z476="No"),"Outside strict definition",IF(AND(V476="Yes",X476="Yes",Z476="Yes"),"Meets all three","Potentially relevant; evidence incomplete"))</f>
        <v/>
      </c>
      <c r="AG476" s="77" t="inlineStr">
        <is>
          <t>Current delivery confirmed</t>
        </is>
      </c>
      <c r="AH476" s="77" t="inlineStr">
        <is>
          <t>2025</t>
        </is>
      </c>
      <c r="AI476" s="77" t="inlineStr">
        <is>
          <t>Yes</t>
        </is>
      </c>
      <c r="AJ476" s="77">
        <f>IF(AND(AI476="Yes",AF476="Meets all three",AG476="Current delivery confirmed"),"Yes","No")</f>
        <v/>
      </c>
      <c r="AK476" s="77" t="inlineStr">
        <is>
          <t>Approx. 200 students across 20 interdisciplinary research projects (University sustainability strategy case study, SESS30, Nov 2025 document).</t>
        </is>
      </c>
      <c r="AL476" s="77" t="inlineStr">
        <is>
          <t>UK10-S01-R1; UK10-S01-R2; UK10-S01-R3</t>
        </is>
      </c>
      <c r="AM476" s="77" t="inlineStr">
        <is>
          <t>Credit value per project, eligibility, and whether external organisations set briefs or only benefit. Participation figures are from an undated case study within a Nov 2025 document.</t>
        </is>
      </c>
      <c r="AN476" s="77" t="inlineStr">
        <is>
          <t>Vertically Integrated Projects for Sustainable Development</t>
        </is>
      </c>
      <c r="AO476" s="77" t="inlineStr">
        <is>
          <t>UK</t>
        </is>
      </c>
      <c r="AP476" s="77" t="inlineStr">
        <is>
          <t>UK – additional</t>
        </is>
      </c>
      <c r="AQ476" s="77" t="inlineStr">
        <is>
          <t>&gt;1 term</t>
        </is>
      </c>
      <c r="AR476" s="77" t="inlineStr">
        <is>
          <t>Some projects</t>
        </is>
      </c>
      <c r="AS476" s="77" t="inlineStr"/>
    </row>
    <row r="477">
      <c r="A477" s="77" t="inlineStr">
        <is>
          <t>UK10</t>
        </is>
      </c>
      <c r="B477" s="77" t="inlineStr">
        <is>
          <t>Strathclyde</t>
        </is>
      </c>
      <c r="C477" s="77" t="inlineStr">
        <is>
          <t>Programme/course</t>
        </is>
      </c>
      <c r="D477" s="77" t="inlineStr">
        <is>
          <t>UK10-S02</t>
        </is>
      </c>
      <c r="E477" s="77" t="inlineStr"/>
      <c r="F477" s="77" t="inlineStr">
        <is>
          <t>No</t>
        </is>
      </c>
      <c r="G477" s="79" t="inlineStr">
        <is>
          <t>DMEM Industrial Group Projects (IGP) / Industrial Projects scheme</t>
        </is>
      </c>
      <c r="H477" s="77" t="inlineStr">
        <is>
          <t>Design, Manufacturing &amp; Engineering Management Industrial Group Projects</t>
        </is>
      </c>
      <c r="I477" s="77" t="inlineStr"/>
      <c r="J477" s="77" t="inlineStr">
        <is>
          <t>Team-based industrial project in which a company sets an outline brief (agreed in preliminary discussions), and a team of senior undergraduate and postgraduate taught students (single- or multi-discipline) manages the project through four stages (Brief, Definition, Conceptualisation, Realisation) to a product, system or process solution, usually with a report and sometimes prototype/CAD/data. Each team has a university mentor and a client representative; the client gives formal feedback at each milestone and attends the presentation day. Evidenced on the MSc Systems Engineering Management page as a 40-credit module with report and presentation to the client (past clients listed: Babcock, BAE Systems, Rolls-Royce, Thales, Jacobs).</t>
        </is>
      </c>
      <c r="K477" s="77" t="inlineStr">
        <is>
          <t>Department of Design, Manufacturing &amp; Engineering Management (Faculty of Engineering)</t>
        </is>
      </c>
      <c r="L477" s="77" t="inlineStr">
        <is>
          <t>Senior undergraduate and postgraduate taught students on DMEM product design, manufacture and engineering management related degrees (e.g. MEng Manufacturing Engineering with Management, MSc Systems Engineering Management, Product Design Engineering).</t>
        </is>
      </c>
      <c r="M477" s="77" t="inlineStr">
        <is>
          <t>Engineering/computing</t>
        </is>
      </c>
      <c r="N477" s="77" t="inlineStr">
        <is>
          <t>Mixed</t>
        </is>
      </c>
      <c r="O477" s="77" t="inlineStr">
        <is>
          <t>Senior undergraduate (e.g. year 4) and PGT</t>
        </is>
      </c>
      <c r="P477" s="77" t="inlineStr">
        <is>
          <t>Students on participating DMEM programmes.</t>
        </is>
      </c>
      <c r="Q477" s="77" t="inlineStr">
        <is>
          <t>Compulsory within specified programmes</t>
        </is>
      </c>
      <c r="R477" s="77" t="inlineStr">
        <is>
          <t>Curricular</t>
        </is>
      </c>
      <c r="S477" s="77" t="inlineStr">
        <is>
          <t>40-credit module on MSc Systems Engineering Management (course page); BEng assessment: brief and report/folio 75%, critiques 25% (per search summary). Credit values on other programmes not confirmed.</t>
        </is>
      </c>
      <c r="T477" s="77" t="inlineStr">
        <is>
          <t>October to May; January to August</t>
        </is>
      </c>
      <c r="U477" s="77" t="inlineStr">
        <is>
          <t>In-person team projects with client liaison; presentation day in May/August</t>
        </is>
      </c>
      <c r="V477" s="77" t="inlineStr">
        <is>
          <t>Yes</t>
        </is>
      </c>
      <c r="W477" s="77" t="inlineStr">
        <is>
          <t>Defined client brief, four staged milestones, final report/prototype/CAD/data [1][2].</t>
        </is>
      </c>
      <c r="X477" s="77" t="inlineStr">
        <is>
          <t>Yes</t>
        </is>
      </c>
      <c r="Y477" s="77" t="inlineStr">
        <is>
          <t>'Team-based industrial project'; project allocated to a team of single- or multi-discipline students [1][2][3].</t>
        </is>
      </c>
      <c r="Z477" s="77" t="inlineStr">
        <is>
          <t>Yes</t>
        </is>
      </c>
      <c r="AA477" s="77" t="inlineStr">
        <is>
          <t>Company sets the brief, nominates a representative, gives formal feedback at each stage and is expected to attend the presentation day [1][2]; MSc SEM students present to the client [3].</t>
        </is>
      </c>
      <c r="AB477" s="77" t="inlineStr">
        <is>
          <t>Mixed</t>
        </is>
      </c>
      <c r="AC477" s="77" t="inlineStr">
        <is>
          <t>Client company sets brief, liaises, gives milestone feedback, attends presentation day.</t>
        </is>
      </c>
      <c r="AD477" s="77" t="inlineStr">
        <is>
          <t>Babcock, BAE Systems, Rolls-Royce, Thales, Jacobs (SEM course page, undated); Rolls-Royce, Unilever, Jaguar Land Rover, NHS listed as companies worked with (DMEM page); Royal Botanic Garden Edinburgh in 2021-22 catalogue</t>
        </is>
      </c>
      <c r="AE477" s="77" t="inlineStr">
        <is>
          <t>Report, often with prototype, CAD layouts or experimental data; client presentation</t>
        </is>
      </c>
      <c r="AF477" s="77">
        <f>IF(OR(V477="No",X477="No",Z477="No"),"Outside strict definition",IF(AND(V477="Yes",X477="Yes",Z477="Yes"),"Meets all three","Potentially relevant; evidence incomplete"))</f>
        <v/>
      </c>
      <c r="AG477" s="77" t="inlineStr">
        <is>
          <t>Current delivery confirmed</t>
        </is>
      </c>
      <c r="AH477" s="77" t="inlineStr">
        <is>
          <t>2024/25 (IGP Presentation Day 9 May 2025)</t>
        </is>
      </c>
      <c r="AI477" s="77" t="inlineStr">
        <is>
          <t>Yes</t>
        </is>
      </c>
      <c r="AJ477" s="77">
        <f>IF(AND(AI477="Yes",AF477="Meets all three",AG477="Current delivery confirmed"),"Yes","No")</f>
        <v/>
      </c>
      <c r="AK477" s="77" t="inlineStr"/>
      <c r="AL477" s="77" t="inlineStr">
        <is>
          <t>UK10-S02-R1; UK10-S02-R2; UK10-S02-R3; UK10-S02-R4</t>
        </is>
      </c>
      <c r="AM477" s="77" t="inlineStr">
        <is>
          <t>Credit values and compulsory status per programme beyond MSc SEM; no 2025/26 cohort list found (dated evidence is the May 2025 presentation day record).</t>
        </is>
      </c>
      <c r="AN477" s="77" t="inlineStr"/>
      <c r="AO477" s="77" t="inlineStr">
        <is>
          <t>UK</t>
        </is>
      </c>
      <c r="AP477" s="77" t="inlineStr">
        <is>
          <t>UK – additional</t>
        </is>
      </c>
      <c r="AQ477" s="77" t="inlineStr">
        <is>
          <t>&gt;1 term</t>
        </is>
      </c>
      <c r="AR477" s="77" t="inlineStr">
        <is>
          <t>All/standard</t>
        </is>
      </c>
      <c r="AS477" s="77" t="inlineStr"/>
    </row>
    <row r="478">
      <c r="A478" s="77" t="inlineStr">
        <is>
          <t>UK10</t>
        </is>
      </c>
      <c r="B478" s="77" t="inlineStr">
        <is>
          <t>Strathclyde</t>
        </is>
      </c>
      <c r="C478" s="77" t="inlineStr">
        <is>
          <t>Programme/course</t>
        </is>
      </c>
      <c r="D478" s="77" t="inlineStr">
        <is>
          <t>UK10-S03</t>
        </is>
      </c>
      <c r="E478" s="77" t="inlineStr"/>
      <c r="F478" s="77" t="inlineStr">
        <is>
          <t>No</t>
        </is>
      </c>
      <c r="G478" s="79" t="inlineStr">
        <is>
          <t>MSc Civil Engineering industry-led Group Design Project</t>
        </is>
      </c>
      <c r="H478" s="77" t="inlineStr">
        <is>
          <t>Industry-led Civil Engineering Group Design Project (renewable energy project)</t>
        </is>
      </c>
      <c r="I478" s="77" t="inlineStr"/>
      <c r="J478" s="77" t="inlineStr">
        <is>
          <t>20-credit group design class on the MSc Civil Engineering in which students undertake a renewable energy project from concept to detailed design (structural, geotechnical, water, management, environmental and financial planning) with continuous feedback from an industry mentor. Recent mentors named on the course page: Arcadis, Ocean Winds, AtkinsRealis, Amey, Skanska; example topic: routing of transmission connection assets for an offshore wind farm.</t>
        </is>
      </c>
      <c r="K478" s="77" t="inlineStr">
        <is>
          <t>Department of Civil &amp; Environmental Engineering</t>
        </is>
      </c>
      <c r="L478" s="77" t="inlineStr">
        <is>
          <t>MSc Civil Engineering (tied to the sustainability pathways)</t>
        </is>
      </c>
      <c r="M478" s="77" t="inlineStr">
        <is>
          <t>Engineering/computing</t>
        </is>
      </c>
      <c r="N478" s="77" t="inlineStr">
        <is>
          <t>Postgraduate taught</t>
        </is>
      </c>
      <c r="O478" s="77" t="inlineStr"/>
      <c r="P478" s="77" t="inlineStr">
        <is>
          <t>Linked to the MSc Civil Engineering 'sustainability' pathways.</t>
        </is>
      </c>
      <c r="Q478" s="77" t="inlineStr">
        <is>
          <t>Unclear</t>
        </is>
      </c>
      <c r="R478" s="77" t="inlineStr">
        <is>
          <t>Curricular</t>
        </is>
      </c>
      <c r="S478" s="77" t="inlineStr">
        <is>
          <t>20 credits</t>
        </is>
      </c>
      <c r="T478" s="77" t="inlineStr">
        <is>
          <t>One class (semester not retrieved)</t>
        </is>
      </c>
      <c r="U478" s="77" t="inlineStr">
        <is>
          <t>Group design project with industry mentor</t>
        </is>
      </c>
      <c r="V478" s="77" t="inlineStr">
        <is>
          <t>Yes</t>
        </is>
      </c>
      <c r="W478" s="77" t="inlineStr">
        <is>
          <t>Group design project producing a concept-to-detailed design for a renewable energy project [1].</t>
        </is>
      </c>
      <c r="X478" s="77" t="inlineStr">
        <is>
          <t>Yes</t>
        </is>
      </c>
      <c r="Y478" s="77" t="inlineStr">
        <is>
          <t>Described as a Group Design Project [1].</t>
        </is>
      </c>
      <c r="Z478" s="77" t="inlineStr">
        <is>
          <t>Yes</t>
        </is>
      </c>
      <c r="AA478" s="77" t="inlineStr">
        <is>
          <t>Industry mentor gives continuous feedback; mentors named (Arcadis, Ocean Winds, AtkinsRealis, Amey, Skanska) [1]. Role is mentoring/feedback; whether the firm sets the brief is not stated.</t>
        </is>
      </c>
      <c r="AB478" s="77" t="inlineStr">
        <is>
          <t>Business/commercial</t>
        </is>
      </c>
      <c r="AC478" s="77" t="inlineStr">
        <is>
          <t>Industry mentors provide continuous feedback on student projects.</t>
        </is>
      </c>
      <c r="AD478" s="77" t="inlineStr">
        <is>
          <t>Arcadis, Ocean Winds, AtkinsRealis, Amey, Skanska (course page, undated; 'recent projects')</t>
        </is>
      </c>
      <c r="AE478" s="77" t="inlineStr">
        <is>
          <t>Group design report</t>
        </is>
      </c>
      <c r="AF478" s="77">
        <f>IF(OR(V478="No",X478="No",Z478="No"),"Outside strict definition",IF(AND(V478="Yes",X478="Yes",Z478="Yes"),"Meets all three","Potentially relevant; evidence incomplete"))</f>
        <v/>
      </c>
      <c r="AG478" s="77" t="inlineStr">
        <is>
          <t>Current status unclear</t>
        </is>
      </c>
      <c r="AH478" s="77" t="inlineStr"/>
      <c r="AI478" s="77" t="inlineStr">
        <is>
          <t>Yes</t>
        </is>
      </c>
      <c r="AJ478" s="77">
        <f>IF(AND(AI478="Yes",AF478="Meets all three",AG478="Current delivery confirmed"),"Yes","No")</f>
        <v/>
      </c>
      <c r="AK478" s="77" t="inlineStr"/>
      <c r="AL478" s="77" t="inlineStr">
        <is>
          <t>UK10-S03-R1</t>
        </is>
      </c>
      <c r="AM478" s="77" t="inlineStr">
        <is>
          <t>Course page is undated and no dated 2025/26 corroboration found; whether the class is compulsory on the pathways; whether mentors also set briefs.</t>
        </is>
      </c>
      <c r="AN478" s="77" t="inlineStr"/>
      <c r="AO478" s="77" t="inlineStr">
        <is>
          <t>UK</t>
        </is>
      </c>
      <c r="AP478" s="77" t="inlineStr">
        <is>
          <t>UK – additional</t>
        </is>
      </c>
      <c r="AQ478" s="77" t="inlineStr">
        <is>
          <t>~1 term/semester</t>
        </is>
      </c>
      <c r="AR478" s="77" t="inlineStr">
        <is>
          <t>All/standard</t>
        </is>
      </c>
      <c r="AS478" s="77" t="inlineStr"/>
    </row>
    <row r="479">
      <c r="A479" s="77" t="inlineStr">
        <is>
          <t>UK10</t>
        </is>
      </c>
      <c r="B479" s="77" t="inlineStr">
        <is>
          <t>Strathclyde</t>
        </is>
      </c>
      <c r="C479" s="77" t="inlineStr">
        <is>
          <t>Programme/course</t>
        </is>
      </c>
      <c r="D479" s="77" t="inlineStr">
        <is>
          <t>UK10-S04</t>
        </is>
      </c>
      <c r="E479" s="77" t="inlineStr"/>
      <c r="F479" s="77" t="inlineStr">
        <is>
          <t>No</t>
        </is>
      </c>
      <c r="G479" s="79" t="inlineStr">
        <is>
          <t>Becoming an Effective Business Analyst (BEBA) experiential learning class, MSc Business Analysis &amp; Consulting (and pathway variants)</t>
        </is>
      </c>
      <c r="H479" s="77" t="inlineStr">
        <is>
          <t>Becoming an Effective Business Analyst client-problem class</t>
        </is>
      </c>
      <c r="I479" s="77" t="inlineStr"/>
      <c r="J479" s="77" t="inlineStr">
        <is>
          <t>Core experiential class running across both semesters on the Management Science MSc Business Analysis &amp; Consulting programmes (incl. January intake, with Project Management and with AI pathways). External managers/organisations present semi-structured business problems (about three times a semester); allocated teams analyse the problem and report recommendations back to the client. March 2026 SBS newsletter lists client case studies from Deloitte, StormID, Sphera software solutions and WB Alloys.</t>
        </is>
      </c>
      <c r="K479" s="77" t="inlineStr">
        <is>
          <t>Department of Management Science, Strathclyde Business School</t>
        </is>
      </c>
      <c r="L479" s="77" t="inlineStr">
        <is>
          <t>MSc Business Analysis &amp; Consulting and related pathways (January, with Project Management, with AI)</t>
        </is>
      </c>
      <c r="M479" s="77" t="inlineStr">
        <is>
          <t>Business/management</t>
        </is>
      </c>
      <c r="N479" s="77" t="inlineStr">
        <is>
          <t>Postgraduate taught</t>
        </is>
      </c>
      <c r="O479" s="77" t="inlineStr"/>
      <c r="P479" s="77" t="inlineStr"/>
      <c r="Q479" s="77" t="inlineStr">
        <is>
          <t>Compulsory within specified programmes</t>
        </is>
      </c>
      <c r="R479" s="77" t="inlineStr">
        <is>
          <t>Curricular</t>
        </is>
      </c>
      <c r="S479" s="77" t="inlineStr">
        <is>
          <t>Credit and weighting not retrieved (pages inconsistent).</t>
        </is>
      </c>
      <c r="T479" s="77" t="inlineStr">
        <is>
          <t>Two semesters</t>
        </is>
      </c>
      <c r="U479" s="77" t="inlineStr">
        <is>
          <t>In-person client sessions, workshops, team report and presentation</t>
        </is>
      </c>
      <c r="V479" s="77" t="inlineStr">
        <is>
          <t>Yes</t>
        </is>
      </c>
      <c r="W479" s="77" t="inlineStr">
        <is>
          <t>Defined client problems with team report/recommendations presented to client [1][2].</t>
        </is>
      </c>
      <c r="X479" s="77" t="inlineStr">
        <is>
          <t>Yes</t>
        </is>
      </c>
      <c r="Y479" s="77" t="inlineStr">
        <is>
          <t>Alumni accounts: 'allocated team members' and a week or two to produce a report and present back to the client [1]; assessment weighting unclear but a group report is mentioned for a pathway page.</t>
        </is>
      </c>
      <c r="Z479" s="77" t="inlineStr">
        <is>
          <t>Yes</t>
        </is>
      </c>
      <c r="AA479" s="77" t="inlineStr">
        <is>
          <t>External organisations present problems/case studies, and students present solutions back to the client [1][2]; 2026 newsletter names Deloitte, StormID, Sphera, WB Alloys [3].</t>
        </is>
      </c>
      <c r="AB479" s="77" t="inlineStr">
        <is>
          <t>Business/commercial</t>
        </is>
      </c>
      <c r="AC479" s="77" t="inlineStr">
        <is>
          <t>Clients set the problem and receive recommendations.</t>
        </is>
      </c>
      <c r="AD479" s="77" t="inlineStr">
        <is>
          <t>Deloitte, StormID, Sphera software solutions, WB Alloys (SBS newsletter March 2026); earlier pages cite Accenture, British Airways, RBS, NHS, Diageo (undated)</t>
        </is>
      </c>
      <c r="AE479" s="77" t="inlineStr">
        <is>
          <t>Team report/recommendations and client presentation</t>
        </is>
      </c>
      <c r="AF479" s="77">
        <f>IF(OR(V479="No",X479="No",Z479="No"),"Outside strict definition",IF(AND(V479="Yes",X479="Yes",Z479="Yes"),"Meets all three","Potentially relevant; evidence incomplete"))</f>
        <v/>
      </c>
      <c r="AG479" s="77" t="inlineStr">
        <is>
          <t>Current delivery confirmed</t>
        </is>
      </c>
      <c r="AH479" s="77" t="inlineStr">
        <is>
          <t>2025/26 (March 2026 newsletter)</t>
        </is>
      </c>
      <c r="AI479" s="77" t="inlineStr">
        <is>
          <t>Yes</t>
        </is>
      </c>
      <c r="AJ479" s="77">
        <f>IF(AND(AI479="Yes",AF479="Meets all three",AG479="Current delivery confirmed"),"Yes","No")</f>
        <v/>
      </c>
      <c r="AK479" s="77" t="inlineStr"/>
      <c r="AL479" s="77" t="inlineStr">
        <is>
          <t>UK10-S04-R1; UK10-S04-R2; UK10-S04-R3</t>
        </is>
      </c>
      <c r="AM479" s="77" t="inlineStr">
        <is>
          <t>Credit value; exact team size and assessment split; the separate summer project is individual (see exclusions).</t>
        </is>
      </c>
      <c r="AN479" s="77" t="inlineStr"/>
      <c r="AO479" s="77" t="inlineStr">
        <is>
          <t>UK</t>
        </is>
      </c>
      <c r="AP479" s="77" t="inlineStr">
        <is>
          <t>UK – additional</t>
        </is>
      </c>
      <c r="AQ479" s="77" t="inlineStr">
        <is>
          <t>&gt;1 term</t>
        </is>
      </c>
      <c r="AR479" s="77" t="inlineStr">
        <is>
          <t>All/standard</t>
        </is>
      </c>
      <c r="AS479" s="77" t="inlineStr"/>
    </row>
    <row r="480">
      <c r="A480" s="77" t="inlineStr">
        <is>
          <t>UK10</t>
        </is>
      </c>
      <c r="B480" s="77" t="inlineStr">
        <is>
          <t>Strathclyde</t>
        </is>
      </c>
      <c r="C480" s="77" t="inlineStr">
        <is>
          <t>Programme/course</t>
        </is>
      </c>
      <c r="D480" s="77" t="inlineStr">
        <is>
          <t>UK10-S05</t>
        </is>
      </c>
      <c r="E480" s="77" t="inlineStr"/>
      <c r="F480" s="77" t="inlineStr">
        <is>
          <t>No</t>
        </is>
      </c>
      <c r="G480" s="79" t="inlineStr">
        <is>
          <t>BA Business Analysis &amp; Technology: live business consultancy projects (second year) / Business Analysis and Practice</t>
        </is>
      </c>
      <c r="H480" s="77" t="inlineStr">
        <is>
          <t>Undergraduate live consultancy projects for local SMEs and corporate clients</t>
        </is>
      </c>
      <c r="I480" s="77" t="inlineStr"/>
      <c r="J480" s="77" t="inlineStr">
        <is>
          <t>Second-year Business Analysis &amp; Technology module described as a research and consultancy facility: two live consultancy projects (one per semester) in which a team of six develops solutions for local SME clients; clients introduce problems, supply information and hear recommendations. The March 2026 SBS newsletter reports the 'Business Analysis and Practice' module used client cases from Barclays (scam detection) and DSTL (defence spending options).</t>
        </is>
      </c>
      <c r="K480" s="77" t="inlineStr">
        <is>
          <t>Department of Management Science, Strathclyde Business School</t>
        </is>
      </c>
      <c r="L480" s="77" t="inlineStr">
        <is>
          <t>BA Hons Business Analysis &amp; Technology and its joint-honours variants (with Finance, Marketing, Economics, HRM, Business Enterprise, etc.)</t>
        </is>
      </c>
      <c r="M480" s="77" t="inlineStr">
        <is>
          <t>Business/management</t>
        </is>
      </c>
      <c r="N480" s="77" t="inlineStr">
        <is>
          <t>Undergraduate</t>
        </is>
      </c>
      <c r="O480" s="77" t="inlineStr">
        <is>
          <t>Second year (Honours projects separate)</t>
        </is>
      </c>
      <c r="P480" s="77" t="inlineStr"/>
      <c r="Q480" s="77" t="inlineStr">
        <is>
          <t>Compulsory within specified programmes</t>
        </is>
      </c>
      <c r="R480" s="77" t="inlineStr">
        <is>
          <t>Curricular</t>
        </is>
      </c>
      <c r="S480" s="77" t="inlineStr">
        <is>
          <t>Not retrieved</t>
        </is>
      </c>
      <c r="T480" s="77" t="inlineStr">
        <is>
          <t>Two semesters (two projects)</t>
        </is>
      </c>
      <c r="U480" s="77" t="inlineStr">
        <is>
          <t>In-person client-led projects</t>
        </is>
      </c>
      <c r="V480" s="77" t="inlineStr">
        <is>
          <t>Yes</t>
        </is>
      </c>
      <c r="W480" s="77" t="inlineStr">
        <is>
          <t>Two live consultancy projects with solutions/recommendations presented to clients [1].</t>
        </is>
      </c>
      <c r="X480" s="77" t="inlineStr">
        <is>
          <t>Yes</t>
        </is>
      </c>
      <c r="Y480" s="77" t="inlineStr">
        <is>
          <t>'As a team of six' develop solutions [1].</t>
        </is>
      </c>
      <c r="Z480" s="77" t="inlineStr">
        <is>
          <t>Yes</t>
        </is>
      </c>
      <c r="AA480" s="77" t="inlineStr">
        <is>
          <t>Clients introduce problems, provide information and listen to recommended solutions [1]; 2026 newsletter reports Barclays and DSTL cases in the module [2].</t>
        </is>
      </c>
      <c r="AB480" s="77" t="inlineStr">
        <is>
          <t>Mixed</t>
        </is>
      </c>
      <c r="AC480" s="77" t="inlineStr">
        <is>
          <t>Clients (local SMEs; corporate/government clients in 2026 module) set problems and receive recommendations.</t>
        </is>
      </c>
      <c r="AD480" s="77" t="inlineStr">
        <is>
          <t>Barclays, DSTL (March 2026 newsletter); Honours-year past clients on course page: Scottish Power, RBS, NHS, Kwik Fit, Barclays Wealth, Glasgow City Council, Scottish Water (undated)</t>
        </is>
      </c>
      <c r="AE480" s="77" t="inlineStr">
        <is>
          <t>Team solutions/recommendations presented to clients</t>
        </is>
      </c>
      <c r="AF480" s="77">
        <f>IF(OR(V480="No",X480="No",Z480="No"),"Outside strict definition",IF(AND(V480="Yes",X480="Yes",Z480="Yes"),"Meets all three","Potentially relevant; evidence incomplete"))</f>
        <v/>
      </c>
      <c r="AG480" s="77" t="inlineStr">
        <is>
          <t>Current status unclear</t>
        </is>
      </c>
      <c r="AH480" s="77" t="inlineStr">
        <is>
          <t>2026 (newsletter, module identity uncertain)</t>
        </is>
      </c>
      <c r="AI480" s="77" t="inlineStr">
        <is>
          <t>Yes</t>
        </is>
      </c>
      <c r="AJ480" s="77">
        <f>IF(AND(AI480="Yes",AF480="Meets all three",AG480="Current delivery confirmed"),"Yes","No")</f>
        <v/>
      </c>
      <c r="AK480" s="77" t="inlineStr"/>
      <c r="AL480" s="77" t="inlineStr">
        <is>
          <t>UK10-S05-R1; UK10-S05-R2</t>
        </is>
      </c>
      <c r="AM480" s="77" t="inlineStr">
        <is>
          <t>Course page is roughly a decade old; the 2026 newsletter names the 'Business Analysis and Practice' module, which may or may not be the same second-year module, so current delivery of the exact team-of-six route is not confirmed. Honours-year projects are individual/client-based (see exclusions); Management Science 4 team projects for external clients mentioned on a related page.</t>
        </is>
      </c>
      <c r="AN480" s="77" t="inlineStr"/>
      <c r="AO480" s="77" t="inlineStr">
        <is>
          <t>UK</t>
        </is>
      </c>
      <c r="AP480" s="77" t="inlineStr">
        <is>
          <t>UK – additional</t>
        </is>
      </c>
      <c r="AQ480" s="77" t="inlineStr">
        <is>
          <t>&gt;1 term</t>
        </is>
      </c>
      <c r="AR480" s="77" t="inlineStr">
        <is>
          <t>All/standard</t>
        </is>
      </c>
      <c r="AS480" s="77" t="inlineStr"/>
    </row>
    <row r="481">
      <c r="A481" s="77" t="inlineStr">
        <is>
          <t>UK10</t>
        </is>
      </c>
      <c r="B481" s="77" t="inlineStr">
        <is>
          <t>Strathclyde</t>
        </is>
      </c>
      <c r="C481" s="77" t="inlineStr">
        <is>
          <t>Programme/course</t>
        </is>
      </c>
      <c r="D481" s="77" t="inlineStr">
        <is>
          <t>UK10-S06</t>
        </is>
      </c>
      <c r="E481" s="77" t="inlineStr"/>
      <c r="F481" s="77" t="inlineStr">
        <is>
          <t>No</t>
        </is>
      </c>
      <c r="G481" s="79" t="inlineStr">
        <is>
          <t>Marketing Works (live project option), MSc Marketing / International Marketing / Tourism Marketing Management</t>
        </is>
      </c>
      <c r="H481" s="77" t="inlineStr">
        <is>
          <t>Marketing Works group consultancy project</t>
        </is>
      </c>
      <c r="I481" s="77" t="inlineStr"/>
      <c r="J481" s="77" t="inlineStr">
        <is>
          <t>Students work in groups (industry-links page: groups of five or six) as consultants on a real marketing problem put forward by a business, supervised by marketing academics. On current MSc Marketing pages it is an alternative capstone to a theory-based dissertation. Past clients listed on the industry-links page include Sgurr Energy, Smith McLaurin, Microsoft, Thales and Strathclyde Police.</t>
        </is>
      </c>
      <c r="K481" s="77" t="inlineStr">
        <is>
          <t>Department of Marketing, Strathclyde Business School</t>
        </is>
      </c>
      <c r="L481" s="77" t="inlineStr">
        <is>
          <t>MSc Marketing, MSc International Marketing, MSc Tourism Marketing Management</t>
        </is>
      </c>
      <c r="M481" s="77" t="inlineStr">
        <is>
          <t>Business/management</t>
        </is>
      </c>
      <c r="N481" s="77" t="inlineStr">
        <is>
          <t>Postgraduate taught</t>
        </is>
      </c>
      <c r="O481" s="77" t="inlineStr"/>
      <c r="P481" s="77" t="inlineStr"/>
      <c r="Q481" s="77" t="inlineStr">
        <is>
          <t>Optional/elective</t>
        </is>
      </c>
      <c r="R481" s="77" t="inlineStr">
        <is>
          <t>Curricular</t>
        </is>
      </c>
      <c r="S481" s="77" t="inlineStr">
        <is>
          <t>Capstone (semester 3); credit not retrieved</t>
        </is>
      </c>
      <c r="T481" s="77" t="inlineStr">
        <is>
          <t>Begins January; capstone period</t>
        </is>
      </c>
      <c r="U481" s="77" t="inlineStr">
        <is>
          <t>Group project with client</t>
        </is>
      </c>
      <c r="V481" s="77" t="inlineStr">
        <is>
          <t>Yes</t>
        </is>
      </c>
      <c r="W481" s="77" t="inlineStr">
        <is>
          <t>Real-life marketing problem with consultant-style output (e.g. marketing communication strategy) [1][2].</t>
        </is>
      </c>
      <c r="X481" s="77" t="inlineStr">
        <is>
          <t>Yes</t>
        </is>
      </c>
      <c r="Y481" s="77" t="inlineStr">
        <is>
          <t>Groups of five or six [2]; 'students work in groups' [1].</t>
        </is>
      </c>
      <c r="Z481" s="77" t="inlineStr">
        <is>
          <t>Yes</t>
        </is>
      </c>
      <c r="AA481" s="77" t="inlineStr">
        <is>
          <t>Projects 'put forward by various types of business' and clients work closely with students (data collection, strategy; client recruited a marketing assistant to implement recommendations) [1][2].</t>
        </is>
      </c>
      <c r="AB481" s="77" t="inlineStr">
        <is>
          <t>Mixed</t>
        </is>
      </c>
      <c r="AC481" s="77" t="inlineStr">
        <is>
          <t>Client organisations put forward projects and receive recommendations.</t>
        </is>
      </c>
      <c r="AD481" s="77" t="inlineStr">
        <is>
          <t>Sgurr Energy, Smith McLaurin, Microsoft, Thales, Strathclyde Police (industry-links page, undated)</t>
        </is>
      </c>
      <c r="AE481" s="77" t="inlineStr">
        <is>
          <t>Group consultancy report/marketing strategy</t>
        </is>
      </c>
      <c r="AF481" s="77">
        <f>IF(OR(V481="No",X481="No",Z481="No"),"Outside strict definition",IF(AND(V481="Yes",X481="Yes",Z481="Yes"),"Meets all three","Potentially relevant; evidence incomplete"))</f>
        <v/>
      </c>
      <c r="AG481" s="77" t="inlineStr">
        <is>
          <t>Current status unclear</t>
        </is>
      </c>
      <c r="AH481" s="77" t="inlineStr"/>
      <c r="AI481" s="77" t="inlineStr">
        <is>
          <t>Yes</t>
        </is>
      </c>
      <c r="AJ481" s="77">
        <f>IF(AND(AI481="Yes",AF481="Meets all three",AG481="Current delivery confirmed"),"Yes","No")</f>
        <v/>
      </c>
      <c r="AK481" s="77" t="inlineStr">
        <is>
          <t>170 students on 33 projects in one year (department blog, around 2017; historical).</t>
        </is>
      </c>
      <c r="AL481" s="77" t="inlineStr">
        <is>
          <t>UK10-S06-R1; UK10-S06-R2; UK10-S06-R3</t>
        </is>
      </c>
      <c r="AM481" s="77" t="inlineStr">
        <is>
          <t>Older sources call it compulsory; current MSc Marketing pages present it as a choice with a dissertation. No dated 2025/26 corroboration found.</t>
        </is>
      </c>
      <c r="AN481" s="77" t="inlineStr"/>
      <c r="AO481" s="77" t="inlineStr">
        <is>
          <t>UK</t>
        </is>
      </c>
      <c r="AP481" s="77" t="inlineStr">
        <is>
          <t>UK – additional</t>
        </is>
      </c>
      <c r="AQ481" s="77" t="inlineStr">
        <is>
          <t>~1 term/semester</t>
        </is>
      </c>
      <c r="AR481" s="77" t="inlineStr">
        <is>
          <t>All/standard</t>
        </is>
      </c>
      <c r="AS481" s="77" t="inlineStr"/>
    </row>
    <row r="482">
      <c r="A482" s="77" t="inlineStr">
        <is>
          <t>UK10</t>
        </is>
      </c>
      <c r="B482" s="77" t="inlineStr">
        <is>
          <t>Strathclyde</t>
        </is>
      </c>
      <c r="C482" s="77" t="inlineStr">
        <is>
          <t>Programme/course</t>
        </is>
      </c>
      <c r="D482" s="77" t="inlineStr">
        <is>
          <t>UK10-S07</t>
        </is>
      </c>
      <c r="E482" s="77" t="inlineStr"/>
      <c r="F482" s="77" t="inlineStr">
        <is>
          <t>No</t>
        </is>
      </c>
      <c r="G482" s="79" t="inlineStr">
        <is>
          <t>Consultancy in Practice (MSc Project Management &amp; Innovation; MSc International Management)</t>
        </is>
      </c>
      <c r="H482" s="77" t="inlineStr">
        <is>
          <t>Consultancy in Practice</t>
        </is>
      </c>
      <c r="I482" s="77" t="inlineStr"/>
      <c r="J482" s="77" t="inlineStr">
        <is>
          <t>Final-class module in which students work in small teams on live issues supplied by client companies; the client briefs the problem and expected outcome, supplies more detailed input at stages, with a group activity applying techniques; students review theories/tools and apply them to the client issue.</t>
        </is>
      </c>
      <c r="K482" s="77" t="inlineStr">
        <is>
          <t>Strathclyde Business School</t>
        </is>
      </c>
      <c r="L482" s="77" t="inlineStr">
        <is>
          <t>MSc Project Management &amp; Innovation; MSc International Management</t>
        </is>
      </c>
      <c r="M482" s="77" t="inlineStr">
        <is>
          <t>Business/management</t>
        </is>
      </c>
      <c r="N482" s="77" t="inlineStr">
        <is>
          <t>Postgraduate taught</t>
        </is>
      </c>
      <c r="O482" s="77" t="inlineStr"/>
      <c r="P482" s="77" t="inlineStr"/>
      <c r="Q482" s="77" t="inlineStr">
        <is>
          <t>Compulsory within specified programmes</t>
        </is>
      </c>
      <c r="R482" s="77" t="inlineStr">
        <is>
          <t>Curricular</t>
        </is>
      </c>
      <c r="S482" s="77" t="inlineStr">
        <is>
          <t>Not retrieved</t>
        </is>
      </c>
      <c r="T482" s="77" t="inlineStr">
        <is>
          <t>One class (final)</t>
        </is>
      </c>
      <c r="U482" s="77" t="inlineStr">
        <is>
          <t>Small-team client project</t>
        </is>
      </c>
      <c r="V482" s="77" t="inlineStr">
        <is>
          <t>Yes</t>
        </is>
      </c>
      <c r="W482" s="77" t="inlineStr">
        <is>
          <t>Live client issue with brief and expected outcome [1][2].</t>
        </is>
      </c>
      <c r="X482" s="77" t="inlineStr">
        <is>
          <t>Yes</t>
        </is>
      </c>
      <c r="Y482" s="77" t="inlineStr">
        <is>
          <t>Small teams; group activity [1][2].</t>
        </is>
      </c>
      <c r="Z482" s="77" t="inlineStr">
        <is>
          <t>Yes</t>
        </is>
      </c>
      <c r="AA482" s="77" t="inlineStr">
        <is>
          <t>Client companies provide the live issue, brief and further input, often in direct contact [1][2].</t>
        </is>
      </c>
      <c r="AB482" s="77" t="inlineStr">
        <is>
          <t>Business/commercial</t>
        </is>
      </c>
      <c r="AC482" s="77" t="inlineStr">
        <is>
          <t>Client company supplies live brief and input.</t>
        </is>
      </c>
      <c r="AD482" s="77" t="inlineStr"/>
      <c r="AE482" s="77" t="inlineStr">
        <is>
          <t>Client-facing consultancy output (form not retrieved)</t>
        </is>
      </c>
      <c r="AF482" s="77">
        <f>IF(OR(V482="No",X482="No",Z482="No"),"Outside strict definition",IF(AND(V482="Yes",X482="Yes",Z482="Yes"),"Meets all three","Potentially relevant; evidence incomplete"))</f>
        <v/>
      </c>
      <c r="AG482" s="77" t="inlineStr">
        <is>
          <t>Current status unclear</t>
        </is>
      </c>
      <c r="AH482" s="77" t="inlineStr"/>
      <c r="AI482" s="77" t="inlineStr">
        <is>
          <t>Yes</t>
        </is>
      </c>
      <c r="AJ482" s="77">
        <f>IF(AND(AI482="Yes",AF482="Meets all three",AG482="Current delivery confirmed"),"Yes","No")</f>
        <v/>
      </c>
      <c r="AK482" s="77" t="inlineStr"/>
      <c r="AL482" s="77" t="inlineStr">
        <is>
          <t>UK10-S07-R1; UK10-S07-R2</t>
        </is>
      </c>
      <c r="AM482" s="77" t="inlineStr">
        <is>
          <t>Undated course pages; credit, assessment, whether compulsory, and any dated cohort not found.</t>
        </is>
      </c>
      <c r="AN482" s="77" t="inlineStr"/>
      <c r="AO482" s="77" t="inlineStr">
        <is>
          <t>UK</t>
        </is>
      </c>
      <c r="AP482" s="77" t="inlineStr">
        <is>
          <t>UK – additional</t>
        </is>
      </c>
      <c r="AQ482" s="77" t="inlineStr">
        <is>
          <t>~1 term/semester</t>
        </is>
      </c>
      <c r="AR482" s="77" t="inlineStr">
        <is>
          <t>All/standard</t>
        </is>
      </c>
      <c r="AS482" s="77" t="inlineStr"/>
    </row>
    <row r="483">
      <c r="A483" s="77" t="inlineStr">
        <is>
          <t>UK10</t>
        </is>
      </c>
      <c r="B483" s="77" t="inlineStr">
        <is>
          <t>Strathclyde</t>
        </is>
      </c>
      <c r="C483" s="77" t="inlineStr">
        <is>
          <t>Faculty/school</t>
        </is>
      </c>
      <c r="D483" s="77" t="inlineStr">
        <is>
          <t>UK10-S08</t>
        </is>
      </c>
      <c r="E483" s="77" t="inlineStr"/>
      <c r="F483" s="77" t="inlineStr">
        <is>
          <t>No</t>
        </is>
      </c>
      <c r="G483" s="79" t="inlineStr">
        <is>
          <t>Management Development Programme (MDP)</t>
        </is>
      </c>
      <c r="H483" s="77" t="inlineStr">
        <is>
          <t>Management Development Programme</t>
        </is>
      </c>
      <c r="I483" s="77" t="inlineStr"/>
      <c r="J483" s="77" t="inlineStr">
        <is>
          <t>Compulsory team-based, problem-based programme across the first three years of Strathclyde Business School undergraduate degrees. Project teams work on business problems; employers (historically Deloitte, Procter &amp; Gamble, Screenmedia, Ernst &amp; Young, Barclays) sponsor prizes, and the best teams present to the sponsor and its senior staff. Not evidenced that each team has an external client.</t>
        </is>
      </c>
      <c r="K483" s="77" t="inlineStr">
        <is>
          <t>Strathclyde Business School</t>
        </is>
      </c>
      <c r="L483" s="77" t="inlineStr">
        <is>
          <t>Strathclyde Business School undergraduate degrees (years 1-3)</t>
        </is>
      </c>
      <c r="M483" s="77" t="inlineStr">
        <is>
          <t>Business/management</t>
        </is>
      </c>
      <c r="N483" s="77" t="inlineStr">
        <is>
          <t>Undergraduate</t>
        </is>
      </c>
      <c r="O483" s="77" t="inlineStr">
        <is>
          <t>Years 1-3</t>
        </is>
      </c>
      <c r="P483" s="77" t="inlineStr"/>
      <c r="Q483" s="77" t="inlineStr">
        <is>
          <t>Compulsory within specified programmes</t>
        </is>
      </c>
      <c r="R483" s="77" t="inlineStr">
        <is>
          <t>Curricular</t>
        </is>
      </c>
      <c r="S483" s="77" t="inlineStr"/>
      <c r="T483" s="77" t="inlineStr"/>
      <c r="U483" s="77" t="inlineStr"/>
      <c r="V483" s="77" t="inlineStr">
        <is>
          <t>Unclear</t>
        </is>
      </c>
      <c r="W483" s="77" t="inlineStr">
        <is>
          <t>Modules said to be driven by real business problems, but project briefs/outputs not retrieved [1].</t>
        </is>
      </c>
      <c r="X483" s="77" t="inlineStr">
        <is>
          <t>Yes</t>
        </is>
      </c>
      <c r="Y483" s="77" t="inlineStr">
        <is>
          <t>Students work in project teams [1].</t>
        </is>
      </c>
      <c r="Z483" s="77" t="inlineStr">
        <is>
          <t>Unclear</t>
        </is>
      </c>
      <c r="AA483" s="77" t="inlineStr">
        <is>
          <t>Sponsor organisations fund prizes and selected best teams present to the organisation's senior staff [1][2]; no evidence that employers set briefs for all teams, so standard involvement unclear. Prize sponsorship alone is insufficient.</t>
        </is>
      </c>
      <c r="AB483" s="77" t="inlineStr">
        <is>
          <t>Business/commercial</t>
        </is>
      </c>
      <c r="AC483" s="77" t="inlineStr">
        <is>
          <t>Prize sponsor and recipient of presentations from selected best teams.</t>
        </is>
      </c>
      <c r="AD483" s="77" t="inlineStr">
        <is>
          <t>Deloitte, Procter &amp; Gamble, Screenmedia, Ernst &amp; Young, Barclays (past; 2010 and 2013 newsletters)</t>
        </is>
      </c>
      <c r="AE483" s="77" t="inlineStr">
        <is>
          <t>Team project presentations</t>
        </is>
      </c>
      <c r="AF483" s="77">
        <f>IF(OR(V483="No",X483="No",Z483="No"),"Outside strict definition",IF(AND(V483="Yes",X483="Yes",Z483="Yes"),"Meets all three","Potentially relevant; evidence incomplete"))</f>
        <v/>
      </c>
      <c r="AG483" s="77" t="inlineStr">
        <is>
          <t>Current status unclear</t>
        </is>
      </c>
      <c r="AH483" s="77" t="inlineStr"/>
      <c r="AI483" s="77" t="inlineStr">
        <is>
          <t>Yes</t>
        </is>
      </c>
      <c r="AJ483" s="77">
        <f>IF(AND(AI483="Yes",AF483="Meets all three",AG483="Current delivery confirmed"),"Yes","No")</f>
        <v/>
      </c>
      <c r="AK483" s="77" t="inlineStr"/>
      <c r="AL483" s="77" t="inlineStr">
        <is>
          <t>UK10-S08-R1; UK10-S08-R2</t>
        </is>
      </c>
      <c r="AM483" s="77" t="inlineStr">
        <is>
          <t>Current sponsors and whether MDP projects use real employer briefs; sources date from 2010-2013 and an undated page.</t>
        </is>
      </c>
      <c r="AN483" s="77" t="inlineStr"/>
      <c r="AO483" s="77" t="inlineStr">
        <is>
          <t>UK</t>
        </is>
      </c>
      <c r="AP483" s="77" t="inlineStr">
        <is>
          <t>UK – additional</t>
        </is>
      </c>
      <c r="AQ483" s="77" t="inlineStr">
        <is>
          <t>Unclear</t>
        </is>
      </c>
      <c r="AR483" s="77" t="inlineStr">
        <is>
          <t>Some projects</t>
        </is>
      </c>
      <c r="AS483" s="77" t="inlineStr"/>
    </row>
    <row r="484">
      <c r="A484" s="77" t="inlineStr">
        <is>
          <t>UK10</t>
        </is>
      </c>
      <c r="B484" s="77" t="inlineStr">
        <is>
          <t>Strathclyde</t>
        </is>
      </c>
      <c r="C484" s="77" t="inlineStr">
        <is>
          <t>Programme/course</t>
        </is>
      </c>
      <c r="D484" s="77" t="inlineStr">
        <is>
          <t>UK10-S09</t>
        </is>
      </c>
      <c r="E484" s="77" t="inlineStr"/>
      <c r="F484" s="77" t="inlineStr">
        <is>
          <t>No</t>
        </is>
      </c>
      <c r="G484" s="79" t="inlineStr">
        <is>
          <t>Architecture: Individual &amp; Industrial Group Projects (live projects)</t>
        </is>
      </c>
      <c r="H484" s="77" t="inlineStr">
        <is>
          <t>Architecture live projects with practices, organisations and community groups</t>
        </is>
      </c>
      <c r="I484" s="77" t="inlineStr"/>
      <c r="J484" s="77" t="inlineStr">
        <is>
          <t>Department of Architecture working-with-organisations scheme: a brief is agreed with a client (practice, organisation or community group), then allocated to an individual student or a multidisciplinary team; partners can attend mid-point and final reviews; a university page also reports Year 4 architecture students engaging with real private-sector clients on live design briefs. Search summary wording closely mirrors the DMEM scheme, so may blend pages.</t>
        </is>
      </c>
      <c r="K484" s="77" t="inlineStr">
        <is>
          <t>Department of Architecture (Faculty of Engineering)</t>
        </is>
      </c>
      <c r="L484" s="77" t="inlineStr">
        <is>
          <t>Architecture programmes</t>
        </is>
      </c>
      <c r="M484" s="77" t="inlineStr">
        <is>
          <t>Engineering/computing; Other (law, health, design, architecture…)</t>
        </is>
      </c>
      <c r="N484" s="77" t="inlineStr">
        <is>
          <t>Unclear</t>
        </is>
      </c>
      <c r="O484" s="77" t="inlineStr"/>
      <c r="P484" s="77" t="inlineStr"/>
      <c r="Q484" s="77" t="inlineStr">
        <is>
          <t>Unclear</t>
        </is>
      </c>
      <c r="R484" s="77" t="inlineStr">
        <is>
          <t>Curricular</t>
        </is>
      </c>
      <c r="S484" s="77" t="inlineStr"/>
      <c r="T484" s="77" t="inlineStr"/>
      <c r="U484" s="77" t="inlineStr"/>
      <c r="V484" s="77" t="inlineStr">
        <is>
          <t>Yes</t>
        </is>
      </c>
      <c r="W484" s="77" t="inlineStr">
        <is>
          <t>Live design briefs agreed with clients [1].</t>
        </is>
      </c>
      <c r="X484" s="77" t="inlineStr">
        <is>
          <t>Unclear</t>
        </is>
      </c>
      <c r="Y484" s="77" t="inlineStr">
        <is>
          <t>'Individual students or multidisciplinary groups'; routes cannot be separated from the retrieved extract [1].</t>
        </is>
      </c>
      <c r="Z484" s="77" t="inlineStr">
        <is>
          <t>Yes</t>
        </is>
      </c>
      <c r="AA484" s="77" t="inlineStr">
        <is>
          <t>Client co-defines the brief and partners join reviews [1].</t>
        </is>
      </c>
      <c r="AB484" s="77" t="inlineStr">
        <is>
          <t>Mixed</t>
        </is>
      </c>
      <c r="AC484" s="77" t="inlineStr">
        <is>
          <t>Practices, organisations and community groups supply briefs and join reviews.</t>
        </is>
      </c>
      <c r="AD484" s="77" t="inlineStr"/>
      <c r="AE484" s="77" t="inlineStr">
        <is>
          <t>Design proposals</t>
        </is>
      </c>
      <c r="AF484" s="77">
        <f>IF(OR(V484="No",X484="No",Z484="No"),"Outside strict definition",IF(AND(V484="Yes",X484="Yes",Z484="Yes"),"Meets all three","Potentially relevant; evidence incomplete"))</f>
        <v/>
      </c>
      <c r="AG484" s="77" t="inlineStr">
        <is>
          <t>Current status unclear</t>
        </is>
      </c>
      <c r="AH484" s="77" t="inlineStr">
        <is>
          <t>2025 (consultancy page on private-sector live briefs, per search summary)</t>
        </is>
      </c>
      <c r="AI484" s="77" t="inlineStr">
        <is>
          <t>Yes</t>
        </is>
      </c>
      <c r="AJ484" s="77">
        <f>IF(AND(AI484="Yes",AF484="Meets all three",AG484="Current delivery confirmed"),"Yes","No")</f>
        <v/>
      </c>
      <c r="AK484" s="77" t="inlineStr"/>
      <c r="AL484" s="77" t="inlineStr">
        <is>
          <t>UK10-S09-R1</t>
        </is>
      </c>
      <c r="AM484" s="77" t="inlineStr">
        <is>
          <t>Group vs individual split, module/credit, whether it is standard across architecture years; possible blending with DMEM wording.</t>
        </is>
      </c>
      <c r="AN484" s="77" t="inlineStr"/>
      <c r="AO484" s="77" t="inlineStr">
        <is>
          <t>UK</t>
        </is>
      </c>
      <c r="AP484" s="77" t="inlineStr">
        <is>
          <t>UK – additional</t>
        </is>
      </c>
      <c r="AQ484" s="77" t="inlineStr">
        <is>
          <t>Unclear</t>
        </is>
      </c>
      <c r="AR484" s="77" t="inlineStr">
        <is>
          <t>Unclear</t>
        </is>
      </c>
      <c r="AS484" s="77" t="inlineStr"/>
    </row>
    <row r="485">
      <c r="A485" s="77" t="inlineStr">
        <is>
          <t>UK11</t>
        </is>
      </c>
      <c r="B485" s="77" t="inlineStr">
        <is>
          <t>Heriot-Watt</t>
        </is>
      </c>
      <c r="C485" s="77" t="inlineStr">
        <is>
          <t>Programme/course</t>
        </is>
      </c>
      <c r="D485" s="77" t="inlineStr">
        <is>
          <t>UK11-S01</t>
        </is>
      </c>
      <c r="E485" s="77" t="inlineStr"/>
      <c r="F485" s="77" t="inlineStr">
        <is>
          <t>No</t>
        </is>
      </c>
      <c r="G485" s="79" t="inlineStr">
        <is>
          <t>Multidisciplinary Engineering Final Year Project (industrial-client design project)</t>
        </is>
      </c>
      <c r="H485" s="77" t="inlineStr">
        <is>
          <t>Multidisciplinary Engineering Final Year Project</t>
        </is>
      </c>
      <c r="I485" s="77" t="inlineStr"/>
      <c r="J485" s="77" t="inlineStr">
        <is>
          <t>Fourth-year final year project variant for mechanical, electrical, and electronics and robotics engineering students in which students undertake a multidisciplinary engineering design project to meet requirements specified by an industrial client and approved by an academic supervisor (described examples: autonomous industrial robots and drones). Known only from a staff research publication describing the approach.</t>
        </is>
      </c>
      <c r="K485" s="77" t="inlineStr">
        <is>
          <t>School of Engineering and Physical Sciences (inferred from disciplines; not confirmed)</t>
        </is>
      </c>
      <c r="L485" s="77" t="inlineStr">
        <is>
          <t>Mechanical, Electrical and Electronics, and Robotics engineering, 4th year</t>
        </is>
      </c>
      <c r="M485" s="77" t="inlineStr">
        <is>
          <t>Engineering/computing</t>
        </is>
      </c>
      <c r="N485" s="77" t="inlineStr">
        <is>
          <t>Undergraduate</t>
        </is>
      </c>
      <c r="O485" s="77" t="inlineStr">
        <is>
          <t>Year 4</t>
        </is>
      </c>
      <c r="P485" s="77" t="inlineStr">
        <is>
          <t>Final-year students in the named engineering disciplines</t>
        </is>
      </c>
      <c r="Q485" s="77" t="inlineStr">
        <is>
          <t>Unclear</t>
        </is>
      </c>
      <c r="R485" s="77" t="inlineStr">
        <is>
          <t>Curricular</t>
        </is>
      </c>
      <c r="S485" s="77" t="inlineStr">
        <is>
          <t>Final year project; credit not established</t>
        </is>
      </c>
      <c r="T485" s="77" t="inlineStr">
        <is>
          <t>Final year project (length not established)</t>
        </is>
      </c>
      <c r="U485" s="77" t="inlineStr">
        <is>
          <t>Unclear</t>
        </is>
      </c>
      <c r="V485" s="77" t="inlineStr">
        <is>
          <t>Yes</t>
        </is>
      </c>
      <c r="W485" s="77" t="inlineStr">
        <is>
          <t>Defined multidisciplinary design project to fulfil requirements specified by an industrial client [1].</t>
        </is>
      </c>
      <c r="X485" s="77" t="inlineStr">
        <is>
          <t>Unclear</t>
        </is>
      </c>
      <c r="Y485" s="77" t="inlineStr">
        <is>
          <t>Search summary describes 'teams' building to the client's specifications and the project is multidisciplinary across disciplines, but no verbatim extract confirms a joint team output [1].</t>
        </is>
      </c>
      <c r="Z485" s="77" t="inlineStr">
        <is>
          <t>Unclear</t>
        </is>
      </c>
      <c r="AA485" s="77" t="inlineStr">
        <is>
          <t>Industrial client specifies the project requirements [1]; but this comes from a single research publication describing one implementation, so it is unclear whether external industrial clients are the standard source of these projects or whether the format still runs.</t>
        </is>
      </c>
      <c r="AB485" s="77" t="inlineStr">
        <is>
          <t>Business/commercial</t>
        </is>
      </c>
      <c r="AC485" s="77" t="inlineStr">
        <is>
          <t>Industrial client sets requirements/specification (per publication)</t>
        </is>
      </c>
      <c r="AD485" s="77" t="inlineStr"/>
      <c r="AE485" s="77" t="inlineStr">
        <is>
          <t>Engineering design/prototype (e.g. autonomous robot, drone)</t>
        </is>
      </c>
      <c r="AF485" s="77">
        <f>IF(OR(V485="No",X485="No",Z485="No"),"Outside strict definition",IF(AND(V485="Yes",X485="Yes",Z485="Yes"),"Meets all three","Potentially relevant; evidence incomplete"))</f>
        <v/>
      </c>
      <c r="AG485" s="77" t="inlineStr">
        <is>
          <t>Current status unclear</t>
        </is>
      </c>
      <c r="AH485" s="77" t="inlineStr">
        <is>
          <t>Undated (research publication)</t>
        </is>
      </c>
      <c r="AI485" s="77" t="inlineStr">
        <is>
          <t>Yes</t>
        </is>
      </c>
      <c r="AJ485" s="77">
        <f>IF(AND(AI485="Yes",AF485="Meets all three",AG485="Current delivery confirmed"),"Yes","No")</f>
        <v/>
      </c>
      <c r="AK485" s="77" t="inlineStr"/>
      <c r="AL485" s="77" t="inlineStr">
        <is>
          <t>UK11-S01-R1</t>
        </is>
      </c>
      <c r="AM485" s="77" t="inlineStr">
        <is>
          <t>Publication year, whether team-based (verbatim), whether still delivered, whether all such FYPs have industrial clients, course code and credit. Not verified on Curriculum Explorer.</t>
        </is>
      </c>
      <c r="AN485" s="77" t="inlineStr"/>
      <c r="AO485" s="77" t="inlineStr">
        <is>
          <t>UK</t>
        </is>
      </c>
      <c r="AP485" s="77" t="inlineStr">
        <is>
          <t>UK – additional</t>
        </is>
      </c>
      <c r="AQ485" s="77" t="inlineStr">
        <is>
          <t>Unclear</t>
        </is>
      </c>
      <c r="AR485" s="77" t="inlineStr">
        <is>
          <t>Unclear</t>
        </is>
      </c>
      <c r="AS485" s="77" t="inlineStr"/>
    </row>
    <row r="486">
      <c r="A486" s="77" t="inlineStr">
        <is>
          <t>UK11</t>
        </is>
      </c>
      <c r="B486" s="77" t="inlineStr">
        <is>
          <t>Heriot-Watt</t>
        </is>
      </c>
      <c r="C486" s="77" t="inlineStr">
        <is>
          <t>Programme/course</t>
        </is>
      </c>
      <c r="D486" s="77" t="inlineStr">
        <is>
          <t>UK11-S02</t>
        </is>
      </c>
      <c r="E486" s="77" t="inlineStr"/>
      <c r="F486" s="77" t="inlineStr">
        <is>
          <t>No</t>
        </is>
      </c>
      <c r="G486" s="79" t="inlineStr">
        <is>
          <t>System Project</t>
        </is>
      </c>
      <c r="H486" s="77" t="inlineStr">
        <is>
          <t>System Project</t>
        </is>
      </c>
      <c r="I486" s="77" t="inlineStr">
        <is>
          <t>B39VS</t>
        </is>
      </c>
      <c r="J486" s="77" t="inlineStr">
        <is>
          <t>Electronic and Computer Engineering taught course built around a team project; learning outcomes include team documentation (meeting minutes, final report) and a project demonstration to academic staff and staff from industry.</t>
        </is>
      </c>
      <c r="K486" s="77" t="inlineStr">
        <is>
          <t>School of Engineering and Physical Sciences (Electrical, Electronic and Computer Engineering)</t>
        </is>
      </c>
      <c r="L486" s="77" t="inlineStr">
        <is>
          <t>Electronic and Computer Engineering programmes</t>
        </is>
      </c>
      <c r="M486" s="77" t="inlineStr">
        <is>
          <t>Engineering/computing</t>
        </is>
      </c>
      <c r="N486" s="77" t="inlineStr">
        <is>
          <t>Undergraduate</t>
        </is>
      </c>
      <c r="O486" s="77" t="inlineStr">
        <is>
          <t>Unclear</t>
        </is>
      </c>
      <c r="P486" s="77" t="inlineStr">
        <is>
          <t>Students on programmes including B39VS</t>
        </is>
      </c>
      <c r="Q486" s="77" t="inlineStr">
        <is>
          <t>Unclear</t>
        </is>
      </c>
      <c r="R486" s="77" t="inlineStr">
        <is>
          <t>Curricular</t>
        </is>
      </c>
      <c r="S486" s="77" t="inlineStr">
        <is>
          <t>Not established</t>
        </is>
      </c>
      <c r="T486" s="77" t="inlineStr">
        <is>
          <t>Not established</t>
        </is>
      </c>
      <c r="U486" s="77" t="inlineStr">
        <is>
          <t>Unclear</t>
        </is>
      </c>
      <c r="V486" s="77" t="inlineStr">
        <is>
          <t>Yes</t>
        </is>
      </c>
      <c r="W486" s="77" t="inlineStr">
        <is>
          <t>Team system project with a project demonstration and final report [1].</t>
        </is>
      </c>
      <c r="X486" s="77" t="inlineStr">
        <is>
          <t>Yes</t>
        </is>
      </c>
      <c r="Y486" s="77" t="inlineStr">
        <is>
          <t>Course develops teamwork; team documents including meeting minutes and final report [1] (search-summary paraphrase).</t>
        </is>
      </c>
      <c r="Z486" s="77" t="inlineStr">
        <is>
          <t>Unclear</t>
        </is>
      </c>
      <c r="AA486" s="77" t="inlineStr">
        <is>
          <t>Staff from industry attend the project demonstration [1]; no evidence that an external organisation sets the brief or assesses, and 'staff from industry' are not tied to a client organisation.</t>
        </is>
      </c>
      <c r="AB486" s="77" t="inlineStr">
        <is>
          <t>Unclear</t>
        </is>
      </c>
      <c r="AC486" s="77" t="inlineStr">
        <is>
          <t>Industry staff attend final demonstration</t>
        </is>
      </c>
      <c r="AD486" s="77" t="inlineStr"/>
      <c r="AE486" s="77" t="inlineStr">
        <is>
          <t>System demonstration, final report, team documents</t>
        </is>
      </c>
      <c r="AF486" s="77">
        <f>IF(OR(V486="No",X486="No",Z486="No"),"Outside strict definition",IF(AND(V486="Yes",X486="Yes",Z486="Yes"),"Meets all three","Potentially relevant; evidence incomplete"))</f>
        <v/>
      </c>
      <c r="AG486" s="77" t="inlineStr">
        <is>
          <t>Current status unclear</t>
        </is>
      </c>
      <c r="AH486" s="77" t="inlineStr">
        <is>
          <t>2022/23</t>
        </is>
      </c>
      <c r="AI486" s="77" t="inlineStr">
        <is>
          <t>Yes</t>
        </is>
      </c>
      <c r="AJ486" s="77">
        <f>IF(AND(AI486="Yes",AF486="Meets all three",AG486="Current delivery confirmed"),"Yes","No")</f>
        <v/>
      </c>
      <c r="AK486" s="77" t="inlineStr"/>
      <c r="AL486" s="77" t="inlineStr">
        <is>
          <t>UK11-S02-R1</t>
        </is>
      </c>
      <c r="AM486" s="77" t="inlineStr">
        <is>
          <t>Only a 2022/23 Curriculum Explorer entry was surfaced; current delivery, credits, year of study and whether projects come from external briefs not verified.</t>
        </is>
      </c>
      <c r="AN486" s="77" t="inlineStr"/>
      <c r="AO486" s="77" t="inlineStr">
        <is>
          <t>UK</t>
        </is>
      </c>
      <c r="AP486" s="77" t="inlineStr">
        <is>
          <t>UK – additional</t>
        </is>
      </c>
      <c r="AQ486" s="77" t="inlineStr">
        <is>
          <t>Unclear</t>
        </is>
      </c>
      <c r="AR486" s="77" t="inlineStr">
        <is>
          <t>Unclear</t>
        </is>
      </c>
      <c r="AS486" s="77" t="inlineStr"/>
    </row>
    <row r="487">
      <c r="A487" s="77" t="inlineStr">
        <is>
          <t>UK11</t>
        </is>
      </c>
      <c r="B487" s="77" t="inlineStr">
        <is>
          <t>Heriot-Watt</t>
        </is>
      </c>
      <c r="C487" s="77" t="inlineStr">
        <is>
          <t>Programme/course</t>
        </is>
      </c>
      <c r="D487" s="77" t="inlineStr">
        <is>
          <t>UK11-S03</t>
        </is>
      </c>
      <c r="E487" s="77" t="inlineStr"/>
      <c r="F487" s="77" t="inlineStr">
        <is>
          <t>No</t>
        </is>
      </c>
      <c r="G487" s="79" t="inlineStr">
        <is>
          <t>MSc International Business Management - company consultancy project</t>
        </is>
      </c>
      <c r="H487" s="77" t="inlineStr">
        <is>
          <t>MSc International Business Management company consultancy project</t>
        </is>
      </c>
      <c r="I487" s="77" t="inlineStr"/>
      <c r="J487" s="77" t="inlineStr">
        <is>
          <t>Final stage of the MSc International Business Management in which students work on a company consultancy project to understand business issues and apply programme concepts. Group format and external client status not established.</t>
        </is>
      </c>
      <c r="K487" s="77" t="inlineStr">
        <is>
          <t>Edinburgh Business School</t>
        </is>
      </c>
      <c r="L487" s="77" t="inlineStr">
        <is>
          <t>MSc International Business Management</t>
        </is>
      </c>
      <c r="M487" s="77" t="inlineStr">
        <is>
          <t>Business/management</t>
        </is>
      </c>
      <c r="N487" s="77" t="inlineStr">
        <is>
          <t>Postgraduate taught</t>
        </is>
      </c>
      <c r="O487" s="77" t="inlineStr">
        <is>
          <t>Final stage</t>
        </is>
      </c>
      <c r="P487" s="77" t="inlineStr">
        <is>
          <t>MSc International Business Management students</t>
        </is>
      </c>
      <c r="Q487" s="77" t="inlineStr">
        <is>
          <t>Unclear</t>
        </is>
      </c>
      <c r="R487" s="77" t="inlineStr">
        <is>
          <t>Curricular</t>
        </is>
      </c>
      <c r="S487" s="77" t="inlineStr">
        <is>
          <t>Not established</t>
        </is>
      </c>
      <c r="T487" s="77" t="inlineStr">
        <is>
          <t>Not established</t>
        </is>
      </c>
      <c r="U487" s="77" t="inlineStr">
        <is>
          <t>Unclear</t>
        </is>
      </c>
      <c r="V487" s="77" t="inlineStr">
        <is>
          <t>Yes</t>
        </is>
      </c>
      <c r="W487" s="77" t="inlineStr">
        <is>
          <t>'Company consultancy project' applying programme concepts to business issues [1].</t>
        </is>
      </c>
      <c r="X487" s="77" t="inlineStr">
        <is>
          <t>Unclear</t>
        </is>
      </c>
      <c r="Y487" s="77" t="inlineStr">
        <is>
          <t>No evidence on whether the project is individual or team-based [1].</t>
        </is>
      </c>
      <c r="Z487" s="77" t="inlineStr">
        <is>
          <t>Unclear</t>
        </is>
      </c>
      <c r="AA487" s="77" t="inlineStr">
        <is>
          <t>Described as a 'company consultancy project' but the page does not say a real external company sets the brief or receives the output [1].</t>
        </is>
      </c>
      <c r="AB487" s="77" t="inlineStr">
        <is>
          <t>Unclear</t>
        </is>
      </c>
      <c r="AC487" s="77" t="inlineStr">
        <is>
          <t>Not established</t>
        </is>
      </c>
      <c r="AD487" s="77" t="inlineStr"/>
      <c r="AE487" s="77" t="inlineStr">
        <is>
          <t>Consultancy project (format not established)</t>
        </is>
      </c>
      <c r="AF487" s="77">
        <f>IF(OR(V487="No",X487="No",Z487="No"),"Outside strict definition",IF(AND(V487="Yes",X487="Yes",Z487="Yes"),"Meets all three","Potentially relevant; evidence incomplete"))</f>
        <v/>
      </c>
      <c r="AG487" s="77" t="inlineStr">
        <is>
          <t>Current status unclear</t>
        </is>
      </c>
      <c r="AH487" s="77" t="inlineStr">
        <is>
          <t>Undated programme page</t>
        </is>
      </c>
      <c r="AI487" s="77" t="inlineStr">
        <is>
          <t>Yes</t>
        </is>
      </c>
      <c r="AJ487" s="77">
        <f>IF(AND(AI487="Yes",AF487="Meets all three",AG487="Current delivery confirmed"),"Yes","No")</f>
        <v/>
      </c>
      <c r="AK487" s="77" t="inlineStr"/>
      <c r="AL487" s="77" t="inlineStr">
        <is>
          <t>UK11-S03-R1</t>
        </is>
      </c>
      <c r="AM487" s="77" t="inlineStr">
        <is>
          <t>Course code, group vs individual, real external client, credit and current-year delivery. Re-fetched 2026-10-13: page does not state group/individual or external company; listing shows mandatory Dissertation only.</t>
        </is>
      </c>
      <c r="AN487" s="77" t="inlineStr"/>
      <c r="AO487" s="77" t="inlineStr">
        <is>
          <t>UK</t>
        </is>
      </c>
      <c r="AP487" s="77" t="inlineStr">
        <is>
          <t>UK – additional</t>
        </is>
      </c>
      <c r="AQ487" s="77" t="inlineStr">
        <is>
          <t>Unclear</t>
        </is>
      </c>
      <c r="AR487" s="77" t="inlineStr">
        <is>
          <t>Unclear</t>
        </is>
      </c>
      <c r="AS487" s="77" t="inlineStr"/>
    </row>
    <row r="488">
      <c r="A488" s="77" t="inlineStr">
        <is>
          <t>UK11</t>
        </is>
      </c>
      <c r="B488" s="77" t="inlineStr">
        <is>
          <t>Heriot-Watt</t>
        </is>
      </c>
      <c r="C488" s="77" t="inlineStr">
        <is>
          <t>Programme/course</t>
        </is>
      </c>
      <c r="D488" s="77" t="inlineStr">
        <is>
          <t>UK11-S04</t>
        </is>
      </c>
      <c r="E488" s="77" t="inlineStr"/>
      <c r="F488" s="77" t="inlineStr">
        <is>
          <t>No</t>
        </is>
      </c>
      <c r="G488" s="79" t="inlineStr">
        <is>
          <t>BA (Hons) Design for Textiles - Year 3 collaborative industry project</t>
        </is>
      </c>
      <c r="H488" s="77" t="inlineStr">
        <is>
          <t>Design for Textiles collaborative industry project</t>
        </is>
      </c>
      <c r="I488" s="77" t="inlineStr"/>
      <c r="J488" s="77" t="inlineStr">
        <is>
          <t>In third year students specialising in print, weave or knit either complete an industry placement or a collaborative industry project answering a collaborative design brief.</t>
        </is>
      </c>
      <c r="K488" s="77" t="inlineStr">
        <is>
          <t>School of Textiles and Design</t>
        </is>
      </c>
      <c r="L488" s="77" t="inlineStr">
        <is>
          <t>BA (Hons) Design for Textiles (Fashion, Interior, Art)</t>
        </is>
      </c>
      <c r="M488" s="77" t="inlineStr">
        <is>
          <t>Other (law, health, design, architecture…)</t>
        </is>
      </c>
      <c r="N488" s="77" t="inlineStr">
        <is>
          <t>Undergraduate</t>
        </is>
      </c>
      <c r="O488" s="77" t="inlineStr">
        <is>
          <t>Year 3</t>
        </is>
      </c>
      <c r="P488" s="77" t="inlineStr">
        <is>
          <t>Students on the named programme</t>
        </is>
      </c>
      <c r="Q488" s="77" t="inlineStr">
        <is>
          <t>Optional/elective</t>
        </is>
      </c>
      <c r="R488" s="77" t="inlineStr">
        <is>
          <t>Curricular</t>
        </is>
      </c>
      <c r="S488" s="77" t="inlineStr">
        <is>
          <t>Not established</t>
        </is>
      </c>
      <c r="T488" s="77" t="inlineStr">
        <is>
          <t>Not established</t>
        </is>
      </c>
      <c r="U488" s="77" t="inlineStr">
        <is>
          <t>Unclear</t>
        </is>
      </c>
      <c r="V488" s="77" t="inlineStr">
        <is>
          <t>Unclear</t>
        </is>
      </c>
      <c r="W488" s="77" t="inlineStr">
        <is>
          <t>'collaborative design brief' [1]; defined deliverable not stated.</t>
        </is>
      </c>
      <c r="X488" s="77" t="inlineStr">
        <is>
          <t>Unclear</t>
        </is>
      </c>
      <c r="Y488" s="77" t="inlineStr">
        <is>
          <t>'Collaborative' is not defined; may mean collaboration with industry rather than a student team [1].</t>
        </is>
      </c>
      <c r="Z488" s="77" t="inlineStr">
        <is>
          <t>Unclear</t>
        </is>
      </c>
      <c r="AA488" s="77" t="inlineStr">
        <is>
          <t>'collaborative industry project' implies an industry partner but page does not say who sets the brief, assesses or receives outputs; it is an alternative to placement [1].</t>
        </is>
      </c>
      <c r="AB488" s="77" t="inlineStr">
        <is>
          <t>Business/commercial</t>
        </is>
      </c>
      <c r="AC488" s="77" t="inlineStr">
        <is>
          <t>Industry collaborator (unspecified)</t>
        </is>
      </c>
      <c r="AD488" s="77" t="inlineStr"/>
      <c r="AE488" s="77" t="inlineStr">
        <is>
          <t>Design response to collaborative brief (not specified)</t>
        </is>
      </c>
      <c r="AF488" s="77">
        <f>IF(OR(V488="No",X488="No",Z488="No"),"Outside strict definition",IF(AND(V488="Yes",X488="Yes",Z488="Yes"),"Meets all three","Potentially relevant; evidence incomplete"))</f>
        <v/>
      </c>
      <c r="AG488" s="77" t="inlineStr">
        <is>
          <t>Current status unclear</t>
        </is>
      </c>
      <c r="AH488" s="77" t="inlineStr">
        <is>
          <t>Undated (September 2027 entry page)</t>
        </is>
      </c>
      <c r="AI488" s="77" t="inlineStr">
        <is>
          <t>Yes</t>
        </is>
      </c>
      <c r="AJ488" s="77">
        <f>IF(AND(AI488="Yes",AF488="Meets all three",AG488="Current delivery confirmed"),"Yes","No")</f>
        <v/>
      </c>
      <c r="AK488" s="77" t="inlineStr"/>
      <c r="AL488" s="77" t="inlineStr">
        <is>
          <t>UK11-S04-R1</t>
        </is>
      </c>
      <c r="AM488" s="77" t="inlineStr">
        <is>
          <t>Team vs individual, partner role, module code, credits, 2025/26+ delivery.</t>
        </is>
      </c>
      <c r="AN488" s="77" t="inlineStr"/>
      <c r="AO488" s="77" t="inlineStr">
        <is>
          <t>UK</t>
        </is>
      </c>
      <c r="AP488" s="77" t="inlineStr">
        <is>
          <t>UK – additional</t>
        </is>
      </c>
      <c r="AQ488" s="77" t="inlineStr">
        <is>
          <t>Unclear</t>
        </is>
      </c>
      <c r="AR488" s="77" t="inlineStr">
        <is>
          <t>Unclear</t>
        </is>
      </c>
      <c r="AS488" s="77" t="inlineStr"/>
    </row>
    <row r="489">
      <c r="A489" s="77" t="inlineStr">
        <is>
          <t>UK11</t>
        </is>
      </c>
      <c r="B489" s="77" t="inlineStr">
        <is>
          <t>Heriot-Watt</t>
        </is>
      </c>
      <c r="C489" s="77" t="inlineStr">
        <is>
          <t>Programme/course</t>
        </is>
      </c>
      <c r="D489" s="77" t="inlineStr">
        <is>
          <t>UK11-S05</t>
        </is>
      </c>
      <c r="E489" s="77" t="inlineStr"/>
      <c r="F489" s="77" t="inlineStr">
        <is>
          <t>No</t>
        </is>
      </c>
      <c r="G489" s="79" t="inlineStr">
        <is>
          <t>BA (Hons) Fashion Branding and Promotion - live industry projects</t>
        </is>
      </c>
      <c r="H489" s="77" t="inlineStr">
        <is>
          <t>Fashion Branding and Promotion live industry projects</t>
        </is>
      </c>
      <c r="I489" s="77" t="inlineStr"/>
      <c r="J489" s="77" t="inlineStr">
        <is>
          <t>Students collaborate with industry on live projects with brands; past students worked with Crisis, Louis Vuitton, Malton Young and Borland, and W.L Gore.</t>
        </is>
      </c>
      <c r="K489" s="77" t="inlineStr">
        <is>
          <t>School of Textiles and Design</t>
        </is>
      </c>
      <c r="L489" s="77" t="inlineStr">
        <is>
          <t>BA (Hons) Fashion Branding and Promotion</t>
        </is>
      </c>
      <c r="M489" s="77" t="inlineStr">
        <is>
          <t>Other (law, health, design, architecture…)</t>
        </is>
      </c>
      <c r="N489" s="77" t="inlineStr">
        <is>
          <t>Undergraduate</t>
        </is>
      </c>
      <c r="O489" s="77" t="inlineStr">
        <is>
          <t>Unclear</t>
        </is>
      </c>
      <c r="P489" s="77" t="inlineStr">
        <is>
          <t>Students on the named programme</t>
        </is>
      </c>
      <c r="Q489" s="77" t="inlineStr">
        <is>
          <t>Unclear</t>
        </is>
      </c>
      <c r="R489" s="77" t="inlineStr">
        <is>
          <t>Curricular</t>
        </is>
      </c>
      <c r="S489" s="77" t="inlineStr">
        <is>
          <t>Not established</t>
        </is>
      </c>
      <c r="T489" s="77" t="inlineStr">
        <is>
          <t>Not established</t>
        </is>
      </c>
      <c r="U489" s="77" t="inlineStr">
        <is>
          <t>Unclear</t>
        </is>
      </c>
      <c r="V489" s="77" t="inlineStr">
        <is>
          <t>Unclear</t>
        </is>
      </c>
      <c r="W489" s="77" t="inlineStr">
        <is>
          <t>'live projects with high-end industry brands' [1]; output/brief not described.</t>
        </is>
      </c>
      <c r="X489" s="77" t="inlineStr">
        <is>
          <t>Unclear</t>
        </is>
      </c>
      <c r="Y489" s="77" t="inlineStr">
        <is>
          <t>Page does not describe group work in structure; director mentions 'collaborative teamwork' skills generally [1].</t>
        </is>
      </c>
      <c r="Z489" s="77" t="inlineStr">
        <is>
          <t>Unclear</t>
        </is>
      </c>
      <c r="AA489" s="77" t="inlineStr">
        <is>
          <t>Named companies have 'previously' set live projects [1]; unclear if standard for all students, and Crisis is a charity (mixed).</t>
        </is>
      </c>
      <c r="AB489" s="77" t="inlineStr">
        <is>
          <t>Mixed</t>
        </is>
      </c>
      <c r="AC489" s="77" t="inlineStr">
        <is>
          <t>Live project partners (role not detailed)</t>
        </is>
      </c>
      <c r="AD489" s="77" t="inlineStr">
        <is>
          <t>Crisis, Louis Vuitton, Malton Young and Borland, W.L Gore (undated, 'previously')</t>
        </is>
      </c>
      <c r="AE489" s="77" t="inlineStr">
        <is>
          <t>Not specified</t>
        </is>
      </c>
      <c r="AF489" s="77">
        <f>IF(OR(V489="No",X489="No",Z489="No"),"Outside strict definition",IF(AND(V489="Yes",X489="Yes",Z489="Yes"),"Meets all three","Potentially relevant; evidence incomplete"))</f>
        <v/>
      </c>
      <c r="AG489" s="77" t="inlineStr">
        <is>
          <t>Current status unclear</t>
        </is>
      </c>
      <c r="AH489" s="77" t="inlineStr">
        <is>
          <t>Undated</t>
        </is>
      </c>
      <c r="AI489" s="77" t="inlineStr">
        <is>
          <t>Yes</t>
        </is>
      </c>
      <c r="AJ489" s="77">
        <f>IF(AND(AI489="Yes",AF489="Meets all three",AG489="Current delivery confirmed"),"Yes","No")</f>
        <v/>
      </c>
      <c r="AK489" s="77" t="inlineStr"/>
      <c r="AL489" s="77" t="inlineStr">
        <is>
          <t>UK11-S05-R1</t>
        </is>
      </c>
      <c r="AM489" s="77" t="inlineStr">
        <is>
          <t>Module, whether team-based, coverage, credits, current delivery.</t>
        </is>
      </c>
      <c r="AN489" s="77" t="inlineStr"/>
      <c r="AO489" s="77" t="inlineStr">
        <is>
          <t>UK</t>
        </is>
      </c>
      <c r="AP489" s="77" t="inlineStr">
        <is>
          <t>UK – additional</t>
        </is>
      </c>
      <c r="AQ489" s="77" t="inlineStr">
        <is>
          <t>Unclear</t>
        </is>
      </c>
      <c r="AR489" s="77" t="inlineStr">
        <is>
          <t>Unclear</t>
        </is>
      </c>
      <c r="AS489" s="77" t="inlineStr"/>
    </row>
    <row r="490">
      <c r="A490" s="77" t="inlineStr">
        <is>
          <t>UK12</t>
        </is>
      </c>
      <c r="B490" s="77" t="inlineStr">
        <is>
          <t>East Anglia</t>
        </is>
      </c>
      <c r="C490" s="77" t="inlineStr">
        <is>
          <t>University-wide</t>
        </is>
      </c>
      <c r="D490" s="77" t="inlineStr">
        <is>
          <t>UK12-S01</t>
        </is>
      </c>
      <c r="E490" s="77" t="inlineStr"/>
      <c r="F490" s="77" t="inlineStr">
        <is>
          <t>Yes</t>
        </is>
      </c>
      <c r="G490" s="79" t="inlineStr">
        <is>
          <t>Employer Live Briefs (CareerCentral Employer Opportunities form)</t>
        </is>
      </c>
      <c r="H490" s="77" t="inlineStr">
        <is>
          <t>Employer live group projects/briefs set within course modules</t>
        </is>
      </c>
      <c r="I490" s="77" t="inlineStr"/>
      <c r="J490" s="77" t="inlineStr">
        <is>
          <t>Central CareerCentral employer-facing route: employers tick 'live briefs' on the Employer Opportunities Expression of Interest form so UEA students work on live group projects and briefs set by employers as part of their course; briefs may be research tasks, marketing ideas, consultancy-style projects, data analysis, design concepts, campaigns, business challenges or presentations; timing must match planned course modules; employers may request particular schools/courses. No named modules, partners or cohorts on the page, so it is an umbrella/lead only.</t>
        </is>
      </c>
      <c r="K490" s="77" t="inlineStr">
        <is>
          <t>CareerCentral (central careers service)</t>
        </is>
      </c>
      <c r="L490" s="77" t="inlineStr">
        <is>
          <t>Any school/course whose modules can host a live brief; employers can name target schools/courses</t>
        </is>
      </c>
      <c r="M490" s="77" t="inlineStr">
        <is>
          <t>Central provision</t>
        </is>
      </c>
      <c r="N490" s="77" t="inlineStr">
        <is>
          <t>Mixed</t>
        </is>
      </c>
      <c r="O490" s="77" t="inlineStr"/>
      <c r="P490" s="77" t="inlineStr"/>
      <c r="Q490" s="77" t="inlineStr">
        <is>
          <t>Optional/elective</t>
        </is>
      </c>
      <c r="R490" s="77" t="inlineStr">
        <is>
          <t>Curricular</t>
        </is>
      </c>
      <c r="S490" s="77" t="inlineStr">
        <is>
          <t>Within host modules (not specified)</t>
        </is>
      </c>
      <c r="T490" s="77" t="inlineStr">
        <is>
          <t>Varies by module</t>
        </is>
      </c>
      <c r="U490" s="77" t="inlineStr">
        <is>
          <t>Employer-set brief embedded in course module</t>
        </is>
      </c>
      <c r="V490" s="77" t="inlineStr">
        <is>
          <t>Unclear</t>
        </is>
      </c>
      <c r="W490" s="77" t="inlineStr">
        <is>
          <t>Form lists brief types (consultancy-style projects, campaigns, data analysis, design concepts) but no specific module or output [1].</t>
        </is>
      </c>
      <c r="X490" s="77" t="inlineStr">
        <is>
          <t>Yes</t>
        </is>
      </c>
      <c r="Y490" s="77" t="inlineStr">
        <is>
          <t>Form wording: students 'work on live group projects and briefs set by employers as part of their course' [1] (generic offer, no module identified).</t>
        </is>
      </c>
      <c r="Z490" s="77" t="inlineStr">
        <is>
          <t>Unclear</t>
        </is>
      </c>
      <c r="AA490" s="77" t="inlineStr">
        <is>
          <t>Employers set the brief via the form [1], but no module, cohort or delivery is evidenced; this is an invitation to employers, not evidence of delivery.</t>
        </is>
      </c>
      <c r="AB490" s="77" t="inlineStr">
        <is>
          <t>Unclear</t>
        </is>
      </c>
      <c r="AC490" s="77" t="inlineStr">
        <is>
          <t>Employer sets live brief (offer to employers)</t>
        </is>
      </c>
      <c r="AD490" s="77" t="inlineStr"/>
      <c r="AE490" s="77" t="inlineStr">
        <is>
          <t>Varies (research task, campaign, consultancy-style report, presentation)</t>
        </is>
      </c>
      <c r="AF490" s="77">
        <f>IF(OR(V490="No",X490="No",Z490="No"),"Outside strict definition",IF(AND(V490="Yes",X490="Yes",Z490="Yes"),"Meets all three","Potentially relevant; evidence incomplete"))</f>
        <v/>
      </c>
      <c r="AG490" s="77" t="inlineStr">
        <is>
          <t>Current status unclear</t>
        </is>
      </c>
      <c r="AH490" s="77" t="inlineStr">
        <is>
          <t>undated</t>
        </is>
      </c>
      <c r="AI490" s="77" t="inlineStr">
        <is>
          <t>No</t>
        </is>
      </c>
      <c r="AJ490" s="77">
        <f>IF(AND(AI490="Yes",AF490="Meets all three",AG490="Current delivery confirmed"),"Yes","No")</f>
        <v/>
      </c>
      <c r="AK490" s="77" t="inlineStr"/>
      <c r="AL490" s="77" t="inlineStr">
        <is>
          <t>UK12-S01-R1</t>
        </is>
      </c>
      <c r="AM490" s="77" t="inlineStr">
        <is>
          <t>Which modules actually run employer live briefs and how often; undated form page. Umbrella: not counted separately.</t>
        </is>
      </c>
      <c r="AN490" s="77" t="inlineStr"/>
      <c r="AO490" s="77" t="inlineStr">
        <is>
          <t>UK</t>
        </is>
      </c>
      <c r="AP490" s="77" t="inlineStr">
        <is>
          <t>UK – additional</t>
        </is>
      </c>
      <c r="AQ490" s="77" t="inlineStr">
        <is>
          <t>Unclear</t>
        </is>
      </c>
      <c r="AR490" s="77" t="inlineStr">
        <is>
          <t>Unclear</t>
        </is>
      </c>
      <c r="AS490" s="77" t="inlineStr">
        <is>
          <t>No (umbrella; children counted)</t>
        </is>
      </c>
    </row>
    <row r="491">
      <c r="A491" s="77" t="inlineStr">
        <is>
          <t>UK12</t>
        </is>
      </c>
      <c r="B491" s="77" t="inlineStr">
        <is>
          <t>East Anglia</t>
        </is>
      </c>
      <c r="C491" s="77" t="inlineStr">
        <is>
          <t>Programme/course</t>
        </is>
      </c>
      <c r="D491" s="77" t="inlineStr">
        <is>
          <t>UK12-S02</t>
        </is>
      </c>
      <c r="E491" s="77" t="inlineStr">
        <is>
          <t>UK12-S01</t>
        </is>
      </c>
      <c r="F491" s="77" t="inlineStr">
        <is>
          <t>No</t>
        </is>
      </c>
      <c r="G491" s="79" t="inlineStr">
        <is>
          <t>BA Business Management: live marketing briefs (Norwich Business School)</t>
        </is>
      </c>
      <c r="H491" s="77" t="inlineStr">
        <is>
          <t>Live marketing briefs for Adnams Brewery / East Anglian Zoological Society within BA Business Management</t>
        </is>
      </c>
      <c r="I491" s="77" t="inlineStr"/>
      <c r="J491" s="77" t="inlineStr">
        <is>
          <t>Undergraduate Business Management course page states students tackle 'live marketing briefs for companies like Adnams Brewery and the East Anglian Zoological Society'. Related Marketing and Management page says students have worked with Adnams on past projects and Adnams sponsors an employability prize. No module code, team structure, assessment or cohort year for the live briefs is evidenced in the search results (an older page also mentions a live business problem for a real company, Aviva named as past partner).</t>
        </is>
      </c>
      <c r="K491" s="77" t="inlineStr">
        <is>
          <t>Norwich Business School</t>
        </is>
      </c>
      <c r="L491" s="77" t="inlineStr">
        <is>
          <t>BA Business Management (and related NBS undergraduate programmes where the wording recurs)</t>
        </is>
      </c>
      <c r="M491" s="77" t="inlineStr">
        <is>
          <t>Business/management</t>
        </is>
      </c>
      <c r="N491" s="77" t="inlineStr">
        <is>
          <t>Undergraduate</t>
        </is>
      </c>
      <c r="O491" s="77" t="inlineStr"/>
      <c r="P491" s="77" t="inlineStr"/>
      <c r="Q491" s="77" t="inlineStr">
        <is>
          <t>Compulsory within specified programmes</t>
        </is>
      </c>
      <c r="R491" s="77" t="inlineStr">
        <is>
          <t>Curricular</t>
        </is>
      </c>
      <c r="S491" s="77" t="inlineStr">
        <is>
          <t>Not evidenced</t>
        </is>
      </c>
      <c r="T491" s="77" t="inlineStr">
        <is>
          <t>Unclear</t>
        </is>
      </c>
      <c r="U491" s="77" t="inlineStr">
        <is>
          <t>Practical projects within taught modules</t>
        </is>
      </c>
      <c r="V491" s="77" t="inlineStr">
        <is>
          <t>Unclear</t>
        </is>
      </c>
      <c r="W491" s="77" t="inlineStr">
        <is>
          <t>'Live marketing briefs' named but no output, module or assessment evidenced [2].</t>
        </is>
      </c>
      <c r="X491" s="77" t="inlineStr">
        <is>
          <t>Unclear</t>
        </is>
      </c>
      <c r="Y491" s="77" t="inlineStr">
        <is>
          <t>No evidence whether briefs are tackled in teams or individually [2].</t>
        </is>
      </c>
      <c r="Z491" s="77" t="inlineStr">
        <is>
          <t>Unclear</t>
        </is>
      </c>
      <c r="AA491" s="77" t="inlineStr">
        <is>
          <t>Adnams Brewery and East Anglian Zoological Society named as sources of live briefs [2]; not shown how organisations participate or whether it is standard across the cohort. On 2026-10-13 direct page fetch the wording was not found.</t>
        </is>
      </c>
      <c r="AB491" s="77" t="inlineStr">
        <is>
          <t>Mixed</t>
        </is>
      </c>
      <c r="AC491" s="77" t="inlineStr">
        <is>
          <t>Provide live marketing briefs (as described on course page)</t>
        </is>
      </c>
      <c r="AD491" s="77" t="inlineStr">
        <is>
          <t>Adnams Brewery; East Anglian Zoological Society (course page 2025/26 and 2026/27 wording)</t>
        </is>
      </c>
      <c r="AE491" s="77" t="inlineStr">
        <is>
          <t>Not evidenced</t>
        </is>
      </c>
      <c r="AF491" s="77">
        <f>IF(OR(V491="No",X491="No",Z491="No"),"Outside strict definition",IF(AND(V491="Yes",X491="Yes",Z491="Yes"),"Meets all three","Potentially relevant; evidence incomplete"))</f>
        <v/>
      </c>
      <c r="AG491" s="77" t="inlineStr">
        <is>
          <t>Current status unclear</t>
        </is>
      </c>
      <c r="AH491" s="77" t="inlineStr">
        <is>
          <t>2026/27 (course page wording)</t>
        </is>
      </c>
      <c r="AI491" s="77" t="inlineStr">
        <is>
          <t>Yes</t>
        </is>
      </c>
      <c r="AJ491" s="77">
        <f>IF(AND(AI491="Yes",AF491="Meets all three",AG491="Current delivery confirmed"),"Yes","No")</f>
        <v/>
      </c>
      <c r="AK491" s="77" t="inlineStr"/>
      <c r="AL491" s="77" t="inlineStr">
        <is>
          <t>UK12-S02-R1</t>
        </is>
      </c>
      <c r="AM491" s="77" t="inlineStr">
        <is>
          <t>Module(s) in which live briefs run, group vs individual, assessment, whether current each year. Course-page marketing text only. Page text re-fetched 2026-10-13 (BA Business Management, start Sept 2027 page): no 'live marketing brief'/Adnams wording found in the fetched text, so the earlier search-summary claim could not be confirmed on page text; treat as unverified.</t>
        </is>
      </c>
      <c r="AN491" s="77" t="inlineStr"/>
      <c r="AO491" s="77" t="inlineStr">
        <is>
          <t>UK</t>
        </is>
      </c>
      <c r="AP491" s="77" t="inlineStr">
        <is>
          <t>UK – additional</t>
        </is>
      </c>
      <c r="AQ491" s="77" t="inlineStr">
        <is>
          <t>Unclear</t>
        </is>
      </c>
      <c r="AR491" s="77" t="inlineStr">
        <is>
          <t>Unclear</t>
        </is>
      </c>
      <c r="AS491" s="77" t="inlineStr"/>
    </row>
    <row r="492">
      <c r="A492" s="77" t="inlineStr">
        <is>
          <t>UK12</t>
        </is>
      </c>
      <c r="B492" s="77" t="inlineStr">
        <is>
          <t>East Anglia</t>
        </is>
      </c>
      <c r="C492" s="77" t="inlineStr">
        <is>
          <t>Programme/course</t>
        </is>
      </c>
      <c r="D492" s="77" t="inlineStr">
        <is>
          <t>UK12-S03</t>
        </is>
      </c>
      <c r="E492" s="77" t="inlineStr"/>
      <c r="F492" s="77" t="inlineStr">
        <is>
          <t>No</t>
        </is>
      </c>
      <c r="G492" s="79" t="inlineStr">
        <is>
          <t>Executive (Part-Time) MBA: group consultancy project with an external client</t>
        </is>
      </c>
      <c r="H492" s="77" t="inlineStr">
        <is>
          <t>Executive MBA group consultancy project</t>
        </is>
      </c>
      <c r="I492" s="77" t="inlineStr"/>
      <c r="J492" s="77" t="inlineStr">
        <is>
          <t>Group-based consultancy module in the part-time Executive MBA: teams work with an external client organisation to deliver a substantive written report and presentation on a topic of strategic importance chosen by the client, an extended research-based project of about three months under the theme 'What can I change around here?' (part delivered overseas on the 2026/27 page). An archived 2023/24 page describes a shorter (one month, incl. a European week) version.</t>
        </is>
      </c>
      <c r="K492" s="77" t="inlineStr">
        <is>
          <t>Norwich Business School</t>
        </is>
      </c>
      <c r="L492" s="77" t="inlineStr">
        <is>
          <t>MBA (Executive Part Time)</t>
        </is>
      </c>
      <c r="M492" s="77" t="inlineStr">
        <is>
          <t>Business/management</t>
        </is>
      </c>
      <c r="N492" s="77" t="inlineStr">
        <is>
          <t>Postgraduate taught</t>
        </is>
      </c>
      <c r="O492" s="77" t="inlineStr"/>
      <c r="P492" s="77" t="inlineStr"/>
      <c r="Q492" s="77" t="inlineStr">
        <is>
          <t>Compulsory within specified programmes</t>
        </is>
      </c>
      <c r="R492" s="77" t="inlineStr">
        <is>
          <t>Curricular</t>
        </is>
      </c>
      <c r="S492" s="77" t="inlineStr">
        <is>
          <t>Module credit not evidenced; written report and presentation</t>
        </is>
      </c>
      <c r="T492" s="77" t="inlineStr">
        <is>
          <t>First group consultancy project about one month (incl. a week in Europe); second extended project about three months</t>
        </is>
      </c>
      <c r="U492" s="77" t="inlineStr">
        <is>
          <t>Part-time executive programme with overseas element</t>
        </is>
      </c>
      <c r="V492" s="77" t="inlineStr">
        <is>
          <t>Yes</t>
        </is>
      </c>
      <c r="W492" s="77" t="inlineStr">
        <is>
          <t>Substantive written report and presentation on a client-chosen strategic topic, extended research-based project [3].</t>
        </is>
      </c>
      <c r="X492" s="77" t="inlineStr">
        <is>
          <t>Yes</t>
        </is>
      </c>
      <c r="Y492" s="77" t="inlineStr">
        <is>
          <t>'Group-based consultancy module' / group consultancy project [3].</t>
        </is>
      </c>
      <c r="Z492" s="77" t="inlineStr">
        <is>
          <t>Yes</t>
        </is>
      </c>
      <c r="AA492" s="77" t="inlineStr">
        <is>
          <t>Client organisation chooses the strategic topic and receives the report and presentation [3].</t>
        </is>
      </c>
      <c r="AB492" s="77" t="inlineStr">
        <is>
          <t>Unclear</t>
        </is>
      </c>
      <c r="AC492" s="77" t="inlineStr">
        <is>
          <t>External client sets topic; receives report and presentation</t>
        </is>
      </c>
      <c r="AD492" s="77" t="inlineStr"/>
      <c r="AE492" s="77" t="inlineStr">
        <is>
          <t>Group written consultancy report + presentation to client</t>
        </is>
      </c>
      <c r="AF492" s="77">
        <f>IF(OR(V492="No",X492="No",Z492="No"),"Outside strict definition",IF(AND(V492="Yes",X492="Yes",Z492="Yes"),"Meets all three","Potentially relevant; evidence incomplete"))</f>
        <v/>
      </c>
      <c r="AG492" s="77" t="inlineStr">
        <is>
          <t>Current delivery confirmed</t>
        </is>
      </c>
      <c r="AH492" s="77" t="inlineStr">
        <is>
          <t>2026/27</t>
        </is>
      </c>
      <c r="AI492" s="77" t="inlineStr">
        <is>
          <t>Yes</t>
        </is>
      </c>
      <c r="AJ492" s="77">
        <f>IF(AND(AI492="Yes",AF492="Meets all three",AG492="Current delivery confirmed"),"Yes","No")</f>
        <v/>
      </c>
      <c r="AK492" s="77" t="inlineStr"/>
      <c r="AL492" s="77" t="inlineStr">
        <is>
          <t>UK12-S03-R1</t>
        </is>
      </c>
      <c r="AM492" s="77" t="inlineStr">
        <is>
          <t>Client sector/names not given; module credit not retrieved. Page text: first project is a group project with an external client (~1 month incl. European week); second project is ~3 months and the student may act 'as an internal consultant for your employer', so the longer project may be employer-based/individual; group + external-client evidence applies to the first project. Page start-date listing includes 2026 entry.</t>
        </is>
      </c>
      <c r="AN492" s="77" t="inlineStr"/>
      <c r="AO492" s="77" t="inlineStr">
        <is>
          <t>UK</t>
        </is>
      </c>
      <c r="AP492" s="77" t="inlineStr">
        <is>
          <t>UK – additional</t>
        </is>
      </c>
      <c r="AQ492" s="77" t="inlineStr">
        <is>
          <t>1–4 weeks</t>
        </is>
      </c>
      <c r="AR492" s="77" t="inlineStr">
        <is>
          <t>All/standard</t>
        </is>
      </c>
      <c r="AS492" s="77" t="inlineStr"/>
    </row>
    <row r="493">
      <c r="A493" s="77" t="inlineStr">
        <is>
          <t>UK12</t>
        </is>
      </c>
      <c r="B493" s="77" t="inlineStr">
        <is>
          <t>East Anglia</t>
        </is>
      </c>
      <c r="C493" s="77" t="inlineStr">
        <is>
          <t>Programme/course</t>
        </is>
      </c>
      <c r="D493" s="77" t="inlineStr">
        <is>
          <t>UK12-S04</t>
        </is>
      </c>
      <c r="E493" s="77" t="inlineStr"/>
      <c r="F493" s="77" t="inlineStr">
        <is>
          <t>No</t>
        </is>
      </c>
      <c r="G493" s="79" t="inlineStr">
        <is>
          <t>Full-time MBA: live consultancy projects (incl. Capstone Consultancy)</t>
        </is>
      </c>
      <c r="H493" s="77" t="inlineStr">
        <is>
          <t>Full-time MBA live consultancy projects</t>
        </is>
      </c>
      <c r="I493" s="77" t="inlineStr"/>
      <c r="J493" s="77" t="inlineStr">
        <is>
          <t>Full-time 12-month MBA pages say students take part in two live consultancy projects / work on real organisational challenges; AMBA re-accreditation panel singled out the Capstone Consultancy project. No evidence in the retrieved text of client names, team format, outputs or assessment.</t>
        </is>
      </c>
      <c r="K493" s="77" t="inlineStr">
        <is>
          <t>Norwich Business School</t>
        </is>
      </c>
      <c r="L493" s="77" t="inlineStr">
        <is>
          <t>MBA (full-time)</t>
        </is>
      </c>
      <c r="M493" s="77" t="inlineStr">
        <is>
          <t>Business/management</t>
        </is>
      </c>
      <c r="N493" s="77" t="inlineStr">
        <is>
          <t>Postgraduate taught</t>
        </is>
      </c>
      <c r="O493" s="77" t="inlineStr"/>
      <c r="P493" s="77" t="inlineStr"/>
      <c r="Q493" s="77" t="inlineStr">
        <is>
          <t>Compulsory within specified programmes</t>
        </is>
      </c>
      <c r="R493" s="77" t="inlineStr">
        <is>
          <t>Curricular</t>
        </is>
      </c>
      <c r="S493" s="77" t="inlineStr">
        <is>
          <t>Not evidenced</t>
        </is>
      </c>
      <c r="T493" s="77" t="inlineStr">
        <is>
          <t>Unclear</t>
        </is>
      </c>
      <c r="U493" s="77" t="inlineStr">
        <is>
          <t>Full-time 12-month MBA</t>
        </is>
      </c>
      <c r="V493" s="77" t="inlineStr">
        <is>
          <t>Yes</t>
        </is>
      </c>
      <c r="W493" s="77" t="inlineStr">
        <is>
          <t>Consultancy projects on real organisational challenges [4][5].</t>
        </is>
      </c>
      <c r="X493" s="77" t="inlineStr">
        <is>
          <t>Unclear</t>
        </is>
      </c>
      <c r="Y493" s="77" t="inlineStr">
        <is>
          <t>Team format not stated in retrieved text.</t>
        </is>
      </c>
      <c r="Z493" s="77" t="inlineStr">
        <is>
          <t>Unclear</t>
        </is>
      </c>
      <c r="AA493" s="77" t="inlineStr">
        <is>
          <t>'Live' consultancy and 'real organisational challenges' implied external organisations, but client role (brief-setting, receipt of output) not evidenced [4].</t>
        </is>
      </c>
      <c r="AB493" s="77" t="inlineStr">
        <is>
          <t>Unclear</t>
        </is>
      </c>
      <c r="AC493" s="77" t="inlineStr">
        <is>
          <t>Not evidenced</t>
        </is>
      </c>
      <c r="AD493" s="77" t="inlineStr"/>
      <c r="AE493" s="77" t="inlineStr">
        <is>
          <t>Not evidenced</t>
        </is>
      </c>
      <c r="AF493" s="77">
        <f>IF(OR(V493="No",X493="No",Z493="No"),"Outside strict definition",IF(AND(V493="Yes",X493="Yes",Z493="Yes"),"Meets all three","Potentially relevant; evidence incomplete"))</f>
        <v/>
      </c>
      <c r="AG493" s="77" t="inlineStr">
        <is>
          <t>Current delivery confirmed</t>
        </is>
      </c>
      <c r="AH493" s="77" t="inlineStr">
        <is>
          <t>2025/26</t>
        </is>
      </c>
      <c r="AI493" s="77" t="inlineStr">
        <is>
          <t>Yes</t>
        </is>
      </c>
      <c r="AJ493" s="77">
        <f>IF(AND(AI493="Yes",AF493="Meets all three",AG493="Current delivery confirmed"),"Yes","No")</f>
        <v/>
      </c>
      <c r="AK493" s="77" t="inlineStr"/>
      <c r="AL493" s="77" t="inlineStr">
        <is>
          <t>UK12-S04-R1; UK12-S04-R2</t>
        </is>
      </c>
      <c r="AM493" s="77" t="inlineStr">
        <is>
          <t>Group vs individual, client role, structure of the two projects and the Capstone Consultancy; 2025/26 page supports status, 2027/28 page repeats.</t>
        </is>
      </c>
      <c r="AN493" s="77" t="inlineStr"/>
      <c r="AO493" s="77" t="inlineStr">
        <is>
          <t>UK</t>
        </is>
      </c>
      <c r="AP493" s="77" t="inlineStr">
        <is>
          <t>UK – additional</t>
        </is>
      </c>
      <c r="AQ493" s="77" t="inlineStr">
        <is>
          <t>Unclear</t>
        </is>
      </c>
      <c r="AR493" s="77" t="inlineStr">
        <is>
          <t>Unclear</t>
        </is>
      </c>
      <c r="AS493" s="77" t="inlineStr"/>
    </row>
    <row r="494">
      <c r="A494" s="77" t="inlineStr">
        <is>
          <t>UK12</t>
        </is>
      </c>
      <c r="B494" s="77" t="inlineStr">
        <is>
          <t>East Anglia</t>
        </is>
      </c>
      <c r="C494" s="77" t="inlineStr">
        <is>
          <t>Programme/course</t>
        </is>
      </c>
      <c r="D494" s="77" t="inlineStr">
        <is>
          <t>UK12-S05</t>
        </is>
      </c>
      <c r="E494" s="77" t="inlineStr"/>
      <c r="F494" s="77" t="inlineStr">
        <is>
          <t>No</t>
        </is>
      </c>
      <c r="G494" s="79" t="inlineStr">
        <is>
          <t>MEng final-year Engineering Group Project (industry client brief)</t>
        </is>
      </c>
      <c r="H494" s="77" t="inlineStr">
        <is>
          <t>MEng final-year industry-brief group project</t>
        </is>
      </c>
      <c r="I494" s="77" t="inlineStr"/>
      <c r="J494" s="77" t="inlineStr">
        <is>
          <t>In the final year of the MEng Mechanical Engineering (and parallel MEng Engineering, Energy, Electrical &amp; Electronic routes) teams work on a group project that 'will typically be based on a real brief from an industry client' presented at the start of the year; teams review the brief, visit the site and develop proposals for presentation to professional engineers; the project is the main focus of the final year (presentations, report, computational work, data processing). Past topics cited include robotics in agriculture and health care, vertical farms, geothermal energy optimisation, EV battery-pack thermal management. EEE page: students act as consultants to an industrial partner. Year-in-Industry variant described as a group industrial consultancy project.</t>
        </is>
      </c>
      <c r="K494" s="77" t="inlineStr">
        <is>
          <t>School of Engineering, Mathematics and Physics</t>
        </is>
      </c>
      <c r="L494" s="77" t="inlineStr">
        <is>
          <t>MEng Mechanical Engineering (+ Year in Industry), MEng Engineering, MEng Energy Engineering, MEng Electrical and Electronic Engineering (BEng routes use an individual project)</t>
        </is>
      </c>
      <c r="M494" s="77" t="inlineStr">
        <is>
          <t>Engineering/computing</t>
        </is>
      </c>
      <c r="N494" s="77" t="inlineStr">
        <is>
          <t>Undergraduate</t>
        </is>
      </c>
      <c r="O494" s="77" t="inlineStr">
        <is>
          <t>Final year (Year 4 of MEng)</t>
        </is>
      </c>
      <c r="P494" s="77" t="inlineStr"/>
      <c r="Q494" s="77" t="inlineStr">
        <is>
          <t>Compulsory within specified programmes</t>
        </is>
      </c>
      <c r="R494" s="77" t="inlineStr">
        <is>
          <t>Curricular</t>
        </is>
      </c>
      <c r="S494" s="77" t="inlineStr">
        <is>
          <t>Module code/credits not retrieved; presentation, report, computational work and data processing</t>
        </is>
      </c>
      <c r="T494" s="77" t="inlineStr">
        <is>
          <t>Final year (starts at beginning of year)</t>
        </is>
      </c>
      <c r="U494" s="77" t="inlineStr">
        <is>
          <t>Team project with site visit and presentation to professional engineers</t>
        </is>
      </c>
      <c r="V494" s="77" t="inlineStr">
        <is>
          <t>Yes</t>
        </is>
      </c>
      <c r="W494" s="77" t="inlineStr">
        <is>
          <t>Real client brief; proposal, report and presentation outputs [6][7].</t>
        </is>
      </c>
      <c r="X494" s="77" t="inlineStr">
        <is>
          <t>Yes</t>
        </is>
      </c>
      <c r="Y494" s="77" t="inlineStr">
        <is>
          <t>'Engineering group project'; 'work with your team' [6][7].</t>
        </is>
      </c>
      <c r="Z494" s="77" t="inlineStr">
        <is>
          <t>Yes</t>
        </is>
      </c>
      <c r="AA494" s="77" t="inlineStr">
        <is>
          <t>Industry client supplies the brief (typically); teams visit the site and present proposals to professional engineers; EEE page: close work with a professional engineering organisation throughout [6][7]. Wording varies: 'typically' (Mechanical), 'often' (Energy).</t>
        </is>
      </c>
      <c r="AB494" s="77" t="inlineStr">
        <is>
          <t>Business/commercial</t>
        </is>
      </c>
      <c r="AC494" s="77" t="inlineStr">
        <is>
          <t>Industry client sets brief, hosts site visit, receives proposals</t>
        </is>
      </c>
      <c r="AD494" s="77" t="inlineStr">
        <is>
          <t>Not named</t>
        </is>
      </c>
      <c r="AE494" s="77" t="inlineStr">
        <is>
          <t>Group proposal/report and presentation to professional engineers</t>
        </is>
      </c>
      <c r="AF494" s="77">
        <f>IF(OR(V494="No",X494="No",Z494="No"),"Outside strict definition",IF(AND(V494="Yes",X494="Yes",Z494="Yes"),"Meets all three","Potentially relevant; evidence incomplete"))</f>
        <v/>
      </c>
      <c r="AG494" s="77" t="inlineStr">
        <is>
          <t>Current delivery confirmed</t>
        </is>
      </c>
      <c r="AH494" s="77" t="inlineStr">
        <is>
          <t>2026/27</t>
        </is>
      </c>
      <c r="AI494" s="77" t="inlineStr">
        <is>
          <t>Yes</t>
        </is>
      </c>
      <c r="AJ494" s="77">
        <f>IF(AND(AI494="Yes",AF494="Meets all three",AG494="Current delivery confirmed"),"Yes","No")</f>
        <v/>
      </c>
      <c r="AK494" s="77" t="inlineStr"/>
      <c r="AL494" s="77" t="inlineStr">
        <is>
          <t>UK12-S05-R1; UK12-S05-R2</t>
        </is>
      </c>
      <c r="AM494" s="77" t="inlineStr">
        <is>
          <t>Coverage: 'typically'/'often' wording means external clients are the common but not guaranteed norm across the MEng family, so C could be judged Some projects; module codes, credits and client names not retrieved; evidence is course-page text (search summaries).</t>
        </is>
      </c>
      <c r="AN494" s="77" t="inlineStr"/>
      <c r="AO494" s="77" t="inlineStr">
        <is>
          <t>UK</t>
        </is>
      </c>
      <c r="AP494" s="77" t="inlineStr">
        <is>
          <t>UK – additional</t>
        </is>
      </c>
      <c r="AQ494" s="77" t="inlineStr">
        <is>
          <t>&gt;1 term</t>
        </is>
      </c>
      <c r="AR494" s="77" t="inlineStr">
        <is>
          <t>Some projects</t>
        </is>
      </c>
      <c r="AS494" s="77" t="inlineStr"/>
    </row>
    <row r="495">
      <c r="A495" s="77" t="inlineStr">
        <is>
          <t>UK12</t>
        </is>
      </c>
      <c r="B495" s="77" t="inlineStr">
        <is>
          <t>East Anglia</t>
        </is>
      </c>
      <c r="C495" s="77" t="inlineStr">
        <is>
          <t>Programme/course</t>
        </is>
      </c>
      <c r="D495" s="77" t="inlineStr">
        <is>
          <t>UK12-S06</t>
        </is>
      </c>
      <c r="E495" s="77" t="inlineStr"/>
      <c r="F495" s="77" t="inlineStr">
        <is>
          <t>No</t>
        </is>
      </c>
      <c r="G495" s="79" t="inlineStr">
        <is>
          <t>MComp final-year group project (CMP-7024Y MCOMP Project per 2022 catalogue)</t>
        </is>
      </c>
      <c r="H495" s="77" t="inlineStr">
        <is>
          <t>MComp Computing/AI final-year group (partner) project</t>
        </is>
      </c>
      <c r="I495" s="77" t="inlineStr"/>
      <c r="J495" s="77" t="inlineStr">
        <is>
          <t>MComp final-year group/partner project on a problem either from an active university research group or a real problem rooted in industry or commerce; AI MComp: team-based project based on a real industry example or research-led brief; assessed by demonstration of the solution plus group report. Cyber Security MComp: large project with a research group or industrial partner.</t>
        </is>
      </c>
      <c r="K495" s="77" t="inlineStr">
        <is>
          <t>School of Computing Sciences</t>
        </is>
      </c>
      <c r="L495" s="77" t="inlineStr">
        <is>
          <t>MComp Computing Science (incl. Study Abroad, Cyber Security), MComp Artificial Intelligence</t>
        </is>
      </c>
      <c r="M495" s="77" t="inlineStr">
        <is>
          <t>Engineering/computing</t>
        </is>
      </c>
      <c r="N495" s="77" t="inlineStr">
        <is>
          <t>Undergraduate</t>
        </is>
      </c>
      <c r="O495" s="77" t="inlineStr">
        <is>
          <t>Final year (MComp)</t>
        </is>
      </c>
      <c r="P495" s="77" t="inlineStr"/>
      <c r="Q495" s="77" t="inlineStr">
        <is>
          <t>Compulsory within specified programmes</t>
        </is>
      </c>
      <c r="R495" s="77" t="inlineStr">
        <is>
          <t>Curricular</t>
        </is>
      </c>
      <c r="S495" s="77" t="inlineStr">
        <is>
          <t>40 credits (2022 catalogue record, module CMP-7024Y); demonstration + written report</t>
        </is>
      </c>
      <c r="T495" s="77" t="inlineStr">
        <is>
          <t>Final year</t>
        </is>
      </c>
      <c r="U495" s="77" t="inlineStr">
        <is>
          <t>Supervised team project</t>
        </is>
      </c>
      <c r="V495" s="77" t="inlineStr">
        <is>
          <t>Yes</t>
        </is>
      </c>
      <c r="W495" s="77" t="inlineStr">
        <is>
          <t>Defined solution demonstrated and reported [8].</t>
        </is>
      </c>
      <c r="X495" s="77" t="inlineStr">
        <is>
          <t>Yes</t>
        </is>
      </c>
      <c r="Y495" s="77" t="inlineStr">
        <is>
          <t>'Group or partner project' / team-based project [8].</t>
        </is>
      </c>
      <c r="Z495" s="77" t="inlineStr">
        <is>
          <t>Unclear</t>
        </is>
      </c>
      <c r="AA495" s="77" t="inlineStr">
        <is>
          <t>Source is 'industry or commerce' OR 'active research group': internal research-group projects are an alternative; no statement that external organisations are the standard source [8].</t>
        </is>
      </c>
      <c r="AB495" s="77" t="inlineStr">
        <is>
          <t>Mixed</t>
        </is>
      </c>
      <c r="AC495" s="77" t="inlineStr">
        <is>
          <t>Industry/commerce problem or internal research group (alternative)</t>
        </is>
      </c>
      <c r="AD495" s="77" t="inlineStr"/>
      <c r="AE495" s="77" t="inlineStr">
        <is>
          <t>Working solution demonstration + group report</t>
        </is>
      </c>
      <c r="AF495" s="77">
        <f>IF(OR(V495="No",X495="No",Z495="No"),"Outside strict definition",IF(AND(V495="Yes",X495="Yes",Z495="Yes"),"Meets all three","Potentially relevant; evidence incomplete"))</f>
        <v/>
      </c>
      <c r="AG495" s="77" t="inlineStr">
        <is>
          <t>Current delivery confirmed</t>
        </is>
      </c>
      <c r="AH495" s="77" t="inlineStr">
        <is>
          <t>2026/27</t>
        </is>
      </c>
      <c r="AI495" s="77" t="inlineStr">
        <is>
          <t>Yes</t>
        </is>
      </c>
      <c r="AJ495" s="77">
        <f>IF(AND(AI495="Yes",AF495="Meets all three",AG495="Current delivery confirmed"),"Yes","No")</f>
        <v/>
      </c>
      <c r="AK495" s="77" t="inlineStr"/>
      <c r="AL495" s="77" t="inlineStr">
        <is>
          <t>UK12-S06-R1</t>
        </is>
      </c>
      <c r="AM495" s="77" t="inlineStr">
        <is>
          <t>Share of projects with external organisations; whether external partners supervise/assess. Industrial Advisory Board terms say members may provide real-world challenges or assess final-year projects (capability, not frequency).</t>
        </is>
      </c>
      <c r="AN495" s="77" t="inlineStr"/>
      <c r="AO495" s="77" t="inlineStr">
        <is>
          <t>UK</t>
        </is>
      </c>
      <c r="AP495" s="77" t="inlineStr">
        <is>
          <t>UK – additional</t>
        </is>
      </c>
      <c r="AQ495" s="77" t="inlineStr">
        <is>
          <t>&gt;1 term</t>
        </is>
      </c>
      <c r="AR495" s="77" t="inlineStr">
        <is>
          <t>Some projects</t>
        </is>
      </c>
      <c r="AS495" s="77" t="inlineStr"/>
    </row>
    <row r="496">
      <c r="A496" s="77" t="inlineStr">
        <is>
          <t>UK12</t>
        </is>
      </c>
      <c r="B496" s="77" t="inlineStr">
        <is>
          <t>East Anglia</t>
        </is>
      </c>
      <c r="C496" s="77" t="inlineStr">
        <is>
          <t>Programme/course</t>
        </is>
      </c>
      <c r="D496" s="77" t="inlineStr">
        <is>
          <t>UK12-S07</t>
        </is>
      </c>
      <c r="E496" s="77" t="inlineStr"/>
      <c r="F496" s="77" t="inlineStr">
        <is>
          <t>No</t>
        </is>
      </c>
      <c r="G496" s="79" t="inlineStr">
        <is>
          <t>School of Economics final-year consulting project (alternative to dissertation)</t>
        </is>
      </c>
      <c r="H496" s="77" t="inlineStr">
        <is>
          <t>Economics final-year consulting project with an external organisation</t>
        </is>
      </c>
      <c r="I496" s="77" t="inlineStr"/>
      <c r="J496" s="77" t="inlineStr">
        <is>
          <t>Final-year Economics programmes offer a choice between a dissertation and a consulting project undertaken in collaboration with an external organisation, applying economic and financial analysis to a substantial real-world problem; students learn to build a client relationship and pin down client needs. Team structure and assessment not evidenced.</t>
        </is>
      </c>
      <c r="K496" s="77" t="inlineStr">
        <is>
          <t>School of Economics</t>
        </is>
      </c>
      <c r="L496" s="77" t="inlineStr">
        <is>
          <t>BSc Economics, Economics and Finance, Economics with Accountancy, Business Economics, Business Finance and Economics, Economics Behaviour and Data Science (per course pages)</t>
        </is>
      </c>
      <c r="M496" s="77" t="inlineStr">
        <is>
          <t>Arts/humanities/social sciences; Business/management</t>
        </is>
      </c>
      <c r="N496" s="77" t="inlineStr">
        <is>
          <t>Undergraduate</t>
        </is>
      </c>
      <c r="O496" s="77" t="inlineStr">
        <is>
          <t>Final year</t>
        </is>
      </c>
      <c r="P496" s="77" t="inlineStr"/>
      <c r="Q496" s="77" t="inlineStr">
        <is>
          <t>Optional/elective</t>
        </is>
      </c>
      <c r="R496" s="77" t="inlineStr">
        <is>
          <t>Curricular</t>
        </is>
      </c>
      <c r="S496" s="77" t="inlineStr">
        <is>
          <t>Not retrieved</t>
        </is>
      </c>
      <c r="T496" s="77" t="inlineStr">
        <is>
          <t>Unclear</t>
        </is>
      </c>
      <c r="U496" s="77" t="inlineStr">
        <is>
          <t>Capstone option alongside dissertation</t>
        </is>
      </c>
      <c r="V496" s="77" t="inlineStr">
        <is>
          <t>Yes</t>
        </is>
      </c>
      <c r="W496" s="77" t="inlineStr">
        <is>
          <t>Consulting project applying analysis to a real-world problem with recommendations [9].</t>
        </is>
      </c>
      <c r="X496" s="77" t="inlineStr">
        <is>
          <t>Unclear</t>
        </is>
      </c>
      <c r="Y496" s="77" t="inlineStr">
        <is>
          <t>Page text frames the consulting project as an alternative within the dissertation module and 'demonstrating independent research' [9]; no team wording, so likely individual. Left Unclear (not confirmed).</t>
        </is>
      </c>
      <c r="Z496" s="77" t="inlineStr">
        <is>
          <t>Yes</t>
        </is>
      </c>
      <c r="AA496" s="77" t="inlineStr">
        <is>
          <t>Project is 'in collaboration with an external organisation'; students build a client relationship [9]; sector and extent of client input not stated.</t>
        </is>
      </c>
      <c r="AB496" s="77" t="inlineStr">
        <is>
          <t>Unclear</t>
        </is>
      </c>
      <c r="AC496" s="77" t="inlineStr">
        <is>
          <t>External organisation collaborates/acts as client</t>
        </is>
      </c>
      <c r="AD496" s="77" t="inlineStr"/>
      <c r="AE496" s="77" t="inlineStr">
        <is>
          <t>Consulting project report/recommendations (not specified)</t>
        </is>
      </c>
      <c r="AF496" s="77">
        <f>IF(OR(V496="No",X496="No",Z496="No"),"Outside strict definition",IF(AND(V496="Yes",X496="Yes",Z496="Yes"),"Meets all three","Potentially relevant; evidence incomplete"))</f>
        <v/>
      </c>
      <c r="AG496" s="77" t="inlineStr">
        <is>
          <t>Current delivery confirmed</t>
        </is>
      </c>
      <c r="AH496" s="77" t="inlineStr">
        <is>
          <t>2026/27</t>
        </is>
      </c>
      <c r="AI496" s="77" t="inlineStr">
        <is>
          <t>Yes</t>
        </is>
      </c>
      <c r="AJ496" s="77">
        <f>IF(AND(AI496="Yes",AF496="Meets all three",AG496="Current delivery confirmed"),"Yes","No")</f>
        <v/>
      </c>
      <c r="AK496" s="77" t="inlineStr"/>
      <c r="AL496" s="77" t="inlineStr">
        <is>
          <t>UK12-S07-R1</t>
        </is>
      </c>
      <c r="AM496" s="77" t="inlineStr">
        <is>
          <t>Group vs individual; module code; client names; sector.</t>
        </is>
      </c>
      <c r="AN496" s="77" t="inlineStr"/>
      <c r="AO496" s="77" t="inlineStr">
        <is>
          <t>UK</t>
        </is>
      </c>
      <c r="AP496" s="77" t="inlineStr">
        <is>
          <t>UK – additional</t>
        </is>
      </c>
      <c r="AQ496" s="77" t="inlineStr">
        <is>
          <t>Unclear</t>
        </is>
      </c>
      <c r="AR496" s="77" t="inlineStr">
        <is>
          <t>All/standard</t>
        </is>
      </c>
      <c r="AS496" s="77" t="inlineStr"/>
    </row>
    <row r="497">
      <c r="A497" s="77" t="inlineStr">
        <is>
          <t>UK12</t>
        </is>
      </c>
      <c r="B497" s="77" t="inlineStr">
        <is>
          <t>East Anglia</t>
        </is>
      </c>
      <c r="C497" s="77" t="inlineStr">
        <is>
          <t>Programme/course</t>
        </is>
      </c>
      <c r="D497" s="77" t="inlineStr">
        <is>
          <t>UK12-S08</t>
        </is>
      </c>
      <c r="E497" s="77" t="inlineStr"/>
      <c r="F497" s="77" t="inlineStr">
        <is>
          <t>No</t>
        </is>
      </c>
      <c r="G497" s="79" t="inlineStr">
        <is>
          <t>MA Media, Communication and Global Development: Media and Development in Practice live project</t>
        </is>
      </c>
      <c r="H497" s="77" t="inlineStr">
        <is>
          <t>Live media-and-development project with a partner organisation</t>
        </is>
      </c>
      <c r="I497" s="77" t="inlineStr"/>
      <c r="J497" s="77" t="inlineStr">
        <is>
          <t>Specialist module (Media and Development in Practice, MADIP) in the MA: students work on a real-world 'media and development' project with a business, charity or media organisation, reflecting critically on project design, development and delivery; recent partners listed include Action Aid, Amref Africa, Anti-Slavery International, British Red Cross, BBC Radio Norfolk, Girl Effect, Public Media Alliance, Save the Children International, WaterAid. Alternative to the summer dissertation/work placement route on the 2025/26 page.</t>
        </is>
      </c>
      <c r="K497" s="77" t="inlineStr">
        <is>
          <t>School of Global Development</t>
        </is>
      </c>
      <c r="L497" s="77" t="inlineStr">
        <is>
          <t>MA Media, Communication and Global Development (formerly MA Media and Global Development)</t>
        </is>
      </c>
      <c r="M497" s="77" t="inlineStr">
        <is>
          <t>Arts/humanities/social sciences</t>
        </is>
      </c>
      <c r="N497" s="77" t="inlineStr">
        <is>
          <t>Postgraduate taught</t>
        </is>
      </c>
      <c r="O497" s="77" t="inlineStr"/>
      <c r="P497" s="77" t="inlineStr"/>
      <c r="Q497" s="77" t="inlineStr">
        <is>
          <t>Compulsory within specified programmes</t>
        </is>
      </c>
      <c r="R497" s="77" t="inlineStr">
        <is>
          <t>Curricular</t>
        </is>
      </c>
      <c r="S497" s="77" t="inlineStr">
        <is>
          <t>Not retrieved</t>
        </is>
      </c>
      <c r="T497" s="77" t="inlineStr">
        <is>
          <t>Unclear</t>
        </is>
      </c>
      <c r="U497" s="77" t="inlineStr">
        <is>
          <t>Live project with partner organisation</t>
        </is>
      </c>
      <c r="V497" s="77" t="inlineStr">
        <is>
          <t>Yes</t>
        </is>
      </c>
      <c r="W497" s="77" t="inlineStr">
        <is>
          <t>Real-world media and development project with defined project design/delivery reflection [10][11].</t>
        </is>
      </c>
      <c r="X497" s="77" t="inlineStr">
        <is>
          <t>Unclear</t>
        </is>
      </c>
      <c r="Y497" s="77" t="inlineStr">
        <is>
          <t>An older school page says students design, implement and evaluate their own 'live' project; no source states team vs individual work [10][11].</t>
        </is>
      </c>
      <c r="Z497" s="77" t="inlineStr">
        <is>
          <t>Yes</t>
        </is>
      </c>
      <c r="AA497" s="77" t="inlineStr">
        <is>
          <t>Partner organisations (business, charity or media) supply the live project; named recent partners [10].</t>
        </is>
      </c>
      <c r="AB497" s="77" t="inlineStr">
        <is>
          <t>Mixed</t>
        </is>
      </c>
      <c r="AC497" s="77" t="inlineStr">
        <is>
          <t>Partner organisation hosts/supplies live project</t>
        </is>
      </c>
      <c r="AD497" s="77" t="inlineStr">
        <is>
          <t>Action Aid; Amref Africa; Anti-Slavery International; British Red Cross (2025/26 page); BBC Radio Norfolk; Girl Effect; Public Media Alliance; Save the Children International; WaterAid</t>
        </is>
      </c>
      <c r="AE497" s="77" t="inlineStr">
        <is>
          <t>Media/development project output (not specified)</t>
        </is>
      </c>
      <c r="AF497" s="77">
        <f>IF(OR(V497="No",X497="No",Z497="No"),"Outside strict definition",IF(AND(V497="Yes",X497="Yes",Z497="Yes"),"Meets all three","Potentially relevant; evidence incomplete"))</f>
        <v/>
      </c>
      <c r="AG497" s="77" t="inlineStr">
        <is>
          <t>Current delivery confirmed</t>
        </is>
      </c>
      <c r="AH497" s="77" t="inlineStr">
        <is>
          <t>2026/27</t>
        </is>
      </c>
      <c r="AI497" s="77" t="inlineStr">
        <is>
          <t>Yes</t>
        </is>
      </c>
      <c r="AJ497" s="77">
        <f>IF(AND(AI497="Yes",AF497="Meets all three",AG497="Current delivery confirmed"),"Yes","No")</f>
        <v/>
      </c>
      <c r="AK497" s="77" t="inlineStr"/>
      <c r="AL497" s="77" t="inlineStr">
        <is>
          <t>UK12-S08-R1; UK12-S08-R2</t>
        </is>
      </c>
      <c r="AM497" s="77" t="inlineStr">
        <is>
          <t>Group vs individual; deliverable; credits. Module listed as compulsory on the course page text; partner role (brief-setting vs hosting) not detailed.</t>
        </is>
      </c>
      <c r="AN497" s="77" t="inlineStr"/>
      <c r="AO497" s="77" t="inlineStr">
        <is>
          <t>UK</t>
        </is>
      </c>
      <c r="AP497" s="77" t="inlineStr">
        <is>
          <t>UK – additional</t>
        </is>
      </c>
      <c r="AQ497" s="77" t="inlineStr">
        <is>
          <t>Unclear</t>
        </is>
      </c>
      <c r="AR497" s="77" t="inlineStr">
        <is>
          <t>All/standard</t>
        </is>
      </c>
      <c r="AS497" s="77" t="inlineStr"/>
    </row>
    <row r="498">
      <c r="A498" s="77" t="inlineStr">
        <is>
          <t>UK12</t>
        </is>
      </c>
      <c r="B498" s="77" t="inlineStr">
        <is>
          <t>East Anglia</t>
        </is>
      </c>
      <c r="C498" s="77" t="inlineStr">
        <is>
          <t>Cross-faculty</t>
        </is>
      </c>
      <c r="D498" s="77" t="inlineStr">
        <is>
          <t>UK12-S09</t>
        </is>
      </c>
      <c r="E498" s="77" t="inlineStr"/>
      <c r="F498" s="77" t="inlineStr">
        <is>
          <t>No</t>
        </is>
      </c>
      <c r="G498" s="79" t="inlineStr">
        <is>
          <t>Master's with a Placement Year: three structured industry projects (placement-partner route)</t>
        </is>
      </c>
      <c r="H498" s="77" t="inlineStr">
        <is>
          <t>Postgraduate placement-year industry projects (Twin Group / Impact Consulting)</t>
        </is>
      </c>
      <c r="I498" s="77" t="inlineStr"/>
      <c r="J498" s="77" t="inlineStr">
        <is>
          <t>Over 60 UEA two-year Master's programmes (business, computing, law, life sciences, media etc.) offer a second year of either a paid industry placement or, if no placement is secured, a guaranteed set of three structured industry projects with different UK organisations, delivered through placement partners (Twin Group and Impact Consulting); UEA comparison table lists the projects as part-time (~20 hours/week), in a small group and unpaid.</t>
        </is>
      </c>
      <c r="K498" s="77" t="inlineStr">
        <is>
          <t>UEA central (placement partners Twin Group, Impact Consulting)</t>
        </is>
      </c>
      <c r="L498" s="77" t="inlineStr">
        <is>
          <t>60+ Master's with placement year programmes (e.g. MSc Data Science, Digital Business and AI, Cyber Security, MA Creative Writing, Film and TV Production, Applied Ecology and Conservation)</t>
        </is>
      </c>
      <c r="M498" s="77" t="inlineStr">
        <is>
          <t>Central provision; Business/management; Engineering/computing; Science; Arts/humanities/social sciences</t>
        </is>
      </c>
      <c r="N498" s="77" t="inlineStr">
        <is>
          <t>Postgraduate taught</t>
        </is>
      </c>
      <c r="O498" s="77" t="inlineStr">
        <is>
          <t>Year 2 of two-year Master's</t>
        </is>
      </c>
      <c r="P498" s="77" t="inlineStr">
        <is>
          <t>Must pass all taught modules including dissertation and meet minimum attendance on the placement preparation module; route used only if no industry placement is secured</t>
        </is>
      </c>
      <c r="Q498" s="77" t="inlineStr">
        <is>
          <t>Selective/competitive</t>
        </is>
      </c>
      <c r="R498" s="77" t="inlineStr">
        <is>
          <t>Mixed</t>
        </is>
      </c>
      <c r="S498" s="77" t="inlineStr">
        <is>
          <t>Placement-year module pass/fail via portfolio and reflective report (Data Science page); not otherwise retrieved</t>
        </is>
      </c>
      <c r="T498" s="77" t="inlineStr">
        <is>
          <t>Year 2 (three projects, ~20 hours/week)</t>
        </is>
      </c>
      <c r="U498" s="77" t="inlineStr">
        <is>
          <t>Part-time small-group projects through placement partners</t>
        </is>
      </c>
      <c r="V498" s="77" t="inlineStr">
        <is>
          <t>Unclear</t>
        </is>
      </c>
      <c r="W498" s="77" t="inlineStr">
        <is>
          <t>'Structured industry projects' but brief content and outputs not described [12][13].</t>
        </is>
      </c>
      <c r="X498" s="77" t="inlineStr">
        <is>
          <t>Yes</t>
        </is>
      </c>
      <c r="Y498" s="77" t="inlineStr">
        <is>
          <t>UEA comparison table lists projects as 'in a small group' [12] (search paraphrase of the page).</t>
        </is>
      </c>
      <c r="Z498" s="77" t="inlineStr">
        <is>
          <t>Unclear</t>
        </is>
      </c>
      <c r="AA498" s="77" t="inlineStr">
        <is>
          <t>Projects are 'with different UK organisations' [12][13]; how organisations set briefs or receive outputs not described.</t>
        </is>
      </c>
      <c r="AB498" s="77" t="inlineStr">
        <is>
          <t>Unclear</t>
        </is>
      </c>
      <c r="AC498" s="77" t="inlineStr">
        <is>
          <t>Host organisations via placement partners; role not described</t>
        </is>
      </c>
      <c r="AD498" s="77" t="inlineStr"/>
      <c r="AE498" s="77" t="inlineStr">
        <is>
          <t>Not evidenced</t>
        </is>
      </c>
      <c r="AF498" s="77">
        <f>IF(OR(V498="No",X498="No",Z498="No"),"Outside strict definition",IF(AND(V498="Yes",X498="Yes",Z498="Yes"),"Meets all three","Potentially relevant; evidence incomplete"))</f>
        <v/>
      </c>
      <c r="AG498" s="77" t="inlineStr">
        <is>
          <t>Announced/forthcoming</t>
        </is>
      </c>
      <c r="AH498" s="77" t="inlineStr">
        <is>
          <t>2026/27 entry (course pages) / 2026 news</t>
        </is>
      </c>
      <c r="AI498" s="77" t="inlineStr">
        <is>
          <t>Yes</t>
        </is>
      </c>
      <c r="AJ498" s="77">
        <f>IF(AND(AI498="Yes",AF498="Meets all three",AG498="Current delivery confirmed"),"Yes","No")</f>
        <v/>
      </c>
      <c r="AK498" s="77" t="inlineStr"/>
      <c r="AL498" s="77" t="inlineStr">
        <is>
          <t>UK12-S09-R1; UK12-S09-R2</t>
        </is>
      </c>
      <c r="AM498" s="77" t="inlineStr">
        <is>
          <t>First year-two cohorts likely 2027/28 onwards, so delivery not evidenced; project content, assessment and whether groups work on one client brief unknown.</t>
        </is>
      </c>
      <c r="AN498" s="77" t="inlineStr"/>
      <c r="AO498" s="77" t="inlineStr">
        <is>
          <t>UK</t>
        </is>
      </c>
      <c r="AP498" s="77" t="inlineStr">
        <is>
          <t>UK – additional</t>
        </is>
      </c>
      <c r="AQ498" s="77" t="inlineStr">
        <is>
          <t>Unclear</t>
        </is>
      </c>
      <c r="AR498" s="77" t="inlineStr">
        <is>
          <t>All/standard</t>
        </is>
      </c>
      <c r="AS498" s="77" t="inlineStr"/>
    </row>
    <row r="499">
      <c r="A499" s="77" t="inlineStr">
        <is>
          <t>UK12</t>
        </is>
      </c>
      <c r="B499" s="77" t="inlineStr">
        <is>
          <t>East Anglia</t>
        </is>
      </c>
      <c r="C499" s="77" t="inlineStr">
        <is>
          <t>University-wide</t>
        </is>
      </c>
      <c r="D499" s="77" t="inlineStr">
        <is>
          <t>UK12-S10</t>
        </is>
      </c>
      <c r="E499" s="77" t="inlineStr"/>
      <c r="F499" s="77" t="inlineStr">
        <is>
          <t>No</t>
        </is>
      </c>
      <c r="G499" s="79" t="inlineStr">
        <is>
          <t>i-Teams (Norwich Research Park innovation teams)</t>
        </is>
      </c>
      <c r="H499" s="77" t="inlineStr">
        <is>
          <t>i-Teams</t>
        </is>
      </c>
      <c r="I499" s="77" t="inlineStr"/>
      <c r="J499" s="77" t="inlineStr">
        <is>
          <t>12-week programme in which small teams of postdoctoral researchers, postgraduate and Master's students (UEA, other Norwich Research Park institutions, Norwich University of the Arts) work with industry mentors on commercialisation/business impact plans for Norwich Research Park innovations (e.g. Insect Detection, Microplastic Detection, Movetech) or heritage projects with regional organisations (past partners listed: Adnams, Broads Authority, Gressenhall Farm and Workhouse, History of Advertising Trust); ends with a presentation to colleagues, business leaders and employers.</t>
        </is>
      </c>
      <c r="K499" s="77" t="inlineStr">
        <is>
          <t>UEA Business / Access Entrepreneurship and Innovation; CareerCentral listing</t>
        </is>
      </c>
      <c r="L499" s="77" t="inlineStr">
        <is>
          <t>Postgraduate and Master's students and postdocs across Norwich Research Park institutions</t>
        </is>
      </c>
      <c r="M499" s="77" t="inlineStr">
        <is>
          <t>Central provision</t>
        </is>
      </c>
      <c r="N499" s="77" t="inlineStr">
        <is>
          <t>Postgraduate research</t>
        </is>
      </c>
      <c r="O499" s="77" t="inlineStr"/>
      <c r="P499" s="77" t="inlineStr">
        <is>
          <t>Postgraduates/postdocs only (not undergraduates)</t>
        </is>
      </c>
      <c r="Q499" s="77" t="inlineStr">
        <is>
          <t>Selective/competitive</t>
        </is>
      </c>
      <c r="R499" s="77" t="inlineStr">
        <is>
          <t>Extracurricular</t>
        </is>
      </c>
      <c r="S499" s="77" t="inlineStr">
        <is>
          <t>None evidenced</t>
        </is>
      </c>
      <c r="T499" s="77" t="inlineStr">
        <is>
          <t>12 weeks</t>
        </is>
      </c>
      <c r="U499" s="77" t="inlineStr">
        <is>
          <t>Workshops, mentoring, final presentation</t>
        </is>
      </c>
      <c r="V499" s="77" t="inlineStr">
        <is>
          <t>Yes</t>
        </is>
      </c>
      <c r="W499" s="77" t="inlineStr">
        <is>
          <t>Commercialisation/impact plan for a defined innovation or heritage project, presented at end [14].</t>
        </is>
      </c>
      <c r="X499" s="77" t="inlineStr">
        <is>
          <t>Yes</t>
        </is>
      </c>
      <c r="Y499" s="77" t="inlineStr">
        <is>
          <t>'Small teams' [14].</t>
        </is>
      </c>
      <c r="Z499" s="77" t="inlineStr">
        <is>
          <t>Unclear</t>
        </is>
      </c>
      <c r="AA499" s="77" t="inlineStr">
        <is>
          <t>Industry mentors and a final audience of business leaders; regional organisations named for heritage projects, but innovation projects are NRP research outputs (internal/affiliated) and the partner pages' testimonials date from 2019 [14].</t>
        </is>
      </c>
      <c r="AB499" s="77" t="inlineStr">
        <is>
          <t>Mixed</t>
        </is>
      </c>
      <c r="AC499" s="77" t="inlineStr">
        <is>
          <t>Industry mentors; regional organisations as heritage project hosts; NRP research innovations (internal/affiliated)</t>
        </is>
      </c>
      <c r="AD499" s="77" t="inlineStr">
        <is>
          <t>Adnams; Broads Authority; Gressenhall Farm and Workhouse; The History of Advertising Trust (past, undated/2019-era)</t>
        </is>
      </c>
      <c r="AE499" s="77" t="inlineStr">
        <is>
          <t>Commercialisation/business impact plan and final presentation</t>
        </is>
      </c>
      <c r="AF499" s="77">
        <f>IF(OR(V499="No",X499="No",Z499="No"),"Outside strict definition",IF(AND(V499="Yes",X499="Yes",Z499="Yes"),"Meets all three","Potentially relevant; evidence incomplete"))</f>
        <v/>
      </c>
      <c r="AG499" s="77" t="inlineStr">
        <is>
          <t>Current status unclear</t>
        </is>
      </c>
      <c r="AH499" s="77" t="inlineStr">
        <is>
          <t>undated (testimonials 2019)</t>
        </is>
      </c>
      <c r="AI499" s="77" t="inlineStr">
        <is>
          <t>Yes</t>
        </is>
      </c>
      <c r="AJ499" s="77">
        <f>IF(AND(AI499="Yes",AF499="Meets all three",AG499="Current delivery confirmed"),"Yes","No")</f>
        <v/>
      </c>
      <c r="AK499" s="77" t="inlineStr"/>
      <c r="AL499" s="77" t="inlineStr">
        <is>
          <t>UK12-S10-R1</t>
        </is>
      </c>
      <c r="AM499" s="77" t="inlineStr">
        <is>
          <t>Current-year runs and dates; share of external-organisation (vs internal innovation) projects.</t>
        </is>
      </c>
      <c r="AN499" s="77" t="inlineStr"/>
      <c r="AO499" s="77" t="inlineStr">
        <is>
          <t>UK</t>
        </is>
      </c>
      <c r="AP499" s="77" t="inlineStr">
        <is>
          <t>UK – additional</t>
        </is>
      </c>
      <c r="AQ499" s="77" t="inlineStr">
        <is>
          <t>~1 term/semester</t>
        </is>
      </c>
      <c r="AR499" s="77" t="inlineStr">
        <is>
          <t>Some projects</t>
        </is>
      </c>
      <c r="AS499" s="77" t="inlineStr"/>
    </row>
    <row r="500">
      <c r="A500" s="77" t="inlineStr">
        <is>
          <t>UK12</t>
        </is>
      </c>
      <c r="B500" s="77" t="inlineStr">
        <is>
          <t>East Anglia</t>
        </is>
      </c>
      <c r="C500" s="77" t="inlineStr">
        <is>
          <t>Programme/course</t>
        </is>
      </c>
      <c r="D500" s="77" t="inlineStr">
        <is>
          <t>UK12-S11</t>
        </is>
      </c>
      <c r="E500" s="77" t="inlineStr"/>
      <c r="F500" s="77" t="inlineStr">
        <is>
          <t>No</t>
        </is>
      </c>
      <c r="G500" s="79" t="inlineStr">
        <is>
          <t>NBS MSc industry-sponsored / industry-focused project options (MSc Business Management; MSc Finance and Management)</t>
        </is>
      </c>
      <c r="H500" s="77" t="inlineStr">
        <is>
          <t>MSc industry-sponsored project pathway</t>
        </is>
      </c>
      <c r="I500" s="77" t="inlineStr"/>
      <c r="J500" s="77" t="inlineStr">
        <is>
          <t>MSc Business Management allows a study pathway via independent dissertation, an industry-sponsored project or applied modules; MSc Finance and Management allows a dissertation, an industry-focused project (subject to availability) or taught modules. No detail on team format, sponsors, outputs or assessment.</t>
        </is>
      </c>
      <c r="K500" s="77" t="inlineStr">
        <is>
          <t>Norwich Business School</t>
        </is>
      </c>
      <c r="L500" s="77" t="inlineStr">
        <is>
          <t>MSc Business Management; MSc Finance and Management</t>
        </is>
      </c>
      <c r="M500" s="77" t="inlineStr">
        <is>
          <t>Business/management</t>
        </is>
      </c>
      <c r="N500" s="77" t="inlineStr">
        <is>
          <t>Postgraduate taught</t>
        </is>
      </c>
      <c r="O500" s="77" t="inlineStr"/>
      <c r="P500" s="77" t="inlineStr"/>
      <c r="Q500" s="77" t="inlineStr">
        <is>
          <t>Optional/elective</t>
        </is>
      </c>
      <c r="R500" s="77" t="inlineStr">
        <is>
          <t>Curricular</t>
        </is>
      </c>
      <c r="S500" s="77" t="inlineStr">
        <is>
          <t>Not retrieved</t>
        </is>
      </c>
      <c r="T500" s="77" t="inlineStr">
        <is>
          <t>Unclear</t>
        </is>
      </c>
      <c r="U500" s="77" t="inlineStr">
        <is>
          <t>Alternative to dissertation</t>
        </is>
      </c>
      <c r="V500" s="77" t="inlineStr">
        <is>
          <t>Unclear</t>
        </is>
      </c>
      <c r="W500" s="77" t="inlineStr">
        <is>
          <t>Named options only [15].</t>
        </is>
      </c>
      <c r="X500" s="77" t="inlineStr">
        <is>
          <t>Unclear</t>
        </is>
      </c>
      <c r="Y500" s="77" t="inlineStr">
        <is>
          <t>Not stated [15].</t>
        </is>
      </c>
      <c r="Z500" s="77" t="inlineStr">
        <is>
          <t>Unclear</t>
        </is>
      </c>
      <c r="AA500" s="77" t="inlineStr">
        <is>
          <t>'Industry-sponsored' / 'subject to availability' wording indicates external sponsors only for some students [15].</t>
        </is>
      </c>
      <c r="AB500" s="77" t="inlineStr">
        <is>
          <t>Business/commercial</t>
        </is>
      </c>
      <c r="AC500" s="77" t="inlineStr">
        <is>
          <t>Industry sponsor (not detailed)</t>
        </is>
      </c>
      <c r="AD500" s="77" t="inlineStr"/>
      <c r="AE500" s="77" t="inlineStr">
        <is>
          <t>Not evidenced</t>
        </is>
      </c>
      <c r="AF500" s="77">
        <f>IF(OR(V500="No",X500="No",Z500="No"),"Outside strict definition",IF(AND(V500="Yes",X500="Yes",Z500="Yes"),"Meets all three","Potentially relevant; evidence incomplete"))</f>
        <v/>
      </c>
      <c r="AG500" s="77" t="inlineStr">
        <is>
          <t>Current delivery confirmed</t>
        </is>
      </c>
      <c r="AH500" s="77" t="inlineStr">
        <is>
          <t>2026/27</t>
        </is>
      </c>
      <c r="AI500" s="77" t="inlineStr">
        <is>
          <t>Yes</t>
        </is>
      </c>
      <c r="AJ500" s="77">
        <f>IF(AND(AI500="Yes",AF500="Meets all three",AG500="Current delivery confirmed"),"Yes","No")</f>
        <v/>
      </c>
      <c r="AK500" s="77" t="inlineStr"/>
      <c r="AL500" s="77" t="inlineStr">
        <is>
          <t>UK12-S11-R1</t>
        </is>
      </c>
      <c r="AM500" s="77" t="inlineStr">
        <is>
          <t>Everything beyond existence of the option.</t>
        </is>
      </c>
      <c r="AN500" s="77" t="inlineStr"/>
      <c r="AO500" s="77" t="inlineStr">
        <is>
          <t>UK</t>
        </is>
      </c>
      <c r="AP500" s="77" t="inlineStr">
        <is>
          <t>UK – additional</t>
        </is>
      </c>
      <c r="AQ500" s="77" t="inlineStr">
        <is>
          <t>Unclear</t>
        </is>
      </c>
      <c r="AR500" s="77" t="inlineStr">
        <is>
          <t>Some projects</t>
        </is>
      </c>
      <c r="AS500" s="77" t="inlineStr"/>
    </row>
    <row r="501">
      <c r="A501" s="77" t="inlineStr">
        <is>
          <t>UK12</t>
        </is>
      </c>
      <c r="B501" s="77" t="inlineStr">
        <is>
          <t>East Anglia</t>
        </is>
      </c>
      <c r="C501" s="77" t="inlineStr">
        <is>
          <t>Programme/course</t>
        </is>
      </c>
      <c r="D501" s="77" t="inlineStr">
        <is>
          <t>UK12-S12</t>
        </is>
      </c>
      <c r="E501" s="77" t="inlineStr"/>
      <c r="F501" s="77" t="inlineStr">
        <is>
          <t>No</t>
        </is>
      </c>
      <c r="G501" s="79" t="inlineStr">
        <is>
          <t>MSc Sustainability and Society: partner-organisation practical work in core modules</t>
        </is>
      </c>
      <c r="H501" s="77" t="inlineStr">
        <is>
          <t>Partner-organisation practical sessions (MSc Sustainability and Society)</t>
        </is>
      </c>
      <c r="I501" s="77" t="inlineStr"/>
      <c r="J501" s="77" t="inlineStr">
        <is>
          <t>Course page states core modules include practical sessions where students work with partner organisations on real-world problems and initiatives to apply learning; collaboration with external organisations on sustainability solutions. Partners, outputs, team format and assessment not described.</t>
        </is>
      </c>
      <c r="K501" s="77" t="inlineStr">
        <is>
          <t>School of Environmental Sciences / Science, Society and Sustainability</t>
        </is>
      </c>
      <c r="L501" s="77" t="inlineStr">
        <is>
          <t>MSc Sustainability and Society (full-time and part-time)</t>
        </is>
      </c>
      <c r="M501" s="77" t="inlineStr">
        <is>
          <t>Science</t>
        </is>
      </c>
      <c r="N501" s="77" t="inlineStr">
        <is>
          <t>Postgraduate taught</t>
        </is>
      </c>
      <c r="O501" s="77" t="inlineStr"/>
      <c r="P501" s="77" t="inlineStr"/>
      <c r="Q501" s="77" t="inlineStr">
        <is>
          <t>Compulsory within specified programmes</t>
        </is>
      </c>
      <c r="R501" s="77" t="inlineStr">
        <is>
          <t>Curricular</t>
        </is>
      </c>
      <c r="S501" s="77" t="inlineStr">
        <is>
          <t>Not retrieved</t>
        </is>
      </c>
      <c r="T501" s="77" t="inlineStr">
        <is>
          <t>Unclear</t>
        </is>
      </c>
      <c r="U501" s="77" t="inlineStr">
        <is>
          <t>Practical sessions in core modules</t>
        </is>
      </c>
      <c r="V501" s="77" t="inlineStr">
        <is>
          <t>Unclear</t>
        </is>
      </c>
      <c r="W501" s="77" t="inlineStr">
        <is>
          <t>Work on 'real-world problems and initiatives' but no defined output [16].</t>
        </is>
      </c>
      <c r="X501" s="77" t="inlineStr">
        <is>
          <t>Unclear</t>
        </is>
      </c>
      <c r="Y501" s="77" t="inlineStr">
        <is>
          <t>Not stated [16].</t>
        </is>
      </c>
      <c r="Z501" s="77" t="inlineStr">
        <is>
          <t>Yes</t>
        </is>
      </c>
      <c r="AA501" s="77" t="inlineStr">
        <is>
          <t>Students work with partner organisations in core modules [16]; role of organisations beyond hosting unclear.</t>
        </is>
      </c>
      <c r="AB501" s="77" t="inlineStr">
        <is>
          <t>Unclear</t>
        </is>
      </c>
      <c r="AC501" s="77" t="inlineStr">
        <is>
          <t>Partner organisations on real-world problems</t>
        </is>
      </c>
      <c r="AD501" s="77" t="inlineStr"/>
      <c r="AE501" s="77" t="inlineStr">
        <is>
          <t>Not evidenced</t>
        </is>
      </c>
      <c r="AF501" s="77">
        <f>IF(OR(V501="No",X501="No",Z501="No"),"Outside strict definition",IF(AND(V501="Yes",X501="Yes",Z501="Yes"),"Meets all three","Potentially relevant; evidence incomplete"))</f>
        <v/>
      </c>
      <c r="AG501" s="77" t="inlineStr">
        <is>
          <t>Announced/forthcoming</t>
        </is>
      </c>
      <c r="AH501" s="77" t="inlineStr">
        <is>
          <t>2027/28 (course page)</t>
        </is>
      </c>
      <c r="AI501" s="77" t="inlineStr">
        <is>
          <t>Yes</t>
        </is>
      </c>
      <c r="AJ501" s="77">
        <f>IF(AND(AI501="Yes",AF501="Meets all three",AG501="Current delivery confirmed"),"Yes","No")</f>
        <v/>
      </c>
      <c r="AK501" s="77" t="inlineStr"/>
      <c r="AL501" s="77" t="inlineStr">
        <is>
          <t>UK12-S12-R1</t>
        </is>
      </c>
      <c r="AM501" s="77" t="inlineStr">
        <is>
          <t>Whether current in 2025/26-2026/27; project/group status; partners.</t>
        </is>
      </c>
      <c r="AN501" s="77" t="inlineStr"/>
      <c r="AO501" s="77" t="inlineStr">
        <is>
          <t>UK</t>
        </is>
      </c>
      <c r="AP501" s="77" t="inlineStr">
        <is>
          <t>UK – additional</t>
        </is>
      </c>
      <c r="AQ501" s="77" t="inlineStr">
        <is>
          <t>Unclear</t>
        </is>
      </c>
      <c r="AR501" s="77" t="inlineStr">
        <is>
          <t>All/standard</t>
        </is>
      </c>
      <c r="AS501" s="77" t="inlineStr"/>
    </row>
    <row r="502">
      <c r="A502" s="77" t="inlineStr">
        <is>
          <t>UK13</t>
        </is>
      </c>
      <c r="B502" s="77" t="inlineStr">
        <is>
          <t>Dundee</t>
        </is>
      </c>
      <c r="C502" s="77" t="inlineStr">
        <is>
          <t>Programme/course</t>
        </is>
      </c>
      <c r="D502" s="77" t="inlineStr">
        <is>
          <t>UK13-S01</t>
        </is>
      </c>
      <c r="E502" s="77" t="inlineStr"/>
      <c r="F502" s="77" t="inlineStr">
        <is>
          <t>No</t>
        </is>
      </c>
      <c r="G502" s="79" t="inlineStr">
        <is>
          <t>Industrial Team Project</t>
        </is>
      </c>
      <c r="H502" s="77" t="inlineStr">
        <is>
          <t>Industrial Team Project</t>
        </is>
      </c>
      <c r="I502" s="77" t="inlineStr">
        <is>
          <t>CS32002</t>
        </is>
      </c>
      <c r="J502" s="77" t="inlineStr">
        <is>
          <t>Level 3 Computing module in which student teams plan and execute a software development project proposed by an industry client, using agile methods; assessed by group portfolio, final presentation and peer review.</t>
        </is>
      </c>
      <c r="K502" s="77" t="inlineStr">
        <is>
          <t>School of Science and Engineering (Computing)</t>
        </is>
      </c>
      <c r="L502" s="77" t="inlineStr">
        <is>
          <t>Available on six undergraduate Computer Science programmes (e.g. Computer Science; CS (UX and Design); CS (Data Science and AI))</t>
        </is>
      </c>
      <c r="M502" s="77" t="inlineStr">
        <is>
          <t>Engineering/computing</t>
        </is>
      </c>
      <c r="N502" s="77" t="inlineStr">
        <is>
          <t>Undergraduate</t>
        </is>
      </c>
      <c r="O502" s="77" t="inlineStr">
        <is>
          <t>Level 3</t>
        </is>
      </c>
      <c r="P502" s="77" t="inlineStr">
        <is>
          <t>Programme-listed</t>
        </is>
      </c>
      <c r="Q502" s="77" t="inlineStr">
        <is>
          <t>Unclear</t>
        </is>
      </c>
      <c r="R502" s="77" t="inlineStr">
        <is>
          <t>Curricular</t>
        </is>
      </c>
      <c r="S502" s="77" t="inlineStr">
        <is>
          <t>Module page (WebFetch): 40 credits, Semester 2; software development team project 60%, written exam 40%. A search summary said 20 credits; discrepancy unresolved.</t>
        </is>
      </c>
      <c r="T502" s="77" t="inlineStr">
        <is>
          <t>Semester 2; team client work in final three weeks</t>
        </is>
      </c>
      <c r="U502" s="77" t="inlineStr">
        <is>
          <t>Agile team project</t>
        </is>
      </c>
      <c r="V502" s="77" t="inlineStr">
        <is>
          <t>Yes</t>
        </is>
      </c>
      <c r="W502" s="77" t="inlineStr">
        <is>
          <t>'Plan and execute a software development project for a client using agile methods' [1].</t>
        </is>
      </c>
      <c r="X502" s="77" t="inlineStr">
        <is>
          <t>Yes</t>
        </is>
      </c>
      <c r="Y502" s="77" t="inlineStr">
        <is>
          <t>Teams develop a software system; group portfolio and peer reviews [1].</t>
        </is>
      </c>
      <c r="Z502" s="77" t="inlineStr">
        <is>
          <t>Yes</t>
        </is>
      </c>
      <c r="AA502" s="77" t="inlineStr">
        <is>
          <t>Project is proposed by a client from industry and the system is developed 'for an industrial client' [1].</t>
        </is>
      </c>
      <c r="AB502" s="77" t="inlineStr">
        <is>
          <t>Business/commercial</t>
        </is>
      </c>
      <c r="AC502" s="77" t="inlineStr">
        <is>
          <t>Client proposes project and is recipient of software</t>
        </is>
      </c>
      <c r="AD502" s="77" t="inlineStr"/>
      <c r="AE502" s="77" t="inlineStr">
        <is>
          <t>Software system, group portfolio, final presentation</t>
        </is>
      </c>
      <c r="AF502" s="77">
        <f>IF(OR(V502="No",X502="No",Z502="No"),"Outside strict definition",IF(AND(V502="Yes",X502="Yes",Z502="Yes"),"Meets all three","Potentially relevant; evidence incomplete"))</f>
        <v/>
      </c>
      <c r="AG502" s="77" t="inlineStr">
        <is>
          <t>Current status unclear</t>
        </is>
      </c>
      <c r="AH502" s="77" t="inlineStr">
        <is>
          <t>undated page</t>
        </is>
      </c>
      <c r="AI502" s="77" t="inlineStr">
        <is>
          <t>Yes</t>
        </is>
      </c>
      <c r="AJ502" s="77">
        <f>IF(AND(AI502="Yes",AF502="Meets all three",AG502="Current delivery confirmed"),"Yes","No")</f>
        <v/>
      </c>
      <c r="AK502" s="77" t="inlineStr"/>
      <c r="AL502" s="77" t="inlineStr">
        <is>
          <t>UK13-S01-R1</t>
        </is>
      </c>
      <c r="AM502" s="77" t="inlineStr">
        <is>
          <t>Page undated and no 2025/26 corroboration found, so current delivery unclear; whether compulsory on each programme not verified (search summary says listed as core, unverified); credit discrepancy (40 vs 20); client names not found.</t>
        </is>
      </c>
      <c r="AN502" s="77" t="inlineStr"/>
      <c r="AO502" s="77" t="inlineStr">
        <is>
          <t>UK</t>
        </is>
      </c>
      <c r="AP502" s="77" t="inlineStr">
        <is>
          <t>UK – additional</t>
        </is>
      </c>
      <c r="AQ502" s="77" t="inlineStr">
        <is>
          <t>~1 term/semester</t>
        </is>
      </c>
      <c r="AR502" s="77" t="inlineStr">
        <is>
          <t>All/standard</t>
        </is>
      </c>
      <c r="AS502" s="77" t="inlineStr"/>
    </row>
    <row r="503">
      <c r="A503" s="77" t="inlineStr">
        <is>
          <t>UK13</t>
        </is>
      </c>
      <c r="B503" s="77" t="inlineStr">
        <is>
          <t>Dundee</t>
        </is>
      </c>
      <c r="C503" s="77" t="inlineStr">
        <is>
          <t>Programme/course</t>
        </is>
      </c>
      <c r="D503" s="77" t="inlineStr">
        <is>
          <t>UK13-S02</t>
        </is>
      </c>
      <c r="E503" s="77" t="inlineStr"/>
      <c r="F503" s="77" t="inlineStr">
        <is>
          <t>No</t>
        </is>
      </c>
      <c r="G503" s="79" t="inlineStr">
        <is>
          <t>Engineering Design II (industrial group project)</t>
        </is>
      </c>
      <c r="H503" s="77" t="inlineStr">
        <is>
          <t>Engineering Design II</t>
        </is>
      </c>
      <c r="I503" s="77" t="inlineStr">
        <is>
          <t>ME32003</t>
        </is>
      </c>
      <c r="J503" s="77" t="inlineStr">
        <is>
          <t>Level 3 mechanical engineering module with a 10-week group problem-solving task: students visit a local engineering company for a brief, work directly with the industry partner to design or develop a product or process, and present the outputs.</t>
        </is>
      </c>
      <c r="K503" s="77" t="inlineStr">
        <is>
          <t>School of Science and Engineering (Mechanical Engineering)</t>
        </is>
      </c>
      <c r="L503" s="77" t="inlineStr">
        <is>
          <t>Programmes not listed on module page; mechanical engineering BEng programme page references the industrial visit project</t>
        </is>
      </c>
      <c r="M503" s="77" t="inlineStr">
        <is>
          <t>Engineering/computing</t>
        </is>
      </c>
      <c r="N503" s="77" t="inlineStr">
        <is>
          <t>Undergraduate</t>
        </is>
      </c>
      <c r="O503" s="77" t="inlineStr">
        <is>
          <t>Level 3</t>
        </is>
      </c>
      <c r="P503" s="77" t="inlineStr"/>
      <c r="Q503" s="77" t="inlineStr">
        <is>
          <t>Unclear</t>
        </is>
      </c>
      <c r="R503" s="77" t="inlineStr">
        <is>
          <t>Curricular</t>
        </is>
      </c>
      <c r="S503" s="77" t="inlineStr">
        <is>
          <t>15 credits, Semester 2; class test 40%; problem-solving industrial visit report and presentation 60%</t>
        </is>
      </c>
      <c r="T503" s="77" t="inlineStr">
        <is>
          <t>10-week group task within Semester 2</t>
        </is>
      </c>
      <c r="U503" s="77" t="inlineStr">
        <is>
          <t>Industrial group project with company visit</t>
        </is>
      </c>
      <c r="V503" s="77" t="inlineStr">
        <is>
          <t>Yes</t>
        </is>
      </c>
      <c r="W503" s="77" t="inlineStr">
        <is>
          <t>'Industrial group project, presenting the outputs'; design or develop a product or process [1].</t>
        </is>
      </c>
      <c r="X503" s="77" t="inlineStr">
        <is>
          <t>Yes</t>
        </is>
      </c>
      <c r="Y503" s="77" t="inlineStr">
        <is>
          <t>'a 10-week group problem-solving task' [1].</t>
        </is>
      </c>
      <c r="Z503" s="77" t="inlineStr">
        <is>
          <t>Yes</t>
        </is>
      </c>
      <c r="AA503" s="77" t="inlineStr">
        <is>
          <t>'You will work directly with a local industry partner to design or develop a product or process' [1]; search summary says students return to present to the company (not seen in fetched text).</t>
        </is>
      </c>
      <c r="AB503" s="77" t="inlineStr">
        <is>
          <t>Business/commercial</t>
        </is>
      </c>
      <c r="AC503" s="77" t="inlineStr">
        <is>
          <t>Local industry partner provides brief and works with students</t>
        </is>
      </c>
      <c r="AD503" s="77" t="inlineStr"/>
      <c r="AE503" s="77" t="inlineStr">
        <is>
          <t>Design/process proposal, report and presentation</t>
        </is>
      </c>
      <c r="AF503" s="77">
        <f>IF(OR(V503="No",X503="No",Z503="No"),"Outside strict definition",IF(AND(V503="Yes",X503="Yes",Z503="Yes"),"Meets all three","Potentially relevant; evidence incomplete"))</f>
        <v/>
      </c>
      <c r="AG503" s="77" t="inlineStr">
        <is>
          <t>Current status unclear</t>
        </is>
      </c>
      <c r="AH503" s="77" t="inlineStr">
        <is>
          <t>undated page</t>
        </is>
      </c>
      <c r="AI503" s="77" t="inlineStr">
        <is>
          <t>Yes</t>
        </is>
      </c>
      <c r="AJ503" s="77">
        <f>IF(AND(AI503="Yes",AF503="Meets all three",AG503="Current delivery confirmed"),"Yes","No")</f>
        <v/>
      </c>
      <c r="AK503" s="77" t="inlineStr"/>
      <c r="AL503" s="77" t="inlineStr">
        <is>
          <t>UK13-S02-R1</t>
        </is>
      </c>
      <c r="AM503" s="77" t="inlineStr">
        <is>
          <t>Undated; no 2025/26 corroboration; compulsory status and partner names unknown; partner presentation not confirmed from page text.</t>
        </is>
      </c>
      <c r="AN503" s="77" t="inlineStr"/>
      <c r="AO503" s="77" t="inlineStr">
        <is>
          <t>UK</t>
        </is>
      </c>
      <c r="AP503" s="77" t="inlineStr">
        <is>
          <t>UK – additional</t>
        </is>
      </c>
      <c r="AQ503" s="77" t="inlineStr">
        <is>
          <t>~1 term/semester</t>
        </is>
      </c>
      <c r="AR503" s="77" t="inlineStr">
        <is>
          <t>Unclear</t>
        </is>
      </c>
      <c r="AS503" s="77" t="inlineStr"/>
    </row>
    <row r="504">
      <c r="A504" s="77" t="inlineStr">
        <is>
          <t>UK13</t>
        </is>
      </c>
      <c r="B504" s="77" t="inlineStr">
        <is>
          <t>Dundee</t>
        </is>
      </c>
      <c r="C504" s="77" t="inlineStr">
        <is>
          <t>Programme/course</t>
        </is>
      </c>
      <c r="D504" s="77" t="inlineStr">
        <is>
          <t>UK13-S03</t>
        </is>
      </c>
      <c r="E504" s="77" t="inlineStr"/>
      <c r="F504" s="77" t="inlineStr">
        <is>
          <t>No</t>
        </is>
      </c>
      <c r="G504" s="79" t="inlineStr">
        <is>
          <t>Going Live</t>
        </is>
      </c>
      <c r="H504" s="77" t="inlineStr">
        <is>
          <t>Going Live (animation live brief)</t>
        </is>
      </c>
      <c r="I504" s="77" t="inlineStr">
        <is>
          <t>DJ52027</t>
        </is>
      </c>
      <c r="J504" s="77" t="inlineStr">
        <is>
          <t>Level 5 Duncan of Jordanstone module in which students work collaboratively with an industry client to deliver a live animation brief, with production meetings and industry adviser input.</t>
        </is>
      </c>
      <c r="K504" s="77" t="inlineStr">
        <is>
          <t>Duncan of Jordanstone College of Art &amp; Design</t>
        </is>
      </c>
      <c r="L504" s="77" t="inlineStr">
        <is>
          <t>Art and Design courses incl. Communication Design MDes and Animation &amp; VFX MSc</t>
        </is>
      </c>
      <c r="M504" s="77" t="inlineStr">
        <is>
          <t>Arts/humanities/social sciences; Other (law, health, design, architecture…)</t>
        </is>
      </c>
      <c r="N504" s="77" t="inlineStr">
        <is>
          <t>Postgraduate taught</t>
        </is>
      </c>
      <c r="O504" s="77" t="inlineStr">
        <is>
          <t>Level 5</t>
        </is>
      </c>
      <c r="P504" s="77" t="inlineStr"/>
      <c r="Q504" s="77" t="inlineStr">
        <is>
          <t>Unclear</t>
        </is>
      </c>
      <c r="R504" s="77" t="inlineStr">
        <is>
          <t>Curricular</t>
        </is>
      </c>
      <c r="S504" s="77" t="inlineStr">
        <is>
          <t>20 credits, Semester 2; coursework 100%</t>
        </is>
      </c>
      <c r="T504" s="77" t="inlineStr">
        <is>
          <t>Semester 2</t>
        </is>
      </c>
      <c r="U504" s="77" t="inlineStr">
        <is>
          <t>Studio production with group tutorials</t>
        </is>
      </c>
      <c r="V504" s="77" t="inlineStr">
        <is>
          <t>Yes</t>
        </is>
      </c>
      <c r="W504" s="77" t="inlineStr">
        <is>
          <t>'work with an industry client to deliver a live brief' [1].</t>
        </is>
      </c>
      <c r="X504" s="77" t="inlineStr">
        <is>
          <t>Yes</t>
        </is>
      </c>
      <c r="Y504" s="77" t="inlineStr">
        <is>
          <t>'Working collaboratively'; group tutorials and production meetings [1]. Whether a single joint output is produced is not stated.</t>
        </is>
      </c>
      <c r="Z504" s="77" t="inlineStr">
        <is>
          <t>Yes</t>
        </is>
      </c>
      <c r="AA504" s="77" t="inlineStr">
        <is>
          <t>'The project brief is provided by an industry partner'; input from industry advisers [1].</t>
        </is>
      </c>
      <c r="AB504" s="77" t="inlineStr">
        <is>
          <t>Business/commercial</t>
        </is>
      </c>
      <c r="AC504" s="77" t="inlineStr">
        <is>
          <t>Industry partner provides live brief</t>
        </is>
      </c>
      <c r="AD504" s="77" t="inlineStr"/>
      <c r="AE504" s="77" t="inlineStr">
        <is>
          <t>Animation production (form not specified)</t>
        </is>
      </c>
      <c r="AF504" s="77">
        <f>IF(OR(V504="No",X504="No",Z504="No"),"Outside strict definition",IF(AND(V504="Yes",X504="Yes",Z504="Yes"),"Meets all three","Potentially relevant; evidence incomplete"))</f>
        <v/>
      </c>
      <c r="AG504" s="77" t="inlineStr">
        <is>
          <t>Current status unclear</t>
        </is>
      </c>
      <c r="AH504" s="77" t="inlineStr">
        <is>
          <t>undated page</t>
        </is>
      </c>
      <c r="AI504" s="77" t="inlineStr">
        <is>
          <t>Yes</t>
        </is>
      </c>
      <c r="AJ504" s="77">
        <f>IF(AND(AI504="Yes",AF504="Meets all three",AG504="Current delivery confirmed"),"Yes","No")</f>
        <v/>
      </c>
      <c r="AK504" s="77" t="inlineStr"/>
      <c r="AL504" s="77" t="inlineStr">
        <is>
          <t>UK13-S03-R1; UK13-S03-R2</t>
        </is>
      </c>
      <c r="AM504" s="77" t="inlineStr">
        <is>
          <t>Undated; level labelled 5 with PG programmes listed; group deliverable and compulsory status unclear; partner names unknown.</t>
        </is>
      </c>
      <c r="AN504" s="77" t="inlineStr"/>
      <c r="AO504" s="77" t="inlineStr">
        <is>
          <t>UK</t>
        </is>
      </c>
      <c r="AP504" s="77" t="inlineStr">
        <is>
          <t>UK – additional</t>
        </is>
      </c>
      <c r="AQ504" s="77" t="inlineStr">
        <is>
          <t>~1 term/semester</t>
        </is>
      </c>
      <c r="AR504" s="77" t="inlineStr">
        <is>
          <t>Unclear</t>
        </is>
      </c>
      <c r="AS504" s="77" t="inlineStr"/>
    </row>
    <row r="505">
      <c r="A505" s="77" t="inlineStr">
        <is>
          <t>UK13</t>
        </is>
      </c>
      <c r="B505" s="77" t="inlineStr">
        <is>
          <t>Dundee</t>
        </is>
      </c>
      <c r="C505" s="77" t="inlineStr">
        <is>
          <t>Programme/course</t>
        </is>
      </c>
      <c r="D505" s="77" t="inlineStr">
        <is>
          <t>UK13-S04</t>
        </is>
      </c>
      <c r="E505" s="77" t="inlineStr"/>
      <c r="F505" s="77" t="inlineStr">
        <is>
          <t>No</t>
        </is>
      </c>
      <c r="G505" s="79" t="inlineStr">
        <is>
          <t>Marketing Research Project</t>
        </is>
      </c>
      <c r="H505" s="77" t="inlineStr">
        <is>
          <t>Marketing Research Project</t>
        </is>
      </c>
      <c r="I505" s="77" t="inlineStr">
        <is>
          <t>BU40025</t>
        </is>
      </c>
      <c r="J505" s="77" t="inlineStr">
        <is>
          <t>Level 4 15-credit module in which small consulting teams carry out a market research project (proposal, questionnaire, final presentation) for an assigned client that is either a University department or an external stakeholder.</t>
        </is>
      </c>
      <c r="K505" s="77" t="inlineStr">
        <is>
          <t>Dundee Business School</t>
        </is>
      </c>
      <c r="L505" s="77" t="inlineStr">
        <is>
          <t>International Business with Marketing (MA/BSc); Business Economics with Marketing (MA/BSc)</t>
        </is>
      </c>
      <c r="M505" s="77" t="inlineStr">
        <is>
          <t>Business/management</t>
        </is>
      </c>
      <c r="N505" s="77" t="inlineStr">
        <is>
          <t>Undergraduate</t>
        </is>
      </c>
      <c r="O505" s="77" t="inlineStr">
        <is>
          <t>Level 4</t>
        </is>
      </c>
      <c r="P505" s="77" t="inlineStr">
        <is>
          <t>Marketing-named programmes</t>
        </is>
      </c>
      <c r="Q505" s="77" t="inlineStr">
        <is>
          <t>Unclear</t>
        </is>
      </c>
      <c r="R505" s="77" t="inlineStr">
        <is>
          <t>Curricular</t>
        </is>
      </c>
      <c r="S505" s="77" t="inlineStr">
        <is>
          <t>15 credits; Both Semesters; Research Proposal 20%, Questionnaire 20%, Final Presentation 60%; peer review for individual contribution</t>
        </is>
      </c>
      <c r="T505" s="77" t="inlineStr">
        <is>
          <t>Two semesters</t>
        </is>
      </c>
      <c r="U505" s="77" t="inlineStr">
        <is>
          <t>Team consulting project</t>
        </is>
      </c>
      <c r="V505" s="77" t="inlineStr">
        <is>
          <t>Yes</t>
        </is>
      </c>
      <c r="W505" s="77" t="inlineStr">
        <is>
          <t>'real-life market research, covering all stages of the research process' [1].</t>
        </is>
      </c>
      <c r="X505" s="77" t="inlineStr">
        <is>
          <t>Yes</t>
        </is>
      </c>
      <c r="Y505" s="77" t="inlineStr">
        <is>
          <t>'Coursework in this module is group-based'; fixed groups, peer review [1].</t>
        </is>
      </c>
      <c r="Z505" s="77" t="inlineStr">
        <is>
          <t>Unclear</t>
        </is>
      </c>
      <c r="AA505" s="77" t="inlineStr">
        <is>
          <t>Client is 'either a University department or an external stakeholder' [1]; the external share is not stated. Internal clients do not satisfy C.</t>
        </is>
      </c>
      <c r="AB505" s="77" t="inlineStr">
        <is>
          <t>Mixed</t>
        </is>
      </c>
      <c r="AC505" s="77" t="inlineStr">
        <is>
          <t>Assigned client receives marketing research insights</t>
        </is>
      </c>
      <c r="AD505" s="77" t="inlineStr"/>
      <c r="AE505" s="77" t="inlineStr">
        <is>
          <t>Research proposal, questionnaire, final presentation</t>
        </is>
      </c>
      <c r="AF505" s="77">
        <f>IF(OR(V505="No",X505="No",Z505="No"),"Outside strict definition",IF(AND(V505="Yes",X505="Yes",Z505="Yes"),"Meets all three","Potentially relevant; evidence incomplete"))</f>
        <v/>
      </c>
      <c r="AG505" s="77" t="inlineStr">
        <is>
          <t>Current status unclear</t>
        </is>
      </c>
      <c r="AH505" s="77" t="inlineStr">
        <is>
          <t>undated page</t>
        </is>
      </c>
      <c r="AI505" s="77" t="inlineStr">
        <is>
          <t>Yes</t>
        </is>
      </c>
      <c r="AJ505" s="77">
        <f>IF(AND(AI505="Yes",AF505="Meets all three",AG505="Current delivery confirmed"),"Yes","No")</f>
        <v/>
      </c>
      <c r="AK505" s="77" t="inlineStr"/>
      <c r="AL505" s="77" t="inlineStr">
        <is>
          <t>UK13-S04-R1</t>
        </is>
      </c>
      <c r="AM505" s="77" t="inlineStr">
        <is>
          <t>Proportion of external vs internal clients; compulsory status; undated page.</t>
        </is>
      </c>
      <c r="AN505" s="77" t="inlineStr"/>
      <c r="AO505" s="77" t="inlineStr">
        <is>
          <t>UK</t>
        </is>
      </c>
      <c r="AP505" s="77" t="inlineStr">
        <is>
          <t>UK – additional</t>
        </is>
      </c>
      <c r="AQ505" s="77" t="inlineStr">
        <is>
          <t>&gt;1 term</t>
        </is>
      </c>
      <c r="AR505" s="77" t="inlineStr">
        <is>
          <t>Some projects</t>
        </is>
      </c>
      <c r="AS505" s="77" t="inlineStr"/>
    </row>
    <row r="506">
      <c r="A506" s="77" t="inlineStr">
        <is>
          <t>UK13</t>
        </is>
      </c>
      <c r="B506" s="77" t="inlineStr">
        <is>
          <t>Dundee</t>
        </is>
      </c>
      <c r="C506" s="77" t="inlineStr">
        <is>
          <t>Unclear</t>
        </is>
      </c>
      <c r="D506" s="77" t="inlineStr">
        <is>
          <t>UK13-S05</t>
        </is>
      </c>
      <c r="E506" s="77" t="inlineStr"/>
      <c r="F506" s="77" t="inlineStr">
        <is>
          <t>No</t>
        </is>
      </c>
      <c r="G506" s="79" t="inlineStr">
        <is>
          <t>MSc employer live projects (Employer Team offer)</t>
        </is>
      </c>
      <c r="H506" s="77" t="inlineStr">
        <is>
          <t>MSc live employer projects</t>
        </is>
      </c>
      <c r="I506" s="77" t="inlineStr"/>
      <c r="J506" s="77" t="inlineStr">
        <is>
          <t>Employer-facing offer: MSc students are tasked with an employer's project, issue or question, as a team of up to five who report individually; timeline agreed, on-site visits arranged, academic support for students and company.</t>
        </is>
      </c>
      <c r="K506" s="77" t="inlineStr">
        <is>
          <t>Careers Service Employer Team / School of Business (linked page)</t>
        </is>
      </c>
      <c r="L506" s="77" t="inlineStr">
        <is>
          <t>MSc students; programmes not identified</t>
        </is>
      </c>
      <c r="M506" s="77" t="inlineStr">
        <is>
          <t>Central provision; Business/management</t>
        </is>
      </c>
      <c r="N506" s="77" t="inlineStr">
        <is>
          <t>Postgraduate taught</t>
        </is>
      </c>
      <c r="O506" s="77" t="inlineStr"/>
      <c r="P506" s="77" t="inlineStr"/>
      <c r="Q506" s="77" t="inlineStr">
        <is>
          <t>Unclear</t>
        </is>
      </c>
      <c r="R506" s="77" t="inlineStr">
        <is>
          <t>Unclear</t>
        </is>
      </c>
      <c r="S506" s="77" t="inlineStr">
        <is>
          <t>Not stated (School of Business page says some use projects as their MSc project)</t>
        </is>
      </c>
      <c r="T506" s="77" t="inlineStr">
        <is>
          <t>Not stated</t>
        </is>
      </c>
      <c r="U506" s="77" t="inlineStr">
        <is>
          <t>Team live project, individual reporting</t>
        </is>
      </c>
      <c r="V506" s="77" t="inlineStr">
        <is>
          <t>Yes</t>
        </is>
      </c>
      <c r="W506" s="77" t="inlineStr">
        <is>
          <t>Employer's project/issue/question tackled by students [1].</t>
        </is>
      </c>
      <c r="X506" s="77" t="inlineStr">
        <is>
          <t>Unclear</t>
        </is>
      </c>
      <c r="Y506" s="77" t="inlineStr">
        <is>
          <t>'a team effort with up to five students... together as a group, although reporting individually' [1]: joint work but individual outputs; not clearly a joint output.</t>
        </is>
      </c>
      <c r="Z506" s="77" t="inlineStr">
        <is>
          <t>Yes</t>
        </is>
      </c>
      <c r="AA506" s="77" t="inlineStr">
        <is>
          <t>Employer supplies the project; on-site visits [1].</t>
        </is>
      </c>
      <c r="AB506" s="77" t="inlineStr">
        <is>
          <t>Business/commercial</t>
        </is>
      </c>
      <c r="AC506" s="77" t="inlineStr">
        <is>
          <t>Employer supplies project</t>
        </is>
      </c>
      <c r="AD506" s="77" t="inlineStr"/>
      <c r="AE506" s="77" t="inlineStr">
        <is>
          <t>Individual reports</t>
        </is>
      </c>
      <c r="AF506" s="77">
        <f>IF(OR(V506="No",X506="No",Z506="No"),"Outside strict definition",IF(AND(V506="Yes",X506="Yes",Z506="Yes"),"Meets all three","Potentially relevant; evidence incomplete"))</f>
        <v/>
      </c>
      <c r="AG506" s="77" t="inlineStr">
        <is>
          <t>Current status unclear</t>
        </is>
      </c>
      <c r="AH506" s="77" t="inlineStr">
        <is>
          <t>undated page</t>
        </is>
      </c>
      <c r="AI506" s="77" t="inlineStr">
        <is>
          <t>Yes</t>
        </is>
      </c>
      <c r="AJ506" s="77">
        <f>IF(AND(AI506="Yes",AF506="Meets all three",AG506="Current delivery confirmed"),"Yes","No")</f>
        <v/>
      </c>
      <c r="AK506" s="77" t="inlineStr"/>
      <c r="AL506" s="77" t="inlineStr">
        <is>
          <t>UK13-S05-R1; UK13-S05-R2</t>
        </is>
      </c>
      <c r="AM506" s="77" t="inlineStr">
        <is>
          <t>Which MSc programmes/modules; whether delivered currently; employer-facing marketing text, no cohort evidence. School of Business page says 'Many of our postgraduate students have spent short periods working with local companies on real-life projects' (undated).</t>
        </is>
      </c>
      <c r="AN506" s="77" t="inlineStr"/>
      <c r="AO506" s="77" t="inlineStr">
        <is>
          <t>UK</t>
        </is>
      </c>
      <c r="AP506" s="77" t="inlineStr">
        <is>
          <t>UK – additional</t>
        </is>
      </c>
      <c r="AQ506" s="77" t="inlineStr">
        <is>
          <t>Unclear</t>
        </is>
      </c>
      <c r="AR506" s="77" t="inlineStr">
        <is>
          <t>Unclear</t>
        </is>
      </c>
      <c r="AS506" s="77" t="inlineStr"/>
    </row>
    <row r="507">
      <c r="A507" s="77" t="inlineStr">
        <is>
          <t>UK13</t>
        </is>
      </c>
      <c r="B507" s="77" t="inlineStr">
        <is>
          <t>Dundee</t>
        </is>
      </c>
      <c r="C507" s="77" t="inlineStr">
        <is>
          <t>Programme/course</t>
        </is>
      </c>
      <c r="D507" s="77" t="inlineStr">
        <is>
          <t>UK13-S06</t>
        </is>
      </c>
      <c r="E507" s="77" t="inlineStr"/>
      <c r="F507" s="77" t="inlineStr">
        <is>
          <t>No</t>
        </is>
      </c>
      <c r="G507" s="79" t="inlineStr">
        <is>
          <t>Research Through Design</t>
        </is>
      </c>
      <c r="H507" s="77" t="inlineStr">
        <is>
          <t>Research Through Design</t>
        </is>
      </c>
      <c r="I507" s="77" t="inlineStr">
        <is>
          <t>DJ53010</t>
        </is>
      </c>
      <c r="J507" s="77" t="inlineStr">
        <is>
          <t>Level 5, 40-credit Semester 2 module (Duncan of Jordanstone) where students work as a team alongside leading researchers to address a brief set by an external problem holder.</t>
        </is>
      </c>
      <c r="K507" s="77" t="inlineStr">
        <is>
          <t>Duncan of Jordanstone College of Art &amp; Design (Faculty of Arts and Social Sciences)</t>
        </is>
      </c>
      <c r="L507" s="77" t="inlineStr">
        <is>
          <t>Not listed on page</t>
        </is>
      </c>
      <c r="M507" s="77" t="inlineStr">
        <is>
          <t>Arts/humanities/social sciences; Other (law, health, design, architecture…)</t>
        </is>
      </c>
      <c r="N507" s="77" t="inlineStr">
        <is>
          <t>Postgraduate taught</t>
        </is>
      </c>
      <c r="O507" s="77" t="inlineStr">
        <is>
          <t>Level 5</t>
        </is>
      </c>
      <c r="P507" s="77" t="inlineStr"/>
      <c r="Q507" s="77" t="inlineStr">
        <is>
          <t>Unclear</t>
        </is>
      </c>
      <c r="R507" s="77" t="inlineStr">
        <is>
          <t>Curricular</t>
        </is>
      </c>
      <c r="S507" s="77" t="inlineStr">
        <is>
          <t>40 credits, Semester 2; assessment not listed</t>
        </is>
      </c>
      <c r="T507" s="77" t="inlineStr">
        <is>
          <t>Semester 2</t>
        </is>
      </c>
      <c r="U507" s="77" t="inlineStr">
        <is>
          <t>Team design research</t>
        </is>
      </c>
      <c r="V507" s="77" t="inlineStr">
        <is>
          <t>Yes</t>
        </is>
      </c>
      <c r="W507" s="77" t="inlineStr">
        <is>
          <t>Students address 'a specific brief set by an external problem holder' [1].</t>
        </is>
      </c>
      <c r="X507" s="77" t="inlineStr">
        <is>
          <t>Yes</t>
        </is>
      </c>
      <c r="Y507" s="77" t="inlineStr">
        <is>
          <t>'students will work as a team' [1].</t>
        </is>
      </c>
      <c r="Z507" s="77" t="inlineStr">
        <is>
          <t>Unclear</t>
        </is>
      </c>
      <c r="AA507" s="77" t="inlineStr">
        <is>
          <t>'external problem holder' sets the brief but sector, role in feedback and who counts as external are not stated [1].</t>
        </is>
      </c>
      <c r="AB507" s="77" t="inlineStr">
        <is>
          <t>Unclear</t>
        </is>
      </c>
      <c r="AC507" s="77" t="inlineStr">
        <is>
          <t>External problem holder sets brief</t>
        </is>
      </c>
      <c r="AD507" s="77" t="inlineStr"/>
      <c r="AE507" s="77" t="inlineStr">
        <is>
          <t>Not stated</t>
        </is>
      </c>
      <c r="AF507" s="77">
        <f>IF(OR(V507="No",X507="No",Z507="No"),"Outside strict definition",IF(AND(V507="Yes",X507="Yes",Z507="Yes"),"Meets all three","Potentially relevant; evidence incomplete"))</f>
        <v/>
      </c>
      <c r="AG507" s="77" t="inlineStr">
        <is>
          <t>Current status unclear</t>
        </is>
      </c>
      <c r="AH507" s="77" t="inlineStr">
        <is>
          <t>undated page</t>
        </is>
      </c>
      <c r="AI507" s="77" t="inlineStr">
        <is>
          <t>Yes</t>
        </is>
      </c>
      <c r="AJ507" s="77">
        <f>IF(AND(AI507="Yes",AF507="Meets all three",AG507="Current delivery confirmed"),"Yes","No")</f>
        <v/>
      </c>
      <c r="AK507" s="77" t="inlineStr"/>
      <c r="AL507" s="77" t="inlineStr">
        <is>
          <t>UK13-S06-R1</t>
        </is>
      </c>
      <c r="AM507" s="77" t="inlineStr">
        <is>
          <t>Partner type and involvement; programmes; delivery year.</t>
        </is>
      </c>
      <c r="AN507" s="77" t="inlineStr"/>
      <c r="AO507" s="77" t="inlineStr">
        <is>
          <t>UK</t>
        </is>
      </c>
      <c r="AP507" s="77" t="inlineStr">
        <is>
          <t>UK – additional</t>
        </is>
      </c>
      <c r="AQ507" s="77" t="inlineStr">
        <is>
          <t>~1 term/semester</t>
        </is>
      </c>
      <c r="AR507" s="77" t="inlineStr">
        <is>
          <t>Unclear</t>
        </is>
      </c>
      <c r="AS507" s="77" t="inlineStr"/>
    </row>
    <row r="508">
      <c r="A508" s="77" t="inlineStr">
        <is>
          <t>UK14</t>
        </is>
      </c>
      <c r="B508" s="77" t="inlineStr">
        <is>
          <t>Swansea</t>
        </is>
      </c>
      <c r="C508" s="77" t="inlineStr">
        <is>
          <t>Programme/course</t>
        </is>
      </c>
      <c r="D508" s="77" t="inlineStr">
        <is>
          <t>UK14-S01</t>
        </is>
      </c>
      <c r="E508" s="77" t="inlineStr"/>
      <c r="F508" s="77" t="inlineStr">
        <is>
          <t>No</t>
        </is>
      </c>
      <c r="G508" s="79" t="inlineStr">
        <is>
          <t>Civil Engineering MEng Level 7 group design exercise</t>
        </is>
      </c>
      <c r="H508" s="77" t="inlineStr">
        <is>
          <t>Civil Engineering MEng Level 7 group design exercise</t>
        </is>
      </c>
      <c r="I508" s="77" t="inlineStr">
        <is>
          <t>Probably EG-M360 / EG-M390 Integrated Industrial Project - Preliminary / Technical Design (20 credits each); link to the 'year-long group design exercise' inferred from titles, not stated</t>
        </is>
      </c>
      <c r="J508" s="77" t="inlineStr">
        <is>
          <t>In the MEng (Level 7) year, Civil Engineering students take a year-long group design exercise that replicates the work of practising civil engineers. They choose from full design projects currently being carried out in industry, and an alumnus describes working with industry professionals during the group project.</t>
        </is>
      </c>
      <c r="K508" s="77" t="inlineStr">
        <is>
          <t>Faculty of Science and Engineering (Civil Engineering)</t>
        </is>
      </c>
      <c r="L508" s="77" t="inlineStr">
        <is>
          <t>MEng Civil Engineering</t>
        </is>
      </c>
      <c r="M508" s="77" t="inlineStr">
        <is>
          <t>Engineering/computing</t>
        </is>
      </c>
      <c r="N508" s="77" t="inlineStr">
        <is>
          <t>Undergraduate</t>
        </is>
      </c>
      <c r="O508" s="77" t="inlineStr">
        <is>
          <t>Level 7 (MEng final year)</t>
        </is>
      </c>
      <c r="P508" s="77" t="inlineStr">
        <is>
          <t>MEng Civil Engineering students</t>
        </is>
      </c>
      <c r="Q508" s="77" t="inlineStr">
        <is>
          <t>Unclear</t>
        </is>
      </c>
      <c r="R508" s="77" t="inlineStr">
        <is>
          <t>Curricular</t>
        </is>
      </c>
      <c r="S508" s="77" t="inlineStr">
        <is>
          <t>Level 7 modules EG-M360 and EG-M390 (20 credits each) are the likely vehicle; not confirmed</t>
        </is>
      </c>
      <c r="T508" s="77" t="inlineStr">
        <is>
          <t>Year-long</t>
        </is>
      </c>
      <c r="U508" s="77" t="inlineStr">
        <is>
          <t>In person (assumed; not evidenced)</t>
        </is>
      </c>
      <c r="V508" s="77" t="inlineStr">
        <is>
          <t>Yes</t>
        </is>
      </c>
      <c r="W508" s="77" t="inlineStr">
        <is>
          <t>Full design projects with a year-long group design exercise [1].</t>
        </is>
      </c>
      <c r="X508" s="77" t="inlineStr">
        <is>
          <t>Yes</t>
        </is>
      </c>
      <c r="Y508" s="77" t="inlineStr">
        <is>
          <t>Described as a 'year-long group design exercise' and, by an alumnus, as 'the group project during my MEng year' [1].</t>
        </is>
      </c>
      <c r="Z508" s="77" t="inlineStr">
        <is>
          <t>Yes</t>
        </is>
      </c>
      <c r="AA508" s="77" t="inlineStr">
        <is>
          <t>Projects are 'full design projects currently being carried out in industry' (industry supplies the live design problem), and an alumnus reports 'the opportunity to work with industry professionals' [1]. Whether firms assess the work or receive outputs is not stated.</t>
        </is>
      </c>
      <c r="AB508" s="77" t="inlineStr">
        <is>
          <t>Business/commercial</t>
        </is>
      </c>
      <c r="AC508" s="77" t="inlineStr">
        <is>
          <t>Industry supplies live design projects; industry professionals engage with student groups (exact role not specified)</t>
        </is>
      </c>
      <c r="AD508" s="77" t="inlineStr"/>
      <c r="AE508" s="77" t="inlineStr">
        <is>
          <t>Group engineering design (exact outputs not stated)</t>
        </is>
      </c>
      <c r="AF508" s="77">
        <f>IF(OR(V508="No",X508="No",Z508="No"),"Outside strict definition",IF(AND(V508="Yes",X508="Yes",Z508="Yes"),"Meets all three","Potentially relevant; evidence incomplete"))</f>
        <v/>
      </c>
      <c r="AG508" s="77" t="inlineStr">
        <is>
          <t>Current delivery confirmed</t>
        </is>
      </c>
      <c r="AH508" s="77" t="inlineStr">
        <is>
          <t>2026/27</t>
        </is>
      </c>
      <c r="AI508" s="77" t="inlineStr">
        <is>
          <t>Yes</t>
        </is>
      </c>
      <c r="AJ508" s="77">
        <f>IF(AND(AI508="Yes",AF508="Meets all three",AG508="Current delivery confirmed"),"Yes","No")</f>
        <v/>
      </c>
      <c r="AK508" s="77" t="inlineStr"/>
      <c r="AL508" s="77" t="inlineStr">
        <is>
          <t>UK14-S01-R1; UK14-S01-R2</t>
        </is>
      </c>
      <c r="AM508" s="77" t="inlineStr">
        <is>
          <t>Module mapping to the group exercise is inferred. Assessment role of firms, named partners and whether firms receive outputs are not stated. 'You can select from' wording means external projects are an option set but the page presents them as the exercise's basis.</t>
        </is>
      </c>
      <c r="AN508" s="77" t="inlineStr"/>
      <c r="AO508" s="77" t="inlineStr">
        <is>
          <t>UK</t>
        </is>
      </c>
      <c r="AP508" s="77" t="inlineStr">
        <is>
          <t>UK – additional</t>
        </is>
      </c>
      <c r="AQ508" s="77" t="inlineStr">
        <is>
          <t>&gt;1 term</t>
        </is>
      </c>
      <c r="AR508" s="77" t="inlineStr">
        <is>
          <t>All/standard</t>
        </is>
      </c>
      <c r="AS508" s="77" t="inlineStr"/>
    </row>
    <row r="509">
      <c r="A509" s="77" t="inlineStr">
        <is>
          <t>UK14</t>
        </is>
      </c>
      <c r="B509" s="77" t="inlineStr">
        <is>
          <t>Swansea</t>
        </is>
      </c>
      <c r="C509" s="77" t="inlineStr">
        <is>
          <t>Programme/course</t>
        </is>
      </c>
      <c r="D509" s="77" t="inlineStr">
        <is>
          <t>UK14-S02</t>
        </is>
      </c>
      <c r="E509" s="77" t="inlineStr"/>
      <c r="F509" s="77" t="inlineStr">
        <is>
          <t>No</t>
        </is>
      </c>
      <c r="G509" s="79" t="inlineStr">
        <is>
          <t>Civil Engineering BEng Level 6 design project</t>
        </is>
      </c>
      <c r="H509" s="77" t="inlineStr">
        <is>
          <t>Civil Engineering BEng Level 6 design project</t>
        </is>
      </c>
      <c r="I509" s="77" t="inlineStr">
        <is>
          <t>Possibly EG-3087 Civil Engineering Design Practice &amp; Management (30 credits); Individual Engineering Project is EG-353</t>
        </is>
      </c>
      <c r="J509" s="77" t="inlineStr">
        <is>
          <t>In the Level 6 (final BEng) year, a design project brings together the student's knowledge on a task set by engineers currently working in industry. It runs alongside an individual project. The sources do not say whether the design project is done in groups.</t>
        </is>
      </c>
      <c r="K509" s="77" t="inlineStr">
        <is>
          <t>Faculty of Science and Engineering (Civil Engineering)</t>
        </is>
      </c>
      <c r="L509" s="77" t="inlineStr">
        <is>
          <t>BEng Civil Engineering</t>
        </is>
      </c>
      <c r="M509" s="77" t="inlineStr">
        <is>
          <t>Engineering/computing</t>
        </is>
      </c>
      <c r="N509" s="77" t="inlineStr">
        <is>
          <t>Undergraduate</t>
        </is>
      </c>
      <c r="O509" s="77" t="inlineStr">
        <is>
          <t>Level 6</t>
        </is>
      </c>
      <c r="P509" s="77" t="inlineStr">
        <is>
          <t>Civil Engineering BEng students</t>
        </is>
      </c>
      <c r="Q509" s="77" t="inlineStr">
        <is>
          <t>Unclear</t>
        </is>
      </c>
      <c r="R509" s="77" t="inlineStr">
        <is>
          <t>Curricular</t>
        </is>
      </c>
      <c r="S509" s="77" t="inlineStr">
        <is>
          <t>Not found</t>
        </is>
      </c>
      <c r="T509" s="77" t="inlineStr">
        <is>
          <t>Not stated</t>
        </is>
      </c>
      <c r="U509" s="77" t="inlineStr"/>
      <c r="V509" s="77" t="inlineStr">
        <is>
          <t>Yes</t>
        </is>
      </c>
      <c r="W509" s="77" t="inlineStr">
        <is>
          <t>A design project with a task set by industry engineers [1].</t>
        </is>
      </c>
      <c r="X509" s="77" t="inlineStr">
        <is>
          <t>Unclear</t>
        </is>
      </c>
      <c r="Y509" s="77" t="inlineStr">
        <is>
          <t>The extract does not say whether the design project is a group project. It is contrasted with 'an individual project', which suggests but does not establish group work [1].</t>
        </is>
      </c>
      <c r="Z509" s="77" t="inlineStr">
        <is>
          <t>Yes</t>
        </is>
      </c>
      <c r="AA509" s="77" t="inlineStr">
        <is>
          <t>The project brief is 'a task set by engineers currently working in industry' [1].</t>
        </is>
      </c>
      <c r="AB509" s="77" t="inlineStr">
        <is>
          <t>Business/commercial</t>
        </is>
      </c>
      <c r="AC509" s="77" t="inlineStr">
        <is>
          <t>Industry engineers set the design task</t>
        </is>
      </c>
      <c r="AD509" s="77" t="inlineStr"/>
      <c r="AE509" s="77" t="inlineStr">
        <is>
          <t>Engineering design (not specified)</t>
        </is>
      </c>
      <c r="AF509" s="77">
        <f>IF(OR(V509="No",X509="No",Z509="No"),"Outside strict definition",IF(AND(V509="Yes",X509="Yes",Z509="Yes"),"Meets all three","Potentially relevant; evidence incomplete"))</f>
        <v/>
      </c>
      <c r="AG509" s="77" t="inlineStr">
        <is>
          <t>Current delivery confirmed</t>
        </is>
      </c>
      <c r="AH509" s="77" t="inlineStr">
        <is>
          <t>2026/27</t>
        </is>
      </c>
      <c r="AI509" s="77" t="inlineStr">
        <is>
          <t>Yes</t>
        </is>
      </c>
      <c r="AJ509" s="77">
        <f>IF(AND(AI509="Yes",AF509="Meets all three",AG509="Current delivery confirmed"),"Yes","No")</f>
        <v/>
      </c>
      <c r="AK509" s="77" t="inlineStr"/>
      <c r="AL509" s="77" t="inlineStr">
        <is>
          <t>UK14-S02-R1</t>
        </is>
      </c>
      <c r="AM509" s="77" t="inlineStr">
        <is>
          <t>Group working not established; module mapping uncertain.</t>
        </is>
      </c>
      <c r="AN509" s="77" t="inlineStr"/>
      <c r="AO509" s="77" t="inlineStr">
        <is>
          <t>UK</t>
        </is>
      </c>
      <c r="AP509" s="77" t="inlineStr">
        <is>
          <t>UK – additional</t>
        </is>
      </c>
      <c r="AQ509" s="77" t="inlineStr">
        <is>
          <t>Unclear</t>
        </is>
      </c>
      <c r="AR509" s="77" t="inlineStr">
        <is>
          <t>All/standard</t>
        </is>
      </c>
      <c r="AS509" s="77" t="inlineStr"/>
    </row>
    <row r="510">
      <c r="A510" s="77" t="inlineStr">
        <is>
          <t>UK14</t>
        </is>
      </c>
      <c r="B510" s="77" t="inlineStr">
        <is>
          <t>Swansea</t>
        </is>
      </c>
      <c r="C510" s="77" t="inlineStr">
        <is>
          <t>Programme/course</t>
        </is>
      </c>
      <c r="D510" s="77" t="inlineStr">
        <is>
          <t>UK14-S03</t>
        </is>
      </c>
      <c r="E510" s="77" t="inlineStr"/>
      <c r="F510" s="77" t="inlineStr">
        <is>
          <t>No</t>
        </is>
      </c>
      <c r="G510" s="79" t="inlineStr">
        <is>
          <t>Business Consultancy Project (BSc Economics and Business)</t>
        </is>
      </c>
      <c r="H510" s="77" t="inlineStr">
        <is>
          <t>Business Consultancy Project</t>
        </is>
      </c>
      <c r="I510" s="77" t="inlineStr"/>
      <c r="J510" s="77" t="inlineStr">
        <is>
          <t>A final-year Business Consultancy Project on the BSc Economics and Business, in which students 'apply [their] skills to a live client real-world challenge'. Group structure, credits and module code were not retrieved.</t>
        </is>
      </c>
      <c r="K510" s="77" t="inlineStr">
        <is>
          <t>Swansea University (Economics / School of Management; host not confirmed)</t>
        </is>
      </c>
      <c r="L510" s="77" t="inlineStr">
        <is>
          <t>BSc Economics and Business</t>
        </is>
      </c>
      <c r="M510" s="77" t="inlineStr">
        <is>
          <t>Business/management; Arts/humanities/social sciences</t>
        </is>
      </c>
      <c r="N510" s="77" t="inlineStr">
        <is>
          <t>Undergraduate</t>
        </is>
      </c>
      <c r="O510" s="77" t="inlineStr">
        <is>
          <t>Final year</t>
        </is>
      </c>
      <c r="P510" s="77" t="inlineStr"/>
      <c r="Q510" s="77" t="inlineStr">
        <is>
          <t>Unclear</t>
        </is>
      </c>
      <c r="R510" s="77" t="inlineStr">
        <is>
          <t>Curricular</t>
        </is>
      </c>
      <c r="S510" s="77" t="inlineStr"/>
      <c r="T510" s="77" t="inlineStr"/>
      <c r="U510" s="77" t="inlineStr"/>
      <c r="V510" s="77" t="inlineStr">
        <is>
          <t>Yes</t>
        </is>
      </c>
      <c r="W510" s="77" t="inlineStr">
        <is>
          <t>A consultancy project on a live client's real-world challenge [1].</t>
        </is>
      </c>
      <c r="X510" s="77" t="inlineStr">
        <is>
          <t>Unclear</t>
        </is>
      </c>
      <c r="Y510" s="77" t="inlineStr">
        <is>
          <t>No evidence on group or individual format [1].</t>
        </is>
      </c>
      <c r="Z510" s="77" t="inlineStr">
        <is>
          <t>Yes</t>
        </is>
      </c>
      <c r="AA510" s="77" t="inlineStr">
        <is>
          <t>Described as working on 'a live client real-world challenge' (the client supplies the problem) [1].</t>
        </is>
      </c>
      <c r="AB510" s="77" t="inlineStr">
        <is>
          <t>Unclear</t>
        </is>
      </c>
      <c r="AC510" s="77" t="inlineStr">
        <is>
          <t>Live client supplies a real-world challenge</t>
        </is>
      </c>
      <c r="AD510" s="77" t="inlineStr"/>
      <c r="AE510" s="77" t="inlineStr">
        <is>
          <t>Consultancy output (not specified)</t>
        </is>
      </c>
      <c r="AF510" s="77">
        <f>IF(OR(V510="No",X510="No",Z510="No"),"Outside strict definition",IF(AND(V510="Yes",X510="Yes",Z510="Yes"),"Meets all three","Potentially relevant; evidence incomplete"))</f>
        <v/>
      </c>
      <c r="AG510" s="77" t="inlineStr">
        <is>
          <t>Current status unclear</t>
        </is>
      </c>
      <c r="AH510" s="77" t="inlineStr"/>
      <c r="AI510" s="77" t="inlineStr">
        <is>
          <t>Yes</t>
        </is>
      </c>
      <c r="AJ510" s="77">
        <f>IF(AND(AI510="Yes",AF510="Meets all three",AG510="Current delivery confirmed"),"Yes","No")</f>
        <v/>
      </c>
      <c r="AK510" s="77" t="inlineStr"/>
      <c r="AL510" s="77" t="inlineStr">
        <is>
          <t>UK14-S03-R1</t>
        </is>
      </c>
      <c r="AM510" s="77" t="inlineStr">
        <is>
          <t>Group working, module code, credits and current delivery are unknown. The module table on the page did not list the module, so it may be optional. It may be shared with the School of Management's consultancy modules (see S4). Re-fetched: page mentions the project only once; no group/individual, code, credits or compulsory status, and it does not appear in the module tables (first 100k chars read).</t>
        </is>
      </c>
      <c r="AN510" s="77" t="inlineStr"/>
      <c r="AO510" s="77" t="inlineStr">
        <is>
          <t>UK</t>
        </is>
      </c>
      <c r="AP510" s="77" t="inlineStr">
        <is>
          <t>UK – additional</t>
        </is>
      </c>
      <c r="AQ510" s="77" t="inlineStr">
        <is>
          <t>Unclear</t>
        </is>
      </c>
      <c r="AR510" s="77" t="inlineStr">
        <is>
          <t>All/standard</t>
        </is>
      </c>
      <c r="AS510" s="77" t="inlineStr"/>
    </row>
    <row r="511">
      <c r="A511" s="77" t="inlineStr">
        <is>
          <t>UK14</t>
        </is>
      </c>
      <c r="B511" s="77" t="inlineStr">
        <is>
          <t>Swansea</t>
        </is>
      </c>
      <c r="C511" s="77" t="inlineStr">
        <is>
          <t>Programme/course</t>
        </is>
      </c>
      <c r="D511" s="77" t="inlineStr">
        <is>
          <t>UK14-S04</t>
        </is>
      </c>
      <c r="E511" s="77" t="inlineStr"/>
      <c r="F511" s="77" t="inlineStr">
        <is>
          <t>No</t>
        </is>
      </c>
      <c r="G511" s="79" t="inlineStr">
        <is>
          <t>Marketing consultancy project (BSc Marketing final-year pathway)</t>
        </is>
      </c>
      <c r="H511" s="77" t="inlineStr">
        <is>
          <t>Marketing consultancy project</t>
        </is>
      </c>
      <c r="I511" s="77" t="inlineStr"/>
      <c r="J511" s="77" t="inlineStr">
        <is>
          <t>Final-year BSc Marketing students can choose a marketing consultancy project instead of a traditional dissertation or a Welsh-medium dissertation. A Level 5 Management Consulting module (15 credits) is also listed as optional.</t>
        </is>
      </c>
      <c r="K511" s="77" t="inlineStr">
        <is>
          <t>School of Management</t>
        </is>
      </c>
      <c r="L511" s="77" t="inlineStr">
        <is>
          <t>BSc Marketing</t>
        </is>
      </c>
      <c r="M511" s="77" t="inlineStr">
        <is>
          <t>Business/management</t>
        </is>
      </c>
      <c r="N511" s="77" t="inlineStr">
        <is>
          <t>Undergraduate</t>
        </is>
      </c>
      <c r="O511" s="77" t="inlineStr">
        <is>
          <t>Final year</t>
        </is>
      </c>
      <c r="P511" s="77" t="inlineStr"/>
      <c r="Q511" s="77" t="inlineStr">
        <is>
          <t>Optional/elective</t>
        </is>
      </c>
      <c r="R511" s="77" t="inlineStr">
        <is>
          <t>Curricular</t>
        </is>
      </c>
      <c r="S511" s="77" t="inlineStr"/>
      <c r="T511" s="77" t="inlineStr"/>
      <c r="U511" s="77" t="inlineStr"/>
      <c r="V511" s="77" t="inlineStr">
        <is>
          <t>Yes</t>
        </is>
      </c>
      <c r="W511" s="77" t="inlineStr">
        <is>
          <t>Consultancy project offered as an alternative to the dissertation [1].</t>
        </is>
      </c>
      <c r="X511" s="77" t="inlineStr">
        <is>
          <t>Unclear</t>
        </is>
      </c>
      <c r="Y511" s="77" t="inlineStr">
        <is>
          <t>Not stated.</t>
        </is>
      </c>
      <c r="Z511" s="77" t="inlineStr">
        <is>
          <t>Unclear</t>
        </is>
      </c>
      <c r="AA511" s="77" t="inlineStr">
        <is>
          <t>The extract does not mention a client organisation [1].</t>
        </is>
      </c>
      <c r="AB511" s="77" t="inlineStr">
        <is>
          <t>Unclear</t>
        </is>
      </c>
      <c r="AC511" s="77" t="inlineStr"/>
      <c r="AD511" s="77" t="inlineStr"/>
      <c r="AE511" s="77" t="inlineStr"/>
      <c r="AF511" s="77">
        <f>IF(OR(V511="No",X511="No",Z511="No"),"Outside strict definition",IF(AND(V511="Yes",X511="Yes",Z511="Yes"),"Meets all three","Potentially relevant; evidence incomplete"))</f>
        <v/>
      </c>
      <c r="AG511" s="77" t="inlineStr">
        <is>
          <t>Current status unclear</t>
        </is>
      </c>
      <c r="AH511" s="77" t="inlineStr"/>
      <c r="AI511" s="77" t="inlineStr">
        <is>
          <t>Yes</t>
        </is>
      </c>
      <c r="AJ511" s="77">
        <f>IF(AND(AI511="Yes",AF511="Meets all three",AG511="Current delivery confirmed"),"Yes","No")</f>
        <v/>
      </c>
      <c r="AK511" s="77" t="inlineStr"/>
      <c r="AL511" s="77" t="inlineStr">
        <is>
          <t>UK14-S04-R1</t>
        </is>
      </c>
      <c r="AM511" s="77" t="inlineStr">
        <is>
          <t>Client involvement, group format and current status are not evidenced. This may be the same consultancy module as S3.</t>
        </is>
      </c>
      <c r="AN511" s="77" t="inlineStr"/>
      <c r="AO511" s="77" t="inlineStr">
        <is>
          <t>UK</t>
        </is>
      </c>
      <c r="AP511" s="77" t="inlineStr">
        <is>
          <t>UK – additional</t>
        </is>
      </c>
      <c r="AQ511" s="77" t="inlineStr">
        <is>
          <t>Unclear</t>
        </is>
      </c>
      <c r="AR511" s="77" t="inlineStr">
        <is>
          <t>Unclear</t>
        </is>
      </c>
      <c r="AS511" s="77" t="inlineStr"/>
    </row>
    <row r="512">
      <c r="A512" s="77" t="inlineStr">
        <is>
          <t>UK14</t>
        </is>
      </c>
      <c r="B512" s="77" t="inlineStr">
        <is>
          <t>Swansea</t>
        </is>
      </c>
      <c r="C512" s="77" t="inlineStr">
        <is>
          <t>Programme/course</t>
        </is>
      </c>
      <c r="D512" s="77" t="inlineStr">
        <is>
          <t>UK14-S05</t>
        </is>
      </c>
      <c r="E512" s="77" t="inlineStr"/>
      <c r="F512" s="77" t="inlineStr">
        <is>
          <t>No</t>
        </is>
      </c>
      <c r="G512" s="79" t="inlineStr">
        <is>
          <t>MSc Project Management live project collaborations</t>
        </is>
      </c>
      <c r="H512" s="77" t="inlineStr">
        <is>
          <t>MSc Project Management live project collaborations</t>
        </is>
      </c>
      <c r="I512" s="77" t="inlineStr"/>
      <c r="J512" s="77" t="inlineStr">
        <is>
          <t>The MSc Project Management page says students work as part of a project team, interact with organisations, and have live project collaborations and dissertation partnerships with organisations such as Tata Steel, Siemens and the NHS. No specific module was identified.</t>
        </is>
      </c>
      <c r="K512" s="77" t="inlineStr">
        <is>
          <t>School of Management</t>
        </is>
      </c>
      <c r="L512" s="77" t="inlineStr">
        <is>
          <t>MSc Project Management</t>
        </is>
      </c>
      <c r="M512" s="77" t="inlineStr">
        <is>
          <t>Business/management</t>
        </is>
      </c>
      <c r="N512" s="77" t="inlineStr">
        <is>
          <t>Postgraduate taught</t>
        </is>
      </c>
      <c r="O512" s="77" t="inlineStr"/>
      <c r="P512" s="77" t="inlineStr"/>
      <c r="Q512" s="77" t="inlineStr">
        <is>
          <t>Unclear</t>
        </is>
      </c>
      <c r="R512" s="77" t="inlineStr">
        <is>
          <t>Unclear</t>
        </is>
      </c>
      <c r="S512" s="77" t="inlineStr"/>
      <c r="T512" s="77" t="inlineStr"/>
      <c r="U512" s="77" t="inlineStr"/>
      <c r="V512" s="77" t="inlineStr">
        <is>
          <t>Unclear</t>
        </is>
      </c>
      <c r="W512" s="77" t="inlineStr">
        <is>
          <t>'Live project challenges' are mentioned but no defined project module is identified [1].</t>
        </is>
      </c>
      <c r="X512" s="77" t="inlineStr">
        <is>
          <t>Unclear</t>
        </is>
      </c>
      <c r="Y512" s="77" t="inlineStr">
        <is>
          <t>'Working as part of a project team', but it is not clear this team is the live-project route [1].</t>
        </is>
      </c>
      <c r="Z512" s="77" t="inlineStr">
        <is>
          <t>Unclear</t>
        </is>
      </c>
      <c r="AA512" s="77" t="inlineStr">
        <is>
          <t>Named organisations are linked to 'live project collaborations, and dissertation partnerships' without separating the two routes [1].</t>
        </is>
      </c>
      <c r="AB512" s="77" t="inlineStr">
        <is>
          <t>Mixed</t>
        </is>
      </c>
      <c r="AC512" s="77" t="inlineStr">
        <is>
          <t>Collaboration or dissertation partner (routes not separated)</t>
        </is>
      </c>
      <c r="AD512" s="77" t="inlineStr">
        <is>
          <t>Tata Steel, Siemens, NHS (undated course page)</t>
        </is>
      </c>
      <c r="AE512" s="77" t="inlineStr"/>
      <c r="AF512" s="77">
        <f>IF(OR(V512="No",X512="No",Z512="No"),"Outside strict definition",IF(AND(V512="Yes",X512="Yes",Z512="Yes"),"Meets all three","Potentially relevant; evidence incomplete"))</f>
        <v/>
      </c>
      <c r="AG512" s="77" t="inlineStr">
        <is>
          <t>Current delivery confirmed</t>
        </is>
      </c>
      <c r="AH512" s="77" t="inlineStr">
        <is>
          <t>2026/27 (module listing; Sept 2026 start)</t>
        </is>
      </c>
      <c r="AI512" s="77" t="inlineStr">
        <is>
          <t>Yes</t>
        </is>
      </c>
      <c r="AJ512" s="77">
        <f>IF(AND(AI512="Yes",AF512="Meets all three",AG512="Current delivery confirmed"),"Yes","No")</f>
        <v/>
      </c>
      <c r="AK512" s="77" t="inlineStr"/>
      <c r="AL512" s="77" t="inlineStr">
        <is>
          <t>UK14-S05-R1</t>
        </is>
      </c>
      <c r="AM512" s="77" t="inlineStr">
        <is>
          <t>The live project route is not separated from individual dissertation partnerships, and no module is identified. Course page shows 'Working as part of a project team, you will interact with organisations' and 'take on live project challenges'; the 60-credit Dissertation is the only partner-linked item named, so the live-project route remains unseparated; no module identified.</t>
        </is>
      </c>
      <c r="AN512" s="77" t="inlineStr"/>
      <c r="AO512" s="77" t="inlineStr">
        <is>
          <t>UK</t>
        </is>
      </c>
      <c r="AP512" s="77" t="inlineStr">
        <is>
          <t>UK – additional</t>
        </is>
      </c>
      <c r="AQ512" s="77" t="inlineStr">
        <is>
          <t>Unclear</t>
        </is>
      </c>
      <c r="AR512" s="77" t="inlineStr">
        <is>
          <t>Unclear</t>
        </is>
      </c>
      <c r="AS512" s="77" t="inlineStr"/>
    </row>
    <row r="513">
      <c r="A513" s="77" t="inlineStr">
        <is>
          <t>UK14</t>
        </is>
      </c>
      <c r="B513" s="77" t="inlineStr">
        <is>
          <t>Swansea</t>
        </is>
      </c>
      <c r="C513" s="77" t="inlineStr">
        <is>
          <t>University-wide</t>
        </is>
      </c>
      <c r="D513" s="77" t="inlineStr">
        <is>
          <t>UK14-S06</t>
        </is>
      </c>
      <c r="E513" s="77" t="inlineStr"/>
      <c r="F513" s="77" t="inlineStr">
        <is>
          <t>No</t>
        </is>
      </c>
      <c r="G513" s="79" t="inlineStr">
        <is>
          <t>Student Enterprise hackathon (Swansea City Football Club challenge)</t>
        </is>
      </c>
      <c r="H513" s="77" t="inlineStr">
        <is>
          <t>Student Enterprise hackathon</t>
        </is>
      </c>
      <c r="I513" s="77" t="inlineStr"/>
      <c r="J513" s="77" t="inlineStr">
        <is>
          <t>Swansea Student Enterprise ran a hackathon that set students from all faculties a real-life commercial challenge for Swansea City Football Club, producing more than 12 commercial ideas for the club.</t>
        </is>
      </c>
      <c r="K513" s="77" t="inlineStr">
        <is>
          <t>Student Enterprise (Swansea Employability Academy / Hwb)</t>
        </is>
      </c>
      <c r="L513" s="77" t="inlineStr">
        <is>
          <t>Students from across all faculties</t>
        </is>
      </c>
      <c r="M513" s="77" t="inlineStr">
        <is>
          <t>Central provision</t>
        </is>
      </c>
      <c r="N513" s="77" t="inlineStr">
        <is>
          <t>Unclear</t>
        </is>
      </c>
      <c r="O513" s="77" t="inlineStr"/>
      <c r="P513" s="77" t="inlineStr"/>
      <c r="Q513" s="77" t="inlineStr">
        <is>
          <t>Optional/elective</t>
        </is>
      </c>
      <c r="R513" s="77" t="inlineStr">
        <is>
          <t>Extracurricular</t>
        </is>
      </c>
      <c r="S513" s="77" t="inlineStr"/>
      <c r="T513" s="77" t="inlineStr">
        <is>
          <t>Not stated (hackathon format)</t>
        </is>
      </c>
      <c r="U513" s="77" t="inlineStr"/>
      <c r="V513" s="77" t="inlineStr">
        <is>
          <t>Unclear</t>
        </is>
      </c>
      <c r="W513" s="77" t="inlineStr">
        <is>
          <t>The output is 'commercial ideas' for the club. The hackathon's length and how substantial the output was are not stated [1].</t>
        </is>
      </c>
      <c r="X513" s="77" t="inlineStr">
        <is>
          <t>Unclear</t>
        </is>
      </c>
      <c r="Y513" s="77" t="inlineStr">
        <is>
          <t>Team format not stated in the extract [1].</t>
        </is>
      </c>
      <c r="Z513" s="77" t="inlineStr">
        <is>
          <t>Yes</t>
        </is>
      </c>
      <c r="AA513" s="77" t="inlineStr">
        <is>
          <t>Students worked on 'a real-life commercial challenge' and developed ideas 'to support Swansea City Football club' (the club is the source of the challenge and receives the ideas) [1].</t>
        </is>
      </c>
      <c r="AB513" s="77" t="inlineStr">
        <is>
          <t>Business/commercial</t>
        </is>
      </c>
      <c r="AC513" s="77" t="inlineStr">
        <is>
          <t>Sets the commercial challenge and receives the ideas</t>
        </is>
      </c>
      <c r="AD513" s="77" t="inlineStr">
        <is>
          <t>Swansea City Football Club (year not shown)</t>
        </is>
      </c>
      <c r="AE513" s="77" t="inlineStr">
        <is>
          <t>Commercial ideas</t>
        </is>
      </c>
      <c r="AF513" s="77">
        <f>IF(OR(V513="No",X513="No",Z513="No"),"Outside strict definition",IF(AND(V513="Yes",X513="Yes",Z513="Yes"),"Meets all three","Potentially relevant; evidence incomplete"))</f>
        <v/>
      </c>
      <c r="AG513" s="77" t="inlineStr">
        <is>
          <t>Current status unclear</t>
        </is>
      </c>
      <c r="AH513" s="77" t="inlineStr"/>
      <c r="AI513" s="77" t="inlineStr">
        <is>
          <t>Yes</t>
        </is>
      </c>
      <c r="AJ513" s="77">
        <f>IF(AND(AI513="Yes",AF513="Meets all three",AG513="Current delivery confirmed"),"Yes","No")</f>
        <v/>
      </c>
      <c r="AK513" s="77" t="inlineStr"/>
      <c r="AL513" s="77" t="inlineStr">
        <is>
          <t>UK14-S06-R1</t>
        </is>
      </c>
      <c r="AM513" s="77" t="inlineStr">
        <is>
          <t>Date, recurrence, team format and length are unknown. This looks like a one-off event.</t>
        </is>
      </c>
      <c r="AN513" s="77" t="inlineStr"/>
      <c r="AO513" s="77" t="inlineStr">
        <is>
          <t>UK</t>
        </is>
      </c>
      <c r="AP513" s="77" t="inlineStr">
        <is>
          <t>UK – additional</t>
        </is>
      </c>
      <c r="AQ513" s="77" t="inlineStr">
        <is>
          <t>Unclear</t>
        </is>
      </c>
      <c r="AR513" s="77" t="inlineStr">
        <is>
          <t>Unclear</t>
        </is>
      </c>
      <c r="AS513" s="77" t="inlineStr"/>
    </row>
    <row r="514">
      <c r="A514" s="77" t="inlineStr">
        <is>
          <t>UK14</t>
        </is>
      </c>
      <c r="B514" s="77" t="inlineStr">
        <is>
          <t>Swansea</t>
        </is>
      </c>
      <c r="C514" s="77" t="inlineStr">
        <is>
          <t>Programme/course</t>
        </is>
      </c>
      <c r="D514" s="77" t="inlineStr">
        <is>
          <t>UK14-S07</t>
        </is>
      </c>
      <c r="E514" s="77" t="inlineStr"/>
      <c r="F514" s="77" t="inlineStr">
        <is>
          <t>No</t>
        </is>
      </c>
      <c r="G514" s="79" t="inlineStr">
        <is>
          <t>Swansea Law Clinic - Clinical Legal Education module</t>
        </is>
      </c>
      <c r="H514" s="77" t="inlineStr">
        <is>
          <t>Clinical Legal Education (Law Clinic)</t>
        </is>
      </c>
      <c r="I514" s="77" t="inlineStr">
        <is>
          <t>LAA366 (Sem 1) / LAA367 (Sem 2)</t>
        </is>
      </c>
      <c r="J514" s="77" t="inlineStr">
        <is>
          <t>Credit-bearing 20-credit Clinical Legal Education module in which students advise members of the public via the Swansea Law Clinic with support from local solicitor firms. Extracurricular projects (Miscarriage of Justice Project with Inside Justice; Street Law) also exist (search summary).</t>
        </is>
      </c>
      <c r="K514" s="77" t="inlineStr">
        <is>
          <t>Hillary Rodham Clinton School of Law</t>
        </is>
      </c>
      <c r="L514" s="77" t="inlineStr">
        <is>
          <t>Law students (year not stated)</t>
        </is>
      </c>
      <c r="M514" s="77" t="inlineStr">
        <is>
          <t>Other (law, health, design, architecture…)</t>
        </is>
      </c>
      <c r="N514" s="77" t="inlineStr">
        <is>
          <t>Unclear</t>
        </is>
      </c>
      <c r="O514" s="77" t="inlineStr"/>
      <c r="P514" s="77" t="inlineStr">
        <is>
          <t>Not stated</t>
        </is>
      </c>
      <c r="Q514" s="77" t="inlineStr">
        <is>
          <t>Optional/elective</t>
        </is>
      </c>
      <c r="R514" s="77" t="inlineStr">
        <is>
          <t>Mixed</t>
        </is>
      </c>
      <c r="S514" s="77" t="inlineStr">
        <is>
          <t>20 credits</t>
        </is>
      </c>
      <c r="T514" s="77" t="inlineStr">
        <is>
          <t>One semester</t>
        </is>
      </c>
      <c r="U514" s="77" t="inlineStr">
        <is>
          <t>Clinic casework</t>
        </is>
      </c>
      <c r="V514" s="77" t="inlineStr">
        <is>
          <t>No</t>
        </is>
      </c>
      <c r="W514" s="77" t="inlineStr">
        <is>
          <t>Individual-client advice casework rather than a bounded project with a defined deliverable [1].</t>
        </is>
      </c>
      <c r="X514" s="77" t="inlineStr">
        <is>
          <t>Unclear</t>
        </is>
      </c>
      <c r="Y514" s="77" t="inlineStr">
        <is>
          <t>Page does not say whether students work in teams [1].</t>
        </is>
      </c>
      <c r="Z514" s="77" t="inlineStr">
        <is>
          <t>Unclear</t>
        </is>
      </c>
      <c r="AA514" s="77" t="inlineStr">
        <is>
          <t>Clients are members of the public, students and staff; solicitor firms supervise/support. No external organisation sets a brief [1].</t>
        </is>
      </c>
      <c r="AB514" s="77" t="inlineStr">
        <is>
          <t>Other</t>
        </is>
      </c>
      <c r="AC514" s="77" t="inlineStr">
        <is>
          <t>Supporting firms provide volunteer solicitors</t>
        </is>
      </c>
      <c r="AD514" s="77" t="inlineStr">
        <is>
          <t>Duncan Lewis Solicitors, Peter Lynn and Partners, Graham Evans and Partners, Smith Llewellyn and Douglas-Jones Mercer Solicitors (page, undated)</t>
        </is>
      </c>
      <c r="AE514" s="77" t="inlineStr">
        <is>
          <t>Legal advice</t>
        </is>
      </c>
      <c r="AF514" s="77">
        <f>IF(OR(V514="No",X514="No",Z514="No"),"Outside strict definition",IF(AND(V514="Yes",X514="Yes",Z514="Yes"),"Meets all three","Potentially relevant; evidence incomplete"))</f>
        <v/>
      </c>
      <c r="AG514" s="77" t="inlineStr">
        <is>
          <t>Current delivery confirmed</t>
        </is>
      </c>
      <c r="AH514" s="77" t="inlineStr">
        <is>
          <t>2025/26 (annual report linked)</t>
        </is>
      </c>
      <c r="AI514" s="77" t="inlineStr">
        <is>
          <t>Yes</t>
        </is>
      </c>
      <c r="AJ514" s="77">
        <f>IF(AND(AI514="Yes",AF514="Meets all three",AG514="Current delivery confirmed"),"Yes","No")</f>
        <v/>
      </c>
      <c r="AK514" s="77" t="inlineStr"/>
      <c r="AL514" s="77" t="inlineStr">
        <is>
          <t>UK14-S07-R1</t>
        </is>
      </c>
      <c r="AM514" s="77" t="inlineStr">
        <is>
          <t>Casework not project; near-miss. Charity collaborations (Inside Justice, Age Cymru) only in search summary, not opened.</t>
        </is>
      </c>
      <c r="AN514" s="77" t="inlineStr"/>
      <c r="AO514" s="77" t="inlineStr">
        <is>
          <t>UK</t>
        </is>
      </c>
      <c r="AP514" s="77" t="inlineStr">
        <is>
          <t>UK – additional</t>
        </is>
      </c>
      <c r="AQ514" s="77" t="inlineStr">
        <is>
          <t>~1 term/semester</t>
        </is>
      </c>
      <c r="AR514" s="77" t="inlineStr">
        <is>
          <t>Unclear</t>
        </is>
      </c>
      <c r="AS514" s="77" t="inlineStr"/>
    </row>
    <row r="515">
      <c r="A515" s="77" t="inlineStr">
        <is>
          <t>UK15</t>
        </is>
      </c>
      <c r="B515" s="77" t="inlineStr">
        <is>
          <t>Essex</t>
        </is>
      </c>
      <c r="C515" s="77" t="inlineStr">
        <is>
          <t>Unclear</t>
        </is>
      </c>
      <c r="D515" s="77" t="inlineStr">
        <is>
          <t>UK15-S01</t>
        </is>
      </c>
      <c r="E515" s="77" t="inlineStr"/>
      <c r="F515" s="77" t="inlineStr">
        <is>
          <t>No</t>
        </is>
      </c>
      <c r="G515" s="79" t="inlineStr">
        <is>
          <t>iTeams (Essex Startups)</t>
        </is>
      </c>
      <c r="H515" s="77" t="inlineStr">
        <is>
          <t>iTeams multidisciplinary business challenge programme</t>
        </is>
      </c>
      <c r="I515" s="77" t="inlineStr"/>
      <c r="J515" s="77" t="inlineStr">
        <is>
          <t>Student teams drawn from different faculties each work on a challenge set by an external business host, with an external industry mentor per team, and produce a report and presentation pitched to an expert panel; top teams win prizes. Annual programme run by Essex Startups; 2025 edition was 7 weeks with three businesses and six teams.</t>
        </is>
      </c>
      <c r="K515" s="77" t="inlineStr">
        <is>
          <t>Essex Startups (Careers / Student Development)</t>
        </is>
      </c>
      <c r="L515" s="77" t="inlineStr">
        <is>
          <t>Students from different faculties; no formal eligibility criteria on page; "you must be able to attend all workshops"; "Spaces ... are limited"; apply via CareerHub (deadline 31 Jan 2025).</t>
        </is>
      </c>
      <c r="M515" s="77" t="inlineStr">
        <is>
          <t>Central provision</t>
        </is>
      </c>
      <c r="N515" s="77" t="inlineStr">
        <is>
          <t>Unclear</t>
        </is>
      </c>
      <c r="O515" s="77" t="inlineStr"/>
      <c r="P515" s="77" t="inlineStr"/>
      <c r="Q515" s="77" t="inlineStr">
        <is>
          <t>Selective/competitive</t>
        </is>
      </c>
      <c r="R515" s="77" t="inlineStr">
        <is>
          <t>Extracurricular</t>
        </is>
      </c>
      <c r="S515" s="77" t="inlineStr">
        <is>
          <t>No credit evidenced; judged by expert panel finale with cash prizes</t>
        </is>
      </c>
      <c r="T515" s="77" t="inlineStr">
        <is>
          <t>7 weeks (2025); 8 weeks (2022); 10 weeks (earlier)</t>
        </is>
      </c>
      <c r="U515" s="77" t="inlineStr">
        <is>
          <t>Workshops plus team work with external mentor; final pitch at Colchester Campus</t>
        </is>
      </c>
      <c r="V515" s="77" t="inlineStr">
        <is>
          <t>Yes</t>
        </is>
      </c>
      <c r="W515" s="77" t="inlineStr">
        <is>
          <t>Teams are posed a question by the challenge-host and produce a report and presentation to help the organisation understand the problem (source 1).</t>
        </is>
      </c>
      <c r="X515" s="77" t="inlineStr">
        <is>
          <t>Yes</t>
        </is>
      </c>
      <c r="Y515" s="77" t="inlineStr">
        <is>
          <t>Six student teams made up of several students across different faculties (sources 1, 2). Page text: "six student teams (made up by several students across different faculties)".</t>
        </is>
      </c>
      <c r="Z515" s="77" t="inlineStr">
        <is>
          <t>Yes</t>
        </is>
      </c>
      <c r="AA515" s="77" t="inlineStr">
        <is>
          <t>Three external businesses each deliver a challenge; each team has an external industry-expert mentor; teams present to an expert panel (sources 1, 2). WebFetch of the 2025 page: "Three businesses will deliver three challenges"; "Each team will be mentored by an external industry expert."</t>
        </is>
      </c>
      <c r="AB515" s="77" t="inlineStr">
        <is>
          <t>Business/commercial</t>
        </is>
      </c>
      <c r="AC515" s="77" t="inlineStr">
        <is>
          <t>Host businesses set the challenge; industry experts mentor; panel judges the pitch</t>
        </is>
      </c>
      <c r="AD515" s="77" t="inlineStr"/>
      <c r="AE515" s="77" t="inlineStr">
        <is>
          <t>Report and presentation/pitch to the challenge host and expert panel</t>
        </is>
      </c>
      <c r="AF515" s="77">
        <f>IF(OR(V515="No",X515="No",Z515="No"),"Outside strict definition",IF(AND(V515="Yes",X515="Yes",Z515="Yes"),"Meets all three","Potentially relevant; evidence incomplete"))</f>
        <v/>
      </c>
      <c r="AG515" s="77" t="inlineStr">
        <is>
          <t>Current status unclear</t>
        </is>
      </c>
      <c r="AH515" s="77" t="inlineStr">
        <is>
          <t>2024/25 (event Feb 2025)</t>
        </is>
      </c>
      <c r="AI515" s="77" t="inlineStr">
        <is>
          <t>Yes</t>
        </is>
      </c>
      <c r="AJ515" s="77">
        <f>IF(AND(AI515="Yes",AF515="Meets all three",AG515="Current delivery confirmed"),"Yes","No")</f>
        <v/>
      </c>
      <c r="AK515" s="77" t="inlineStr"/>
      <c r="AL515" s="77" t="inlineStr">
        <is>
          <t>UK15-S01-R1; UK15-S01-R2; UK15-S01-R3</t>
        </is>
      </c>
      <c r="AM515" s="77" t="inlineStr">
        <is>
          <t>No 2026 edition found in search; 2025 edition (4 Feb 2025) is academic year 2024/25, so 2025/26 delivery not confirmed. Student-level eligibility, named host businesses and cohort numbers not obtained. Page-text fetch confirmed 4 Feb-19 Mar 2025 programme; no 2026 page found in second search.</t>
        </is>
      </c>
      <c r="AN515" s="77" t="inlineStr"/>
      <c r="AO515" s="77" t="inlineStr">
        <is>
          <t>UK</t>
        </is>
      </c>
      <c r="AP515" s="77" t="inlineStr">
        <is>
          <t>UK – additional</t>
        </is>
      </c>
      <c r="AQ515" s="77" t="inlineStr">
        <is>
          <t>~1 term/semester</t>
        </is>
      </c>
      <c r="AR515" s="77" t="inlineStr">
        <is>
          <t>All/standard</t>
        </is>
      </c>
      <c r="AS515" s="77" t="inlineStr"/>
    </row>
    <row r="516">
      <c r="A516" s="77" t="inlineStr">
        <is>
          <t>UK15</t>
        </is>
      </c>
      <c r="B516" s="77" t="inlineStr">
        <is>
          <t>Essex</t>
        </is>
      </c>
      <c r="C516" s="77" t="inlineStr">
        <is>
          <t>Unclear</t>
        </is>
      </c>
      <c r="D516" s="77" t="inlineStr">
        <is>
          <t>UK15-S02</t>
        </is>
      </c>
      <c r="E516" s="77" t="inlineStr">
        <is>
          <t>UK15-S01</t>
        </is>
      </c>
      <c r="F516" s="77" t="inlineStr">
        <is>
          <t>No</t>
        </is>
      </c>
      <c r="G516" s="79" t="inlineStr">
        <is>
          <t>Cyber Innovate to Elevate (bespoke iTeams programme)</t>
        </is>
      </c>
      <c r="H516" s="77" t="inlineStr">
        <is>
          <t>Cyber Innovate to Elevate</t>
        </is>
      </c>
      <c r="I516" s="77" t="inlineStr"/>
      <c r="J516" s="77" t="inlineStr">
        <is>
          <t>Funded Freeport East/Essex programme in which MSc and PhD students work directly with SMEs on cybersecurity strategies through a six-week bespoke iTeams innovation challenge.</t>
        </is>
      </c>
      <c r="K516" s="77" t="inlineStr">
        <is>
          <t>Essex (business services / Essex Startups)</t>
        </is>
      </c>
      <c r="L516" s="77" t="inlineStr">
        <is>
          <t>MSc and PhD students (cyber-related); full eligibility not obtained</t>
        </is>
      </c>
      <c r="M516" s="77" t="inlineStr">
        <is>
          <t>Engineering/computing; Central provision</t>
        </is>
      </c>
      <c r="N516" s="77" t="inlineStr">
        <is>
          <t>Mixed</t>
        </is>
      </c>
      <c r="O516" s="77" t="inlineStr"/>
      <c r="P516" s="77" t="inlineStr"/>
      <c r="Q516" s="77" t="inlineStr">
        <is>
          <t>Selective/competitive</t>
        </is>
      </c>
      <c r="R516" s="77" t="inlineStr">
        <is>
          <t>Extracurricular</t>
        </is>
      </c>
      <c r="S516" s="77" t="inlineStr"/>
      <c r="T516" s="77" t="inlineStr">
        <is>
          <t>Six weeks</t>
        </is>
      </c>
      <c r="U516" s="77" t="inlineStr">
        <is>
          <t>Bespoke iTeams challenge with SMEs</t>
        </is>
      </c>
      <c r="V516" s="77" t="inlineStr">
        <is>
          <t>Unclear</t>
        </is>
      </c>
      <c r="W516" s="77" t="inlineStr">
        <is>
          <t>Students work with SMEs on cybersecurity strategies; defined output not confirmed (source 1).</t>
        </is>
      </c>
      <c r="X516" s="77" t="inlineStr">
        <is>
          <t>Unclear</t>
        </is>
      </c>
      <c r="Y516" s="77" t="inlineStr">
        <is>
          <t>Described as an iTeams variant, which uses teams in the main programme, but team working not explicitly stated for this variant in the extract.</t>
        </is>
      </c>
      <c r="Z516" s="77" t="inlineStr">
        <is>
          <t>Yes</t>
        </is>
      </c>
      <c r="AA516" s="77" t="inlineStr">
        <is>
          <t>Students work directly with SMEs (sources 1, 2). Fetched funding page (2026 call) describes support for UK-owned SMEs in Freeport East with an Innovation Manager and academics; it does not describe student teams.</t>
        </is>
      </c>
      <c r="AB516" s="77" t="inlineStr">
        <is>
          <t>Business/commercial</t>
        </is>
      </c>
      <c r="AC516" s="77" t="inlineStr">
        <is>
          <t>SMEs host cybersecurity challenges</t>
        </is>
      </c>
      <c r="AD516" s="77" t="inlineStr"/>
      <c r="AE516" s="77" t="inlineStr">
        <is>
          <t>Not confirmed (cybersecurity strategy/recommendations)</t>
        </is>
      </c>
      <c r="AF516" s="77">
        <f>IF(OR(V516="No",X516="No",Z516="No"),"Outside strict definition",IF(AND(V516="Yes",X516="Yes",Z516="Yes"),"Meets all three","Potentially relevant; evidence incomplete"))</f>
        <v/>
      </c>
      <c r="AG516" s="77" t="inlineStr">
        <is>
          <t>Current delivery confirmed</t>
        </is>
      </c>
      <c r="AH516" s="77" t="inlineStr">
        <is>
          <t>2025/26</t>
        </is>
      </c>
      <c r="AI516" s="77" t="inlineStr">
        <is>
          <t>Yes</t>
        </is>
      </c>
      <c r="AJ516" s="77">
        <f>IF(AND(AI516="Yes",AF516="Meets all three",AG516="Current delivery confirmed"),"Yes","No")</f>
        <v/>
      </c>
      <c r="AK516" s="77" t="inlineStr"/>
      <c r="AL516" s="77" t="inlineStr">
        <is>
          <t>UK15-S02-R1; UK15-S02-R2</t>
        </is>
      </c>
      <c r="AM516" s="77" t="inlineStr">
        <is>
          <t>Need explicit team structure, deliverable, student eligibility and partner numbers. Six weeks falls between the 1-4 week and one-term bands, so duration_band set to Unclear. Projects due to finish by 28 Feb 2026. Fetched page now shows a further call (applications open 1 Sept 2026, projects to 31 Mar 2027) framed as business support with an Innovation Manager and Innovation Roadmap; student team role not stated, so A/B stay Unclear.</t>
        </is>
      </c>
      <c r="AN516" s="77" t="inlineStr"/>
      <c r="AO516" s="77" t="inlineStr">
        <is>
          <t>UK</t>
        </is>
      </c>
      <c r="AP516" s="77" t="inlineStr">
        <is>
          <t>UK – additional</t>
        </is>
      </c>
      <c r="AQ516" s="77" t="inlineStr">
        <is>
          <t>Unclear</t>
        </is>
      </c>
      <c r="AR516" s="77" t="inlineStr">
        <is>
          <t>Unclear</t>
        </is>
      </c>
      <c r="AS516" s="77" t="inlineStr"/>
    </row>
    <row r="517">
      <c r="A517" s="77" t="inlineStr">
        <is>
          <t>UK15</t>
        </is>
      </c>
      <c r="B517" s="77" t="inlineStr">
        <is>
          <t>Essex</t>
        </is>
      </c>
      <c r="C517" s="77" t="inlineStr">
        <is>
          <t>Programme/course</t>
        </is>
      </c>
      <c r="D517" s="77" t="inlineStr">
        <is>
          <t>UK15-S03</t>
        </is>
      </c>
      <c r="E517" s="77" t="inlineStr"/>
      <c r="F517" s="77" t="inlineStr">
        <is>
          <t>No</t>
        </is>
      </c>
      <c r="G517" s="79" t="inlineStr">
        <is>
          <t>Marketing Management consultancy project (BSc Marketing Management and related degrees)</t>
        </is>
      </c>
      <c r="H517" s="77" t="inlineStr">
        <is>
          <t>Marketing Management module consultancy project</t>
        </is>
      </c>
      <c r="I517" s="77" t="inlineStr"/>
      <c r="J517" s="77" t="inlineStr">
        <is>
          <t>15-credit Marketing Management module on Essex Business School degrees whose assessment has students undertake a consultancy project for a real-world business in response to a marketing brief.</t>
        </is>
      </c>
      <c r="K517" s="77" t="inlineStr">
        <is>
          <t>Essex Business School</t>
        </is>
      </c>
      <c r="L517" s="77" t="inlineStr">
        <is>
          <t>BSc Marketing Management (incl. foundation/year abroad variants), Integrated Master in Management: Marketing Management; wording also appears on other EBS course pages</t>
        </is>
      </c>
      <c r="M517" s="77" t="inlineStr">
        <is>
          <t>Business/management</t>
        </is>
      </c>
      <c r="N517" s="77" t="inlineStr">
        <is>
          <t>Undergraduate</t>
        </is>
      </c>
      <c r="O517" s="77" t="inlineStr">
        <is>
          <t>Second year (per search summary)</t>
        </is>
      </c>
      <c r="P517" s="77" t="inlineStr"/>
      <c r="Q517" s="77" t="inlineStr">
        <is>
          <t>Compulsory within specified programmes</t>
        </is>
      </c>
      <c r="R517" s="77" t="inlineStr">
        <is>
          <t>Curricular</t>
        </is>
      </c>
      <c r="S517" s="77" t="inlineStr">
        <is>
          <t>15 credits; consultancy project is part of assessment</t>
        </is>
      </c>
      <c r="T517" s="77" t="inlineStr">
        <is>
          <t>Module length not obtained</t>
        </is>
      </c>
      <c r="U517" s="77" t="inlineStr">
        <is>
          <t>Taught module</t>
        </is>
      </c>
      <c r="V517" s="77" t="inlineStr">
        <is>
          <t>Yes</t>
        </is>
      </c>
      <c r="W517" s="77" t="inlineStr">
        <is>
          <t>Course pages: students undertake a consultancy project for a real-world business in response to a marketing brief (source 1).</t>
        </is>
      </c>
      <c r="X517" s="77" t="inlineStr">
        <is>
          <t>Unclear</t>
        </is>
      </c>
      <c r="Y517" s="77" t="inlineStr">
        <is>
          <t>No source states the consultancy project is a group assessment; course-level page lists group presentations among assessment types only generally (source 1).</t>
        </is>
      </c>
      <c r="Z517" s="77" t="inlineStr">
        <is>
          <t>Unclear</t>
        </is>
      </c>
      <c r="AA517" s="77" t="inlineStr">
        <is>
          <t>'Real-world business' stated but not whether the business sets/receives the brief, nor how many external clients or whether briefs are partly hypothetical (source 1).</t>
        </is>
      </c>
      <c r="AB517" s="77" t="inlineStr">
        <is>
          <t>Business/commercial</t>
        </is>
      </c>
      <c r="AC517" s="77" t="inlineStr">
        <is>
          <t>Real-world business (unnamed)</t>
        </is>
      </c>
      <c r="AD517" s="77" t="inlineStr"/>
      <c r="AE517" s="77" t="inlineStr">
        <is>
          <t>Consultancy project/marketing plan report (format not confirmed)</t>
        </is>
      </c>
      <c r="AF517" s="77">
        <f>IF(OR(V517="No",X517="No",Z517="No"),"Outside strict definition",IF(AND(V517="Yes",X517="Yes",Z517="Yes"),"Meets all three","Potentially relevant; evidence incomplete"))</f>
        <v/>
      </c>
      <c r="AG517" s="77" t="inlineStr">
        <is>
          <t>Current status unclear</t>
        </is>
      </c>
      <c r="AH517" s="77" t="inlineStr">
        <is>
          <t>2026 entry (course page); module directory entry 2024/25</t>
        </is>
      </c>
      <c r="AI517" s="77" t="inlineStr">
        <is>
          <t>Yes</t>
        </is>
      </c>
      <c r="AJ517" s="77">
        <f>IF(AND(AI517="Yes",AF517="Meets all three",AG517="Current delivery confirmed"),"Yes","No")</f>
        <v/>
      </c>
      <c r="AK517" s="77" t="inlineStr"/>
      <c r="AL517" s="77" t="inlineStr">
        <is>
          <t>UK15-S03-R1</t>
        </is>
      </c>
      <c r="AM517" s="77" t="inlineStr">
        <is>
          <t>Module code and handbook assessment spec not seen; group vs individual; external client involvement; 2025/26 delivery.</t>
        </is>
      </c>
      <c r="AN517" s="77" t="inlineStr"/>
      <c r="AO517" s="77" t="inlineStr">
        <is>
          <t>UK</t>
        </is>
      </c>
      <c r="AP517" s="77" t="inlineStr">
        <is>
          <t>UK – additional</t>
        </is>
      </c>
      <c r="AQ517" s="77" t="inlineStr">
        <is>
          <t>Unclear</t>
        </is>
      </c>
      <c r="AR517" s="77" t="inlineStr">
        <is>
          <t>Unclear</t>
        </is>
      </c>
      <c r="AS517" s="77" t="inlineStr"/>
    </row>
    <row r="518">
      <c r="A518" s="77" t="inlineStr">
        <is>
          <t>UK15</t>
        </is>
      </c>
      <c r="B518" s="77" t="inlineStr">
        <is>
          <t>Essex</t>
        </is>
      </c>
      <c r="C518" s="77" t="inlineStr">
        <is>
          <t>Cross-faculty</t>
        </is>
      </c>
      <c r="D518" s="77" t="inlineStr">
        <is>
          <t>UK15-S04</t>
        </is>
      </c>
      <c r="E518" s="77" t="inlineStr"/>
      <c r="F518" s="77" t="inlineStr">
        <is>
          <t>No</t>
        </is>
      </c>
      <c r="G518" s="79" t="inlineStr">
        <is>
          <t>Work-based learning live employer projects (Industry and Placements team)</t>
        </is>
      </c>
      <c r="H518" s="77" t="inlineStr">
        <is>
          <t>Work-based learning: live employer projects</t>
        </is>
      </c>
      <c r="I518" s="77" t="inlineStr"/>
      <c r="J518" s="77" t="inlineStr">
        <is>
          <t>Institutional work-based learning policy defines WBL as placements or live projects for an organisation or client forming part of the curriculum; several Faculty of Science and Health degree pages (e.g. Biomedical Science, Actuarial Science) say students can take WBL modules with live employer projects or a placement. Specific project modules, group format and employers not identified.</t>
        </is>
      </c>
      <c r="K518" s="77" t="inlineStr">
        <is>
          <t>Industry and Placements team (Student Development Team)</t>
        </is>
      </c>
      <c r="L518" s="77" t="inlineStr">
        <is>
          <t>Named degrees (e.g. Biomedical Science, Actuarial Science); full list not obtained</t>
        </is>
      </c>
      <c r="M518" s="77" t="inlineStr">
        <is>
          <t>Science; Central provision</t>
        </is>
      </c>
      <c r="N518" s="77" t="inlineStr">
        <is>
          <t>Undergraduate</t>
        </is>
      </c>
      <c r="O518" s="77" t="inlineStr"/>
      <c r="P518" s="77" t="inlineStr"/>
      <c r="Q518" s="77" t="inlineStr">
        <is>
          <t>Optional/elective</t>
        </is>
      </c>
      <c r="R518" s="77" t="inlineStr">
        <is>
          <t>Curricular</t>
        </is>
      </c>
      <c r="S518" s="77" t="inlineStr"/>
      <c r="T518" s="77" t="inlineStr"/>
      <c r="U518" s="77" t="inlineStr"/>
      <c r="V518" s="77" t="inlineStr">
        <is>
          <t>Unclear</t>
        </is>
      </c>
      <c r="W518" s="77" t="inlineStr">
        <is>
          <t>Policy defines live projects for an organisation or client as WBL (source 1); no specific module assessed.</t>
        </is>
      </c>
      <c r="X518" s="77" t="inlineStr">
        <is>
          <t>Unclear</t>
        </is>
      </c>
      <c r="Y518" s="77" t="inlineStr">
        <is>
          <t>Not stated.</t>
        </is>
      </c>
      <c r="Z518" s="77" t="inlineStr">
        <is>
          <t>Unclear</t>
        </is>
      </c>
      <c r="AA518" s="77" t="inlineStr">
        <is>
          <t>Live projects for an organisation/client in policy; module-level evidence missing.</t>
        </is>
      </c>
      <c r="AB518" s="77" t="inlineStr">
        <is>
          <t>Unclear</t>
        </is>
      </c>
      <c r="AC518" s="77" t="inlineStr"/>
      <c r="AD518" s="77" t="inlineStr"/>
      <c r="AE518" s="77" t="inlineStr"/>
      <c r="AF518" s="77">
        <f>IF(OR(V518="No",X518="No",Z518="No"),"Outside strict definition",IF(AND(V518="Yes",X518="Yes",Z518="Yes"),"Meets all three","Potentially relevant; evidence incomplete"))</f>
        <v/>
      </c>
      <c r="AG518" s="77" t="inlineStr">
        <is>
          <t>Current status unclear</t>
        </is>
      </c>
      <c r="AH518" s="77" t="inlineStr">
        <is>
          <t>undated</t>
        </is>
      </c>
      <c r="AI518" s="77" t="inlineStr">
        <is>
          <t>Yes</t>
        </is>
      </c>
      <c r="AJ518" s="77">
        <f>IF(AND(AI518="Yes",AF518="Meets all three",AG518="Current delivery confirmed"),"Yes","No")</f>
        <v/>
      </c>
      <c r="AK518" s="77" t="inlineStr"/>
      <c r="AL518" s="77" t="inlineStr">
        <is>
          <t>UK15-S04-R1; UK15-S04-R2</t>
        </is>
      </c>
      <c r="AM518" s="77" t="inlineStr">
        <is>
          <t>Identify the actual WBL project modules (module codes), whether team-based, partner types and 2025/26 delivery. Second search (2026-10-13) found Biomedical Science module pages listing 'Practice and Employability' but no team-based client module.</t>
        </is>
      </c>
      <c r="AN518" s="77" t="inlineStr"/>
      <c r="AO518" s="77" t="inlineStr">
        <is>
          <t>UK</t>
        </is>
      </c>
      <c r="AP518" s="77" t="inlineStr">
        <is>
          <t>UK – additional</t>
        </is>
      </c>
      <c r="AQ518" s="77" t="inlineStr">
        <is>
          <t>Unclear</t>
        </is>
      </c>
      <c r="AR518" s="77" t="inlineStr">
        <is>
          <t>Unclear</t>
        </is>
      </c>
      <c r="AS518" s="77" t="inlineStr"/>
    </row>
    <row r="519">
      <c r="A519" s="77" t="inlineStr">
        <is>
          <t>UK15</t>
        </is>
      </c>
      <c r="B519" s="77" t="inlineStr">
        <is>
          <t>Essex</t>
        </is>
      </c>
      <c r="C519" s="77" t="inlineStr">
        <is>
          <t>Faculty/school</t>
        </is>
      </c>
      <c r="D519" s="77" t="inlineStr">
        <is>
          <t>UK15-S05</t>
        </is>
      </c>
      <c r="E519" s="77" t="inlineStr"/>
      <c r="F519" s="77" t="inlineStr">
        <is>
          <t>No</t>
        </is>
      </c>
      <c r="G519" s="79" t="inlineStr">
        <is>
          <t>Business Law Clinic (Essex Law School)</t>
        </is>
      </c>
      <c r="H519" s="77" t="inlineStr">
        <is>
          <t>Business Law Clinic</t>
        </is>
      </c>
      <c r="I519" s="77" t="inlineStr"/>
      <c r="J519" s="77" t="inlineStr">
        <is>
          <t>Team projects for final-year LLB and Law postgraduate taught students, working in small teams under academic supervision on projects with external organisations; 2025-26 projects include entertainment contracts for freelancers with the Mercury Theatre and responsible lending guidance with British credit unions.</t>
        </is>
      </c>
      <c r="K519" s="77" t="inlineStr">
        <is>
          <t>Essex Law School</t>
        </is>
      </c>
      <c r="L519" s="77" t="inlineStr">
        <is>
          <t>Final-year LLB and Law PGT students (Law Clinic page: final-year undergraduates eligible to apply)</t>
        </is>
      </c>
      <c r="M519" s="77" t="inlineStr">
        <is>
          <t>Other (law, health, design, architecture…)</t>
        </is>
      </c>
      <c r="N519" s="77" t="inlineStr">
        <is>
          <t>Mixed</t>
        </is>
      </c>
      <c r="O519" s="77" t="inlineStr">
        <is>
          <t>Final year UG / PGT</t>
        </is>
      </c>
      <c r="P519" s="77" t="inlineStr">
        <is>
          <t>Law students; application</t>
        </is>
      </c>
      <c r="Q519" s="77" t="inlineStr">
        <is>
          <t>Selective/competitive</t>
        </is>
      </c>
      <c r="R519" s="77" t="inlineStr">
        <is>
          <t>Unclear</t>
        </is>
      </c>
      <c r="S519" s="77" t="inlineStr">
        <is>
          <t>Credit/module link not stated on page</t>
        </is>
      </c>
      <c r="T519" s="77" t="inlineStr">
        <is>
          <t>Academic year (not confirmed)</t>
        </is>
      </c>
      <c r="U519" s="77" t="inlineStr">
        <is>
          <t>Supervised team projects</t>
        </is>
      </c>
      <c r="V519" s="77" t="inlineStr">
        <is>
          <t>Yes</t>
        </is>
      </c>
      <c r="W519" s="77" t="inlineStr">
        <is>
          <t>Projects with defined outputs for organisations (guidance, contract resources) (sources 1, 2).</t>
        </is>
      </c>
      <c r="X519" s="77" t="inlineStr">
        <is>
          <t>Yes</t>
        </is>
      </c>
      <c r="Y519" s="77" t="inlineStr">
        <is>
          <t>"Working in small teams under academic supervision" (source 1).</t>
        </is>
      </c>
      <c r="Z519" s="77" t="inlineStr">
        <is>
          <t>Yes</t>
        </is>
      </c>
      <c r="AA519" s="77" t="inlineStr">
        <is>
          <t>Named external organisations (Mercury Theatre; British credit unions) are project partners in 2025-26; clinic page says it works with public-good organisations and invites organisations to partner (sources 1, 2). Whether all projects have external partners not fully confirmed; some clinic work uses mock clients.</t>
        </is>
      </c>
      <c r="AB519" s="77" t="inlineStr">
        <is>
          <t>Mixed</t>
        </is>
      </c>
      <c r="AC519" s="77" t="inlineStr">
        <is>
          <t>Partner organisation commissions legal research/guidance output</t>
        </is>
      </c>
      <c r="AD519" s="77" t="inlineStr">
        <is>
          <t>Mercury Theatre; British credit unions (2025-26, search extract)</t>
        </is>
      </c>
      <c r="AE519" s="77" t="inlineStr">
        <is>
          <t>Legal guidance/resources for partner organisations</t>
        </is>
      </c>
      <c r="AF519" s="77">
        <f>IF(OR(V519="No",X519="No",Z519="No"),"Outside strict definition",IF(AND(V519="Yes",X519="Yes",Z519="Yes"),"Meets all three","Potentially relevant; evidence incomplete"))</f>
        <v/>
      </c>
      <c r="AG519" s="77" t="inlineStr">
        <is>
          <t>Current delivery confirmed</t>
        </is>
      </c>
      <c r="AH519" s="77" t="inlineStr">
        <is>
          <t>2025/26</t>
        </is>
      </c>
      <c r="AI519" s="77" t="inlineStr">
        <is>
          <t>Yes</t>
        </is>
      </c>
      <c r="AJ519" s="77">
        <f>IF(AND(AI519="Yes",AF519="Meets all three",AG519="Current delivery confirmed"),"Yes","No")</f>
        <v/>
      </c>
      <c r="AK519" s="77" t="inlineStr"/>
      <c r="AL519" s="77" t="inlineStr">
        <is>
          <t>UK15-S05-R1; UK15-S05-R2</t>
        </is>
      </c>
      <c r="AM519" s="77" t="inlineStr">
        <is>
          <t>Credit status, team sizes, and share of projects with real external partners (mock clients mentioned) - hence coverage Some projects.</t>
        </is>
      </c>
      <c r="AN519" s="77" t="inlineStr"/>
      <c r="AO519" s="77" t="inlineStr">
        <is>
          <t>UK</t>
        </is>
      </c>
      <c r="AP519" s="77" t="inlineStr">
        <is>
          <t>UK – additional</t>
        </is>
      </c>
      <c r="AQ519" s="77" t="inlineStr">
        <is>
          <t>Unclear</t>
        </is>
      </c>
      <c r="AR519" s="77" t="inlineStr">
        <is>
          <t>Some projects</t>
        </is>
      </c>
      <c r="AS519" s="77" t="inlineStr"/>
    </row>
    <row r="520">
      <c r="A520" s="77" t="inlineStr">
        <is>
          <t>UK15</t>
        </is>
      </c>
      <c r="B520" s="77" t="inlineStr">
        <is>
          <t>Essex</t>
        </is>
      </c>
      <c r="C520" s="77" t="inlineStr">
        <is>
          <t>Cross-faculty</t>
        </is>
      </c>
      <c r="D520" s="77" t="inlineStr">
        <is>
          <t>UK15-S06</t>
        </is>
      </c>
      <c r="E520" s="77" t="inlineStr"/>
      <c r="F520" s="77" t="inlineStr">
        <is>
          <t>No</t>
        </is>
      </c>
      <c r="G520" s="79" t="inlineStr">
        <is>
          <t>Human Rights Centre Clinic (module-based projects, HU902)</t>
        </is>
      </c>
      <c r="H520" s="77" t="inlineStr">
        <is>
          <t>Human Rights Centre Clinic</t>
        </is>
      </c>
      <c r="I520" s="77" t="inlineStr">
        <is>
          <t>HU902</t>
        </is>
      </c>
      <c r="J520" s="77" t="inlineStr">
        <is>
          <t>Students work in teams with a supervisor on human rights projects for partners including governments, NGOs and international organisations (e.g. Amnesty International, United Nations). Module-based projects require enrolment on HU902; multi-year projects open to any Essex student.</t>
        </is>
      </c>
      <c r="K520" s="77" t="inlineStr">
        <is>
          <t>Human Rights Centre / Essex Law School</t>
        </is>
      </c>
      <c r="L520" s="77" t="inlineStr">
        <is>
          <t>Module-based: Human Rights Masters (LLM/MA) and final-year/senior-status Law; multi-year projects open to all UG/PG</t>
        </is>
      </c>
      <c r="M520" s="77" t="inlineStr">
        <is>
          <t>Other (law, health, design, architecture…); Arts/humanities/social sciences</t>
        </is>
      </c>
      <c r="N520" s="77" t="inlineStr">
        <is>
          <t>Mixed</t>
        </is>
      </c>
      <c r="O520" s="77" t="inlineStr"/>
      <c r="P520" s="77" t="inlineStr">
        <is>
          <t>As above</t>
        </is>
      </c>
      <c r="Q520" s="77" t="inlineStr">
        <is>
          <t>Selective/competitive</t>
        </is>
      </c>
      <c r="R520" s="77" t="inlineStr">
        <is>
          <t>Mixed</t>
        </is>
      </c>
      <c r="S520" s="77" t="inlineStr">
        <is>
          <t>HU902 enrolment; credit value not stated</t>
        </is>
      </c>
      <c r="T520" s="77" t="inlineStr">
        <is>
          <t>Academic year (6 projects in 2026/27)</t>
        </is>
      </c>
      <c r="U520" s="77" t="inlineStr">
        <is>
          <t>Supervised team projects</t>
        </is>
      </c>
      <c r="V520" s="77" t="inlineStr">
        <is>
          <t>Yes</t>
        </is>
      </c>
      <c r="W520" s="77" t="inlineStr">
        <is>
          <t>Students investigate violations or strengthen initiatives, sharing findings at the Annual Conference (source 1); deliverable form not stated.</t>
        </is>
      </c>
      <c r="X520" s="77" t="inlineStr">
        <is>
          <t>Yes</t>
        </is>
      </c>
      <c r="Y520" s="77" t="inlineStr">
        <is>
          <t>"in teams with the guidance of a supervisor" (source 1).</t>
        </is>
      </c>
      <c r="Z520" s="77" t="inlineStr">
        <is>
          <t>Unclear</t>
        </is>
      </c>
      <c r="AA520" s="77" t="inlineStr">
        <is>
          <t>Partners named as governments, NGOs and international organisations such as Amnesty and the UN (source 1), but the page does not say how each partner sets briefs or receives outputs, nor that all projects have an external partner.</t>
        </is>
      </c>
      <c r="AB520" s="77" t="inlineStr">
        <is>
          <t>Mixed</t>
        </is>
      </c>
      <c r="AC520" s="77" t="inlineStr">
        <is>
          <t>Partner organisations (role not specified on page)</t>
        </is>
      </c>
      <c r="AD520" s="77" t="inlineStr">
        <is>
          <t>Amnesty International; United Nations (generic mention, undated)</t>
        </is>
      </c>
      <c r="AE520" s="77" t="inlineStr">
        <is>
          <t>Not stated (research findings presented at annual conference)</t>
        </is>
      </c>
      <c r="AF520" s="77">
        <f>IF(OR(V520="No",X520="No",Z520="No"),"Outside strict definition",IF(AND(V520="Yes",X520="Yes",Z520="Yes"),"Meets all three","Potentially relevant; evidence incomplete"))</f>
        <v/>
      </c>
      <c r="AG520" s="77" t="inlineStr">
        <is>
          <t>Current delivery confirmed</t>
        </is>
      </c>
      <c r="AH520" s="77" t="inlineStr">
        <is>
          <t>2026/27</t>
        </is>
      </c>
      <c r="AI520" s="77" t="inlineStr">
        <is>
          <t>Yes</t>
        </is>
      </c>
      <c r="AJ520" s="77">
        <f>IF(AND(AI520="Yes",AF520="Meets all three",AG520="Current delivery confirmed"),"Yes","No")</f>
        <v/>
      </c>
      <c r="AK520" s="77" t="inlineStr">
        <is>
          <t>Six projects in 2026/27</t>
        </is>
      </c>
      <c r="AL520" s="77" t="inlineStr">
        <is>
          <t>UK15-S06-R1</t>
        </is>
      </c>
      <c r="AM520" s="77" t="inlineStr">
        <is>
          <t>Partner role, deliverables, credit.</t>
        </is>
      </c>
      <c r="AN520" s="77" t="inlineStr"/>
      <c r="AO520" s="77" t="inlineStr">
        <is>
          <t>UK</t>
        </is>
      </c>
      <c r="AP520" s="77" t="inlineStr">
        <is>
          <t>UK – additional</t>
        </is>
      </c>
      <c r="AQ520" s="77" t="inlineStr">
        <is>
          <t>Unclear</t>
        </is>
      </c>
      <c r="AR520" s="77" t="inlineStr">
        <is>
          <t>Unclear</t>
        </is>
      </c>
      <c r="AS520" s="77" t="inlineStr"/>
    </row>
    <row r="521">
      <c r="A521" s="77" t="inlineStr">
        <is>
          <t>UK16</t>
        </is>
      </c>
      <c r="B521" s="77" t="inlineStr">
        <is>
          <t>Kent</t>
        </is>
      </c>
      <c r="C521" s="77" t="inlineStr">
        <is>
          <t>Faculty/school</t>
        </is>
      </c>
      <c r="D521" s="77" t="inlineStr">
        <is>
          <t>UK16-S01</t>
        </is>
      </c>
      <c r="E521" s="77" t="inlineStr"/>
      <c r="F521" s="77" t="inlineStr">
        <is>
          <t>No</t>
        </is>
      </c>
      <c r="G521" s="79" t="inlineStr">
        <is>
          <t>KBS Challenge</t>
        </is>
      </c>
      <c r="H521" s="77" t="inlineStr">
        <is>
          <t>KBS Challenge</t>
        </is>
      </c>
      <c r="I521" s="77" t="inlineStr">
        <is>
          <t>BUSB6514</t>
        </is>
      </c>
      <c r="J521" s="77" t="inlineStr">
        <is>
          <t>Level 6 Kent Business School module (Medway, Summer Term) in which groups of KBS students act as consultants on live problems set by real businesses. 2026 cohort: 106 students in 15 consultancy teams across 10 live projects over eight weeks, visiting business sites and meeting senior business representatives, producing recommendations presented back to the organisation.</t>
        </is>
      </c>
      <c r="K521" s="77" t="inlineStr">
        <is>
          <t>Kent Business School</t>
        </is>
      </c>
      <c r="L521" s="77" t="inlineStr">
        <is>
          <t>KBS students (Canterbury and Medway) at Stage 3; blog reports students from across KBS</t>
        </is>
      </c>
      <c r="M521" s="77" t="inlineStr">
        <is>
          <t>Business/management</t>
        </is>
      </c>
      <c r="N521" s="77" t="inlineStr">
        <is>
          <t>Undergraduate</t>
        </is>
      </c>
      <c r="O521" s="77" t="inlineStr">
        <is>
          <t>Stage 3 (Level 6)</t>
        </is>
      </c>
      <c r="P521" s="77" t="inlineStr">
        <is>
          <t>Search summary reported an average of at least 60% in the preceding stage; module page fetched did not state a restriction (conflict, unresolved).</t>
        </is>
      </c>
      <c r="Q521" s="77" t="inlineStr">
        <is>
          <t>Unclear</t>
        </is>
      </c>
      <c r="R521" s="77" t="inlineStr">
        <is>
          <t>Curricular</t>
        </is>
      </c>
      <c r="S521" s="77" t="inlineStr">
        <is>
          <t>20 credits (10 ECTS). Group report 3,000 words 60%; group presentation 15 min 20%; individual reflective blog 750 words 20%.</t>
        </is>
      </c>
      <c r="T521" s="77" t="inlineStr">
        <is>
          <t>Eight weeks (Summer Term)</t>
        </is>
      </c>
      <c r="U521" s="77" t="inlineStr">
        <is>
          <t>In person, team consultancy</t>
        </is>
      </c>
      <c r="V521" s="77" t="inlineStr">
        <is>
          <t>Yes</t>
        </is>
      </c>
      <c r="W521" s="77" t="inlineStr">
        <is>
          <t>Live business challenges; group report and presentation with recommendations [1][2].</t>
        </is>
      </c>
      <c r="X521" s="77" t="inlineStr">
        <is>
          <t>Yes</t>
        </is>
      </c>
      <c r="Y521" s="77" t="inlineStr">
        <is>
          <t>'in a group of your peers'; group report and group presentation assessed; 15 teams in 2026 [1][2].</t>
        </is>
      </c>
      <c r="Z521" s="77" t="inlineStr">
        <is>
          <t>Yes</t>
        </is>
      </c>
      <c r="AA521" s="77" t="inlineStr">
        <is>
          <t>Four external organisations supported the projects; teams visited sites, engaged senior business representatives and produced recommendations 'presented back to the organisation' [2]. Module page: 'we'll work with real businesses' [1].</t>
        </is>
      </c>
      <c r="AB521" s="77" t="inlineStr">
        <is>
          <t>Business/commercial</t>
        </is>
      </c>
      <c r="AC521" s="77" t="inlineStr">
        <is>
          <t>Sets live challenge; engages with teams on site; receives recommendations/presentation</t>
        </is>
      </c>
      <c r="AD521" s="77" t="inlineStr">
        <is>
          <t>Port of Dover, Macknade, Barretts Kent, Enterprise Mobility (2026 cohort) [2]</t>
        </is>
      </c>
      <c r="AE521" s="77" t="inlineStr">
        <is>
          <t>Group consultancy report and client presentation</t>
        </is>
      </c>
      <c r="AF521" s="77">
        <f>IF(OR(V521="No",X521="No",Z521="No"),"Outside strict definition",IF(AND(V521="Yes",X521="Yes",Z521="Yes"),"Meets all three","Potentially relevant; evidence incomplete"))</f>
        <v/>
      </c>
      <c r="AG521" s="77" t="inlineStr">
        <is>
          <t>Current delivery confirmed</t>
        </is>
      </c>
      <c r="AH521" s="77" t="inlineStr">
        <is>
          <t>2026 (cohort); 2026/27 module listing</t>
        </is>
      </c>
      <c r="AI521" s="77" t="inlineStr">
        <is>
          <t>Yes</t>
        </is>
      </c>
      <c r="AJ521" s="77">
        <f>IF(AND(AI521="Yes",AF521="Meets all three",AG521="Current delivery confirmed"),"Yes","No")</f>
        <v/>
      </c>
      <c r="AK521" s="77" t="inlineStr">
        <is>
          <t>106 students, 15 teams, 10 projects (2026 cohort)</t>
        </is>
      </c>
      <c r="AL521" s="77" t="inlineStr">
        <is>
          <t>UK16-S01-R1; UK16-S01-R2</t>
        </is>
      </c>
      <c r="AM521" s="77" t="inlineStr">
        <is>
          <t>Whether compulsory on any KBS degree (page silent); progression threshold conflict; whether 'four external organisations' covered all 10 projects.</t>
        </is>
      </c>
      <c r="AN521" s="77" t="inlineStr"/>
      <c r="AO521" s="77" t="inlineStr">
        <is>
          <t>UK</t>
        </is>
      </c>
      <c r="AP521" s="77" t="inlineStr">
        <is>
          <t>UK – additional</t>
        </is>
      </c>
      <c r="AQ521" s="77" t="inlineStr">
        <is>
          <t>~1 term/semester</t>
        </is>
      </c>
      <c r="AR521" s="77" t="inlineStr">
        <is>
          <t>All/standard</t>
        </is>
      </c>
      <c r="AS521" s="77" t="inlineStr"/>
    </row>
    <row r="522">
      <c r="A522" s="77" t="inlineStr">
        <is>
          <t>UK16</t>
        </is>
      </c>
      <c r="B522" s="77" t="inlineStr">
        <is>
          <t>Kent</t>
        </is>
      </c>
      <c r="C522" s="77" t="inlineStr">
        <is>
          <t>University-wide</t>
        </is>
      </c>
      <c r="D522" s="77" t="inlineStr">
        <is>
          <t>UK16-S02</t>
        </is>
      </c>
      <c r="E522" s="77" t="inlineStr"/>
      <c r="F522" s="77" t="inlineStr">
        <is>
          <t>No</t>
        </is>
      </c>
      <c r="G522" s="79" t="inlineStr">
        <is>
          <t>i-Teams (Kent Innovation i-Teams; Student Impact Projects)</t>
        </is>
      </c>
      <c r="H522" s="77" t="inlineStr">
        <is>
          <t>i-Teams</t>
        </is>
      </c>
      <c r="I522" s="77" t="inlineStr"/>
      <c r="J522" s="77" t="inlineStr">
        <is>
          <t>Eight-session, eight-week careers/knowledge-exchange programme in which students from different disciplines form multi-disciplinary teams to tackle a live business problem set by a sponsor, with an industry mentor, ending in a Grand Final presentation to a panel. Open to non-business students.</t>
        </is>
      </c>
      <c r="K522" s="77" t="inlineStr">
        <is>
          <t>Careers and Employability Service (with Research and Innovation Services historically)</t>
        </is>
      </c>
      <c r="L522" s="77" t="inlineStr">
        <is>
          <t>Kent students across disciplines (careers page says non-business students welcome)</t>
        </is>
      </c>
      <c r="M522" s="77" t="inlineStr">
        <is>
          <t>Central provision</t>
        </is>
      </c>
      <c r="N522" s="77" t="inlineStr">
        <is>
          <t>Unclear</t>
        </is>
      </c>
      <c r="O522" s="77" t="inlineStr"/>
      <c r="P522" s="77" t="inlineStr">
        <is>
          <t>Not stated in retrieved extracts</t>
        </is>
      </c>
      <c r="Q522" s="77" t="inlineStr">
        <is>
          <t>Selective/competitive</t>
        </is>
      </c>
      <c r="R522" s="77" t="inlineStr">
        <is>
          <t>Extracurricular</t>
        </is>
      </c>
      <c r="S522" s="77" t="inlineStr">
        <is>
          <t>No credit; sessions carry Employability Points (search extract)</t>
        </is>
      </c>
      <c r="T522" s="77" t="inlineStr">
        <is>
          <t>Eight weeks / 8 sessions</t>
        </is>
      </c>
      <c r="U522" s="77" t="inlineStr">
        <is>
          <t>Team programme with mentor and Grand Final</t>
        </is>
      </c>
      <c r="V522" s="77" t="inlineStr">
        <is>
          <t>Yes</t>
        </is>
      </c>
      <c r="W522" s="77" t="inlineStr">
        <is>
          <t>Teams propose solutions to a sponsor's business challenge and present them at a Grand Final [1][2].</t>
        </is>
      </c>
      <c r="X522" s="77" t="inlineStr">
        <is>
          <t>Yes</t>
        </is>
      </c>
      <c r="Y522" s="77" t="inlineStr">
        <is>
          <t>Multi-disciplinary student teams [1][2].</t>
        </is>
      </c>
      <c r="Z522" s="77" t="inlineStr">
        <is>
          <t>Yes</t>
        </is>
      </c>
      <c r="AA522" s="77" t="inlineStr">
        <is>
          <t>Challenges set by business sponsors (2023: BAE Systems, Vesper 247, Docking Station; earlier IBM, TRN, Young Lives Foundation); mentor from industry; solutions presented to a panel [1][2][3].</t>
        </is>
      </c>
      <c r="AB522" s="77" t="inlineStr">
        <is>
          <t>Mixed</t>
        </is>
      </c>
      <c r="AC522" s="77" t="inlineStr">
        <is>
          <t>Sets live challenge; mentors; panel receives solutions</t>
        </is>
      </c>
      <c r="AD522" s="77" t="inlineStr">
        <is>
          <t>BAE Systems, Vesper 247, Docking Station (2023) [3]</t>
        </is>
      </c>
      <c r="AE522" s="77" t="inlineStr">
        <is>
          <t>Solution presentation at Grand Final</t>
        </is>
      </c>
      <c r="AF522" s="77">
        <f>IF(OR(V522="No",X522="No",Z522="No"),"Outside strict definition",IF(AND(V522="Yes",X522="Yes",Z522="Yes"),"Meets all three","Potentially relevant; evidence incomplete"))</f>
        <v/>
      </c>
      <c r="AG522" s="77" t="inlineStr">
        <is>
          <t>Current status unclear</t>
        </is>
      </c>
      <c r="AH522" s="77" t="inlineStr">
        <is>
          <t>2023 (cohort); undated careers page</t>
        </is>
      </c>
      <c r="AI522" s="77" t="inlineStr">
        <is>
          <t>Yes</t>
        </is>
      </c>
      <c r="AJ522" s="77">
        <f>IF(AND(AI522="Yes",AF522="Meets all three",AG522="Current delivery confirmed"),"Yes","No")</f>
        <v/>
      </c>
      <c r="AK522" s="77" t="inlineStr"/>
      <c r="AL522" s="77" t="inlineStr">
        <is>
          <t>UK16-S02-R1; UK16-S02-R2; UK16-S02-R3</t>
        </is>
      </c>
      <c r="AM522" s="77" t="inlineStr">
        <is>
          <t>No 2025/26 or 2026/27 evidence found; the careers page returned no relevant text on direct fetch, so its content is known only from the search extract; student level and eligibility not stated.</t>
        </is>
      </c>
      <c r="AN522" s="77" t="inlineStr"/>
      <c r="AO522" s="77" t="inlineStr">
        <is>
          <t>UK</t>
        </is>
      </c>
      <c r="AP522" s="77" t="inlineStr">
        <is>
          <t>UK – additional</t>
        </is>
      </c>
      <c r="AQ522" s="77" t="inlineStr">
        <is>
          <t>~1 term/semester</t>
        </is>
      </c>
      <c r="AR522" s="77" t="inlineStr">
        <is>
          <t>All/standard</t>
        </is>
      </c>
      <c r="AS522" s="77" t="inlineStr"/>
    </row>
    <row r="523">
      <c r="A523" s="77" t="inlineStr">
        <is>
          <t>UK16</t>
        </is>
      </c>
      <c r="B523" s="77" t="inlineStr">
        <is>
          <t>Kent</t>
        </is>
      </c>
      <c r="C523" s="77" t="inlineStr">
        <is>
          <t>Programme/course</t>
        </is>
      </c>
      <c r="D523" s="77" t="inlineStr">
        <is>
          <t>UK16-S03</t>
        </is>
      </c>
      <c r="E523" s="77" t="inlineStr"/>
      <c r="F523" s="77" t="inlineStr">
        <is>
          <t>No</t>
        </is>
      </c>
      <c r="G523" s="79" t="inlineStr">
        <is>
          <t>The Business Analytics Challenge</t>
        </is>
      </c>
      <c r="H523" s="77" t="inlineStr">
        <is>
          <t>The Business Analytics Challenge</t>
        </is>
      </c>
      <c r="I523" s="77" t="inlineStr">
        <is>
          <t>BUSB7032</t>
        </is>
      </c>
      <c r="J523" s="77" t="inlineStr">
        <is>
          <t>Level 7 40-credit capstone on MSc Business Analytics (alternative to a placement/internship): students pitch solutions to existing organisational problems; search extracts say groups of 3-4 work on a company partner's or curated dataset, then each writes an individual consultancy report.</t>
        </is>
      </c>
      <c r="K523" s="77" t="inlineStr">
        <is>
          <t>Kent Business School</t>
        </is>
      </c>
      <c r="L523" s="77" t="inlineStr">
        <is>
          <t>MSc Business Analytics (and possibly related KBS MScs)</t>
        </is>
      </c>
      <c r="M523" s="77" t="inlineStr">
        <is>
          <t>Business/management</t>
        </is>
      </c>
      <c r="N523" s="77" t="inlineStr">
        <is>
          <t>Postgraduate taught</t>
        </is>
      </c>
      <c r="O523" s="77" t="inlineStr">
        <is>
          <t>Final term</t>
        </is>
      </c>
      <c r="P523" s="77" t="inlineStr"/>
      <c r="Q523" s="77" t="inlineStr">
        <is>
          <t>Unclear</t>
        </is>
      </c>
      <c r="R523" s="77" t="inlineStr">
        <is>
          <t>Curricular</t>
        </is>
      </c>
      <c r="S523" s="77" t="inlineStr">
        <is>
          <t>40 credits (20 ECTS). Group presentation 20%; individual consultancy report 4,000 words 60%; individual reflective report 20%.</t>
        </is>
      </c>
      <c r="T523" s="77" t="inlineStr">
        <is>
          <t>Final term</t>
        </is>
      </c>
      <c r="U523" s="77" t="inlineStr">
        <is>
          <t>Consultancy-style group work</t>
        </is>
      </c>
      <c r="V523" s="77" t="inlineStr">
        <is>
          <t>Yes</t>
        </is>
      </c>
      <c r="W523" s="77" t="inlineStr">
        <is>
          <t>'Gain consultancy experience and pitch your solutions to existing organisational problems' [1].</t>
        </is>
      </c>
      <c r="X523" s="77" t="inlineStr">
        <is>
          <t>Unclear</t>
        </is>
      </c>
      <c r="Y523" s="77" t="inlineStr">
        <is>
          <t>Group presentation (20%) but main report is individual; group size 3-4 only from search paraphrase [1].</t>
        </is>
      </c>
      <c r="Z523" s="77" t="inlineStr">
        <is>
          <t>Unclear</t>
        </is>
      </c>
      <c r="AA523" s="77" t="inlineStr">
        <is>
          <t>Module page mentions 'existing organisational problems' but no client; company partner dataset only from search paraphrase, not verified on a page [1].</t>
        </is>
      </c>
      <c r="AB523" s="77" t="inlineStr">
        <is>
          <t>Unclear</t>
        </is>
      </c>
      <c r="AC523" s="77" t="inlineStr">
        <is>
          <t>Unclear</t>
        </is>
      </c>
      <c r="AD523" s="77" t="inlineStr"/>
      <c r="AE523" s="77" t="inlineStr">
        <is>
          <t>Group presentation and individual consultancy report</t>
        </is>
      </c>
      <c r="AF523" s="77">
        <f>IF(OR(V523="No",X523="No",Z523="No"),"Outside strict definition",IF(AND(V523="Yes",X523="Yes",Z523="Yes"),"Meets all three","Potentially relevant; evidence incomplete"))</f>
        <v/>
      </c>
      <c r="AG523" s="77" t="inlineStr">
        <is>
          <t>Current delivery confirmed</t>
        </is>
      </c>
      <c r="AH523" s="77" t="inlineStr">
        <is>
          <t>2026/27</t>
        </is>
      </c>
      <c r="AI523" s="77" t="inlineStr">
        <is>
          <t>Yes</t>
        </is>
      </c>
      <c r="AJ523" s="77">
        <f>IF(AND(AI523="Yes",AF523="Meets all three",AG523="Current delivery confirmed"),"Yes","No")</f>
        <v/>
      </c>
      <c r="AK523" s="77" t="inlineStr"/>
      <c r="AL523" s="77" t="inlineStr">
        <is>
          <t>UK16-S03-R1</t>
        </is>
      </c>
      <c r="AM523" s="77" t="inlineStr">
        <is>
          <t>Whether organisations are external clients and how they take part; group vs individual output; compulsory vs placement alternative.</t>
        </is>
      </c>
      <c r="AN523" s="77" t="inlineStr"/>
      <c r="AO523" s="77" t="inlineStr">
        <is>
          <t>UK</t>
        </is>
      </c>
      <c r="AP523" s="77" t="inlineStr">
        <is>
          <t>UK – additional</t>
        </is>
      </c>
      <c r="AQ523" s="77" t="inlineStr">
        <is>
          <t>~1 term/semester</t>
        </is>
      </c>
      <c r="AR523" s="77" t="inlineStr">
        <is>
          <t>Unclear</t>
        </is>
      </c>
      <c r="AS523" s="77" t="inlineStr"/>
    </row>
    <row r="524">
      <c r="A524" s="77" t="inlineStr">
        <is>
          <t>UK16</t>
        </is>
      </c>
      <c r="B524" s="77" t="inlineStr">
        <is>
          <t>Kent</t>
        </is>
      </c>
      <c r="C524" s="77" t="inlineStr">
        <is>
          <t>Programme/course</t>
        </is>
      </c>
      <c r="D524" s="77" t="inlineStr">
        <is>
          <t>UK16-S04</t>
        </is>
      </c>
      <c r="E524" s="77" t="inlineStr"/>
      <c r="F524" s="77" t="inlineStr">
        <is>
          <t>No</t>
        </is>
      </c>
      <c r="G524" s="79" t="inlineStr">
        <is>
          <t>Strategic Project Management Challenge (MSc Strategic Project Management)</t>
        </is>
      </c>
      <c r="H524" s="77" t="inlineStr">
        <is>
          <t>Strategic Project Management Challenge</t>
        </is>
      </c>
      <c r="I524" s="77" t="inlineStr"/>
      <c r="J524" s="77" t="inlineStr">
        <is>
          <t>Compulsory Stage 1 module on MSc Strategic Project Management: small teams work on a company problem presented to them and pitch a solution to the organisation, described as a student consultancy experience.</t>
        </is>
      </c>
      <c r="K524" s="77" t="inlineStr">
        <is>
          <t>Kent Business School</t>
        </is>
      </c>
      <c r="L524" s="77" t="inlineStr">
        <is>
          <t>MSc Strategic Project Management</t>
        </is>
      </c>
      <c r="M524" s="77" t="inlineStr">
        <is>
          <t>Business/management</t>
        </is>
      </c>
      <c r="N524" s="77" t="inlineStr">
        <is>
          <t>Postgraduate taught</t>
        </is>
      </c>
      <c r="O524" s="77" t="inlineStr">
        <is>
          <t>Stage 1</t>
        </is>
      </c>
      <c r="P524" s="77" t="inlineStr"/>
      <c r="Q524" s="77" t="inlineStr">
        <is>
          <t>Compulsory within specified programmes</t>
        </is>
      </c>
      <c r="R524" s="77" t="inlineStr">
        <is>
          <t>Curricular</t>
        </is>
      </c>
      <c r="S524" s="77" t="inlineStr">
        <is>
          <t>Not retrieved</t>
        </is>
      </c>
      <c r="T524" s="77" t="inlineStr">
        <is>
          <t>Not stated</t>
        </is>
      </c>
      <c r="U524" s="77" t="inlineStr">
        <is>
          <t>Team consultancy</t>
        </is>
      </c>
      <c r="V524" s="77" t="inlineStr">
        <is>
          <t>Yes</t>
        </is>
      </c>
      <c r="W524" s="77" t="inlineStr">
        <is>
          <t>Team consultancy task to pitch a solution [1].</t>
        </is>
      </c>
      <c r="X524" s="77" t="inlineStr">
        <is>
          <t>Yes</t>
        </is>
      </c>
      <c r="Y524" s="77" t="inlineStr">
        <is>
          <t>'Students will be working in small teams on a company problem presented to them' [1].</t>
        </is>
      </c>
      <c r="Z524" s="77" t="inlineStr">
        <is>
          <t>Unclear</t>
        </is>
      </c>
      <c r="AA524" s="77" t="inlineStr">
        <is>
          <t>'connects students to organisational case studies'; 'pitch a solution to the organization' [1] but unclear whether the organisation is a live external client or a case.</t>
        </is>
      </c>
      <c r="AB524" s="77" t="inlineStr">
        <is>
          <t>Unclear</t>
        </is>
      </c>
      <c r="AC524" s="77" t="inlineStr">
        <is>
          <t>Unclear</t>
        </is>
      </c>
      <c r="AD524" s="77" t="inlineStr"/>
      <c r="AE524" s="77" t="inlineStr">
        <is>
          <t>Solution pitch</t>
        </is>
      </c>
      <c r="AF524" s="77">
        <f>IF(OR(V524="No",X524="No",Z524="No"),"Outside strict definition",IF(AND(V524="Yes",X524="Yes",Z524="Yes"),"Meets all three","Potentially relevant; evidence incomplete"))</f>
        <v/>
      </c>
      <c r="AG524" s="77" t="inlineStr">
        <is>
          <t>Current status unclear</t>
        </is>
      </c>
      <c r="AH524" s="77" t="inlineStr">
        <is>
          <t>undated</t>
        </is>
      </c>
      <c r="AI524" s="77" t="inlineStr">
        <is>
          <t>Yes</t>
        </is>
      </c>
      <c r="AJ524" s="77">
        <f>IF(AND(AI524="Yes",AF524="Meets all three",AG524="Current delivery confirmed"),"Yes","No")</f>
        <v/>
      </c>
      <c r="AK524" s="77" t="inlineStr"/>
      <c r="AL524" s="77" t="inlineStr">
        <is>
          <t>UK16-S04-R1</t>
        </is>
      </c>
      <c r="AM524" s="77" t="inlineStr">
        <is>
          <t>Live vs case-based; year; credits; assessment.</t>
        </is>
      </c>
      <c r="AN524" s="77" t="inlineStr"/>
      <c r="AO524" s="77" t="inlineStr">
        <is>
          <t>UK</t>
        </is>
      </c>
      <c r="AP524" s="77" t="inlineStr">
        <is>
          <t>UK – additional</t>
        </is>
      </c>
      <c r="AQ524" s="77" t="inlineStr">
        <is>
          <t>Unclear</t>
        </is>
      </c>
      <c r="AR524" s="77" t="inlineStr">
        <is>
          <t>Unclear</t>
        </is>
      </c>
      <c r="AS524" s="77" t="inlineStr"/>
    </row>
    <row r="525">
      <c r="A525" s="77" t="inlineStr">
        <is>
          <t>UK17</t>
        </is>
      </c>
      <c r="B525" s="77" t="inlineStr">
        <is>
          <t>Brunel</t>
        </is>
      </c>
      <c r="C525" s="77" t="inlineStr">
        <is>
          <t>Faculty/school</t>
        </is>
      </c>
      <c r="D525" s="77" t="inlineStr">
        <is>
          <t>UK17-S01</t>
        </is>
      </c>
      <c r="E525" s="77" t="inlineStr"/>
      <c r="F525" s="77" t="inlineStr">
        <is>
          <t>Yes</t>
        </is>
      </c>
      <c r="G525" s="79" t="inlineStr">
        <is>
          <t>BBS Co-Innovate Collaborative Student Projects</t>
        </is>
      </c>
      <c r="H525" s="77" t="inlineStr">
        <is>
          <t>Brunel Business School Co-Innovate collaborative student projects with SMEs</t>
        </is>
      </c>
      <c r="I525" s="77" t="inlineStr"/>
      <c r="J525" s="77" t="inlineStr">
        <is>
          <t>Local SMEs/start-ups write project briefs (social media, marketing, new product launch, HR, accounting/finance); students apply with a CV and statement, are matched, sign a three-party contract (student, business, university) and work on campus on the brief with weekly student and monthly supervisor meetings, ending in a final report. Can be used as a final-year project or dissertation.</t>
        </is>
      </c>
      <c r="K525" s="77" t="inlineStr">
        <is>
          <t>Brunel Business School (Co-Innovate)</t>
        </is>
      </c>
      <c r="L525" s="77" t="inlineStr">
        <is>
          <t>Brunel Business School students; wider cross-university eligibility not evidenced</t>
        </is>
      </c>
      <c r="M525" s="77" t="inlineStr">
        <is>
          <t>Business/management</t>
        </is>
      </c>
      <c r="N525" s="77" t="inlineStr">
        <is>
          <t>Mixed</t>
        </is>
      </c>
      <c r="O525" s="77" t="inlineStr"/>
      <c r="P525" s="77" t="inlineStr"/>
      <c r="Q525" s="77" t="inlineStr">
        <is>
          <t>Optional/elective</t>
        </is>
      </c>
      <c r="R525" s="77" t="inlineStr">
        <is>
          <t>Mixed</t>
        </is>
      </c>
      <c r="S525" s="77" t="inlineStr">
        <is>
          <t>Final-year project/dissertation route (30 credits per BSc BME page); otherwise not stated</t>
        </is>
      </c>
      <c r="T525" s="77" t="inlineStr">
        <is>
          <t>3 weeks to 3/5 months, or across the academic year (sources differ)</t>
        </is>
      </c>
      <c r="U525" s="77" t="inlineStr">
        <is>
          <t>On campus, supervised by academic tutor</t>
        </is>
      </c>
      <c r="V525" s="77" t="inlineStr">
        <is>
          <t>Yes</t>
        </is>
      </c>
      <c r="W525" s="77" t="inlineStr">
        <is>
          <t>Business-written brief with scope/objectives and a final report (src 1).</t>
        </is>
      </c>
      <c r="X525" s="77" t="inlineStr">
        <is>
          <t>Unclear</t>
        </is>
      </c>
      <c r="Y525" s="77" t="inlineStr">
        <is>
          <t>Source says projects can be undertaken 'either as an individual or in a small team'; routes not separable (src 1).</t>
        </is>
      </c>
      <c r="Z525" s="77" t="inlineStr">
        <is>
          <t>Yes</t>
        </is>
      </c>
      <c r="AA525" s="77" t="inlineStr">
        <is>
          <t>SME writes the brief, is party to a tri-partite contract, and IP terms are agreed with the company (src 1).</t>
        </is>
      </c>
      <c r="AB525" s="77" t="inlineStr">
        <is>
          <t>Business/commercial</t>
        </is>
      </c>
      <c r="AC525" s="77" t="inlineStr">
        <is>
          <t>Client SME supplies live brief and IP agreement.</t>
        </is>
      </c>
      <c r="AD525" s="77" t="inlineStr"/>
      <c r="AE525" s="77" t="inlineStr">
        <is>
          <t>Final report to the SME</t>
        </is>
      </c>
      <c r="AF525" s="77">
        <f>IF(OR(V525="No",X525="No",Z525="No"),"Outside strict definition",IF(AND(V525="Yes",X525="Yes",Z525="Yes"),"Meets all three","Potentially relevant; evidence incomplete"))</f>
        <v/>
      </c>
      <c r="AG525" s="77" t="inlineStr">
        <is>
          <t>Current status unclear</t>
        </is>
      </c>
      <c r="AH525" s="77" t="inlineStr">
        <is>
          <t>undated</t>
        </is>
      </c>
      <c r="AI525" s="77" t="inlineStr">
        <is>
          <t>No</t>
        </is>
      </c>
      <c r="AJ525" s="77">
        <f>IF(AND(AI525="Yes",AF525="Meets all three",AG525="Current delivery confirmed"),"Yes","No")</f>
        <v/>
      </c>
      <c r="AK525" s="77" t="inlineStr"/>
      <c r="AL525" s="77" t="inlineStr">
        <is>
          <t>UK17-S01-R1</t>
        </is>
      </c>
      <c r="AM525" s="77" t="inlineStr">
        <is>
          <t>Page undated; fetched page does not mention funding or credits (ERDF reference from earlier search summary not confirmed). Team vs individual not separable; no dated 2025/26 source, so current delivery unverified.</t>
        </is>
      </c>
      <c r="AN525" s="77" t="inlineStr"/>
      <c r="AO525" s="77" t="inlineStr">
        <is>
          <t>UK</t>
        </is>
      </c>
      <c r="AP525" s="77" t="inlineStr">
        <is>
          <t>UK – additional</t>
        </is>
      </c>
      <c r="AQ525" s="77" t="inlineStr">
        <is>
          <t>Unclear</t>
        </is>
      </c>
      <c r="AR525" s="77" t="inlineStr">
        <is>
          <t>All/standard</t>
        </is>
      </c>
      <c r="AS525" s="77" t="inlineStr">
        <is>
          <t>No (umbrella; children counted)</t>
        </is>
      </c>
    </row>
    <row r="526">
      <c r="A526" s="77" t="inlineStr">
        <is>
          <t>UK17</t>
        </is>
      </c>
      <c r="B526" s="77" t="inlineStr">
        <is>
          <t>Brunel</t>
        </is>
      </c>
      <c r="C526" s="77" t="inlineStr">
        <is>
          <t>Programme/course</t>
        </is>
      </c>
      <c r="D526" s="77" t="inlineStr">
        <is>
          <t>UK17-S02</t>
        </is>
      </c>
      <c r="E526" s="77" t="inlineStr">
        <is>
          <t>UK17-S01</t>
        </is>
      </c>
      <c r="F526" s="77" t="inlineStr">
        <is>
          <t>No</t>
        </is>
      </c>
      <c r="G526" s="79" t="inlineStr">
        <is>
          <t>BSc Business Management with Entrepreneurship: Issues and Controversies in Business and Management Project / Co-Innovate business project</t>
        </is>
      </c>
      <c r="H526" s="77" t="inlineStr">
        <is>
          <t>Final-year Co-Innovate SME consultancy</t>
        </is>
      </c>
      <c r="I526" s="77" t="inlineStr">
        <is>
          <t>MG3654 (BME BSc; coded MG3A30 on Business and Management BSc)</t>
        </is>
      </c>
      <c r="J526" s="77" t="inlineStr">
        <is>
          <t>Final-year students can take a live business challenge for a London SME via Co-Innovate and present strategic recommendations to the client's management team; final-year project may be an 8,000-word independent study or a Co-Innovate business project (30 credits).</t>
        </is>
      </c>
      <c r="K526" s="77" t="inlineStr">
        <is>
          <t>Brunel Business School</t>
        </is>
      </c>
      <c r="L526" s="77" t="inlineStr">
        <is>
          <t>BSc Business Management with Entrepreneurship; Business and Management BSc lists same title</t>
        </is>
      </c>
      <c r="M526" s="77" t="inlineStr">
        <is>
          <t>Business/management</t>
        </is>
      </c>
      <c r="N526" s="77" t="inlineStr">
        <is>
          <t>Undergraduate</t>
        </is>
      </c>
      <c r="O526" s="77" t="inlineStr">
        <is>
          <t>Final year</t>
        </is>
      </c>
      <c r="P526" s="77" t="inlineStr"/>
      <c r="Q526" s="77" t="inlineStr">
        <is>
          <t>Optional/elective</t>
        </is>
      </c>
      <c r="R526" s="77" t="inlineStr">
        <is>
          <t>Curricular</t>
        </is>
      </c>
      <c r="S526" s="77" t="inlineStr">
        <is>
          <t>30 credits (final-year project route); oral presentations, group discussions, extended written report</t>
        </is>
      </c>
      <c r="T526" s="77" t="inlineStr">
        <is>
          <t>Academic year (per Co-Innovate)</t>
        </is>
      </c>
      <c r="U526" s="77" t="inlineStr">
        <is>
          <t>Module/project with SME client</t>
        </is>
      </c>
      <c r="V526" s="77" t="inlineStr">
        <is>
          <t>Yes</t>
        </is>
      </c>
      <c r="W526" s="77" t="inlineStr">
        <is>
          <t>Live business challenge for London SME; extended report (src 2).</t>
        </is>
      </c>
      <c r="X526" s="77" t="inlineStr">
        <is>
          <t>Unclear</t>
        </is>
      </c>
      <c r="Y526" s="77" t="inlineStr">
        <is>
          <t>Module description mentions group discussions; Co-Innovate allows individual or small team; not separable (src 2, S1 src 1).</t>
        </is>
      </c>
      <c r="Z526" s="77" t="inlineStr">
        <is>
          <t>Yes</t>
        </is>
      </c>
      <c r="AA526" s="77" t="inlineStr">
        <is>
          <t>Students present strategic recommendations to the client's management team (src 2).</t>
        </is>
      </c>
      <c r="AB526" s="77" t="inlineStr">
        <is>
          <t>Business/commercial</t>
        </is>
      </c>
      <c r="AC526" s="77" t="inlineStr">
        <is>
          <t>London SME client receives recommendations.</t>
        </is>
      </c>
      <c r="AD526" s="77" t="inlineStr"/>
      <c r="AE526" s="77" t="inlineStr">
        <is>
          <t>Report and presentation to SME management</t>
        </is>
      </c>
      <c r="AF526" s="77">
        <f>IF(OR(V526="No",X526="No",Z526="No"),"Outside strict definition",IF(AND(V526="Yes",X526="Yes",Z526="Yes"),"Meets all three","Potentially relevant; evidence incomplete"))</f>
        <v/>
      </c>
      <c r="AG526" s="77" t="inlineStr">
        <is>
          <t>Current status unclear</t>
        </is>
      </c>
      <c r="AH526" s="77" t="inlineStr"/>
      <c r="AI526" s="77" t="inlineStr">
        <is>
          <t>Yes</t>
        </is>
      </c>
      <c r="AJ526" s="77">
        <f>IF(AND(AI526="Yes",AF526="Meets all three",AG526="Current delivery confirmed"),"Yes","No")</f>
        <v/>
      </c>
      <c r="AK526" s="77" t="inlineStr"/>
      <c r="AL526" s="77" t="inlineStr">
        <is>
          <t>UK17-S02-R1</t>
        </is>
      </c>
      <c r="AM526" s="77" t="inlineStr">
        <is>
          <t>Optional vs core status differs between BME and Business &amp; Management pages; whether every student gets an SME client unclear; no dated 2025/26 evidence retrieved.</t>
        </is>
      </c>
      <c r="AN526" s="77" t="inlineStr"/>
      <c r="AO526" s="77" t="inlineStr">
        <is>
          <t>UK</t>
        </is>
      </c>
      <c r="AP526" s="77" t="inlineStr">
        <is>
          <t>UK – additional</t>
        </is>
      </c>
      <c r="AQ526" s="77" t="inlineStr">
        <is>
          <t>&gt;1 term</t>
        </is>
      </c>
      <c r="AR526" s="77" t="inlineStr">
        <is>
          <t>Some projects</t>
        </is>
      </c>
      <c r="AS526" s="77" t="inlineStr"/>
    </row>
    <row r="527">
      <c r="A527" s="77" t="inlineStr">
        <is>
          <t>UK17</t>
        </is>
      </c>
      <c r="B527" s="77" t="inlineStr">
        <is>
          <t>Brunel</t>
        </is>
      </c>
      <c r="C527" s="77" t="inlineStr">
        <is>
          <t>Programme/course</t>
        </is>
      </c>
      <c r="D527" s="77" t="inlineStr">
        <is>
          <t>UK17-S03</t>
        </is>
      </c>
      <c r="E527" s="77" t="inlineStr"/>
      <c r="F527" s="77" t="inlineStr">
        <is>
          <t>No</t>
        </is>
      </c>
      <c r="G527" s="79" t="inlineStr">
        <is>
          <t>MSc Project Management: Project Consultancy and Risk Management</t>
        </is>
      </c>
      <c r="H527" s="77" t="inlineStr">
        <is>
          <t>Live consultancy projects in MSc Project Management</t>
        </is>
      </c>
      <c r="I527" s="77" t="inlineStr">
        <is>
          <t>MG5xx2 (as quoted in search summary)</t>
        </is>
      </c>
      <c r="J527" s="77" t="inlineStr">
        <is>
          <t>Compulsory module whose assessment includes live consultancy projects and case study analyses applied to real organisational challenges.</t>
        </is>
      </c>
      <c r="K527" s="77" t="inlineStr">
        <is>
          <t>Brunel Business School</t>
        </is>
      </c>
      <c r="L527" s="77" t="inlineStr">
        <is>
          <t>MSc Project Management</t>
        </is>
      </c>
      <c r="M527" s="77" t="inlineStr">
        <is>
          <t>Business/management</t>
        </is>
      </c>
      <c r="N527" s="77" t="inlineStr">
        <is>
          <t>Postgraduate taught</t>
        </is>
      </c>
      <c r="O527" s="77" t="inlineStr"/>
      <c r="P527" s="77" t="inlineStr"/>
      <c r="Q527" s="77" t="inlineStr">
        <is>
          <t>Compulsory within specified programmes</t>
        </is>
      </c>
      <c r="R527" s="77" t="inlineStr">
        <is>
          <t>Curricular</t>
        </is>
      </c>
      <c r="S527" s="77" t="inlineStr"/>
      <c r="T527" s="77" t="inlineStr"/>
      <c r="U527" s="77" t="inlineStr"/>
      <c r="V527" s="77" t="inlineStr">
        <is>
          <t>Unclear</t>
        </is>
      </c>
      <c r="W527" s="77" t="inlineStr">
        <is>
          <t>'Live consultancy projects' mentioned (src 3) but no brief/output detail.</t>
        </is>
      </c>
      <c r="X527" s="77" t="inlineStr">
        <is>
          <t>Unclear</t>
        </is>
      </c>
      <c r="Y527" s="77" t="inlineStr">
        <is>
          <t>Course page: "Group projects and presentations simulate the dynamics of real project teams" (page text); not tied to the live consultancy projects.</t>
        </is>
      </c>
      <c r="Z527" s="77" t="inlineStr">
        <is>
          <t>Unclear</t>
        </is>
      </c>
      <c r="AA527" s="77" t="inlineStr">
        <is>
          <t>Says 'real organisational challenges' but not who sets/receives the work.</t>
        </is>
      </c>
      <c r="AB527" s="77" t="inlineStr">
        <is>
          <t>Unclear</t>
        </is>
      </c>
      <c r="AC527" s="77" t="inlineStr"/>
      <c r="AD527" s="77" t="inlineStr"/>
      <c r="AE527" s="77" t="inlineStr"/>
      <c r="AF527" s="77">
        <f>IF(OR(V527="No",X527="No",Z527="No"),"Outside strict definition",IF(AND(V527="Yes",X527="Yes",Z527="Yes"),"Meets all three","Potentially relevant; evidence incomplete"))</f>
        <v/>
      </c>
      <c r="AG527" s="77" t="inlineStr">
        <is>
          <t>Current status unclear</t>
        </is>
      </c>
      <c r="AH527" s="77" t="inlineStr"/>
      <c r="AI527" s="77" t="inlineStr">
        <is>
          <t>Yes</t>
        </is>
      </c>
      <c r="AJ527" s="77">
        <f>IF(AND(AI527="Yes",AF527="Meets all three",AG527="Current delivery confirmed"),"Yes","No")</f>
        <v/>
      </c>
      <c r="AK527" s="77" t="inlineStr"/>
      <c r="AL527" s="77" t="inlineStr">
        <is>
          <t>UK17-S03-R1</t>
        </is>
      </c>
      <c r="AM527" s="77" t="inlineStr">
        <is>
          <t>Need module page: client identity, team structure, current-year delivery.</t>
        </is>
      </c>
      <c r="AN527" s="77" t="inlineStr"/>
      <c r="AO527" s="77" t="inlineStr">
        <is>
          <t>UK</t>
        </is>
      </c>
      <c r="AP527" s="77" t="inlineStr">
        <is>
          <t>UK – additional</t>
        </is>
      </c>
      <c r="AQ527" s="77" t="inlineStr">
        <is>
          <t>Unclear</t>
        </is>
      </c>
      <c r="AR527" s="77" t="inlineStr">
        <is>
          <t>Unclear</t>
        </is>
      </c>
      <c r="AS527" s="77" t="inlineStr"/>
    </row>
    <row r="528">
      <c r="A528" s="77" t="inlineStr">
        <is>
          <t>UK17</t>
        </is>
      </c>
      <c r="B528" s="77" t="inlineStr">
        <is>
          <t>Brunel</t>
        </is>
      </c>
      <c r="C528" s="77" t="inlineStr">
        <is>
          <t>Faculty/school</t>
        </is>
      </c>
      <c r="D528" s="77" t="inlineStr">
        <is>
          <t>UK17-S04</t>
        </is>
      </c>
      <c r="E528" s="77" t="inlineStr"/>
      <c r="F528" s="77" t="inlineStr">
        <is>
          <t>No</t>
        </is>
      </c>
      <c r="G528" s="79" t="inlineStr">
        <is>
          <t>Design+ (Brunel Design School) industry final-year projects / live briefs</t>
        </is>
      </c>
      <c r="H528" s="77" t="inlineStr">
        <is>
          <t>Design+ industry collaboration on final-year projects</t>
        </is>
      </c>
      <c r="I528" s="77" t="inlineStr"/>
      <c r="J528" s="77" t="inlineStr">
        <is>
          <t>Design+ lets businesses work with Brunel Design students on their Final Year Project (running since 2004); partners named include Brompton Bikes, Hornby, BT and JLR (undated).</t>
        </is>
      </c>
      <c r="K528" s="77" t="inlineStr">
        <is>
          <t>Brunel Design School; Student Professional Development</t>
        </is>
      </c>
      <c r="L528" s="77" t="inlineStr">
        <is>
          <t>Design School programmes (Industrial Design, Digital Design, Integrated Product Design MSc etc.)</t>
        </is>
      </c>
      <c r="M528" s="77" t="inlineStr">
        <is>
          <t>Other (law, health, design, architecture…)</t>
        </is>
      </c>
      <c r="N528" s="77" t="inlineStr">
        <is>
          <t>Mixed</t>
        </is>
      </c>
      <c r="O528" s="77" t="inlineStr"/>
      <c r="P528" s="77" t="inlineStr"/>
      <c r="Q528" s="77" t="inlineStr">
        <is>
          <t>Unclear</t>
        </is>
      </c>
      <c r="R528" s="77" t="inlineStr">
        <is>
          <t>Curricular</t>
        </is>
      </c>
      <c r="S528" s="77" t="inlineStr"/>
      <c r="T528" s="77" t="inlineStr"/>
      <c r="U528" s="77" t="inlineStr"/>
      <c r="V528" s="77" t="inlineStr">
        <is>
          <t>Yes</t>
        </is>
      </c>
      <c r="W528" s="77" t="inlineStr">
        <is>
          <t>Final-year design project with industry partner (src 4, summary).</t>
        </is>
      </c>
      <c r="X528" s="77" t="inlineStr">
        <is>
          <t>Unclear</t>
        </is>
      </c>
      <c r="Y528" s="77" t="inlineStr">
        <is>
          <t>Design+ page does not say group or individual (page text).</t>
        </is>
      </c>
      <c r="Z528" s="77" t="inlineStr">
        <is>
          <t>Unclear</t>
        </is>
      </c>
      <c r="AA528" s="77" t="inlineStr">
        <is>
          <t>Companies collaborate on final-year projects; extent ('can', 'some projects') unclear.</t>
        </is>
      </c>
      <c r="AB528" s="77" t="inlineStr">
        <is>
          <t>Business/commercial</t>
        </is>
      </c>
      <c r="AC528" s="77" t="inlineStr"/>
      <c r="AD528" s="77" t="inlineStr">
        <is>
          <t>Brompton Bikes, Hornby, BT, JLR (undated search summary)</t>
        </is>
      </c>
      <c r="AE528" s="77" t="inlineStr"/>
      <c r="AF528" s="77">
        <f>IF(OR(V528="No",X528="No",Z528="No"),"Outside strict definition",IF(AND(V528="Yes",X528="Yes",Z528="Yes"),"Meets all three","Potentially relevant; evidence incomplete"))</f>
        <v/>
      </c>
      <c r="AG528" s="77" t="inlineStr">
        <is>
          <t>Current status unclear</t>
        </is>
      </c>
      <c r="AH528" s="77" t="inlineStr"/>
      <c r="AI528" s="77" t="inlineStr">
        <is>
          <t>Yes</t>
        </is>
      </c>
      <c r="AJ528" s="77">
        <f>IF(AND(AI528="Yes",AF528="Meets all three",AG528="Current delivery confirmed"),"Yes","No")</f>
        <v/>
      </c>
      <c r="AK528" s="77" t="inlineStr"/>
      <c r="AL528" s="77" t="inlineStr">
        <is>
          <t>UK17-S04-R1</t>
        </is>
      </c>
      <c r="AM528" s="77" t="inlineStr">
        <is>
          <t>Extended searches refused (limit). Need Digital Design BSc module page and Design+ page to test group working, standard client coverage and 2025/26 delivery.</t>
        </is>
      </c>
      <c r="AN528" s="77" t="inlineStr"/>
      <c r="AO528" s="77" t="inlineStr">
        <is>
          <t>UK</t>
        </is>
      </c>
      <c r="AP528" s="77" t="inlineStr">
        <is>
          <t>UK – additional</t>
        </is>
      </c>
      <c r="AQ528" s="77" t="inlineStr">
        <is>
          <t>Unclear</t>
        </is>
      </c>
      <c r="AR528" s="77" t="inlineStr">
        <is>
          <t>Some projects</t>
        </is>
      </c>
      <c r="AS528" s="77" t="inlineStr"/>
    </row>
    <row r="529">
      <c r="A529" s="77" t="inlineStr">
        <is>
          <t>UK17</t>
        </is>
      </c>
      <c r="B529" s="77" t="inlineStr">
        <is>
          <t>Brunel</t>
        </is>
      </c>
      <c r="C529" s="77" t="inlineStr">
        <is>
          <t>Programme/course</t>
        </is>
      </c>
      <c r="D529" s="77" t="inlineStr">
        <is>
          <t>UK17-S05</t>
        </is>
      </c>
      <c r="E529" s="77" t="inlineStr"/>
      <c r="F529" s="77" t="inlineStr">
        <is>
          <t>No</t>
        </is>
      </c>
      <c r="G529" s="79" t="inlineStr">
        <is>
          <t>Global Challenges BASc: Enterprise Project</t>
        </is>
      </c>
      <c r="H529" s="77" t="inlineStr">
        <is>
          <t>Global Challenges Enterprise Project (placement or group project)</t>
        </is>
      </c>
      <c r="I529" s="77" t="inlineStr"/>
      <c r="J529" s="77" t="inlineStr">
        <is>
          <t>Third-year students complete a placement or group project over about 8 weeks; group projects can be run with an NGO, policy organisation, think tank, government body or business.</t>
        </is>
      </c>
      <c r="K529" s="77" t="inlineStr">
        <is>
          <t>Brunel (Global Challenges BASc)</t>
        </is>
      </c>
      <c r="L529" s="77" t="inlineStr">
        <is>
          <t>Global Challenges BASc</t>
        </is>
      </c>
      <c r="M529" s="77" t="inlineStr">
        <is>
          <t>Arts/humanities/social sciences</t>
        </is>
      </c>
      <c r="N529" s="77" t="inlineStr">
        <is>
          <t>Undergraduate</t>
        </is>
      </c>
      <c r="O529" s="77" t="inlineStr">
        <is>
          <t>Year 3</t>
        </is>
      </c>
      <c r="P529" s="77" t="inlineStr"/>
      <c r="Q529" s="77" t="inlineStr">
        <is>
          <t>Compulsory within specified programmes</t>
        </is>
      </c>
      <c r="R529" s="77" t="inlineStr">
        <is>
          <t>Curricular</t>
        </is>
      </c>
      <c r="S529" s="77" t="inlineStr"/>
      <c r="T529" s="77" t="inlineStr">
        <is>
          <t>8 weeks</t>
        </is>
      </c>
      <c r="U529" s="77" t="inlineStr"/>
      <c r="V529" s="77" t="inlineStr">
        <is>
          <t>Unclear</t>
        </is>
      </c>
      <c r="W529" s="77" t="inlineStr">
        <is>
          <t>Group project option (src 5).</t>
        </is>
      </c>
      <c r="X529" s="77" t="inlineStr">
        <is>
          <t>Yes</t>
        </is>
      </c>
      <c r="Y529" s="77" t="inlineStr">
        <is>
          <t>'group project' option stated, but alternative is individual placement (src 5).</t>
        </is>
      </c>
      <c r="Z529" s="77" t="inlineStr">
        <is>
          <t>Unclear</t>
        </is>
      </c>
      <c r="AA529" s="77" t="inlineStr">
        <is>
          <t>Group projects 'can be run with' external bodies - optional wording.</t>
        </is>
      </c>
      <c r="AB529" s="77" t="inlineStr">
        <is>
          <t>Mixed</t>
        </is>
      </c>
      <c r="AC529" s="77" t="inlineStr"/>
      <c r="AD529" s="77" t="inlineStr"/>
      <c r="AE529" s="77" t="inlineStr"/>
      <c r="AF529" s="77">
        <f>IF(OR(V529="No",X529="No",Z529="No"),"Outside strict definition",IF(AND(V529="Yes",X529="Yes",Z529="Yes"),"Meets all three","Potentially relevant; evidence incomplete"))</f>
        <v/>
      </c>
      <c r="AG529" s="77" t="inlineStr">
        <is>
          <t>Current status unclear</t>
        </is>
      </c>
      <c r="AH529" s="77" t="inlineStr"/>
      <c r="AI529" s="77" t="inlineStr">
        <is>
          <t>Yes</t>
        </is>
      </c>
      <c r="AJ529" s="77">
        <f>IF(AND(AI529="Yes",AF529="Meets all three",AG529="Current delivery confirmed"),"Yes","No")</f>
        <v/>
      </c>
      <c r="AK529" s="77" t="inlineStr"/>
      <c r="AL529" s="77" t="inlineStr">
        <is>
          <t>UK17-S05-R1</t>
        </is>
      </c>
      <c r="AM529" s="77" t="inlineStr">
        <is>
          <t>Need module page: choice between placement and group project, whether external body sets brief, current delivery. Course page fetch returned no module text on 2026-10-13.</t>
        </is>
      </c>
      <c r="AN529" s="77" t="inlineStr"/>
      <c r="AO529" s="77" t="inlineStr">
        <is>
          <t>UK</t>
        </is>
      </c>
      <c r="AP529" s="77" t="inlineStr">
        <is>
          <t>UK – additional</t>
        </is>
      </c>
      <c r="AQ529" s="77" t="inlineStr">
        <is>
          <t>~1 term/semester</t>
        </is>
      </c>
      <c r="AR529" s="77" t="inlineStr">
        <is>
          <t>Some projects</t>
        </is>
      </c>
      <c r="AS529" s="77" t="inlineStr"/>
    </row>
    <row r="530">
      <c r="A530" s="77" t="inlineStr">
        <is>
          <t>UK17</t>
        </is>
      </c>
      <c r="B530" s="77" t="inlineStr">
        <is>
          <t>Brunel</t>
        </is>
      </c>
      <c r="C530" s="77" t="inlineStr">
        <is>
          <t>Unclear</t>
        </is>
      </c>
      <c r="D530" s="77" t="inlineStr">
        <is>
          <t>UK17-S06</t>
        </is>
      </c>
      <c r="E530" s="77" t="inlineStr"/>
      <c r="F530" s="77" t="inlineStr">
        <is>
          <t>No</t>
        </is>
      </c>
      <c r="G530" s="79" t="inlineStr">
        <is>
          <t>Enterprise Mobility Challenge</t>
        </is>
      </c>
      <c r="H530" s="77" t="inlineStr">
        <is>
          <t>Enterprise Mobility Challenge (2-week design challenge with Enterprise)</t>
        </is>
      </c>
      <c r="I530" s="77" t="inlineStr"/>
      <c r="J530" s="77" t="inlineStr">
        <is>
          <t>Two-week design challenge launched Feb 2025 in which students collaborate with Enterprise (car rental company) to gain industry experience.</t>
        </is>
      </c>
      <c r="K530" s="77" t="inlineStr">
        <is>
          <t>Brunel (students.brunel.ac.uk what's-on)</t>
        </is>
      </c>
      <c r="L530" s="77" t="inlineStr"/>
      <c r="M530" s="77" t="inlineStr">
        <is>
          <t>Central provision</t>
        </is>
      </c>
      <c r="N530" s="77" t="inlineStr">
        <is>
          <t>Unclear</t>
        </is>
      </c>
      <c r="O530" s="77" t="inlineStr"/>
      <c r="P530" s="77" t="inlineStr"/>
      <c r="Q530" s="77" t="inlineStr">
        <is>
          <t>Optional/elective</t>
        </is>
      </c>
      <c r="R530" s="77" t="inlineStr">
        <is>
          <t>Extracurricular</t>
        </is>
      </c>
      <c r="S530" s="77" t="inlineStr"/>
      <c r="T530" s="77" t="inlineStr">
        <is>
          <t>2 weeks</t>
        </is>
      </c>
      <c r="U530" s="77" t="inlineStr"/>
      <c r="V530" s="77" t="inlineStr">
        <is>
          <t>Unclear</t>
        </is>
      </c>
      <c r="W530" s="77" t="inlineStr">
        <is>
          <t>Design challenge; output not evidenced.</t>
        </is>
      </c>
      <c r="X530" s="77" t="inlineStr">
        <is>
          <t>Unclear</t>
        </is>
      </c>
      <c r="Y530" s="77" t="inlineStr">
        <is>
          <t>Not evidenced.</t>
        </is>
      </c>
      <c r="Z530" s="77" t="inlineStr">
        <is>
          <t>Yes</t>
        </is>
      </c>
      <c r="AA530" s="77" t="inlineStr">
        <is>
          <t>Students collaborate with Enterprise (src 6, summary); depth of company role not evidenced.</t>
        </is>
      </c>
      <c r="AB530" s="77" t="inlineStr">
        <is>
          <t>Business/commercial</t>
        </is>
      </c>
      <c r="AC530" s="77" t="inlineStr"/>
      <c r="AD530" s="77" t="inlineStr">
        <is>
          <t>Enterprise (2025)</t>
        </is>
      </c>
      <c r="AE530" s="77" t="inlineStr"/>
      <c r="AF530" s="77">
        <f>IF(OR(V530="No",X530="No",Z530="No"),"Outside strict definition",IF(AND(V530="Yes",X530="Yes",Z530="Yes"),"Meets all three","Potentially relevant; evidence incomplete"))</f>
        <v/>
      </c>
      <c r="AG530" s="77" t="inlineStr">
        <is>
          <t>Current delivery confirmed</t>
        </is>
      </c>
      <c r="AH530" s="77" t="inlineStr">
        <is>
          <t>2025</t>
        </is>
      </c>
      <c r="AI530" s="77" t="inlineStr">
        <is>
          <t>Yes</t>
        </is>
      </c>
      <c r="AJ530" s="77">
        <f>IF(AND(AI530="Yes",AF530="Meets all three",AG530="Current delivery confirmed"),"Yes","No")</f>
        <v/>
      </c>
      <c r="AK530" s="77" t="inlineStr"/>
      <c r="AL530" s="77" t="inlineStr">
        <is>
          <t>UK17-S06-R1</t>
        </is>
      </c>
      <c r="AM530" s="77" t="inlineStr">
        <is>
          <t>Operating status set from Feb 2025 launch event only (before 2025/26 academic year start may be 2024/25); team format, output and eligibility unknown. Treat as evidence incomplete.</t>
        </is>
      </c>
      <c r="AN530" s="77" t="inlineStr"/>
      <c r="AO530" s="77" t="inlineStr">
        <is>
          <t>UK</t>
        </is>
      </c>
      <c r="AP530" s="77" t="inlineStr">
        <is>
          <t>UK – additional</t>
        </is>
      </c>
      <c r="AQ530" s="77" t="inlineStr">
        <is>
          <t>1–4 weeks</t>
        </is>
      </c>
      <c r="AR530" s="77" t="inlineStr">
        <is>
          <t>All/standard</t>
        </is>
      </c>
      <c r="AS530" s="77" t="inlineStr"/>
    </row>
    <row r="531">
      <c r="A531" s="77" t="inlineStr">
        <is>
          <t>UK17</t>
        </is>
      </c>
      <c r="B531" s="77" t="inlineStr">
        <is>
          <t>Brunel</t>
        </is>
      </c>
      <c r="C531" s="77" t="inlineStr">
        <is>
          <t>Programme/course</t>
        </is>
      </c>
      <c r="D531" s="77" t="inlineStr">
        <is>
          <t>UK17-S07</t>
        </is>
      </c>
      <c r="E531" s="77" t="inlineStr"/>
      <c r="F531" s="77" t="inlineStr">
        <is>
          <t>No</t>
        </is>
      </c>
      <c r="G531" s="79" t="inlineStr">
        <is>
          <t>MSc Integrated Product Design / Sustainability, Entrepreneurship and Design: studio projects with industry partners</t>
        </is>
      </c>
      <c r="H531" s="77" t="inlineStr">
        <is>
          <t>PG design studio live projects</t>
        </is>
      </c>
      <c r="I531" s="77" t="inlineStr"/>
      <c r="J531" s="77" t="inlineStr">
        <is>
          <t>Studio design projects include academic and live projects offered by industry partners.</t>
        </is>
      </c>
      <c r="K531" s="77" t="inlineStr">
        <is>
          <t>Brunel Design School</t>
        </is>
      </c>
      <c r="L531" s="77" t="inlineStr">
        <is>
          <t>MSc Integrated Product Design; MSc Sustainability, Entrepreneurship and Design</t>
        </is>
      </c>
      <c r="M531" s="77" t="inlineStr">
        <is>
          <t>Other (law, health, design, architecture…)</t>
        </is>
      </c>
      <c r="N531" s="77" t="inlineStr">
        <is>
          <t>Postgraduate taught</t>
        </is>
      </c>
      <c r="O531" s="77" t="inlineStr"/>
      <c r="P531" s="77" t="inlineStr"/>
      <c r="Q531" s="77" t="inlineStr">
        <is>
          <t>Compulsory within specified programmes</t>
        </is>
      </c>
      <c r="R531" s="77" t="inlineStr">
        <is>
          <t>Curricular</t>
        </is>
      </c>
      <c r="S531" s="77" t="inlineStr"/>
      <c r="T531" s="77" t="inlineStr"/>
      <c r="U531" s="77" t="inlineStr"/>
      <c r="V531" s="77" t="inlineStr">
        <is>
          <t>Yes</t>
        </is>
      </c>
      <c r="W531" s="77" t="inlineStr">
        <is>
          <t>Studio design projects (src 7).</t>
        </is>
      </c>
      <c r="X531" s="77" t="inlineStr">
        <is>
          <t>Unclear</t>
        </is>
      </c>
      <c r="Y531" s="77" t="inlineStr">
        <is>
          <t>Not evidenced.</t>
        </is>
      </c>
      <c r="Z531" s="77" t="inlineStr">
        <is>
          <t>Unclear</t>
        </is>
      </c>
      <c r="AA531" s="77" t="inlineStr">
        <is>
          <t>'academic and live projects' - mixed; not standard (src 7).</t>
        </is>
      </c>
      <c r="AB531" s="77" t="inlineStr">
        <is>
          <t>Business/commercial</t>
        </is>
      </c>
      <c r="AC531" s="77" t="inlineStr"/>
      <c r="AD531" s="77" t="inlineStr"/>
      <c r="AE531" s="77" t="inlineStr"/>
      <c r="AF531" s="77">
        <f>IF(OR(V531="No",X531="No",Z531="No"),"Outside strict definition",IF(AND(V531="Yes",X531="Yes",Z531="Yes"),"Meets all three","Potentially relevant; evidence incomplete"))</f>
        <v/>
      </c>
      <c r="AG531" s="77" t="inlineStr">
        <is>
          <t>Current status unclear</t>
        </is>
      </c>
      <c r="AH531" s="77" t="inlineStr"/>
      <c r="AI531" s="77" t="inlineStr">
        <is>
          <t>Yes</t>
        </is>
      </c>
      <c r="AJ531" s="77">
        <f>IF(AND(AI531="Yes",AF531="Meets all three",AG531="Current delivery confirmed"),"Yes","No")</f>
        <v/>
      </c>
      <c r="AK531" s="77" t="inlineStr"/>
      <c r="AL531" s="77" t="inlineStr">
        <is>
          <t>UK17-S07-R1</t>
        </is>
      </c>
      <c r="AM531" s="77" t="inlineStr">
        <is>
          <t>Need module page for team structure and share of live projects.</t>
        </is>
      </c>
      <c r="AN531" s="77" t="inlineStr"/>
      <c r="AO531" s="77" t="inlineStr">
        <is>
          <t>UK</t>
        </is>
      </c>
      <c r="AP531" s="77" t="inlineStr">
        <is>
          <t>UK – additional</t>
        </is>
      </c>
      <c r="AQ531" s="77" t="inlineStr">
        <is>
          <t>Unclear</t>
        </is>
      </c>
      <c r="AR531" s="77" t="inlineStr">
        <is>
          <t>Some projects</t>
        </is>
      </c>
      <c r="AS531" s="77" t="inlineStr"/>
    </row>
    <row r="532">
      <c r="A532" s="77" t="inlineStr">
        <is>
          <t>UK17</t>
        </is>
      </c>
      <c r="B532" s="77" t="inlineStr">
        <is>
          <t>Brunel</t>
        </is>
      </c>
      <c r="C532" s="77" t="inlineStr">
        <is>
          <t>Programme/course</t>
        </is>
      </c>
      <c r="D532" s="77" t="inlineStr">
        <is>
          <t>UK17-S08</t>
        </is>
      </c>
      <c r="E532" s="77" t="inlineStr"/>
      <c r="F532" s="77" t="inlineStr">
        <is>
          <t>No</t>
        </is>
      </c>
      <c r="G532" s="79" t="inlineStr">
        <is>
          <t>Human Geography and Anthropology BSc: Leadership for Change (GY3603)</t>
        </is>
      </c>
      <c r="H532" s="77" t="inlineStr">
        <is>
          <t>Leadership for Change community-organisation project</t>
        </is>
      </c>
      <c r="I532" s="77" t="inlineStr">
        <is>
          <t>GY3603</t>
        </is>
      </c>
      <c r="J532" s="77" t="inlineStr">
        <is>
          <t>Year 3 module in which students work with other students and with a community organisation on a project.</t>
        </is>
      </c>
      <c r="K532" s="77" t="inlineStr">
        <is>
          <t>Brunel (Human Geography and Anthropology)</t>
        </is>
      </c>
      <c r="L532" s="77" t="inlineStr">
        <is>
          <t>Human Geography and Anthropology BSc</t>
        </is>
      </c>
      <c r="M532" s="77" t="inlineStr">
        <is>
          <t>Arts/humanities/social sciences</t>
        </is>
      </c>
      <c r="N532" s="77" t="inlineStr">
        <is>
          <t>Undergraduate</t>
        </is>
      </c>
      <c r="O532" s="77" t="inlineStr">
        <is>
          <t>Year 3</t>
        </is>
      </c>
      <c r="P532" s="77" t="inlineStr"/>
      <c r="Q532" s="77" t="inlineStr">
        <is>
          <t>Unclear</t>
        </is>
      </c>
      <c r="R532" s="77" t="inlineStr">
        <is>
          <t>Curricular</t>
        </is>
      </c>
      <c r="S532" s="77" t="inlineStr"/>
      <c r="T532" s="77" t="inlineStr"/>
      <c r="U532" s="77" t="inlineStr"/>
      <c r="V532" s="77" t="inlineStr">
        <is>
          <t>Yes</t>
        </is>
      </c>
      <c r="W532" s="77" t="inlineStr">
        <is>
          <t>"work with other students and with a community organisation on a project" (src 8).</t>
        </is>
      </c>
      <c r="X532" s="77" t="inlineStr">
        <is>
          <t>Yes</t>
        </is>
      </c>
      <c r="Y532" s="77" t="inlineStr">
        <is>
          <t>Works "with other students" on the project (src 8); word 'group' not used.</t>
        </is>
      </c>
      <c r="Z532" s="77" t="inlineStr">
        <is>
          <t>Yes</t>
        </is>
      </c>
      <c r="AA532" s="77" t="inlineStr">
        <is>
          <t>Community organisation partner on the project (src 8); how it briefs/assesses not stated.</t>
        </is>
      </c>
      <c r="AB532" s="77" t="inlineStr">
        <is>
          <t>Charity/community</t>
        </is>
      </c>
      <c r="AC532" s="77" t="inlineStr">
        <is>
          <t>Community organisation partner; role unspecified</t>
        </is>
      </c>
      <c r="AD532" s="77" t="inlineStr"/>
      <c r="AE532" s="77" t="inlineStr"/>
      <c r="AF532" s="77">
        <f>IF(OR(V532="No",X532="No",Z532="No"),"Outside strict definition",IF(AND(V532="Yes",X532="Yes",Z532="Yes"),"Meets all three","Potentially relevant; evidence incomplete"))</f>
        <v/>
      </c>
      <c r="AG532" s="77" t="inlineStr">
        <is>
          <t>Current status unclear</t>
        </is>
      </c>
      <c r="AH532" s="77" t="inlineStr"/>
      <c r="AI532" s="77" t="inlineStr">
        <is>
          <t>Yes</t>
        </is>
      </c>
      <c r="AJ532" s="77">
        <f>IF(AND(AI532="Yes",AF532="Meets all three",AG532="Current delivery confirmed"),"Yes","No")</f>
        <v/>
      </c>
      <c r="AK532" s="77" t="inlineStr"/>
      <c r="AL532" s="77" t="inlineStr">
        <is>
          <t>UK17-S08-R1</t>
        </is>
      </c>
      <c r="AM532" s="77" t="inlineStr">
        <is>
          <t>Page lists module under Year 3 Compulsory but Careers text says 'you can opt for'; no dated source; partner role and deliverable unknown.</t>
        </is>
      </c>
      <c r="AN532" s="77" t="inlineStr"/>
      <c r="AO532" s="77" t="inlineStr">
        <is>
          <t>UK</t>
        </is>
      </c>
      <c r="AP532" s="77" t="inlineStr">
        <is>
          <t>UK – additional</t>
        </is>
      </c>
      <c r="AQ532" s="77" t="inlineStr">
        <is>
          <t>Unclear</t>
        </is>
      </c>
      <c r="AR532" s="77" t="inlineStr">
        <is>
          <t>Unclear</t>
        </is>
      </c>
      <c r="AS532" s="77" t="inlineStr"/>
    </row>
    <row r="533">
      <c r="A533" s="77" t="inlineStr">
        <is>
          <t>UK18</t>
        </is>
      </c>
      <c r="B533" s="77" t="inlineStr">
        <is>
          <t>Aston</t>
        </is>
      </c>
      <c r="C533" s="77" t="inlineStr">
        <is>
          <t>Cross-faculty</t>
        </is>
      </c>
      <c r="D533" s="77" t="inlineStr">
        <is>
          <t>UK18-S01</t>
        </is>
      </c>
      <c r="E533" s="77" t="inlineStr"/>
      <c r="F533" s="77" t="inlineStr">
        <is>
          <t>No</t>
        </is>
      </c>
      <c r="G533" s="79" t="inlineStr">
        <is>
          <t>Aston Global Advantage (postgraduate taught)</t>
        </is>
      </c>
      <c r="H533" s="77" t="inlineStr">
        <is>
          <t>Aston Global Advantage (postgraduate taught)</t>
        </is>
      </c>
      <c r="I533" s="77" t="inlineStr"/>
      <c r="J533" s="77" t="inlineStr">
        <is>
          <t>Programme-embedded professional development strand of postgraduate taught degrees. Page lists 'Team and project-based challenges', 'Employer engagement, live briefs or case studies' and dissertation-linked activities among its components. Which activities a given student does, and whether any is a team project for a named employer, is not specified.</t>
        </is>
      </c>
      <c r="K533" s="77" t="inlineStr">
        <is>
          <t>Aston University (postgraduate)</t>
        </is>
      </c>
      <c r="L533" s="77" t="inlineStr">
        <is>
          <t>Postgraduate taught programmes that include AGA; page says check course page; does not apply to MBA or MRes</t>
        </is>
      </c>
      <c r="M533" s="77" t="inlineStr">
        <is>
          <t>Central provision</t>
        </is>
      </c>
      <c r="N533" s="77" t="inlineStr">
        <is>
          <t>Postgraduate taught</t>
        </is>
      </c>
      <c r="O533" s="77" t="inlineStr"/>
      <c r="P533" s="77" t="inlineStr">
        <is>
          <t>Not MBA or MRes; check course page</t>
        </is>
      </c>
      <c r="Q533" s="77" t="inlineStr">
        <is>
          <t>Compulsory within specified programmes</t>
        </is>
      </c>
      <c r="R533" s="77" t="inlineStr">
        <is>
          <t>Curricular</t>
        </is>
      </c>
      <c r="S533" s="77" t="inlineStr">
        <is>
          <t>Not stated</t>
        </is>
      </c>
      <c r="T533" s="77" t="inlineStr">
        <is>
          <t>Not stated</t>
        </is>
      </c>
      <c r="U533" s="77" t="inlineStr">
        <is>
          <t>Varies by programme</t>
        </is>
      </c>
      <c r="V533" s="77" t="inlineStr">
        <is>
          <t>Unclear</t>
        </is>
      </c>
      <c r="W533" s="77" t="inlineStr">
        <is>
          <t>Lists 'Team and project-based challenges' but no defined brief/output [1].</t>
        </is>
      </c>
      <c r="X533" s="77" t="inlineStr">
        <is>
          <t>Unclear</t>
        </is>
      </c>
      <c r="Y533" s="77" t="inlineStr">
        <is>
          <t>Teamwork described generally; not tied to a specific project route [1].</t>
        </is>
      </c>
      <c r="Z533" s="77" t="inlineStr">
        <is>
          <t>Unclear</t>
        </is>
      </c>
      <c r="AA533" s="77" t="inlineStr">
        <is>
          <t>'Employer engagement, live briefs or case studies' listed as possible activities; not a standard documented external client for each route [1].</t>
        </is>
      </c>
      <c r="AB533" s="77" t="inlineStr">
        <is>
          <t>Unclear</t>
        </is>
      </c>
      <c r="AC533" s="77" t="inlineStr">
        <is>
          <t>Unclear</t>
        </is>
      </c>
      <c r="AD533" s="77" t="inlineStr"/>
      <c r="AE533" s="77" t="inlineStr">
        <is>
          <t>Unclear</t>
        </is>
      </c>
      <c r="AF533" s="77">
        <f>IF(OR(V533="No",X533="No",Z533="No"),"Outside strict definition",IF(AND(V533="Yes",X533="Yes",Z533="Yes"),"Meets all three","Potentially relevant; evidence incomplete"))</f>
        <v/>
      </c>
      <c r="AG533" s="77" t="inlineStr">
        <is>
          <t>Current status unclear</t>
        </is>
      </c>
      <c r="AH533" s="77" t="inlineStr"/>
      <c r="AI533" s="77" t="inlineStr">
        <is>
          <t>Yes</t>
        </is>
      </c>
      <c r="AJ533" s="77">
        <f>IF(AND(AI533="Yes",AF533="Meets all three",AG533="Current delivery confirmed"),"Yes","No")</f>
        <v/>
      </c>
      <c r="AK533" s="77" t="inlineStr"/>
      <c r="AL533" s="77" t="inlineStr">
        <is>
          <t>UK18-S01-R1</t>
        </is>
      </c>
      <c r="AM533" s="77" t="inlineStr">
        <is>
          <t>Legacy row said 'compulsory for every PGT programme' and 'university-wide'; the fetched page says it is part of PGT programmes but excludes MBA and MRes and tells students to check their course page, so reach downgraded to Cross-faculty and compulsory scoped to programmes that include it. Umbrella framework; underlying project activity unspecified. Page undated.</t>
        </is>
      </c>
      <c r="AN533" s="77" t="inlineStr">
        <is>
          <t>Aston Global Advantage</t>
        </is>
      </c>
      <c r="AO533" s="77" t="inlineStr">
        <is>
          <t>UK</t>
        </is>
      </c>
      <c r="AP533" s="77" t="inlineStr">
        <is>
          <t>UK – additional</t>
        </is>
      </c>
      <c r="AQ533" s="77" t="inlineStr">
        <is>
          <t>Unclear</t>
        </is>
      </c>
      <c r="AR533" s="77" t="inlineStr">
        <is>
          <t>Unclear</t>
        </is>
      </c>
      <c r="AS533" s="77" t="inlineStr"/>
    </row>
    <row r="534">
      <c r="A534" s="77" t="inlineStr">
        <is>
          <t>UK18</t>
        </is>
      </c>
      <c r="B534" s="77" t="inlineStr">
        <is>
          <t>Aston</t>
        </is>
      </c>
      <c r="C534" s="77" t="inlineStr">
        <is>
          <t>Faculty/school</t>
        </is>
      </c>
      <c r="D534" s="77" t="inlineStr">
        <is>
          <t>UK18-S02</t>
        </is>
      </c>
      <c r="E534" s="77" t="inlineStr"/>
      <c r="F534" s="77" t="inlineStr">
        <is>
          <t>No</t>
        </is>
      </c>
      <c r="G534" s="79" t="inlineStr">
        <is>
          <t>Aston Business Clinic (ABC Originals; ABC for Placement)</t>
        </is>
      </c>
      <c r="H534" s="77" t="inlineStr">
        <is>
          <t>Aston Business Clinic</t>
        </is>
      </c>
      <c r="I534" s="77" t="inlineStr"/>
      <c r="J534" s="77" t="inlineStr">
        <is>
          <t>Teams of student consultants deliver solutions for real clients: local, regional and national businesses, enterprises and charities request research, prototypes, feasibility analyses, marketing or brand plans. Each team has a coach. ABC Originals (8 weeks, Masters students); ABC for Placement (20-30 weeks, undergraduates).</t>
        </is>
      </c>
      <c r="K534" s="77" t="inlineStr">
        <is>
          <t>Centre for Enterprise, Coaching and Innovation, Aston Business School</t>
        </is>
      </c>
      <c r="L534" s="77" t="inlineStr">
        <is>
          <t>Aston students and graduates; Masters (Originals) and undergraduates (Placement); business-school hosted; do-business page says open to all postgraduate students</t>
        </is>
      </c>
      <c r="M534" s="77" t="inlineStr">
        <is>
          <t>Business/management</t>
        </is>
      </c>
      <c r="N534" s="77" t="inlineStr">
        <is>
          <t>Mixed</t>
        </is>
      </c>
      <c r="O534" s="77" t="inlineStr">
        <is>
          <t>Masters; placement-year undergraduates</t>
        </is>
      </c>
      <c r="P534" s="77" t="inlineStr">
        <is>
          <t>Application (not detailed)</t>
        </is>
      </c>
      <c r="Q534" s="77" t="inlineStr">
        <is>
          <t>Optional/elective</t>
        </is>
      </c>
      <c r="R534" s="77" t="inlineStr">
        <is>
          <t>Mixed</t>
        </is>
      </c>
      <c r="S534" s="77" t="inlineStr">
        <is>
          <t>Credit not stated; work can be used for academic assignments (do-business page)</t>
        </is>
      </c>
      <c r="T534" s="77" t="inlineStr">
        <is>
          <t>8 weeks (Originals); 20-30 weeks (Placement)</t>
        </is>
      </c>
      <c r="U534" s="77" t="inlineStr">
        <is>
          <t>Team consultancy with coach</t>
        </is>
      </c>
      <c r="V534" s="77" t="inlineStr">
        <is>
          <t>Yes</t>
        </is>
      </c>
      <c r="W534" s="77" t="inlineStr">
        <is>
          <t>Real-world consultancy projects with deliverables such as research, prototypes, feasibility analyses, marketing plans [1].</t>
        </is>
      </c>
      <c r="X534" s="77" t="inlineStr">
        <is>
          <t>Yes</t>
        </is>
      </c>
      <c r="Y534" s="77" t="inlineStr">
        <is>
          <t>'Teams of student consultants'; each team allocated a team coach [1][2].</t>
        </is>
      </c>
      <c r="Z534" s="77" t="inlineStr">
        <is>
          <t>Yes</t>
        </is>
      </c>
      <c r="AA534" s="77" t="inlineStr">
        <is>
          <t>External businesses, enterprises and charities request the work and receive solutions [1].</t>
        </is>
      </c>
      <c r="AB534" s="77" t="inlineStr">
        <is>
          <t>Mixed</t>
        </is>
      </c>
      <c r="AC534" s="77" t="inlineStr">
        <is>
          <t>Client requesting work and receiving deliverable</t>
        </is>
      </c>
      <c r="AD534" s="77" t="inlineStr"/>
      <c r="AE534" s="77" t="inlineStr">
        <is>
          <t>Consultancy deliverable (research, prototype, feasibility, marketing/brand plan)</t>
        </is>
      </c>
      <c r="AF534" s="77">
        <f>IF(OR(V534="No",X534="No",Z534="No"),"Outside strict definition",IF(AND(V534="Yes",X534="Yes",Z534="Yes"),"Meets all three","Potentially relevant; evidence incomplete"))</f>
        <v/>
      </c>
      <c r="AG534" s="77" t="inlineStr">
        <is>
          <t>Current status unclear</t>
        </is>
      </c>
      <c r="AH534" s="77" t="inlineStr">
        <is>
          <t>Operating since 2020 (undated page)</t>
        </is>
      </c>
      <c r="AI534" s="77" t="inlineStr">
        <is>
          <t>Yes</t>
        </is>
      </c>
      <c r="AJ534" s="77">
        <f>IF(AND(AI534="Yes",AF534="Meets all three",AG534="Current delivery confirmed"),"Yes","No")</f>
        <v/>
      </c>
      <c r="AK534" s="77" t="inlineStr">
        <is>
          <t>More than 200 students and 50 businesses since 2020 (cumulative; page undated).</t>
        </is>
      </c>
      <c r="AL534" s="77" t="inlineStr">
        <is>
          <t>UK18-S02-R1; UK18-S02-R2</t>
        </is>
      </c>
      <c r="AM534" s="77" t="inlineStr">
        <is>
          <t>No dated 2025/26 or 2026/27 corroboration found; credit status unclear; ABC for Placement undergraduate team basis not separately evidenced (search summary groups both under teams).</t>
        </is>
      </c>
      <c r="AN534" s="77" t="inlineStr"/>
      <c r="AO534" s="77" t="inlineStr">
        <is>
          <t>UK</t>
        </is>
      </c>
      <c r="AP534" s="77" t="inlineStr">
        <is>
          <t>UK – additional</t>
        </is>
      </c>
      <c r="AQ534" s="77" t="inlineStr">
        <is>
          <t>1-4 weeks to &gt;1 term (8 weeks Originals; 20-30 weeks Placement)</t>
        </is>
      </c>
      <c r="AR534" s="77" t="inlineStr">
        <is>
          <t>All/standard</t>
        </is>
      </c>
      <c r="AS534" s="77" t="inlineStr"/>
    </row>
    <row r="535">
      <c r="A535" s="77" t="inlineStr">
        <is>
          <t>UK18</t>
        </is>
      </c>
      <c r="B535" s="77" t="inlineStr">
        <is>
          <t>Aston</t>
        </is>
      </c>
      <c r="C535" s="77" t="inlineStr">
        <is>
          <t>Programme/course</t>
        </is>
      </c>
      <c r="D535" s="77" t="inlineStr">
        <is>
          <t>UK18-S03</t>
        </is>
      </c>
      <c r="E535" s="77" t="inlineStr"/>
      <c r="F535" s="77" t="inlineStr">
        <is>
          <t>No</t>
        </is>
      </c>
      <c r="G535" s="79" t="inlineStr">
        <is>
          <t>Interdisciplinary Collaborative Project (Aston Global Advantage module, Aston London)</t>
        </is>
      </c>
      <c r="H535" s="77" t="inlineStr">
        <is>
          <t>Interdisciplinary Collaborative Project</t>
        </is>
      </c>
      <c r="I535" s="77" t="inlineStr"/>
      <c r="J535" s="77" t="inlineStr">
        <is>
          <t>Shared module on Aston London courses: multi-disciplinary teams of students (from Business Innovation and Digital Technologies pathways) alongside industry experts; culminates in two assessed business challenges set by external organisations, with sprints and hackathons.</t>
        </is>
      </c>
      <c r="K535" s="77" t="inlineStr">
        <is>
          <t>Aston London</t>
        </is>
      </c>
      <c r="L535" s="77" t="inlineStr">
        <is>
          <t>Aston London courses (Business Innovation and Digital Technologies pathways)</t>
        </is>
      </c>
      <c r="M535" s="77" t="inlineStr">
        <is>
          <t>Business/management; Engineering/computing</t>
        </is>
      </c>
      <c r="N535" s="77" t="inlineStr">
        <is>
          <t>Postgraduate taught</t>
        </is>
      </c>
      <c r="O535" s="77" t="inlineStr">
        <is>
          <t>Unclear</t>
        </is>
      </c>
      <c r="P535" s="77" t="inlineStr">
        <is>
          <t>Aston London students</t>
        </is>
      </c>
      <c r="Q535" s="77" t="inlineStr">
        <is>
          <t>Compulsory within specified programmes</t>
        </is>
      </c>
      <c r="R535" s="77" t="inlineStr">
        <is>
          <t>Curricular</t>
        </is>
      </c>
      <c r="S535" s="77" t="inlineStr">
        <is>
          <t>Credits not stated; assessed</t>
        </is>
      </c>
      <c r="T535" s="77" t="inlineStr">
        <is>
          <t>Not stated</t>
        </is>
      </c>
      <c r="U535" s="77" t="inlineStr">
        <is>
          <t>Team challenges, sprints, hackathons</t>
        </is>
      </c>
      <c r="V535" s="77" t="inlineStr">
        <is>
          <t>Unclear</t>
        </is>
      </c>
      <c r="W535" s="77" t="inlineStr">
        <is>
          <t>Two assessed business challenges; defined output and brief details not stated [1].</t>
        </is>
      </c>
      <c r="X535" s="77" t="inlineStr">
        <is>
          <t>Yes</t>
        </is>
      </c>
      <c r="Y535" s="77" t="inlineStr">
        <is>
          <t>'teams formed of students from across the Business Innovation and Digital Technologies pathways' [1].</t>
        </is>
      </c>
      <c r="Z535" s="77" t="inlineStr">
        <is>
          <t>Yes</t>
        </is>
      </c>
      <c r="AA535" s="77" t="inlineStr">
        <is>
          <t>'two assessed business challenges set by external organisations' [1]; organisations unnamed.</t>
        </is>
      </c>
      <c r="AB535" s="77" t="inlineStr">
        <is>
          <t>Unclear</t>
        </is>
      </c>
      <c r="AC535" s="77" t="inlineStr">
        <is>
          <t>Sets business challenges</t>
        </is>
      </c>
      <c r="AD535" s="77" t="inlineStr"/>
      <c r="AE535" s="77" t="inlineStr">
        <is>
          <t>Unclear</t>
        </is>
      </c>
      <c r="AF535" s="77">
        <f>IF(OR(V535="No",X535="No",Z535="No"),"Outside strict definition",IF(AND(V535="Yes",X535="Yes",Z535="Yes"),"Meets all three","Potentially relevant; evidence incomplete"))</f>
        <v/>
      </c>
      <c r="AG535" s="77" t="inlineStr">
        <is>
          <t>Current status unclear</t>
        </is>
      </c>
      <c r="AH535" s="77" t="inlineStr"/>
      <c r="AI535" s="77" t="inlineStr">
        <is>
          <t>Yes</t>
        </is>
      </c>
      <c r="AJ535" s="77">
        <f>IF(AND(AI535="Yes",AF535="Meets all three",AG535="Current delivery confirmed"),"Yes","No")</f>
        <v/>
      </c>
      <c r="AK535" s="77" t="inlineStr"/>
      <c r="AL535" s="77" t="inlineStr">
        <is>
          <t>UK18-S03-R1</t>
        </is>
      </c>
      <c r="AM535" s="77" t="inlineStr">
        <is>
          <t>Level (UG/PG), credits, duration, deliverable and compulsory status not stated (page says 'shared module' per course; compulsory inferred); undated; partner sector unknown. Likely an Aston Global Advantage London variant.</t>
        </is>
      </c>
      <c r="AN535" s="77" t="inlineStr"/>
      <c r="AO535" s="77" t="inlineStr">
        <is>
          <t>UK</t>
        </is>
      </c>
      <c r="AP535" s="77" t="inlineStr">
        <is>
          <t>UK – additional</t>
        </is>
      </c>
      <c r="AQ535" s="77" t="inlineStr">
        <is>
          <t>Unclear</t>
        </is>
      </c>
      <c r="AR535" s="77" t="inlineStr">
        <is>
          <t>All/standard</t>
        </is>
      </c>
      <c r="AS535" s="77" t="inlineStr"/>
    </row>
    <row r="536">
      <c r="A536" s="77" t="inlineStr">
        <is>
          <t>UK18</t>
        </is>
      </c>
      <c r="B536" s="77" t="inlineStr">
        <is>
          <t>Aston</t>
        </is>
      </c>
      <c r="C536" s="77" t="inlineStr">
        <is>
          <t>Programme/course</t>
        </is>
      </c>
      <c r="D536" s="77" t="inlineStr">
        <is>
          <t>UK18-S04</t>
        </is>
      </c>
      <c r="E536" s="77" t="inlineStr"/>
      <c r="F536" s="77" t="inlineStr">
        <is>
          <t>No</t>
        </is>
      </c>
      <c r="G536" s="79" t="inlineStr">
        <is>
          <t>Start-Up Sprint / Consultancy Project 1 and Growth Challenge / Consultancy Project 2 (BSc Business Enterprise and Innovation)</t>
        </is>
      </c>
      <c r="H536" s="77" t="inlineStr">
        <is>
          <t>Consultancy projects, BSc Business Enterprise and Innovation</t>
        </is>
      </c>
      <c r="I536" s="77" t="inlineStr"/>
      <c r="J536" s="77" t="inlineStr">
        <is>
          <t>Core 30-credit projects in Years 1 (Term 3) and 2 (Term 2). Year 1: students work in teams on a 'live or simulated organisational challenge'. Year 2: consultancy project at professional standard with client deliverables; team basis not stated.</t>
        </is>
      </c>
      <c r="K536" s="77" t="inlineStr">
        <is>
          <t>Aston Business School</t>
        </is>
      </c>
      <c r="L536" s="77" t="inlineStr">
        <is>
          <t>BSc Business Enterprise and Innovation</t>
        </is>
      </c>
      <c r="M536" s="77" t="inlineStr">
        <is>
          <t>Business/management</t>
        </is>
      </c>
      <c r="N536" s="77" t="inlineStr">
        <is>
          <t>Undergraduate</t>
        </is>
      </c>
      <c r="O536" s="77" t="inlineStr">
        <is>
          <t>Years 1 and 2</t>
        </is>
      </c>
      <c r="P536" s="77" t="inlineStr"/>
      <c r="Q536" s="77" t="inlineStr">
        <is>
          <t>Compulsory within specified programmes</t>
        </is>
      </c>
      <c r="R536" s="77" t="inlineStr">
        <is>
          <t>Curricular</t>
        </is>
      </c>
      <c r="S536" s="77" t="inlineStr">
        <is>
          <t>30 credits each</t>
        </is>
      </c>
      <c r="T536" s="77" t="inlineStr">
        <is>
          <t>One term each (Apr-Jun; Jan-Mar)</t>
        </is>
      </c>
      <c r="U536" s="77" t="inlineStr">
        <is>
          <t>Team consultancy project</t>
        </is>
      </c>
      <c r="V536" s="77" t="inlineStr">
        <is>
          <t>Yes</t>
        </is>
      </c>
      <c r="W536" s="77" t="inlineStr">
        <is>
          <t>Consultancy/growth projects with client deliverables [1].</t>
        </is>
      </c>
      <c r="X536" s="77" t="inlineStr">
        <is>
          <t>Yes</t>
        </is>
      </c>
      <c r="Y536" s="77" t="inlineStr">
        <is>
          <t>Year 1: 'in teams' [1]; Year 2 teams not specified (Year 1 route recorded).</t>
        </is>
      </c>
      <c r="Z536" s="77" t="inlineStr">
        <is>
          <t>Unclear</t>
        </is>
      </c>
      <c r="AA536" s="77" t="inlineStr">
        <is>
          <t>'live or simulated organisational challenge': real vs simulated not separated [1].</t>
        </is>
      </c>
      <c r="AB536" s="77" t="inlineStr">
        <is>
          <t>Unclear</t>
        </is>
      </c>
      <c r="AC536" s="77" t="inlineStr">
        <is>
          <t>Unclear</t>
        </is>
      </c>
      <c r="AD536" s="77" t="inlineStr"/>
      <c r="AE536" s="77" t="inlineStr">
        <is>
          <t>Client deliverables</t>
        </is>
      </c>
      <c r="AF536" s="77">
        <f>IF(OR(V536="No",X536="No",Z536="No"),"Outside strict definition",IF(AND(V536="Yes",X536="Yes",Z536="Yes"),"Meets all three","Potentially relevant; evidence incomplete"))</f>
        <v/>
      </c>
      <c r="AG536" s="77" t="inlineStr">
        <is>
          <t>Current status unclear</t>
        </is>
      </c>
      <c r="AH536" s="77" t="inlineStr"/>
      <c r="AI536" s="77" t="inlineStr">
        <is>
          <t>Yes</t>
        </is>
      </c>
      <c r="AJ536" s="77">
        <f>IF(AND(AI536="Yes",AF536="Meets all three",AG536="Current delivery confirmed"),"Yes","No")</f>
        <v/>
      </c>
      <c r="AK536" s="77" t="inlineStr"/>
      <c r="AL536" s="77" t="inlineStr">
        <is>
          <t>UK18-S04-R1</t>
        </is>
      </c>
      <c r="AM536" s="77" t="inlineStr">
        <is>
          <t>Course page undated (the fetched page showed no intake year); live vs simulated; named clients.</t>
        </is>
      </c>
      <c r="AN536" s="77" t="inlineStr"/>
      <c r="AO536" s="77" t="inlineStr">
        <is>
          <t>UK</t>
        </is>
      </c>
      <c r="AP536" s="77" t="inlineStr">
        <is>
          <t>UK – additional</t>
        </is>
      </c>
      <c r="AQ536" s="77" t="inlineStr">
        <is>
          <t>~1 term</t>
        </is>
      </c>
      <c r="AR536" s="77" t="inlineStr">
        <is>
          <t>Unclear</t>
        </is>
      </c>
      <c r="AS536" s="77" t="inlineStr"/>
    </row>
    <row r="537">
      <c r="A537" s="77" t="inlineStr">
        <is>
          <t>UK19</t>
        </is>
      </c>
      <c r="B537" s="77" t="inlineStr">
        <is>
          <t>Stirling</t>
        </is>
      </c>
      <c r="C537" s="77" t="inlineStr">
        <is>
          <t>Programme/course</t>
        </is>
      </c>
      <c r="D537" s="77" t="inlineStr">
        <is>
          <t>UK19-S01</t>
        </is>
      </c>
      <c r="E537" s="77" t="inlineStr"/>
      <c r="F537" s="77" t="inlineStr">
        <is>
          <t>No</t>
        </is>
      </c>
      <c r="G537" s="79" t="inlineStr">
        <is>
          <t>MSc Marketing: Consultancy Project</t>
        </is>
      </c>
      <c r="H537" s="77" t="inlineStr">
        <is>
          <t>MSc Marketing Consultancy Project</t>
        </is>
      </c>
      <c r="I537" s="77" t="inlineStr"/>
      <c r="J537" s="77" t="inlineStr">
        <is>
          <t>Core summer project of the MSc Marketing: student groups each work for an external client organisation that sets a real-world task, investigate it and present findings/solutions back to the client.</t>
        </is>
      </c>
      <c r="K537" s="77" t="inlineStr">
        <is>
          <t>Stirling Management School (Stirling Business School)</t>
        </is>
      </c>
      <c r="L537" s="77" t="inlineStr">
        <is>
          <t>MSc Marketing</t>
        </is>
      </c>
      <c r="M537" s="77" t="inlineStr">
        <is>
          <t>Business/management</t>
        </is>
      </c>
      <c r="N537" s="77" t="inlineStr">
        <is>
          <t>Postgraduate taught</t>
        </is>
      </c>
      <c r="O537" s="77" t="inlineStr">
        <is>
          <t>Final stage (summer, after two semesters)</t>
        </is>
      </c>
      <c r="P537" s="77" t="inlineStr"/>
      <c r="Q537" s="77" t="inlineStr">
        <is>
          <t>Compulsory within specified programmes</t>
        </is>
      </c>
      <c r="R537" s="77" t="inlineStr">
        <is>
          <t>Curricular</t>
        </is>
      </c>
      <c r="S537" s="77" t="inlineStr">
        <is>
          <t>Not stated on fetched page</t>
        </is>
      </c>
      <c r="T537" s="77" t="inlineStr">
        <is>
          <t>Summer, after the two taught semesters</t>
        </is>
      </c>
      <c r="U537" s="77" t="inlineStr">
        <is>
          <t>Group client project</t>
        </is>
      </c>
      <c r="V537" s="77" t="inlineStr">
        <is>
          <t>Yes</t>
        </is>
      </c>
      <c r="W537" s="77" t="inlineStr">
        <is>
          <t>Client-set real-world task investigated and presented back [1].</t>
        </is>
      </c>
      <c r="X537" s="77" t="inlineStr">
        <is>
          <t>Yes</t>
        </is>
      </c>
      <c r="Y537" s="77" t="inlineStr">
        <is>
          <t>'Each group has a client organisation that sets a real-world task' [1].</t>
        </is>
      </c>
      <c r="Z537" s="77" t="inlineStr">
        <is>
          <t>Yes</t>
        </is>
      </c>
      <c r="AA537" s="77" t="inlineStr">
        <is>
          <t>External clients set the task; students work on 'consultancy projects with external clients over the summer'; findings presented to client [1]. Search summary of same page says clients span private, public and third sector.</t>
        </is>
      </c>
      <c r="AB537" s="77" t="inlineStr">
        <is>
          <t>Mixed</t>
        </is>
      </c>
      <c r="AC537" s="77" t="inlineStr">
        <is>
          <t>Client: sets task, receives presentation</t>
        </is>
      </c>
      <c r="AD537" s="77" t="inlineStr">
        <is>
          <t>Past clients listed on programme page (undated): National Wallace Monument, Waterski Scotland, Strathearn Strategic Consulting, Stirling Albion FC, Scottish Biomedical, Snowsports Scotland, EASA Training Ltd, Stirling Art</t>
        </is>
      </c>
      <c r="AE537" s="77" t="inlineStr">
        <is>
          <t>Group consultancy findings/solutions presented to client (report/presentation form not specified)</t>
        </is>
      </c>
      <c r="AF537" s="77">
        <f>IF(OR(V537="No",X537="No",Z537="No"),"Outside strict definition",IF(AND(V537="Yes",X537="Yes",Z537="Yes"),"Meets all three","Potentially relevant; evidence incomplete"))</f>
        <v/>
      </c>
      <c r="AG537" s="77" t="inlineStr">
        <is>
          <t>Current status unclear</t>
        </is>
      </c>
      <c r="AH537" s="77" t="inlineStr">
        <is>
          <t>Undated (page called 'core Consultancy Project module for over twenty years')</t>
        </is>
      </c>
      <c r="AI537" s="77" t="inlineStr">
        <is>
          <t>Yes</t>
        </is>
      </c>
      <c r="AJ537" s="77">
        <f>IF(AND(AI537="Yes",AF537="Meets all three",AG537="Current delivery confirmed"),"Yes","No")</f>
        <v/>
      </c>
      <c r="AK537" s="77" t="inlineStr"/>
      <c r="AL537" s="77" t="inlineStr">
        <is>
          <t>UK19-S01-R1</t>
        </is>
      </c>
      <c r="AM537" s="77" t="inlineStr">
        <is>
          <t>No dated 2025/26 or 2026/27 corroboration of the client list or delivery; module code, credits and assessment not found; duration is inferred from 'over the summer'.</t>
        </is>
      </c>
      <c r="AN537" s="77" t="inlineStr"/>
      <c r="AO537" s="77" t="inlineStr">
        <is>
          <t>UK</t>
        </is>
      </c>
      <c r="AP537" s="77" t="inlineStr">
        <is>
          <t>UK – additional</t>
        </is>
      </c>
      <c r="AQ537" s="77" t="inlineStr">
        <is>
          <t>~1 term/semester</t>
        </is>
      </c>
      <c r="AR537" s="77" t="inlineStr">
        <is>
          <t>All/standard</t>
        </is>
      </c>
      <c r="AS537" s="77" t="inlineStr"/>
    </row>
    <row r="538">
      <c r="A538" s="77" t="inlineStr">
        <is>
          <t>UK19</t>
        </is>
      </c>
      <c r="B538" s="77" t="inlineStr">
        <is>
          <t>Stirling</t>
        </is>
      </c>
      <c r="C538" s="77" t="inlineStr">
        <is>
          <t>Programme/course</t>
        </is>
      </c>
      <c r="D538" s="77" t="inlineStr">
        <is>
          <t>UK19-S02</t>
        </is>
      </c>
      <c r="E538" s="77" t="inlineStr"/>
      <c r="F538" s="77" t="inlineStr">
        <is>
          <t>No</t>
        </is>
      </c>
      <c r="G538" s="79" t="inlineStr">
        <is>
          <t>MSc Digital Marketing and Brand Management: Consultancy Project</t>
        </is>
      </c>
      <c r="H538" s="77" t="inlineStr">
        <is>
          <t>MSc Digital Marketing and Brand Management live client project</t>
        </is>
      </c>
      <c r="I538" s="77" t="inlineStr"/>
      <c r="J538" s="77" t="inlineStr">
        <is>
          <t>Summer consultancy project in which student groups each take a live marketing topic from a client organisation, explore it within the client's management boundaries and budget, and present solutions.</t>
        </is>
      </c>
      <c r="K538" s="77" t="inlineStr">
        <is>
          <t>Stirling Management School (Stirling Business School)</t>
        </is>
      </c>
      <c r="L538" s="77" t="inlineStr">
        <is>
          <t>MSc Digital Marketing and Brand Management</t>
        </is>
      </c>
      <c r="M538" s="77" t="inlineStr">
        <is>
          <t>Business/management</t>
        </is>
      </c>
      <c r="N538" s="77" t="inlineStr">
        <is>
          <t>Postgraduate taught</t>
        </is>
      </c>
      <c r="O538" s="77" t="inlineStr">
        <is>
          <t>Final stage (summer, after two semesters)</t>
        </is>
      </c>
      <c r="P538" s="77" t="inlineStr"/>
      <c r="Q538" s="77" t="inlineStr">
        <is>
          <t>Unclear</t>
        </is>
      </c>
      <c r="R538" s="77" t="inlineStr">
        <is>
          <t>Curricular</t>
        </is>
      </c>
      <c r="S538" s="77" t="inlineStr">
        <is>
          <t>Not stated on fetched page</t>
        </is>
      </c>
      <c r="T538" s="77" t="inlineStr">
        <is>
          <t>Summer, after the two taught semesters</t>
        </is>
      </c>
      <c r="U538" s="77" t="inlineStr">
        <is>
          <t>Group client project</t>
        </is>
      </c>
      <c r="V538" s="77" t="inlineStr">
        <is>
          <t>Yes</t>
        </is>
      </c>
      <c r="W538" s="77" t="inlineStr">
        <is>
          <t>Live marketing topic explored and solutions presented to the client [1].</t>
        </is>
      </c>
      <c r="X538" s="77" t="inlineStr">
        <is>
          <t>Yes</t>
        </is>
      </c>
      <c r="Y538" s="77" t="inlineStr">
        <is>
          <t>'Each group has a client organisation that sets a real-world task' [1].</t>
        </is>
      </c>
      <c r="Z538" s="77" t="inlineStr">
        <is>
          <t>Yes</t>
        </is>
      </c>
      <c r="AA538" s="77" t="inlineStr">
        <is>
          <t>Client organisation sets a 'live' marketing topic; students recently worked with named organisations [1].</t>
        </is>
      </c>
      <c r="AB538" s="77" t="inlineStr">
        <is>
          <t>Business/commercial</t>
        </is>
      </c>
      <c r="AC538" s="77" t="inlineStr">
        <is>
          <t>Client: sets live task, receives solutions</t>
        </is>
      </c>
      <c r="AD538" s="77" t="inlineStr">
        <is>
          <t>Recent clients per page (undated): Strathearn Strategic Consulting, Stirling Albion FC, EASA Training Ltd, Snowsports Scotland</t>
        </is>
      </c>
      <c r="AE538" s="77" t="inlineStr">
        <is>
          <t>Presented solutions to client</t>
        </is>
      </c>
      <c r="AF538" s="77">
        <f>IF(OR(V538="No",X538="No",Z538="No"),"Outside strict definition",IF(AND(V538="Yes",X538="Yes",Z538="Yes"),"Meets all three","Potentially relevant; evidence incomplete"))</f>
        <v/>
      </c>
      <c r="AG538" s="77" t="inlineStr">
        <is>
          <t>Current status unclear</t>
        </is>
      </c>
      <c r="AH538" s="77" t="inlineStr">
        <is>
          <t>Undated</t>
        </is>
      </c>
      <c r="AI538" s="77" t="inlineStr">
        <is>
          <t>Yes</t>
        </is>
      </c>
      <c r="AJ538" s="77">
        <f>IF(AND(AI538="Yes",AF538="Meets all three",AG538="Current delivery confirmed"),"Yes","No")</f>
        <v/>
      </c>
      <c r="AK538" s="77" t="inlineStr"/>
      <c r="AL538" s="77" t="inlineStr">
        <is>
          <t>UK19-S02-R1</t>
        </is>
      </c>
      <c r="AM538" s="77" t="inlineStr">
        <is>
          <t>Possible near-duplicate pattern of S1 (different programme, distinct page); compulsory vs optional is ambiguous on the page; no dated delivery evidence; partner type includes a football club and a ski body (not purely business).</t>
        </is>
      </c>
      <c r="AN538" s="77" t="inlineStr"/>
      <c r="AO538" s="77" t="inlineStr">
        <is>
          <t>UK</t>
        </is>
      </c>
      <c r="AP538" s="77" t="inlineStr">
        <is>
          <t>UK – additional</t>
        </is>
      </c>
      <c r="AQ538" s="77" t="inlineStr">
        <is>
          <t>~1 term/semester</t>
        </is>
      </c>
      <c r="AR538" s="77" t="inlineStr">
        <is>
          <t>All/standard</t>
        </is>
      </c>
      <c r="AS538" s="77" t="inlineStr"/>
    </row>
    <row r="539">
      <c r="A539" s="77" t="inlineStr">
        <is>
          <t>UK19</t>
        </is>
      </c>
      <c r="B539" s="77" t="inlineStr">
        <is>
          <t>Stirling</t>
        </is>
      </c>
      <c r="C539" s="77" t="inlineStr">
        <is>
          <t>Faculty/school</t>
        </is>
      </c>
      <c r="D539" s="77" t="inlineStr">
        <is>
          <t>UK19-S03</t>
        </is>
      </c>
      <c r="E539" s="77" t="inlineStr"/>
      <c r="F539" s="77" t="inlineStr">
        <is>
          <t>No</t>
        </is>
      </c>
      <c r="G539" s="79" t="inlineStr">
        <is>
          <t>Management Student Consultancy Projects (summer elective on Masters programmes)</t>
        </is>
      </c>
      <c r="H539" s="77" t="inlineStr">
        <is>
          <t>Business School summer consultancy projects</t>
        </is>
      </c>
      <c r="I539" s="77" t="inlineStr"/>
      <c r="J539" s="77" t="inlineStr">
        <is>
          <t>Summer consultancy projects in which Masters (and, per the employer page, undergraduate) Business School students are matched with a host business to solve a problem or review strategy, with a university supervisor and an organisation mentor.</t>
        </is>
      </c>
      <c r="K539" s="77" t="inlineStr">
        <is>
          <t>Stirling Management School (Stirling Business School)</t>
        </is>
      </c>
      <c r="L539" s="77" t="inlineStr">
        <is>
          <t>Elective on MBA, MSc Business Analytics, Business and Management, Data Science for Business, International Business, Behavioural Science for Management, Marketing Analytics</t>
        </is>
      </c>
      <c r="M539" s="77" t="inlineStr">
        <is>
          <t>Business/management</t>
        </is>
      </c>
      <c r="N539" s="77" t="inlineStr">
        <is>
          <t>Mixed</t>
        </is>
      </c>
      <c r="O539" s="77" t="inlineStr"/>
      <c r="P539" s="77" t="inlineStr"/>
      <c r="Q539" s="77" t="inlineStr">
        <is>
          <t>Optional/elective</t>
        </is>
      </c>
      <c r="R539" s="77" t="inlineStr">
        <is>
          <t>Curricular</t>
        </is>
      </c>
      <c r="S539" s="77" t="inlineStr">
        <is>
          <t>Not stated on fetched page</t>
        </is>
      </c>
      <c r="T539" s="77" t="inlineStr">
        <is>
          <t>June to September; proposals by end of February</t>
        </is>
      </c>
      <c r="U539" s="77" t="inlineStr">
        <is>
          <t>Individual or group client project (not separable)</t>
        </is>
      </c>
      <c r="V539" s="77" t="inlineStr">
        <is>
          <t>Yes</t>
        </is>
      </c>
      <c r="W539" s="77" t="inlineStr">
        <is>
          <t>'integrate the knowledge and skills from your Masters degree to solve a real business challenge' [1][2].</t>
        </is>
      </c>
      <c r="X539" s="77" t="inlineStr">
        <is>
          <t>Unclear</t>
        </is>
      </c>
      <c r="Y539" s="77" t="inlineStr">
        <is>
          <t>Employer page: 'either an individual or group of University of Stirling Business School students'; routes not separable [2].</t>
        </is>
      </c>
      <c r="Z539" s="77" t="inlineStr">
        <is>
          <t>Yes</t>
        </is>
      </c>
      <c r="AA539" s="77" t="inlineStr">
        <is>
          <t>Host businesses/charities/social enterprises/government propose projects, provide an organisation mentor; projects count as coursework [1][2].</t>
        </is>
      </c>
      <c r="AB539" s="77" t="inlineStr">
        <is>
          <t>Mixed</t>
        </is>
      </c>
      <c r="AC539" s="77" t="inlineStr">
        <is>
          <t>Host: proposes problem, mentors, receives solution</t>
        </is>
      </c>
      <c r="AD539" s="77" t="inlineStr">
        <is>
          <t>Case studies on employer page: Labels4Kids, Mobalpa UK Ltd (undated)</t>
        </is>
      </c>
      <c r="AE539" s="77" t="inlineStr">
        <is>
          <t>Consultancy solution to host (form not specified)</t>
        </is>
      </c>
      <c r="AF539" s="77">
        <f>IF(OR(V539="No",X539="No",Z539="No"),"Outside strict definition",IF(AND(V539="Yes",X539="Yes",Z539="Yes"),"Meets all three","Potentially relevant; evidence incomplete"))</f>
        <v/>
      </c>
      <c r="AG539" s="77" t="inlineStr">
        <is>
          <t>Current status unclear</t>
        </is>
      </c>
      <c r="AH539" s="77" t="inlineStr">
        <is>
          <t>Undated</t>
        </is>
      </c>
      <c r="AI539" s="77" t="inlineStr">
        <is>
          <t>Yes</t>
        </is>
      </c>
      <c r="AJ539" s="77">
        <f>IF(AND(AI539="Yes",AF539="Meets all three",AG539="Current delivery confirmed"),"Yes","No")</f>
        <v/>
      </c>
      <c r="AK539" s="77" t="inlineStr"/>
      <c r="AL539" s="77" t="inlineStr">
        <is>
          <t>UK19-S03-R1; UK19-S03-R2</t>
        </is>
      </c>
      <c r="AM539" s="77" t="inlineStr">
        <is>
          <t>Group vs individual split; elective places competitive; no dated delivery evidence; undergraduate involvement stated only on employer page.</t>
        </is>
      </c>
      <c r="AN539" s="77" t="inlineStr"/>
      <c r="AO539" s="77" t="inlineStr">
        <is>
          <t>UK</t>
        </is>
      </c>
      <c r="AP539" s="77" t="inlineStr">
        <is>
          <t>UK – additional</t>
        </is>
      </c>
      <c r="AQ539" s="77" t="inlineStr">
        <is>
          <t>~1 term/semester</t>
        </is>
      </c>
      <c r="AR539" s="77" t="inlineStr">
        <is>
          <t>All/standard</t>
        </is>
      </c>
      <c r="AS539" s="77" t="inlineStr"/>
    </row>
    <row r="540">
      <c r="A540" s="77" t="inlineStr">
        <is>
          <t>UK19</t>
        </is>
      </c>
      <c r="B540" s="77" t="inlineStr">
        <is>
          <t>Stirling</t>
        </is>
      </c>
      <c r="C540" s="77" t="inlineStr">
        <is>
          <t>Programme/course</t>
        </is>
      </c>
      <c r="D540" s="77" t="inlineStr">
        <is>
          <t>UK19-S04</t>
        </is>
      </c>
      <c r="E540" s="77" t="inlineStr"/>
      <c r="F540" s="77" t="inlineStr">
        <is>
          <t>No</t>
        </is>
      </c>
      <c r="G540" s="79" t="inlineStr">
        <is>
          <t>MANP005 Business Consulting</t>
        </is>
      </c>
      <c r="H540" s="77" t="inlineStr">
        <is>
          <t>Business Consulting</t>
        </is>
      </c>
      <c r="I540" s="77" t="inlineStr">
        <is>
          <t>MANP005</t>
        </is>
      </c>
      <c r="J540" s="77" t="inlineStr">
        <is>
          <t>20-credit SCQF level 11 module whose aims include applying programme knowledge to solve a business challenge for an external client organisation and building project, client-relationship and team-working skills.</t>
        </is>
      </c>
      <c r="K540" s="77" t="inlineStr">
        <is>
          <t>Stirling Management School (Stirling Business School)</t>
        </is>
      </c>
      <c r="L540" s="77" t="inlineStr">
        <is>
          <t>Not stated on module page</t>
        </is>
      </c>
      <c r="M540" s="77" t="inlineStr">
        <is>
          <t>Business/management</t>
        </is>
      </c>
      <c r="N540" s="77" t="inlineStr">
        <is>
          <t>Postgraduate taught</t>
        </is>
      </c>
      <c r="O540" s="77" t="inlineStr"/>
      <c r="P540" s="77" t="inlineStr"/>
      <c r="Q540" s="77" t="inlineStr">
        <is>
          <t>Unclear</t>
        </is>
      </c>
      <c r="R540" s="77" t="inlineStr">
        <is>
          <t>Curricular</t>
        </is>
      </c>
      <c r="S540" s="77" t="inlineStr">
        <is>
          <t>20 SCQF credits (10 ECTS); assessment details not shown</t>
        </is>
      </c>
      <c r="T540" s="77" t="inlineStr">
        <is>
          <t>Spring semester (2026/7 listing)</t>
        </is>
      </c>
      <c r="U540" s="77" t="inlineStr">
        <is>
          <t>Unclear</t>
        </is>
      </c>
      <c r="V540" s="77" t="inlineStr">
        <is>
          <t>Unclear</t>
        </is>
      </c>
      <c r="W540" s="77" t="inlineStr">
        <is>
          <t>Aim to 'solve a business challenge relevant to an external client organisation'; deliverable not shown [1].</t>
        </is>
      </c>
      <c r="X540" s="77" t="inlineStr">
        <is>
          <t>Unclear</t>
        </is>
      </c>
      <c r="Y540" s="77" t="inlineStr">
        <is>
          <t>Aims mention 'enhancing their team working skills' only; no group assessment described [1].</t>
        </is>
      </c>
      <c r="Z540" s="77" t="inlineStr">
        <is>
          <t>Unclear</t>
        </is>
      </c>
      <c r="AA540" s="77" t="inlineStr">
        <is>
          <t>External client organisation named in aims; no client names, sourcing or role described [1].</t>
        </is>
      </c>
      <c r="AB540" s="77" t="inlineStr">
        <is>
          <t>Unclear</t>
        </is>
      </c>
      <c r="AC540" s="77" t="inlineStr">
        <is>
          <t>Unclear</t>
        </is>
      </c>
      <c r="AD540" s="77" t="inlineStr"/>
      <c r="AE540" s="77" t="inlineStr">
        <is>
          <t>Not stated</t>
        </is>
      </c>
      <c r="AF540" s="77">
        <f>IF(OR(V540="No",X540="No",Z540="No"),"Outside strict definition",IF(AND(V540="Yes",X540="Yes",Z540="Yes"),"Meets all three","Potentially relevant; evidence incomplete"))</f>
        <v/>
      </c>
      <c r="AG540" s="77" t="inlineStr">
        <is>
          <t>Current delivery confirmed</t>
        </is>
      </c>
      <c r="AH540" s="77" t="inlineStr">
        <is>
          <t>2026/27 (module page session 2026/7, Spring)</t>
        </is>
      </c>
      <c r="AI540" s="77" t="inlineStr">
        <is>
          <t>Yes</t>
        </is>
      </c>
      <c r="AJ540" s="77">
        <f>IF(AND(AI540="Yes",AF540="Meets all three",AG540="Current delivery confirmed"),"Yes","No")</f>
        <v/>
      </c>
      <c r="AK540" s="77" t="inlineStr"/>
      <c r="AL540" s="77" t="inlineStr">
        <is>
          <t>UK19-S04-R1</t>
        </is>
      </c>
      <c r="AM540" s="77" t="inlineStr">
        <is>
          <t>Assessment, group format, client sourcing and host programmes.</t>
        </is>
      </c>
      <c r="AN540" s="77" t="inlineStr"/>
      <c r="AO540" s="77" t="inlineStr">
        <is>
          <t>UK</t>
        </is>
      </c>
      <c r="AP540" s="77" t="inlineStr">
        <is>
          <t>UK – additional</t>
        </is>
      </c>
      <c r="AQ540" s="77" t="inlineStr">
        <is>
          <t>~1 term/semester</t>
        </is>
      </c>
      <c r="AR540" s="77" t="inlineStr">
        <is>
          <t>Unclear</t>
        </is>
      </c>
      <c r="AS540" s="77" t="inlineStr"/>
    </row>
    <row r="541">
      <c r="A541" s="77" t="inlineStr">
        <is>
          <t>UK20</t>
        </is>
      </c>
      <c r="B541" s="77" t="inlineStr">
        <is>
          <t>SOAS</t>
        </is>
      </c>
      <c r="C541" s="77" t="inlineStr">
        <is>
          <t>University-wide</t>
        </is>
      </c>
      <c r="D541" s="77" t="inlineStr">
        <is>
          <t>UK20-S01</t>
        </is>
      </c>
      <c r="E541" s="77" t="inlineStr"/>
      <c r="F541" s="77" t="inlineStr">
        <is>
          <t>No</t>
        </is>
      </c>
      <c r="G541" s="79" t="inlineStr">
        <is>
          <t>SOAS Virtual Industry Project</t>
        </is>
      </c>
      <c r="H541" s="77" t="inlineStr">
        <is>
          <t>SOAS Virtual Industry Project</t>
        </is>
      </c>
      <c r="I541" s="77" t="inlineStr"/>
      <c r="J541" s="77" t="inlineStr">
        <is>
          <t>Two-week virtual consultancy run with Practera: students in assigned teams work remotely on a project brief from an employer (one unique brief/organisation per team), research and present recommendations in a final report. Clients reported as startups, SMEs and NGOs (c.15 organisations) on themes such as growth strategy, sustainable impact, public policy and digital marketing.</t>
        </is>
      </c>
      <c r="K541" s="77" t="inlineStr">
        <is>
          <t>SOAS Careers / Practera</t>
        </is>
      </c>
      <c r="L541" s="77" t="inlineStr">
        <is>
          <t>All second-year and final-year undergraduates (any discipline)</t>
        </is>
      </c>
      <c r="M541" s="77" t="inlineStr">
        <is>
          <t>Central provision</t>
        </is>
      </c>
      <c r="N541" s="77" t="inlineStr">
        <is>
          <t>Undergraduate</t>
        </is>
      </c>
      <c r="O541" s="77" t="inlineStr">
        <is>
          <t>Second and final year</t>
        </is>
      </c>
      <c r="P541" s="77" t="inlineStr">
        <is>
          <t>Second- and final-year undergraduates; 100 places per year; available online for 25 hours over 2 weeks in semester 2; two compulsory workshops.</t>
        </is>
      </c>
      <c r="Q541" s="77" t="inlineStr">
        <is>
          <t>Selective/competitive</t>
        </is>
      </c>
      <c r="R541" s="77" t="inlineStr">
        <is>
          <t>Extracurricular</t>
        </is>
      </c>
      <c r="S541" s="77" t="inlineStr">
        <is>
          <t>No credit evidenced; unpaid; digital certificate for LinkedIn on completion.</t>
        </is>
      </c>
      <c r="T541" s="77" t="inlineStr">
        <is>
          <t>2 weeks (25 hours), semester 2</t>
        </is>
      </c>
      <c r="U541" s="77" t="inlineStr">
        <is>
          <t>Fully virtual, Practera platform</t>
        </is>
      </c>
      <c r="V541" s="77" t="inlineStr">
        <is>
          <t>Yes</t>
        </is>
      </c>
      <c r="W541" s="77" t="inlineStr">
        <is>
          <t>Teams respond to an employer brief and submit a final report with recommendations [1][2].</t>
        </is>
      </c>
      <c r="X541" s="77" t="inlineStr">
        <is>
          <t>Yes</t>
        </is>
      </c>
      <c r="Y541" s="77" t="inlineStr">
        <is>
          <t>'Work in small teams on a two-week intensive project responding to an employer brief'; students form teams that 'work virtually and collaboratively' [1][3].</t>
        </is>
      </c>
      <c r="Z541" s="77" t="inlineStr">
        <is>
          <t>Yes</t>
        </is>
      </c>
      <c r="AA541" s="77" t="inlineStr">
        <is>
          <t>Each team receives 'a project brief from an employer (one unique brief/organisation per team)'; clients startups, SMEs and NGOs [1][2].</t>
        </is>
      </c>
      <c r="AB541" s="77" t="inlineStr">
        <is>
          <t>Mixed</t>
        </is>
      </c>
      <c r="AC541" s="77" t="inlineStr">
        <is>
          <t>Supplies the live brief; recipient of recommendations/final report (employer feedback role not detailed).</t>
        </is>
      </c>
      <c r="AD541" s="77" t="inlineStr"/>
      <c r="AE541" s="77" t="inlineStr">
        <is>
          <t>Final report with recommendations for the client organisation</t>
        </is>
      </c>
      <c r="AF541" s="77">
        <f>IF(OR(V541="No",X541="No",Z541="No"),"Outside strict definition",IF(AND(V541="Yes",X541="Yes",Z541="Yes"),"Meets all three","Potentially relevant; evidence incomplete"))</f>
        <v/>
      </c>
      <c r="AG541" s="77" t="inlineStr">
        <is>
          <t>Current status unclear</t>
        </is>
      </c>
      <c r="AH541" s="77" t="inlineStr">
        <is>
          <t>2025 (news dated 20 March 2025; cohort year not stated)</t>
        </is>
      </c>
      <c r="AI541" s="77" t="inlineStr">
        <is>
          <t>Yes</t>
        </is>
      </c>
      <c r="AJ541" s="77">
        <f>IF(AND(AI541="Yes",AF541="Meets all three",AG541="Current delivery confirmed"),"Yes","No")</f>
        <v/>
      </c>
      <c r="AK541" s="77" t="inlineStr">
        <is>
          <t>100 places per year (scheme page, undated); 100 SOAS students took part and c.15 client organisations (news, 20 March 2025).</t>
        </is>
      </c>
      <c r="AL541" s="77" t="inlineStr">
        <is>
          <t>UK20-S01-R1; UK20-S01-R2; UK20-S01-R3</t>
        </is>
      </c>
      <c r="AM541" s="77" t="inlineStr">
        <is>
          <t>No 2025/26 or 2026/27 dated cohort/application evidence; the scheme page carries no year, so current delivery not confirmed. Short format (2 weeks, 25 hours). Retrieval via WebFetch page text.</t>
        </is>
      </c>
      <c r="AN541" s="77" t="inlineStr">
        <is>
          <t>SOAS Virtual Industry Project</t>
        </is>
      </c>
      <c r="AO541" s="77" t="inlineStr">
        <is>
          <t>UK</t>
        </is>
      </c>
      <c r="AP541" s="77" t="inlineStr">
        <is>
          <t>UK – additional</t>
        </is>
      </c>
      <c r="AQ541" s="77" t="inlineStr">
        <is>
          <t>1-4 weeks</t>
        </is>
      </c>
      <c r="AR541" s="77" t="inlineStr">
        <is>
          <t>All/standard</t>
        </is>
      </c>
      <c r="AS541" s="77" t="inlineStr"/>
    </row>
    <row r="542">
      <c r="A542" s="77" t="inlineStr">
        <is>
          <t>UK20</t>
        </is>
      </c>
      <c r="B542" s="77" t="inlineStr">
        <is>
          <t>SOAS</t>
        </is>
      </c>
      <c r="C542" s="77" t="inlineStr">
        <is>
          <t>Programme/course</t>
        </is>
      </c>
      <c r="D542" s="77" t="inlineStr">
        <is>
          <t>UK20-S02</t>
        </is>
      </c>
      <c r="E542" s="77" t="inlineStr"/>
      <c r="F542" s="77" t="inlineStr">
        <is>
          <t>No</t>
        </is>
      </c>
      <c r="G542" s="79" t="inlineStr">
        <is>
          <t>Practical Industry Project (Practera Virtual Industry Experience), MSc Finance / MSc International Business</t>
        </is>
      </c>
      <c r="H542" s="77" t="inlineStr">
        <is>
          <t>Practical Industry Project</t>
        </is>
      </c>
      <c r="I542" s="77" t="inlineStr"/>
      <c r="J542" s="77" t="inlineStr">
        <is>
          <t>30-credit module option on SOAS School of Finance and Management MSc programmes with an embedded Practera Virtual Industry Experience: students work in groups of 5-6 on a specific client brief on Practera's platform, supervised, with group and client meetings, then complete an individual assessment.</t>
        </is>
      </c>
      <c r="K542" s="77" t="inlineStr">
        <is>
          <t>School of Finance and Management</t>
        </is>
      </c>
      <c r="L542" s="77" t="inlineStr">
        <is>
          <t>MSc Finance; MSc International Business (alternative to 60-credit dissertation: 30-credit Practical Industry Project plus 30-credit Research Project)</t>
        </is>
      </c>
      <c r="M542" s="77" t="inlineStr">
        <is>
          <t>Business/management</t>
        </is>
      </c>
      <c r="N542" s="77" t="inlineStr">
        <is>
          <t>Postgraduate taught</t>
        </is>
      </c>
      <c r="O542" s="77" t="inlineStr"/>
      <c r="P542" s="77" t="inlineStr"/>
      <c r="Q542" s="77" t="inlineStr">
        <is>
          <t>Optional/elective</t>
        </is>
      </c>
      <c r="R542" s="77" t="inlineStr">
        <is>
          <t>Curricular</t>
        </is>
      </c>
      <c r="S542" s="77" t="inlineStr">
        <is>
          <t>30 credits; team work on client brief then individual assessment (breakdown not found).</t>
        </is>
      </c>
      <c r="T542" s="77" t="inlineStr">
        <is>
          <t>Unclear</t>
        </is>
      </c>
      <c r="U542" s="77" t="inlineStr">
        <is>
          <t>Virtual, Practera platform, with module convenor</t>
        </is>
      </c>
      <c r="V542" s="77" t="inlineStr">
        <is>
          <t>Yes</t>
        </is>
      </c>
      <c r="W542" s="77" t="inlineStr">
        <is>
          <t>Team works on a real-world client brief with an individual assessment afterwards [1].</t>
        </is>
      </c>
      <c r="X542" s="77" t="inlineStr">
        <is>
          <t>Yes</t>
        </is>
      </c>
      <c r="Y542" s="77" t="inlineStr">
        <is>
          <t>'groups of 5-6 students on a specific client brief' [1].</t>
        </is>
      </c>
      <c r="Z542" s="77" t="inlineStr">
        <is>
          <t>Unclear</t>
        </is>
      </c>
      <c r="AA542" s="77" t="inlineStr">
        <is>
          <t>Described as a 'client brief' via Practera Virtual Industry Experience, but the source extract does not show who the clients are or that they are external organisations for this module (the undergraduate VIP uses startups/SMEs/NGOs). Client meetings are held [1].</t>
        </is>
      </c>
      <c r="AB542" s="77" t="inlineStr">
        <is>
          <t>Unclear</t>
        </is>
      </c>
      <c r="AC542" s="77" t="inlineStr">
        <is>
          <t>Client brief; client meetings (nature unverified)</t>
        </is>
      </c>
      <c r="AD542" s="77" t="inlineStr"/>
      <c r="AE542" s="77" t="inlineStr">
        <is>
          <t>Team client output plus individual assessment (unspecified)</t>
        </is>
      </c>
      <c r="AF542" s="77">
        <f>IF(OR(V542="No",X542="No",Z542="No"),"Outside strict definition",IF(AND(V542="Yes",X542="Yes",Z542="Yes"),"Meets all three","Potentially relevant; evidence incomplete"))</f>
        <v/>
      </c>
      <c r="AG542" s="77" t="inlineStr">
        <is>
          <t>Current status unclear</t>
        </is>
      </c>
      <c r="AH542" s="77" t="inlineStr">
        <is>
          <t>undated (programme page described as c.18 months old by search tool)</t>
        </is>
      </c>
      <c r="AI542" s="77" t="inlineStr">
        <is>
          <t>Yes</t>
        </is>
      </c>
      <c r="AJ542" s="77">
        <f>IF(AND(AI542="Yes",AF542="Meets all three",AG542="Current delivery confirmed"),"Yes","No")</f>
        <v/>
      </c>
      <c r="AK542" s="77" t="inlineStr"/>
      <c r="AL542" s="77" t="inlineStr">
        <is>
          <t>UK20-S02-R1</t>
        </is>
      </c>
      <c r="AM542" s="77" t="inlineStr">
        <is>
          <t>Direct page fetch returned HTTP 403 (also via curl with proxy); evidence is search-index extract only. Client identity, current-year delivery, duration and assessment weighting unverified. Optional alternative to dissertation.</t>
        </is>
      </c>
      <c r="AN542" s="77" t="inlineStr"/>
      <c r="AO542" s="77" t="inlineStr">
        <is>
          <t>UK</t>
        </is>
      </c>
      <c r="AP542" s="77" t="inlineStr">
        <is>
          <t>UK – additional</t>
        </is>
      </c>
      <c r="AQ542" s="77" t="inlineStr">
        <is>
          <t>Unclear</t>
        </is>
      </c>
      <c r="AR542" s="77" t="inlineStr">
        <is>
          <t>Unclear</t>
        </is>
      </c>
      <c r="AS542" s="77" t="inlineStr"/>
    </row>
    <row r="543">
      <c r="A543" s="77" t="inlineStr">
        <is>
          <t>UK20</t>
        </is>
      </c>
      <c r="B543" s="77" t="inlineStr">
        <is>
          <t>SOAS</t>
        </is>
      </c>
      <c r="C543" s="77" t="inlineStr">
        <is>
          <t>Programme/course</t>
        </is>
      </c>
      <c r="D543" s="77" t="inlineStr">
        <is>
          <t>UK20-S03</t>
        </is>
      </c>
      <c r="E543" s="77" t="inlineStr"/>
      <c r="F543" s="77" t="inlineStr">
        <is>
          <t>No</t>
        </is>
      </c>
      <c r="G543" s="79" t="inlineStr">
        <is>
          <t>International Development Placement (virtual group placement with partner organisations)</t>
        </is>
      </c>
      <c r="H543" s="77" t="inlineStr">
        <is>
          <t>International Development Placement</t>
        </is>
      </c>
      <c r="I543" s="77" t="inlineStr"/>
      <c r="J543" s="77" t="inlineStr">
        <is>
          <t>15-credit virtual placement option on SOAS development MSc programmes: students are allocated in teams of 2-9 to development-orientated partner organisations and each completes a Placement Agreement of 40 hours across February and March of term 2. Capped at 75 students.</t>
        </is>
      </c>
      <c r="K543" s="77" t="inlineStr">
        <is>
          <t>Department of Development Studies</t>
        </is>
      </c>
      <c r="L543" s="77" t="inlineStr">
        <is>
          <t>MSc Global Development and other development MSc programmes listing it as an open option (e.g. MSc Development Studies (South Asia))</t>
        </is>
      </c>
      <c r="M543" s="77" t="inlineStr">
        <is>
          <t>Arts/humanities/social sciences</t>
        </is>
      </c>
      <c r="N543" s="77" t="inlineStr">
        <is>
          <t>Postgraduate taught</t>
        </is>
      </c>
      <c r="O543" s="77" t="inlineStr"/>
      <c r="P543" s="77" t="inlineStr"/>
      <c r="Q543" s="77" t="inlineStr">
        <is>
          <t>Optional/elective</t>
        </is>
      </c>
      <c r="R543" s="77" t="inlineStr">
        <is>
          <t>Curricular</t>
        </is>
      </c>
      <c r="S543" s="77" t="inlineStr">
        <is>
          <t>15 credits; assessment not found.</t>
        </is>
      </c>
      <c r="T543" s="77" t="inlineStr">
        <is>
          <t>40 hours across Feb-Mar (term 2)</t>
        </is>
      </c>
      <c r="U543" s="77" t="inlineStr">
        <is>
          <t>Virtual placement, group-based</t>
        </is>
      </c>
      <c r="V543" s="77" t="inlineStr">
        <is>
          <t>Unclear</t>
        </is>
      </c>
      <c r="W543" s="77" t="inlineStr">
        <is>
          <t>Described as a placement with core activity of group work with partner organisations; no defined project brief or output evidenced [1].</t>
        </is>
      </c>
      <c r="X543" s="77" t="inlineStr">
        <is>
          <t>Yes</t>
        </is>
      </c>
      <c r="Y543" s="77" t="inlineStr">
        <is>
          <t>'Students will be allocated to Partner Organisations in teams varying in size from 2-9 students'; 'core activity is centred on students working in groups' [1].</t>
        </is>
      </c>
      <c r="Z543" s="77" t="inlineStr">
        <is>
          <t>Yes</t>
        </is>
      </c>
      <c r="AA543" s="77" t="inlineStr">
        <is>
          <t>Students sign a Placement Agreement with a development-orientated partner organisation; past hosts reported as ODI, ISEAL, MSF (search summary, undated) [1].</t>
        </is>
      </c>
      <c r="AB543" s="77" t="inlineStr">
        <is>
          <t>Charity/community</t>
        </is>
      </c>
      <c r="AC543" s="77" t="inlineStr">
        <is>
          <t>Hosts team placement (brief/output role unspecified)</t>
        </is>
      </c>
      <c r="AD543" s="77" t="inlineStr">
        <is>
          <t>Overseas Development Institute, ISEAL, MSF (undated, per search summary)</t>
        </is>
      </c>
      <c r="AE543" s="77" t="inlineStr">
        <is>
          <t>Not specified</t>
        </is>
      </c>
      <c r="AF543" s="77">
        <f>IF(OR(V543="No",X543="No",Z543="No"),"Outside strict definition",IF(AND(V543="Yes",X543="Yes",Z543="Yes"),"Meets all three","Potentially relevant; evidence incomplete"))</f>
        <v/>
      </c>
      <c r="AG543" s="77" t="inlineStr">
        <is>
          <t>Current status unclear</t>
        </is>
      </c>
      <c r="AH543" s="77" t="inlineStr">
        <is>
          <t>undated</t>
        </is>
      </c>
      <c r="AI543" s="77" t="inlineStr">
        <is>
          <t>Yes</t>
        </is>
      </c>
      <c r="AJ543" s="77">
        <f>IF(AND(AI543="Yes",AF543="Meets all three",AG543="Current delivery confirmed"),"Yes","No")</f>
        <v/>
      </c>
      <c r="AK543" s="77" t="inlineStr">
        <is>
          <t>Capped at 75 students (undated).</t>
        </is>
      </c>
      <c r="AL543" s="77" t="inlineStr">
        <is>
          <t>UK20-S03-R1</t>
        </is>
      </c>
      <c r="AM543" s="77" t="inlineStr">
        <is>
          <t>Whether teams produce a defined project output for the partner (placement vs project); current-year delivery; assessment.  Partner type 'Charity/community' is inferred from development NGO examples only; mark Mixed/Unclear if challenged.</t>
        </is>
      </c>
      <c r="AN543" s="77" t="inlineStr"/>
      <c r="AO543" s="77" t="inlineStr">
        <is>
          <t>UK</t>
        </is>
      </c>
      <c r="AP543" s="77" t="inlineStr">
        <is>
          <t>UK – additional</t>
        </is>
      </c>
      <c r="AQ543" s="77" t="inlineStr">
        <is>
          <t>1-4 weeks</t>
        </is>
      </c>
      <c r="AR543" s="77" t="inlineStr">
        <is>
          <t>All/standard</t>
        </is>
      </c>
      <c r="AS543" s="77" t="inlineStr"/>
    </row>
    <row r="544">
      <c r="A544" s="77" t="inlineStr">
        <is>
          <t>UK20</t>
        </is>
      </c>
      <c r="B544" s="77" t="inlineStr">
        <is>
          <t>SOAS</t>
        </is>
      </c>
      <c r="C544" s="77" t="inlineStr">
        <is>
          <t>Unclear</t>
        </is>
      </c>
      <c r="D544" s="77" t="inlineStr">
        <is>
          <t>UK20-S04</t>
        </is>
      </c>
      <c r="E544" s="77" t="inlineStr"/>
      <c r="F544" s="77" t="inlineStr">
        <is>
          <t>No</t>
        </is>
      </c>
      <c r="G544" s="79" t="inlineStr">
        <is>
          <t>Student Consultancy Project (SOAS Careers, employer-set)</t>
        </is>
      </c>
      <c r="H544" s="77" t="inlineStr">
        <is>
          <t>Student Consultancy Project</t>
        </is>
      </c>
      <c r="I544" s="77" t="inlineStr"/>
      <c r="J544" s="77" t="inlineStr">
        <is>
          <t>SOAS Careers offer to employers: an employer sets a short real-world challenge or strategic question; students research, analyse and develop recommendations with academic or careers support; employer reviews presentations or SOAS assesses on their behalf.</t>
        </is>
      </c>
      <c r="K544" s="77" t="inlineStr">
        <is>
          <t>SOAS Careers / Employer Engagement</t>
        </is>
      </c>
      <c r="L544" s="77" t="inlineStr"/>
      <c r="M544" s="77" t="inlineStr">
        <is>
          <t>Central provision</t>
        </is>
      </c>
      <c r="N544" s="77" t="inlineStr">
        <is>
          <t>Unclear</t>
        </is>
      </c>
      <c r="O544" s="77" t="inlineStr"/>
      <c r="P544" s="77" t="inlineStr"/>
      <c r="Q544" s="77" t="inlineStr">
        <is>
          <t>Unclear</t>
        </is>
      </c>
      <c r="R544" s="77" t="inlineStr">
        <is>
          <t>Unclear</t>
        </is>
      </c>
      <c r="S544" s="77" t="inlineStr">
        <is>
          <t>Not stated</t>
        </is>
      </c>
      <c r="T544" s="77" t="inlineStr">
        <is>
          <t>'short' (not specified)</t>
        </is>
      </c>
      <c r="U544" s="77" t="inlineStr">
        <is>
          <t>Unclear</t>
        </is>
      </c>
      <c r="V544" s="77" t="inlineStr">
        <is>
          <t>Yes</t>
        </is>
      </c>
      <c r="W544" s="77" t="inlineStr">
        <is>
          <t>Employer brief, research, recommendations and presentations [1].</t>
        </is>
      </c>
      <c r="X544" s="77" t="inlineStr">
        <is>
          <t>Unclear</t>
        </is>
      </c>
      <c r="Y544" s="77" t="inlineStr">
        <is>
          <t>Page does not say whether students work in teams or individually [1].</t>
        </is>
      </c>
      <c r="Z544" s="77" t="inlineStr">
        <is>
          <t>Yes</t>
        </is>
      </c>
      <c r="AA544" s="77" t="inlineStr">
        <is>
          <t>'You provide a brief outlining a small challenge or strategic question'; employer may review student presentations [1].</t>
        </is>
      </c>
      <c r="AB544" s="77" t="inlineStr">
        <is>
          <t>Unclear</t>
        </is>
      </c>
      <c r="AC544" s="77" t="inlineStr">
        <is>
          <t>Sets brief; reviews presentations</t>
        </is>
      </c>
      <c r="AD544" s="77" t="inlineStr"/>
      <c r="AE544" s="77" t="inlineStr">
        <is>
          <t>Recommendations and presentation</t>
        </is>
      </c>
      <c r="AF544" s="77">
        <f>IF(OR(V544="No",X544="No",Z544="No"),"Outside strict definition",IF(AND(V544="Yes",X544="Yes",Z544="Yes"),"Meets all three","Potentially relevant; evidence incomplete"))</f>
        <v/>
      </c>
      <c r="AG544" s="77" t="inlineStr">
        <is>
          <t>Current status unclear</t>
        </is>
      </c>
      <c r="AH544" s="77" t="inlineStr">
        <is>
          <t>undated</t>
        </is>
      </c>
      <c r="AI544" s="77" t="inlineStr">
        <is>
          <t>Yes</t>
        </is>
      </c>
      <c r="AJ544" s="77">
        <f>IF(AND(AI544="Yes",AF544="Meets all three",AG544="Current delivery confirmed"),"Yes","No")</f>
        <v/>
      </c>
      <c r="AK544" s="77" t="inlineStr"/>
      <c r="AL544" s="77" t="inlineStr">
        <is>
          <t>UK20-S04-R1</t>
        </is>
      </c>
      <c r="AM544" s="77" t="inlineStr">
        <is>
          <t>Employer-facing page only: no evidence on student cohorts, team structure, eligibility, dates or whether it has run.</t>
        </is>
      </c>
      <c r="AN544" s="77" t="inlineStr"/>
      <c r="AO544" s="77" t="inlineStr">
        <is>
          <t>UK</t>
        </is>
      </c>
      <c r="AP544" s="77" t="inlineStr">
        <is>
          <t>UK – additional</t>
        </is>
      </c>
      <c r="AQ544" s="77" t="inlineStr">
        <is>
          <t>Unclear</t>
        </is>
      </c>
      <c r="AR544" s="77" t="inlineStr">
        <is>
          <t>Unclear</t>
        </is>
      </c>
      <c r="AS544" s="77" t="inlineStr"/>
    </row>
    <row r="545">
      <c r="A545" s="77" t="inlineStr">
        <is>
          <t>UK21</t>
        </is>
      </c>
      <c r="B545" s="77" t="inlineStr">
        <is>
          <t>Birkbeck</t>
        </is>
      </c>
      <c r="C545" s="77" t="inlineStr">
        <is>
          <t>Programme/course</t>
        </is>
      </c>
      <c r="D545" s="77" t="inlineStr">
        <is>
          <t>UK21-S01</t>
        </is>
      </c>
      <c r="E545" s="77" t="inlineStr"/>
      <c r="F545" s="77" t="inlineStr">
        <is>
          <t>No</t>
        </is>
      </c>
      <c r="G545" s="79" t="inlineStr">
        <is>
          <t>The Consultancy Challenge (MSc Management Consultancy and Organisational Change)</t>
        </is>
      </c>
      <c r="H545" s="77" t="inlineStr">
        <is>
          <t>The Consultancy Challenge</t>
        </is>
      </c>
      <c r="I545" s="77" t="inlineStr">
        <is>
          <t>BUOB063D7</t>
        </is>
      </c>
      <c r="J545" s="77" t="inlineStr">
        <is>
          <t>60-credit final-project option on the MSc Management Consultancy and Organisational Change, delivered with PA Consulting. Student teams are assembled to work with a PA client on a real, live problem over about 12 weeks, mentored by a PA consultant; assessed on group status-report presentations and a group summary report plus an individual reflective essay. Programme page names Defra and the RSPCA as real clients; a 2023 Birkbeck blog says two large UK charities were the client organisations.</t>
        </is>
      </c>
      <c r="K545" s="77" t="inlineStr">
        <is>
          <t>Birkbeck Business School (School of Business, Economics and Informatics)</t>
        </is>
      </c>
      <c r="L545" s="77" t="inlineStr">
        <is>
          <t>MSc Management Consultancy and Organisational Change only</t>
        </is>
      </c>
      <c r="M545" s="77" t="inlineStr">
        <is>
          <t>Business/management</t>
        </is>
      </c>
      <c r="N545" s="77" t="inlineStr">
        <is>
          <t>Postgraduate taught</t>
        </is>
      </c>
      <c r="O545" s="77" t="inlineStr">
        <is>
          <t>Final project (one year full-time or two years part-time)</t>
        </is>
      </c>
      <c r="P545" s="77" t="inlineStr">
        <is>
          <t>Places limited and subject to entry criteria; module entry selective; alternative is an individual Research Project.</t>
        </is>
      </c>
      <c r="Q545" s="77" t="inlineStr">
        <is>
          <t>Selective/competitive</t>
        </is>
      </c>
      <c r="R545" s="77" t="inlineStr">
        <is>
          <t>Curricular</t>
        </is>
      </c>
      <c r="S545" s="77" t="inlineStr">
        <is>
          <t>60 credits, Level 7. Group presentation status reports 35%; 5000-word group summary report 35%; 3000-word self-reflective essay 30%.</t>
        </is>
      </c>
      <c r="T545" s="77" t="inlineStr">
        <is>
          <t>12-week live project within a 3-term module (full-time) or over 2-3 terms (part-time)</t>
        </is>
      </c>
      <c r="U545" s="77" t="inlineStr">
        <is>
          <t>Team consultancy project with PA Consulting mentor</t>
        </is>
      </c>
      <c r="V545" s="77" t="inlineStr">
        <is>
          <t>Yes</t>
        </is>
      </c>
      <c r="W545" s="77" t="inlineStr">
        <is>
          <t>Client-facing consultancy project for real clients; group status presentations and 5000-word group summary report [1][2].</t>
        </is>
      </c>
      <c r="X545" s="77" t="inlineStr">
        <is>
          <t>Yes</t>
        </is>
      </c>
      <c r="Y545" s="77" t="inlineStr">
        <is>
          <t>'students on the Consultancy Challenge are assembled into teams'; assessed by group presentations and a group report (70% of module) [1][3].</t>
        </is>
      </c>
      <c r="Z545" s="77" t="inlineStr">
        <is>
          <t>Yes</t>
        </is>
      </c>
      <c r="AA545" s="77" t="inlineStr">
        <is>
          <t>Real PA Consulting clients supply a live problem; PA consultant mentors each team; named clients Defra and the RSPCA [1][2][3]. Clients are reached via PA Consulting rather than directly recruited by Birkbeck.</t>
        </is>
      </c>
      <c r="AB545" s="77" t="inlineStr">
        <is>
          <t>Mixed</t>
        </is>
      </c>
      <c r="AC545" s="77" t="inlineStr">
        <is>
          <t>PA Consulting brokers live client projects and mentors teams; clients (public sector and charity) set the problem and receive recommendations/presentation</t>
        </is>
      </c>
      <c r="AD545" s="77" t="inlineStr">
        <is>
          <t>PA Consulting; clients Defra and RSPCA (programme page, undated)</t>
        </is>
      </c>
      <c r="AE545" s="77" t="inlineStr">
        <is>
          <t>Group consultancy report and presentations to client/PA</t>
        </is>
      </c>
      <c r="AF545" s="77">
        <f>IF(OR(V545="No",X545="No",Z545="No"),"Outside strict definition",IF(AND(V545="Yes",X545="Yes",Z545="Yes"),"Meets all three","Potentially relevant; evidence incomplete"))</f>
        <v/>
      </c>
      <c r="AG545" s="77" t="inlineStr">
        <is>
          <t>Current delivery confirmed</t>
        </is>
      </c>
      <c r="AH545" s="77" t="inlineStr">
        <is>
          <t>2025/26 (module listed as core in 2025-26 programme specification; programme page lists October 2027 entry)</t>
        </is>
      </c>
      <c r="AI545" s="77" t="inlineStr">
        <is>
          <t>Yes</t>
        </is>
      </c>
      <c r="AJ545" s="77">
        <f>IF(AND(AI545="Yes",AF545="Meets all three",AG545="Current delivery confirmed"),"Yes","No")</f>
        <v/>
      </c>
      <c r="AK545" s="77" t="inlineStr"/>
      <c r="AL545" s="77" t="inlineStr">
        <is>
          <t>UK21-S01-R1; UK21-S01-R2; UK21-S01-R3; UK21-S01-R4</t>
        </is>
      </c>
      <c r="AM545" s="77" t="inlineStr">
        <is>
          <t>Module page and programme page are undated for the client names; team size and number of teams not published; 2025/26 cohort clients not evidenced. Programme-spec PDF retrieved via WebFetch and text-extracted locally.</t>
        </is>
      </c>
      <c r="AN545" s="77" t="inlineStr"/>
      <c r="AO545" s="77" t="inlineStr">
        <is>
          <t>UK</t>
        </is>
      </c>
      <c r="AP545" s="77" t="inlineStr">
        <is>
          <t>UK – additional</t>
        </is>
      </c>
      <c r="AQ545" s="77" t="inlineStr">
        <is>
          <t>~1 term/semester</t>
        </is>
      </c>
      <c r="AR545" s="77" t="inlineStr">
        <is>
          <t>All/standard</t>
        </is>
      </c>
      <c r="AS545" s="77" t="inlineStr"/>
    </row>
    <row r="546">
      <c r="A546" s="77" t="inlineStr">
        <is>
          <t>UK21</t>
        </is>
      </c>
      <c r="B546" s="77" t="inlineStr">
        <is>
          <t>Birkbeck</t>
        </is>
      </c>
      <c r="C546" s="77" t="inlineStr">
        <is>
          <t>Programme/course</t>
        </is>
      </c>
      <c r="D546" s="77" t="inlineStr">
        <is>
          <t>UK21-S02</t>
        </is>
      </c>
      <c r="E546" s="77" t="inlineStr"/>
      <c r="F546" s="77" t="inlineStr">
        <is>
          <t>No</t>
        </is>
      </c>
      <c r="G546" s="79" t="inlineStr">
        <is>
          <t>PG Cert Applied Data Science Project</t>
        </is>
      </c>
      <c r="H546" s="77" t="inlineStr">
        <is>
          <t>PG Cert Applied Data Science Project</t>
        </is>
      </c>
      <c r="I546" s="77" t="inlineStr">
        <is>
          <t>BUCI082S7</t>
        </is>
      </c>
      <c r="J546" s="77" t="inlineStr">
        <is>
          <t>30-credit project module on the online PG Certificate in Applied Data Science: students develop a piece of software to address a data science need; syllabus refers to a work-based project supported by an industry partner (search summary of the programme page). Group status and employer role not shown on the module page.</t>
        </is>
      </c>
      <c r="K546" s="77" t="inlineStr">
        <is>
          <t>School of Computing and Mathematical Sciences</t>
        </is>
      </c>
      <c r="L546" s="77" t="inlineStr">
        <is>
          <t>PG Certificate Applied Data Science</t>
        </is>
      </c>
      <c r="M546" s="77" t="inlineStr">
        <is>
          <t>Engineering/computing</t>
        </is>
      </c>
      <c r="N546" s="77" t="inlineStr">
        <is>
          <t>Postgraduate taught</t>
        </is>
      </c>
      <c r="O546" s="77" t="inlineStr"/>
      <c r="P546" s="77" t="inlineStr"/>
      <c r="Q546" s="77" t="inlineStr">
        <is>
          <t>Compulsory within specified programmes</t>
        </is>
      </c>
      <c r="R546" s="77" t="inlineStr">
        <is>
          <t>Curricular</t>
        </is>
      </c>
      <c r="S546" s="77" t="inlineStr">
        <is>
          <t>30 credits Level 7; project proposal 20%, 5000-word project report 80%</t>
        </is>
      </c>
      <c r="T546" s="77" t="inlineStr">
        <is>
          <t>Part of a one-year part-time online certificate</t>
        </is>
      </c>
      <c r="U546" s="77" t="inlineStr">
        <is>
          <t>Online work-based project</t>
        </is>
      </c>
      <c r="V546" s="77" t="inlineStr">
        <is>
          <t>Yes</t>
        </is>
      </c>
      <c r="W546" s="77" t="inlineStr">
        <is>
          <t>Develop software to address a data science need; proposal and 5000-word report [1].</t>
        </is>
      </c>
      <c r="X546" s="77" t="inlineStr">
        <is>
          <t>Unclear</t>
        </is>
      </c>
      <c r="Y546" s="77" t="inlineStr">
        <is>
          <t>Module page does not state group or individual; individual report assessment suggests individual work [1].</t>
        </is>
      </c>
      <c r="Z546" s="77" t="inlineStr">
        <is>
          <t>Unclear</t>
        </is>
      </c>
      <c r="AA546" s="77" t="inlineStr">
        <is>
          <t>Module page mentions 'a work-based project' only; industry partner involvement appears in a search summary of the programme page, not quoted [1].</t>
        </is>
      </c>
      <c r="AB546" s="77" t="inlineStr">
        <is>
          <t>Unclear</t>
        </is>
      </c>
      <c r="AC546" s="77" t="inlineStr">
        <is>
          <t>Unclear</t>
        </is>
      </c>
      <c r="AD546" s="77" t="inlineStr"/>
      <c r="AE546" s="77" t="inlineStr">
        <is>
          <t>Software and project report</t>
        </is>
      </c>
      <c r="AF546" s="77">
        <f>IF(OR(V546="No",X546="No",Z546="No"),"Outside strict definition",IF(AND(V546="Yes",X546="Yes",Z546="Yes"),"Meets all three","Potentially relevant; evidence incomplete"))</f>
        <v/>
      </c>
      <c r="AG546" s="77" t="inlineStr">
        <is>
          <t>Current status unclear</t>
        </is>
      </c>
      <c r="AH546" s="77" t="inlineStr">
        <is>
          <t>undated</t>
        </is>
      </c>
      <c r="AI546" s="77" t="inlineStr">
        <is>
          <t>Yes</t>
        </is>
      </c>
      <c r="AJ546" s="77">
        <f>IF(AND(AI546="Yes",AF546="Meets all three",AG546="Current delivery confirmed"),"Yes","No")</f>
        <v/>
      </c>
      <c r="AK546" s="77" t="inlineStr"/>
      <c r="AL546" s="77" t="inlineStr">
        <is>
          <t>UK21-S02-R1</t>
        </is>
      </c>
      <c r="AM546" s="77" t="inlineStr">
        <is>
          <t>Whether project is group-based; role of industry partner; current delivery.</t>
        </is>
      </c>
      <c r="AN546" s="77" t="inlineStr"/>
      <c r="AO546" s="77" t="inlineStr">
        <is>
          <t>UK</t>
        </is>
      </c>
      <c r="AP546" s="77" t="inlineStr">
        <is>
          <t>UK – additional</t>
        </is>
      </c>
      <c r="AQ546" s="77" t="inlineStr">
        <is>
          <t>Unclear</t>
        </is>
      </c>
      <c r="AR546" s="77" t="inlineStr">
        <is>
          <t>Unclear</t>
        </is>
      </c>
      <c r="AS546" s="77" t="inlineStr"/>
    </row>
    <row r="547">
      <c r="A547" s="77" t="inlineStr">
        <is>
          <t>UK21</t>
        </is>
      </c>
      <c r="B547" s="77" t="inlineStr">
        <is>
          <t>Birkbeck</t>
        </is>
      </c>
      <c r="C547" s="77" t="inlineStr">
        <is>
          <t>Cross-faculty</t>
        </is>
      </c>
      <c r="D547" s="77" t="inlineStr">
        <is>
          <t>UK21-S03</t>
        </is>
      </c>
      <c r="E547" s="77" t="inlineStr"/>
      <c r="F547" s="77" t="inlineStr">
        <is>
          <t>No</t>
        </is>
      </c>
      <c r="G547" s="79" t="inlineStr">
        <is>
          <t>Micro-placement</t>
        </is>
      </c>
      <c r="H547" s="77" t="inlineStr">
        <is>
          <t>Micro-placement</t>
        </is>
      </c>
      <c r="I547" s="77" t="inlineStr">
        <is>
          <t>CASC002H5</t>
        </is>
      </c>
      <c r="J547" s="77" t="inlineStr">
        <is>
          <t>15-credit Level 5 module in which students secure their own micro-placement and complete a small professional project alongside other commitments; assessed by individual reflective portfolio and vlog. Careers &amp; Enterprise describes micro-placements as small projects that solve real problems for host organisations, but the module shows no group working.</t>
        </is>
      </c>
      <c r="K547" s="77" t="inlineStr">
        <is>
          <t>Careers and Enterprise / academic programmes</t>
        </is>
      </c>
      <c r="L547" s="77" t="inlineStr">
        <is>
          <t>Participating degrees (legacy: Computing, Health and Social Care)</t>
        </is>
      </c>
      <c r="M547" s="77" t="inlineStr">
        <is>
          <t>Central provision</t>
        </is>
      </c>
      <c r="N547" s="77" t="inlineStr">
        <is>
          <t>Undergraduate</t>
        </is>
      </c>
      <c r="O547" s="77" t="inlineStr">
        <is>
          <t>Level 5</t>
        </is>
      </c>
      <c r="P547" s="77" t="inlineStr">
        <is>
          <t>Participating degrees; capacity limits (2025-26 full)</t>
        </is>
      </c>
      <c r="Q547" s="77" t="inlineStr">
        <is>
          <t>Optional/elective</t>
        </is>
      </c>
      <c r="R547" s="77" t="inlineStr">
        <is>
          <t>Curricular</t>
        </is>
      </c>
      <c r="S547" s="77" t="inlineStr">
        <is>
          <t>15 credits Level 5; reflective portfolio incl. SMART career plan (1000 words) and 2-3 minute vlog</t>
        </is>
      </c>
      <c r="T547" s="77" t="inlineStr">
        <is>
          <t>Short placement</t>
        </is>
      </c>
      <c r="U547" s="77" t="inlineStr">
        <is>
          <t>Student-sourced micro-placement</t>
        </is>
      </c>
      <c r="V547" s="77" t="inlineStr">
        <is>
          <t>Yes</t>
        </is>
      </c>
      <c r="W547" s="77" t="inlineStr">
        <is>
          <t>'work on a professional project alongside your current commitments' [1].</t>
        </is>
      </c>
      <c r="X547" s="77" t="inlineStr">
        <is>
          <t>No</t>
        </is>
      </c>
      <c r="Y547" s="77" t="inlineStr">
        <is>
          <t>Individual placement with individual portfolio/vlog assessment; no team element evidenced [1].</t>
        </is>
      </c>
      <c r="Z547" s="77" t="inlineStr">
        <is>
          <t>Yes</t>
        </is>
      </c>
      <c r="AA547" s="77" t="inlineStr">
        <is>
          <t>Host organisation sets a small project [1][2]; but placements are individual.</t>
        </is>
      </c>
      <c r="AB547" s="77" t="inlineStr">
        <is>
          <t>Unclear</t>
        </is>
      </c>
      <c r="AC547" s="77" t="inlineStr">
        <is>
          <t>Host organisation</t>
        </is>
      </c>
      <c r="AD547" s="77" t="inlineStr"/>
      <c r="AE547" s="77" t="inlineStr">
        <is>
          <t>Individual reflective portfolio and vlog</t>
        </is>
      </c>
      <c r="AF547" s="77">
        <f>IF(OR(V547="No",X547="No",Z547="No"),"Outside strict definition",IF(AND(V547="Yes",X547="Yes",Z547="Yes"),"Meets all three","Potentially relevant; evidence incomplete"))</f>
        <v/>
      </c>
      <c r="AG547" s="77" t="inlineStr">
        <is>
          <t>Current delivery confirmed</t>
        </is>
      </c>
      <c r="AH547" s="77" t="inlineStr">
        <is>
          <t>2025-26 / 2026-27</t>
        </is>
      </c>
      <c r="AI547" s="77" t="inlineStr">
        <is>
          <t>Yes</t>
        </is>
      </c>
      <c r="AJ547" s="77">
        <f>IF(AND(AI547="Yes",AF547="Meets all three",AG547="Current delivery confirmed"),"Yes","No")</f>
        <v/>
      </c>
      <c r="AK547" s="77" t="inlineStr"/>
      <c r="AL547" s="77" t="inlineStr">
        <is>
          <t>UK21-S03-R1; UK21-S03-R2</t>
        </is>
      </c>
      <c r="AM547" s="77" t="inlineStr"/>
      <c r="AN547" s="77" t="inlineStr">
        <is>
          <t>Micro-placement, CASC002H5</t>
        </is>
      </c>
      <c r="AO547" s="77" t="inlineStr">
        <is>
          <t>UK</t>
        </is>
      </c>
      <c r="AP547" s="77" t="inlineStr">
        <is>
          <t>UK – additional</t>
        </is>
      </c>
      <c r="AQ547" s="77" t="inlineStr">
        <is>
          <t>Unclear</t>
        </is>
      </c>
      <c r="AR547" s="77" t="inlineStr">
        <is>
          <t>Some projects</t>
        </is>
      </c>
      <c r="AS547" s="77" t="inlineStr"/>
    </row>
    <row r="548">
      <c r="A548" s="77" t="inlineStr">
        <is>
          <t>UK22</t>
        </is>
      </c>
      <c r="B548" s="77" t="inlineStr">
        <is>
          <t>Royal Holloway</t>
        </is>
      </c>
      <c r="C548" s="77" t="inlineStr">
        <is>
          <t>Programme/course</t>
        </is>
      </c>
      <c r="D548" s="77" t="inlineStr">
        <is>
          <t>UK22-S01</t>
        </is>
      </c>
      <c r="E548" s="77" t="inlineStr"/>
      <c r="F548" s="77" t="inlineStr">
        <is>
          <t>No</t>
        </is>
      </c>
      <c r="G548" s="79" t="inlineStr">
        <is>
          <t>CS4825 MSci Team Project</t>
        </is>
      </c>
      <c r="H548" s="77" t="inlineStr">
        <is>
          <t>MSci Team Project</t>
        </is>
      </c>
      <c r="I548" s="77" t="inlineStr">
        <is>
          <t>CS4825</t>
        </is>
      </c>
      <c r="J548" s="77" t="inlineStr">
        <is>
          <t>Final-year (Year 4) core module on the Software Engineering MSci: teams of students work 'in the context of a company where they have specific responsibilities' on projects 'for real clients', engaging clients, building and presenting software.</t>
        </is>
      </c>
      <c r="K548" s="77" t="inlineStr">
        <is>
          <t>Department of Computer Science</t>
        </is>
      </c>
      <c r="L548" s="77" t="inlineStr">
        <is>
          <t>Computer Science (Software Engineering) MSci (G461) and possibly related MSci routes</t>
        </is>
      </c>
      <c r="M548" s="77" t="inlineStr">
        <is>
          <t>Engineering/computing</t>
        </is>
      </c>
      <c r="N548" s="77" t="inlineStr">
        <is>
          <t>Undergraduate</t>
        </is>
      </c>
      <c r="O548" s="77" t="inlineStr">
        <is>
          <t>Year 4</t>
        </is>
      </c>
      <c r="P548" s="77" t="inlineStr">
        <is>
          <t>MSci Software Engineering students</t>
        </is>
      </c>
      <c r="Q548" s="77" t="inlineStr">
        <is>
          <t>Compulsory within specified programmes</t>
        </is>
      </c>
      <c r="R548" s="77" t="inlineStr">
        <is>
          <t>Curricular</t>
        </is>
      </c>
      <c r="S548" s="77" t="inlineStr">
        <is>
          <t>60 credits, Level 7, mandatory condonable (programme spec 2025/26)</t>
        </is>
      </c>
      <c r="T548" s="77" t="inlineStr">
        <is>
          <t>Full final year (60 credits)</t>
        </is>
      </c>
      <c r="U548" s="77" t="inlineStr">
        <is>
          <t>Team project run as a company</t>
        </is>
      </c>
      <c r="V548" s="77" t="inlineStr">
        <is>
          <t>Yes</t>
        </is>
      </c>
      <c r="W548" s="77" t="inlineStr">
        <is>
          <t>Software built, tested and presented for real clients; 60-credit module [1][2].</t>
        </is>
      </c>
      <c r="X548" s="77" t="inlineStr">
        <is>
          <t>Yes</t>
        </is>
      </c>
      <c r="Y548" s="77" t="inlineStr">
        <is>
          <t>'Teams of students will: work in the context of a company' [1]; programme outcome 'work as part of a professional team to deliver a large-scale product for a realistic client' [2].</t>
        </is>
      </c>
      <c r="Z548" s="77" t="inlineStr">
        <is>
          <t>Unclear</t>
        </is>
      </c>
      <c r="AA548" s="77" t="inlineStr">
        <is>
          <t>Page says 'projects for real clients' [1] but programme spec says 'realistic client' [2], and the department has an in-house software company (CodeGroovers); no source states that clients are external organisations or names any.</t>
        </is>
      </c>
      <c r="AB548" s="77" t="inlineStr">
        <is>
          <t>Unclear</t>
        </is>
      </c>
      <c r="AC548" s="77" t="inlineStr">
        <is>
          <t>Client (identity unspecified)</t>
        </is>
      </c>
      <c r="AD548" s="77" t="inlineStr"/>
      <c r="AE548" s="77" t="inlineStr">
        <is>
          <t>Software product delivered/presented to client</t>
        </is>
      </c>
      <c r="AF548" s="77">
        <f>IF(OR(V548="No",X548="No",Z548="No"),"Outside strict definition",IF(AND(V548="Yes",X548="Yes",Z548="Yes"),"Meets all three","Potentially relevant; evidence incomplete"))</f>
        <v/>
      </c>
      <c r="AG548" s="77" t="inlineStr">
        <is>
          <t>Current delivery confirmed</t>
        </is>
      </c>
      <c r="AH548" s="77" t="inlineStr">
        <is>
          <t>2025/26 (programme specification, year of entry 2025/26)</t>
        </is>
      </c>
      <c r="AI548" s="77" t="inlineStr">
        <is>
          <t>Yes</t>
        </is>
      </c>
      <c r="AJ548" s="77">
        <f>IF(AND(AI548="Yes",AF548="Meets all three",AG548="Current delivery confirmed"),"Yes","No")</f>
        <v/>
      </c>
      <c r="AK548" s="77" t="inlineStr"/>
      <c r="AL548" s="77" t="inlineStr">
        <is>
          <t>UK22-S01-R1; UK22-S01-R2</t>
        </is>
      </c>
      <c r="AM548" s="77" t="inlineStr">
        <is>
          <t>Whether clients are external organisations or internal/CodeGroovers; wording 'real' vs 'realistic' differs between sources.</t>
        </is>
      </c>
      <c r="AN548" s="77" t="inlineStr"/>
      <c r="AO548" s="77" t="inlineStr">
        <is>
          <t>UK</t>
        </is>
      </c>
      <c r="AP548" s="77" t="inlineStr">
        <is>
          <t>UK – additional</t>
        </is>
      </c>
      <c r="AQ548" s="77" t="inlineStr">
        <is>
          <t>&gt;1 term</t>
        </is>
      </c>
      <c r="AR548" s="77" t="inlineStr">
        <is>
          <t>Unclear</t>
        </is>
      </c>
      <c r="AS548" s="77" t="inlineStr"/>
    </row>
    <row r="549">
      <c r="A549" s="77" t="inlineStr">
        <is>
          <t>UK22</t>
        </is>
      </c>
      <c r="B549" s="77" t="inlineStr">
        <is>
          <t>Royal Holloway</t>
        </is>
      </c>
      <c r="C549" s="77" t="inlineStr">
        <is>
          <t>Programme/course</t>
        </is>
      </c>
      <c r="D549" s="77" t="inlineStr">
        <is>
          <t>UK22-S02</t>
        </is>
      </c>
      <c r="E549" s="77" t="inlineStr"/>
      <c r="F549" s="77" t="inlineStr">
        <is>
          <t>No</t>
        </is>
      </c>
      <c r="G549" s="79" t="inlineStr">
        <is>
          <t>Consultancy in the Digital Era (MSc Digital Business)</t>
        </is>
      </c>
      <c r="H549" s="77" t="inlineStr">
        <is>
          <t>Consultancy in the Digital Era</t>
        </is>
      </c>
      <c r="I549" s="77" t="inlineStr">
        <is>
          <t>MN5802</t>
        </is>
      </c>
      <c r="J549" s="77" t="inlineStr">
        <is>
          <t>Mandatory module on MSc Digital Business in which, per the programme page text returned by search, students working in teams provide digital consultancy for a client needing a digital solution (strategy, vision, data analysis, project management).</t>
        </is>
      </c>
      <c r="K549" s="77" t="inlineStr">
        <is>
          <t>School of Business and Management</t>
        </is>
      </c>
      <c r="L549" s="77" t="inlineStr">
        <is>
          <t>MSc Digital Business (course code 3749)</t>
        </is>
      </c>
      <c r="M549" s="77" t="inlineStr">
        <is>
          <t>Business/management</t>
        </is>
      </c>
      <c r="N549" s="77" t="inlineStr">
        <is>
          <t>Postgraduate taught</t>
        </is>
      </c>
      <c r="O549" s="77" t="inlineStr">
        <is>
          <t>Year 1 of 1-year MSc</t>
        </is>
      </c>
      <c r="P549" s="77" t="inlineStr"/>
      <c r="Q549" s="77" t="inlineStr">
        <is>
          <t>Compulsory within specified programmes</t>
        </is>
      </c>
      <c r="R549" s="77" t="inlineStr">
        <is>
          <t>Curricular</t>
        </is>
      </c>
      <c r="S549" s="77" t="inlineStr">
        <is>
          <t>15 credits, Level 7, mandatory condonable (2024/25 spec); assessment not seen</t>
        </is>
      </c>
      <c r="T549" s="77" t="inlineStr">
        <is>
          <t>Unclear</t>
        </is>
      </c>
      <c r="U549" s="77" t="inlineStr">
        <is>
          <t>Team consultancy for a client</t>
        </is>
      </c>
      <c r="V549" s="77" t="inlineStr">
        <is>
          <t>Yes</t>
        </is>
      </c>
      <c r="W549" s="77" t="inlineStr">
        <is>
          <t>Consultancy covering digital strategy, vision, data analysis and project management for a client [2].</t>
        </is>
      </c>
      <c r="X549" s="77" t="inlineStr">
        <is>
          <t>Yes</t>
        </is>
      </c>
      <c r="Y549" s="77" t="inlineStr">
        <is>
          <t>'Working in teams, you will provide digital consultancy for a client' (search-index extract of programme page, test-cms host) [2]; the official-host page fetched did not repeat this wording.</t>
        </is>
      </c>
      <c r="Z549" s="77" t="inlineStr">
        <is>
          <t>Unclear</t>
        </is>
      </c>
      <c r="AA549" s="77" t="inlineStr">
        <is>
          <t>'a client' not identified as an external organisation; no named partners or role evidenced.</t>
        </is>
      </c>
      <c r="AB549" s="77" t="inlineStr">
        <is>
          <t>Unclear</t>
        </is>
      </c>
      <c r="AC549" s="77" t="inlineStr">
        <is>
          <t>Unclear</t>
        </is>
      </c>
      <c r="AD549" s="77" t="inlineStr"/>
      <c r="AE549" s="77" t="inlineStr">
        <is>
          <t>Digital consultancy output (form unspecified)</t>
        </is>
      </c>
      <c r="AF549" s="77">
        <f>IF(OR(V549="No",X549="No",Z549="No"),"Outside strict definition",IF(AND(V549="Yes",X549="Yes",Z549="Yes"),"Meets all three","Potentially relevant; evidence incomplete"))</f>
        <v/>
      </c>
      <c r="AG549" s="77" t="inlineStr">
        <is>
          <t>Current status unclear</t>
        </is>
      </c>
      <c r="AH549" s="77" t="inlineStr">
        <is>
          <t>2024/25 (spec); programme page lists 2027 entry</t>
        </is>
      </c>
      <c r="AI549" s="77" t="inlineStr">
        <is>
          <t>Yes</t>
        </is>
      </c>
      <c r="AJ549" s="77">
        <f>IF(AND(AI549="Yes",AF549="Meets all three",AG549="Current delivery confirmed"),"Yes","No")</f>
        <v/>
      </c>
      <c r="AK549" s="77" t="inlineStr"/>
      <c r="AL549" s="77" t="inlineStr">
        <is>
          <t>UK22-S02-R1; UK22-S02-R2</t>
        </is>
      </c>
      <c r="AM549" s="77" t="inlineStr">
        <is>
          <t>Whether clients are real external organisations; group wording only from a test-cms search extract; module not corroborated for 2025/26-2026/27.</t>
        </is>
      </c>
      <c r="AN549" s="77" t="inlineStr"/>
      <c r="AO549" s="77" t="inlineStr">
        <is>
          <t>UK</t>
        </is>
      </c>
      <c r="AP549" s="77" t="inlineStr">
        <is>
          <t>UK – additional</t>
        </is>
      </c>
      <c r="AQ549" s="77" t="inlineStr">
        <is>
          <t>Unclear</t>
        </is>
      </c>
      <c r="AR549" s="77" t="inlineStr">
        <is>
          <t>Unclear</t>
        </is>
      </c>
      <c r="AS549" s="77" t="inlineStr"/>
    </row>
    <row r="550">
      <c r="A550" s="77" t="inlineStr">
        <is>
          <t>UK22</t>
        </is>
      </c>
      <c r="B550" s="77" t="inlineStr">
        <is>
          <t>Royal Holloway</t>
        </is>
      </c>
      <c r="C550" s="77" t="inlineStr">
        <is>
          <t>Programme/course</t>
        </is>
      </c>
      <c r="D550" s="77" t="inlineStr">
        <is>
          <t>UK22-S03</t>
        </is>
      </c>
      <c r="E550" s="77" t="inlineStr"/>
      <c r="F550" s="77" t="inlineStr">
        <is>
          <t>No</t>
        </is>
      </c>
      <c r="G550" s="79" t="inlineStr">
        <is>
          <t>Digital Marketing Consultancy (MSc Digital Marketing)</t>
        </is>
      </c>
      <c r="H550" s="77" t="inlineStr">
        <is>
          <t>Digital Marketing Consultancy</t>
        </is>
      </c>
      <c r="I550" s="77" t="inlineStr">
        <is>
          <t>MN5621</t>
        </is>
      </c>
      <c r="J550" s="77" t="inlineStr">
        <is>
          <t>MSc Digital Marketing module using action learning: a project carried out as prescribed by a client, with findings presented back to the client; assignment form depends on client requirements.</t>
        </is>
      </c>
      <c r="K550" s="77" t="inlineStr">
        <is>
          <t>School of Business and Management</t>
        </is>
      </c>
      <c r="L550" s="77" t="inlineStr">
        <is>
          <t>MSc Digital Marketing</t>
        </is>
      </c>
      <c r="M550" s="77" t="inlineStr">
        <is>
          <t>Business/management</t>
        </is>
      </c>
      <c r="N550" s="77" t="inlineStr">
        <is>
          <t>Postgraduate taught</t>
        </is>
      </c>
      <c r="O550" s="77" t="inlineStr"/>
      <c r="P550" s="77" t="inlineStr"/>
      <c r="Q550" s="77" t="inlineStr">
        <is>
          <t>Unclear</t>
        </is>
      </c>
      <c r="R550" s="77" t="inlineStr">
        <is>
          <t>Curricular</t>
        </is>
      </c>
      <c r="S550" s="77" t="inlineStr">
        <is>
          <t>15 credits (MSc programme PDF per search result)</t>
        </is>
      </c>
      <c r="T550" s="77" t="inlineStr">
        <is>
          <t>Unclear</t>
        </is>
      </c>
      <c r="U550" s="77" t="inlineStr">
        <is>
          <t>Client project, action learning</t>
        </is>
      </c>
      <c r="V550" s="77" t="inlineStr">
        <is>
          <t>Yes</t>
        </is>
      </c>
      <c r="W550" s="77" t="inlineStr">
        <is>
          <t>'carry out work required to achieve a particular outcome as prescribed by a client'; findings presented to client [1].</t>
        </is>
      </c>
      <c r="X550" s="77" t="inlineStr">
        <is>
          <t>Unclear</t>
        </is>
      </c>
      <c r="Y550" s="77" t="inlineStr">
        <is>
          <t>Module lists 'teamwork' among skills; page mentions group projects among course assessment methods generally, but not that this client project is done in groups [1].</t>
        </is>
      </c>
      <c r="Z550" s="77" t="inlineStr">
        <is>
          <t>Unclear</t>
        </is>
      </c>
      <c r="AA550" s="77" t="inlineStr">
        <is>
          <t>A 'client' prescribes the work and receives the presentation [1], but the page does not say clients are external organisations or how many projects use them.</t>
        </is>
      </c>
      <c r="AB550" s="77" t="inlineStr">
        <is>
          <t>Unclear</t>
        </is>
      </c>
      <c r="AC550" s="77" t="inlineStr">
        <is>
          <t>Client prescribes outcome; receives findings</t>
        </is>
      </c>
      <c r="AD550" s="77" t="inlineStr"/>
      <c r="AE550" s="77" t="inlineStr">
        <is>
          <t>Consultancy assignment (diagnosis/solution/recommendations/implementation support) presented to client</t>
        </is>
      </c>
      <c r="AF550" s="77">
        <f>IF(OR(V550="No",X550="No",Z550="No"),"Outside strict definition",IF(AND(V550="Yes",X550="Yes",Z550="Yes"),"Meets all three","Potentially relevant; evidence incomplete"))</f>
        <v/>
      </c>
      <c r="AG550" s="77" t="inlineStr">
        <is>
          <t>Current status unclear</t>
        </is>
      </c>
      <c r="AH550" s="77" t="inlineStr">
        <is>
          <t>2024/25 (Moodle listing seen in search result); programme page lists 2027 entry</t>
        </is>
      </c>
      <c r="AI550" s="77" t="inlineStr">
        <is>
          <t>Yes</t>
        </is>
      </c>
      <c r="AJ550" s="77">
        <f>IF(AND(AI550="Yes",AF550="Meets all three",AG550="Current delivery confirmed"),"Yes","No")</f>
        <v/>
      </c>
      <c r="AK550" s="77" t="inlineStr"/>
      <c r="AL550" s="77" t="inlineStr">
        <is>
          <t>UK22-S03-R1</t>
        </is>
      </c>
      <c r="AM550" s="77" t="inlineStr">
        <is>
          <t>Group vs individual; external vs hypothetical clients; whether compulsory; current-year delivery.</t>
        </is>
      </c>
      <c r="AN550" s="77" t="inlineStr"/>
      <c r="AO550" s="77" t="inlineStr">
        <is>
          <t>UK</t>
        </is>
      </c>
      <c r="AP550" s="77" t="inlineStr">
        <is>
          <t>UK – additional</t>
        </is>
      </c>
      <c r="AQ550" s="77" t="inlineStr">
        <is>
          <t>Unclear</t>
        </is>
      </c>
      <c r="AR550" s="77" t="inlineStr">
        <is>
          <t>Unclear</t>
        </is>
      </c>
      <c r="AS550" s="77" t="inlineStr"/>
    </row>
    <row r="551">
      <c r="A551" s="77" t="inlineStr">
        <is>
          <t>UK23</t>
        </is>
      </c>
      <c r="B551" s="77" t="inlineStr">
        <is>
          <t>City St George’s</t>
        </is>
      </c>
      <c r="C551" s="77" t="inlineStr">
        <is>
          <t>Cross-faculty</t>
        </is>
      </c>
      <c r="D551" s="77" t="inlineStr">
        <is>
          <t>UK23-S01</t>
        </is>
      </c>
      <c r="E551" s="77" t="inlineStr"/>
      <c r="F551" s="77" t="inlineStr">
        <is>
          <t>No</t>
        </is>
      </c>
      <c r="G551" s="79" t="inlineStr">
        <is>
          <t>Industry Led Projects (Industry Projects module)</t>
        </is>
      </c>
      <c r="H551" s="77" t="inlineStr">
        <is>
          <t>Industry Led Projects (Industry Projects module)</t>
        </is>
      </c>
      <c r="I551" s="77" t="inlineStr">
        <is>
          <t>PO3100 (Economics programme spec; code not confirmed for other degrees)</t>
        </is>
      </c>
      <c r="J551" s="77" t="inlineStr">
        <is>
          <t>Credit-bearing third-year modules in which students tackle a live project set by an organisation, aiming to deliver solutions or recommendations. Degree pages describe small multi-disciplinary groups choosing between five sector streams (policy, finance, community, business, arts and culture). Employers submit briefs at no cost.</t>
        </is>
      </c>
      <c r="K551" s="77" t="inlineStr">
        <is>
          <t>Corporate Relations &amp; Employability Unit / careers and employer engagement</t>
        </is>
      </c>
      <c r="L551" s="77" t="inlineStr">
        <is>
          <t>Third-year undergraduates of Bayes Business School, The City Law School, School of Policy &amp; Global Affairs, School of Communication &amp; Creativity</t>
        </is>
      </c>
      <c r="M551" s="77" t="inlineStr">
        <is>
          <t>Central provision; Business/management; Arts/humanities/social sciences; Other (law, health, design, architecture…)</t>
        </is>
      </c>
      <c r="N551" s="77" t="inlineStr">
        <is>
          <t>Undergraduate</t>
        </is>
      </c>
      <c r="O551" s="77" t="inlineStr">
        <is>
          <t>Year 3</t>
        </is>
      </c>
      <c r="P551" s="77" t="inlineStr">
        <is>
          <t>Third-year UG in the four named schools; whether compulsory or optional varies by degree (not established)</t>
        </is>
      </c>
      <c r="Q551" s="77" t="inlineStr">
        <is>
          <t>Unclear</t>
        </is>
      </c>
      <c r="R551" s="77" t="inlineStr">
        <is>
          <t>Curricular</t>
        </is>
      </c>
      <c r="S551" s="77" t="inlineStr">
        <is>
          <t>15 credits on Business Economics, Financial Economics, Social Sciences, Communication PR &amp; Advertising pages; assessment not found</t>
        </is>
      </c>
      <c r="T551" s="77" t="inlineStr">
        <is>
          <t>Autumn (c. Oct-Dec) or Spring (c. Jan-Mar) term depending on stream</t>
        </is>
      </c>
      <c r="U551" s="77" t="inlineStr">
        <is>
          <t>Module with employer briefs and showcase</t>
        </is>
      </c>
      <c r="V551" s="77" t="inlineStr">
        <is>
          <t>Yes</t>
        </is>
      </c>
      <c r="W551" s="77" t="inlineStr">
        <is>
          <t>Live project with a brief set by an organisation, aiming at tangible solutions or recommendations [1][2].</t>
        </is>
      </c>
      <c r="X551" s="77" t="inlineStr">
        <is>
          <t>Yes</t>
        </is>
      </c>
      <c r="Y551" s="77" t="inlineStr">
        <is>
          <t>Degree pages: 'work in small multi-disciplinary groups' [2]; Law page: group project on live brief [3]. Central page says 'in groups or individually' [1], so an individual route may exist and is not separated.</t>
        </is>
      </c>
      <c r="Z551" s="77" t="inlineStr">
        <is>
          <t>Yes</t>
        </is>
      </c>
      <c r="AA551" s="77" t="inlineStr">
        <is>
          <t>Employers submit project briefs, have an intro call with a module member and name a contact/supervisor; projects are 'for employers' [1][2].</t>
        </is>
      </c>
      <c r="AB551" s="77" t="inlineStr">
        <is>
          <t>Mixed</t>
        </is>
      </c>
      <c r="AC551" s="77" t="inlineStr">
        <is>
          <t>Sets live brief; contact/supervisor; receives solutions</t>
        </is>
      </c>
      <c r="AD551" s="77" t="inlineStr"/>
      <c r="AE551" s="77" t="inlineStr">
        <is>
          <t>Solutions/recommendations for the employer (form not specified)</t>
        </is>
      </c>
      <c r="AF551" s="77">
        <f>IF(OR(V551="No",X551="No",Z551="No"),"Outside strict definition",IF(AND(V551="Yes",X551="Yes",Z551="Yes"),"Meets all three","Potentially relevant; evidence incomplete"))</f>
        <v/>
      </c>
      <c r="AG551" s="77" t="inlineStr">
        <is>
          <t>Current status unclear</t>
        </is>
      </c>
      <c r="AH551" s="77" t="inlineStr">
        <is>
          <t>2024/25 (Industry Projects Showcase referenced on a Feb 2025 Festival of the Professions page)</t>
        </is>
      </c>
      <c r="AI551" s="77" t="inlineStr">
        <is>
          <t>Yes</t>
        </is>
      </c>
      <c r="AJ551" s="77">
        <f>IF(AND(AI551="Yes",AF551="Meets all three",AG551="Current delivery confirmed"),"Yes","No")</f>
        <v/>
      </c>
      <c r="AK551" s="77" t="inlineStr"/>
      <c r="AL551" s="77" t="inlineStr">
        <is>
          <t>UK23-S01-R1; UK23-S01-R2; UK23-S01-R3; UK23-S01-R4</t>
        </is>
      </c>
      <c r="AM551" s="77" t="inlineStr">
        <is>
          <t>No dated 2025/26 or 2026/27 corroboration; individual vs group split; compulsory vs optional by degree; named employers. Pages were not opened directly (Cloudflare 403).</t>
        </is>
      </c>
      <c r="AN551" s="77" t="inlineStr"/>
      <c r="AO551" s="77" t="inlineStr">
        <is>
          <t>UK</t>
        </is>
      </c>
      <c r="AP551" s="77" t="inlineStr">
        <is>
          <t>UK – additional</t>
        </is>
      </c>
      <c r="AQ551" s="77" t="inlineStr">
        <is>
          <t>~1 term/semester</t>
        </is>
      </c>
      <c r="AR551" s="77" t="inlineStr">
        <is>
          <t>All/standard</t>
        </is>
      </c>
      <c r="AS551" s="77" t="inlineStr"/>
    </row>
    <row r="552">
      <c r="A552" s="77" t="inlineStr">
        <is>
          <t>UK23</t>
        </is>
      </c>
      <c r="B552" s="77" t="inlineStr">
        <is>
          <t>City St George’s</t>
        </is>
      </c>
      <c r="C552" s="77" t="inlineStr">
        <is>
          <t>Programme/course</t>
        </is>
      </c>
      <c r="D552" s="77" t="inlineStr">
        <is>
          <t>UK23-S02</t>
        </is>
      </c>
      <c r="E552" s="77" t="inlineStr"/>
      <c r="F552" s="77" t="inlineStr">
        <is>
          <t>No</t>
        </is>
      </c>
      <c r="G552" s="79" t="inlineStr">
        <is>
          <t>Hewlett Packard Enterprise: Technology Consulting</t>
        </is>
      </c>
      <c r="H552" s="77" t="inlineStr">
        <is>
          <t>Hewlett Packard Enterprise: Technology Consulting</t>
        </is>
      </c>
      <c r="I552" s="77" t="inlineStr"/>
      <c r="J552" s="77" t="inlineStr">
        <is>
          <t>Year 3 module in which student groups propose a solution to a technical challenge faced by an assigned SME, with support from HPE professional mentors and technology specialists; the HPE Force for Good SME consultancy programme runs over 10 weeks.</t>
        </is>
      </c>
      <c r="K552" s="77" t="inlineStr">
        <is>
          <t>School of Science &amp; Technology; Corporate Relations &amp; Employability Unit (Career Activation Programme)</t>
        </is>
      </c>
      <c r="L552" s="77" t="inlineStr">
        <is>
          <t>Computer Science MSci, Data Science MSci, Computer Science with Cyber Security MSci (Games Technology page listing looks mismatched)</t>
        </is>
      </c>
      <c r="M552" s="77" t="inlineStr">
        <is>
          <t>Engineering/computing</t>
        </is>
      </c>
      <c r="N552" s="77" t="inlineStr">
        <is>
          <t>Undergraduate</t>
        </is>
      </c>
      <c r="O552" s="77" t="inlineStr">
        <is>
          <t>Year 3 (final year)</t>
        </is>
      </c>
      <c r="P552" s="77" t="inlineStr">
        <is>
          <t>Students on the listed degrees</t>
        </is>
      </c>
      <c r="Q552" s="77" t="inlineStr">
        <is>
          <t>Unclear</t>
        </is>
      </c>
      <c r="R552" s="77" t="inlineStr">
        <is>
          <t>Curricular</t>
        </is>
      </c>
      <c r="S552" s="77" t="inlineStr">
        <is>
          <t>15 credits; assessment not found</t>
        </is>
      </c>
      <c r="T552" s="77" t="inlineStr">
        <is>
          <t>10 weeks</t>
        </is>
      </c>
      <c r="U552" s="77" t="inlineStr">
        <is>
          <t>Group consultancy module with HPE mentors</t>
        </is>
      </c>
      <c r="V552" s="77" t="inlineStr">
        <is>
          <t>Yes</t>
        </is>
      </c>
      <c r="W552" s="77" t="inlineStr">
        <is>
          <t>Groups propose a solution to an assigned SME's technical challenge [1][2].</t>
        </is>
      </c>
      <c r="X552" s="77" t="inlineStr">
        <is>
          <t>Yes</t>
        </is>
      </c>
      <c r="Y552" s="77" t="inlineStr">
        <is>
          <t>'work in groups to propose a solution for a technical challenge' [2].</t>
        </is>
      </c>
      <c r="Z552" s="77" t="inlineStr">
        <is>
          <t>Yes</t>
        </is>
      </c>
      <c r="AA552" s="77" t="inlineStr">
        <is>
          <t>SMEs (selected at an HPE assessment day) supply the challenge; HPE experts mentor and help take forward solutions [1]. SMEs are external companies; HPE is an industry partner, not an internal body.</t>
        </is>
      </c>
      <c r="AB552" s="77" t="inlineStr">
        <is>
          <t>Business/commercial</t>
        </is>
      </c>
      <c r="AC552" s="77" t="inlineStr">
        <is>
          <t>SME supplies challenge; HPE mentors and specialists support</t>
        </is>
      </c>
      <c r="AD552" s="77" t="inlineStr">
        <is>
          <t>Hewlett Packard Enterprise (2024 announcement and 2026/27 course pages); individual SMEs not named in sources</t>
        </is>
      </c>
      <c r="AE552" s="77" t="inlineStr">
        <is>
          <t>Proposed technical solution for the SME</t>
        </is>
      </c>
      <c r="AF552" s="77">
        <f>IF(OR(V552="No",X552="No",Z552="No"),"Outside strict definition",IF(AND(V552="Yes",X552="Yes",Z552="Yes"),"Meets all three","Potentially relevant; evidence incomplete"))</f>
        <v/>
      </c>
      <c r="AG552" s="77" t="inlineStr">
        <is>
          <t>Current delivery confirmed</t>
        </is>
      </c>
      <c r="AH552" s="77" t="inlineStr">
        <is>
          <t>2026/27 (course structure listing)</t>
        </is>
      </c>
      <c r="AI552" s="77" t="inlineStr">
        <is>
          <t>Yes</t>
        </is>
      </c>
      <c r="AJ552" s="77">
        <f>IF(AND(AI552="Yes",AF552="Meets all three",AG552="Current delivery confirmed"),"Yes","No")</f>
        <v/>
      </c>
      <c r="AK552" s="77" t="inlineStr"/>
      <c r="AL552" s="77" t="inlineStr">
        <is>
          <t>UK23-S02-R1; UK23-S02-R2</t>
        </is>
      </c>
      <c r="AM552" s="77" t="inlineStr">
        <is>
          <t>Confirmed only by 2026/27 and 2027/28 course-structure listings; no cohort numbers or 2025/26 delivery evidence; whether compulsory or optional.</t>
        </is>
      </c>
      <c r="AN552" s="77" t="inlineStr"/>
      <c r="AO552" s="77" t="inlineStr">
        <is>
          <t>UK</t>
        </is>
      </c>
      <c r="AP552" s="77" t="inlineStr">
        <is>
          <t>UK – additional</t>
        </is>
      </c>
      <c r="AQ552" s="77" t="inlineStr">
        <is>
          <t>~1 term/semester</t>
        </is>
      </c>
      <c r="AR552" s="77" t="inlineStr">
        <is>
          <t>All/standard</t>
        </is>
      </c>
      <c r="AS552" s="77" t="inlineStr"/>
    </row>
    <row r="553">
      <c r="A553" s="77" t="inlineStr">
        <is>
          <t>UK23</t>
        </is>
      </c>
      <c r="B553" s="77" t="inlineStr">
        <is>
          <t>City St George’s</t>
        </is>
      </c>
      <c r="C553" s="77" t="inlineStr">
        <is>
          <t>Programme/course</t>
        </is>
      </c>
      <c r="D553" s="77" t="inlineStr">
        <is>
          <t>UK23-S03</t>
        </is>
      </c>
      <c r="E553" s="77" t="inlineStr"/>
      <c r="F553" s="77" t="inlineStr">
        <is>
          <t>No</t>
        </is>
      </c>
      <c r="G553" s="79" t="inlineStr">
        <is>
          <t>Sustainability and Climate Change (interdisciplinary module)</t>
        </is>
      </c>
      <c r="H553" s="77" t="inlineStr">
        <is>
          <t>Sustainability and Climate Change (interdisciplinary module)</t>
        </is>
      </c>
      <c r="I553" s="77" t="inlineStr"/>
      <c r="J553" s="77" t="inlineStr">
        <is>
          <t>Interdisciplinary module taught across schools (launched January 2025, first offered to law students with plans to extend). Alongside lectures, students work in groups on real-world sustainability projects set by external organisations (examples: better recycling behaviours; measuring the environmental impact of AI).</t>
        </is>
      </c>
      <c r="K553" s="77" t="inlineStr">
        <is>
          <t>City Law School (module leader Dr Jed Odermatt)</t>
        </is>
      </c>
      <c r="L553" s="77" t="inlineStr">
        <is>
          <t>Initially law students; wider roll-out planned</t>
        </is>
      </c>
      <c r="M553" s="77" t="inlineStr">
        <is>
          <t>Central provision; Other (law, health, design, architecture…)</t>
        </is>
      </c>
      <c r="N553" s="77" t="inlineStr">
        <is>
          <t>Undergraduate</t>
        </is>
      </c>
      <c r="O553" s="77" t="inlineStr">
        <is>
          <t>Unclear</t>
        </is>
      </c>
      <c r="P553" s="77" t="inlineStr">
        <is>
          <t>Not established beyond law cohort</t>
        </is>
      </c>
      <c r="Q553" s="77" t="inlineStr">
        <is>
          <t>Unclear</t>
        </is>
      </c>
      <c r="R553" s="77" t="inlineStr">
        <is>
          <t>Curricular</t>
        </is>
      </c>
      <c r="S553" s="77" t="inlineStr">
        <is>
          <t>Not found</t>
        </is>
      </c>
      <c r="T553" s="77" t="inlineStr"/>
      <c r="U553" s="77" t="inlineStr">
        <is>
          <t>Group projects with external partners</t>
        </is>
      </c>
      <c r="V553" s="77" t="inlineStr">
        <is>
          <t>Yes</t>
        </is>
      </c>
      <c r="W553" s="77" t="inlineStr">
        <is>
          <t>Real-world sustainability challenge with defined outputs per project [1][2]; output form not stated.</t>
        </is>
      </c>
      <c r="X553" s="77" t="inlineStr">
        <is>
          <t>Yes</t>
        </is>
      </c>
      <c r="Y553" s="77" t="inlineStr">
        <is>
          <t>'students work in teams/groups' on the challenge [1][2].</t>
        </is>
      </c>
      <c r="Z553" s="77" t="inlineStr">
        <is>
          <t>Yes</t>
        </is>
      </c>
      <c r="AA553" s="77" t="inlineStr">
        <is>
          <t>Challenges are set by external partner organisations [1][2].</t>
        </is>
      </c>
      <c r="AB553" s="77" t="inlineStr">
        <is>
          <t>Unclear</t>
        </is>
      </c>
      <c r="AC553" s="77" t="inlineStr">
        <is>
          <t>Sets the challenge</t>
        </is>
      </c>
      <c r="AD553" s="77" t="inlineStr"/>
      <c r="AE553" s="77" t="inlineStr">
        <is>
          <t>Not specified</t>
        </is>
      </c>
      <c r="AF553" s="77">
        <f>IF(OR(V553="No",X553="No",Z553="No"),"Outside strict definition",IF(AND(V553="Yes",X553="Yes",Z553="Yes"),"Meets all three","Potentially relevant; evidence incomplete"))</f>
        <v/>
      </c>
      <c r="AG553" s="77" t="inlineStr">
        <is>
          <t>Current delivery confirmed</t>
        </is>
      </c>
      <c r="AH553" s="77" t="inlineStr">
        <is>
          <t>2026 (Graduate Futures Awards 2026 highly commended news)</t>
        </is>
      </c>
      <c r="AI553" s="77" t="inlineStr">
        <is>
          <t>Yes</t>
        </is>
      </c>
      <c r="AJ553" s="77">
        <f>IF(AND(AI553="Yes",AF553="Meets all three",AG553="Current delivery confirmed"),"Yes","No")</f>
        <v/>
      </c>
      <c r="AK553" s="77" t="inlineStr"/>
      <c r="AL553" s="77" t="inlineStr">
        <is>
          <t>UK23-S03-R1; UK23-S03-R2</t>
        </is>
      </c>
      <c r="AM553" s="77" t="inlineStr">
        <is>
          <t>Credit value, level, which programmes now take it, partner names and types, partner involvement beyond setting the challenge. Evidence from news items only.</t>
        </is>
      </c>
      <c r="AN553" s="77" t="inlineStr"/>
      <c r="AO553" s="77" t="inlineStr">
        <is>
          <t>UK</t>
        </is>
      </c>
      <c r="AP553" s="77" t="inlineStr">
        <is>
          <t>UK – additional</t>
        </is>
      </c>
      <c r="AQ553" s="77" t="inlineStr">
        <is>
          <t>Unclear</t>
        </is>
      </c>
      <c r="AR553" s="77" t="inlineStr">
        <is>
          <t>All/standard</t>
        </is>
      </c>
      <c r="AS553" s="77" t="inlineStr"/>
    </row>
    <row r="554">
      <c r="A554" s="77" t="inlineStr">
        <is>
          <t>UK23</t>
        </is>
      </c>
      <c r="B554" s="77" t="inlineStr">
        <is>
          <t>City St George’s</t>
        </is>
      </c>
      <c r="C554" s="77" t="inlineStr">
        <is>
          <t>Programme/course</t>
        </is>
      </c>
      <c r="D554" s="77" t="inlineStr">
        <is>
          <t>UK23-S04</t>
        </is>
      </c>
      <c r="E554" s="77" t="inlineStr"/>
      <c r="F554" s="77" t="inlineStr">
        <is>
          <t>No</t>
        </is>
      </c>
      <c r="G554" s="79" t="inlineStr">
        <is>
          <t>MSc Consulting Challenge / Consulting Skills and Practice (Bayes)</t>
        </is>
      </c>
      <c r="H554" s="77" t="inlineStr">
        <is>
          <t>MSc Consulting Challenge / Consulting Skills and Practice (Bayes)</t>
        </is>
      </c>
      <c r="I554" s="77" t="inlineStr"/>
      <c r="J554" s="77" t="inlineStr">
        <is>
          <t>Teams of five students on the consulting elective of MSc Management carry out consultancy projects for client organisations over the summer term (May-August); clients pay nothing. Course page says team-based live projects supervised by practitioners.</t>
        </is>
      </c>
      <c r="K554" s="77" t="inlineStr">
        <is>
          <t>Bayes Business School</t>
        </is>
      </c>
      <c r="L554" s="77" t="inlineStr">
        <is>
          <t>MSc Management (consulting elective)</t>
        </is>
      </c>
      <c r="M554" s="77" t="inlineStr">
        <is>
          <t>Business/management</t>
        </is>
      </c>
      <c r="N554" s="77" t="inlineStr">
        <is>
          <t>Postgraduate taught</t>
        </is>
      </c>
      <c r="O554" s="77" t="inlineStr"/>
      <c r="P554" s="77" t="inlineStr">
        <is>
          <t>Students taking the consulting elective</t>
        </is>
      </c>
      <c r="Q554" s="77" t="inlineStr">
        <is>
          <t>Optional/elective</t>
        </is>
      </c>
      <c r="R554" s="77" t="inlineStr">
        <is>
          <t>Curricular</t>
        </is>
      </c>
      <c r="S554" s="77" t="inlineStr">
        <is>
          <t>Not found</t>
        </is>
      </c>
      <c r="T554" s="77" t="inlineStr">
        <is>
          <t>May-August</t>
        </is>
      </c>
      <c r="U554" s="77" t="inlineStr">
        <is>
          <t>Team consultancy project</t>
        </is>
      </c>
      <c r="V554" s="77" t="inlineStr">
        <is>
          <t>Yes</t>
        </is>
      </c>
      <c r="W554" s="77" t="inlineStr">
        <is>
          <t>Consultancy projects delivering advice to clients [1].</t>
        </is>
      </c>
      <c r="X554" s="77" t="inlineStr">
        <is>
          <t>Yes</t>
        </is>
      </c>
      <c r="Y554" s="77" t="inlineStr">
        <is>
          <t>'Team of 5 MSc Management students' [1]; team-based live consulting projects [2].</t>
        </is>
      </c>
      <c r="Z554" s="77" t="inlineStr">
        <is>
          <t>Yes</t>
        </is>
      </c>
      <c r="AA554" s="77" t="inlineStr">
        <is>
          <t>Client organisations supply the projects and receive recommendations [1]; recent partners Google, Lloyds, Accenture, EY, Hitachi [2].</t>
        </is>
      </c>
      <c r="AB554" s="77" t="inlineStr">
        <is>
          <t>Business/commercial</t>
        </is>
      </c>
      <c r="AC554" s="77" t="inlineStr">
        <is>
          <t>Client: supplies project, receives recommendations</t>
        </is>
      </c>
      <c r="AD554" s="77" t="inlineStr">
        <is>
          <t>Google, Lloyds, Accenture, EY, Hitachi (course page, undated; 'recent partners')</t>
        </is>
      </c>
      <c r="AE554" s="77" t="inlineStr">
        <is>
          <t>Consultancy advice/recommendations to client</t>
        </is>
      </c>
      <c r="AF554" s="77">
        <f>IF(OR(V554="No",X554="No",Z554="No"),"Outside strict definition",IF(AND(V554="Yes",X554="Yes",Z554="Yes"),"Meets all three","Potentially relevant; evidence incomplete"))</f>
        <v/>
      </c>
      <c r="AG554" s="77" t="inlineStr">
        <is>
          <t>Current status unclear</t>
        </is>
      </c>
      <c r="AH554" s="77" t="inlineStr"/>
      <c r="AI554" s="77" t="inlineStr">
        <is>
          <t>Yes</t>
        </is>
      </c>
      <c r="AJ554" s="77">
        <f>IF(AND(AI554="Yes",AF554="Meets all three",AG554="Current delivery confirmed"),"Yes","No")</f>
        <v/>
      </c>
      <c r="AK554" s="77" t="inlineStr"/>
      <c r="AL554" s="77" t="inlineStr">
        <is>
          <t>UK23-S04-R1; UK23-S04-R2</t>
        </is>
      </c>
      <c r="AM554" s="77" t="inlineStr">
        <is>
          <t>Search metadata shows source pages about 594 days old; no 2025/26 or 2026/27 corroboration; module code and credits; contact details conflict between pages. The same page lists an individual MSc Industry Project route (excluded).</t>
        </is>
      </c>
      <c r="AN554" s="77" t="inlineStr"/>
      <c r="AO554" s="77" t="inlineStr">
        <is>
          <t>UK</t>
        </is>
      </c>
      <c r="AP554" s="77" t="inlineStr">
        <is>
          <t>UK – additional</t>
        </is>
      </c>
      <c r="AQ554" s="77" t="inlineStr">
        <is>
          <t>&gt;1 term</t>
        </is>
      </c>
      <c r="AR554" s="77" t="inlineStr">
        <is>
          <t>All/standard</t>
        </is>
      </c>
      <c r="AS554" s="77" t="inlineStr"/>
    </row>
    <row r="555">
      <c r="A555" s="77" t="inlineStr">
        <is>
          <t>UK23</t>
        </is>
      </c>
      <c r="B555" s="77" t="inlineStr">
        <is>
          <t>City St George’s</t>
        </is>
      </c>
      <c r="C555" s="77" t="inlineStr">
        <is>
          <t>Programme/course</t>
        </is>
      </c>
      <c r="D555" s="77" t="inlineStr">
        <is>
          <t>UK23-S05</t>
        </is>
      </c>
      <c r="E555" s="77" t="inlineStr"/>
      <c r="F555" s="77" t="inlineStr">
        <is>
          <t>No</t>
        </is>
      </c>
      <c r="G555" s="79" t="inlineStr">
        <is>
          <t>Full-time MBA Strategy Project</t>
        </is>
      </c>
      <c r="H555" s="77" t="inlineStr">
        <is>
          <t>Full-time MBA Strategy Project</t>
        </is>
      </c>
      <c r="I555" s="77" t="inlineStr"/>
      <c r="J555" s="77" t="inlineStr">
        <is>
          <t>Teams of MBA students work on a real company's strategic challenge and present to the client; the programme also has an International Consultancy Week with a company abroad.</t>
        </is>
      </c>
      <c r="K555" s="77" t="inlineStr">
        <is>
          <t>Bayes Business School</t>
        </is>
      </c>
      <c r="L555" s="77" t="inlineStr">
        <is>
          <t>Full-time MBA</t>
        </is>
      </c>
      <c r="M555" s="77" t="inlineStr">
        <is>
          <t>Business/management</t>
        </is>
      </c>
      <c r="N555" s="77" t="inlineStr">
        <is>
          <t>Postgraduate taught</t>
        </is>
      </c>
      <c r="O555" s="77" t="inlineStr"/>
      <c r="P555" s="77" t="inlineStr"/>
      <c r="Q555" s="77" t="inlineStr">
        <is>
          <t>Unclear</t>
        </is>
      </c>
      <c r="R555" s="77" t="inlineStr">
        <is>
          <t>Curricular</t>
        </is>
      </c>
      <c r="S555" s="77" t="inlineStr">
        <is>
          <t>Not found</t>
        </is>
      </c>
      <c r="T555" s="77" t="inlineStr"/>
      <c r="U555" s="77" t="inlineStr">
        <is>
          <t>Team client project</t>
        </is>
      </c>
      <c r="V555" s="77" t="inlineStr">
        <is>
          <t>Yes</t>
        </is>
      </c>
      <c r="W555" s="77" t="inlineStr">
        <is>
          <t>Strategy project on a real company's challenge with client presentation [1].</t>
        </is>
      </c>
      <c r="X555" s="77" t="inlineStr">
        <is>
          <t>Yes</t>
        </is>
      </c>
      <c r="Y555" s="77" t="inlineStr">
        <is>
          <t>Search summary says 'teams' work on the project [1].</t>
        </is>
      </c>
      <c r="Z555" s="77" t="inlineStr">
        <is>
          <t>Yes</t>
        </is>
      </c>
      <c r="AA555" s="77" t="inlineStr">
        <is>
          <t>Real company supplies the challenge and receives the presentation [1].</t>
        </is>
      </c>
      <c r="AB555" s="77" t="inlineStr">
        <is>
          <t>Business/commercial</t>
        </is>
      </c>
      <c r="AC555" s="77" t="inlineStr">
        <is>
          <t>Client: supplies challenge, receives presentation</t>
        </is>
      </c>
      <c r="AD555" s="77" t="inlineStr"/>
      <c r="AE555" s="77" t="inlineStr">
        <is>
          <t>Strategy recommendations / client presentation</t>
        </is>
      </c>
      <c r="AF555" s="77">
        <f>IF(OR(V555="No",X555="No",Z555="No"),"Outside strict definition",IF(AND(V555="Yes",X555="Yes",Z555="Yes"),"Meets all three","Potentially relevant; evidence incomplete"))</f>
        <v/>
      </c>
      <c r="AG555" s="77" t="inlineStr">
        <is>
          <t>Current status unclear</t>
        </is>
      </c>
      <c r="AH555" s="77" t="inlineStr"/>
      <c r="AI555" s="77" t="inlineStr">
        <is>
          <t>Yes</t>
        </is>
      </c>
      <c r="AJ555" s="77">
        <f>IF(AND(AI555="Yes",AF555="Meets all three",AG555="Current delivery confirmed"),"Yes","No")</f>
        <v/>
      </c>
      <c r="AK555" s="77" t="inlineStr"/>
      <c r="AL555" s="77" t="inlineStr">
        <is>
          <t>UK23-S05-R1</t>
        </is>
      </c>
      <c r="AM555" s="77" t="inlineStr">
        <is>
          <t>Page is on the legacy bayes.city.ac.uk domain; undated; compulsory status, duration, credit and partners not confirmed.</t>
        </is>
      </c>
      <c r="AN555" s="77" t="inlineStr"/>
      <c r="AO555" s="77" t="inlineStr">
        <is>
          <t>UK</t>
        </is>
      </c>
      <c r="AP555" s="77" t="inlineStr">
        <is>
          <t>UK – additional</t>
        </is>
      </c>
      <c r="AQ555" s="77" t="inlineStr">
        <is>
          <t>Unclear</t>
        </is>
      </c>
      <c r="AR555" s="77" t="inlineStr">
        <is>
          <t>Unclear</t>
        </is>
      </c>
      <c r="AS555" s="77" t="inlineStr"/>
    </row>
    <row r="556">
      <c r="A556" s="77" t="inlineStr">
        <is>
          <t>UK23</t>
        </is>
      </c>
      <c r="B556" s="77" t="inlineStr">
        <is>
          <t>City St George’s</t>
        </is>
      </c>
      <c r="C556" s="77" t="inlineStr">
        <is>
          <t>Programme/course</t>
        </is>
      </c>
      <c r="D556" s="77" t="inlineStr">
        <is>
          <t>UK23-S06</t>
        </is>
      </c>
      <c r="E556" s="77" t="inlineStr"/>
      <c r="F556" s="77" t="inlineStr">
        <is>
          <t>No</t>
        </is>
      </c>
      <c r="G556" s="79" t="inlineStr">
        <is>
          <t>BSc Management student consultancy (final-year live case)</t>
        </is>
      </c>
      <c r="H556" s="77" t="inlineStr">
        <is>
          <t>BSc Management student consultancy (final-year live case)</t>
        </is>
      </c>
      <c r="I556" s="77" t="inlineStr"/>
      <c r="J556" s="77" t="inlineStr">
        <is>
          <t>Employers can supply real consultancy cases to final-year BSc Management students, who work in groups of 4-6 on a live case and present findings to the client; described as an integrated element of the curriculum.</t>
        </is>
      </c>
      <c r="K556" s="77" t="inlineStr">
        <is>
          <t>Bayes Business School</t>
        </is>
      </c>
      <c r="L556" s="77" t="inlineStr">
        <is>
          <t>BSc Management</t>
        </is>
      </c>
      <c r="M556" s="77" t="inlineStr">
        <is>
          <t>Business/management</t>
        </is>
      </c>
      <c r="N556" s="77" t="inlineStr">
        <is>
          <t>Undergraduate</t>
        </is>
      </c>
      <c r="O556" s="77" t="inlineStr">
        <is>
          <t>Final year</t>
        </is>
      </c>
      <c r="P556" s="77" t="inlineStr"/>
      <c r="Q556" s="77" t="inlineStr">
        <is>
          <t>Unclear</t>
        </is>
      </c>
      <c r="R556" s="77" t="inlineStr">
        <is>
          <t>Curricular</t>
        </is>
      </c>
      <c r="S556" s="77" t="inlineStr">
        <is>
          <t>Not found</t>
        </is>
      </c>
      <c r="T556" s="77" t="inlineStr"/>
      <c r="U556" s="77" t="inlineStr">
        <is>
          <t>Group consultancy case</t>
        </is>
      </c>
      <c r="V556" s="77" t="inlineStr">
        <is>
          <t>Yes</t>
        </is>
      </c>
      <c r="W556" s="77" t="inlineStr">
        <is>
          <t>Live case with findings presented to the client [1].</t>
        </is>
      </c>
      <c r="X556" s="77" t="inlineStr">
        <is>
          <t>Yes</t>
        </is>
      </c>
      <c r="Y556" s="77" t="inlineStr">
        <is>
          <t>Groups of 4-6 [1].</t>
        </is>
      </c>
      <c r="Z556" s="77" t="inlineStr">
        <is>
          <t>Unclear</t>
        </is>
      </c>
      <c r="AA556" s="77" t="inlineStr">
        <is>
          <t>Employers 'can' supply cases and receive presentation [1]; wording is permissive, so standard external sourcing not established.</t>
        </is>
      </c>
      <c r="AB556" s="77" t="inlineStr">
        <is>
          <t>Business/commercial</t>
        </is>
      </c>
      <c r="AC556" s="77" t="inlineStr">
        <is>
          <t>Supplies live case; receives presentation</t>
        </is>
      </c>
      <c r="AD556" s="77" t="inlineStr"/>
      <c r="AE556" s="77" t="inlineStr">
        <is>
          <t>Findings presentation to employer</t>
        </is>
      </c>
      <c r="AF556" s="77">
        <f>IF(OR(V556="No",X556="No",Z556="No"),"Outside strict definition",IF(AND(V556="Yes",X556="Yes",Z556="Yes"),"Meets all three","Potentially relevant; evidence incomplete"))</f>
        <v/>
      </c>
      <c r="AG556" s="77" t="inlineStr">
        <is>
          <t>Current status unclear</t>
        </is>
      </c>
      <c r="AH556" s="77" t="inlineStr"/>
      <c r="AI556" s="77" t="inlineStr">
        <is>
          <t>No</t>
        </is>
      </c>
      <c r="AJ556" s="77">
        <f>IF(AND(AI556="Yes",AF556="Meets all three",AG556="Current delivery confirmed"),"Yes","No")</f>
        <v/>
      </c>
      <c r="AK556" s="77" t="inlineStr"/>
      <c r="AL556" s="77" t="inlineStr">
        <is>
          <t>UK23-S06-R1</t>
        </is>
      </c>
      <c r="AM556" s="77" t="inlineStr">
        <is>
          <t>Probably the Bayes instance of Industry Projects/Applied Industry Business Project (a BM3003 module spec was seen in results but not examined); undated; employer wording is 'can supply'.</t>
        </is>
      </c>
      <c r="AN556" s="77" t="inlineStr"/>
      <c r="AO556" s="77" t="inlineStr">
        <is>
          <t>UK</t>
        </is>
      </c>
      <c r="AP556" s="77" t="inlineStr">
        <is>
          <t>UK – additional</t>
        </is>
      </c>
      <c r="AQ556" s="77" t="inlineStr">
        <is>
          <t>Unclear</t>
        </is>
      </c>
      <c r="AR556" s="77" t="inlineStr">
        <is>
          <t>Unclear</t>
        </is>
      </c>
      <c r="AS556" s="77" t="inlineStr">
        <is>
          <t>No (possible duplicate of UK23-S01)</t>
        </is>
      </c>
    </row>
    <row r="557">
      <c r="A557" s="77" t="inlineStr">
        <is>
          <t>UK24</t>
        </is>
      </c>
      <c r="B557" s="77" t="inlineStr">
        <is>
          <t>Oxford Brookes</t>
        </is>
      </c>
      <c r="C557" s="77" t="inlineStr">
        <is>
          <t>Faculty/school</t>
        </is>
      </c>
      <c r="D557" s="77" t="inlineStr">
        <is>
          <t>UK24-S01</t>
        </is>
      </c>
      <c r="E557" s="77" t="inlineStr"/>
      <c r="F557" s="77" t="inlineStr">
        <is>
          <t>No</t>
        </is>
      </c>
      <c r="G557" s="79" t="inlineStr">
        <is>
          <t>Business Challenge Week (also called Impact Challenge Week)</t>
        </is>
      </c>
      <c r="H557" s="77" t="inlineStr">
        <is>
          <t>Business Challenge Week / Impact Challenge Week</t>
        </is>
      </c>
      <c r="I557" s="77" t="inlineStr"/>
      <c r="J557" s="77" t="inlineStr">
        <is>
          <t>Intensive week in which a specially built team of Oxford Brookes master's students works on a problem or opportunity posed by a partner organisation (any size, profit or non-profit), then pitches to a panel of judges from the business community at an end-of-week showcase. Partners brief the team online, give ongoing input/feedback and may host a visit or supply anonymised datasets.</t>
        </is>
      </c>
      <c r="K557" s="77" t="inlineStr">
        <is>
          <t>Oxford Brookes Business School (Business and External Engagement)</t>
        </is>
      </c>
      <c r="L557" s="77" t="inlineStr">
        <is>
          <t>Postgraduate students of Oxford Brookes Business School; MSc Management page also describes 'students from across a range of disciplines'</t>
        </is>
      </c>
      <c r="M557" s="77" t="inlineStr">
        <is>
          <t>Business/management</t>
        </is>
      </c>
      <c r="N557" s="77" t="inlineStr">
        <is>
          <t>Postgraduate taught</t>
        </is>
      </c>
      <c r="O557" s="77" t="inlineStr"/>
      <c r="P557" s="77" t="inlineStr">
        <is>
          <t>Postgraduate Business School students (MSc Management page lists it under co-curricular events)</t>
        </is>
      </c>
      <c r="Q557" s="77" t="inlineStr">
        <is>
          <t>Unclear</t>
        </is>
      </c>
      <c r="R557" s="77" t="inlineStr">
        <is>
          <t>Unclear</t>
        </is>
      </c>
      <c r="S557" s="77" t="inlineStr">
        <is>
          <t>Not stated on pages</t>
        </is>
      </c>
      <c r="T557" s="77" t="inlineStr">
        <is>
          <t>One week (8-12 June 2026 per partner page)</t>
        </is>
      </c>
      <c r="U557" s="77" t="inlineStr">
        <is>
          <t>Intensive in-person team challenge week with end showcase</t>
        </is>
      </c>
      <c r="V557" s="77" t="inlineStr">
        <is>
          <t>Yes</t>
        </is>
      </c>
      <c r="W557" s="77" t="inlineStr">
        <is>
          <t>Teams tackle a partner-set problem and produce analysis, solution/prototype/action plan or short report with recommendations [2][3].</t>
        </is>
      </c>
      <c r="X557" s="77" t="inlineStr">
        <is>
          <t>Yes</t>
        </is>
      </c>
      <c r="Y557" s="77" t="inlineStr">
        <is>
          <t>'Students work in teams, developing innovative solutions' [1]; 'specially built team' of master's students [2].</t>
        </is>
      </c>
      <c r="Z557" s="77" t="inlineStr">
        <is>
          <t>Yes</t>
        </is>
      </c>
      <c r="AA557" s="77" t="inlineStr">
        <is>
          <t>'real business problems posed by local, national, and international organisations' [1]; partners brief the team, give feedback, and receive the output and showcase invitation [2]; pitches judged by business community [1].</t>
        </is>
      </c>
      <c r="AB557" s="77" t="inlineStr">
        <is>
          <t>Mixed</t>
        </is>
      </c>
      <c r="AC557" s="77" t="inlineStr">
        <is>
          <t>Poses challenge, briefs team, gives feedback, receives output; judges attend</t>
        </is>
      </c>
      <c r="AD557" s="77" t="inlineStr">
        <is>
          <t>BioBright and X&amp;Y Fertility (2024 edition, per search summary of Brookes news article; article not opened, 404 on fetch)</t>
        </is>
      </c>
      <c r="AE557" s="77" t="inlineStr">
        <is>
          <t>Analysis, solution/prototype/action plan or short report; pitch/showcase</t>
        </is>
      </c>
      <c r="AF557" s="77">
        <f>IF(OR(V557="No",X557="No",Z557="No"),"Outside strict definition",IF(AND(V557="Yes",X557="Yes",Z557="Yes"),"Meets all three","Potentially relevant; evidence incomplete"))</f>
        <v/>
      </c>
      <c r="AG557" s="77" t="inlineStr">
        <is>
          <t>Current delivery confirmed</t>
        </is>
      </c>
      <c r="AH557" s="77" t="inlineStr">
        <is>
          <t>2026 (8-12 June 2026 partner-call page; 2024 edition reported delivered with 45 students)</t>
        </is>
      </c>
      <c r="AI557" s="77" t="inlineStr">
        <is>
          <t>Yes</t>
        </is>
      </c>
      <c r="AJ557" s="77">
        <f>IF(AND(AI557="Yes",AF557="Meets all three",AG557="Current delivery confirmed"),"Yes","No")</f>
        <v/>
      </c>
      <c r="AK557" s="77" t="inlineStr">
        <is>
          <t>45 students, 2024 edition (including 12 from Regensburg), per search summary of news article.</t>
        </is>
      </c>
      <c r="AL557" s="77" t="inlineStr">
        <is>
          <t>UK24-S01-R1; UK24-S01-R2; UK24-S01-R3; UK24-S01-R4</t>
        </is>
      </c>
      <c r="AM557" s="77" t="inlineStr">
        <is>
          <t>Credit and compulsory status; team numbers; page contains a date inconsistency (showcase 6 June vs week 8-12 June); 2026 delivery is evidenced by the partner call, not a post-event report.</t>
        </is>
      </c>
      <c r="AN557" s="77" t="inlineStr">
        <is>
          <t>Business Challenge Week</t>
        </is>
      </c>
      <c r="AO557" s="77" t="inlineStr">
        <is>
          <t>UK</t>
        </is>
      </c>
      <c r="AP557" s="77" t="inlineStr">
        <is>
          <t>UK – additional</t>
        </is>
      </c>
      <c r="AQ557" s="77" t="inlineStr">
        <is>
          <t>1 week</t>
        </is>
      </c>
      <c r="AR557" s="77" t="inlineStr">
        <is>
          <t>All/standard</t>
        </is>
      </c>
      <c r="AS557" s="77" t="inlineStr"/>
    </row>
    <row r="558">
      <c r="A558" s="77" t="inlineStr">
        <is>
          <t>UK24</t>
        </is>
      </c>
      <c r="B558" s="77" t="inlineStr">
        <is>
          <t>Oxford Brookes</t>
        </is>
      </c>
      <c r="C558" s="77" t="inlineStr">
        <is>
          <t>Faculty/school</t>
        </is>
      </c>
      <c r="D558" s="77" t="inlineStr">
        <is>
          <t>UK24-S02</t>
        </is>
      </c>
      <c r="E558" s="77" t="inlineStr"/>
      <c r="F558" s="77" t="inlineStr">
        <is>
          <t>No</t>
        </is>
      </c>
      <c r="G558" s="79" t="inlineStr">
        <is>
          <t>Summer Student Consultancy Scheme</t>
        </is>
      </c>
      <c r="H558" s="77" t="inlineStr">
        <is>
          <t>Summer Student Consultancy Scheme</t>
        </is>
      </c>
      <c r="I558" s="77" t="inlineStr"/>
      <c r="J558" s="77" t="inlineStr">
        <is>
          <t>Four-week consultancy in which a team of 2-3 undergraduates is matched to an organisation's project brief, works under a university mentor with an organisation supervisor, and delivers a final report and online showcase that clients must attend.</t>
        </is>
      </c>
      <c r="K558" s="77" t="inlineStr">
        <is>
          <t>Oxford Brookes Business School (WAVES team / Business and External Engagement)</t>
        </is>
      </c>
      <c r="L558" s="77" t="inlineStr">
        <is>
          <t>Undergraduates who have completed a Business Management, Accounting &amp; Finance or Marketing programme of study</t>
        </is>
      </c>
      <c r="M558" s="77" t="inlineStr">
        <is>
          <t>Business/management</t>
        </is>
      </c>
      <c r="N558" s="77" t="inlineStr">
        <is>
          <t>Undergraduate</t>
        </is>
      </c>
      <c r="O558" s="77" t="inlineStr">
        <is>
          <t>Completed UG programme of study (per page)</t>
        </is>
      </c>
      <c r="P558" s="77" t="inlineStr">
        <is>
          <t>Business Management, Accounting &amp; Finance or Marketing students; application via expression of interest and matching</t>
        </is>
      </c>
      <c r="Q558" s="77" t="inlineStr">
        <is>
          <t>Selective/competitive</t>
        </is>
      </c>
      <c r="R558" s="77" t="inlineStr">
        <is>
          <t>Extracurricular</t>
        </is>
      </c>
      <c r="S558" s="77" t="inlineStr">
        <is>
          <t>No credit mentioned; free to organisations and 'does not constitute a contract of employment'</t>
        </is>
      </c>
      <c r="T558" s="77" t="inlineStr">
        <is>
          <t>4 weeks, cumulative 40-80 student hours (May-June 2027 edition; summer 2026 edition per search summary)</t>
        </is>
      </c>
      <c r="U558" s="77" t="inlineStr">
        <is>
          <t>Team consultancy with workplace exposure, mentor, showcase</t>
        </is>
      </c>
      <c r="V558" s="77" t="inlineStr">
        <is>
          <t>Yes</t>
        </is>
      </c>
      <c r="W558" s="77" t="inlineStr">
        <is>
          <t>Students answer a client project brief with clear outcomes; outputs include analysis, solution/prototype/action plan and 'a short report on findings and recommendations' [1].</t>
        </is>
      </c>
      <c r="X558" s="77" t="inlineStr">
        <is>
          <t>Yes</t>
        </is>
      </c>
      <c r="Y558" s="77" t="inlineStr">
        <is>
          <t>'a team of between 2-3 students' work on each challenge [1].</t>
        </is>
      </c>
      <c r="Z558" s="77" t="inlineStr">
        <is>
          <t>Yes</t>
        </is>
      </c>
      <c r="AA558" s="77" t="inlineStr">
        <is>
          <t>Organisation supplies the brief, a supervisor who 'supports the students throughout' and attends the initial meeting and showcase; hosts in-person exposure; gives data/system access for technical projects [1].</t>
        </is>
      </c>
      <c r="AB558" s="77" t="inlineStr">
        <is>
          <t>Mixed</t>
        </is>
      </c>
      <c r="AC558" s="77" t="inlineStr">
        <is>
          <t>Sets brief, supervises, receives report, attends showcase</t>
        </is>
      </c>
      <c r="AD558" s="77" t="inlineStr"/>
      <c r="AE558" s="77" t="inlineStr">
        <is>
          <t>Final report and online showcase</t>
        </is>
      </c>
      <c r="AF558" s="77">
        <f>IF(OR(V558="No",X558="No",Z558="No"),"Outside strict definition",IF(AND(V558="Yes",X558="Yes",Z558="Yes"),"Meets all three","Potentially relevant; evidence incomplete"))</f>
        <v/>
      </c>
      <c r="AG558" s="77" t="inlineStr">
        <is>
          <t>Announced/forthcoming</t>
        </is>
      </c>
      <c r="AH558" s="77" t="inlineStr">
        <is>
          <t>Summer 2027 (call page); summer 2026 edition mentioned in search summary only</t>
        </is>
      </c>
      <c r="AI558" s="77" t="inlineStr">
        <is>
          <t>Yes</t>
        </is>
      </c>
      <c r="AJ558" s="77">
        <f>IF(AND(AI558="Yes",AF558="Meets all three",AG558="Current delivery confirmed"),"Yes","No")</f>
        <v/>
      </c>
      <c r="AK558" s="77" t="inlineStr"/>
      <c r="AL558" s="77" t="inlineStr">
        <is>
          <t>UK24-S02-R1</t>
        </is>
      </c>
      <c r="AM558" s="77" t="inlineStr">
        <is>
          <t>Whether summer 2026 edition ran and with how many teams; fetched page gives two slightly different date sets for 2027.</t>
        </is>
      </c>
      <c r="AN558" s="77" t="inlineStr"/>
      <c r="AO558" s="77" t="inlineStr">
        <is>
          <t>UK</t>
        </is>
      </c>
      <c r="AP558" s="77" t="inlineStr">
        <is>
          <t>UK – additional</t>
        </is>
      </c>
      <c r="AQ558" s="77" t="inlineStr">
        <is>
          <t>1-4 weeks</t>
        </is>
      </c>
      <c r="AR558" s="77" t="inlineStr">
        <is>
          <t>All/standard</t>
        </is>
      </c>
      <c r="AS558" s="77" t="inlineStr"/>
    </row>
    <row r="559">
      <c r="A559" s="77" t="inlineStr">
        <is>
          <t>UK24</t>
        </is>
      </c>
      <c r="B559" s="77" t="inlineStr">
        <is>
          <t>Oxford Brookes</t>
        </is>
      </c>
      <c r="C559" s="77" t="inlineStr">
        <is>
          <t>Programme/course</t>
        </is>
      </c>
      <c r="D559" s="77" t="inlineStr">
        <is>
          <t>UK24-S03</t>
        </is>
      </c>
      <c r="E559" s="77" t="inlineStr"/>
      <c r="F559" s="77" t="inlineStr">
        <is>
          <t>No</t>
        </is>
      </c>
      <c r="G559" s="79" t="inlineStr">
        <is>
          <t>Client Project (Transformative Learning Journey module, Global MBA)</t>
        </is>
      </c>
      <c r="H559" s="77" t="inlineStr">
        <is>
          <t>Client Project, Oxford Brookes Global MBA</t>
        </is>
      </c>
      <c r="I559" s="77" t="inlineStr"/>
      <c r="J559" s="77" t="inlineStr">
        <is>
          <t>Compulsory element of the MBA 'transformative learning' module in which students work in cross-cultural teams on a real problem within a client organisation. The final MBA project also offers group or individual consultancy options (separate capstone).</t>
        </is>
      </c>
      <c r="K559" s="77" t="inlineStr">
        <is>
          <t>Oxford Brookes Business School</t>
        </is>
      </c>
      <c r="L559" s="77" t="inlineStr">
        <is>
          <t>Oxford Brookes Global MBA</t>
        </is>
      </c>
      <c r="M559" s="77" t="inlineStr">
        <is>
          <t>Business/management</t>
        </is>
      </c>
      <c r="N559" s="77" t="inlineStr">
        <is>
          <t>Postgraduate taught</t>
        </is>
      </c>
      <c r="O559" s="77" t="inlineStr"/>
      <c r="P559" s="77" t="inlineStr"/>
      <c r="Q559" s="77" t="inlineStr">
        <is>
          <t>Compulsory within specified programmes</t>
        </is>
      </c>
      <c r="R559" s="77" t="inlineStr">
        <is>
          <t>Curricular</t>
        </is>
      </c>
      <c r="S559" s="77" t="inlineStr">
        <is>
          <t>Module final assessment is a viva; credits not stated</t>
        </is>
      </c>
      <c r="T559" s="77" t="inlineStr">
        <is>
          <t>Unclear</t>
        </is>
      </c>
      <c r="U559" s="77" t="inlineStr">
        <is>
          <t>Cross-cultural team client project</t>
        </is>
      </c>
      <c r="V559" s="77" t="inlineStr">
        <is>
          <t>Unclear</t>
        </is>
      </c>
      <c r="W559" s="77" t="inlineStr">
        <is>
          <t>'a real problem within a client organisation' but output, scope and duration not stated [1].</t>
        </is>
      </c>
      <c r="X559" s="77" t="inlineStr">
        <is>
          <t>Yes</t>
        </is>
      </c>
      <c r="Y559" s="77" t="inlineStr">
        <is>
          <t>'work in cross-cultural teams' [1].</t>
        </is>
      </c>
      <c r="Z559" s="77" t="inlineStr">
        <is>
          <t>Unclear</t>
        </is>
      </c>
      <c r="AA559" s="77" t="inlineStr">
        <is>
          <t>Real problem within a 'client organisation', but organisation role (brief, feedback, receiving output) not described [1].</t>
        </is>
      </c>
      <c r="AB559" s="77" t="inlineStr">
        <is>
          <t>Unclear</t>
        </is>
      </c>
      <c r="AC559" s="77" t="inlineStr">
        <is>
          <t>Client organisation (role not described)</t>
        </is>
      </c>
      <c r="AD559" s="77" t="inlineStr"/>
      <c r="AE559" s="77" t="inlineStr">
        <is>
          <t>Not stated</t>
        </is>
      </c>
      <c r="AF559" s="77">
        <f>IF(OR(V559="No",X559="No",Z559="No"),"Outside strict definition",IF(AND(V559="Yes",X559="Yes",Z559="Yes"),"Meets all three","Potentially relevant; evidence incomplete"))</f>
        <v/>
      </c>
      <c r="AG559" s="77" t="inlineStr">
        <is>
          <t>Current delivery confirmed</t>
        </is>
      </c>
      <c r="AH559" s="77" t="inlineStr">
        <is>
          <t>2026/27 intake (start dates Sept 2026 / March 2027)</t>
        </is>
      </c>
      <c r="AI559" s="77" t="inlineStr">
        <is>
          <t>Yes</t>
        </is>
      </c>
      <c r="AJ559" s="77">
        <f>IF(AND(AI559="Yes",AF559="Meets all three",AG559="Current delivery confirmed"),"Yes","No")</f>
        <v/>
      </c>
      <c r="AK559" s="77" t="inlineStr"/>
      <c r="AL559" s="77" t="inlineStr">
        <is>
          <t>UK24-S03-R1</t>
        </is>
      </c>
      <c r="AM559" s="77" t="inlineStr">
        <is>
          <t>Module code, credits, assessment of the client project, how clients participate.</t>
        </is>
      </c>
      <c r="AN559" s="77" t="inlineStr"/>
      <c r="AO559" s="77" t="inlineStr">
        <is>
          <t>UK</t>
        </is>
      </c>
      <c r="AP559" s="77" t="inlineStr">
        <is>
          <t>UK – additional</t>
        </is>
      </c>
      <c r="AQ559" s="77" t="inlineStr">
        <is>
          <t>Unclear</t>
        </is>
      </c>
      <c r="AR559" s="77" t="inlineStr">
        <is>
          <t>Unclear</t>
        </is>
      </c>
      <c r="AS559" s="77" t="inlineStr"/>
    </row>
    <row r="560">
      <c r="A560" s="77" t="inlineStr">
        <is>
          <t>UK24</t>
        </is>
      </c>
      <c r="B560" s="77" t="inlineStr">
        <is>
          <t>Oxford Brookes</t>
        </is>
      </c>
      <c r="C560" s="77" t="inlineStr">
        <is>
          <t>Programme/course</t>
        </is>
      </c>
      <c r="D560" s="77" t="inlineStr">
        <is>
          <t>UK24-S04</t>
        </is>
      </c>
      <c r="E560" s="77" t="inlineStr"/>
      <c r="F560" s="77" t="inlineStr">
        <is>
          <t>No</t>
        </is>
      </c>
      <c r="G560" s="79" t="inlineStr">
        <is>
          <t>Group Consultancy Project (MSc Management)</t>
        </is>
      </c>
      <c r="H560" s="77" t="inlineStr">
        <is>
          <t>Group Consultancy Project, MSc Management</t>
        </is>
      </c>
      <c r="I560" s="77" t="inlineStr"/>
      <c r="J560" s="77" t="inlineStr">
        <is>
          <t>Optional MSc Management module: cross-cultural student teams gain consultancy experience on 'a real problem within a client organisation'. Course page also says live case studies and group consultancy projects run throughout.</t>
        </is>
      </c>
      <c r="K560" s="77" t="inlineStr">
        <is>
          <t>Oxford Brookes Business School</t>
        </is>
      </c>
      <c r="L560" s="77" t="inlineStr">
        <is>
          <t>MSc Management</t>
        </is>
      </c>
      <c r="M560" s="77" t="inlineStr">
        <is>
          <t>Business/management</t>
        </is>
      </c>
      <c r="N560" s="77" t="inlineStr">
        <is>
          <t>Postgraduate taught</t>
        </is>
      </c>
      <c r="O560" s="77" t="inlineStr"/>
      <c r="P560" s="77" t="inlineStr"/>
      <c r="Q560" s="77" t="inlineStr">
        <is>
          <t>Optional/elective</t>
        </is>
      </c>
      <c r="R560" s="77" t="inlineStr">
        <is>
          <t>Curricular</t>
        </is>
      </c>
      <c r="S560" s="77" t="inlineStr">
        <is>
          <t>Not stated</t>
        </is>
      </c>
      <c r="T560" s="77" t="inlineStr">
        <is>
          <t>Unclear</t>
        </is>
      </c>
      <c r="U560" s="77" t="inlineStr">
        <is>
          <t>Cross-cultural team consultancy</t>
        </is>
      </c>
      <c r="V560" s="77" t="inlineStr">
        <is>
          <t>Unclear</t>
        </is>
      </c>
      <c r="W560" s="77" t="inlineStr">
        <is>
          <t>Consultancy project on a real problem; output and brief details not stated [1].</t>
        </is>
      </c>
      <c r="X560" s="77" t="inlineStr">
        <is>
          <t>Yes</t>
        </is>
      </c>
      <c r="Y560" s="77" t="inlineStr">
        <is>
          <t>'working in cross-cultural teams' [1].</t>
        </is>
      </c>
      <c r="Z560" s="77" t="inlineStr">
        <is>
          <t>Unclear</t>
        </is>
      </c>
      <c r="AA560" s="77" t="inlineStr">
        <is>
          <t>'You can work on a real problem within a client organisation' (permissive wording; partner role not described) [1].</t>
        </is>
      </c>
      <c r="AB560" s="77" t="inlineStr">
        <is>
          <t>Unclear</t>
        </is>
      </c>
      <c r="AC560" s="77" t="inlineStr">
        <is>
          <t>Client organisation (role not described)</t>
        </is>
      </c>
      <c r="AD560" s="77" t="inlineStr"/>
      <c r="AE560" s="77" t="inlineStr">
        <is>
          <t>Not stated</t>
        </is>
      </c>
      <c r="AF560" s="77">
        <f>IF(OR(V560="No",X560="No",Z560="No"),"Outside strict definition",IF(AND(V560="Yes",X560="Yes",Z560="Yes"),"Meets all three","Potentially relevant; evidence incomplete"))</f>
        <v/>
      </c>
      <c r="AG560" s="77" t="inlineStr">
        <is>
          <t>Current delivery confirmed</t>
        </is>
      </c>
      <c r="AH560" s="77" t="inlineStr">
        <is>
          <t>2026/27 intake (starts Sept 2026 / Sept 2027)</t>
        </is>
      </c>
      <c r="AI560" s="77" t="inlineStr">
        <is>
          <t>Yes</t>
        </is>
      </c>
      <c r="AJ560" s="77">
        <f>IF(AND(AI560="Yes",AF560="Meets all three",AG560="Current delivery confirmed"),"Yes","No")</f>
        <v/>
      </c>
      <c r="AK560" s="77" t="inlineStr"/>
      <c r="AL560" s="77" t="inlineStr">
        <is>
          <t>UK24-S04-R1</t>
        </is>
      </c>
      <c r="AM560" s="77" t="inlineStr">
        <is>
          <t>Credits, assessment, whether all projects have external clients.</t>
        </is>
      </c>
      <c r="AN560" s="77" t="inlineStr"/>
      <c r="AO560" s="77" t="inlineStr">
        <is>
          <t>UK</t>
        </is>
      </c>
      <c r="AP560" s="77" t="inlineStr">
        <is>
          <t>UK – additional</t>
        </is>
      </c>
      <c r="AQ560" s="77" t="inlineStr">
        <is>
          <t>Unclear</t>
        </is>
      </c>
      <c r="AR560" s="77" t="inlineStr">
        <is>
          <t>Some projects</t>
        </is>
      </c>
      <c r="AS560" s="77" t="inlineStr"/>
    </row>
    <row r="561">
      <c r="A561" s="77" t="inlineStr">
        <is>
          <t>UK24</t>
        </is>
      </c>
      <c r="B561" s="77" t="inlineStr">
        <is>
          <t>Oxford Brookes</t>
        </is>
      </c>
      <c r="C561" s="77" t="inlineStr">
        <is>
          <t>Programme/course</t>
        </is>
      </c>
      <c r="D561" s="77" t="inlineStr">
        <is>
          <t>UK24-S05</t>
        </is>
      </c>
      <c r="E561" s="77" t="inlineStr"/>
      <c r="F561" s="77" t="inlineStr">
        <is>
          <t>No</t>
        </is>
      </c>
      <c r="G561" s="79" t="inlineStr">
        <is>
          <t>Live Client Strategic Project (BA Business and Management)</t>
        </is>
      </c>
      <c r="H561" s="77" t="inlineStr">
        <is>
          <t>Live Client Strategic Project</t>
        </is>
      </c>
      <c r="I561" s="77" t="inlineStr"/>
      <c r="J561" s="77" t="inlineStr">
        <is>
          <t>Compulsory Year 2 module on BA (Hons) Business and Management applying project management principles to business projects using 'live case studies'. Search summary states the module's aim is practical understanding of project management applied to developing and executing business projects.</t>
        </is>
      </c>
      <c r="K561" s="77" t="inlineStr">
        <is>
          <t>Oxford Brookes Business School</t>
        </is>
      </c>
      <c r="L561" s="77" t="inlineStr">
        <is>
          <t>BA (Hons) Business and Management</t>
        </is>
      </c>
      <c r="M561" s="77" t="inlineStr">
        <is>
          <t>Business/management</t>
        </is>
      </c>
      <c r="N561" s="77" t="inlineStr">
        <is>
          <t>Undergraduate</t>
        </is>
      </c>
      <c r="O561" s="77" t="inlineStr">
        <is>
          <t>Year 2</t>
        </is>
      </c>
      <c r="P561" s="77" t="inlineStr"/>
      <c r="Q561" s="77" t="inlineStr">
        <is>
          <t>Compulsory within specified programmes</t>
        </is>
      </c>
      <c r="R561" s="77" t="inlineStr">
        <is>
          <t>Curricular</t>
        </is>
      </c>
      <c r="S561" s="77" t="inlineStr">
        <is>
          <t>Not stated</t>
        </is>
      </c>
      <c r="T561" s="77" t="inlineStr">
        <is>
          <t>Unclear</t>
        </is>
      </c>
      <c r="U561" s="77" t="inlineStr">
        <is>
          <t>Unclear</t>
        </is>
      </c>
      <c r="V561" s="77" t="inlineStr">
        <is>
          <t>Unclear</t>
        </is>
      </c>
      <c r="W561" s="77" t="inlineStr">
        <is>
          <t>Business project management with live case studies; brief/output not described [1].</t>
        </is>
      </c>
      <c r="X561" s="77" t="inlineStr">
        <is>
          <t>Unclear</t>
        </is>
      </c>
      <c r="Y561" s="77" t="inlineStr">
        <is>
          <t>Teamwork not mentioned in the fetched description [1].</t>
        </is>
      </c>
      <c r="Z561" s="77" t="inlineStr">
        <is>
          <t>Unclear</t>
        </is>
      </c>
      <c r="AA561" s="77" t="inlineStr">
        <is>
          <t>Module title says 'Live Client' but the description refers only to 'live case studies'; no client role documented [1].</t>
        </is>
      </c>
      <c r="AB561" s="77" t="inlineStr">
        <is>
          <t>Unclear</t>
        </is>
      </c>
      <c r="AC561" s="77" t="inlineStr">
        <is>
          <t>Not documented</t>
        </is>
      </c>
      <c r="AD561" s="77" t="inlineStr"/>
      <c r="AE561" s="77" t="inlineStr">
        <is>
          <t>Not stated</t>
        </is>
      </c>
      <c r="AF561" s="77">
        <f>IF(OR(V561="No",X561="No",Z561="No"),"Outside strict definition",IF(AND(V561="Yes",X561="Yes",Z561="Yes"),"Meets all three","Potentially relevant; evidence incomplete"))</f>
        <v/>
      </c>
      <c r="AG561" s="77" t="inlineStr">
        <is>
          <t>Current delivery confirmed</t>
        </is>
      </c>
      <c r="AH561" s="77" t="inlineStr">
        <is>
          <t>2026/27 intake (start Sept 2026 / Jan 2027)</t>
        </is>
      </c>
      <c r="AI561" s="77" t="inlineStr">
        <is>
          <t>Yes</t>
        </is>
      </c>
      <c r="AJ561" s="77">
        <f>IF(AND(AI561="Yes",AF561="Meets all three",AG561="Current delivery confirmed"),"Yes","No")</f>
        <v/>
      </c>
      <c r="AK561" s="77" t="inlineStr"/>
      <c r="AL561" s="77" t="inlineStr">
        <is>
          <t>UK24-S05-R1</t>
        </is>
      </c>
      <c r="AM561" s="77" t="inlineStr">
        <is>
          <t>Module handbook needed: client identity, group/individual, assessment.</t>
        </is>
      </c>
      <c r="AN561" s="77" t="inlineStr"/>
      <c r="AO561" s="77" t="inlineStr">
        <is>
          <t>UK</t>
        </is>
      </c>
      <c r="AP561" s="77" t="inlineStr">
        <is>
          <t>UK – additional</t>
        </is>
      </c>
      <c r="AQ561" s="77" t="inlineStr">
        <is>
          <t>Unclear</t>
        </is>
      </c>
      <c r="AR561" s="77" t="inlineStr">
        <is>
          <t>Unclear</t>
        </is>
      </c>
      <c r="AS561" s="77" t="inlineStr"/>
    </row>
    <row r="562">
      <c r="A562" s="77" t="inlineStr">
        <is>
          <t>UK24</t>
        </is>
      </c>
      <c r="B562" s="77" t="inlineStr">
        <is>
          <t>Oxford Brookes</t>
        </is>
      </c>
      <c r="C562" s="77" t="inlineStr">
        <is>
          <t>Faculty/school</t>
        </is>
      </c>
      <c r="D562" s="77" t="inlineStr">
        <is>
          <t>UK24-S06</t>
        </is>
      </c>
      <c r="E562" s="77" t="inlineStr"/>
      <c r="F562" s="77" t="inlineStr">
        <is>
          <t>No</t>
        </is>
      </c>
      <c r="G562" s="79" t="inlineStr">
        <is>
          <t>OB1 LIVE (School of Architecture live projects)</t>
        </is>
      </c>
      <c r="H562" s="77" t="inlineStr">
        <is>
          <t>OB1 LIVE live projects</t>
        </is>
      </c>
      <c r="I562" s="77" t="inlineStr"/>
      <c r="J562" s="77" t="inlineStr">
        <is>
          <t>First-year architecture live projects in which students design and make work (e.g. play structures, festival buildings, construction hoardings) for real clients such as community groups, local authorities and cultural organisations; now within the curriculum during the semester. Listed projects include OB1 LIVE 20-22.</t>
        </is>
      </c>
      <c r="K562" s="77" t="inlineStr">
        <is>
          <t>School of Architecture</t>
        </is>
      </c>
      <c r="L562" s="77" t="inlineStr">
        <is>
          <t>School of Architecture (first-year students)</t>
        </is>
      </c>
      <c r="M562" s="77" t="inlineStr">
        <is>
          <t>Other (law, health, design, architecture…)</t>
        </is>
      </c>
      <c r="N562" s="77" t="inlineStr">
        <is>
          <t>Undergraduate</t>
        </is>
      </c>
      <c r="O562" s="77" t="inlineStr">
        <is>
          <t>Year 1</t>
        </is>
      </c>
      <c r="P562" s="77" t="inlineStr">
        <is>
          <t>'All students in the School of Architecture are given the opportunity'; page focuses on year one</t>
        </is>
      </c>
      <c r="Q562" s="77" t="inlineStr">
        <is>
          <t>Unclear</t>
        </is>
      </c>
      <c r="R562" s="77" t="inlineStr">
        <is>
          <t>Curricular</t>
        </is>
      </c>
      <c r="S562" s="77" t="inlineStr">
        <is>
          <t>Not stated</t>
        </is>
      </c>
      <c r="T562" s="77" t="inlineStr">
        <is>
          <t>Within a semester</t>
        </is>
      </c>
      <c r="U562" s="77" t="inlineStr">
        <is>
          <t>Design-and-build live project</t>
        </is>
      </c>
      <c r="V562" s="77" t="inlineStr">
        <is>
          <t>Yes</t>
        </is>
      </c>
      <c r="W562" s="77" t="inlineStr">
        <is>
          <t>Students design and make real built work (e.g. 'Playable Buildings for the Audiograft Festival') [1].</t>
        </is>
      </c>
      <c r="X562" s="77" t="inlineStr">
        <is>
          <t>Unclear</t>
        </is>
      </c>
      <c r="Y562" s="77" t="inlineStr">
        <is>
          <t>Participants listed collectively per project and 'a group of year one architects', but team structure is not explicitly stated [1].</t>
        </is>
      </c>
      <c r="Z562" s="77" t="inlineStr">
        <is>
          <t>Yes</t>
        </is>
      </c>
      <c r="AA562" s="77" t="inlineStr">
        <is>
          <t>'design and make work for a real client'; links with 'local authorities, NGOs, developers' and cultural organisations [1].</t>
        </is>
      </c>
      <c r="AB562" s="77" t="inlineStr">
        <is>
          <t>Mixed</t>
        </is>
      </c>
      <c r="AC562" s="77" t="inlineStr">
        <is>
          <t>Commissioning client for live project</t>
        </is>
      </c>
      <c r="AD562" s="77" t="inlineStr">
        <is>
          <t>Audiograft Festival (OB1 LIVE 22, undated); Northway construction hoardings (OB1 LIVE 20, undated)</t>
        </is>
      </c>
      <c r="AE562" s="77" t="inlineStr">
        <is>
          <t>Designed and built installation/structure</t>
        </is>
      </c>
      <c r="AF562" s="77">
        <f>IF(OR(V562="No",X562="No",Z562="No"),"Outside strict definition",IF(AND(V562="Yes",X562="Yes",Z562="Yes"),"Meets all three","Potentially relevant; evidence incomplete"))</f>
        <v/>
      </c>
      <c r="AG562" s="77" t="inlineStr">
        <is>
          <t>Current status unclear</t>
        </is>
      </c>
      <c r="AH562" s="77" t="inlineStr">
        <is>
          <t>undated (OB1 LIVE 22 most recent listed)</t>
        </is>
      </c>
      <c r="AI562" s="77" t="inlineStr">
        <is>
          <t>Yes</t>
        </is>
      </c>
      <c r="AJ562" s="77">
        <f>IF(AND(AI562="Yes",AF562="Meets all three",AG562="Current delivery confirmed"),"Yes","No")</f>
        <v/>
      </c>
      <c r="AK562" s="77" t="inlineStr">
        <is>
          <t>23 projects to date per research chapter (search summary).</t>
        </is>
      </c>
      <c r="AL562" s="77" t="inlineStr">
        <is>
          <t>UK24-S06-R1</t>
        </is>
      </c>
      <c r="AM562" s="77" t="inlineStr">
        <is>
          <t>Group working explicit statement; dated 2025/26 delivery; credit and compulsory status.</t>
        </is>
      </c>
      <c r="AN562" s="77" t="inlineStr"/>
      <c r="AO562" s="77" t="inlineStr">
        <is>
          <t>UK</t>
        </is>
      </c>
      <c r="AP562" s="77" t="inlineStr">
        <is>
          <t>UK – additional</t>
        </is>
      </c>
      <c r="AQ562" s="77" t="inlineStr">
        <is>
          <t>~1 term/semester</t>
        </is>
      </c>
      <c r="AR562" s="77" t="inlineStr">
        <is>
          <t>All/standard</t>
        </is>
      </c>
      <c r="AS562" s="77" t="inlineStr"/>
    </row>
    <row r="563">
      <c r="A563" s="77" t="inlineStr">
        <is>
          <t>UK25</t>
        </is>
      </c>
      <c r="B563" s="77" t="inlineStr">
        <is>
          <t>Northumbria</t>
        </is>
      </c>
      <c r="C563" s="77" t="inlineStr">
        <is>
          <t>Faculty/school</t>
        </is>
      </c>
      <c r="D563" s="77" t="inlineStr">
        <is>
          <t>UK25-S01</t>
        </is>
      </c>
      <c r="E563" s="77" t="inlineStr"/>
      <c r="F563" s="77" t="inlineStr">
        <is>
          <t>No</t>
        </is>
      </c>
      <c r="G563" s="79" t="inlineStr">
        <is>
          <t>NX9626 Undergraduate Consultancy Project (Business Clinic)</t>
        </is>
      </c>
      <c r="H563" s="77" t="inlineStr">
        <is>
          <t>Undergraduate Consultancy Project (Business Clinic)</t>
        </is>
      </c>
      <c r="I563" s="77" t="inlineStr">
        <is>
          <t>NX9626</t>
        </is>
      </c>
      <c r="J563" s="77" t="inlineStr">
        <is>
          <t>Final-year undergraduate business students, in self-selected groups of typically four, work on behalf of an external organisation that has identified a business problem or question, producing a group consultancy report and client presentation plus an individual literature review and reflective statement. Clients range from SMEs to multinationals and charities/community bodies; e.g. a July 2026 release reports four final-year students producing a tiered menu of recommendations for St Andrew's Parish Church, Spennymoor.</t>
        </is>
      </c>
      <c r="K563" s="77" t="inlineStr">
        <is>
          <t>Newcastle Business School (Business Clinic)</t>
        </is>
      </c>
      <c r="L563" s="77" t="inlineStr">
        <is>
          <t>Newcastle Business School undergraduate degrees listing NX9626 (e.g. BA Business Management, BA Business and HRM); 'final year business and marketing students' per Projects page</t>
        </is>
      </c>
      <c r="M563" s="77" t="inlineStr">
        <is>
          <t>Business/management</t>
        </is>
      </c>
      <c r="N563" s="77" t="inlineStr">
        <is>
          <t>Undergraduate</t>
        </is>
      </c>
      <c r="O563" s="77" t="inlineStr">
        <is>
          <t>Final year</t>
        </is>
      </c>
      <c r="P563" s="77" t="inlineStr">
        <is>
          <t>Programme-specific; module listed on named BA programme pages</t>
        </is>
      </c>
      <c r="Q563" s="77" t="inlineStr">
        <is>
          <t>Unclear</t>
        </is>
      </c>
      <c r="R563" s="77" t="inlineStr">
        <is>
          <t>Curricular</t>
        </is>
      </c>
      <c r="S563" s="77" t="inlineStr">
        <is>
          <t>Group consultancy report (5,000 words) and client presentation 60%; individual critical literature review (3,000 words) + 2,000-word reflective statement 40%</t>
        </is>
      </c>
      <c r="T563" s="77" t="inlineStr">
        <is>
          <t>Typically 12-15 weeks (newsroom summary, search-index)</t>
        </is>
      </c>
      <c r="U563" s="77" t="inlineStr">
        <is>
          <t>Team consultancy for external client</t>
        </is>
      </c>
      <c r="V563" s="77" t="inlineStr">
        <is>
          <t>Yes</t>
        </is>
      </c>
      <c r="W563" s="77" t="inlineStr">
        <is>
          <t>Defined client problem; group report and presentation [1].</t>
        </is>
      </c>
      <c r="X563" s="77" t="inlineStr">
        <is>
          <t>Yes</t>
        </is>
      </c>
      <c r="Y563" s="77" t="inlineStr">
        <is>
          <t>'working in small group of typically 4 individuals (you will select their own team members)' [1]; four-student team in [2].</t>
        </is>
      </c>
      <c r="Z563" s="77" t="inlineStr">
        <is>
          <t>Yes</t>
        </is>
      </c>
      <c r="AA563" s="77" t="inlineStr">
        <is>
          <t>'You will work on behalf of an external organisation, which has identified a business problem or question' [1]; clients named/assessed in release [2]; Projects page: 'a full consultancy experience' for employers [3].</t>
        </is>
      </c>
      <c r="AB563" s="77" t="inlineStr">
        <is>
          <t>Mixed</t>
        </is>
      </c>
      <c r="AC563" s="77" t="inlineStr">
        <is>
          <t>Client: sets business problem; receives report/presentation; pro-bono</t>
        </is>
      </c>
      <c r="AD563" s="77" t="inlineStr">
        <is>
          <t>St Andrew's Parish Church, Spennymoor (July 2026 release); Dandelion Confidence (July 2025 release, via search summary)</t>
        </is>
      </c>
      <c r="AE563" s="77" t="inlineStr">
        <is>
          <t>Group consultancy report + client presentation</t>
        </is>
      </c>
      <c r="AF563" s="77">
        <f>IF(OR(V563="No",X563="No",Z563="No"),"Outside strict definition",IF(AND(V563="Yes",X563="Yes",Z563="Yes"),"Meets all three","Potentially relevant; evidence incomplete"))</f>
        <v/>
      </c>
      <c r="AG563" s="77" t="inlineStr">
        <is>
          <t>Current delivery confirmed</t>
        </is>
      </c>
      <c r="AH563" s="77" t="inlineStr">
        <is>
          <t>2026/27 module page; client project reported 22 July 2026</t>
        </is>
      </c>
      <c r="AI563" s="77" t="inlineStr">
        <is>
          <t>Yes</t>
        </is>
      </c>
      <c r="AJ563" s="77">
        <f>IF(AND(AI563="Yes",AF563="Meets all three",AG563="Current delivery confirmed"),"Yes","No")</f>
        <v/>
      </c>
      <c r="AK563" s="77" t="inlineStr">
        <is>
          <t>Business Clinic cumulative: over 950 projects, more than 3,820 students since 2013 (July 2026 release) [2]</t>
        </is>
      </c>
      <c r="AL563" s="77" t="inlineStr">
        <is>
          <t>UK25-S01-R1; UK25-S01-R2; UK25-S01-R3</t>
        </is>
      </c>
      <c r="AM563" s="77" t="inlineStr">
        <is>
          <t>Whether NX9626 is compulsory or optional on each programme (page silent); full list of programmes.</t>
        </is>
      </c>
      <c r="AN563" s="77" t="inlineStr">
        <is>
          <t>Business Clinic</t>
        </is>
      </c>
      <c r="AO563" s="77" t="inlineStr">
        <is>
          <t>UK</t>
        </is>
      </c>
      <c r="AP563" s="77" t="inlineStr">
        <is>
          <t>UK – additional</t>
        </is>
      </c>
      <c r="AQ563" s="77" t="inlineStr">
        <is>
          <t>~1 term/semester</t>
        </is>
      </c>
      <c r="AR563" s="77" t="inlineStr">
        <is>
          <t>All/standard</t>
        </is>
      </c>
      <c r="AS563" s="77" t="inlineStr"/>
    </row>
    <row r="564">
      <c r="A564" s="77" t="inlineStr">
        <is>
          <t>UK25</t>
        </is>
      </c>
      <c r="B564" s="77" t="inlineStr">
        <is>
          <t>Northumbria</t>
        </is>
      </c>
      <c r="C564" s="77" t="inlineStr">
        <is>
          <t>Faculty/school</t>
        </is>
      </c>
      <c r="D564" s="77" t="inlineStr">
        <is>
          <t>UK25-S02</t>
        </is>
      </c>
      <c r="E564" s="77" t="inlineStr"/>
      <c r="F564" s="77" t="inlineStr">
        <is>
          <t>No</t>
        </is>
      </c>
      <c r="G564" s="79" t="inlineStr">
        <is>
          <t>NX0479 Business Clinic PG Group Consultancy Project (also NX0477 NBS Masters Consultancy Project)</t>
        </is>
      </c>
      <c r="H564" s="77" t="inlineStr">
        <is>
          <t>Business Clinic Postgraduate Group Consultancy Project</t>
        </is>
      </c>
      <c r="I564" s="77" t="inlineStr">
        <is>
          <t>NX0479 (NX0477 on MSc International Finance and Investment)</t>
        </is>
      </c>
      <c r="J564" s="77" t="inlineStr">
        <is>
          <t>Postgraduate (Advanced Practice) students in Newcastle Business School undertake a group consultancy project for a host organisation (Business Clinic client) in the first semester of the second year, assessed by panel presentation and strategic report.</t>
        </is>
      </c>
      <c r="K564" s="77" t="inlineStr">
        <is>
          <t>Newcastle Business School (Business Clinic)</t>
        </is>
      </c>
      <c r="L564" s="77" t="inlineStr">
        <is>
          <t>MSc Business and Management with Advanced Practice (NX0479); MSc International Finance and Investment (NX0477, per search summary); other NBS Masters</t>
        </is>
      </c>
      <c r="M564" s="77" t="inlineStr">
        <is>
          <t>Business/management</t>
        </is>
      </c>
      <c r="N564" s="77" t="inlineStr">
        <is>
          <t>Postgraduate taught</t>
        </is>
      </c>
      <c r="O564" s="77" t="inlineStr">
        <is>
          <t>Second year of 2-year Advanced Practice Masters</t>
        </is>
      </c>
      <c r="P564" s="77" t="inlineStr">
        <is>
          <t>Advanced Practice programmes; page says students 'may undertake a group consultancy project'</t>
        </is>
      </c>
      <c r="Q564" s="77" t="inlineStr">
        <is>
          <t>Optional/elective</t>
        </is>
      </c>
      <c r="R564" s="77" t="inlineStr">
        <is>
          <t>Curricular</t>
        </is>
      </c>
      <c r="S564" s="77" t="inlineStr">
        <is>
          <t>60 credits; presentation to a panel and strategic report; peer evaluation (weighting not shown)</t>
        </is>
      </c>
      <c r="T564" s="77" t="inlineStr">
        <is>
          <t>One semester</t>
        </is>
      </c>
      <c r="U564" s="77" t="inlineStr">
        <is>
          <t>Group consultancy for host organisation</t>
        </is>
      </c>
      <c r="V564" s="77" t="inlineStr">
        <is>
          <t>Yes</t>
        </is>
      </c>
      <c r="W564" s="77" t="inlineStr">
        <is>
          <t>Strategic report and panel presentation for host organisation [1].</t>
        </is>
      </c>
      <c r="X564" s="77" t="inlineStr">
        <is>
          <t>Yes</t>
        </is>
      </c>
      <c r="Y564" s="77" t="inlineStr">
        <is>
          <t>Module title and text refer to group project; peer evaluation under NBS group protocols [1].</t>
        </is>
      </c>
      <c r="Z564" s="77" t="inlineStr">
        <is>
          <t>Yes</t>
        </is>
      </c>
      <c r="AA564" s="77" t="inlineStr">
        <is>
          <t>Refers to 'the host organisation, which has provided the project' and 'Business Clinic clients' [1].</t>
        </is>
      </c>
      <c r="AB564" s="77" t="inlineStr">
        <is>
          <t>Mixed</t>
        </is>
      </c>
      <c r="AC564" s="77" t="inlineStr">
        <is>
          <t>Host/client providing project</t>
        </is>
      </c>
      <c r="AD564" s="77" t="inlineStr"/>
      <c r="AE564" s="77" t="inlineStr">
        <is>
          <t>Strategic report + panel presentation</t>
        </is>
      </c>
      <c r="AF564" s="77">
        <f>IF(OR(V564="No",X564="No",Z564="No"),"Outside strict definition",IF(AND(V564="Yes",X564="Yes",Z564="Yes"),"Meets all three","Potentially relevant; evidence incomplete"))</f>
        <v/>
      </c>
      <c r="AG564" s="77" t="inlineStr">
        <is>
          <t>Current delivery confirmed</t>
        </is>
      </c>
      <c r="AH564" s="77" t="inlineStr">
        <is>
          <t>2026/27 module listing</t>
        </is>
      </c>
      <c r="AI564" s="77" t="inlineStr">
        <is>
          <t>Yes</t>
        </is>
      </c>
      <c r="AJ564" s="77">
        <f>IF(AND(AI564="Yes",AF564="Meets all three",AG564="Current delivery confirmed"),"Yes","No")</f>
        <v/>
      </c>
      <c r="AK564" s="77" t="inlineStr"/>
      <c r="AL564" s="77" t="inlineStr">
        <is>
          <t>UK25-S02-R1</t>
        </is>
      </c>
      <c r="AM564" s="77" t="inlineStr">
        <is>
          <t>Core vs optional status inferred from 'may undertake'; NX0477 details only from search summary (at least two days per week in Business Clinic).</t>
        </is>
      </c>
      <c r="AN564" s="77" t="inlineStr">
        <is>
          <t>Business Clinic</t>
        </is>
      </c>
      <c r="AO564" s="77" t="inlineStr">
        <is>
          <t>UK</t>
        </is>
      </c>
      <c r="AP564" s="77" t="inlineStr">
        <is>
          <t>UK – additional</t>
        </is>
      </c>
      <c r="AQ564" s="77" t="inlineStr">
        <is>
          <t>~1 term/semester</t>
        </is>
      </c>
      <c r="AR564" s="77" t="inlineStr">
        <is>
          <t>All/standard</t>
        </is>
      </c>
      <c r="AS564" s="77" t="inlineStr"/>
    </row>
    <row r="565">
      <c r="A565" s="77" t="inlineStr">
        <is>
          <t>UK25</t>
        </is>
      </c>
      <c r="B565" s="77" t="inlineStr">
        <is>
          <t>Northumbria</t>
        </is>
      </c>
      <c r="C565" s="77" t="inlineStr">
        <is>
          <t>Faculty/school</t>
        </is>
      </c>
      <c r="D565" s="77" t="inlineStr">
        <is>
          <t>UK25-S03</t>
        </is>
      </c>
      <c r="E565" s="77" t="inlineStr"/>
      <c r="F565" s="77" t="inlineStr">
        <is>
          <t>No</t>
        </is>
      </c>
      <c r="G565" s="79" t="inlineStr">
        <is>
          <t>Advanced Practice Semester via Engineering and Environment Live Projects Hub</t>
        </is>
      </c>
      <c r="H565" s="77" t="inlineStr">
        <is>
          <t>Advanced Practice Semester (Live Projects Hub)</t>
        </is>
      </c>
      <c r="I565" s="77" t="inlineStr">
        <is>
          <t>KB7056 (Mechanical Eng.), KA7057 (Construction PM with BIM) and equivalents</t>
        </is>
      </c>
      <c r="J565" s="77" t="inlineStr">
        <is>
          <t>Faculty Hub procures 12-week 'live' projects from industry clients; Advanced Practice Masters students complete a live project in small teams in an external learning environment, then give a group presentation on the brief and the company. Hub states it works with around 100 businesses.</t>
        </is>
      </c>
      <c r="K565" s="77" t="inlineStr">
        <is>
          <t>Faculty of Engineering and Environment Live Projects Hub</t>
        </is>
      </c>
      <c r="L565" s="77" t="inlineStr">
        <is>
          <t>Advanced Practice Masters across engineering, built environment, computing, science and maths disciplines</t>
        </is>
      </c>
      <c r="M565" s="77" t="inlineStr">
        <is>
          <t>Engineering/computing; Science</t>
        </is>
      </c>
      <c r="N565" s="77" t="inlineStr">
        <is>
          <t>Postgraduate taught</t>
        </is>
      </c>
      <c r="O565" s="77" t="inlineStr">
        <is>
          <t>Second year of 2-year Advanced Practice Masters (inferred)</t>
        </is>
      </c>
      <c r="P565" s="77" t="inlineStr">
        <is>
          <t>Advanced Practice programmes; Hub also mentions undergraduate opportunities (not detailed)</t>
        </is>
      </c>
      <c r="Q565" s="77" t="inlineStr">
        <is>
          <t>Compulsory within specified programmes</t>
        </is>
      </c>
      <c r="R565" s="77" t="inlineStr">
        <is>
          <t>Curricular</t>
        </is>
      </c>
      <c r="S565" s="77" t="inlineStr">
        <is>
          <t>60 credits; pass/fail: 3,000-word reflective account and ~15-min group presentation; not counted in classification</t>
        </is>
      </c>
      <c r="T565" s="77" t="inlineStr">
        <is>
          <t>12 weeks (one semester)</t>
        </is>
      </c>
      <c r="U565" s="77" t="inlineStr">
        <is>
          <t>Team live project with industry client</t>
        </is>
      </c>
      <c r="V565" s="77" t="inlineStr">
        <is>
          <t>Yes</t>
        </is>
      </c>
      <c r="W565" s="77" t="inlineStr">
        <is>
          <t>Live project applying programme skills; group presentation on 'the objectives of the brief' [2].</t>
        </is>
      </c>
      <c r="X565" s="77" t="inlineStr">
        <is>
          <t>Yes</t>
        </is>
      </c>
      <c r="Y565" s="77" t="inlineStr">
        <is>
          <t>'small teams of students work together to deliver projects' [1]; group presentation and 'member of a team' outcome [2].</t>
        </is>
      </c>
      <c r="Z565" s="77" t="inlineStr">
        <is>
          <t>Yes</t>
        </is>
      </c>
      <c r="AA565" s="77" t="inlineStr">
        <is>
          <t>'brings together industry clients and academic expertise'; clients submit project ideas for September/January intakes, no cost; projects from local, national and international organisations [1].</t>
        </is>
      </c>
      <c r="AB565" s="77" t="inlineStr">
        <is>
          <t>Business/commercial</t>
        </is>
      </c>
      <c r="AC565" s="77" t="inlineStr">
        <is>
          <t>Client submitting live project; works with students</t>
        </is>
      </c>
      <c r="AD565" s="77" t="inlineStr"/>
      <c r="AE565" s="77" t="inlineStr">
        <is>
          <t>Live project output (unspecified) + group presentation</t>
        </is>
      </c>
      <c r="AF565" s="77">
        <f>IF(OR(V565="No",X565="No",Z565="No"),"Outside strict definition",IF(AND(V565="Yes",X565="Yes",Z565="Yes"),"Meets all three","Potentially relevant; evidence incomplete"))</f>
        <v/>
      </c>
      <c r="AG565" s="77" t="inlineStr">
        <is>
          <t>Current delivery confirmed</t>
        </is>
      </c>
      <c r="AH565" s="77" t="inlineStr">
        <is>
          <t>2026/27 module listing</t>
        </is>
      </c>
      <c r="AI565" s="77" t="inlineStr">
        <is>
          <t>Yes</t>
        </is>
      </c>
      <c r="AJ565" s="77">
        <f>IF(AND(AI565="Yes",AF565="Meets all three",AG565="Current delivery confirmed"),"Yes","No")</f>
        <v/>
      </c>
      <c r="AK565" s="77" t="inlineStr">
        <is>
          <t>'around 100 businesses'; 'hundreds of students' (Hub page, last reviewed Oct 2023)</t>
        </is>
      </c>
      <c r="AL565" s="77" t="inlineStr">
        <is>
          <t>UK25-S03-R1; UK25-S03-R2</t>
        </is>
      </c>
      <c r="AM565" s="77" t="inlineStr">
        <is>
          <t>Core status ('Core, 60 credits' seen only for Sustainable Civil Eng. in search summary); Hub page is dated 2023 review; project deliverables; whether each programme module code is uniformly team-based.</t>
        </is>
      </c>
      <c r="AN565" s="77" t="inlineStr"/>
      <c r="AO565" s="77" t="inlineStr">
        <is>
          <t>UK</t>
        </is>
      </c>
      <c r="AP565" s="77" t="inlineStr">
        <is>
          <t>UK – additional</t>
        </is>
      </c>
      <c r="AQ565" s="77" t="inlineStr">
        <is>
          <t>~1 term/semester</t>
        </is>
      </c>
      <c r="AR565" s="77" t="inlineStr">
        <is>
          <t>All/standard</t>
        </is>
      </c>
      <c r="AS565" s="77" t="inlineStr"/>
    </row>
    <row r="566">
      <c r="A566" s="77" t="inlineStr">
        <is>
          <t>UK25</t>
        </is>
      </c>
      <c r="B566" s="77" t="inlineStr">
        <is>
          <t>Northumbria</t>
        </is>
      </c>
      <c r="C566" s="77" t="inlineStr">
        <is>
          <t>Faculty/school</t>
        </is>
      </c>
      <c r="D566" s="77" t="inlineStr">
        <is>
          <t>UK25-S04</t>
        </is>
      </c>
      <c r="E566" s="77" t="inlineStr"/>
      <c r="F566" s="77" t="inlineStr">
        <is>
          <t>No</t>
        </is>
      </c>
      <c r="G566" s="79" t="inlineStr">
        <is>
          <t>KV5037 Computing Consultancy Project (Computing Live Projects)</t>
        </is>
      </c>
      <c r="H566" s="77" t="inlineStr">
        <is>
          <t>Computing Consultancy Project</t>
        </is>
      </c>
      <c r="I566" s="77" t="inlineStr">
        <is>
          <t>KV5037</t>
        </is>
      </c>
      <c r="J566" s="77" t="inlineStr">
        <is>
          <t>20-credit undergraduate computing module in which students work in a consultancy team on a real-life project for an external business client, negotiating requirements with the client; 12-week undergraduate Computing Live Projects offered across Business Computing, AI, Games, Data Science, Computing Science and Networks.</t>
        </is>
      </c>
      <c r="K566" s="77" t="inlineStr">
        <is>
          <t>School of Computer Science and Digital Technologies / Computing Live Projects</t>
        </is>
      </c>
      <c r="L566" s="77" t="inlineStr">
        <is>
          <t>Computing undergraduate programmes listing KV5037 (e.g. BSc Business Computing extended degree)</t>
        </is>
      </c>
      <c r="M566" s="77" t="inlineStr">
        <is>
          <t>Engineering/computing</t>
        </is>
      </c>
      <c r="N566" s="77" t="inlineStr">
        <is>
          <t>Undergraduate</t>
        </is>
      </c>
      <c r="O566" s="77" t="inlineStr">
        <is>
          <t>Not stated</t>
        </is>
      </c>
      <c r="P566" s="77" t="inlineStr">
        <is>
          <t>Not stated</t>
        </is>
      </c>
      <c r="Q566" s="77" t="inlineStr">
        <is>
          <t>Unclear</t>
        </is>
      </c>
      <c r="R566" s="77" t="inlineStr">
        <is>
          <t>Curricular</t>
        </is>
      </c>
      <c r="S566" s="77" t="inlineStr">
        <is>
          <t>20 credits; reflective log 50% (2,000 words), group work 50%</t>
        </is>
      </c>
      <c r="T566" s="77" t="inlineStr">
        <is>
          <t>12 weeks (Projects page)</t>
        </is>
      </c>
      <c r="U566" s="77" t="inlineStr">
        <is>
          <t>Team consultancy for external client</t>
        </is>
      </c>
      <c r="V566" s="77" t="inlineStr">
        <is>
          <t>Yes</t>
        </is>
      </c>
      <c r="W566" s="77" t="inlineStr">
        <is>
          <t>Real-life project with negotiated client requirements; group work assessed [1].</t>
        </is>
      </c>
      <c r="X566" s="77" t="inlineStr">
        <is>
          <t>Unclear</t>
        </is>
      </c>
      <c r="Y566" s="77" t="inlineStr">
        <is>
          <t>'as a member of a team'; but 'if a group has more than one student' wording implies single-student projects are possible [1].</t>
        </is>
      </c>
      <c r="Z566" s="77" t="inlineStr">
        <is>
          <t>Yes</t>
        </is>
      </c>
      <c r="AA566" s="77" t="inlineStr">
        <is>
          <t>'solving problems for businesses', requirements negotiated directly with the client [1]; 12-week UG live projects [2].</t>
        </is>
      </c>
      <c r="AB566" s="77" t="inlineStr">
        <is>
          <t>Business/commercial</t>
        </is>
      </c>
      <c r="AC566" s="77" t="inlineStr">
        <is>
          <t>Client; negotiates requirements</t>
        </is>
      </c>
      <c r="AD566" s="77" t="inlineStr">
        <is>
          <t>School page (search summary) cites Ryder Architecture and Accenture Software, undated</t>
        </is>
      </c>
      <c r="AE566" s="77" t="inlineStr">
        <is>
          <t>Client project solution + group work</t>
        </is>
      </c>
      <c r="AF566" s="77">
        <f>IF(OR(V566="No",X566="No",Z566="No"),"Outside strict definition",IF(AND(V566="Yes",X566="Yes",Z566="Yes"),"Meets all three","Potentially relevant; evidence incomplete"))</f>
        <v/>
      </c>
      <c r="AG566" s="77" t="inlineStr">
        <is>
          <t>Current status unclear</t>
        </is>
      </c>
      <c r="AH566" s="77" t="inlineStr">
        <is>
          <t>2027 module listing (listing year only)</t>
        </is>
      </c>
      <c r="AI566" s="77" t="inlineStr">
        <is>
          <t>Yes</t>
        </is>
      </c>
      <c r="AJ566" s="77">
        <f>IF(AND(AI566="Yes",AF566="Meets all three",AG566="Current delivery confirmed"),"Yes","No")</f>
        <v/>
      </c>
      <c r="AK566" s="77" t="inlineStr"/>
      <c r="AL566" s="77" t="inlineStr">
        <is>
          <t>UK25-S04-R1; UK25-S04-R2</t>
        </is>
      </c>
      <c r="AM566" s="77" t="inlineStr">
        <is>
          <t>Whether groups are the norm; core/optional; year of study; delivery evidence for 2025/26-2026/27 beyond module listing.</t>
        </is>
      </c>
      <c r="AN566" s="77" t="inlineStr"/>
      <c r="AO566" s="77" t="inlineStr">
        <is>
          <t>UK</t>
        </is>
      </c>
      <c r="AP566" s="77" t="inlineStr">
        <is>
          <t>UK – additional</t>
        </is>
      </c>
      <c r="AQ566" s="77" t="inlineStr">
        <is>
          <t>~1 term/semester</t>
        </is>
      </c>
      <c r="AR566" s="77" t="inlineStr">
        <is>
          <t>Unclear</t>
        </is>
      </c>
      <c r="AS566" s="77" t="inlineStr"/>
    </row>
    <row r="567">
      <c r="A567" s="77" t="inlineStr">
        <is>
          <t>UK26</t>
        </is>
      </c>
      <c r="B567" s="77" t="inlineStr">
        <is>
          <t>Portsmouth</t>
        </is>
      </c>
      <c r="C567" s="77" t="inlineStr">
        <is>
          <t>Faculty/school</t>
        </is>
      </c>
      <c r="D567" s="77" t="inlineStr">
        <is>
          <t>UK26-S01</t>
        </is>
      </c>
      <c r="E567" s="77" t="inlineStr"/>
      <c r="F567" s="77" t="inlineStr">
        <is>
          <t>No</t>
        </is>
      </c>
      <c r="G567" s="79" t="inlineStr">
        <is>
          <t>Business Consultancy Project (BCP)</t>
        </is>
      </c>
      <c r="H567" s="77" t="inlineStr">
        <is>
          <t>Business Consultancy Project (undergraduate)</t>
        </is>
      </c>
      <c r="I567" s="77" t="inlineStr"/>
      <c r="J567" s="77" t="inlineStr">
        <is>
          <t>Final-year undergraduate teams of 3-4 bid for and carry out a c.10-week consultancy project on a live challenge for a local small/medium private, public or third-sector organisation, supported by an academic and weekly consultancy seminars, ending in a consultancy report and a presentation/Q&amp;A to the client.</t>
        </is>
      </c>
      <c r="K567" s="77" t="inlineStr">
        <is>
          <t>Portsmouth Business School (business consultancy)</t>
        </is>
      </c>
      <c r="L567" s="77" t="inlineStr">
        <is>
          <t>Business courses; optional on BA Business and Management, core on BA Entrepreneurship and Business (search summary)</t>
        </is>
      </c>
      <c r="M567" s="77" t="inlineStr">
        <is>
          <t>Business/management</t>
        </is>
      </c>
      <c r="N567" s="77" t="inlineStr">
        <is>
          <t>Undergraduate</t>
        </is>
      </c>
      <c r="O567" s="77" t="inlineStr">
        <is>
          <t>Final year</t>
        </is>
      </c>
      <c r="P567" s="77" t="inlineStr">
        <is>
          <t>Final-year undergraduate business students; other courses not evidenced</t>
        </is>
      </c>
      <c r="Q567" s="77" t="inlineStr">
        <is>
          <t>Optional/elective</t>
        </is>
      </c>
      <c r="R567" s="77" t="inlineStr">
        <is>
          <t>Curricular</t>
        </is>
      </c>
      <c r="S567" s="77" t="inlineStr">
        <is>
          <t>20 credits; coursework 60% group work, 40% individual assessment</t>
        </is>
      </c>
      <c r="T567" s="77" t="inlineStr">
        <is>
          <t>c.10 weeks (Sept/Oct-December)</t>
        </is>
      </c>
      <c r="U567" s="77" t="inlineStr">
        <is>
          <t>Team consultancy project with weekly seminars</t>
        </is>
      </c>
      <c r="V567" s="77" t="inlineStr">
        <is>
          <t>Yes</t>
        </is>
      </c>
      <c r="W567" s="77" t="inlineStr">
        <is>
          <t>Live challenge inside the client organisation; consultancy report with recommendations [1][2].</t>
        </is>
      </c>
      <c r="X567" s="77" t="inlineStr">
        <is>
          <t>Yes</t>
        </is>
      </c>
      <c r="Y567" s="77" t="inlineStr">
        <is>
          <t>'You'll work in a consultancy team of about four students'; 60% of coursework is group work [2].</t>
        </is>
      </c>
      <c r="Z567" s="77" t="inlineStr">
        <is>
          <t>Yes</t>
        </is>
      </c>
      <c r="AA567" s="77" t="inlineStr">
        <is>
          <t>Local SMEs in the private, public or third sector set the challenge, receive the report and a presentation with Q&amp;A; project is free to clients [1][3].</t>
        </is>
      </c>
      <c r="AB567" s="77" t="inlineStr">
        <is>
          <t>Mixed</t>
        </is>
      </c>
      <c r="AC567" s="77" t="inlineStr">
        <is>
          <t>Client: supplies challenge, receives report and presentation</t>
        </is>
      </c>
      <c r="AD567" s="77" t="inlineStr">
        <is>
          <t>Santander, Inovolt, the Instant Kitchen Company, Solent Recovery College, Express FM (past clients, BA Business and Management page, Sept 2027 entry page)</t>
        </is>
      </c>
      <c r="AE567" s="77" t="inlineStr">
        <is>
          <t>Consultancy report with recommendations plus presentation and Q&amp;A</t>
        </is>
      </c>
      <c r="AF567" s="77">
        <f>IF(OR(V567="No",X567="No",Z567="No"),"Outside strict definition",IF(AND(V567="Yes",X567="Yes",Z567="Yes"),"Meets all three","Potentially relevant; evidence incomplete"))</f>
        <v/>
      </c>
      <c r="AG567" s="77" t="inlineStr">
        <is>
          <t>Current delivery confirmed</t>
        </is>
      </c>
      <c r="AH567" s="77" t="inlineStr">
        <is>
          <t>2026</t>
        </is>
      </c>
      <c r="AI567" s="77" t="inlineStr">
        <is>
          <t>Yes</t>
        </is>
      </c>
      <c r="AJ567" s="77">
        <f>IF(AND(AI567="Yes",AF567="Meets all three",AG567="Current delivery confirmed"),"Yes","No")</f>
        <v/>
      </c>
      <c r="AK567" s="77" t="inlineStr">
        <is>
          <t>'Hundreds of clients to date' (cumulative, undated) [1].</t>
        </is>
      </c>
      <c r="AL567" s="77" t="inlineStr">
        <is>
          <t>UK26-S01-R1; UK26-S01-R2; UK26-S01-R3; UK26-S01-R4</t>
        </is>
      </c>
      <c r="AM567" s="77" t="inlineStr">
        <is>
          <t>Module code not found; which courses offer it beyond the two named; confirmation relies on the 'applications for 2026 projects currently closed' client page and a (c) 2026 footer.</t>
        </is>
      </c>
      <c r="AN567" s="77" t="inlineStr">
        <is>
          <t>Business Consultancy Projects</t>
        </is>
      </c>
      <c r="AO567" s="77" t="inlineStr">
        <is>
          <t>UK</t>
        </is>
      </c>
      <c r="AP567" s="77" t="inlineStr">
        <is>
          <t>UK – additional</t>
        </is>
      </c>
      <c r="AQ567" s="77" t="inlineStr">
        <is>
          <t>~1 term/semester</t>
        </is>
      </c>
      <c r="AR567" s="77" t="inlineStr">
        <is>
          <t>All/standard</t>
        </is>
      </c>
      <c r="AS567" s="77" t="inlineStr"/>
    </row>
    <row r="568">
      <c r="A568" s="77" t="inlineStr">
        <is>
          <t>UK26</t>
        </is>
      </c>
      <c r="B568" s="77" t="inlineStr">
        <is>
          <t>Portsmouth</t>
        </is>
      </c>
      <c r="C568" s="77" t="inlineStr">
        <is>
          <t>Programme/course</t>
        </is>
      </c>
      <c r="D568" s="77" t="inlineStr">
        <is>
          <t>UK26-S02</t>
        </is>
      </c>
      <c r="E568" s="77" t="inlineStr"/>
      <c r="F568" s="77" t="inlineStr">
        <is>
          <t>No</t>
        </is>
      </c>
      <c r="G568" s="79" t="inlineStr">
        <is>
          <t>MBA Consultancy Projects</t>
        </is>
      </c>
      <c r="H568" s="77" t="inlineStr">
        <is>
          <t>Global MBA consultancy projects</t>
        </is>
      </c>
      <c r="I568" s="77" t="inlineStr"/>
      <c r="J568" s="77" t="inlineStr">
        <is>
          <t>Teams of three or four Global MBA students deliver a 10-week consultancy project (June-September) for a local SME in the private, public or third sector, with kick-off meeting, regular check-ins and a final presentation, producing a written report with recommendations.</t>
        </is>
      </c>
      <c r="K568" s="77" t="inlineStr">
        <is>
          <t>Portsmouth Business School</t>
        </is>
      </c>
      <c r="L568" s="77" t="inlineStr">
        <is>
          <t>Global MBA</t>
        </is>
      </c>
      <c r="M568" s="77" t="inlineStr">
        <is>
          <t>Business/management</t>
        </is>
      </c>
      <c r="N568" s="77" t="inlineStr">
        <is>
          <t>Postgraduate taught</t>
        </is>
      </c>
      <c r="O568" s="77" t="inlineStr"/>
      <c r="P568" s="77" t="inlineStr">
        <is>
          <t>Global MBA students</t>
        </is>
      </c>
      <c r="Q568" s="77" t="inlineStr">
        <is>
          <t>Unclear</t>
        </is>
      </c>
      <c r="R568" s="77" t="inlineStr">
        <is>
          <t>Curricular</t>
        </is>
      </c>
      <c r="S568" s="77" t="inlineStr">
        <is>
          <t>Course credits (no figure); module not named</t>
        </is>
      </c>
      <c r="T568" s="77" t="inlineStr">
        <is>
          <t>10 weeks (June to September)</t>
        </is>
      </c>
      <c r="U568" s="77" t="inlineStr">
        <is>
          <t>Team consultancy project</t>
        </is>
      </c>
      <c r="V568" s="77" t="inlineStr">
        <is>
          <t>Yes</t>
        </is>
      </c>
      <c r="W568" s="77" t="inlineStr">
        <is>
          <t>'a professional presentation and written report containing evidence-based insights and recommendations' [1].</t>
        </is>
      </c>
      <c r="X568" s="77" t="inlineStr">
        <is>
          <t>Yes</t>
        </is>
      </c>
      <c r="Y568" s="77" t="inlineStr">
        <is>
          <t>'a team of three or four postgraduate students from our Global MBA programme' [1].</t>
        </is>
      </c>
      <c r="Z568" s="77" t="inlineStr">
        <is>
          <t>Yes</t>
        </is>
      </c>
      <c r="AA568" s="77" t="inlineStr">
        <is>
          <t>Client organisation shapes the brief, attends kick-off, check-ins and final presentation and receives the report [1].</t>
        </is>
      </c>
      <c r="AB568" s="77" t="inlineStr">
        <is>
          <t>Mixed</t>
        </is>
      </c>
      <c r="AC568" s="77" t="inlineStr">
        <is>
          <t>Client: brief, check-ins, receives report/presentation</t>
        </is>
      </c>
      <c r="AD568" s="77" t="inlineStr"/>
      <c r="AE568" s="77" t="inlineStr">
        <is>
          <t>Written consultancy report with recommendations and presentation</t>
        </is>
      </c>
      <c r="AF568" s="77">
        <f>IF(OR(V568="No",X568="No",Z568="No"),"Outside strict definition",IF(AND(V568="Yes",X568="Yes",Z568="Yes"),"Meets all three","Potentially relevant; evidence incomplete"))</f>
        <v/>
      </c>
      <c r="AG568" s="77" t="inlineStr">
        <is>
          <t>Current status unclear</t>
        </is>
      </c>
      <c r="AH568" s="77" t="inlineStr">
        <is>
          <t>2026 (page footer only)</t>
        </is>
      </c>
      <c r="AI568" s="77" t="inlineStr">
        <is>
          <t>Yes</t>
        </is>
      </c>
      <c r="AJ568" s="77">
        <f>IF(AND(AI568="Yes",AF568="Meets all three",AG568="Current delivery confirmed"),"Yes","No")</f>
        <v/>
      </c>
      <c r="AK568" s="77" t="inlineStr"/>
      <c r="AL568" s="77" t="inlineStr">
        <is>
          <t>UK26-S02-R1</t>
        </is>
      </c>
      <c r="AM568" s="77" t="inlineStr">
        <is>
          <t>No dated cohort or enrolment; whether compulsory on the MBA; module code and credits.</t>
        </is>
      </c>
      <c r="AN568" s="77" t="inlineStr">
        <is>
          <t>Business Consultancy Projects (separate MBA route)</t>
        </is>
      </c>
      <c r="AO568" s="77" t="inlineStr">
        <is>
          <t>UK</t>
        </is>
      </c>
      <c r="AP568" s="77" t="inlineStr">
        <is>
          <t>UK – additional</t>
        </is>
      </c>
      <c r="AQ568" s="77" t="inlineStr">
        <is>
          <t>~1 term/semester</t>
        </is>
      </c>
      <c r="AR568" s="77" t="inlineStr">
        <is>
          <t>All/standard</t>
        </is>
      </c>
      <c r="AS568" s="77" t="inlineStr"/>
    </row>
    <row r="569">
      <c r="A569" s="77" t="inlineStr">
        <is>
          <t>UK26</t>
        </is>
      </c>
      <c r="B569" s="77" t="inlineStr">
        <is>
          <t>Portsmouth</t>
        </is>
      </c>
      <c r="C569" s="77" t="inlineStr">
        <is>
          <t>Programme/course</t>
        </is>
      </c>
      <c r="D569" s="77" t="inlineStr">
        <is>
          <t>UK26-S03</t>
        </is>
      </c>
      <c r="E569" s="77" t="inlineStr"/>
      <c r="F569" s="77" t="inlineStr">
        <is>
          <t>No</t>
        </is>
      </c>
      <c r="G569" s="79" t="inlineStr">
        <is>
          <t>Industrial Team Project (Computer Science)</t>
        </is>
      </c>
      <c r="H569" s="77" t="inlineStr">
        <is>
          <t>Industrial Team Project</t>
        </is>
      </c>
      <c r="I569" s="77" t="inlineStr"/>
      <c r="J569" s="77" t="inlineStr">
        <is>
          <t>Core 30-credit group project on BSc/MEng Computer Science in which students work closely with an external client to build an industry-standard computing solution, finishing with a polished application and client presentations.</t>
        </is>
      </c>
      <c r="K569" s="77" t="inlineStr">
        <is>
          <t>School of Computing</t>
        </is>
      </c>
      <c r="L569" s="77" t="inlineStr">
        <is>
          <t>BSc (Hons)/MEng Computer Science</t>
        </is>
      </c>
      <c r="M569" s="77" t="inlineStr">
        <is>
          <t>Engineering/computing</t>
        </is>
      </c>
      <c r="N569" s="77" t="inlineStr">
        <is>
          <t>Undergraduate</t>
        </is>
      </c>
      <c r="O569" s="77" t="inlineStr">
        <is>
          <t>Not stated</t>
        </is>
      </c>
      <c r="P569" s="77" t="inlineStr"/>
      <c r="Q569" s="77" t="inlineStr">
        <is>
          <t>Compulsory within specified programmes</t>
        </is>
      </c>
      <c r="R569" s="77" t="inlineStr">
        <is>
          <t>Curricular</t>
        </is>
      </c>
      <c r="S569" s="77" t="inlineStr">
        <is>
          <t>30 credits (core); assessment method not stated</t>
        </is>
      </c>
      <c r="T569" s="77" t="inlineStr">
        <is>
          <t>Not stated</t>
        </is>
      </c>
      <c r="U569" s="77" t="inlineStr">
        <is>
          <t>Group project with agile framework (search summary)</t>
        </is>
      </c>
      <c r="V569" s="77" t="inlineStr">
        <is>
          <t>Yes</t>
        </is>
      </c>
      <c r="W569" s="77" t="inlineStr">
        <is>
          <t>'Deliver a polished application along with client presentations' [1].</t>
        </is>
      </c>
      <c r="X569" s="77" t="inlineStr">
        <is>
          <t>Yes</t>
        </is>
      </c>
      <c r="Y569" s="77" t="inlineStr">
        <is>
          <t>Described as an 'immersive group project' [1].</t>
        </is>
      </c>
      <c r="Z569" s="77" t="inlineStr">
        <is>
          <t>Yes</t>
        </is>
      </c>
      <c r="AA569" s="77" t="inlineStr">
        <is>
          <t>'Work closely with an external client to build an industry-standard computing solution'; client presentations [1].</t>
        </is>
      </c>
      <c r="AB569" s="77" t="inlineStr">
        <is>
          <t>Unclear</t>
        </is>
      </c>
      <c r="AC569" s="77" t="inlineStr">
        <is>
          <t>External client; receives presentations</t>
        </is>
      </c>
      <c r="AD569" s="77" t="inlineStr"/>
      <c r="AE569" s="77" t="inlineStr">
        <is>
          <t>Application plus client presentations</t>
        </is>
      </c>
      <c r="AF569" s="77">
        <f>IF(OR(V569="No",X569="No",Z569="No"),"Outside strict definition",IF(AND(V569="Yes",X569="Yes",Z569="Yes"),"Meets all three","Potentially relevant; evidence incomplete"))</f>
        <v/>
      </c>
      <c r="AG569" s="77" t="inlineStr">
        <is>
          <t>Current status unclear</t>
        </is>
      </c>
      <c r="AH569" s="77" t="inlineStr">
        <is>
          <t>Sept 2027 entry course page</t>
        </is>
      </c>
      <c r="AI569" s="77" t="inlineStr">
        <is>
          <t>Yes</t>
        </is>
      </c>
      <c r="AJ569" s="77">
        <f>IF(AND(AI569="Yes",AF569="Meets all three",AG569="Current delivery confirmed"),"Yes","No")</f>
        <v/>
      </c>
      <c r="AK569" s="77" t="inlineStr"/>
      <c r="AL569" s="77" t="inlineStr">
        <is>
          <t>UK26-S03-R1</t>
        </is>
      </c>
      <c r="AM569" s="77" t="inlineStr">
        <is>
          <t>Year of study, duration, client types and examples; page is for 2027 entry so 2025/26-2026/27 delivery not corroborated.</t>
        </is>
      </c>
      <c r="AN569" s="77" t="inlineStr"/>
      <c r="AO569" s="77" t="inlineStr">
        <is>
          <t>UK</t>
        </is>
      </c>
      <c r="AP569" s="77" t="inlineStr">
        <is>
          <t>UK – additional</t>
        </is>
      </c>
      <c r="AQ569" s="77" t="inlineStr">
        <is>
          <t>Unclear</t>
        </is>
      </c>
      <c r="AR569" s="77" t="inlineStr">
        <is>
          <t>All/standard</t>
        </is>
      </c>
      <c r="AS569" s="77" t="inlineStr"/>
    </row>
    <row r="570">
      <c r="A570" s="77" t="inlineStr">
        <is>
          <t>UK26</t>
        </is>
      </c>
      <c r="B570" s="77" t="inlineStr">
        <is>
          <t>Portsmouth</t>
        </is>
      </c>
      <c r="C570" s="77" t="inlineStr">
        <is>
          <t>Programme/course</t>
        </is>
      </c>
      <c r="D570" s="77" t="inlineStr">
        <is>
          <t>UK26-S04</t>
        </is>
      </c>
      <c r="E570" s="77" t="inlineStr"/>
      <c r="F570" s="77" t="inlineStr">
        <is>
          <t>No</t>
        </is>
      </c>
      <c r="G570" s="79" t="inlineStr">
        <is>
          <t>Complex Problem Solving (Computer Science option)</t>
        </is>
      </c>
      <c r="H570" s="77" t="inlineStr">
        <is>
          <t>Complex Problem Solving</t>
        </is>
      </c>
      <c r="I570" s="77" t="inlineStr"/>
      <c r="J570" s="77" t="inlineStr">
        <is>
          <t>Optional 20-credit module in which student teams tackle an industry partner's real and complex brief, engage with the client, and finish with a Minimum Viable Product proposed to the client.</t>
        </is>
      </c>
      <c r="K570" s="77" t="inlineStr">
        <is>
          <t>School of Computing</t>
        </is>
      </c>
      <c r="L570" s="77" t="inlineStr">
        <is>
          <t>BSc/MEng Computer Science (also listed under Software Engineering per search summary)</t>
        </is>
      </c>
      <c r="M570" s="77" t="inlineStr">
        <is>
          <t>Engineering/computing</t>
        </is>
      </c>
      <c r="N570" s="77" t="inlineStr">
        <is>
          <t>Undergraduate</t>
        </is>
      </c>
      <c r="O570" s="77" t="inlineStr">
        <is>
          <t>Not stated</t>
        </is>
      </c>
      <c r="P570" s="77" t="inlineStr"/>
      <c r="Q570" s="77" t="inlineStr">
        <is>
          <t>Optional/elective</t>
        </is>
      </c>
      <c r="R570" s="77" t="inlineStr">
        <is>
          <t>Curricular</t>
        </is>
      </c>
      <c r="S570" s="77" t="inlineStr">
        <is>
          <t>20 credits (optional); assessment method not stated</t>
        </is>
      </c>
      <c r="T570" s="77" t="inlineStr">
        <is>
          <t>Not stated</t>
        </is>
      </c>
      <c r="U570" s="77" t="inlineStr">
        <is>
          <t>Team client brief</t>
        </is>
      </c>
      <c r="V570" s="77" t="inlineStr">
        <is>
          <t>Yes</t>
        </is>
      </c>
      <c r="W570" s="77" t="inlineStr">
        <is>
          <t>Team ends with an MVP 'to propose to your client' [1].</t>
        </is>
      </c>
      <c r="X570" s="77" t="inlineStr">
        <is>
          <t>Yes</t>
        </is>
      </c>
      <c r="Y570" s="77" t="inlineStr">
        <is>
          <t>'You'll work in a team to analyse the issues, engage closely with the client' [1].</t>
        </is>
      </c>
      <c r="Z570" s="77" t="inlineStr">
        <is>
          <t>Yes</t>
        </is>
      </c>
      <c r="AA570" s="77" t="inlineStr">
        <is>
          <t>'tackling an industry partner's real and complex brief'; students engage closely with the client and propose the MVP to them [1].</t>
        </is>
      </c>
      <c r="AB570" s="77" t="inlineStr">
        <is>
          <t>Business/commercial</t>
        </is>
      </c>
      <c r="AC570" s="77" t="inlineStr">
        <is>
          <t>Industry partner sets brief; receives MVP proposal</t>
        </is>
      </c>
      <c r="AD570" s="77" t="inlineStr"/>
      <c r="AE570" s="77" t="inlineStr">
        <is>
          <t>Minimum Viable Product proposal to client</t>
        </is>
      </c>
      <c r="AF570" s="77">
        <f>IF(OR(V570="No",X570="No",Z570="No"),"Outside strict definition",IF(AND(V570="Yes",X570="Yes",Z570="Yes"),"Meets all three","Potentially relevant; evidence incomplete"))</f>
        <v/>
      </c>
      <c r="AG570" s="77" t="inlineStr">
        <is>
          <t>Current status unclear</t>
        </is>
      </c>
      <c r="AH570" s="77" t="inlineStr">
        <is>
          <t>Sept 2027 entry course page</t>
        </is>
      </c>
      <c r="AI570" s="77" t="inlineStr">
        <is>
          <t>Yes</t>
        </is>
      </c>
      <c r="AJ570" s="77">
        <f>IF(AND(AI570="Yes",AF570="Meets all three",AG570="Current delivery confirmed"),"Yes","No")</f>
        <v/>
      </c>
      <c r="AK570" s="77" t="inlineStr"/>
      <c r="AL570" s="77" t="inlineStr">
        <is>
          <t>UK26-S04-R1</t>
        </is>
      </c>
      <c r="AM570" s="77" t="inlineStr">
        <is>
          <t>Year of study, duration, assessment, named partners; no dated 2025/26-2026/27 corroboration.</t>
        </is>
      </c>
      <c r="AN570" s="77" t="inlineStr"/>
      <c r="AO570" s="77" t="inlineStr">
        <is>
          <t>UK</t>
        </is>
      </c>
      <c r="AP570" s="77" t="inlineStr">
        <is>
          <t>UK – additional</t>
        </is>
      </c>
      <c r="AQ570" s="77" t="inlineStr">
        <is>
          <t>Unclear</t>
        </is>
      </c>
      <c r="AR570" s="77" t="inlineStr">
        <is>
          <t>All/standard</t>
        </is>
      </c>
      <c r="AS570" s="77" t="inlineStr"/>
    </row>
    <row r="571">
      <c r="A571" s="77" t="inlineStr">
        <is>
          <t>UK26</t>
        </is>
      </c>
      <c r="B571" s="77" t="inlineStr">
        <is>
          <t>Portsmouth</t>
        </is>
      </c>
      <c r="C571" s="77" t="inlineStr">
        <is>
          <t>Programme/course</t>
        </is>
      </c>
      <c r="D571" s="77" t="inlineStr">
        <is>
          <t>UK26-S05</t>
        </is>
      </c>
      <c r="E571" s="77" t="inlineStr"/>
      <c r="F571" s="77" t="inlineStr">
        <is>
          <t>No</t>
        </is>
      </c>
      <c r="G571" s="79" t="inlineStr">
        <is>
          <t>Law in Action</t>
        </is>
      </c>
      <c r="H571" s="77" t="inlineStr">
        <is>
          <t>Law in Action</t>
        </is>
      </c>
      <c r="I571" s="77" t="inlineStr"/>
      <c r="J571" s="77" t="inlineStr">
        <is>
          <t>Optional 20-credit LLB module (seen on Law with Criminology) in which student teams research, plan and deliver a presentation on a legal issue to a designated organisation such as a charity, school/college or community organisation.</t>
        </is>
      </c>
      <c r="K571" s="77" t="inlineStr">
        <is>
          <t>School of Law</t>
        </is>
      </c>
      <c r="L571" s="77" t="inlineStr">
        <is>
          <t>LLB Law with Criminology (other law courses not checked)</t>
        </is>
      </c>
      <c r="M571" s="77" t="inlineStr">
        <is>
          <t>Other (law, health, design, architecture…)</t>
        </is>
      </c>
      <c r="N571" s="77" t="inlineStr">
        <is>
          <t>Undergraduate</t>
        </is>
      </c>
      <c r="O571" s="77" t="inlineStr">
        <is>
          <t>Not stated</t>
        </is>
      </c>
      <c r="P571" s="77" t="inlineStr"/>
      <c r="Q571" s="77" t="inlineStr">
        <is>
          <t>Optional/elective</t>
        </is>
      </c>
      <c r="R571" s="77" t="inlineStr">
        <is>
          <t>Curricular</t>
        </is>
      </c>
      <c r="S571" s="77" t="inlineStr">
        <is>
          <t>20 credits; assessment not specified</t>
        </is>
      </c>
      <c r="T571" s="77" t="inlineStr">
        <is>
          <t>Not stated</t>
        </is>
      </c>
      <c r="U571" s="77" t="inlineStr">
        <is>
          <t>Team research and presentation</t>
        </is>
      </c>
      <c r="V571" s="77" t="inlineStr">
        <is>
          <t>Unclear</t>
        </is>
      </c>
      <c r="W571" s="77" t="inlineStr">
        <is>
          <t>Output is a legal-information presentation; whether the organisation sets a brief is not stated [1].</t>
        </is>
      </c>
      <c r="X571" s="77" t="inlineStr">
        <is>
          <t>Yes</t>
        </is>
      </c>
      <c r="Y571" s="77" t="inlineStr">
        <is>
          <t>'You will work in teams to research, plan, and deliver a presentation on a legal issue' [1].</t>
        </is>
      </c>
      <c r="Z571" s="77" t="inlineStr">
        <is>
          <t>Unclear</t>
        </is>
      </c>
      <c r="AA571" s="77" t="inlineStr">
        <is>
          <t>Presentation is to a 'designated organisation (such as; charities, schools/colleges, and community organisations)'; no evidence the organisation sets the brief or whether delivery is live [1].</t>
        </is>
      </c>
      <c r="AB571" s="77" t="inlineStr">
        <is>
          <t>Charity/community</t>
        </is>
      </c>
      <c r="AC571" s="77" t="inlineStr">
        <is>
          <t>Audience organisation; role beyond receiving the presentation unclear</t>
        </is>
      </c>
      <c r="AD571" s="77" t="inlineStr"/>
      <c r="AE571" s="77" t="inlineStr">
        <is>
          <t>Legal information presentation</t>
        </is>
      </c>
      <c r="AF571" s="77">
        <f>IF(OR(V571="No",X571="No",Z571="No"),"Outside strict definition",IF(AND(V571="Yes",X571="Yes",Z571="Yes"),"Meets all three","Potentially relevant; evidence incomplete"))</f>
        <v/>
      </c>
      <c r="AG571" s="77" t="inlineStr">
        <is>
          <t>Current status unclear</t>
        </is>
      </c>
      <c r="AH571" s="77" t="inlineStr">
        <is>
          <t>Sept 2027 entry course page</t>
        </is>
      </c>
      <c r="AI571" s="77" t="inlineStr">
        <is>
          <t>Yes</t>
        </is>
      </c>
      <c r="AJ571" s="77">
        <f>IF(AND(AI571="Yes",AF571="Meets all three",AG571="Current delivery confirmed"),"Yes","No")</f>
        <v/>
      </c>
      <c r="AK571" s="77" t="inlineStr"/>
      <c r="AL571" s="77" t="inlineStr">
        <is>
          <t>UK26-S05-R1</t>
        </is>
      </c>
      <c r="AM571" s="77" t="inlineStr">
        <is>
          <t>Whether organisations commission/shape the work; duration; assessment; dated delivery.</t>
        </is>
      </c>
      <c r="AN571" s="77" t="inlineStr"/>
      <c r="AO571" s="77" t="inlineStr">
        <is>
          <t>UK</t>
        </is>
      </c>
      <c r="AP571" s="77" t="inlineStr">
        <is>
          <t>UK – additional</t>
        </is>
      </c>
      <c r="AQ571" s="77" t="inlineStr">
        <is>
          <t>Unclear</t>
        </is>
      </c>
      <c r="AR571" s="77" t="inlineStr">
        <is>
          <t>Unclear</t>
        </is>
      </c>
      <c r="AS571" s="77" t="inlineStr"/>
    </row>
    <row r="572">
      <c r="A572" s="77" t="inlineStr">
        <is>
          <t>UK27</t>
        </is>
      </c>
      <c r="B572" s="77" t="inlineStr">
        <is>
          <t>Coventry</t>
        </is>
      </c>
      <c r="C572" s="77" t="inlineStr">
        <is>
          <t>Programme/course</t>
        </is>
      </c>
      <c r="D572" s="77" t="inlineStr">
        <is>
          <t>UK27-S01</t>
        </is>
      </c>
      <c r="E572" s="77" t="inlineStr"/>
      <c r="F572" s="77" t="inlineStr">
        <is>
          <t>No</t>
        </is>
      </c>
      <c r="G572" s="79" t="inlineStr">
        <is>
          <t>Industrial Group Project (MEng/BEng Computer Systems Engineering)</t>
        </is>
      </c>
      <c r="H572" s="77" t="inlineStr">
        <is>
          <t>Industrial Group Project</t>
        </is>
      </c>
      <c r="I572" s="77" t="inlineStr"/>
      <c r="J572" s="77" t="inlineStr">
        <is>
          <t>60-credit compulsory module in the MEng additional year: student groups undertake a project drawn from industry collaborators or Coventry research groups, managing client expectations, ending in a written report and oral presentation to academic staff and industry professionals.</t>
        </is>
      </c>
      <c r="K572" s="77" t="inlineStr">
        <is>
          <t>College of Engineering, Environment and Science (Computer Systems Engineering)</t>
        </is>
      </c>
      <c r="L572" s="77" t="inlineStr">
        <is>
          <t>MEng Computer Systems Engineering (additional MEng year)</t>
        </is>
      </c>
      <c r="M572" s="77" t="inlineStr">
        <is>
          <t>Engineering/computing</t>
        </is>
      </c>
      <c r="N572" s="77" t="inlineStr">
        <is>
          <t>Undergraduate</t>
        </is>
      </c>
      <c r="O572" s="77" t="inlineStr">
        <is>
          <t>MEng additional year</t>
        </is>
      </c>
      <c r="P572" s="77" t="inlineStr"/>
      <c r="Q572" s="77" t="inlineStr">
        <is>
          <t>Compulsory within specified programmes</t>
        </is>
      </c>
      <c r="R572" s="77" t="inlineStr">
        <is>
          <t>Curricular</t>
        </is>
      </c>
      <c r="S572" s="77" t="inlineStr">
        <is>
          <t>60 credits; written report + oral presentation</t>
        </is>
      </c>
      <c r="T572" s="77" t="inlineStr">
        <is>
          <t>Not stated (60-credit module)</t>
        </is>
      </c>
      <c r="U572" s="77" t="inlineStr">
        <is>
          <t>Group project</t>
        </is>
      </c>
      <c r="V572" s="77" t="inlineStr">
        <is>
          <t>Yes</t>
        </is>
      </c>
      <c r="W572" s="77" t="inlineStr">
        <is>
          <t>Defined project with written report and oral presentation [1].</t>
        </is>
      </c>
      <c r="X572" s="77" t="inlineStr">
        <is>
          <t>Yes</t>
        </is>
      </c>
      <c r="Y572" s="77" t="inlineStr">
        <is>
          <t>Module is an 'Industrial Group Project' [1]; group composition not detailed.</t>
        </is>
      </c>
      <c r="Z572" s="77" t="inlineStr">
        <is>
          <t>Unclear</t>
        </is>
      </c>
      <c r="AA572" s="77" t="inlineStr">
        <is>
          <t>Projects come from 'industry collaborators or our research groups' (mixed internal/external); students gain experience managing client expectations; presentation to academic staff and industry professionals [1]. External share not stated, so C Unclear per mixed-client ruling.</t>
        </is>
      </c>
      <c r="AB572" s="77" t="inlineStr">
        <is>
          <t>Mixed</t>
        </is>
      </c>
      <c r="AC572" s="77" t="inlineStr">
        <is>
          <t>Project source (industry collaborators or research groups); industry professionals attend presentation</t>
        </is>
      </c>
      <c r="AD572" s="77" t="inlineStr">
        <is>
          <t>Search summary of course overview mentions ARM and Bosch as past partners (not verified on fetched page; undated)</t>
        </is>
      </c>
      <c r="AE572" s="77" t="inlineStr">
        <is>
          <t>Written report and oral presentation</t>
        </is>
      </c>
      <c r="AF572" s="77">
        <f>IF(OR(V572="No",X572="No",Z572="No"),"Outside strict definition",IF(AND(V572="Yes",X572="Yes",Z572="Yes"),"Meets all three","Potentially relevant; evidence incomplete"))</f>
        <v/>
      </c>
      <c r="AG572" s="77" t="inlineStr">
        <is>
          <t>Current status unclear</t>
        </is>
      </c>
      <c r="AH572" s="77" t="inlineStr">
        <is>
          <t>Undated module listing</t>
        </is>
      </c>
      <c r="AI572" s="77" t="inlineStr">
        <is>
          <t>Yes</t>
        </is>
      </c>
      <c r="AJ572" s="77">
        <f>IF(AND(AI572="Yes",AF572="Meets all three",AG572="Current delivery confirmed"),"Yes","No")</f>
        <v/>
      </c>
      <c r="AK572" s="77" t="inlineStr"/>
      <c r="AL572" s="77" t="inlineStr">
        <is>
          <t>UK27-S01-R1</t>
        </is>
      </c>
      <c r="AM572" s="77" t="inlineStr">
        <is>
          <t>No year shown on fetched page; whether all projects have external industry clients; group size.</t>
        </is>
      </c>
      <c r="AN572" s="77" t="inlineStr"/>
      <c r="AO572" s="77" t="inlineStr">
        <is>
          <t>UK</t>
        </is>
      </c>
      <c r="AP572" s="77" t="inlineStr">
        <is>
          <t>UK – additional</t>
        </is>
      </c>
      <c r="AQ572" s="77" t="inlineStr">
        <is>
          <t>Unclear</t>
        </is>
      </c>
      <c r="AR572" s="77" t="inlineStr">
        <is>
          <t>Some projects</t>
        </is>
      </c>
      <c r="AS572" s="77" t="inlineStr"/>
    </row>
    <row r="573">
      <c r="A573" s="77" t="inlineStr">
        <is>
          <t>UK27</t>
        </is>
      </c>
      <c r="B573" s="77" t="inlineStr">
        <is>
          <t>Coventry</t>
        </is>
      </c>
      <c r="C573" s="77" t="inlineStr">
        <is>
          <t>Programme/course</t>
        </is>
      </c>
      <c r="D573" s="77" t="inlineStr">
        <is>
          <t>UK27-S02</t>
        </is>
      </c>
      <c r="E573" s="77" t="inlineStr"/>
      <c r="F573" s="77" t="inlineStr">
        <is>
          <t>No</t>
        </is>
      </c>
      <c r="G573" s="79" t="inlineStr">
        <is>
          <t>Industrial Group Project (MEng/BEng Mechanical Engineering)</t>
        </is>
      </c>
      <c r="H573" s="77" t="inlineStr">
        <is>
          <t>Industrial Group Project</t>
        </is>
      </c>
      <c r="I573" s="77" t="inlineStr"/>
      <c r="J573" s="77" t="inlineStr">
        <is>
          <t>60-credit group module: students work in groups to define a problem, research, develop and test solutions in collaboration with industry collaborators, and present findings to an industry client.</t>
        </is>
      </c>
      <c r="K573" s="77" t="inlineStr">
        <is>
          <t>College of Engineering, Environment and Science (Mechanical Engineering)</t>
        </is>
      </c>
      <c r="L573" s="77" t="inlineStr">
        <is>
          <t>MEng/BEng Mechanical Engineering</t>
        </is>
      </c>
      <c r="M573" s="77" t="inlineStr">
        <is>
          <t>Engineering/computing</t>
        </is>
      </c>
      <c r="N573" s="77" t="inlineStr">
        <is>
          <t>Undergraduate</t>
        </is>
      </c>
      <c r="O573" s="77" t="inlineStr">
        <is>
          <t>Final stage (year not stated on page)</t>
        </is>
      </c>
      <c r="P573" s="77" t="inlineStr"/>
      <c r="Q573" s="77" t="inlineStr">
        <is>
          <t>Unclear</t>
        </is>
      </c>
      <c r="R573" s="77" t="inlineStr">
        <is>
          <t>Curricular</t>
        </is>
      </c>
      <c r="S573" s="77" t="inlineStr">
        <is>
          <t>60 credits</t>
        </is>
      </c>
      <c r="T573" s="77" t="inlineStr">
        <is>
          <t>Not stated</t>
        </is>
      </c>
      <c r="U573" s="77" t="inlineStr">
        <is>
          <t>Team project</t>
        </is>
      </c>
      <c r="V573" s="77" t="inlineStr">
        <is>
          <t>Yes</t>
        </is>
      </c>
      <c r="W573" s="77" t="inlineStr">
        <is>
          <t>Define problem, research, develop and test solutions, present findings [1].</t>
        </is>
      </c>
      <c r="X573" s="77" t="inlineStr">
        <is>
          <t>Yes</t>
        </is>
      </c>
      <c r="Y573" s="77" t="inlineStr">
        <is>
          <t>'Working in groups, define the problem, conduct research, develop and test solutions' [1].</t>
        </is>
      </c>
      <c r="Z573" s="77" t="inlineStr">
        <is>
          <t>Yes</t>
        </is>
      </c>
      <c r="AA573" s="77" t="inlineStr">
        <is>
          <t>'in collaboration with industry collaborators'; students 'present your findings to an industry client' [1].</t>
        </is>
      </c>
      <c r="AB573" s="77" t="inlineStr">
        <is>
          <t>Business/commercial</t>
        </is>
      </c>
      <c r="AC573" s="77" t="inlineStr">
        <is>
          <t>Industry client receives findings; collaborates on the problem</t>
        </is>
      </c>
      <c r="AD573" s="77" t="inlineStr"/>
      <c r="AE573" s="77" t="inlineStr">
        <is>
          <t>Findings presentation to industry client</t>
        </is>
      </c>
      <c r="AF573" s="77">
        <f>IF(OR(V573="No",X573="No",Z573="No"),"Outside strict definition",IF(AND(V573="Yes",X573="Yes",Z573="Yes"),"Meets all three","Potentially relevant; evidence incomplete"))</f>
        <v/>
      </c>
      <c r="AG573" s="77" t="inlineStr">
        <is>
          <t>Current delivery confirmed</t>
        </is>
      </c>
      <c r="AH573" s="77" t="inlineStr">
        <is>
          <t>2026/27 entry course structure listing</t>
        </is>
      </c>
      <c r="AI573" s="77" t="inlineStr">
        <is>
          <t>Yes</t>
        </is>
      </c>
      <c r="AJ573" s="77">
        <f>IF(AND(AI573="Yes",AF573="Meets all three",AG573="Current delivery confirmed"),"Yes","No")</f>
        <v/>
      </c>
      <c r="AK573" s="77" t="inlineStr"/>
      <c r="AL573" s="77" t="inlineStr">
        <is>
          <t>UK27-S02-R1</t>
        </is>
      </c>
      <c r="AM573" s="77" t="inlineStr">
        <is>
          <t>Page does not label module compulsory or optional; whether every group has an external client; module delivery year not shown (course structure for 2026-27/2027-28 entry); partner type inferred from 'industry'.</t>
        </is>
      </c>
      <c r="AN573" s="77" t="inlineStr"/>
      <c r="AO573" s="77" t="inlineStr">
        <is>
          <t>UK</t>
        </is>
      </c>
      <c r="AP573" s="77" t="inlineStr">
        <is>
          <t>UK – additional</t>
        </is>
      </c>
      <c r="AQ573" s="77" t="inlineStr">
        <is>
          <t>Unclear</t>
        </is>
      </c>
      <c r="AR573" s="77" t="inlineStr">
        <is>
          <t>Unclear</t>
        </is>
      </c>
      <c r="AS573" s="77" t="inlineStr"/>
    </row>
    <row r="574">
      <c r="A574" s="77" t="inlineStr">
        <is>
          <t>UK27</t>
        </is>
      </c>
      <c r="B574" s="77" t="inlineStr">
        <is>
          <t>Coventry</t>
        </is>
      </c>
      <c r="C574" s="77" t="inlineStr">
        <is>
          <t>Unclear</t>
        </is>
      </c>
      <c r="D574" s="77" t="inlineStr">
        <is>
          <t>UK27-S03</t>
        </is>
      </c>
      <c r="E574" s="77" t="inlineStr"/>
      <c r="F574" s="77" t="inlineStr">
        <is>
          <t>No</t>
        </is>
      </c>
      <c r="G574" s="79" t="inlineStr">
        <is>
          <t>Group Consulting Project (Coventry University London)</t>
        </is>
      </c>
      <c r="H574" s="77" t="inlineStr">
        <is>
          <t>Group Consulting Project</t>
        </is>
      </c>
      <c r="I574" s="77" t="inlineStr"/>
      <c r="J574" s="77" t="inlineStr">
        <is>
          <t>Employer-facing offer: a group of students works offsite at the London city campus as an external management consulting team on a brief supplied by the employer, supported by a Placement Manager and academic expert.</t>
        </is>
      </c>
      <c r="K574" s="77" t="inlineStr">
        <is>
          <t>Coventry University London</t>
        </is>
      </c>
      <c r="L574" s="77" t="inlineStr">
        <is>
          <t>Not stated (a separate London page refers to MBA-level students)</t>
        </is>
      </c>
      <c r="M574" s="77" t="inlineStr">
        <is>
          <t>Business/management</t>
        </is>
      </c>
      <c r="N574" s="77" t="inlineStr">
        <is>
          <t>Postgraduate taught</t>
        </is>
      </c>
      <c r="O574" s="77" t="inlineStr"/>
      <c r="P574" s="77" t="inlineStr"/>
      <c r="Q574" s="77" t="inlineStr">
        <is>
          <t>Unclear</t>
        </is>
      </c>
      <c r="R574" s="77" t="inlineStr">
        <is>
          <t>Unclear</t>
        </is>
      </c>
      <c r="S574" s="77" t="inlineStr">
        <is>
          <t>Not stated</t>
        </is>
      </c>
      <c r="T574" s="77" t="inlineStr">
        <is>
          <t>Not stated</t>
        </is>
      </c>
      <c r="U574" s="77" t="inlineStr">
        <is>
          <t>Team project</t>
        </is>
      </c>
      <c r="V574" s="77" t="inlineStr">
        <is>
          <t>Yes</t>
        </is>
      </c>
      <c r="W574" s="77" t="inlineStr">
        <is>
          <t>Team completes the employer's business project [1].</t>
        </is>
      </c>
      <c r="X574" s="77" t="inlineStr">
        <is>
          <t>Yes</t>
        </is>
      </c>
      <c r="Y574" s="77" t="inlineStr">
        <is>
          <t>'a group of students' work 'as an external management consulting team' [1].</t>
        </is>
      </c>
      <c r="Z574" s="77" t="inlineStr">
        <is>
          <t>Yes</t>
        </is>
      </c>
      <c r="AA574" s="77" t="inlineStr">
        <is>
          <t>Employer provides the project brief and the team completes the business project [1].</t>
        </is>
      </c>
      <c r="AB574" s="77" t="inlineStr">
        <is>
          <t>Business/commercial</t>
        </is>
      </c>
      <c r="AC574" s="77" t="inlineStr">
        <is>
          <t>Supplies brief; receives project outcome</t>
        </is>
      </c>
      <c r="AD574" s="77" t="inlineStr"/>
      <c r="AE574" s="77" t="inlineStr">
        <is>
          <t>Business project outcome (search result also mentions management report and presentation, from a different London page not fetched)</t>
        </is>
      </c>
      <c r="AF574" s="77">
        <f>IF(OR(V574="No",X574="No",Z574="No"),"Outside strict definition",IF(AND(V574="Yes",X574="Yes",Z574="Yes"),"Meets all three","Potentially relevant; evidence incomplete"))</f>
        <v/>
      </c>
      <c r="AG574" s="77" t="inlineStr">
        <is>
          <t>Current status unclear</t>
        </is>
      </c>
      <c r="AH574" s="77" t="inlineStr">
        <is>
          <t>undated</t>
        </is>
      </c>
      <c r="AI574" s="77" t="inlineStr">
        <is>
          <t>Yes</t>
        </is>
      </c>
      <c r="AJ574" s="77">
        <f>IF(AND(AI574="Yes",AF574="Meets all three",AG574="Current delivery confirmed"),"Yes","No")</f>
        <v/>
      </c>
      <c r="AK574" s="77" t="inlineStr"/>
      <c r="AL574" s="77" t="inlineStr">
        <is>
          <t>UK27-S03-R1</t>
        </is>
      </c>
      <c r="AM574" s="77" t="inlineStr">
        <is>
          <t>Undated; presented as a placement/internship model for employers; no module, credit, cohort numbers or evidence it has run; partner type not explicit.</t>
        </is>
      </c>
      <c r="AN574" s="77" t="inlineStr"/>
      <c r="AO574" s="77" t="inlineStr">
        <is>
          <t>UK</t>
        </is>
      </c>
      <c r="AP574" s="77" t="inlineStr">
        <is>
          <t>UK – additional</t>
        </is>
      </c>
      <c r="AQ574" s="77" t="inlineStr">
        <is>
          <t>Unclear</t>
        </is>
      </c>
      <c r="AR574" s="77" t="inlineStr">
        <is>
          <t>Unclear</t>
        </is>
      </c>
      <c r="AS574" s="77" t="inlineStr"/>
    </row>
    <row r="575">
      <c r="A575" s="77" t="inlineStr">
        <is>
          <t>UK28</t>
        </is>
      </c>
      <c r="B575" s="77" t="inlineStr">
        <is>
          <t>Nottingham Trent</t>
        </is>
      </c>
      <c r="C575" s="77" t="inlineStr">
        <is>
          <t>University-wide</t>
        </is>
      </c>
      <c r="D575" s="77" t="inlineStr">
        <is>
          <t>UK28-S01</t>
        </is>
      </c>
      <c r="E575" s="77" t="inlineStr"/>
      <c r="F575" s="77" t="inlineStr">
        <is>
          <t>No</t>
        </is>
      </c>
      <c r="G575" s="79" t="inlineStr">
        <is>
          <t>Grads4Nottm</t>
        </is>
      </c>
      <c r="H575" s="77" t="inlineStr">
        <is>
          <t>Grads4Nottm</t>
        </is>
      </c>
      <c r="I575" s="77" t="inlineStr"/>
      <c r="J575" s="77" t="inlineStr">
        <is>
          <t>Two-week summer work-experience programme in which NTU students and graduates from a range of courses are matched to anonymised challenges submitted by local employers and work in groups (up to 5 in 2023) hosted by the employer, ending in a showcase event.</t>
        </is>
      </c>
      <c r="K575" s="77" t="inlineStr">
        <is>
          <t>NTU Employability</t>
        </is>
      </c>
      <c r="L575" s="77" t="inlineStr">
        <is>
          <t>NTU students and graduates from a range of courses</t>
        </is>
      </c>
      <c r="M575" s="77" t="inlineStr">
        <is>
          <t>Central provision</t>
        </is>
      </c>
      <c r="N575" s="77" t="inlineStr">
        <is>
          <t>Mixed</t>
        </is>
      </c>
      <c r="O575" s="77" t="inlineStr">
        <is>
          <t>Not stated</t>
        </is>
      </c>
      <c r="P575" s="77" t="inlineStr">
        <is>
          <t>NTU-exclusive (students and graduates)</t>
        </is>
      </c>
      <c r="Q575" s="77" t="inlineStr">
        <is>
          <t>Selective/competitive</t>
        </is>
      </c>
      <c r="R575" s="77" t="inlineStr">
        <is>
          <t>Extracurricular</t>
        </is>
      </c>
      <c r="S575" s="77" t="inlineStr">
        <is>
          <t>No credit evidenced</t>
        </is>
      </c>
      <c r="T575" s="77" t="inlineStr">
        <is>
          <t>Two weeks (2023: 5-15 June, showcase 16 June)</t>
        </is>
      </c>
      <c r="U575" s="77" t="inlineStr">
        <is>
          <t>Employer-hosted group challenge + launch and showcase events</t>
        </is>
      </c>
      <c r="V575" s="77" t="inlineStr">
        <is>
          <t>Yes</t>
        </is>
      </c>
      <c r="W575" s="77" t="inlineStr">
        <is>
          <t>27 local employers 'submitted projects for students to solve'; a student team interviewed over 60 people for consumer research [1][2]. Defined output format not stated beyond showcase.</t>
        </is>
      </c>
      <c r="X575" s="77" t="inlineStr">
        <is>
          <t>Yes</t>
        </is>
      </c>
      <c r="Y575" s="77" t="inlineStr">
        <is>
          <t>'work in groups (of up to 5) to solve real-life challenges' (2023 announcement) [2]; 2024 article gives no group size.</t>
        </is>
      </c>
      <c r="Z575" s="77" t="inlineStr">
        <is>
          <t>Yes</t>
        </is>
      </c>
      <c r="AA575" s="77" t="inlineStr">
        <is>
          <t>Employers set the challenge and 'host their group for the duration of the project' [2]; 27 employers in 2024 [1].</t>
        </is>
      </c>
      <c r="AB575" s="77" t="inlineStr">
        <is>
          <t>Mixed</t>
        </is>
      </c>
      <c r="AC575" s="77" t="inlineStr">
        <is>
          <t>Sets challenge, hosts group, attends showcase</t>
        </is>
      </c>
      <c r="AD575" s="77" t="inlineStr"/>
      <c r="AE575" s="77" t="inlineStr">
        <is>
          <t>Project outcome presented at showcase (format unspecified)</t>
        </is>
      </c>
      <c r="AF575" s="77">
        <f>IF(OR(V575="No",X575="No",Z575="No"),"Outside strict definition",IF(AND(V575="Yes",X575="Yes",Z575="Yes"),"Meets all three","Potentially relevant; evidence incomplete"))</f>
        <v/>
      </c>
      <c r="AG575" s="77" t="inlineStr">
        <is>
          <t>Current status unclear</t>
        </is>
      </c>
      <c r="AH575" s="77" t="inlineStr">
        <is>
          <t>2024</t>
        </is>
      </c>
      <c r="AI575" s="77" t="inlineStr">
        <is>
          <t>Yes</t>
        </is>
      </c>
      <c r="AJ575" s="77">
        <f>IF(AND(AI575="Yes",AF575="Meets all three",AG575="Current delivery confirmed"),"Yes","No")</f>
        <v/>
      </c>
      <c r="AK575" s="77" t="inlineStr"/>
      <c r="AL575" s="77" t="inlineStr">
        <is>
          <t>UK28-S01-R1; UK28-S01-R2</t>
        </is>
      </c>
      <c r="AM575" s="77" t="inlineStr">
        <is>
          <t>No 2025 or 2026 edition found; deliverable format; whether any credit; group size in 2024.</t>
        </is>
      </c>
      <c r="AN575" s="77" t="inlineStr">
        <is>
          <t>Grads4Nottm</t>
        </is>
      </c>
      <c r="AO575" s="77" t="inlineStr">
        <is>
          <t>UK</t>
        </is>
      </c>
      <c r="AP575" s="77" t="inlineStr">
        <is>
          <t>UK – additional</t>
        </is>
      </c>
      <c r="AQ575" s="77" t="inlineStr">
        <is>
          <t>1-4 weeks</t>
        </is>
      </c>
      <c r="AR575" s="77" t="inlineStr">
        <is>
          <t>All/standard</t>
        </is>
      </c>
      <c r="AS575" s="77" t="inlineStr"/>
    </row>
    <row r="576">
      <c r="A576" s="77" t="inlineStr">
        <is>
          <t>UK28</t>
        </is>
      </c>
      <c r="B576" s="77" t="inlineStr">
        <is>
          <t>Nottingham Trent</t>
        </is>
      </c>
      <c r="C576" s="77" t="inlineStr">
        <is>
          <t>Faculty/school</t>
        </is>
      </c>
      <c r="D576" s="77" t="inlineStr">
        <is>
          <t>UK28-S02</t>
        </is>
      </c>
      <c r="E576" s="77" t="inlineStr"/>
      <c r="F576" s="77" t="inlineStr">
        <is>
          <t>No</t>
        </is>
      </c>
      <c r="G576" s="79" t="inlineStr">
        <is>
          <t>#NBSBright projects module</t>
        </is>
      </c>
      <c r="H576" s="77" t="inlineStr">
        <is>
          <t>#NBSBright (Nottingham Business School final-year business challenges)</t>
        </is>
      </c>
      <c r="I576" s="77" t="inlineStr"/>
      <c r="J576" s="77" t="inlineStr">
        <is>
          <t>Final-year Nottingham Business School undergraduates act as consultants on a challenge submitted by a business over about seven weeks, ending in a final presentation (and report per older announcements).</t>
        </is>
      </c>
      <c r="K576" s="77" t="inlineStr">
        <is>
          <t>Nottingham Business School</t>
        </is>
      </c>
      <c r="L576" s="77" t="inlineStr">
        <is>
          <t>Final-year NBS undergraduates</t>
        </is>
      </c>
      <c r="M576" s="77" t="inlineStr">
        <is>
          <t>Business/management</t>
        </is>
      </c>
      <c r="N576" s="77" t="inlineStr">
        <is>
          <t>Undergraduate</t>
        </is>
      </c>
      <c r="O576" s="77" t="inlineStr">
        <is>
          <t>Final year</t>
        </is>
      </c>
      <c r="P576" s="77" t="inlineStr">
        <is>
          <t>NBS final-year courses</t>
        </is>
      </c>
      <c r="Q576" s="77" t="inlineStr">
        <is>
          <t>Unclear</t>
        </is>
      </c>
      <c r="R576" s="77" t="inlineStr">
        <is>
          <t>Curricular</t>
        </is>
      </c>
      <c r="S576" s="77" t="inlineStr">
        <is>
          <t>Described as a 'projects Module'; credit not retrieved</t>
        </is>
      </c>
      <c r="T576" s="77" t="inlineStr">
        <is>
          <t>c. 7 weeks (w/c 21 Sept - w/c 16 Nov 2026)</t>
        </is>
      </c>
      <c r="U576" s="77" t="inlineStr">
        <is>
          <t>Consultancy challenge, students work from the University</t>
        </is>
      </c>
      <c r="V576" s="77" t="inlineStr">
        <is>
          <t>Yes</t>
        </is>
      </c>
      <c r="W576" s="77" t="inlineStr">
        <is>
          <t>Businesses submit a challenge; students act as consultants, final presentation [1].</t>
        </is>
      </c>
      <c r="X576" s="77" t="inlineStr">
        <is>
          <t>Unclear</t>
        </is>
      </c>
      <c r="Y576" s="77" t="inlineStr">
        <is>
          <t>Search summary says 'student teams' and scale is 1,800 students for up to 50 businesses, but the quoted extract does not state team working; not inferred.</t>
        </is>
      </c>
      <c r="Z576" s="77" t="inlineStr">
        <is>
          <t>Yes</t>
        </is>
      </c>
      <c r="AA576" s="77" t="inlineStr">
        <is>
          <t>Businesses submit the challenge and receive the consultancy output/presentation [1].</t>
        </is>
      </c>
      <c r="AB576" s="77" t="inlineStr">
        <is>
          <t>Business/commercial</t>
        </is>
      </c>
      <c r="AC576" s="77" t="inlineStr">
        <is>
          <t>Sets challenge; receives presentation</t>
        </is>
      </c>
      <c r="AD576" s="77" t="inlineStr"/>
      <c r="AE576" s="77" t="inlineStr">
        <is>
          <t>Final presentation (older announcements also mention report)</t>
        </is>
      </c>
      <c r="AF576" s="77">
        <f>IF(OR(V576="No",X576="No",Z576="No"),"Outside strict definition",IF(AND(V576="Yes",X576="Yes",Z576="Yes"),"Meets all three","Potentially relevant; evidence incomplete"))</f>
        <v/>
      </c>
      <c r="AG576" s="77" t="inlineStr">
        <is>
          <t>Current delivery confirmed</t>
        </is>
      </c>
      <c r="AH576" s="77" t="inlineStr">
        <is>
          <t>2026/27 (starts 21 Sept 2026)</t>
        </is>
      </c>
      <c r="AI576" s="77" t="inlineStr">
        <is>
          <t>Yes</t>
        </is>
      </c>
      <c r="AJ576" s="77">
        <f>IF(AND(AI576="Yes",AF576="Meets all three",AG576="Current delivery confirmed"),"Yes","No")</f>
        <v/>
      </c>
      <c r="AK576" s="77" t="inlineStr">
        <is>
          <t>'up to 50 businesses' and 1,800 students per year (page, undated)</t>
        </is>
      </c>
      <c r="AL576" s="77" t="inlineStr">
        <is>
          <t>UK28-S02-R1</t>
        </is>
      </c>
      <c r="AM576" s="77" t="inlineStr">
        <is>
          <t>Team structure; credit; compulsory or optional.</t>
        </is>
      </c>
      <c r="AN576" s="77" t="inlineStr"/>
      <c r="AO576" s="77" t="inlineStr">
        <is>
          <t>UK</t>
        </is>
      </c>
      <c r="AP576" s="77" t="inlineStr">
        <is>
          <t>UK – additional</t>
        </is>
      </c>
      <c r="AQ576" s="77" t="inlineStr">
        <is>
          <t>~1 term/semester</t>
        </is>
      </c>
      <c r="AR576" s="77" t="inlineStr">
        <is>
          <t>All/standard</t>
        </is>
      </c>
      <c r="AS576" s="77" t="inlineStr"/>
    </row>
    <row r="577">
      <c r="A577" s="77" t="inlineStr">
        <is>
          <t>UK28</t>
        </is>
      </c>
      <c r="B577" s="77" t="inlineStr">
        <is>
          <t>Nottingham Trent</t>
        </is>
      </c>
      <c r="C577" s="77" t="inlineStr">
        <is>
          <t>Faculty/school</t>
        </is>
      </c>
      <c r="D577" s="77" t="inlineStr">
        <is>
          <t>UK28-S03</t>
        </is>
      </c>
      <c r="E577" s="77" t="inlineStr"/>
      <c r="F577" s="77" t="inlineStr">
        <is>
          <t>No</t>
        </is>
      </c>
      <c r="G577" s="79" t="inlineStr">
        <is>
          <t>Postgraduate Consultancy Projects (Consultancy Experience Project)</t>
        </is>
      </c>
      <c r="H577" s="77" t="inlineStr">
        <is>
          <t>Nottingham Business School postgraduate consultancy projects</t>
        </is>
      </c>
      <c r="I577" s="77" t="inlineStr"/>
      <c r="J577" s="77" t="inlineStr">
        <is>
          <t>MSc and MBA student teams carry out real consultancy projects for external organisations (businesses, a primary school, a charity), presenting verbally with client Q&amp;A and, for MSc, a 3,000-4,000 word client report.</t>
        </is>
      </c>
      <c r="K577" s="77" t="inlineStr">
        <is>
          <t>Nottingham Business School</t>
        </is>
      </c>
      <c r="L577" s="77" t="inlineStr">
        <is>
          <t>Several NBS MSc programmes (e.g. Project Management, Digital Marketing, Economics Banking and Finance) and MBA</t>
        </is>
      </c>
      <c r="M577" s="77" t="inlineStr">
        <is>
          <t>Business/management</t>
        </is>
      </c>
      <c r="N577" s="77" t="inlineStr">
        <is>
          <t>Postgraduate taught</t>
        </is>
      </c>
      <c r="O577" s="77" t="inlineStr"/>
      <c r="P577" s="77" t="inlineStr"/>
      <c r="Q577" s="77" t="inlineStr">
        <is>
          <t>Unclear</t>
        </is>
      </c>
      <c r="R577" s="77" t="inlineStr">
        <is>
          <t>Curricular</t>
        </is>
      </c>
      <c r="S577" s="77" t="inlineStr">
        <is>
          <t>Not retrieved</t>
        </is>
      </c>
      <c r="T577" s="77" t="inlineStr">
        <is>
          <t>Varies; MBA example 4 working days + presentation on day 5</t>
        </is>
      </c>
      <c r="U577" s="77" t="inlineStr">
        <is>
          <t>Client consultancy teams</t>
        </is>
      </c>
      <c r="V577" s="77" t="inlineStr">
        <is>
          <t>Yes</t>
        </is>
      </c>
      <c r="W577" s="77" t="inlineStr">
        <is>
          <t>Real-life consultancy projects; verbal report and Q&amp;A; MSc written report 3,000-4,000 words [1][2].</t>
        </is>
      </c>
      <c r="X577" s="77" t="inlineStr">
        <is>
          <t>Yes</t>
        </is>
      </c>
      <c r="Y577" s="77" t="inlineStr">
        <is>
          <t>'working in professional consultancy teams' (Project Management MSc page, as summarised); four MSc students formed the Welbeck Primary team [1][2].</t>
        </is>
      </c>
      <c r="Z577" s="77" t="inlineStr">
        <is>
          <t>Yes</t>
        </is>
      </c>
      <c r="AA577" s="77" t="inlineStr">
        <is>
          <t>Clients get at least two meetings with students, attend final presentation and question the team; 88% of past clients said they would take forward ideas (self-reported) [1].</t>
        </is>
      </c>
      <c r="AB577" s="77" t="inlineStr">
        <is>
          <t>Mixed</t>
        </is>
      </c>
      <c r="AC577" s="77" t="inlineStr">
        <is>
          <t>Client: brief, meetings, receives report and presentation</t>
        </is>
      </c>
      <c r="AD577" s="77" t="inlineStr">
        <is>
          <t>Travis Perkins, Emmanuel House Support Centre, Discovery Trust MAT, Hallam Agency, a local primary school (case-study pages, years not confirmed; primary school news Nov 2025)</t>
        </is>
      </c>
      <c r="AE577" s="77" t="inlineStr">
        <is>
          <t>Verbal report + 3,000-4,000 word client report (MSc)</t>
        </is>
      </c>
      <c r="AF577" s="77">
        <f>IF(OR(V577="No",X577="No",Z577="No"),"Outside strict definition",IF(AND(V577="Yes",X577="Yes",Z577="Yes"),"Meets all three","Potentially relevant; evidence incomplete"))</f>
        <v/>
      </c>
      <c r="AG577" s="77" t="inlineStr">
        <is>
          <t>Current delivery confirmed</t>
        </is>
      </c>
      <c r="AH577" s="77" t="inlineStr">
        <is>
          <t>2025/26 (news Nov 2025)</t>
        </is>
      </c>
      <c r="AI577" s="77" t="inlineStr">
        <is>
          <t>Yes</t>
        </is>
      </c>
      <c r="AJ577" s="77">
        <f>IF(AND(AI577="Yes",AF577="Meets all three",AG577="Current delivery confirmed"),"Yes","No")</f>
        <v/>
      </c>
      <c r="AK577" s="77" t="inlineStr"/>
      <c r="AL577" s="77" t="inlineStr">
        <is>
          <t>UK28-S03-R1; UK28-S03-R2</t>
        </is>
      </c>
      <c r="AM577" s="77" t="inlineStr">
        <is>
          <t>Compulsory vs optional per programme; credit; which MSc programmes embed it.</t>
        </is>
      </c>
      <c r="AN577" s="77" t="inlineStr"/>
      <c r="AO577" s="77" t="inlineStr">
        <is>
          <t>UK</t>
        </is>
      </c>
      <c r="AP577" s="77" t="inlineStr">
        <is>
          <t>UK – additional</t>
        </is>
      </c>
      <c r="AQ577" s="77" t="inlineStr">
        <is>
          <t>Unclear</t>
        </is>
      </c>
      <c r="AR577" s="77" t="inlineStr">
        <is>
          <t>All/standard</t>
        </is>
      </c>
      <c r="AS577" s="77" t="inlineStr"/>
    </row>
    <row r="578">
      <c r="A578" s="77" t="inlineStr">
        <is>
          <t>UK28</t>
        </is>
      </c>
      <c r="B578" s="77" t="inlineStr">
        <is>
          <t>Nottingham Trent</t>
        </is>
      </c>
      <c r="C578" s="77" t="inlineStr">
        <is>
          <t>Programme/course</t>
        </is>
      </c>
      <c r="D578" s="77" t="inlineStr">
        <is>
          <t>UK28-S04</t>
        </is>
      </c>
      <c r="E578" s="77" t="inlineStr"/>
      <c r="F578" s="77" t="inlineStr">
        <is>
          <t>No</t>
        </is>
      </c>
      <c r="G578" s="79" t="inlineStr">
        <is>
          <t>Developing Professional Impact (core final-year NBS module)</t>
        </is>
      </c>
      <c r="H578" s="77" t="inlineStr">
        <is>
          <t>Developing Professional Impact</t>
        </is>
      </c>
      <c r="I578" s="77" t="inlineStr"/>
      <c r="J578" s="77" t="inlineStr">
        <is>
          <t>Core undergraduate module in which students apply degree skills in a live consultancy project: a real organisation sets the brief, teams address it and present findings and recommendations to the client and tutors.</t>
        </is>
      </c>
      <c r="K578" s="77" t="inlineStr">
        <is>
          <t>Nottingham Business School</t>
        </is>
      </c>
      <c r="L578" s="77" t="inlineStr">
        <is>
          <t>Business BA, Accounting and Finance BSc and other NBS UG courses carrying the same text</t>
        </is>
      </c>
      <c r="M578" s="77" t="inlineStr">
        <is>
          <t>Business/management</t>
        </is>
      </c>
      <c r="N578" s="77" t="inlineStr">
        <is>
          <t>Undergraduate</t>
        </is>
      </c>
      <c r="O578" s="77" t="inlineStr">
        <is>
          <t>Final year (not confirmed)</t>
        </is>
      </c>
      <c r="P578" s="77" t="inlineStr"/>
      <c r="Q578" s="77" t="inlineStr">
        <is>
          <t>Compulsory within specified programmes</t>
        </is>
      </c>
      <c r="R578" s="77" t="inlineStr">
        <is>
          <t>Curricular</t>
        </is>
      </c>
      <c r="S578" s="77" t="inlineStr">
        <is>
          <t>Not retrieved; assessment types include group poster presentations, work with external companies, business reports</t>
        </is>
      </c>
      <c r="T578" s="77" t="inlineStr">
        <is>
          <t>Unclear</t>
        </is>
      </c>
      <c r="U578" s="77" t="inlineStr">
        <is>
          <t>Live consultancy project</t>
        </is>
      </c>
      <c r="V578" s="77" t="inlineStr">
        <is>
          <t>Yes</t>
        </is>
      </c>
      <c r="W578" s="77" t="inlineStr">
        <is>
          <t>Live consultancy project with brief and presentation of findings/recommendations [1].</t>
        </is>
      </c>
      <c r="X578" s="77" t="inlineStr">
        <is>
          <t>Yes</t>
        </is>
      </c>
      <c r="Y578" s="77" t="inlineStr">
        <is>
          <t>'working in a team with other students to address a brief' [1].</t>
        </is>
      </c>
      <c r="Z578" s="77" t="inlineStr">
        <is>
          <t>Yes</t>
        </is>
      </c>
      <c r="AA578" s="77" t="inlineStr">
        <is>
          <t>'A real organisation sets the project brief'; students present to the client [1].</t>
        </is>
      </c>
      <c r="AB578" s="77" t="inlineStr">
        <is>
          <t>Unclear</t>
        </is>
      </c>
      <c r="AC578" s="77" t="inlineStr">
        <is>
          <t>Sets brief; receives presentation</t>
        </is>
      </c>
      <c r="AD578" s="77" t="inlineStr"/>
      <c r="AE578" s="77" t="inlineStr">
        <is>
          <t>Findings and recommendations presented to client</t>
        </is>
      </c>
      <c r="AF578" s="77">
        <f>IF(OR(V578="No",X578="No",Z578="No"),"Outside strict definition",IF(AND(V578="Yes",X578="Yes",Z578="Yes"),"Meets all three","Potentially relevant; evidence incomplete"))</f>
        <v/>
      </c>
      <c r="AG578" s="77" t="inlineStr">
        <is>
          <t>Current status unclear</t>
        </is>
      </c>
      <c r="AH578" s="77" t="inlineStr">
        <is>
          <t>undated</t>
        </is>
      </c>
      <c r="AI578" s="77" t="inlineStr">
        <is>
          <t>Yes</t>
        </is>
      </c>
      <c r="AJ578" s="77">
        <f>IF(AND(AI578="Yes",AF578="Meets all three",AG578="Current delivery confirmed"),"Yes","No")</f>
        <v/>
      </c>
      <c r="AK578" s="77" t="inlineStr"/>
      <c r="AL578" s="77" t="inlineStr">
        <is>
          <t>UK28-S04-R1</t>
        </is>
      </c>
      <c r="AM578" s="77" t="inlineStr">
        <is>
          <t>Undated course pages; module code, credits, whether the course pages are current-year; partner sector; relationship to #NBSBright (possible overlap).</t>
        </is>
      </c>
      <c r="AN578" s="77" t="inlineStr"/>
      <c r="AO578" s="77" t="inlineStr">
        <is>
          <t>UK</t>
        </is>
      </c>
      <c r="AP578" s="77" t="inlineStr">
        <is>
          <t>UK – additional</t>
        </is>
      </c>
      <c r="AQ578" s="77" t="inlineStr">
        <is>
          <t>Unclear</t>
        </is>
      </c>
      <c r="AR578" s="77" t="inlineStr">
        <is>
          <t>All/standard</t>
        </is>
      </c>
      <c r="AS578" s="77" t="inlineStr"/>
    </row>
    <row r="579">
      <c r="A579" s="77" t="inlineStr">
        <is>
          <t>UK28</t>
        </is>
      </c>
      <c r="B579" s="77" t="inlineStr">
        <is>
          <t>Nottingham Trent</t>
        </is>
      </c>
      <c r="C579" s="77" t="inlineStr">
        <is>
          <t>Cross-faculty</t>
        </is>
      </c>
      <c r="D579" s="77" t="inlineStr">
        <is>
          <t>UK28-S05</t>
        </is>
      </c>
      <c r="E579" s="77" t="inlineStr"/>
      <c r="F579" s="77" t="inlineStr">
        <is>
          <t>No</t>
        </is>
      </c>
      <c r="G579" s="79" t="inlineStr">
        <is>
          <t>Community Engaged Learning (CEL)</t>
        </is>
      </c>
      <c r="H579" s="77" t="inlineStr">
        <is>
          <t>Community Engaged Learning</t>
        </is>
      </c>
      <c r="I579" s="77" t="inlineStr"/>
      <c r="J579" s="77" t="inlineStr">
        <is>
          <t>Course-linked projects run by the Centre for Student and Community Engagement: groups (a team of five in the Sociology example) are assigned to a community partner and respond to an identified need through research, consultation, data analysis or campaigns, then present findings and a written report.</t>
        </is>
      </c>
      <c r="K579" s="77" t="inlineStr">
        <is>
          <t>Centre for Student and Community Engagement (CenSCE)</t>
        </is>
      </c>
      <c r="L579" s="77" t="inlineStr">
        <is>
          <t>Named courses incl. BA Sociology Y2, MA TESOL, Education Studies, Animation, Communications</t>
        </is>
      </c>
      <c r="M579" s="77" t="inlineStr">
        <is>
          <t>Central provision; Arts/humanities/social sciences</t>
        </is>
      </c>
      <c r="N579" s="77" t="inlineStr">
        <is>
          <t>Mixed</t>
        </is>
      </c>
      <c r="O579" s="77" t="inlineStr">
        <is>
          <t>Varies by course</t>
        </is>
      </c>
      <c r="P579" s="77" t="inlineStr">
        <is>
          <t>Students on participating modules</t>
        </is>
      </c>
      <c r="Q579" s="77" t="inlineStr">
        <is>
          <t>Compulsory within specified programmes</t>
        </is>
      </c>
      <c r="R579" s="77" t="inlineStr">
        <is>
          <t>Curricular</t>
        </is>
      </c>
      <c r="S579" s="77" t="inlineStr">
        <is>
          <t>Not retrieved; course-based</t>
        </is>
      </c>
      <c r="T579" s="77" t="inlineStr">
        <is>
          <t>Sociology example: activity January 2027, feedback April-May 2027</t>
        </is>
      </c>
      <c r="U579" s="77" t="inlineStr">
        <is>
          <t>Group projects with community organisations</t>
        </is>
      </c>
      <c r="V579" s="77" t="inlineStr">
        <is>
          <t>Yes</t>
        </is>
      </c>
      <c r="W579" s="77" t="inlineStr">
        <is>
          <t>Focused research, community profiles, data analysis, campaigns; present findings and written report [1][2].</t>
        </is>
      </c>
      <c r="X579" s="77" t="inlineStr">
        <is>
          <t>Yes</t>
        </is>
      </c>
      <c r="Y579" s="77" t="inlineStr">
        <is>
          <t>'Groups of students will be assigned to partner organisations'; partner works with a team of five (Sociology) [1][2].</t>
        </is>
      </c>
      <c r="Z579" s="77" t="inlineStr">
        <is>
          <t>Yes</t>
        </is>
      </c>
      <c r="AA579" s="77" t="inlineStr">
        <is>
          <t>Partner identifies the need, signs a partner agreement, attends touchpoint meetings and a final feedback event; not expected to assess [1][2].</t>
        </is>
      </c>
      <c r="AB579" s="77" t="inlineStr">
        <is>
          <t>Charity/community</t>
        </is>
      </c>
      <c r="AC579" s="77" t="inlineStr">
        <is>
          <t>Identifies need, touchpoint meetings, receives findings</t>
        </is>
      </c>
      <c r="AD579" s="77" t="inlineStr"/>
      <c r="AE579" s="77" t="inlineStr">
        <is>
          <t>Findings presentation + written report</t>
        </is>
      </c>
      <c r="AF579" s="77">
        <f>IF(OR(V579="No",X579="No",Z579="No"),"Outside strict definition",IF(AND(V579="Yes",X579="Yes",Z579="Yes"),"Meets all three","Potentially relevant; evidence incomplete"))</f>
        <v/>
      </c>
      <c r="AG579" s="77" t="inlineStr">
        <is>
          <t>Current delivery confirmed</t>
        </is>
      </c>
      <c r="AH579" s="77" t="inlineStr">
        <is>
          <t>2026/27</t>
        </is>
      </c>
      <c r="AI579" s="77" t="inlineStr">
        <is>
          <t>Yes</t>
        </is>
      </c>
      <c r="AJ579" s="77">
        <f>IF(AND(AI579="Yes",AF579="Meets all three",AG579="Current delivery confirmed"),"Yes","No")</f>
        <v/>
      </c>
      <c r="AK579" s="77" t="inlineStr"/>
      <c r="AL579" s="77" t="inlineStr">
        <is>
          <t>UK28-S05-R1; UK28-S05-R2</t>
        </is>
      </c>
      <c r="AM579" s="77" t="inlineStr">
        <is>
          <t>Compulsory status per module; module codes; whether all listed courses run annually; service-learning boundary (project output is defined so recorded).</t>
        </is>
      </c>
      <c r="AN579" s="77" t="inlineStr"/>
      <c r="AO579" s="77" t="inlineStr">
        <is>
          <t>UK</t>
        </is>
      </c>
      <c r="AP579" s="77" t="inlineStr">
        <is>
          <t>UK – additional</t>
        </is>
      </c>
      <c r="AQ579" s="77" t="inlineStr">
        <is>
          <t>~1 term/semester</t>
        </is>
      </c>
      <c r="AR579" s="77" t="inlineStr">
        <is>
          <t>All/standard</t>
        </is>
      </c>
      <c r="AS579" s="77" t="inlineStr"/>
    </row>
    <row r="580">
      <c r="A580" s="77" t="inlineStr">
        <is>
          <t>UK28</t>
        </is>
      </c>
      <c r="B580" s="77" t="inlineStr">
        <is>
          <t>Nottingham Trent</t>
        </is>
      </c>
      <c r="C580" s="77" t="inlineStr">
        <is>
          <t>Programme/course</t>
        </is>
      </c>
      <c r="D580" s="77" t="inlineStr">
        <is>
          <t>UK28-S06</t>
        </is>
      </c>
      <c r="E580" s="77" t="inlineStr"/>
      <c r="F580" s="77" t="inlineStr">
        <is>
          <t>No</t>
        </is>
      </c>
      <c r="G580" s="79" t="inlineStr">
        <is>
          <t>Product Design BA live industry briefs</t>
        </is>
      </c>
      <c r="H580" s="77" t="inlineStr">
        <is>
          <t>Product Design BA (Hons) live industry group projects</t>
        </is>
      </c>
      <c r="I580" s="77" t="inlineStr"/>
      <c r="J580" s="77" t="inlineStr">
        <is>
          <t>Product Design students work in groups on live briefs from industry; a recent project was set by design consultancy Matter (design three smart devices for 2025).</t>
        </is>
      </c>
      <c r="K580" s="77" t="inlineStr">
        <is>
          <t>School of Architecture, Design and the Built Environment</t>
        </is>
      </c>
      <c r="L580" s="77" t="inlineStr">
        <is>
          <t>Product Design BA (Hons)</t>
        </is>
      </c>
      <c r="M580" s="77" t="inlineStr">
        <is>
          <t>Other (law, health, design, architecture…); Engineering/computing</t>
        </is>
      </c>
      <c r="N580" s="77" t="inlineStr">
        <is>
          <t>Undergraduate</t>
        </is>
      </c>
      <c r="O580" s="77" t="inlineStr">
        <is>
          <t>Unclear</t>
        </is>
      </c>
      <c r="P580" s="77" t="inlineStr"/>
      <c r="Q580" s="77" t="inlineStr">
        <is>
          <t>Compulsory within specified programmes</t>
        </is>
      </c>
      <c r="R580" s="77" t="inlineStr">
        <is>
          <t>Curricular</t>
        </is>
      </c>
      <c r="S580" s="77" t="inlineStr">
        <is>
          <t>Not retrieved</t>
        </is>
      </c>
      <c r="T580" s="77" t="inlineStr">
        <is>
          <t>Unclear</t>
        </is>
      </c>
      <c r="U580" s="77" t="inlineStr">
        <is>
          <t>Live briefs</t>
        </is>
      </c>
      <c r="V580" s="77" t="inlineStr">
        <is>
          <t>Yes</t>
        </is>
      </c>
      <c r="W580" s="77" t="inlineStr">
        <is>
          <t>Design briefs with design outputs [1].</t>
        </is>
      </c>
      <c r="X580" s="77" t="inlineStr">
        <is>
          <t>Yes</t>
        </is>
      </c>
      <c r="Y580" s="77" t="inlineStr">
        <is>
          <t>'In groups, we were challenged with designing three separate smart devices' (course page student account) [1].</t>
        </is>
      </c>
      <c r="Z580" s="77" t="inlineStr">
        <is>
          <t>Yes</t>
        </is>
      </c>
      <c r="AA580" s="77" t="inlineStr">
        <is>
          <t>Live project briefs with real industry clients (Nestle, PepsiCo, Herman Miller, Speedo named); Matter set one brief [1].</t>
        </is>
      </c>
      <c r="AB580" s="77" t="inlineStr">
        <is>
          <t>Business/commercial</t>
        </is>
      </c>
      <c r="AC580" s="77" t="inlineStr">
        <is>
          <t>Sets brief</t>
        </is>
      </c>
      <c r="AD580" s="77" t="inlineStr">
        <is>
          <t>Matter, Nestle, PepsiCo, W'innovate, Herman Miller, Speedo (course page, undated)</t>
        </is>
      </c>
      <c r="AE580" s="77" t="inlineStr">
        <is>
          <t>Product concepts/design proposals</t>
        </is>
      </c>
      <c r="AF580" s="77">
        <f>IF(OR(V580="No",X580="No",Z580="No"),"Outside strict definition",IF(AND(V580="Yes",X580="Yes",Z580="Yes"),"Meets all three","Potentially relevant; evidence incomplete"))</f>
        <v/>
      </c>
      <c r="AG580" s="77" t="inlineStr">
        <is>
          <t>Current status unclear</t>
        </is>
      </c>
      <c r="AH580" s="77" t="inlineStr">
        <is>
          <t>c.2025 (undated page)</t>
        </is>
      </c>
      <c r="AI580" s="77" t="inlineStr">
        <is>
          <t>Yes</t>
        </is>
      </c>
      <c r="AJ580" s="77">
        <f>IF(AND(AI580="Yes",AF580="Meets all three",AG580="Current delivery confirmed"),"Yes","No")</f>
        <v/>
      </c>
      <c r="AK580" s="77" t="inlineStr"/>
      <c r="AL580" s="77" t="inlineStr">
        <is>
          <t>UK28-S06-R1</t>
        </is>
      </c>
      <c r="AM580" s="77" t="inlineStr">
        <is>
          <t>Whether group live briefs are compulsory modules; dates; partner role beyond brief; the BSc Product Design Commercial Project (live partners) not tested for group working.</t>
        </is>
      </c>
      <c r="AN580" s="77" t="inlineStr"/>
      <c r="AO580" s="77" t="inlineStr">
        <is>
          <t>UK</t>
        </is>
      </c>
      <c r="AP580" s="77" t="inlineStr">
        <is>
          <t>UK – additional</t>
        </is>
      </c>
      <c r="AQ580" s="77" t="inlineStr">
        <is>
          <t>Unclear</t>
        </is>
      </c>
      <c r="AR580" s="77" t="inlineStr">
        <is>
          <t>Some projects</t>
        </is>
      </c>
      <c r="AS580" s="77" t="inlineStr"/>
    </row>
    <row r="581">
      <c r="A581" s="77" t="inlineStr">
        <is>
          <t>UK28</t>
        </is>
      </c>
      <c r="B581" s="77" t="inlineStr">
        <is>
          <t>Nottingham Trent</t>
        </is>
      </c>
      <c r="C581" s="77" t="inlineStr">
        <is>
          <t>Faculty/school</t>
        </is>
      </c>
      <c r="D581" s="77" t="inlineStr">
        <is>
          <t>UK28-S07</t>
        </is>
      </c>
      <c r="E581" s="77" t="inlineStr"/>
      <c r="F581" s="77" t="inlineStr">
        <is>
          <t>No</t>
        </is>
      </c>
      <c r="G581" s="79" t="inlineStr">
        <is>
          <t>Co Lab (Nottingham School of Art &amp; Design)</t>
        </is>
      </c>
      <c r="H581" s="77" t="inlineStr">
        <is>
          <t>Co Lab</t>
        </is>
      </c>
      <c r="I581" s="77" t="inlineStr"/>
      <c r="J581" s="77" t="inlineStr">
        <is>
          <t>Collaboration model in which students from different specialisms (or other universities) work together on projects set by charities or industry partners; in Year 2 an assessed 20-credit module across four themes.</t>
        </is>
      </c>
      <c r="K581" s="77" t="inlineStr">
        <is>
          <t>Nottingham School of Art &amp; Design</t>
        </is>
      </c>
      <c r="L581" s="77" t="inlineStr">
        <is>
          <t>Art &amp; Design courses incl. Textile Design, Fashion Marketing and Branding</t>
        </is>
      </c>
      <c r="M581" s="77" t="inlineStr">
        <is>
          <t>Other (law, health, design, architecture…)</t>
        </is>
      </c>
      <c r="N581" s="77" t="inlineStr">
        <is>
          <t>Undergraduate</t>
        </is>
      </c>
      <c r="O581" s="77" t="inlineStr">
        <is>
          <t>Year 2</t>
        </is>
      </c>
      <c r="P581" s="77" t="inlineStr"/>
      <c r="Q581" s="77" t="inlineStr">
        <is>
          <t>Compulsory within specified programmes</t>
        </is>
      </c>
      <c r="R581" s="77" t="inlineStr">
        <is>
          <t>Curricular</t>
        </is>
      </c>
      <c r="S581" s="77" t="inlineStr">
        <is>
          <t>20 credits (Year 2)</t>
        </is>
      </c>
      <c r="T581" s="77" t="inlineStr">
        <is>
          <t>Unclear</t>
        </is>
      </c>
      <c r="U581" s="77" t="inlineStr">
        <is>
          <t>Cross-disciplinary projects</t>
        </is>
      </c>
      <c r="V581" s="77" t="inlineStr">
        <is>
          <t>Yes</t>
        </is>
      </c>
      <c r="W581" s="77" t="inlineStr">
        <is>
          <t>Projects set by charities or industry partners [1].</t>
        </is>
      </c>
      <c r="X581" s="77" t="inlineStr">
        <is>
          <t>Yes</t>
        </is>
      </c>
      <c r="Y581" s="77" t="inlineStr">
        <is>
          <t>'come together and collaborate with other students from different subject specialisms' [1].</t>
        </is>
      </c>
      <c r="Z581" s="77" t="inlineStr">
        <is>
          <t>Yes</t>
        </is>
      </c>
      <c r="AA581" s="77" t="inlineStr">
        <is>
          <t>'projects set by charities or industry partners' [1]; per-project involvement not detailed.</t>
        </is>
      </c>
      <c r="AB581" s="77" t="inlineStr">
        <is>
          <t>Mixed</t>
        </is>
      </c>
      <c r="AC581" s="77" t="inlineStr">
        <is>
          <t>Sets project</t>
        </is>
      </c>
      <c r="AD581" s="77" t="inlineStr"/>
      <c r="AE581" s="77" t="inlineStr">
        <is>
          <t>Not specified</t>
        </is>
      </c>
      <c r="AF581" s="77">
        <f>IF(OR(V581="No",X581="No",Z581="No"),"Outside strict definition",IF(AND(V581="Yes",X581="Yes",Z581="Yes"),"Meets all three","Potentially relevant; evidence incomplete"))</f>
        <v/>
      </c>
      <c r="AG581" s="77" t="inlineStr">
        <is>
          <t>Current status unclear</t>
        </is>
      </c>
      <c r="AH581" s="77" t="inlineStr">
        <is>
          <t>undated</t>
        </is>
      </c>
      <c r="AI581" s="77" t="inlineStr">
        <is>
          <t>Yes</t>
        </is>
      </c>
      <c r="AJ581" s="77">
        <f>IF(AND(AI581="Yes",AF581="Meets all three",AG581="Current delivery confirmed"),"Yes","No")</f>
        <v/>
      </c>
      <c r="AK581" s="77" t="inlineStr"/>
      <c r="AL581" s="77" t="inlineStr">
        <is>
          <t>UK28-S07-R1</t>
        </is>
      </c>
      <c r="AM581" s="77" t="inlineStr">
        <is>
          <t>Deliverables, partner involvement, whether every project has an external partner ('or with students from other universities'), dates.</t>
        </is>
      </c>
      <c r="AN581" s="77" t="inlineStr"/>
      <c r="AO581" s="77" t="inlineStr">
        <is>
          <t>UK</t>
        </is>
      </c>
      <c r="AP581" s="77" t="inlineStr">
        <is>
          <t>UK – additional</t>
        </is>
      </c>
      <c r="AQ581" s="77" t="inlineStr">
        <is>
          <t>Unclear</t>
        </is>
      </c>
      <c r="AR581" s="77" t="inlineStr">
        <is>
          <t>Unclear</t>
        </is>
      </c>
      <c r="AS581" s="77" t="inlineStr"/>
    </row>
    <row r="582">
      <c r="A582" s="77" t="inlineStr">
        <is>
          <t>UK28</t>
        </is>
      </c>
      <c r="B582" s="77" t="inlineStr">
        <is>
          <t>Nottingham Trent</t>
        </is>
      </c>
      <c r="C582" s="77" t="inlineStr">
        <is>
          <t>Programme/course</t>
        </is>
      </c>
      <c r="D582" s="77" t="inlineStr">
        <is>
          <t>UK28-S08</t>
        </is>
      </c>
      <c r="E582" s="77" t="inlineStr"/>
      <c r="F582" s="77" t="inlineStr">
        <is>
          <t>No</t>
        </is>
      </c>
      <c r="G582" s="79" t="inlineStr">
        <is>
          <t>Mechanical Engineering Year 1 industry Design Challenge / Grand Challenge</t>
        </is>
      </c>
      <c r="H582" s="77" t="inlineStr">
        <is>
          <t>Mechanical Engineering group design challenges</t>
        </is>
      </c>
      <c r="I582" s="77" t="inlineStr"/>
      <c r="J582" s="77" t="inlineStr">
        <is>
          <t>BEng Mechanical Engineering: after CAD training, groups tackle a Design Challenge 'set by industry'; MEng has a three-week Grand Challenge group project.</t>
        </is>
      </c>
      <c r="K582" s="77" t="inlineStr">
        <is>
          <t>School of Science and Technology</t>
        </is>
      </c>
      <c r="L582" s="77" t="inlineStr">
        <is>
          <t>Mechanical Engineering BEng/MEng (similar text for Aerospace)</t>
        </is>
      </c>
      <c r="M582" s="77" t="inlineStr">
        <is>
          <t>Engineering/computing</t>
        </is>
      </c>
      <c r="N582" s="77" t="inlineStr">
        <is>
          <t>Undergraduate</t>
        </is>
      </c>
      <c r="O582" s="77" t="inlineStr">
        <is>
          <t>Year 1 (design challenge)</t>
        </is>
      </c>
      <c r="P582" s="77" t="inlineStr"/>
      <c r="Q582" s="77" t="inlineStr">
        <is>
          <t>Compulsory within specified programmes</t>
        </is>
      </c>
      <c r="R582" s="77" t="inlineStr">
        <is>
          <t>Curricular</t>
        </is>
      </c>
      <c r="S582" s="77" t="inlineStr">
        <is>
          <t>Not retrieved</t>
        </is>
      </c>
      <c r="T582" s="77" t="inlineStr">
        <is>
          <t>Design Challenge after 3-day CAD course; Grand Challenge 3 weeks</t>
        </is>
      </c>
      <c r="U582" s="77" t="inlineStr">
        <is>
          <t>Group design challenge</t>
        </is>
      </c>
      <c r="V582" s="77" t="inlineStr">
        <is>
          <t>Yes</t>
        </is>
      </c>
      <c r="W582" s="77" t="inlineStr">
        <is>
          <t>Design challenge to a brief [1].</t>
        </is>
      </c>
      <c r="X582" s="77" t="inlineStr">
        <is>
          <t>Yes</t>
        </is>
      </c>
      <c r="Y582" s="77" t="inlineStr">
        <is>
          <t>'You will work in groups ... to meet the brief set by industry' [1].</t>
        </is>
      </c>
      <c r="Z582" s="77" t="inlineStr">
        <is>
          <t>Unclear</t>
        </is>
      </c>
      <c r="AA582" s="77" t="inlineStr">
        <is>
          <t>Brief described as 'set by industry' but no named company or evidence of participation in supervision/feedback/receiving outputs [1].</t>
        </is>
      </c>
      <c r="AB582" s="77" t="inlineStr">
        <is>
          <t>Unclear</t>
        </is>
      </c>
      <c r="AC582" s="77" t="inlineStr">
        <is>
          <t>Unclear</t>
        </is>
      </c>
      <c r="AD582" s="77" t="inlineStr"/>
      <c r="AE582" s="77" t="inlineStr">
        <is>
          <t>Design concept</t>
        </is>
      </c>
      <c r="AF582" s="77">
        <f>IF(OR(V582="No",X582="No",Z582="No"),"Outside strict definition",IF(AND(V582="Yes",X582="Yes",Z582="Yes"),"Meets all three","Potentially relevant; evidence incomplete"))</f>
        <v/>
      </c>
      <c r="AG582" s="77" t="inlineStr">
        <is>
          <t>Current status unclear</t>
        </is>
      </c>
      <c r="AH582" s="77" t="inlineStr">
        <is>
          <t>undated</t>
        </is>
      </c>
      <c r="AI582" s="77" t="inlineStr">
        <is>
          <t>Yes</t>
        </is>
      </c>
      <c r="AJ582" s="77">
        <f>IF(AND(AI582="Yes",AF582="Meets all three",AG582="Current delivery confirmed"),"Yes","No")</f>
        <v/>
      </c>
      <c r="AK582" s="77" t="inlineStr"/>
      <c r="AL582" s="77" t="inlineStr">
        <is>
          <t>UK28-S08-R1</t>
        </is>
      </c>
      <c r="AM582" s="77" t="inlineStr">
        <is>
          <t>Who sets the brief; external organisation involvement; dates.</t>
        </is>
      </c>
      <c r="AN582" s="77" t="inlineStr"/>
      <c r="AO582" s="77" t="inlineStr">
        <is>
          <t>UK</t>
        </is>
      </c>
      <c r="AP582" s="77" t="inlineStr">
        <is>
          <t>UK – additional</t>
        </is>
      </c>
      <c r="AQ582" s="77" t="inlineStr">
        <is>
          <t>1-4 weeks</t>
        </is>
      </c>
      <c r="AR582" s="77" t="inlineStr">
        <is>
          <t>Unclear</t>
        </is>
      </c>
      <c r="AS582" s="77" t="inlineStr"/>
    </row>
    <row r="583">
      <c r="A583" s="77" t="inlineStr">
        <is>
          <t>UK29</t>
        </is>
      </c>
      <c r="B583" s="77" t="inlineStr">
        <is>
          <t>Manchester Metropolitan</t>
        </is>
      </c>
      <c r="C583" s="77" t="inlineStr">
        <is>
          <t>Programme/course</t>
        </is>
      </c>
      <c r="D583" s="77" t="inlineStr">
        <is>
          <t>UK29-S01</t>
        </is>
      </c>
      <c r="E583" s="77" t="inlineStr"/>
      <c r="F583" s="77" t="inlineStr">
        <is>
          <t>No</t>
        </is>
      </c>
      <c r="G583" s="79" t="inlineStr">
        <is>
          <t>Engaging the Humanities</t>
        </is>
      </c>
      <c r="H583" s="77" t="inlineStr">
        <is>
          <t>Engaging the Humanities</t>
        </is>
      </c>
      <c r="I583" s="77" t="inlineStr"/>
      <c r="J583" s="77" t="inlineStr">
        <is>
          <t>15-credit Level 5 unit, compulsory since 2023/24 for History, Politics, International Relations and Philosophy students (optional for English). Over 11 weeks in Spring Semester students work in interdisciplinary groups on live project briefs co-developed with outside organisations; representatives attend to pitch projects and give formative feedback; students create a digital-media asset (e.g. podcast, short film).</t>
        </is>
      </c>
      <c r="K583" s="77" t="inlineStr">
        <is>
          <t>Faculty of Arts and Humanities (History, Politics, IR, Philosophy)</t>
        </is>
      </c>
      <c r="L583" s="77" t="inlineStr">
        <is>
          <t>BA History, Politics, International Relations, Philosophy (compulsory); English (optional)</t>
        </is>
      </c>
      <c r="M583" s="77" t="inlineStr">
        <is>
          <t>Arts/humanities/social sciences</t>
        </is>
      </c>
      <c r="N583" s="77" t="inlineStr">
        <is>
          <t>Undergraduate</t>
        </is>
      </c>
      <c r="O583" s="77" t="inlineStr">
        <is>
          <t>Year 2 (Level 5)</t>
        </is>
      </c>
      <c r="P583" s="77" t="inlineStr">
        <is>
          <t>Programme-specific</t>
        </is>
      </c>
      <c r="Q583" s="77" t="inlineStr">
        <is>
          <t>Compulsory within specified programmes</t>
        </is>
      </c>
      <c r="R583" s="77" t="inlineStr">
        <is>
          <t>Curricular</t>
        </is>
      </c>
      <c r="S583" s="77" t="inlineStr">
        <is>
          <t>15 credits, Level 5</t>
        </is>
      </c>
      <c r="T583" s="77" t="inlineStr">
        <is>
          <t>11 weeks (Spring Semester)</t>
        </is>
      </c>
      <c r="U583" s="77" t="inlineStr">
        <is>
          <t>In-class interdisciplinary group projects with partner pitches and feedback</t>
        </is>
      </c>
      <c r="V583" s="77" t="inlineStr">
        <is>
          <t>Yes</t>
        </is>
      </c>
      <c r="W583" s="77" t="inlineStr">
        <is>
          <t>Live project briefs with digital-media output (podcast/short film) [1].</t>
        </is>
      </c>
      <c r="X583" s="77" t="inlineStr">
        <is>
          <t>Yes</t>
        </is>
      </c>
      <c r="Y583" s="77" t="inlineStr">
        <is>
          <t>Students work in interdisciplinary groups; group sizes pairs/threes up to five or six [1].</t>
        </is>
      </c>
      <c r="Z583" s="77" t="inlineStr">
        <is>
          <t>Unclear</t>
        </is>
      </c>
      <c r="AA583" s="77" t="inlineStr">
        <is>
          <t>Briefs co-developed with outside organisations (DEFRA, National Archives, Manchester Histories); representatives pitch and give formative feedback; DEFRA projects on River Medlock in 2023 and 2024 [1]. But collaborators also include internal Careers, Library and Technical Services, and the proportion of briefs set by external bodies per cohort is not stated, so standard external coverage is not established.</t>
        </is>
      </c>
      <c r="AB583" s="77" t="inlineStr">
        <is>
          <t>Mixed</t>
        </is>
      </c>
      <c r="AC583" s="77" t="inlineStr">
        <is>
          <t>Co-develop briefs, pitch projects, give formative feedback</t>
        </is>
      </c>
      <c r="AD583" s="77" t="inlineStr">
        <is>
          <t>DEFRA, National Archives, Manchester Histories (per Oct 2025 write-up; years 2022-2024)</t>
        </is>
      </c>
      <c r="AE583" s="77" t="inlineStr">
        <is>
          <t>Group digital-media asset / project output for partner brief</t>
        </is>
      </c>
      <c r="AF583" s="77">
        <f>IF(OR(V583="No",X583="No",Z583="No"),"Outside strict definition",IF(AND(V583="Yes",X583="Yes",Z583="Yes"),"Meets all three","Potentially relevant; evidence incomplete"))</f>
        <v/>
      </c>
      <c r="AG583" s="77" t="inlineStr">
        <is>
          <t>Current status unclear</t>
        </is>
      </c>
      <c r="AH583" s="77" t="inlineStr">
        <is>
          <t>2024 (164 students)</t>
        </is>
      </c>
      <c r="AI583" s="77" t="inlineStr">
        <is>
          <t>Yes</t>
        </is>
      </c>
      <c r="AJ583" s="77">
        <f>IF(AND(AI583="Yes",AF583="Meets all three",AG583="Current delivery confirmed"),"Yes","No")</f>
        <v/>
      </c>
      <c r="AK583" s="77" t="inlineStr">
        <is>
          <t>164 students enrolled, 2024 [1]</t>
        </is>
      </c>
      <c r="AL583" s="77" t="inlineStr">
        <is>
          <t>UK29-S01-R1</t>
        </is>
      </c>
      <c r="AM583" s="77" t="inlineStr">
        <is>
          <t>2025/26 delivery and partner list not evidenced; page could not be opened (WebFetch 403; curl 403, not bypassed), so evidence is search-index extract. Summary refers to the output as digital-media asset; assessment detail not seen.</t>
        </is>
      </c>
      <c r="AN583" s="77" t="inlineStr"/>
      <c r="AO583" s="77" t="inlineStr">
        <is>
          <t>UK</t>
        </is>
      </c>
      <c r="AP583" s="77" t="inlineStr">
        <is>
          <t>UK – additional</t>
        </is>
      </c>
      <c r="AQ583" s="77" t="inlineStr">
        <is>
          <t>~1 term/semester</t>
        </is>
      </c>
      <c r="AR583" s="77" t="inlineStr">
        <is>
          <t>Unclear</t>
        </is>
      </c>
      <c r="AS583" s="77" t="inlineStr"/>
    </row>
    <row r="584">
      <c r="A584" s="77" t="inlineStr">
        <is>
          <t>UK29</t>
        </is>
      </c>
      <c r="B584" s="77" t="inlineStr">
        <is>
          <t>Manchester Metropolitan</t>
        </is>
      </c>
      <c r="C584" s="77" t="inlineStr">
        <is>
          <t>University-wide</t>
        </is>
      </c>
      <c r="D584" s="77" t="inlineStr">
        <is>
          <t>UK29-S02</t>
        </is>
      </c>
      <c r="E584" s="77" t="inlineStr"/>
      <c r="F584" s="77" t="inlineStr">
        <is>
          <t>No</t>
        </is>
      </c>
      <c r="G584" s="79" t="inlineStr">
        <is>
          <t>Rise project challenges</t>
        </is>
      </c>
      <c r="H584" s="77" t="inlineStr">
        <is>
          <t>Rise (co-curricular programme) - project challenges</t>
        </is>
      </c>
      <c r="I584" s="77" t="inlineStr"/>
      <c r="J584" s="77" t="inlineStr">
        <is>
          <t>Rise is the university-wide co-curricular programme; one of its opportunity types is 'project challenges' in which students respond to problems posed by advocates from the city. Group size, outputs, assessment and the organisations involved are not documented in sources found.</t>
        </is>
      </c>
      <c r="K584" s="77" t="inlineStr">
        <is>
          <t>Central Rise team</t>
        </is>
      </c>
      <c r="L584" s="77" t="inlineStr">
        <is>
          <t>Every Manchester Met student</t>
        </is>
      </c>
      <c r="M584" s="77" t="inlineStr">
        <is>
          <t>Central provision</t>
        </is>
      </c>
      <c r="N584" s="77" t="inlineStr">
        <is>
          <t>Mixed</t>
        </is>
      </c>
      <c r="O584" s="77" t="inlineStr">
        <is>
          <t>Any</t>
        </is>
      </c>
      <c r="P584" s="77" t="inlineStr">
        <is>
          <t>None stated</t>
        </is>
      </c>
      <c r="Q584" s="77" t="inlineStr">
        <is>
          <t>Optional/elective</t>
        </is>
      </c>
      <c r="R584" s="77" t="inlineStr">
        <is>
          <t>Extracurricular</t>
        </is>
      </c>
      <c r="S584" s="77" t="inlineStr">
        <is>
          <t>Rise points; page says students 'could even gain extra credits that improve your degree classification'</t>
        </is>
      </c>
      <c r="T584" s="77" t="inlineStr">
        <is>
          <t>Unclear</t>
        </is>
      </c>
      <c r="U584" s="77" t="inlineStr">
        <is>
          <t>Co-curricular challenges</t>
        </is>
      </c>
      <c r="V584" s="77" t="inlineStr">
        <is>
          <t>Unclear</t>
        </is>
      </c>
      <c r="W584" s="77" t="inlineStr">
        <is>
          <t>Described only as responding to problems posed by city advocates [1]; no brief or output detail.</t>
        </is>
      </c>
      <c r="X584" s="77" t="inlineStr">
        <is>
          <t>Unclear</t>
        </is>
      </c>
      <c r="Y584" s="77" t="inlineStr">
        <is>
          <t>Not stated.</t>
        </is>
      </c>
      <c r="Z584" s="77" t="inlineStr">
        <is>
          <t>Unclear</t>
        </is>
      </c>
      <c r="AA584" s="77" t="inlineStr">
        <is>
          <t>'Advocates from the city' pose the problems [1]; organisation type and role in receiving outputs not stated.</t>
        </is>
      </c>
      <c r="AB584" s="77" t="inlineStr">
        <is>
          <t>Unclear</t>
        </is>
      </c>
      <c r="AC584" s="77" t="inlineStr">
        <is>
          <t>Pose problems (unspecified further)</t>
        </is>
      </c>
      <c r="AD584" s="77" t="inlineStr"/>
      <c r="AE584" s="77" t="inlineStr"/>
      <c r="AF584" s="77">
        <f>IF(OR(V584="No",X584="No",Z584="No"),"Outside strict definition",IF(AND(V584="Yes",X584="Yes",Z584="Yes"),"Meets all three","Potentially relevant; evidence incomplete"))</f>
        <v/>
      </c>
      <c r="AG584" s="77" t="inlineStr">
        <is>
          <t>Current status unclear</t>
        </is>
      </c>
      <c r="AH584" s="77" t="inlineStr">
        <is>
          <t>undated</t>
        </is>
      </c>
      <c r="AI584" s="77" t="inlineStr">
        <is>
          <t>Yes</t>
        </is>
      </c>
      <c r="AJ584" s="77">
        <f>IF(AND(AI584="Yes",AF584="Meets all three",AG584="Current delivery confirmed"),"Yes","No")</f>
        <v/>
      </c>
      <c r="AK584" s="77" t="inlineStr"/>
      <c r="AL584" s="77" t="inlineStr">
        <is>
          <t>UK29-S02-R1; UK29-S02-R2</t>
        </is>
      </c>
      <c r="AM584" s="77" t="inlineStr">
        <is>
          <t>Need specific project-challenge listings on rise.mmu.ac.uk with dates, team structure and partners. Umbrella framework itself is excluded; only the project-challenge strand is a lead.</t>
        </is>
      </c>
      <c r="AN584" s="77" t="inlineStr">
        <is>
          <t>Rise</t>
        </is>
      </c>
      <c r="AO584" s="77" t="inlineStr">
        <is>
          <t>UK</t>
        </is>
      </c>
      <c r="AP584" s="77" t="inlineStr">
        <is>
          <t>UK – additional</t>
        </is>
      </c>
      <c r="AQ584" s="77" t="inlineStr">
        <is>
          <t>Unclear</t>
        </is>
      </c>
      <c r="AR584" s="77" t="inlineStr">
        <is>
          <t>Unclear</t>
        </is>
      </c>
      <c r="AS584" s="77" t="inlineStr"/>
    </row>
    <row r="585">
      <c r="A585" s="77" t="inlineStr">
        <is>
          <t>UK29</t>
        </is>
      </c>
      <c r="B585" s="77" t="inlineStr">
        <is>
          <t>Manchester Metropolitan</t>
        </is>
      </c>
      <c r="C585" s="77" t="inlineStr">
        <is>
          <t>Unclear</t>
        </is>
      </c>
      <c r="D585" s="77" t="inlineStr">
        <is>
          <t>UK29-S03</t>
        </is>
      </c>
      <c r="E585" s="77" t="inlineStr"/>
      <c r="F585" s="77" t="inlineStr">
        <is>
          <t>No</t>
        </is>
      </c>
      <c r="G585" s="79" t="inlineStr">
        <is>
          <t>Student projects and consultancy (Business Services / talent recruitment)</t>
        </is>
      </c>
      <c r="H585" s="77" t="inlineStr">
        <is>
          <t>Student projects and consultancy for organisations</t>
        </is>
      </c>
      <c r="I585" s="77" t="inlineStr"/>
      <c r="J585" s="77" t="inlineStr">
        <is>
          <t>Central employer-facing service: organisations of all sizes can work with Manchester Met students on a project supervised by an expert staff member; scale set by the organisation; no charge; deliverable a written report, presentation or both.</t>
        </is>
      </c>
      <c r="K585" s="77" t="inlineStr">
        <is>
          <t>Business Services (talent, recruitment and development)</t>
        </is>
      </c>
      <c r="L585" s="77" t="inlineStr">
        <is>
          <t>Not specified</t>
        </is>
      </c>
      <c r="M585" s="77" t="inlineStr">
        <is>
          <t>Central provision; Business/management</t>
        </is>
      </c>
      <c r="N585" s="77" t="inlineStr">
        <is>
          <t>Unclear</t>
        </is>
      </c>
      <c r="O585" s="77" t="inlineStr"/>
      <c r="P585" s="77" t="inlineStr"/>
      <c r="Q585" s="77" t="inlineStr">
        <is>
          <t>Unclear</t>
        </is>
      </c>
      <c r="R585" s="77" t="inlineStr">
        <is>
          <t>Unclear</t>
        </is>
      </c>
      <c r="S585" s="77" t="inlineStr">
        <is>
          <t>Not stated</t>
        </is>
      </c>
      <c r="T585" s="77" t="inlineStr">
        <is>
          <t>Not stated</t>
        </is>
      </c>
      <c r="U585" s="77" t="inlineStr">
        <is>
          <t>Staff-supervised projects</t>
        </is>
      </c>
      <c r="V585" s="77" t="inlineStr">
        <is>
          <t>Yes</t>
        </is>
      </c>
      <c r="W585" s="77" t="inlineStr">
        <is>
          <t>Written report and/or presentation 'depending on the brief' [1].</t>
        </is>
      </c>
      <c r="X585" s="77" t="inlineStr">
        <is>
          <t>Unclear</t>
        </is>
      </c>
      <c r="Y585" s="77" t="inlineStr">
        <is>
          <t>Page does not say whether projects are done by teams or individuals [1].</t>
        </is>
      </c>
      <c r="Z585" s="77" t="inlineStr">
        <is>
          <t>Yes</t>
        </is>
      </c>
      <c r="AA585" s="77" t="inlineStr">
        <is>
          <t>External organisations commission the project, set scale and receive the report/presentation [1].</t>
        </is>
      </c>
      <c r="AB585" s="77" t="inlineStr">
        <is>
          <t>Mixed</t>
        </is>
      </c>
      <c r="AC585" s="77" t="inlineStr">
        <is>
          <t>Client: commissions and receives report/presentation</t>
        </is>
      </c>
      <c r="AD585" s="77" t="inlineStr"/>
      <c r="AE585" s="77" t="inlineStr">
        <is>
          <t>Report and/or presentation</t>
        </is>
      </c>
      <c r="AF585" s="77">
        <f>IF(OR(V585="No",X585="No",Z585="No"),"Outside strict definition",IF(AND(V585="Yes",X585="Yes",Z585="Yes"),"Meets all three","Potentially relevant; evidence incomplete"))</f>
        <v/>
      </c>
      <c r="AG585" s="77" t="inlineStr">
        <is>
          <t>Current status unclear</t>
        </is>
      </c>
      <c r="AH585" s="77" t="inlineStr">
        <is>
          <t>undated</t>
        </is>
      </c>
      <c r="AI585" s="77" t="inlineStr">
        <is>
          <t>Yes</t>
        </is>
      </c>
      <c r="AJ585" s="77">
        <f>IF(AND(AI585="Yes",AF585="Meets all three",AG585="Current delivery confirmed"),"Yes","No")</f>
        <v/>
      </c>
      <c r="AK585" s="77" t="inlineStr"/>
      <c r="AL585" s="77" t="inlineStr">
        <is>
          <t>UK29-S03-R1</t>
        </is>
      </c>
      <c r="AM585" s="77" t="inlineStr">
        <is>
          <t>Team vs individual; which programmes/modules; credit; dates.</t>
        </is>
      </c>
      <c r="AN585" s="77" t="inlineStr"/>
      <c r="AO585" s="77" t="inlineStr">
        <is>
          <t>UK</t>
        </is>
      </c>
      <c r="AP585" s="77" t="inlineStr">
        <is>
          <t>UK – additional</t>
        </is>
      </c>
      <c r="AQ585" s="77" t="inlineStr">
        <is>
          <t>Unclear</t>
        </is>
      </c>
      <c r="AR585" s="77" t="inlineStr">
        <is>
          <t>All/standard</t>
        </is>
      </c>
      <c r="AS585" s="77" t="inlineStr"/>
    </row>
    <row r="586">
      <c r="A586" s="77" t="inlineStr">
        <is>
          <t>UK29</t>
        </is>
      </c>
      <c r="B586" s="77" t="inlineStr">
        <is>
          <t>Manchester Metropolitan</t>
        </is>
      </c>
      <c r="C586" s="77" t="inlineStr">
        <is>
          <t>Faculty/school</t>
        </is>
      </c>
      <c r="D586" s="77" t="inlineStr">
        <is>
          <t>UK29-S04</t>
        </is>
      </c>
      <c r="E586" s="77" t="inlineStr"/>
      <c r="F586" s="77" t="inlineStr">
        <is>
          <t>No</t>
        </is>
      </c>
      <c r="G586" s="79" t="inlineStr">
        <is>
          <t>Work-integrated learning live projects (Faculty of Health and Education)</t>
        </is>
      </c>
      <c r="H586" s="77" t="inlineStr">
        <is>
          <t>WIL live project briefs</t>
        </is>
      </c>
      <c r="I586" s="77" t="inlineStr"/>
      <c r="J586" s="77" t="inlineStr">
        <is>
          <t>Within the Faculty of Health and Education WIL offer, students can complete authentic live project briefs supplied in advance by organisations, individually or in small groups, as an alternative to placement formats (e.g. MSc Mental Health and Wellbeing in Practice lists a 40-hour WIL placement or live project).</t>
        </is>
      </c>
      <c r="K586" s="77" t="inlineStr">
        <is>
          <t>Faculty of Health and Education WIL team</t>
        </is>
      </c>
      <c r="L586" s="77" t="inlineStr">
        <is>
          <t>Faculty of Health and Education programmes (live-project eligibility not named)</t>
        </is>
      </c>
      <c r="M586" s="77" t="inlineStr">
        <is>
          <t>Other (law, health, design, architecture…)</t>
        </is>
      </c>
      <c r="N586" s="77" t="inlineStr">
        <is>
          <t>Mixed</t>
        </is>
      </c>
      <c r="O586" s="77" t="inlineStr">
        <is>
          <t>Not stated</t>
        </is>
      </c>
      <c r="P586" s="77" t="inlineStr"/>
      <c r="Q586" s="77" t="inlineStr">
        <is>
          <t>Unclear</t>
        </is>
      </c>
      <c r="R586" s="77" t="inlineStr">
        <is>
          <t>Curricular</t>
        </is>
      </c>
      <c r="S586" s="77" t="inlineStr">
        <is>
          <t>Not stated</t>
        </is>
      </c>
      <c r="T586" s="77" t="inlineStr">
        <is>
          <t>Not stated</t>
        </is>
      </c>
      <c r="U586" s="77" t="inlineStr">
        <is>
          <t>On-site, hybrid or remote</t>
        </is>
      </c>
      <c r="V586" s="77" t="inlineStr">
        <is>
          <t>Yes</t>
        </is>
      </c>
      <c r="W586" s="77" t="inlineStr">
        <is>
          <t>'authentic live project briefs' with organisation-provided brief [1].</t>
        </is>
      </c>
      <c r="X586" s="77" t="inlineStr">
        <is>
          <t>Unclear</t>
        </is>
      </c>
      <c r="Y586" s="77" t="inlineStr">
        <is>
          <t>'individually or in small groups' - routes not separable [1].</t>
        </is>
      </c>
      <c r="Z586" s="77" t="inlineStr">
        <is>
          <t>Yes</t>
        </is>
      </c>
      <c r="AA586" s="77" t="inlineStr">
        <is>
          <t>'organisations are required to provide a project brief in advance' [1].</t>
        </is>
      </c>
      <c r="AB586" s="77" t="inlineStr">
        <is>
          <t>Unclear</t>
        </is>
      </c>
      <c r="AC586" s="77" t="inlineStr">
        <is>
          <t>Supply live brief</t>
        </is>
      </c>
      <c r="AD586" s="77" t="inlineStr"/>
      <c r="AE586" s="77" t="inlineStr"/>
      <c r="AF586" s="77">
        <f>IF(OR(V586="No",X586="No",Z586="No"),"Outside strict definition",IF(AND(V586="Yes",X586="Yes",Z586="Yes"),"Meets all three","Potentially relevant; evidence incomplete"))</f>
        <v/>
      </c>
      <c r="AG586" s="77" t="inlineStr">
        <is>
          <t>Current status unclear</t>
        </is>
      </c>
      <c r="AH586" s="77" t="inlineStr">
        <is>
          <t>undated</t>
        </is>
      </c>
      <c r="AI586" s="77" t="inlineStr">
        <is>
          <t>Yes</t>
        </is>
      </c>
      <c r="AJ586" s="77">
        <f>IF(AND(AI586="Yes",AF586="Meets all three",AG586="Current delivery confirmed"),"Yes","No")</f>
        <v/>
      </c>
      <c r="AK586" s="77" t="inlineStr"/>
      <c r="AL586" s="77" t="inlineStr">
        <is>
          <t>UK29-S04-R1</t>
        </is>
      </c>
      <c r="AM586" s="77" t="inlineStr">
        <is>
          <t>Group vs individual split; credit; programme coverage; date.</t>
        </is>
      </c>
      <c r="AN586" s="77" t="inlineStr"/>
      <c r="AO586" s="77" t="inlineStr">
        <is>
          <t>UK</t>
        </is>
      </c>
      <c r="AP586" s="77" t="inlineStr">
        <is>
          <t>UK – additional</t>
        </is>
      </c>
      <c r="AQ586" s="77" t="inlineStr">
        <is>
          <t>Unclear</t>
        </is>
      </c>
      <c r="AR586" s="77" t="inlineStr">
        <is>
          <t>All/standard</t>
        </is>
      </c>
      <c r="AS586" s="77" t="inlineStr"/>
    </row>
    <row r="587">
      <c r="A587" s="77" t="inlineStr">
        <is>
          <t>UK29</t>
        </is>
      </c>
      <c r="B587" s="77" t="inlineStr">
        <is>
          <t>Manchester Metropolitan</t>
        </is>
      </c>
      <c r="C587" s="77" t="inlineStr">
        <is>
          <t>Programme/course</t>
        </is>
      </c>
      <c r="D587" s="77" t="inlineStr">
        <is>
          <t>UK29-S05</t>
        </is>
      </c>
      <c r="E587" s="77" t="inlineStr"/>
      <c r="F587" s="77" t="inlineStr">
        <is>
          <t>No</t>
        </is>
      </c>
      <c r="G587" s="79" t="inlineStr">
        <is>
          <t>Engineering live projects and Group Project (BEng Mechanical / Electrical)</t>
        </is>
      </c>
      <c r="H587" s="77" t="inlineStr">
        <is>
          <t>Engineering group and live projects</t>
        </is>
      </c>
      <c r="I587" s="77" t="inlineStr"/>
      <c r="J587" s="77" t="inlineStr">
        <is>
          <t>BEng courses list a core Year 2 Group Project (and Year 1 Design Project, Year 3 Individual Project) and state the university invites businesses and academic colleagues to set live projects. Link between the Group Project unit and employer-set briefs is not documented.</t>
        </is>
      </c>
      <c r="K587" s="77" t="inlineStr">
        <is>
          <t>Department of Engineering, Faculty of Science and Engineering</t>
        </is>
      </c>
      <c r="L587" s="77" t="inlineStr">
        <is>
          <t>BEng Mechanical Engineering; BEng Electrical and Electronic Engineering</t>
        </is>
      </c>
      <c r="M587" s="77" t="inlineStr">
        <is>
          <t>Engineering/computing</t>
        </is>
      </c>
      <c r="N587" s="77" t="inlineStr">
        <is>
          <t>Undergraduate</t>
        </is>
      </c>
      <c r="O587" s="77" t="inlineStr">
        <is>
          <t>Year 2</t>
        </is>
      </c>
      <c r="P587" s="77" t="inlineStr"/>
      <c r="Q587" s="77" t="inlineStr">
        <is>
          <t>Compulsory within specified programmes</t>
        </is>
      </c>
      <c r="R587" s="77" t="inlineStr">
        <is>
          <t>Curricular</t>
        </is>
      </c>
      <c r="S587" s="77" t="inlineStr">
        <is>
          <t>Not stated</t>
        </is>
      </c>
      <c r="T587" s="77" t="inlineStr">
        <is>
          <t>Unclear</t>
        </is>
      </c>
      <c r="U587" s="77" t="inlineStr">
        <is>
          <t>Group project units</t>
        </is>
      </c>
      <c r="V587" s="77" t="inlineStr">
        <is>
          <t>Yes</t>
        </is>
      </c>
      <c r="W587" s="77" t="inlineStr">
        <is>
          <t>Core 'Group Project' unit listed; no description [1].</t>
        </is>
      </c>
      <c r="X587" s="77" t="inlineStr">
        <is>
          <t>Yes</t>
        </is>
      </c>
      <c r="Y587" s="77" t="inlineStr">
        <is>
          <t>Unit titled Group Project; course page cites 'group work activities' [1].</t>
        </is>
      </c>
      <c r="Z587" s="77" t="inlineStr">
        <is>
          <t>Unclear</t>
        </is>
      </c>
      <c r="AA587" s="77" t="inlineStr">
        <is>
          <t>Page: university invites 'businesses and academic colleagues to set live projects' [1]; not tied to the Group Project unit and may include internal academic clients.</t>
        </is>
      </c>
      <c r="AB587" s="77" t="inlineStr">
        <is>
          <t>Mixed</t>
        </is>
      </c>
      <c r="AC587" s="77" t="inlineStr">
        <is>
          <t>Set live projects (unit link unconfirmed)</t>
        </is>
      </c>
      <c r="AD587" s="77" t="inlineStr"/>
      <c r="AE587" s="77" t="inlineStr"/>
      <c r="AF587" s="77">
        <f>IF(OR(V587="No",X587="No",Z587="No"),"Outside strict definition",IF(AND(V587="Yes",X587="Yes",Z587="Yes"),"Meets all three","Potentially relevant; evidence incomplete"))</f>
        <v/>
      </c>
      <c r="AG587" s="77" t="inlineStr">
        <is>
          <t>Current status unclear</t>
        </is>
      </c>
      <c r="AH587" s="77" t="inlineStr">
        <is>
          <t>Course page for September 2027 entry (undated unit content)</t>
        </is>
      </c>
      <c r="AI587" s="77" t="inlineStr">
        <is>
          <t>Yes</t>
        </is>
      </c>
      <c r="AJ587" s="77">
        <f>IF(AND(AI587="Yes",AF587="Meets all three",AG587="Current delivery confirmed"),"Yes","No")</f>
        <v/>
      </c>
      <c r="AK587" s="77" t="inlineStr"/>
      <c r="AL587" s="77" t="inlineStr">
        <is>
          <t>UK29-S05-R1</t>
        </is>
      </c>
      <c r="AM587" s="77" t="inlineStr">
        <is>
          <t>Unit specification needed to confirm external clients for the Group Project; department collaborative projects page could not be retrieved (301/404).</t>
        </is>
      </c>
      <c r="AN587" s="77" t="inlineStr"/>
      <c r="AO587" s="77" t="inlineStr">
        <is>
          <t>UK</t>
        </is>
      </c>
      <c r="AP587" s="77" t="inlineStr">
        <is>
          <t>UK – additional</t>
        </is>
      </c>
      <c r="AQ587" s="77" t="inlineStr">
        <is>
          <t>Unclear</t>
        </is>
      </c>
      <c r="AR587" s="77" t="inlineStr">
        <is>
          <t>Unclear</t>
        </is>
      </c>
      <c r="AS587" s="77" t="inlineStr"/>
    </row>
    <row r="588">
      <c r="A588" s="77" t="inlineStr">
        <is>
          <t>UK30</t>
        </is>
      </c>
      <c r="B588" s="77" t="inlineStr">
        <is>
          <t>Plymouth</t>
        </is>
      </c>
      <c r="C588" s="77" t="inlineStr">
        <is>
          <t>Programme/course</t>
        </is>
      </c>
      <c r="D588" s="77" t="inlineStr">
        <is>
          <t>UK30-S01</t>
        </is>
      </c>
      <c r="E588" s="77" t="inlineStr"/>
      <c r="F588" s="77" t="inlineStr">
        <is>
          <t>No</t>
        </is>
      </c>
      <c r="G588" s="79" t="inlineStr">
        <is>
          <t>Leading Change, People and Projects (MBA)</t>
        </is>
      </c>
      <c r="H588" s="77" t="inlineStr">
        <is>
          <t>Leading Change, People and Projects (MBA)</t>
        </is>
      </c>
      <c r="I588" s="77" t="inlineStr"/>
      <c r="J588" s="77" t="inlineStr">
        <is>
          <t>30-credit core MBA module: students are placed in diverse teams and over 10-14 weeks work on a real organisational brief, analysing challenges and developing evidence-based recommendations, ending in a presentation to the client organisation.</t>
        </is>
      </c>
      <c r="K588" s="77" t="inlineStr">
        <is>
          <t>Plymouth Business School</t>
        </is>
      </c>
      <c r="L588" s="77" t="inlineStr">
        <is>
          <t>MBA Master of Business Administration</t>
        </is>
      </c>
      <c r="M588" s="77" t="inlineStr">
        <is>
          <t>Business/management</t>
        </is>
      </c>
      <c r="N588" s="77" t="inlineStr">
        <is>
          <t>Postgraduate taught</t>
        </is>
      </c>
      <c r="O588" s="77" t="inlineStr"/>
      <c r="P588" s="77" t="inlineStr"/>
      <c r="Q588" s="77" t="inlineStr">
        <is>
          <t>Compulsory within specified programmes</t>
        </is>
      </c>
      <c r="R588" s="77" t="inlineStr">
        <is>
          <t>Curricular</t>
        </is>
      </c>
      <c r="S588" s="77" t="inlineStr">
        <is>
          <t>30 credits; assessment weighting not stated</t>
        </is>
      </c>
      <c r="T588" s="77" t="inlineStr">
        <is>
          <t>10-14 weeks</t>
        </is>
      </c>
      <c r="U588" s="77" t="inlineStr">
        <is>
          <t>Team client project</t>
        </is>
      </c>
      <c r="V588" s="77" t="inlineStr">
        <is>
          <t>Yes</t>
        </is>
      </c>
      <c r="W588" s="77" t="inlineStr">
        <is>
          <t>Real organisational brief; practical evidence-based recommendations; client presentation [1].</t>
        </is>
      </c>
      <c r="X588" s="77" t="inlineStr">
        <is>
          <t>Yes</t>
        </is>
      </c>
      <c r="Y588" s="77" t="inlineStr">
        <is>
          <t>'you will be placed in a diverse team' [1].</t>
        </is>
      </c>
      <c r="Z588" s="77" t="inlineStr">
        <is>
          <t>Yes</t>
        </is>
      </c>
      <c r="AA588" s="77" t="inlineStr">
        <is>
          <t>Team engages with a real organisation's brief and presents to the client organisation [1]. The page lists Plymouth Argyle Community Trust, St Luke's Hospice, TimeBank South West and Arterne CIC as example local organisations but does not say this module uses them.</t>
        </is>
      </c>
      <c r="AB588" s="77" t="inlineStr">
        <is>
          <t>Mixed</t>
        </is>
      </c>
      <c r="AC588" s="77" t="inlineStr">
        <is>
          <t>Client: supplies brief, receives presentation</t>
        </is>
      </c>
      <c r="AD588" s="77" t="inlineStr"/>
      <c r="AE588" s="77" t="inlineStr">
        <is>
          <t>Recommendations and professional client presentation</t>
        </is>
      </c>
      <c r="AF588" s="77">
        <f>IF(OR(V588="No",X588="No",Z588="No"),"Outside strict definition",IF(AND(V588="Yes",X588="Yes",Z588="Yes"),"Meets all three","Potentially relevant; evidence incomplete"))</f>
        <v/>
      </c>
      <c r="AG588" s="77" t="inlineStr">
        <is>
          <t>Current status unclear</t>
        </is>
      </c>
      <c r="AH588" s="77" t="inlineStr">
        <is>
          <t>undated</t>
        </is>
      </c>
      <c r="AI588" s="77" t="inlineStr">
        <is>
          <t>Yes</t>
        </is>
      </c>
      <c r="AJ588" s="77">
        <f>IF(AND(AI588="Yes",AF588="Meets all three",AG588="Current delivery confirmed"),"Yes","No")</f>
        <v/>
      </c>
      <c r="AK588" s="77" t="inlineStr"/>
      <c r="AL588" s="77" t="inlineStr">
        <is>
          <t>UK30-S01-R1</t>
        </is>
      </c>
      <c r="AM588" s="77" t="inlineStr">
        <is>
          <t>No academic year shown; listed as core module on live course page; partner types are charity/community/hospice per examples but unconfirmed for this module.</t>
        </is>
      </c>
      <c r="AN588" s="77" t="inlineStr"/>
      <c r="AO588" s="77" t="inlineStr">
        <is>
          <t>UK</t>
        </is>
      </c>
      <c r="AP588" s="77" t="inlineStr">
        <is>
          <t>UK – additional</t>
        </is>
      </c>
      <c r="AQ588" s="77" t="inlineStr">
        <is>
          <t>~1 term/semester</t>
        </is>
      </c>
      <c r="AR588" s="77" t="inlineStr">
        <is>
          <t>All/standard</t>
        </is>
      </c>
      <c r="AS588" s="77" t="inlineStr"/>
    </row>
    <row r="589">
      <c r="A589" s="77" t="inlineStr">
        <is>
          <t>UK30</t>
        </is>
      </c>
      <c r="B589" s="77" t="inlineStr">
        <is>
          <t>Plymouth</t>
        </is>
      </c>
      <c r="C589" s="77" t="inlineStr">
        <is>
          <t>Programme/course</t>
        </is>
      </c>
      <c r="D589" s="77" t="inlineStr">
        <is>
          <t>UK30-S02</t>
        </is>
      </c>
      <c r="E589" s="77" t="inlineStr"/>
      <c r="F589" s="77" t="inlineStr">
        <is>
          <t>No</t>
        </is>
      </c>
      <c r="G589" s="79" t="inlineStr">
        <is>
          <t>BA Architecture live projects (Big Tent, Eco-pod, outdoor classroom)</t>
        </is>
      </c>
      <c r="H589" s="77" t="inlineStr">
        <is>
          <t>BA Architecture live projects (Big Tent, Eco-pod, outdoor classroom)</t>
        </is>
      </c>
      <c r="I589" s="77" t="inlineStr"/>
      <c r="J589" s="77" t="inlineStr">
        <is>
          <t>Architecture students work on live briefs with clients and partner organisations; e.g. Big Tent: 14 student groups designed a temporary timber shelter in 5 days for Dartington Hall Trust (client wrote the brief); the design was built by students. Year 1 outdoor classroom: student teams proposed concept designs and the client (Riverside Primary School) chose the winner.</t>
        </is>
      </c>
      <c r="K589" s="77" t="inlineStr">
        <is>
          <t>School of Art, Design and Architecture</t>
        </is>
      </c>
      <c r="L589" s="77" t="inlineStr">
        <is>
          <t>BA (Hons) Architecture; BA (Hons) Architecture Technology and the Environment</t>
        </is>
      </c>
      <c r="M589" s="77" t="inlineStr">
        <is>
          <t>Arts/humanities/social sciences; Other (law, health, design, architecture…)</t>
        </is>
      </c>
      <c r="N589" s="77" t="inlineStr">
        <is>
          <t>Undergraduate</t>
        </is>
      </c>
      <c r="O589" s="77" t="inlineStr">
        <is>
          <t>Years 1-3 (examples)</t>
        </is>
      </c>
      <c r="P589" s="77" t="inlineStr"/>
      <c r="Q589" s="77" t="inlineStr">
        <is>
          <t>Unclear</t>
        </is>
      </c>
      <c r="R589" s="77" t="inlineStr">
        <is>
          <t>Curricular</t>
        </is>
      </c>
      <c r="S589" s="77" t="inlineStr"/>
      <c r="T589" s="77" t="inlineStr">
        <is>
          <t>Big Tent design response 5 days; others unstated</t>
        </is>
      </c>
      <c r="U589" s="77" t="inlineStr">
        <is>
          <t>Team live design-build projects</t>
        </is>
      </c>
      <c r="V589" s="77" t="inlineStr">
        <is>
          <t>Yes</t>
        </is>
      </c>
      <c r="W589" s="77" t="inlineStr">
        <is>
          <t>Design proposals, costing, construction manual, built structures [1].</t>
        </is>
      </c>
      <c r="X589" s="77" t="inlineStr">
        <is>
          <t>Yes</t>
        </is>
      </c>
      <c r="Y589" s="77" t="inlineStr">
        <is>
          <t>14 groups (Big Tent); student teams each proposed a concept (outdoor classroom) [1].</t>
        </is>
      </c>
      <c r="Z589" s="77" t="inlineStr">
        <is>
          <t>Yes</t>
        </is>
      </c>
      <c r="AA589" s="77" t="inlineStr">
        <is>
          <t>Dartington Hall Trust wrote the competition brief; Riverside Primary School selected the winning design [1].</t>
        </is>
      </c>
      <c r="AB589" s="77" t="inlineStr">
        <is>
          <t>Mixed</t>
        </is>
      </c>
      <c r="AC589" s="77" t="inlineStr">
        <is>
          <t>Client: sets brief, selects winning design</t>
        </is>
      </c>
      <c r="AD589" s="77" t="inlineStr">
        <is>
          <t>Dartington Hall Trust; Riverside Primary School (undated; outdoor classroom shortlisted 2020 RIBA MacEwan Award)</t>
        </is>
      </c>
      <c r="AE589" s="77" t="inlineStr">
        <is>
          <t>Design proposals and built structure</t>
        </is>
      </c>
      <c r="AF589" s="77">
        <f>IF(OR(V589="No",X589="No",Z589="No"),"Outside strict definition",IF(AND(V589="Yes",X589="Yes",Z589="Yes"),"Meets all three","Potentially relevant; evidence incomplete"))</f>
        <v/>
      </c>
      <c r="AG589" s="77" t="inlineStr">
        <is>
          <t>Current status unclear</t>
        </is>
      </c>
      <c r="AH589" s="77" t="inlineStr">
        <is>
          <t>2020 (award reference)</t>
        </is>
      </c>
      <c r="AI589" s="77" t="inlineStr">
        <is>
          <t>Yes</t>
        </is>
      </c>
      <c r="AJ589" s="77">
        <f>IF(AND(AI589="Yes",AF589="Meets all three",AG589="Current delivery confirmed"),"Yes","No")</f>
        <v/>
      </c>
      <c r="AK589" s="77" t="inlineStr"/>
      <c r="AL589" s="77" t="inlineStr">
        <is>
          <t>UK30-S02-R1</t>
        </is>
      </c>
      <c r="AM589" s="77" t="inlineStr">
        <is>
          <t>No module names/codes; no dated 2025/26 delivery; whether compulsory.</t>
        </is>
      </c>
      <c r="AN589" s="77" t="inlineStr"/>
      <c r="AO589" s="77" t="inlineStr">
        <is>
          <t>UK</t>
        </is>
      </c>
      <c r="AP589" s="77" t="inlineStr">
        <is>
          <t>UK – additional</t>
        </is>
      </c>
      <c r="AQ589" s="77" t="inlineStr">
        <is>
          <t>1-4 weeks</t>
        </is>
      </c>
      <c r="AR589" s="77" t="inlineStr">
        <is>
          <t>Some projects</t>
        </is>
      </c>
      <c r="AS589" s="77" t="inlineStr"/>
    </row>
    <row r="590">
      <c r="A590" s="77" t="inlineStr">
        <is>
          <t>UK30</t>
        </is>
      </c>
      <c r="B590" s="77" t="inlineStr">
        <is>
          <t>Plymouth</t>
        </is>
      </c>
      <c r="C590" s="77" t="inlineStr">
        <is>
          <t>Programme/course</t>
        </is>
      </c>
      <c r="D590" s="77" t="inlineStr">
        <is>
          <t>UK30-S03</t>
        </is>
      </c>
      <c r="E590" s="77" t="inlineStr"/>
      <c r="F590" s="77" t="inlineStr">
        <is>
          <t>No</t>
        </is>
      </c>
      <c r="G590" s="79" t="inlineStr">
        <is>
          <t>Creative Industry Collaboration (BA Photography Year 1)</t>
        </is>
      </c>
      <c r="H590" s="77" t="inlineStr">
        <is>
          <t>Creative Industry Collaboration (BA Photography Year 1)</t>
        </is>
      </c>
      <c r="I590" s="77" t="inlineStr">
        <is>
          <t>MEDI423</t>
        </is>
      </c>
      <c r="J590" s="77" t="inlineStr">
        <is>
          <t>Core Year 1 module in which students work in teams to tackle a live brief set by a creative industry client or partner.</t>
        </is>
      </c>
      <c r="K590" s="77" t="inlineStr">
        <is>
          <t>School of Art, Design and Architecture</t>
        </is>
      </c>
      <c r="L590" s="77" t="inlineStr">
        <is>
          <t>BA (Hons) Photography (module code also appears on Creative Media course page)</t>
        </is>
      </c>
      <c r="M590" s="77" t="inlineStr">
        <is>
          <t>Arts/humanities/social sciences</t>
        </is>
      </c>
      <c r="N590" s="77" t="inlineStr">
        <is>
          <t>Undergraduate</t>
        </is>
      </c>
      <c r="O590" s="77" t="inlineStr">
        <is>
          <t>Year 1</t>
        </is>
      </c>
      <c r="P590" s="77" t="inlineStr"/>
      <c r="Q590" s="77" t="inlineStr">
        <is>
          <t>Compulsory within specified programmes</t>
        </is>
      </c>
      <c r="R590" s="77" t="inlineStr">
        <is>
          <t>Curricular</t>
        </is>
      </c>
      <c r="S590" s="77" t="inlineStr"/>
      <c r="T590" s="77" t="inlineStr"/>
      <c r="U590" s="77" t="inlineStr"/>
      <c r="V590" s="77" t="inlineStr">
        <is>
          <t>Unclear</t>
        </is>
      </c>
      <c r="W590" s="77" t="inlineStr">
        <is>
          <t>'live brief' but defined output not stated on page [1].</t>
        </is>
      </c>
      <c r="X590" s="77" t="inlineStr">
        <is>
          <t>Yes</t>
        </is>
      </c>
      <c r="Y590" s="77" t="inlineStr">
        <is>
          <t>'Work in teams to tackle a live brief' [1].</t>
        </is>
      </c>
      <c r="Z590" s="77" t="inlineStr">
        <is>
          <t>Yes</t>
        </is>
      </c>
      <c r="AA590" s="77" t="inlineStr">
        <is>
          <t>Brief set by a creative industry client or partner [1]; extent of client involvement in assessment not stated.</t>
        </is>
      </c>
      <c r="AB590" s="77" t="inlineStr">
        <is>
          <t>Business/commercial</t>
        </is>
      </c>
      <c r="AC590" s="77" t="inlineStr">
        <is>
          <t>Sets live brief</t>
        </is>
      </c>
      <c r="AD590" s="77" t="inlineStr"/>
      <c r="AE590" s="77" t="inlineStr">
        <is>
          <t>Not stated</t>
        </is>
      </c>
      <c r="AF590" s="77">
        <f>IF(OR(V590="No",X590="No",Z590="No"),"Outside strict definition",IF(AND(V590="Yes",X590="Yes",Z590="Yes"),"Meets all three","Potentially relevant; evidence incomplete"))</f>
        <v/>
      </c>
      <c r="AG590" s="77" t="inlineStr">
        <is>
          <t>Current status unclear</t>
        </is>
      </c>
      <c r="AH590" s="77" t="inlineStr">
        <is>
          <t>undated</t>
        </is>
      </c>
      <c r="AI590" s="77" t="inlineStr">
        <is>
          <t>Yes</t>
        </is>
      </c>
      <c r="AJ590" s="77">
        <f>IF(AND(AI590="Yes",AF590="Meets all three",AG590="Current delivery confirmed"),"Yes","No")</f>
        <v/>
      </c>
      <c r="AK590" s="77" t="inlineStr"/>
      <c r="AL590" s="77" t="inlineStr">
        <is>
          <t>UK30-S03-R1; UK30-S03-R2</t>
        </is>
      </c>
      <c r="AM590" s="77" t="inlineStr">
        <is>
          <t>Deliverable, credits, duration, named clients, delivery year.</t>
        </is>
      </c>
      <c r="AN590" s="77" t="inlineStr"/>
      <c r="AO590" s="77" t="inlineStr">
        <is>
          <t>UK</t>
        </is>
      </c>
      <c r="AP590" s="77" t="inlineStr">
        <is>
          <t>UK – additional</t>
        </is>
      </c>
      <c r="AQ590" s="77" t="inlineStr">
        <is>
          <t>Unclear</t>
        </is>
      </c>
      <c r="AR590" s="77" t="inlineStr">
        <is>
          <t>All/standard</t>
        </is>
      </c>
      <c r="AS590" s="77" t="inlineStr"/>
    </row>
    <row r="591">
      <c r="A591" s="77" t="inlineStr">
        <is>
          <t>UK30</t>
        </is>
      </c>
      <c r="B591" s="77" t="inlineStr">
        <is>
          <t>Plymouth</t>
        </is>
      </c>
      <c r="C591" s="77" t="inlineStr">
        <is>
          <t>Programme/course</t>
        </is>
      </c>
      <c r="D591" s="77" t="inlineStr">
        <is>
          <t>UK30-S04</t>
        </is>
      </c>
      <c r="E591" s="77" t="inlineStr"/>
      <c r="F591" s="77" t="inlineStr">
        <is>
          <t>No</t>
        </is>
      </c>
      <c r="G591" s="79" t="inlineStr">
        <is>
          <t>Business Project (Business Management with Foundation Year)</t>
        </is>
      </c>
      <c r="H591" s="77" t="inlineStr">
        <is>
          <t>Business Project (Business Management with Foundation Year)</t>
        </is>
      </c>
      <c r="I591" s="77" t="inlineStr">
        <is>
          <t>BUSM3004</t>
        </is>
      </c>
      <c r="J591" s="77" t="inlineStr">
        <is>
          <t>Core foundation-year module: students work in a team to plan, deliver and evaluate a real business or community project.</t>
        </is>
      </c>
      <c r="K591" s="77" t="inlineStr">
        <is>
          <t>Plymouth Business School</t>
        </is>
      </c>
      <c r="L591" s="77" t="inlineStr">
        <is>
          <t>BSc (Hons) Business Management with Foundation Year</t>
        </is>
      </c>
      <c r="M591" s="77" t="inlineStr">
        <is>
          <t>Business/management</t>
        </is>
      </c>
      <c r="N591" s="77" t="inlineStr">
        <is>
          <t>Undergraduate</t>
        </is>
      </c>
      <c r="O591" s="77" t="inlineStr">
        <is>
          <t>Foundation year (Year 0)</t>
        </is>
      </c>
      <c r="P591" s="77" t="inlineStr"/>
      <c r="Q591" s="77" t="inlineStr">
        <is>
          <t>Compulsory within specified programmes</t>
        </is>
      </c>
      <c r="R591" s="77" t="inlineStr">
        <is>
          <t>Curricular</t>
        </is>
      </c>
      <c r="S591" s="77" t="inlineStr"/>
      <c r="T591" s="77" t="inlineStr"/>
      <c r="U591" s="77" t="inlineStr"/>
      <c r="V591" s="77" t="inlineStr">
        <is>
          <t>Yes</t>
        </is>
      </c>
      <c r="W591" s="77" t="inlineStr">
        <is>
          <t>Plan, deliver and evaluate a real business or community project [1].</t>
        </is>
      </c>
      <c r="X591" s="77" t="inlineStr">
        <is>
          <t>Yes</t>
        </is>
      </c>
      <c r="Y591" s="77" t="inlineStr">
        <is>
          <t>'You'll work in a team to plan, deliver, and evaluate...' [1].</t>
        </is>
      </c>
      <c r="Z591" s="77" t="inlineStr">
        <is>
          <t>Unclear</t>
        </is>
      </c>
      <c r="AA591" s="77" t="inlineStr">
        <is>
          <t>Page says 'real business or community project' but names no external organisation and does not say who sets the brief or receives output [1].</t>
        </is>
      </c>
      <c r="AB591" s="77" t="inlineStr">
        <is>
          <t>Unclear</t>
        </is>
      </c>
      <c r="AC591" s="77" t="inlineStr">
        <is>
          <t>Not evidenced</t>
        </is>
      </c>
      <c r="AD591" s="77" t="inlineStr"/>
      <c r="AE591" s="77" t="inlineStr"/>
      <c r="AF591" s="77">
        <f>IF(OR(V591="No",X591="No",Z591="No"),"Outside strict definition",IF(AND(V591="Yes",X591="Yes",Z591="Yes"),"Meets all three","Potentially relevant; evidence incomplete"))</f>
        <v/>
      </c>
      <c r="AG591" s="77" t="inlineStr">
        <is>
          <t>Current delivery confirmed</t>
        </is>
      </c>
      <c r="AH591" s="77" t="inlineStr">
        <is>
          <t>2026/27 (course page fee table lists 2026-27 and 2027-28 starts)</t>
        </is>
      </c>
      <c r="AI591" s="77" t="inlineStr">
        <is>
          <t>Yes</t>
        </is>
      </c>
      <c r="AJ591" s="77">
        <f>IF(AND(AI591="Yes",AF591="Meets all three",AG591="Current delivery confirmed"),"Yes","No")</f>
        <v/>
      </c>
      <c r="AK591" s="77" t="inlineStr"/>
      <c r="AL591" s="77" t="inlineStr">
        <is>
          <t>UK30-S04-R1</t>
        </is>
      </c>
      <c r="AM591" s="77" t="inlineStr">
        <is>
          <t>Whether projects are externally commissioned or student-initiated; credits.</t>
        </is>
      </c>
      <c r="AN591" s="77" t="inlineStr"/>
      <c r="AO591" s="77" t="inlineStr">
        <is>
          <t>UK</t>
        </is>
      </c>
      <c r="AP591" s="77" t="inlineStr">
        <is>
          <t>UK – additional</t>
        </is>
      </c>
      <c r="AQ591" s="77" t="inlineStr">
        <is>
          <t>Unclear</t>
        </is>
      </c>
      <c r="AR591" s="77" t="inlineStr">
        <is>
          <t>Unclear</t>
        </is>
      </c>
      <c r="AS591" s="77" t="inlineStr"/>
    </row>
    <row r="592">
      <c r="A592" s="77" t="inlineStr">
        <is>
          <t>UK30</t>
        </is>
      </c>
      <c r="B592" s="77" t="inlineStr">
        <is>
          <t>Plymouth</t>
        </is>
      </c>
      <c r="C592" s="77" t="inlineStr">
        <is>
          <t>Programme/course</t>
        </is>
      </c>
      <c r="D592" s="77" t="inlineStr">
        <is>
          <t>UK30-S05</t>
        </is>
      </c>
      <c r="E592" s="77" t="inlineStr"/>
      <c r="F592" s="77" t="inlineStr">
        <is>
          <t>No</t>
        </is>
      </c>
      <c r="G592" s="79" t="inlineStr">
        <is>
          <t>MEng Group Project (Electrical and Electronic Engineering)</t>
        </is>
      </c>
      <c r="H592" s="77" t="inlineStr">
        <is>
          <t>MEng Group Project (Electrical and Electronic Engineering)</t>
        </is>
      </c>
      <c r="I592" s="77" t="inlineStr">
        <is>
          <t>PROJ500</t>
        </is>
      </c>
      <c r="J592" s="77" t="inlineStr">
        <is>
          <t>Core 60-credit final-year MEng group project on a complex real-world problem 'drawn from industry, commerce, or research'; teams design and build a prototype.</t>
        </is>
      </c>
      <c r="K592" s="77" t="inlineStr">
        <is>
          <t>School of Engineering, Computing and Mathematics</t>
        </is>
      </c>
      <c r="L592" s="77" t="inlineStr">
        <is>
          <t>MEng (Hons) Electrical and Electronic Engineering</t>
        </is>
      </c>
      <c r="M592" s="77" t="inlineStr">
        <is>
          <t>Engineering/computing</t>
        </is>
      </c>
      <c r="N592" s="77" t="inlineStr">
        <is>
          <t>Undergraduate</t>
        </is>
      </c>
      <c r="O592" s="77" t="inlineStr">
        <is>
          <t>Year 4 (final)</t>
        </is>
      </c>
      <c r="P592" s="77" t="inlineStr"/>
      <c r="Q592" s="77" t="inlineStr">
        <is>
          <t>Compulsory within specified programmes</t>
        </is>
      </c>
      <c r="R592" s="77" t="inlineStr">
        <is>
          <t>Curricular</t>
        </is>
      </c>
      <c r="S592" s="77" t="inlineStr">
        <is>
          <t>60 credits</t>
        </is>
      </c>
      <c r="T592" s="77" t="inlineStr"/>
      <c r="U592" s="77" t="inlineStr"/>
      <c r="V592" s="77" t="inlineStr">
        <is>
          <t>Yes</t>
        </is>
      </c>
      <c r="W592" s="77" t="inlineStr">
        <is>
          <t>Real-world problem; prototype demonstrating claims in project execution plan [1].</t>
        </is>
      </c>
      <c r="X592" s="77" t="inlineStr">
        <is>
          <t>Yes</t>
        </is>
      </c>
      <c r="Y592" s="77" t="inlineStr">
        <is>
          <t>'teams are expected to design and build a prototype' [1].</t>
        </is>
      </c>
      <c r="Z592" s="77" t="inlineStr">
        <is>
          <t>Unclear</t>
        </is>
      </c>
      <c r="AA592" s="77" t="inlineStr">
        <is>
          <t>Problems may be drawn from industry, commerce or research (so research groups possible, which are internal); no named partner or partner role stated on the page [1]. Search summary of other pages mentions industry-sponsored prizes and examples, not retrieved directly.</t>
        </is>
      </c>
      <c r="AB592" s="77" t="inlineStr">
        <is>
          <t>Unclear</t>
        </is>
      </c>
      <c r="AC592" s="77" t="inlineStr"/>
      <c r="AD592" s="77" t="inlineStr"/>
      <c r="AE592" s="77" t="inlineStr">
        <is>
          <t>Prototype and report</t>
        </is>
      </c>
      <c r="AF592" s="77">
        <f>IF(OR(V592="No",X592="No",Z592="No"),"Outside strict definition",IF(AND(V592="Yes",X592="Yes",Z592="Yes"),"Meets all three","Potentially relevant; evidence incomplete"))</f>
        <v/>
      </c>
      <c r="AG592" s="77" t="inlineStr">
        <is>
          <t>Current status unclear</t>
        </is>
      </c>
      <c r="AH592" s="77" t="inlineStr">
        <is>
          <t>undated</t>
        </is>
      </c>
      <c r="AI592" s="77" t="inlineStr">
        <is>
          <t>Yes</t>
        </is>
      </c>
      <c r="AJ592" s="77">
        <f>IF(AND(AI592="Yes",AF592="Meets all three",AG592="Current delivery confirmed"),"Yes","No")</f>
        <v/>
      </c>
      <c r="AK592" s="77" t="inlineStr"/>
      <c r="AL592" s="77" t="inlineStr">
        <is>
          <t>UK30-S05-R1</t>
        </is>
      </c>
      <c r="AM592" s="77" t="inlineStr">
        <is>
          <t>Whether external organisations set/supervise projects; delivery year.</t>
        </is>
      </c>
      <c r="AN592" s="77" t="inlineStr"/>
      <c r="AO592" s="77" t="inlineStr">
        <is>
          <t>UK</t>
        </is>
      </c>
      <c r="AP592" s="77" t="inlineStr">
        <is>
          <t>UK – additional</t>
        </is>
      </c>
      <c r="AQ592" s="77" t="inlineStr">
        <is>
          <t>Unclear</t>
        </is>
      </c>
      <c r="AR592" s="77" t="inlineStr">
        <is>
          <t>Unclear</t>
        </is>
      </c>
      <c r="AS592" s="77" t="inlineStr"/>
    </row>
    <row r="593">
      <c r="A593" s="77" t="inlineStr">
        <is>
          <t>UK30</t>
        </is>
      </c>
      <c r="B593" s="77" t="inlineStr">
        <is>
          <t>Plymouth</t>
        </is>
      </c>
      <c r="C593" s="77" t="inlineStr">
        <is>
          <t>Faculty/school</t>
        </is>
      </c>
      <c r="D593" s="77" t="inlineStr">
        <is>
          <t>UK30-S06</t>
        </is>
      </c>
      <c r="E593" s="77" t="inlineStr"/>
      <c r="F593" s="77" t="inlineStr">
        <is>
          <t>No</t>
        </is>
      </c>
      <c r="G593" s="79" t="inlineStr">
        <is>
          <t>Inspiring Futures (Faculty of Arts, Humanities and Business)</t>
        </is>
      </c>
      <c r="H593" s="77" t="inlineStr">
        <is>
          <t>Inspiring Futures (Faculty of Arts, Humanities and Business)</t>
        </is>
      </c>
      <c r="I593" s="77" t="inlineStr"/>
      <c r="J593" s="77" t="inlineStr">
        <is>
          <t>Knowledge-exchange scheme embedding consultancy projects in curricula: Business School students on marketing and funding strategies for local businesses and charities; design/film/media students producing explainer videos, design and web work for local charities and social enterprises; no cost to organisations.</t>
        </is>
      </c>
      <c r="K593" s="77" t="inlineStr">
        <is>
          <t>Plymouth Business School / Faculty of Arts, Humanities and Business</t>
        </is>
      </c>
      <c r="L593" s="77" t="inlineStr">
        <is>
          <t>Participating programmes in the Faculty of Arts, Humanities and Business</t>
        </is>
      </c>
      <c r="M593" s="77" t="inlineStr">
        <is>
          <t>Business/management; Arts/humanities/social sciences</t>
        </is>
      </c>
      <c r="N593" s="77" t="inlineStr">
        <is>
          <t>Unclear</t>
        </is>
      </c>
      <c r="O593" s="77" t="inlineStr"/>
      <c r="P593" s="77" t="inlineStr"/>
      <c r="Q593" s="77" t="inlineStr">
        <is>
          <t>Unclear</t>
        </is>
      </c>
      <c r="R593" s="77" t="inlineStr">
        <is>
          <t>Curricular</t>
        </is>
      </c>
      <c r="S593" s="77" t="inlineStr"/>
      <c r="T593" s="77" t="inlineStr"/>
      <c r="U593" s="77" t="inlineStr"/>
      <c r="V593" s="77" t="inlineStr">
        <is>
          <t>Yes</t>
        </is>
      </c>
      <c r="W593" s="77" t="inlineStr">
        <is>
          <t>Marketing strategies, funding strategies, explainer videos, design work [1].</t>
        </is>
      </c>
      <c r="X593" s="77" t="inlineStr">
        <is>
          <t>Unclear</t>
        </is>
      </c>
      <c r="Y593" s="77" t="inlineStr">
        <is>
          <t>Page describes both group projects and individual student case studies; routes not separable [1].</t>
        </is>
      </c>
      <c r="Z593" s="77" t="inlineStr">
        <is>
          <t>Yes</t>
        </is>
      </c>
      <c r="AA593" s="77" t="inlineStr">
        <is>
          <t>External organisations (e.g. Ramer Sponges Ltd, Enterprise Rent-A-Car, Memory Matters South West CIC, Devon Disability Collective, Devon &amp; Cornwall Food Action, RSA brief) hosted projects [1].</t>
        </is>
      </c>
      <c r="AB593" s="77" t="inlineStr">
        <is>
          <t>Mixed</t>
        </is>
      </c>
      <c r="AC593" s="77" t="inlineStr">
        <is>
          <t>Clients setting briefs</t>
        </is>
      </c>
      <c r="AD593" s="77" t="inlineStr">
        <is>
          <t>Ramer Sponges Ltd; Enterprise Rent-A-Car; Memory Matters South West CIC; Devon Disability Collective; Devon &amp; Cornwall Food Action; Clever Student Lets; RSA (undated)</t>
        </is>
      </c>
      <c r="AE593" s="77" t="inlineStr">
        <is>
          <t>Strategies, videos, design work</t>
        </is>
      </c>
      <c r="AF593" s="77">
        <f>IF(OR(V593="No",X593="No",Z593="No"),"Outside strict definition",IF(AND(V593="Yes",X593="Yes",Z593="Yes"),"Meets all three","Potentially relevant; evidence incomplete"))</f>
        <v/>
      </c>
      <c r="AG593" s="77" t="inlineStr">
        <is>
          <t>Current status unclear</t>
        </is>
      </c>
      <c r="AH593" s="77" t="inlineStr">
        <is>
          <t>undated</t>
        </is>
      </c>
      <c r="AI593" s="77" t="inlineStr">
        <is>
          <t>Yes</t>
        </is>
      </c>
      <c r="AJ593" s="77">
        <f>IF(AND(AI593="Yes",AF593="Meets all three",AG593="Current delivery confirmed"),"Yes","No")</f>
        <v/>
      </c>
      <c r="AK593" s="77" t="inlineStr"/>
      <c r="AL593" s="77" t="inlineStr">
        <is>
          <t>UK30-S06-R1</t>
        </is>
      </c>
      <c r="AM593" s="77" t="inlineStr">
        <is>
          <t>Which modules use it; group/individual split; delivery year; intake.</t>
        </is>
      </c>
      <c r="AN593" s="77" t="inlineStr">
        <is>
          <t>Inspiring Futures</t>
        </is>
      </c>
      <c r="AO593" s="77" t="inlineStr">
        <is>
          <t>UK</t>
        </is>
      </c>
      <c r="AP593" s="77" t="inlineStr">
        <is>
          <t>UK – additional</t>
        </is>
      </c>
      <c r="AQ593" s="77" t="inlineStr">
        <is>
          <t>Unclear</t>
        </is>
      </c>
      <c r="AR593" s="77" t="inlineStr">
        <is>
          <t>Some projects</t>
        </is>
      </c>
      <c r="AS593" s="77" t="inlineStr"/>
    </row>
    <row r="594">
      <c r="A594" s="77" t="inlineStr">
        <is>
          <t>US01</t>
        </is>
      </c>
      <c r="B594" s="77" t="inlineStr">
        <is>
          <t>Massachusetts Institute of Technology</t>
        </is>
      </c>
      <c r="C594" s="77" t="inlineStr">
        <is>
          <t>Faculty/school</t>
        </is>
      </c>
      <c r="D594" s="77" t="inlineStr">
        <is>
          <t>US01-S01</t>
        </is>
      </c>
      <c r="E594" s="77" t="inlineStr"/>
      <c r="F594" s="77" t="inlineStr">
        <is>
          <t>No</t>
        </is>
      </c>
      <c r="G594" s="79" t="inlineStr">
        <is>
          <t>MIT Sloan Action Learning Labs</t>
        </is>
      </c>
      <c r="H594" s="77" t="inlineStr">
        <is>
          <t>MIT Sloan Action Learning Labs</t>
        </is>
      </c>
      <c r="I594" s="77" t="inlineStr">
        <is>
          <t>Multiple labs (e.g. Asia/ASEAN Lab, GO-Lab, Finance Lab, Sustainable Business Lab, Work Lab 15.679)</t>
        </is>
      </c>
      <c r="J594" s="77" t="inlineStr">
        <is>
          <t>Sloan action-learning labs in which teams of four students work on a real business challenge for a host organisation (corporate, startup, nonprofit, government, healthcare), supervised by a Sloan faculty mentor, often including travel to the host; they give the host options and recommendations backed by research and analysis.</t>
        </is>
      </c>
      <c r="K594" s="77" t="inlineStr">
        <is>
          <t>MIT Sloan Action Learning</t>
        </is>
      </c>
      <c r="L594" s="77" t="inlineStr">
        <is>
          <t>Sloan graduate programmes (MBA and others); some labs open to students across MIT by selective admission (e.g. Analytics Lab)</t>
        </is>
      </c>
      <c r="M594" s="77" t="inlineStr">
        <is>
          <t>Business/management</t>
        </is>
      </c>
      <c r="N594" s="77" t="inlineStr">
        <is>
          <t>Postgraduate taught</t>
        </is>
      </c>
      <c r="O594" s="77" t="inlineStr"/>
      <c r="P594" s="77" t="inlineStr">
        <is>
          <t>Lab-specific application/selection; MBA-focused (Asia Lab page mentions MBA students only)</t>
        </is>
      </c>
      <c r="Q594" s="77" t="inlineStr">
        <is>
          <t>Optional/elective</t>
        </is>
      </c>
      <c r="R594" s="77" t="inlineStr">
        <is>
          <t>Curricular</t>
        </is>
      </c>
      <c r="S594" s="77" t="inlineStr">
        <is>
          <t>Course credit varies by lab (not captured)</t>
        </is>
      </c>
      <c r="T594" s="77" t="inlineStr">
        <is>
          <t>Varies by lab: January month (Finance Lab), February-mid-May (ASEAN Lab), c. four months (GO-Lab)</t>
        </is>
      </c>
      <c r="U594" s="77" t="inlineStr">
        <is>
          <t>Team project with host organisation, often with in-country field work</t>
        </is>
      </c>
      <c r="V594" s="77" t="inlineStr">
        <is>
          <t>Yes</t>
        </is>
      </c>
      <c r="W594" s="77" t="inlineStr">
        <is>
          <t>Teams give 'options and recommendations for the host organization's problem' backed by research and analysis [2].</t>
        </is>
      </c>
      <c r="X594" s="77" t="inlineStr">
        <is>
          <t>Yes</t>
        </is>
      </c>
      <c r="Y594" s="77" t="inlineStr">
        <is>
          <t>'four-person teams' each with a Sloan faculty mentor [2].</t>
        </is>
      </c>
      <c r="Z594" s="77" t="inlineStr">
        <is>
          <t>Yes</t>
        </is>
      </c>
      <c r="AA594" s="77" t="inlineStr">
        <is>
          <t>Hosts provide the problem, an executive sponsor and a day-to-day contact, fund team travel and receive recommendations [2]; students and faculty have worked with 'over 2,700 organizations' including nonprofits, government and multinationals [1].</t>
        </is>
      </c>
      <c r="AB594" s="77" t="inlineStr">
        <is>
          <t>Mixed</t>
        </is>
      </c>
      <c r="AC594" s="77" t="inlineStr">
        <is>
          <t>Host/client: sets problem, executive sponsor, funds travel, receives recommendations</t>
        </is>
      </c>
      <c r="AD594" s="77" t="inlineStr"/>
      <c r="AE594" s="77" t="inlineStr">
        <is>
          <t>Options and recommendations (report/presentation) for host</t>
        </is>
      </c>
      <c r="AF594" s="77">
        <f>IF(OR(V594="No",X594="No",Z594="No"),"Outside strict definition",IF(AND(V594="Yes",X594="Yes",Z594="Yes"),"Meets all three","Potentially relevant; evidence incomplete"))</f>
        <v/>
      </c>
      <c r="AG594" s="77" t="inlineStr">
        <is>
          <t>Current delivery confirmed</t>
        </is>
      </c>
      <c r="AH594" s="77" t="inlineStr">
        <is>
          <t>2026 (Work Lab first offered spring 2026)</t>
        </is>
      </c>
      <c r="AI594" s="77" t="inlineStr">
        <is>
          <t>Yes</t>
        </is>
      </c>
      <c r="AJ594" s="77">
        <f>IF(AND(AI594="Yes",AF594="Meets all three",AG594="Current delivery confirmed"),"Yes","No")</f>
        <v/>
      </c>
      <c r="AK594" s="77" t="inlineStr">
        <is>
          <t>Over 2,700 host organisations cumulative (undated) [1].</t>
        </is>
      </c>
      <c r="AL594" s="77" t="inlineStr">
        <is>
          <t>US01-S01-R1; US01-S01-R2; US01-S01-R3</t>
        </is>
      </c>
      <c r="AM594" s="77" t="inlineStr">
        <is>
          <t>Team-size and credit of other labs; whether any lab is required; Info For Hosts page described the Asia Lab only.</t>
        </is>
      </c>
      <c r="AN594" s="77" t="inlineStr"/>
      <c r="AO594" s="77" t="inlineStr">
        <is>
          <t>US</t>
        </is>
      </c>
      <c r="AP594" s="77" t="inlineStr">
        <is>
          <t>US</t>
        </is>
      </c>
      <c r="AQ594" s="77" t="inlineStr">
        <is>
          <t>~1 term/semester</t>
        </is>
      </c>
      <c r="AR594" s="77" t="inlineStr">
        <is>
          <t>All/standard</t>
        </is>
      </c>
      <c r="AS594" s="77" t="inlineStr"/>
    </row>
    <row r="595">
      <c r="A595" s="77" t="inlineStr">
        <is>
          <t>US01</t>
        </is>
      </c>
      <c r="B595" s="77" t="inlineStr">
        <is>
          <t>Massachusetts Institute of Technology</t>
        </is>
      </c>
      <c r="C595" s="77" t="inlineStr">
        <is>
          <t>Programme/course</t>
        </is>
      </c>
      <c r="D595" s="77" t="inlineStr">
        <is>
          <t>US01-S02</t>
        </is>
      </c>
      <c r="E595" s="77" t="inlineStr"/>
      <c r="F595" s="77" t="inlineStr">
        <is>
          <t>No</t>
        </is>
      </c>
      <c r="G595" s="79" t="inlineStr">
        <is>
          <t>OP Team Project (MIT Sloan Action Learning)</t>
        </is>
      </c>
      <c r="H595" s="77" t="inlineStr">
        <is>
          <t>OP Team Project</t>
        </is>
      </c>
      <c r="I595" s="77" t="inlineStr"/>
      <c r="J595" s="77" t="inlineStr">
        <is>
          <t>Core MBA course in which each team of six first-year students analyses a live case study of a real company's strategic change initiative (structure, politics, culture) and crafts implementation plans.</t>
        </is>
      </c>
      <c r="K595" s="77" t="inlineStr">
        <is>
          <t>MIT Sloan Action Learning</t>
        </is>
      </c>
      <c r="L595" s="77" t="inlineStr">
        <is>
          <t>First-year Sloan MBA</t>
        </is>
      </c>
      <c r="M595" s="77" t="inlineStr">
        <is>
          <t>Business/management</t>
        </is>
      </c>
      <c r="N595" s="77" t="inlineStr">
        <is>
          <t>Postgraduate taught</t>
        </is>
      </c>
      <c r="O595" s="77" t="inlineStr">
        <is>
          <t>Year 1 MBA</t>
        </is>
      </c>
      <c r="P595" s="77" t="inlineStr">
        <is>
          <t>First-year MBA students</t>
        </is>
      </c>
      <c r="Q595" s="77" t="inlineStr">
        <is>
          <t>Compulsory within specified programmes</t>
        </is>
      </c>
      <c r="R595" s="77" t="inlineStr">
        <is>
          <t>Curricular</t>
        </is>
      </c>
      <c r="S595" s="77" t="inlineStr"/>
      <c r="T595" s="77" t="inlineStr">
        <is>
          <t>'Over the semester'</t>
        </is>
      </c>
      <c r="U595" s="77" t="inlineStr">
        <is>
          <t>Team project with company</t>
        </is>
      </c>
      <c r="V595" s="77" t="inlineStr">
        <is>
          <t>Yes</t>
        </is>
      </c>
      <c r="W595" s="77" t="inlineStr">
        <is>
          <t>Teams analyse a live company change effort and craft implementation plans [1].</t>
        </is>
      </c>
      <c r="X595" s="77" t="inlineStr">
        <is>
          <t>Yes</t>
        </is>
      </c>
      <c r="Y595" s="77" t="inlineStr">
        <is>
          <t>'each team of six' students [1].</t>
        </is>
      </c>
      <c r="Z595" s="77" t="inlineStr">
        <is>
          <t>Unclear</t>
        </is>
      </c>
      <c r="AA595" s="77" t="inlineStr">
        <is>
          <t>'live case study with a real company' [1]; how the company supplies the brief, receives outputs or assesses is not stated.</t>
        </is>
      </c>
      <c r="AB595" s="77" t="inlineStr">
        <is>
          <t>Business/commercial</t>
        </is>
      </c>
      <c r="AC595" s="77" t="inlineStr">
        <is>
          <t>Subject company of live case; role unspecified</t>
        </is>
      </c>
      <c r="AD595" s="77" t="inlineStr"/>
      <c r="AE595" s="77" t="inlineStr">
        <is>
          <t>Implementation plans (form unspecified)</t>
        </is>
      </c>
      <c r="AF595" s="77">
        <f>IF(OR(V595="No",X595="No",Z595="No"),"Outside strict definition",IF(AND(V595="Yes",X595="Yes",Z595="Yes"),"Meets all three","Potentially relevant; evidence incomplete"))</f>
        <v/>
      </c>
      <c r="AG595" s="77" t="inlineStr">
        <is>
          <t>Current status unclear</t>
        </is>
      </c>
      <c r="AH595" s="77" t="inlineStr">
        <is>
          <t>undated</t>
        </is>
      </c>
      <c r="AI595" s="77" t="inlineStr">
        <is>
          <t>Yes</t>
        </is>
      </c>
      <c r="AJ595" s="77">
        <f>IF(AND(AI595="Yes",AF595="Meets all three",AG595="Current delivery confirmed"),"Yes","No")</f>
        <v/>
      </c>
      <c r="AK595" s="77" t="inlineStr">
        <is>
          <t>Core course for 'all 450+ first-year MIT Sloan MBA students' (undated) [1].</t>
        </is>
      </c>
      <c r="AL595" s="77" t="inlineStr">
        <is>
          <t>US01-S02-R1</t>
        </is>
      </c>
      <c r="AM595" s="77" t="inlineStr">
        <is>
          <t>Company role, deliverable, term, and dated delivery.</t>
        </is>
      </c>
      <c r="AN595" s="77" t="inlineStr"/>
      <c r="AO595" s="77" t="inlineStr">
        <is>
          <t>US</t>
        </is>
      </c>
      <c r="AP595" s="77" t="inlineStr">
        <is>
          <t>US</t>
        </is>
      </c>
      <c r="AQ595" s="77" t="inlineStr">
        <is>
          <t>~1 term/semester</t>
        </is>
      </c>
      <c r="AR595" s="77" t="inlineStr">
        <is>
          <t>Unclear</t>
        </is>
      </c>
      <c r="AS595" s="77" t="inlineStr"/>
    </row>
    <row r="596">
      <c r="A596" s="77" t="inlineStr">
        <is>
          <t>US01</t>
        </is>
      </c>
      <c r="B596" s="77" t="inlineStr">
        <is>
          <t>Massachusetts Institute of Technology</t>
        </is>
      </c>
      <c r="C596" s="77" t="inlineStr">
        <is>
          <t>Programme/course</t>
        </is>
      </c>
      <c r="D596" s="77" t="inlineStr">
        <is>
          <t>US01-S03</t>
        </is>
      </c>
      <c r="E596" s="77" t="inlineStr"/>
      <c r="F596" s="77" t="inlineStr">
        <is>
          <t>No</t>
        </is>
      </c>
      <c r="G596" s="79" t="inlineStr">
        <is>
          <t>Master of Business Analytics Capstone</t>
        </is>
      </c>
      <c r="H596" s="77" t="inlineStr">
        <is>
          <t>Master of Business Analytics Capstone</t>
        </is>
      </c>
      <c r="I596" s="77" t="inlineStr"/>
      <c r="J596" s="77" t="inlineStr">
        <is>
          <t>Sponsor-proposed analytics projects for the 12-month MBAn: external organisations (38 in 2025, e.g. BMW, City of Boston, UNICEF, Pfizer) submit projects, provide a staff mentor under an NDA and Statement of Work and data; students with a faculty advisor produce a project and poster.</t>
        </is>
      </c>
      <c r="K596" s="77" t="inlineStr">
        <is>
          <t>MIT Sloan, Master of Business Analytics</t>
        </is>
      </c>
      <c r="L596" s="77" t="inlineStr">
        <is>
          <t>Master of Business Analytics</t>
        </is>
      </c>
      <c r="M596" s="77" t="inlineStr">
        <is>
          <t>Business/management</t>
        </is>
      </c>
      <c r="N596" s="77" t="inlineStr">
        <is>
          <t>Postgraduate taught</t>
        </is>
      </c>
      <c r="O596" s="77" t="inlineStr"/>
      <c r="P596" s="77" t="inlineStr"/>
      <c r="Q596" s="77" t="inlineStr">
        <is>
          <t>Unclear</t>
        </is>
      </c>
      <c r="R596" s="77" t="inlineStr">
        <is>
          <t>Curricular</t>
        </is>
      </c>
      <c r="S596" s="77" t="inlineStr"/>
      <c r="T596" s="77" t="inlineStr">
        <is>
          <t>About 7 months (search summary)</t>
        </is>
      </c>
      <c r="U596" s="77" t="inlineStr">
        <is>
          <t>Sponsored capstone project</t>
        </is>
      </c>
      <c r="V596" s="77" t="inlineStr">
        <is>
          <t>Yes</t>
        </is>
      </c>
      <c r="W596" s="77" t="inlineStr">
        <is>
          <t>41 listed 2025 projects each with a poster PDF [2].</t>
        </is>
      </c>
      <c r="X596" s="77" t="inlineStr">
        <is>
          <t>Unclear</t>
        </is>
      </c>
      <c r="Y596" s="77" t="inlineStr">
        <is>
          <t>'Most projects have two students and one faculty advisor' but CoreWeave and Lincoln Laboratory list one student [2]; pair projects count as group but mix not separable.</t>
        </is>
      </c>
      <c r="Z596" s="77" t="inlineStr">
        <is>
          <t>Yes</t>
        </is>
      </c>
      <c r="AA596" s="77" t="inlineStr">
        <is>
          <t>Sponsors must provide a staff mentor, sign NDA and Statement of Work and share de-identified data; 38 unique sponsors in 2025 [1][2].</t>
        </is>
      </c>
      <c r="AB596" s="77" t="inlineStr">
        <is>
          <t>Mixed</t>
        </is>
      </c>
      <c r="AC596" s="77" t="inlineStr">
        <is>
          <t>Sponsor: proposes project, provides data and staff mentor</t>
        </is>
      </c>
      <c r="AD596" s="77" t="inlineStr">
        <is>
          <t>Accenture, BMW, City of Boston, Comcast, McKinsey, Microsoft, Pfizer, UNICEF (2025 list) [2]</t>
        </is>
      </c>
      <c r="AE596" s="77" t="inlineStr">
        <is>
          <t>Project and poster</t>
        </is>
      </c>
      <c r="AF596" s="77">
        <f>IF(OR(V596="No",X596="No",Z596="No"),"Outside strict definition",IF(AND(V596="Yes",X596="Yes",Z596="Yes"),"Meets all three","Potentially relevant; evidence incomplete"))</f>
        <v/>
      </c>
      <c r="AG596" s="77" t="inlineStr">
        <is>
          <t>Current delivery confirmed</t>
        </is>
      </c>
      <c r="AH596" s="77" t="inlineStr">
        <is>
          <t>2025 cohort; 2027 project call closes 1 Nov 2026</t>
        </is>
      </c>
      <c r="AI596" s="77" t="inlineStr">
        <is>
          <t>Yes</t>
        </is>
      </c>
      <c r="AJ596" s="77">
        <f>IF(AND(AI596="Yes",AF596="Meets all three",AG596="Current delivery confirmed"),"Yes","No")</f>
        <v/>
      </c>
      <c r="AK596" s="77" t="inlineStr">
        <is>
          <t>41 projects, 38 sponsors (2025).</t>
        </is>
      </c>
      <c r="AL596" s="77" t="inlineStr">
        <is>
          <t>US01-S03-R1; US01-S03-R2</t>
        </is>
      </c>
      <c r="AM596" s="77" t="inlineStr">
        <is>
          <t>Whether capstone is compulsory; duration; individual vs pair split.</t>
        </is>
      </c>
      <c r="AN596" s="77" t="inlineStr"/>
      <c r="AO596" s="77" t="inlineStr">
        <is>
          <t>US</t>
        </is>
      </c>
      <c r="AP596" s="77" t="inlineStr">
        <is>
          <t>US</t>
        </is>
      </c>
      <c r="AQ596" s="77" t="inlineStr">
        <is>
          <t>~1 term/semester</t>
        </is>
      </c>
      <c r="AR596" s="77" t="inlineStr">
        <is>
          <t>All/standard</t>
        </is>
      </c>
      <c r="AS596" s="77" t="inlineStr"/>
    </row>
    <row r="597">
      <c r="A597" s="77" t="inlineStr">
        <is>
          <t>US01</t>
        </is>
      </c>
      <c r="B597" s="77" t="inlineStr">
        <is>
          <t>Massachusetts Institute of Technology</t>
        </is>
      </c>
      <c r="C597" s="77" t="inlineStr">
        <is>
          <t>Programme/course</t>
        </is>
      </c>
      <c r="D597" s="77" t="inlineStr">
        <is>
          <t>US01-S04</t>
        </is>
      </c>
      <c r="E597" s="77" t="inlineStr"/>
      <c r="F597" s="77" t="inlineStr">
        <is>
          <t>No</t>
        </is>
      </c>
      <c r="G597" s="79" t="inlineStr">
        <is>
          <t>Supply Chain Management Capstone (CTL sponsored projects)</t>
        </is>
      </c>
      <c r="H597" s="77" t="inlineStr">
        <is>
          <t>Supply Chain Management Capstone</t>
        </is>
      </c>
      <c r="I597" s="77" t="inlineStr"/>
      <c r="J597" s="77" t="inlineStr">
        <is>
          <t>Ten-month capstone in which teams of MIT SCM master's students work on a problem identified by a sponsoring industry organisation, delivering a written report, models or prototypes and an executive presentation.</t>
        </is>
      </c>
      <c r="K597" s="77" t="inlineStr">
        <is>
          <t>MIT Center for Transportation and Logistics (SCM programme)</t>
        </is>
      </c>
      <c r="L597" s="77" t="inlineStr">
        <is>
          <t>MIT SCM master's students</t>
        </is>
      </c>
      <c r="M597" s="77" t="inlineStr">
        <is>
          <t>Engineering/computing; Business/management</t>
        </is>
      </c>
      <c r="N597" s="77" t="inlineStr">
        <is>
          <t>Postgraduate taught</t>
        </is>
      </c>
      <c r="O597" s="77" t="inlineStr"/>
      <c r="P597" s="77" t="inlineStr"/>
      <c r="Q597" s="77" t="inlineStr">
        <is>
          <t>Unclear</t>
        </is>
      </c>
      <c r="R597" s="77" t="inlineStr">
        <is>
          <t>Curricular</t>
        </is>
      </c>
      <c r="S597" s="77" t="inlineStr"/>
      <c r="T597" s="77" t="inlineStr">
        <is>
          <t>10 months</t>
        </is>
      </c>
      <c r="U597" s="77" t="inlineStr">
        <is>
          <t>Sponsored team project</t>
        </is>
      </c>
      <c r="V597" s="77" t="inlineStr">
        <is>
          <t>Yes</t>
        </is>
      </c>
      <c r="W597" s="77" t="inlineStr">
        <is>
          <t>Report, analytical models/prototypes, executive final presentation [1].</t>
        </is>
      </c>
      <c r="X597" s="77" t="inlineStr">
        <is>
          <t>Yes</t>
        </is>
      </c>
      <c r="Y597" s="77" t="inlineStr">
        <is>
          <t>'Teams of students work closely with the sponsoring organization' [1]. Search summary says c.80 students and c.45 projects a year, so teams may be small (not verified).</t>
        </is>
      </c>
      <c r="Z597" s="77" t="inlineStr">
        <is>
          <t>Yes</t>
        </is>
      </c>
      <c r="AA597" s="77" t="inlineStr">
        <is>
          <t>'Each project is designed around a problem identified by an industry organization'; sponsors propose the challenge and teams work closely with them [1].</t>
        </is>
      </c>
      <c r="AB597" s="77" t="inlineStr">
        <is>
          <t>Business/commercial</t>
        </is>
      </c>
      <c r="AC597" s="77" t="inlineStr">
        <is>
          <t>Sponsor: proposes problem, works with team</t>
        </is>
      </c>
      <c r="AD597" s="77" t="inlineStr"/>
      <c r="AE597" s="77" t="inlineStr">
        <is>
          <t>Written report, models/prototypes, executive presentation</t>
        </is>
      </c>
      <c r="AF597" s="77">
        <f>IF(OR(V597="No",X597="No",Z597="No"),"Outside strict definition",IF(AND(V597="Yes",X597="Yes",Z597="Yes"),"Meets all three","Potentially relevant; evidence incomplete"))</f>
        <v/>
      </c>
      <c r="AG597" s="77" t="inlineStr">
        <is>
          <t>Current status unclear</t>
        </is>
      </c>
      <c r="AH597" s="77" t="inlineStr">
        <is>
          <t>undated</t>
        </is>
      </c>
      <c r="AI597" s="77" t="inlineStr">
        <is>
          <t>Yes</t>
        </is>
      </c>
      <c r="AJ597" s="77">
        <f>IF(AND(AI597="Yes",AF597="Meets all three",AG597="Current delivery confirmed"),"Yes","No")</f>
        <v/>
      </c>
      <c r="AK597" s="77" t="inlineStr"/>
      <c r="AL597" s="77" t="inlineStr">
        <is>
          <t>US01-S04-R1; US01-S04-R2</t>
        </is>
      </c>
      <c r="AM597" s="77" t="inlineStr">
        <is>
          <t>Team size; whether thesis option is individual; dated delivery.</t>
        </is>
      </c>
      <c r="AN597" s="77" t="inlineStr"/>
      <c r="AO597" s="77" t="inlineStr">
        <is>
          <t>US</t>
        </is>
      </c>
      <c r="AP597" s="77" t="inlineStr">
        <is>
          <t>US</t>
        </is>
      </c>
      <c r="AQ597" s="77" t="inlineStr">
        <is>
          <t>&gt;1 term</t>
        </is>
      </c>
      <c r="AR597" s="77" t="inlineStr">
        <is>
          <t>All/standard</t>
        </is>
      </c>
      <c r="AS597" s="77" t="inlineStr"/>
    </row>
    <row r="598">
      <c r="A598" s="77" t="inlineStr">
        <is>
          <t>US01</t>
        </is>
      </c>
      <c r="B598" s="77" t="inlineStr">
        <is>
          <t>Massachusetts Institute of Technology</t>
        </is>
      </c>
      <c r="C598" s="77" t="inlineStr">
        <is>
          <t>Programme/course</t>
        </is>
      </c>
      <c r="D598" s="77" t="inlineStr">
        <is>
          <t>US01-S05</t>
        </is>
      </c>
      <c r="E598" s="77" t="inlineStr"/>
      <c r="F598" s="77" t="inlineStr">
        <is>
          <t>No</t>
        </is>
      </c>
      <c r="G598" s="79" t="inlineStr">
        <is>
          <t>System Design and Management spring project</t>
        </is>
      </c>
      <c r="H598" s="77" t="inlineStr">
        <is>
          <t>SDM spring project (Core Integrated Team Projects)</t>
        </is>
      </c>
      <c r="I598" s="77" t="inlineStr"/>
      <c r="J598" s="77" t="inlineStr">
        <is>
          <t>In the spring semester SDM students work in teams on challenges proposed by industry, governmental and non-profit partners; the partner gives real-world context, reviews progress and advises on the team's approach.</t>
        </is>
      </c>
      <c r="K598" s="77" t="inlineStr">
        <is>
          <t>MIT SDM (Engineering and Sloan)</t>
        </is>
      </c>
      <c r="L598" s="77" t="inlineStr">
        <is>
          <t>SDM students</t>
        </is>
      </c>
      <c r="M598" s="77" t="inlineStr">
        <is>
          <t>Engineering/computing; Business/management</t>
        </is>
      </c>
      <c r="N598" s="77" t="inlineStr">
        <is>
          <t>Postgraduate taught</t>
        </is>
      </c>
      <c r="O598" s="77" t="inlineStr"/>
      <c r="P598" s="77" t="inlineStr"/>
      <c r="Q598" s="77" t="inlineStr">
        <is>
          <t>Unclear</t>
        </is>
      </c>
      <c r="R598" s="77" t="inlineStr">
        <is>
          <t>Curricular</t>
        </is>
      </c>
      <c r="S598" s="77" t="inlineStr"/>
      <c r="T598" s="77" t="inlineStr">
        <is>
          <t>Spring semester</t>
        </is>
      </c>
      <c r="U598" s="77" t="inlineStr">
        <is>
          <t>Team project with partner</t>
        </is>
      </c>
      <c r="V598" s="77" t="inlineStr">
        <is>
          <t>Yes</t>
        </is>
      </c>
      <c r="W598" s="77" t="inlineStr">
        <is>
          <t>Students 'spend the spring semester working on challenges proposed by' partners [1]; deliverables not listed.</t>
        </is>
      </c>
      <c r="X598" s="77" t="inlineStr">
        <is>
          <t>Yes</t>
        </is>
      </c>
      <c r="Y598" s="77" t="inlineStr">
        <is>
          <t>'Each team works closely with their project partner' [1]; team size not stated.</t>
        </is>
      </c>
      <c r="Z598" s="77" t="inlineStr">
        <is>
          <t>Yes</t>
        </is>
      </c>
      <c r="AA598" s="77" t="inlineStr">
        <is>
          <t>Partner 'provides real-world context', 'reviews progress throughout the semester' and advises [1].</t>
        </is>
      </c>
      <c r="AB598" s="77" t="inlineStr">
        <is>
          <t>Mixed</t>
        </is>
      </c>
      <c r="AC598" s="77" t="inlineStr">
        <is>
          <t>Proposes challenge, reviews progress, advises</t>
        </is>
      </c>
      <c r="AD598" s="77" t="inlineStr"/>
      <c r="AE598" s="77" t="inlineStr">
        <is>
          <t>Not specified</t>
        </is>
      </c>
      <c r="AF598" s="77">
        <f>IF(OR(V598="No",X598="No",Z598="No"),"Outside strict definition",IF(AND(V598="Yes",X598="Yes",Z598="Yes"),"Meets all three","Potentially relevant; evidence incomplete"))</f>
        <v/>
      </c>
      <c r="AG598" s="77" t="inlineStr">
        <is>
          <t>Current status unclear</t>
        </is>
      </c>
      <c r="AH598" s="77" t="inlineStr">
        <is>
          <t>2025/26 (call for 2026 spring pitches open until 1 Dec 2025)</t>
        </is>
      </c>
      <c r="AI598" s="77" t="inlineStr">
        <is>
          <t>Yes</t>
        </is>
      </c>
      <c r="AJ598" s="77">
        <f>IF(AND(AI598="Yes",AF598="Meets all three",AG598="Current delivery confirmed"),"Yes","No")</f>
        <v/>
      </c>
      <c r="AK598" s="77" t="inlineStr"/>
      <c r="AL598" s="77" t="inlineStr">
        <is>
          <t>US01-S05-R1</t>
        </is>
      </c>
      <c r="AM598" s="77" t="inlineStr">
        <is>
          <t>Evidence is a pitch call, not delivery; team size, credit, compulsory status, deliverable.</t>
        </is>
      </c>
      <c r="AN598" s="77" t="inlineStr"/>
      <c r="AO598" s="77" t="inlineStr">
        <is>
          <t>US</t>
        </is>
      </c>
      <c r="AP598" s="77" t="inlineStr">
        <is>
          <t>US</t>
        </is>
      </c>
      <c r="AQ598" s="77" t="inlineStr">
        <is>
          <t>~1 term/semester</t>
        </is>
      </c>
      <c r="AR598" s="77" t="inlineStr">
        <is>
          <t>All/standard</t>
        </is>
      </c>
      <c r="AS598" s="77" t="inlineStr"/>
    </row>
    <row r="599">
      <c r="A599" s="77" t="inlineStr">
        <is>
          <t>US01</t>
        </is>
      </c>
      <c r="B599" s="77" t="inlineStr">
        <is>
          <t>Massachusetts Institute of Technology</t>
        </is>
      </c>
      <c r="C599" s="77" t="inlineStr">
        <is>
          <t>Unclear</t>
        </is>
      </c>
      <c r="D599" s="77" t="inlineStr">
        <is>
          <t>US01-S06</t>
        </is>
      </c>
      <c r="E599" s="77" t="inlineStr"/>
      <c r="F599" s="77" t="inlineStr">
        <is>
          <t>No</t>
        </is>
      </c>
      <c r="G599" s="79" t="inlineStr">
        <is>
          <t>D-Lab: Design (2.722J / MAD.720 / EC.720)</t>
        </is>
      </c>
      <c r="H599" s="77" t="inlineStr">
        <is>
          <t>D-Lab: Design</t>
        </is>
      </c>
      <c r="I599" s="77" t="inlineStr">
        <is>
          <t>2.722J / MAD.720 / EC.720</t>
        </is>
      </c>
      <c r="J599" s="77" t="inlineStr">
        <is>
          <t>Spring subject (5-0-7) in which multidisciplinary student teams carry out semester-long design and prototyping projects with international community partners (start-ups, nonprofits) on health, agriculture, sanitation and climate challenges. Other D-Lab classes follow a similar partner-project model.</t>
        </is>
      </c>
      <c r="K599" s="77" t="inlineStr">
        <is>
          <t>MIT D-Lab</t>
        </is>
      </c>
      <c r="L599" s="77" t="inlineStr">
        <is>
          <t>Cross-listed (U) subject; eligibility not stated</t>
        </is>
      </c>
      <c r="M599" s="77" t="inlineStr">
        <is>
          <t>Engineering/computing; Other (law, health, design, architecture…)</t>
        </is>
      </c>
      <c r="N599" s="77" t="inlineStr">
        <is>
          <t>Undergraduate</t>
        </is>
      </c>
      <c r="O599" s="77" t="inlineStr"/>
      <c r="P599" s="77" t="inlineStr">
        <is>
          <t>Not stated on page</t>
        </is>
      </c>
      <c r="Q599" s="77" t="inlineStr">
        <is>
          <t>Optional/elective</t>
        </is>
      </c>
      <c r="R599" s="77" t="inlineStr">
        <is>
          <t>Curricular</t>
        </is>
      </c>
      <c r="S599" s="77" t="inlineStr">
        <is>
          <t>5-0-7 units</t>
        </is>
      </c>
      <c r="T599" s="77" t="inlineStr">
        <is>
          <t>Spring semester</t>
        </is>
      </c>
      <c r="U599" s="77" t="inlineStr">
        <is>
          <t>Team design projects, optional IAP trips in related classes</t>
        </is>
      </c>
      <c r="V599" s="77" t="inlineStr">
        <is>
          <t>Yes</t>
        </is>
      </c>
      <c r="W599" s="77" t="inlineStr">
        <is>
          <t>'semester-long projects' with design and prototyping [1].</t>
        </is>
      </c>
      <c r="X599" s="77" t="inlineStr">
        <is>
          <t>Yes</t>
        </is>
      </c>
      <c r="Y599" s="77" t="inlineStr">
        <is>
          <t>'Multidisciplinary student teams work on semester-long projects' [1].</t>
        </is>
      </c>
      <c r="Z599" s="77" t="inlineStr">
        <is>
          <t>Yes</t>
        </is>
      </c>
      <c r="AA599" s="77" t="inlineStr">
        <is>
          <t>Projects 'in collaboration with international community partners'; teams connect with 'innovative global start-ups and nonprofits' [1]; students present to peers and partners (search summary).</t>
        </is>
      </c>
      <c r="AB599" s="77" t="inlineStr">
        <is>
          <t>Mixed</t>
        </is>
      </c>
      <c r="AC599" s="77" t="inlineStr">
        <is>
          <t>Community partner frames the project and collaborates</t>
        </is>
      </c>
      <c r="AD599" s="77" t="inlineStr"/>
      <c r="AE599" s="77" t="inlineStr">
        <is>
          <t>Prototype/design (presented to partners)</t>
        </is>
      </c>
      <c r="AF599" s="77">
        <f>IF(OR(V599="No",X599="No",Z599="No"),"Outside strict definition",IF(AND(V599="Yes",X599="Yes",Z599="Yes"),"Meets all three","Potentially relevant; evidence incomplete"))</f>
        <v/>
      </c>
      <c r="AG599" s="77" t="inlineStr">
        <is>
          <t>Current status unclear</t>
        </is>
      </c>
      <c r="AH599" s="77" t="inlineStr">
        <is>
          <t>undated</t>
        </is>
      </c>
      <c r="AI599" s="77" t="inlineStr">
        <is>
          <t>Yes</t>
        </is>
      </c>
      <c r="AJ599" s="77">
        <f>IF(AND(AI599="Yes",AF599="Meets all three",AG599="Current delivery confirmed"),"Yes","No")</f>
        <v/>
      </c>
      <c r="AK599" s="77" t="inlineStr"/>
      <c r="AL599" s="77" t="inlineStr">
        <is>
          <t>US01-S06-R1</t>
        </is>
      </c>
      <c r="AM599" s="77" t="inlineStr">
        <is>
          <t>Dated 2025/26 or 2026/27 offering; partner involvement in assessment; named partners.</t>
        </is>
      </c>
      <c r="AN599" s="77" t="inlineStr"/>
      <c r="AO599" s="77" t="inlineStr">
        <is>
          <t>US</t>
        </is>
      </c>
      <c r="AP599" s="77" t="inlineStr">
        <is>
          <t>US</t>
        </is>
      </c>
      <c r="AQ599" s="77" t="inlineStr">
        <is>
          <t>~1 term/semester</t>
        </is>
      </c>
      <c r="AR599" s="77" t="inlineStr">
        <is>
          <t>All/standard</t>
        </is>
      </c>
      <c r="AS599" s="77" t="inlineStr"/>
    </row>
    <row r="600">
      <c r="A600" s="77" t="inlineStr">
        <is>
          <t>US01</t>
        </is>
      </c>
      <c r="B600" s="77" t="inlineStr">
        <is>
          <t>Massachusetts Institute of Technology</t>
        </is>
      </c>
      <c r="C600" s="77" t="inlineStr">
        <is>
          <t>Programme/course</t>
        </is>
      </c>
      <c r="D600" s="77" t="inlineStr">
        <is>
          <t>US01-S07</t>
        </is>
      </c>
      <c r="E600" s="77" t="inlineStr"/>
      <c r="F600" s="77" t="inlineStr">
        <is>
          <t>No</t>
        </is>
      </c>
      <c r="G600" s="79" t="inlineStr">
        <is>
          <t>DUSP planning practicum (e.g. 11.S938 Resilience by Design)</t>
        </is>
      </c>
      <c r="H600" s="77" t="inlineStr">
        <is>
          <t>DUSP client-based practicum</t>
        </is>
      </c>
      <c r="I600" s="77" t="inlineStr">
        <is>
          <t>e.g. 11.S938</t>
        </is>
      </c>
      <c r="J600" s="77" t="inlineStr">
        <is>
          <t>MCP students must complete a departmental practicum that develops planning proposals in field situations, judged partly on being client-based. Example 11.S938 (graduate, Fall) works with MIT CoLab, GROUND3D, Brooklyn Level Up and Central Brooklyn EDC; students support community partners in answering a central question.</t>
        </is>
      </c>
      <c r="K600" s="77" t="inlineStr">
        <is>
          <t>Department of Urban Studies and Planning</t>
        </is>
      </c>
      <c r="L600" s="77" t="inlineStr">
        <is>
          <t>MCP students (practicum requirement)</t>
        </is>
      </c>
      <c r="M600" s="77" t="inlineStr">
        <is>
          <t>Other (law, health, design, architecture…)</t>
        </is>
      </c>
      <c r="N600" s="77" t="inlineStr">
        <is>
          <t>Postgraduate taught</t>
        </is>
      </c>
      <c r="O600" s="77" t="inlineStr"/>
      <c r="P600" s="77" t="inlineStr">
        <is>
          <t>Application per semester; limited enrolment</t>
        </is>
      </c>
      <c r="Q600" s="77" t="inlineStr">
        <is>
          <t>Compulsory within specified programmes</t>
        </is>
      </c>
      <c r="R600" s="77" t="inlineStr">
        <is>
          <t>Curricular</t>
        </is>
      </c>
      <c r="S600" s="77" t="inlineStr"/>
      <c r="T600" s="77" t="inlineStr">
        <is>
          <t>One semester</t>
        </is>
      </c>
      <c r="U600" s="77" t="inlineStr">
        <is>
          <t>Client-based practicum</t>
        </is>
      </c>
      <c r="V600" s="77" t="inlineStr">
        <is>
          <t>Yes</t>
        </is>
      </c>
      <c r="W600" s="77" t="inlineStr">
        <is>
          <t>Practica 'answer' to a real client and develop planning proposals [2].</t>
        </is>
      </c>
      <c r="X600" s="77" t="inlineStr">
        <is>
          <t>Unclear</t>
        </is>
      </c>
      <c r="Y600" s="77" t="inlineStr">
        <is>
          <t>Team basis not stated in extracts.</t>
        </is>
      </c>
      <c r="Z600" s="77" t="inlineStr">
        <is>
          <t>Unclear</t>
        </is>
      </c>
      <c r="AA600" s="77" t="inlineStr">
        <is>
          <t>11.S938 partners include community organisations and an EDC but also MIT CoLab (internal); no client-assessment detail [1].</t>
        </is>
      </c>
      <c r="AB600" s="77" t="inlineStr">
        <is>
          <t>Mixed</t>
        </is>
      </c>
      <c r="AC600" s="77" t="inlineStr">
        <is>
          <t>Community/client partners</t>
        </is>
      </c>
      <c r="AD600" s="77" t="inlineStr">
        <is>
          <t>Brooklyn Level Up, CBEDC, GROUND3D (11.S938, year not shown) [1]</t>
        </is>
      </c>
      <c r="AE600" s="77" t="inlineStr">
        <is>
          <t>Planning proposals/reports</t>
        </is>
      </c>
      <c r="AF600" s="77">
        <f>IF(OR(V600="No",X600="No",Z600="No"),"Outside strict definition",IF(AND(V600="Yes",X600="Yes",Z600="Yes"),"Meets all three","Potentially relevant; evidence incomplete"))</f>
        <v/>
      </c>
      <c r="AG600" s="77" t="inlineStr">
        <is>
          <t>Current status unclear</t>
        </is>
      </c>
      <c r="AH600" s="77" t="inlineStr">
        <is>
          <t>undated</t>
        </is>
      </c>
      <c r="AI600" s="77" t="inlineStr">
        <is>
          <t>Yes</t>
        </is>
      </c>
      <c r="AJ600" s="77">
        <f>IF(AND(AI600="Yes",AF600="Meets all three",AG600="Current delivery confirmed"),"Yes","No")</f>
        <v/>
      </c>
      <c r="AK600" s="77" t="inlineStr"/>
      <c r="AL600" s="77" t="inlineStr">
        <is>
          <t>US01-S07-R1; US01-S07-R2</t>
        </is>
      </c>
      <c r="AM600" s="77" t="inlineStr">
        <is>
          <t>Group structure, year, internal-vs-external share of clients.</t>
        </is>
      </c>
      <c r="AN600" s="77" t="inlineStr"/>
      <c r="AO600" s="77" t="inlineStr">
        <is>
          <t>US</t>
        </is>
      </c>
      <c r="AP600" s="77" t="inlineStr">
        <is>
          <t>US</t>
        </is>
      </c>
      <c r="AQ600" s="77" t="inlineStr">
        <is>
          <t>~1 term/semester</t>
        </is>
      </c>
      <c r="AR600" s="77" t="inlineStr">
        <is>
          <t>Some projects</t>
        </is>
      </c>
      <c r="AS600" s="77" t="inlineStr"/>
    </row>
    <row r="601">
      <c r="A601" s="77" t="inlineStr">
        <is>
          <t>US02</t>
        </is>
      </c>
      <c r="B601" s="77" t="inlineStr">
        <is>
          <t>Harvard</t>
        </is>
      </c>
      <c r="C601" s="77" t="inlineStr">
        <is>
          <t>Programme/course</t>
        </is>
      </c>
      <c r="D601" s="77" t="inlineStr">
        <is>
          <t>US02-S01</t>
        </is>
      </c>
      <c r="E601" s="77" t="inlineStr"/>
      <c r="F601" s="77" t="inlineStr">
        <is>
          <t>No</t>
        </is>
      </c>
      <c r="G601" s="79" t="inlineStr">
        <is>
          <t>FIELD Global Capstone (CAP), formerly FIELD Global Immersion</t>
        </is>
      </c>
      <c r="H601" s="77" t="inlineStr">
        <is>
          <t>FIELD Global Capstone (CAP)</t>
        </is>
      </c>
      <c r="I601" s="77" t="inlineStr">
        <is>
          <t>CAP</t>
        </is>
      </c>
      <c r="J601" s="77" t="inlineStr">
        <is>
          <t>Semester-long Required Curriculum course in the MBA first year. HBS matches each Global Partner company with a diverse team of six students who design something new for the company's local end-user consumers, then spend a one-week immersion at the partner's location (11-18 May 2026) meeting the partner and local consumers.</t>
        </is>
      </c>
      <c r="K601" s="77" t="inlineStr">
        <is>
          <t>Harvard Business School, MBA Program</t>
        </is>
      </c>
      <c r="L601" s="77" t="inlineStr">
        <is>
          <t>HBS MBA first-year (Required Curriculum) students; Boston-based section for those who cannot travel</t>
        </is>
      </c>
      <c r="M601" s="77" t="inlineStr">
        <is>
          <t>Business/management</t>
        </is>
      </c>
      <c r="N601" s="77" t="inlineStr">
        <is>
          <t>Postgraduate taught</t>
        </is>
      </c>
      <c r="O601" s="77" t="inlineStr">
        <is>
          <t>MBA Year 1</t>
        </is>
      </c>
      <c r="P601" s="77" t="inlineStr">
        <is>
          <t>MBA RC students</t>
        </is>
      </c>
      <c r="Q601" s="77" t="inlineStr">
        <is>
          <t>Compulsory within specified programmes</t>
        </is>
      </c>
      <c r="R601" s="77" t="inlineStr">
        <is>
          <t>Curricular</t>
        </is>
      </c>
      <c r="S601" s="77" t="inlineStr">
        <is>
          <t>Not retrieved</t>
        </is>
      </c>
      <c r="T601" s="77" t="inlineStr">
        <is>
          <t>One semester with one-week immersion</t>
        </is>
      </c>
      <c r="U601" s="77" t="inlineStr">
        <is>
          <t>Team project with partner company; on-campus sessions plus immersion abroad</t>
        </is>
      </c>
      <c r="V601" s="77" t="inlineStr">
        <is>
          <t>Yes</t>
        </is>
      </c>
      <c r="W601" s="77" t="inlineStr">
        <is>
          <t>Teams design a new product, service or customer experience concept for the partner's local consumers [1][2].</t>
        </is>
      </c>
      <c r="X601" s="77" t="inlineStr">
        <is>
          <t>Yes</t>
        </is>
      </c>
      <c r="Y601" s="77" t="inlineStr">
        <is>
          <t>Each company is matched with a team of six students [1][2].</t>
        </is>
      </c>
      <c r="Z601" s="77" t="inlineStr">
        <is>
          <t>Yes</t>
        </is>
      </c>
      <c r="AA601" s="77" t="inlineStr">
        <is>
          <t>Partner companies are selected by HBS, each names a Project Manager, signs a project agreement with HBS, hosts the team and receives the proposal [1][2]. Pages state learning, not consulting, is the main goal.</t>
        </is>
      </c>
      <c r="AB601" s="77" t="inlineStr">
        <is>
          <t>Business/commercial</t>
        </is>
      </c>
      <c r="AC601" s="77" t="inlineStr">
        <is>
          <t>Hosts team; names project manager; sets consumer-focused project area; receives proposal</t>
        </is>
      </c>
      <c r="AD601" s="77" t="inlineStr"/>
      <c r="AE601" s="77" t="inlineStr">
        <is>
          <t>Proposal for new product/service/customer experience presented to the partner</t>
        </is>
      </c>
      <c r="AF601" s="77">
        <f>IF(OR(V601="No",X601="No",Z601="No"),"Outside strict definition",IF(AND(V601="Yes",X601="Yes",Z601="Yes"),"Meets all three","Potentially relevant; evidence incomplete"))</f>
        <v/>
      </c>
      <c r="AG601" s="77" t="inlineStr">
        <is>
          <t>Current delivery confirmed</t>
        </is>
      </c>
      <c r="AH601" s="77" t="inlineStr">
        <is>
          <t>2026 (immersion 11-18 May 2026)</t>
        </is>
      </c>
      <c r="AI601" s="77" t="inlineStr">
        <is>
          <t>Yes</t>
        </is>
      </c>
      <c r="AJ601" s="77">
        <f>IF(AND(AI601="Yes",AF601="Meets all three",AG601="Current delivery confirmed"),"Yes","No")</f>
        <v/>
      </c>
      <c r="AK601" s="77" t="inlineStr"/>
      <c r="AL601" s="77" t="inlineStr">
        <is>
          <t>US02-S01-R1; US02-S01-R2</t>
        </is>
      </c>
      <c r="AM601" s="77" t="inlineStr">
        <is>
          <t>Credit/assessment weight; number of partners in current year (pages cite 13 and 16 cities); what the partner formally receives; HBS handbook and course pages could not be opened by WebFetch (404 / wrong page), so quotes are from search-index text.</t>
        </is>
      </c>
      <c r="AN601" s="77" t="inlineStr"/>
      <c r="AO601" s="77" t="inlineStr">
        <is>
          <t>US</t>
        </is>
      </c>
      <c r="AP601" s="77" t="inlineStr">
        <is>
          <t>US</t>
        </is>
      </c>
      <c r="AQ601" s="77" t="inlineStr">
        <is>
          <t>~1 term/semester</t>
        </is>
      </c>
      <c r="AR601" s="77" t="inlineStr">
        <is>
          <t>All/standard</t>
        </is>
      </c>
      <c r="AS601" s="77" t="inlineStr"/>
    </row>
    <row r="602">
      <c r="A602" s="77" t="inlineStr">
        <is>
          <t>US02</t>
        </is>
      </c>
      <c r="B602" s="77" t="inlineStr">
        <is>
          <t>Harvard</t>
        </is>
      </c>
      <c r="C602" s="77" t="inlineStr">
        <is>
          <t>Programme/course</t>
        </is>
      </c>
      <c r="D602" s="77" t="inlineStr">
        <is>
          <t>US02-S02</t>
        </is>
      </c>
      <c r="E602" s="77" t="inlineStr"/>
      <c r="F602" s="77" t="inlineStr">
        <is>
          <t>No</t>
        </is>
      </c>
      <c r="G602" s="79" t="inlineStr">
        <is>
          <t>Computational Science and Engineering Capstone Project (APCOMP 297R)</t>
        </is>
      </c>
      <c r="H602" s="77" t="inlineStr">
        <is>
          <t>Computational Science and Engineering Capstone Project</t>
        </is>
      </c>
      <c r="I602" s="77" t="inlineStr">
        <is>
          <t>APCOMP 297R</t>
        </is>
      </c>
      <c r="J602" s="77" t="inlineStr">
        <is>
          <t>Semester-long capstone in which students work in groups of 3-4 on a real-world project for a partner/client organization, with progress communicated to course staff and the partner. Past partner examples: Biogen, Fluxedo, Spotify (c. 2017); Unspace rail-incident drone vision project (2024-25).</t>
        </is>
      </c>
      <c r="K602" s="77" t="inlineStr">
        <is>
          <t>Institute for Applied Computational Science (IACS), SEAS</t>
        </is>
      </c>
      <c r="L602" s="77" t="inlineStr">
        <is>
          <t>Master's in Computational Science and Engineering / Data Science (inferred; page does not state who must take it)</t>
        </is>
      </c>
      <c r="M602" s="77" t="inlineStr">
        <is>
          <t>Engineering/computing</t>
        </is>
      </c>
      <c r="N602" s="77" t="inlineStr">
        <is>
          <t>Postgraduate taught</t>
        </is>
      </c>
      <c r="O602" s="77" t="inlineStr"/>
      <c r="P602" s="77" t="inlineStr">
        <is>
          <t>Not stated on pages retrieved</t>
        </is>
      </c>
      <c r="Q602" s="77" t="inlineStr">
        <is>
          <t>Unclear</t>
        </is>
      </c>
      <c r="R602" s="77" t="inlineStr">
        <is>
          <t>Curricular</t>
        </is>
      </c>
      <c r="S602" s="77" t="inlineStr">
        <is>
          <t>Not retrieved</t>
        </is>
      </c>
      <c r="T602" s="77" t="inlineStr">
        <is>
          <t>One semester (Fall 2026 and Spring 2027 sections listed)</t>
        </is>
      </c>
      <c r="U602" s="77" t="inlineStr">
        <is>
          <t>Weekly class (Wed 12:45-3:30pm) with team projects</t>
        </is>
      </c>
      <c r="V602" s="77" t="inlineStr">
        <is>
          <t>Yes</t>
        </is>
      </c>
      <c r="W602" s="77" t="inlineStr">
        <is>
          <t>Teams of 3-4 on a real-world project with messy real datasets; examples with defined models/systems built [1][2].</t>
        </is>
      </c>
      <c r="X602" s="77" t="inlineStr">
        <is>
          <t>Yes</t>
        </is>
      </c>
      <c r="Y602" s="77" t="inlineStr">
        <is>
          <t>'in groups of 3-4 on a real-world project' [1].</t>
        </is>
      </c>
      <c r="Z602" s="77" t="inlineStr">
        <is>
          <t>Yes</t>
        </is>
      </c>
      <c r="AA602" s="77" t="inlineStr">
        <is>
          <t>Course listing refers to progress communicated to a 'partner organization'; search result for a SEAS page says semester-long projects with 'client' organizations; examples of industry partners [1][2]. Whether external partners are the norm for every team is not stated.</t>
        </is>
      </c>
      <c r="AB602" s="77" t="inlineStr">
        <is>
          <t>Business/commercial</t>
        </is>
      </c>
      <c r="AC602" s="77" t="inlineStr">
        <is>
          <t>Provides real-world project and data; receives progress updates</t>
        </is>
      </c>
      <c r="AD602" s="77" t="inlineStr">
        <is>
          <t>Biogen, Fluxedo, Spotify (c. 2017); Unspace (2024-25, from search summary)</t>
        </is>
      </c>
      <c r="AE602" s="77" t="inlineStr">
        <is>
          <t>Team project output (model/system) reported to partner</t>
        </is>
      </c>
      <c r="AF602" s="77">
        <f>IF(OR(V602="No",X602="No",Z602="No"),"Outside strict definition",IF(AND(V602="Yes",X602="Yes",Z602="Yes"),"Meets all three","Potentially relevant; evidence incomplete"))</f>
        <v/>
      </c>
      <c r="AG602" s="77" t="inlineStr">
        <is>
          <t>Current delivery confirmed</t>
        </is>
      </c>
      <c r="AH602" s="77" t="inlineStr">
        <is>
          <t>Fall 2026</t>
        </is>
      </c>
      <c r="AI602" s="77" t="inlineStr">
        <is>
          <t>Yes</t>
        </is>
      </c>
      <c r="AJ602" s="77">
        <f>IF(AND(AI602="Yes",AF602="Meets all three",AG602="Current delivery confirmed"),"Yes","No")</f>
        <v/>
      </c>
      <c r="AK602" s="77" t="inlineStr"/>
      <c r="AL602" s="77" t="inlineStr">
        <is>
          <t>US02-S02-R1; US02-S02-R2</t>
        </is>
      </c>
      <c r="AM602" s="77" t="inlineStr">
        <is>
          <t>Whether compulsory for the CSE/Data Science master's; credit; current partner list; iacs.seas.harvard.edu/capstone and designfair pages returned 403 so were not read; partner-coverage wording is from the course listing and search summaries.</t>
        </is>
      </c>
      <c r="AN602" s="77" t="inlineStr"/>
      <c r="AO602" s="77" t="inlineStr">
        <is>
          <t>US</t>
        </is>
      </c>
      <c r="AP602" s="77" t="inlineStr">
        <is>
          <t>US</t>
        </is>
      </c>
      <c r="AQ602" s="77" t="inlineStr">
        <is>
          <t>~1 term/semester</t>
        </is>
      </c>
      <c r="AR602" s="77" t="inlineStr">
        <is>
          <t>Unclear</t>
        </is>
      </c>
      <c r="AS602" s="77" t="inlineStr"/>
    </row>
    <row r="603">
      <c r="A603" s="77" t="inlineStr">
        <is>
          <t>US02</t>
        </is>
      </c>
      <c r="B603" s="77" t="inlineStr">
        <is>
          <t>Harvard</t>
        </is>
      </c>
      <c r="C603" s="77" t="inlineStr">
        <is>
          <t>Faculty/school</t>
        </is>
      </c>
      <c r="D603" s="77" t="inlineStr">
        <is>
          <t>US02-S03</t>
        </is>
      </c>
      <c r="E603" s="77" t="inlineStr"/>
      <c r="F603" s="77" t="inlineStr">
        <is>
          <t>No</t>
        </is>
      </c>
      <c r="G603" s="79" t="inlineStr">
        <is>
          <t>Harvard Dispute Systems Design Clinic</t>
        </is>
      </c>
      <c r="H603" s="77" t="inlineStr">
        <is>
          <t>Harvard Dispute Systems Design Clinic</t>
        </is>
      </c>
      <c r="I603" s="77" t="inlineStr"/>
      <c r="J603" s="77" t="inlineStr">
        <is>
          <t>Students work in a team of 2-3 (themselves plus 1-2 others) with a Clinical Instructor on a challenge facing an organization or community, meet the client weekly, gather information (interviews, focus groups, surveys), and present findings and recommendations to the client and a final report. Co-required seminar 'Designing Dispute Systems for Justice' (2 classroom credits).</t>
        </is>
      </c>
      <c r="K603" s="77" t="inlineStr">
        <is>
          <t>Harvard Law School, in-house clinics</t>
        </is>
      </c>
      <c r="L603" s="77" t="inlineStr">
        <is>
          <t>Harvard Law School students (as stated by clinic page context)</t>
        </is>
      </c>
      <c r="M603" s="77" t="inlineStr">
        <is>
          <t>Other (law, health, design, architecture…)</t>
        </is>
      </c>
      <c r="N603" s="77" t="inlineStr">
        <is>
          <t>Unclear</t>
        </is>
      </c>
      <c r="O603" s="77" t="inlineStr"/>
      <c r="P603" s="77" t="inlineStr"/>
      <c r="Q603" s="77" t="inlineStr">
        <is>
          <t>Optional/elective</t>
        </is>
      </c>
      <c r="R603" s="77" t="inlineStr">
        <is>
          <t>Curricular</t>
        </is>
      </c>
      <c r="S603" s="77" t="inlineStr">
        <is>
          <t>Clinical credits plus 2-credit co-required seminar</t>
        </is>
      </c>
      <c r="T603" s="77" t="inlineStr">
        <is>
          <t>One semester (Fall and Spring)</t>
        </is>
      </c>
      <c r="U603" s="77" t="inlineStr">
        <is>
          <t>Team client project plus seminar</t>
        </is>
      </c>
      <c r="V603" s="77" t="inlineStr">
        <is>
          <t>Yes</t>
        </is>
      </c>
      <c r="W603" s="77" t="inlineStr">
        <is>
          <t>Research and consulting project ending in findings, recommendations and final report [1].</t>
        </is>
      </c>
      <c r="X603" s="77" t="inlineStr">
        <is>
          <t>Yes</t>
        </is>
      </c>
      <c r="Y603" s="77" t="inlineStr">
        <is>
          <t>'usually work in a team of 1-2 other students with a Clinical Instructor' [1]. Pair or trio counts as a team.</t>
        </is>
      </c>
      <c r="Z603" s="77" t="inlineStr">
        <is>
          <t>Yes</t>
        </is>
      </c>
      <c r="AA603" s="77" t="inlineStr">
        <is>
          <t>Each team works on a challenge facing an organization or community, meets the client weekly and shares recommendations with the client [1].</t>
        </is>
      </c>
      <c r="AB603" s="77" t="inlineStr">
        <is>
          <t>Unclear</t>
        </is>
      </c>
      <c r="AC603" s="77" t="inlineStr">
        <is>
          <t>Client: poses challenge, meets team weekly, receives recommendations</t>
        </is>
      </c>
      <c r="AD603" s="77" t="inlineStr"/>
      <c r="AE603" s="77" t="inlineStr">
        <is>
          <t>Final report and recommendations to client</t>
        </is>
      </c>
      <c r="AF603" s="77">
        <f>IF(OR(V603="No",X603="No",Z603="No"),"Outside strict definition",IF(AND(V603="Yes",X603="Yes",Z603="Yes"),"Meets all three","Potentially relevant; evidence incomplete"))</f>
        <v/>
      </c>
      <c r="AG603" s="77" t="inlineStr">
        <is>
          <t>Current status unclear</t>
        </is>
      </c>
      <c r="AH603" s="77" t="inlineStr"/>
      <c r="AI603" s="77" t="inlineStr">
        <is>
          <t>Yes</t>
        </is>
      </c>
      <c r="AJ603" s="77">
        <f>IF(AND(AI603="Yes",AF603="Meets all three",AG603="Current delivery confirmed"),"Yes","No")</f>
        <v/>
      </c>
      <c r="AK603" s="77" t="inlineStr"/>
      <c r="AL603" s="77" t="inlineStr">
        <is>
          <t>US02-S03-R1</t>
        </is>
      </c>
      <c r="AM603" s="77" t="inlineStr">
        <is>
          <t>Page is undated; no dated 2025/26-2026/27 corroboration; client sector mix; student level.</t>
        </is>
      </c>
      <c r="AN603" s="77" t="inlineStr"/>
      <c r="AO603" s="77" t="inlineStr">
        <is>
          <t>US</t>
        </is>
      </c>
      <c r="AP603" s="77" t="inlineStr">
        <is>
          <t>US</t>
        </is>
      </c>
      <c r="AQ603" s="77" t="inlineStr">
        <is>
          <t>~1 term/semester</t>
        </is>
      </c>
      <c r="AR603" s="77" t="inlineStr">
        <is>
          <t>All/standard</t>
        </is>
      </c>
      <c r="AS603" s="77" t="inlineStr"/>
    </row>
    <row r="604">
      <c r="A604" s="77" t="inlineStr">
        <is>
          <t>US02</t>
        </is>
      </c>
      <c r="B604" s="77" t="inlineStr">
        <is>
          <t>Harvard</t>
        </is>
      </c>
      <c r="C604" s="77" t="inlineStr">
        <is>
          <t>Programme/course</t>
        </is>
      </c>
      <c r="D604" s="77" t="inlineStr">
        <is>
          <t>US02-S04</t>
        </is>
      </c>
      <c r="E604" s="77" t="inlineStr"/>
      <c r="F604" s="77" t="inlineStr">
        <is>
          <t>No</t>
        </is>
      </c>
      <c r="G604" s="79" t="inlineStr">
        <is>
          <t>Policy Analysis Exercise (PAE), Master in Public Policy</t>
        </is>
      </c>
      <c r="H604" s="77" t="inlineStr">
        <is>
          <t>Policy Analysis Exercise</t>
        </is>
      </c>
      <c r="I604" s="77" t="inlineStr"/>
      <c r="J604" s="77" t="inlineStr">
        <is>
          <t>Second-year MPP capstone (September to March) on a public or nonprofit policy or management issue presented by a client organization; students define the problem with the client, research, and make actionable recommendations in a c. 40-page / 10,000-word analysis under a faculty advisor. Clients meet students regularly and review drafts.</t>
        </is>
      </c>
      <c r="K604" s="77" t="inlineStr">
        <is>
          <t>Harvard Kennedy School</t>
        </is>
      </c>
      <c r="L604" s="77" t="inlineStr">
        <is>
          <t>Master in Public Policy second-year students</t>
        </is>
      </c>
      <c r="M604" s="77" t="inlineStr">
        <is>
          <t>Arts/humanities/social sciences</t>
        </is>
      </c>
      <c r="N604" s="77" t="inlineStr">
        <is>
          <t>Postgraduate taught</t>
        </is>
      </c>
      <c r="O604" s="77" t="inlineStr">
        <is>
          <t>MPP Year 2</t>
        </is>
      </c>
      <c r="P604" s="77" t="inlineStr"/>
      <c r="Q604" s="77" t="inlineStr">
        <is>
          <t>Compulsory within specified programmes</t>
        </is>
      </c>
      <c r="R604" s="77" t="inlineStr">
        <is>
          <t>Curricular</t>
        </is>
      </c>
      <c r="S604" s="77" t="inlineStr">
        <is>
          <t>Capstone; must be passed to graduate (per Spring Exercise page); weighting not retrieved</t>
        </is>
      </c>
      <c r="T604" s="77" t="inlineStr">
        <is>
          <t>September to March, c. 8-10 hours a week</t>
        </is>
      </c>
      <c r="U604" s="77" t="inlineStr">
        <is>
          <t>Client project with faculty advisor</t>
        </is>
      </c>
      <c r="V604" s="77" t="inlineStr">
        <is>
          <t>Yes</t>
        </is>
      </c>
      <c r="W604" s="77" t="inlineStr">
        <is>
          <t>Defined client problem, research, and a 10,000-word analysis with recommendations [1][2].</t>
        </is>
      </c>
      <c r="X604" s="77" t="inlineStr">
        <is>
          <t>Unclear</t>
        </is>
      </c>
      <c r="Y604" s="77" t="inlineStr">
        <is>
          <t>Client page: 'Students may work alone or in a small group'; another HKS page describes it as individual; search results mention a 2026 four-person team project. Individual and group routes cannot be separated [2][3].</t>
        </is>
      </c>
      <c r="Z604" s="77" t="inlineStr">
        <is>
          <t>Yes</t>
        </is>
      </c>
      <c r="AA604" s="77" t="inlineStr">
        <is>
          <t>Client organization presents the problem, meets the student regularly, reviews drafts and supplies information; client may not control conclusions [1][2].</t>
        </is>
      </c>
      <c r="AB604" s="77" t="inlineStr">
        <is>
          <t>Mixed</t>
        </is>
      </c>
      <c r="AC604" s="77" t="inlineStr">
        <is>
          <t>Client: poses problem, supervises informally, receives analysis</t>
        </is>
      </c>
      <c r="AD604" s="77" t="inlineStr">
        <is>
          <t>AFL-CIO State and Local Advocacy Hub (2026 team project, from search summary)</t>
        </is>
      </c>
      <c r="AE604" s="77" t="inlineStr">
        <is>
          <t>Policy analysis report with recommendations to client</t>
        </is>
      </c>
      <c r="AF604" s="77">
        <f>IF(OR(V604="No",X604="No",Z604="No"),"Outside strict definition",IF(AND(V604="Yes",X604="Yes",Z604="Yes"),"Meets all three","Potentially relevant; evidence incomplete"))</f>
        <v/>
      </c>
      <c r="AG604" s="77" t="inlineStr">
        <is>
          <t>Current delivery confirmed</t>
        </is>
      </c>
      <c r="AH604" s="77" t="inlineStr">
        <is>
          <t>2026 (PAE showcase)</t>
        </is>
      </c>
      <c r="AI604" s="77" t="inlineStr">
        <is>
          <t>Yes</t>
        </is>
      </c>
      <c r="AJ604" s="77">
        <f>IF(AND(AI604="Yes",AF604="Meets all three",AG604="Current delivery confirmed"),"Yes","No")</f>
        <v/>
      </c>
      <c r="AK604" s="77" t="inlineStr"/>
      <c r="AL604" s="77" t="inlineStr">
        <is>
          <t>US02-S04-R1; US02-S04-R2; US02-S04-R3</t>
        </is>
      </c>
      <c r="AM604" s="77" t="inlineStr">
        <is>
          <t>Share of PAEs done in groups; status confirmed through a search-summary mention of a 2026 showcase plus an annual client call (proposals from August).</t>
        </is>
      </c>
      <c r="AN604" s="77" t="inlineStr"/>
      <c r="AO604" s="77" t="inlineStr">
        <is>
          <t>US</t>
        </is>
      </c>
      <c r="AP604" s="77" t="inlineStr">
        <is>
          <t>US</t>
        </is>
      </c>
      <c r="AQ604" s="77" t="inlineStr">
        <is>
          <t>&gt;1 term</t>
        </is>
      </c>
      <c r="AR604" s="77" t="inlineStr">
        <is>
          <t>All/standard</t>
        </is>
      </c>
      <c r="AS604" s="77" t="inlineStr"/>
    </row>
    <row r="605">
      <c r="A605" s="77" t="inlineStr">
        <is>
          <t>US05</t>
        </is>
      </c>
      <c r="B605" s="77" t="inlineStr">
        <is>
          <t>California Berkeley</t>
        </is>
      </c>
      <c r="C605" s="77" t="inlineStr">
        <is>
          <t>Programme/course</t>
        </is>
      </c>
      <c r="D605" s="77" t="inlineStr">
        <is>
          <t>US05-S01</t>
        </is>
      </c>
      <c r="E605" s="77" t="inlineStr"/>
      <c r="F605" s="77" t="inlineStr">
        <is>
          <t>No</t>
        </is>
      </c>
      <c r="G605" s="79" t="inlineStr">
        <is>
          <t>Introduction to Policy Analysis (IPA) Team Consulting Projects</t>
        </is>
      </c>
      <c r="H605" s="77" t="inlineStr">
        <is>
          <t>Introduction to Policy Analysis (IPA) team projects</t>
        </is>
      </c>
      <c r="I605" s="77" t="inlineStr"/>
      <c r="J605" s="77" t="inlineStr">
        <is>
          <t>Goldman School of Public Policy first-year MPP workshop in which student teams provide pro-bono policy consulting to public-sector agencies and NGOs, producing an analytical report and oral presentation for the client under faculty coaches; clients meet the team early and roughly fortnightly.</t>
        </is>
      </c>
      <c r="K605" s="77" t="inlineStr">
        <is>
          <t>Goldman School of Public Policy (Career Services, client-based projects)</t>
        </is>
      </c>
      <c r="L605" s="77" t="inlineStr">
        <is>
          <t>First-year MPP students (page title: Team Consulting Projects for 1st Year MPP Students)</t>
        </is>
      </c>
      <c r="M605" s="77" t="inlineStr">
        <is>
          <t>Arts/humanities/social sciences</t>
        </is>
      </c>
      <c r="N605" s="77" t="inlineStr">
        <is>
          <t>Postgraduate taught</t>
        </is>
      </c>
      <c r="O605" s="77" t="inlineStr">
        <is>
          <t>Year 1 (MPP)</t>
        </is>
      </c>
      <c r="P605" s="77" t="inlineStr">
        <is>
          <t>Whether IPA is required for all MPP first-years not stated on the page fetched.</t>
        </is>
      </c>
      <c r="Q605" s="77" t="inlineStr">
        <is>
          <t>Unclear</t>
        </is>
      </c>
      <c r="R605" s="77" t="inlineStr">
        <is>
          <t>Curricular</t>
        </is>
      </c>
      <c r="S605" s="77" t="inlineStr">
        <is>
          <t>Course credit not stated on page; faculty coaches assess (not verified).</t>
        </is>
      </c>
      <c r="T605" s="77" t="inlineStr">
        <is>
          <t>Spring semester, January to mid-May (draft report mid-April, final mid-May); roughly 200-300 student hours per project</t>
        </is>
      </c>
      <c r="U605" s="77" t="inlineStr">
        <is>
          <t>Team consulting project with faculty coaching</t>
        </is>
      </c>
      <c r="V605" s="77" t="inlineStr">
        <is>
          <t>Yes</t>
        </is>
      </c>
      <c r="W605" s="77" t="inlineStr">
        <is>
          <t>Client-defined policy problem; deliverable 'an analytical report accompanied by an oral presentation' [1].</t>
        </is>
      </c>
      <c r="X605" s="77" t="inlineStr">
        <is>
          <t>Yes</t>
        </is>
      </c>
      <c r="Y605" s="77" t="inlineStr">
        <is>
          <t>Projects done 'by a team of four to six people' [1] (search summary said three to five; page text used).</t>
        </is>
      </c>
      <c r="Z605" s="77" t="inlineStr">
        <is>
          <t>Yes</t>
        </is>
      </c>
      <c r="AA605" s="77" t="inlineStr">
        <is>
          <t>Clients are public-sector agencies and NGOs that submit proposals, meet the team early and about every two weeks, and receive the final report [1][2].</t>
        </is>
      </c>
      <c r="AB605" s="77" t="inlineStr">
        <is>
          <t>Public sector</t>
        </is>
      </c>
      <c r="AC605" s="77" t="inlineStr">
        <is>
          <t>Client: proposes problem, meets team, receives report and presentation</t>
        </is>
      </c>
      <c r="AD605" s="77" t="inlineStr"/>
      <c r="AE605" s="77" t="inlineStr">
        <is>
          <t>Analytical report plus oral presentation to client</t>
        </is>
      </c>
      <c r="AF605" s="77">
        <f>IF(OR(V605="No",X605="No",Z605="No"),"Outside strict definition",IF(AND(V605="Yes",X605="Yes",Z605="Yes"),"Meets all three","Potentially relevant; evidence incomplete"))</f>
        <v/>
      </c>
      <c r="AG605" s="77" t="inlineStr">
        <is>
          <t>Announced/forthcoming</t>
        </is>
      </c>
      <c r="AH605" s="77" t="inlineStr">
        <is>
          <t>Spring 2027 (call for proposals); Spring 2026 call also referenced in search summary</t>
        </is>
      </c>
      <c r="AI605" s="77" t="inlineStr">
        <is>
          <t>Yes</t>
        </is>
      </c>
      <c r="AJ605" s="77">
        <f>IF(AND(AI605="Yes",AF605="Meets all three",AG605="Current delivery confirmed"),"Yes","No")</f>
        <v/>
      </c>
      <c r="AK605" s="77" t="inlineStr"/>
      <c r="AL605" s="77" t="inlineStr">
        <is>
          <t>US05-S01-R1; US05-S01-R2</t>
        </is>
      </c>
      <c r="AM605" s="77" t="inlineStr">
        <is>
          <t>Compulsory or elective status; credit; named clients; participation numbers; no dated evidence of a completed 2025/26 cohort seen. Team-size discrepancy (3-5 in search summary vs 4-6 on page).</t>
        </is>
      </c>
      <c r="AN605" s="77" t="inlineStr"/>
      <c r="AO605" s="77" t="inlineStr">
        <is>
          <t>US</t>
        </is>
      </c>
      <c r="AP605" s="77" t="inlineStr">
        <is>
          <t>US</t>
        </is>
      </c>
      <c r="AQ605" s="77" t="inlineStr">
        <is>
          <t>~1 term/semester</t>
        </is>
      </c>
      <c r="AR605" s="77" t="inlineStr">
        <is>
          <t>All/standard</t>
        </is>
      </c>
      <c r="AS605" s="77" t="inlineStr"/>
    </row>
    <row r="606">
      <c r="A606" s="77" t="inlineStr">
        <is>
          <t>US05</t>
        </is>
      </c>
      <c r="B606" s="77" t="inlineStr">
        <is>
          <t>California Berkeley</t>
        </is>
      </c>
      <c r="C606" s="77" t="inlineStr">
        <is>
          <t>Faculty/school</t>
        </is>
      </c>
      <c r="D606" s="77" t="inlineStr">
        <is>
          <t>US05-S02</t>
        </is>
      </c>
      <c r="E606" s="77" t="inlineStr"/>
      <c r="F606" s="77" t="inlineStr">
        <is>
          <t>No</t>
        </is>
      </c>
      <c r="G606" s="79" t="inlineStr">
        <is>
          <t>MEng Capstone (partner-led), Fung Institute for Engineering Leadership</t>
        </is>
      </c>
      <c r="H606" s="77" t="inlineStr">
        <is>
          <t>Master of Engineering Capstone</t>
        </is>
      </c>
      <c r="I606" s="77" t="inlineStr"/>
      <c r="J606" s="77" t="inlineStr">
        <is>
          <t>Nine-month capstone integrated into the Master of Engineering: teams of three to five students from seven engineering departments work on projects proposed by industry sponsors (startups to enterprises and nonprofits) from September to May, ending in a showcase. Some projects are faculty or research-team led, so partner-led coverage is not established.</t>
        </is>
      </c>
      <c r="K606" s="77" t="inlineStr">
        <is>
          <t>Fung Institute, College of Engineering</t>
        </is>
      </c>
      <c r="L606" s="77" t="inlineStr">
        <is>
          <t>MEng students in Bioengineering, Civil &amp; Environmental, EECS, IEOR, Materials Science, Mechanical, Nuclear Engineering</t>
        </is>
      </c>
      <c r="M606" s="77" t="inlineStr">
        <is>
          <t>Engineering/computing</t>
        </is>
      </c>
      <c r="N606" s="77" t="inlineStr">
        <is>
          <t>Postgraduate taught</t>
        </is>
      </c>
      <c r="O606" s="77" t="inlineStr">
        <is>
          <t>MEng year</t>
        </is>
      </c>
      <c r="P606" s="77" t="inlineStr">
        <is>
          <t>Whether capstone is compulsory not stated on page fetched.</t>
        </is>
      </c>
      <c r="Q606" s="77" t="inlineStr">
        <is>
          <t>Unclear</t>
        </is>
      </c>
      <c r="R606" s="77" t="inlineStr">
        <is>
          <t>Curricular</t>
        </is>
      </c>
      <c r="S606" s="77" t="inlineStr">
        <is>
          <t>Not stated</t>
        </is>
      </c>
      <c r="T606" s="77" t="inlineStr">
        <is>
          <t>Nine months, early September to May (December interim assessment; showcase late April/early May)</t>
        </is>
      </c>
      <c r="U606" s="77" t="inlineStr">
        <is>
          <t>Team capstone with industry advisors and Berkeley faculty</t>
        </is>
      </c>
      <c r="V606" s="77" t="inlineStr">
        <is>
          <t>Yes</t>
        </is>
      </c>
      <c r="W606" s="77" t="inlineStr">
        <is>
          <t>Nine-month project with milestones, projects due and showcase [1].</t>
        </is>
      </c>
      <c r="X606" s="77" t="inlineStr">
        <is>
          <t>Yes</t>
        </is>
      </c>
      <c r="Y606" s="77" t="inlineStr">
        <is>
          <t>'Team size ranges from three to five students' [1].</t>
        </is>
      </c>
      <c r="Z606" s="77" t="inlineStr">
        <is>
          <t>Unclear</t>
        </is>
      </c>
      <c r="AA606" s="77" t="inlineStr">
        <is>
          <t>'In a partner-led capstone, industry advisors take the lead in driving project direction'; sponsors pitch projects; page also says projects involve a Berkeley faculty member or research team, so external sponsorship may not apply to every project [1][2].</t>
        </is>
      </c>
      <c r="AB606" s="77" t="inlineStr">
        <is>
          <t>Mixed</t>
        </is>
      </c>
      <c r="AC606" s="77" t="inlineStr">
        <is>
          <t>Sponsor proposes project and directs it in partner-led capstones</t>
        </is>
      </c>
      <c r="AD606" s="77" t="inlineStr">
        <is>
          <t>Sample capstone and recruiting partners listed (undated): Lyft, Microsoft, Siemens, LinkedIn, NASA, General Motors, John Deere, Sandia National Laboratories, Tesla, Apple, UCSF and others [2]</t>
        </is>
      </c>
      <c r="AE606" s="77" t="inlineStr">
        <is>
          <t>Capstone project and showcase presentation</t>
        </is>
      </c>
      <c r="AF606" s="77">
        <f>IF(OR(V606="No",X606="No",Z606="No"),"Outside strict definition",IF(AND(V606="Yes",X606="Yes",Z606="Yes"),"Meets all three","Potentially relevant; evidence incomplete"))</f>
        <v/>
      </c>
      <c r="AG606" s="77" t="inlineStr">
        <is>
          <t>Announced/forthcoming</t>
        </is>
      </c>
      <c r="AH606" s="77" t="inlineStr">
        <is>
          <t>2026-27 (proposals sought); 2024 showcase page in search results</t>
        </is>
      </c>
      <c r="AI606" s="77" t="inlineStr">
        <is>
          <t>Yes</t>
        </is>
      </c>
      <c r="AJ606" s="77">
        <f>IF(AND(AI606="Yes",AF606="Meets all three",AG606="Current delivery confirmed"),"Yes","No")</f>
        <v/>
      </c>
      <c r="AK606" s="77" t="inlineStr"/>
      <c r="AL606" s="77" t="inlineStr">
        <is>
          <t>US05-S02-R1; US05-S02-R2</t>
        </is>
      </c>
      <c r="AM606" s="77" t="inlineStr">
        <is>
          <t>Share of capstones that are partner-led; compulsory status; whether 2025/26 or 2026/27 cohort delivery is confirmed; partner fee conflict ($20k vs $25k) irrelevant to criteria. Separate Fung Fellowship 12-week undergraduate track not assessed.</t>
        </is>
      </c>
      <c r="AN606" s="77" t="inlineStr"/>
      <c r="AO606" s="77" t="inlineStr">
        <is>
          <t>US</t>
        </is>
      </c>
      <c r="AP606" s="77" t="inlineStr">
        <is>
          <t>US</t>
        </is>
      </c>
      <c r="AQ606" s="77" t="inlineStr">
        <is>
          <t>&gt;1 term</t>
        </is>
      </c>
      <c r="AR606" s="77" t="inlineStr">
        <is>
          <t>Unclear</t>
        </is>
      </c>
      <c r="AS606" s="77" t="inlineStr"/>
    </row>
    <row r="607">
      <c r="A607" s="77" t="inlineStr">
        <is>
          <t>US05</t>
        </is>
      </c>
      <c r="B607" s="77" t="inlineStr">
        <is>
          <t>California Berkeley</t>
        </is>
      </c>
      <c r="C607" s="77" t="inlineStr">
        <is>
          <t>Unclear</t>
        </is>
      </c>
      <c r="D607" s="77" t="inlineStr">
        <is>
          <t>US05-S03</t>
        </is>
      </c>
      <c r="E607" s="77" t="inlineStr"/>
      <c r="F607" s="77" t="inlineStr">
        <is>
          <t>No</t>
        </is>
      </c>
      <c r="G607" s="79" t="inlineStr">
        <is>
          <t>Data Science Discovery Program (Data Discovery course)</t>
        </is>
      </c>
      <c r="H607" s="77" t="inlineStr">
        <is>
          <t>Data Science Discovery Program</t>
        </is>
      </c>
      <c r="I607" s="77" t="inlineStr"/>
      <c r="J607" s="77" t="inlineStr">
        <is>
          <t>CDSS programme in which student teams of one to five work about 12 weeks (six hours per week) on a mentor-supplied dataset and goal, presenting a poster and symposium talk. Mentors may come from academia, companies, nonprofits or government.</t>
        </is>
      </c>
      <c r="K607" s="77" t="inlineStr">
        <is>
          <t>Division of Computing, Data Science, and Society (CDSS)</t>
        </is>
      </c>
      <c r="L607" s="77" t="inlineStr">
        <is>
          <t>Berkeley students applying to Data Discovery (eligibility not retrieved)</t>
        </is>
      </c>
      <c r="M607" s="77" t="inlineStr">
        <is>
          <t>Science; Central provision</t>
        </is>
      </c>
      <c r="N607" s="77" t="inlineStr">
        <is>
          <t>Unclear</t>
        </is>
      </c>
      <c r="O607" s="77" t="inlineStr"/>
      <c r="P607" s="77" t="inlineStr">
        <is>
          <t>Not retrieved</t>
        </is>
      </c>
      <c r="Q607" s="77" t="inlineStr">
        <is>
          <t>Optional/elective</t>
        </is>
      </c>
      <c r="R607" s="77" t="inlineStr">
        <is>
          <t>Curricular</t>
        </is>
      </c>
      <c r="S607" s="77" t="inlineStr">
        <is>
          <t>'Data Discovery is part of students' curriculum'; mentor feedback considered in grades; units not stated</t>
        </is>
      </c>
      <c r="T607" s="77" t="inlineStr">
        <is>
          <t>About 12 six-hour weeks per semester; symposium early December or May</t>
        </is>
      </c>
      <c r="U607" s="77" t="inlineStr">
        <is>
          <t>Mentor-hosted team research project plus course meetings</t>
        </is>
      </c>
      <c r="V607" s="77" t="inlineStr">
        <is>
          <t>Yes</t>
        </is>
      </c>
      <c r="W607" s="77" t="inlineStr">
        <is>
          <t>Dataset and goal supplied; poster and symposium presentation [1].</t>
        </is>
      </c>
      <c r="X607" s="77" t="inlineStr">
        <is>
          <t>Unclear</t>
        </is>
      </c>
      <c r="Y607" s="77" t="inlineStr">
        <is>
          <t>Teams of '1-5 students', so individual projects possible [1].</t>
        </is>
      </c>
      <c r="Z607" s="77" t="inlineStr">
        <is>
          <t>Unclear</t>
        </is>
      </c>
      <c r="AA607" s="77" t="inlineStr">
        <is>
          <t>Mentors from 'any academic institution, private company, nonprofit or government agency' supply dataset and goal and give feedback; academic mentors are internal/other research groups and external share is not stated [1].</t>
        </is>
      </c>
      <c r="AB607" s="77" t="inlineStr">
        <is>
          <t>Mixed</t>
        </is>
      </c>
      <c r="AC607" s="77" t="inlineStr">
        <is>
          <t>Mentor supplies data and goal, meets team weekly, evaluates</t>
        </is>
      </c>
      <c r="AD607" s="77" t="inlineStr"/>
      <c r="AE607" s="77" t="inlineStr">
        <is>
          <t>Poster and symposium presentation</t>
        </is>
      </c>
      <c r="AF607" s="77">
        <f>IF(OR(V607="No",X607="No",Z607="No"),"Outside strict definition",IF(AND(V607="Yes",X607="Yes",Z607="Yes"),"Meets all three","Potentially relevant; evidence incomplete"))</f>
        <v/>
      </c>
      <c r="AG607" s="77" t="inlineStr">
        <is>
          <t>Current delivery confirmed</t>
        </is>
      </c>
      <c r="AH607" s="77" t="inlineStr">
        <is>
          <t>Fall 2026 (project work begins 1 Sept 2026)</t>
        </is>
      </c>
      <c r="AI607" s="77" t="inlineStr">
        <is>
          <t>Yes</t>
        </is>
      </c>
      <c r="AJ607" s="77">
        <f>IF(AND(AI607="Yes",AF607="Meets all three",AG607="Current delivery confirmed"),"Yes","No")</f>
        <v/>
      </c>
      <c r="AK607" s="77" t="inlineStr"/>
      <c r="AL607" s="77" t="inlineStr">
        <is>
          <t>US05-S03-R1</t>
        </is>
      </c>
      <c r="AM607" s="77" t="inlineStr">
        <is>
          <t>Share of external versus academic mentors; team sizes per project; student eligibility and units.</t>
        </is>
      </c>
      <c r="AN607" s="77" t="inlineStr"/>
      <c r="AO607" s="77" t="inlineStr">
        <is>
          <t>US</t>
        </is>
      </c>
      <c r="AP607" s="77" t="inlineStr">
        <is>
          <t>US</t>
        </is>
      </c>
      <c r="AQ607" s="77" t="inlineStr">
        <is>
          <t>~1 term/semester</t>
        </is>
      </c>
      <c r="AR607" s="77" t="inlineStr">
        <is>
          <t>Some projects</t>
        </is>
      </c>
      <c r="AS607" s="77" t="inlineStr"/>
    </row>
    <row r="608">
      <c r="A608" s="77" t="inlineStr">
        <is>
          <t>US05</t>
        </is>
      </c>
      <c r="B608" s="77" t="inlineStr">
        <is>
          <t>California Berkeley</t>
        </is>
      </c>
      <c r="C608" s="77" t="inlineStr">
        <is>
          <t>Cross-faculty</t>
        </is>
      </c>
      <c r="D608" s="77" t="inlineStr">
        <is>
          <t>US05-S04</t>
        </is>
      </c>
      <c r="E608" s="77" t="inlineStr"/>
      <c r="F608" s="77" t="inlineStr">
        <is>
          <t>No</t>
        </is>
      </c>
      <c r="G608" s="79" t="inlineStr">
        <is>
          <t>Social Sector Solutions (Center for Social Sector Leadership)</t>
        </is>
      </c>
      <c r="H608" s="77" t="inlineStr">
        <is>
          <t>Social Sector Solutions nonprofit consulting</t>
        </is>
      </c>
      <c r="I608" s="77" t="inlineStr"/>
      <c r="J608" s="77" t="inlineStr">
        <is>
          <t>15-week strategy consultation for select nonprofits delivered by multidisciplinary teams of 5-7 MBAs, Berkeley graduate students and select undergraduate business students, coached by a McKinsey consultant and modeled on management-consulting frameworks.</t>
        </is>
      </c>
      <c r="K608" s="77" t="inlineStr">
        <is>
          <t>Haas Center for Social Sector Leadership</t>
        </is>
      </c>
      <c r="L608" s="77" t="inlineStr">
        <is>
          <t>MBA, Berkeley graduate students, select undergraduate business students</t>
        </is>
      </c>
      <c r="M608" s="77" t="inlineStr">
        <is>
          <t>Business/management</t>
        </is>
      </c>
      <c r="N608" s="77" t="inlineStr">
        <is>
          <t>Mixed</t>
        </is>
      </c>
      <c r="O608" s="77" t="inlineStr"/>
      <c r="P608" s="77" t="inlineStr">
        <is>
          <t>Application criteria not retrieved</t>
        </is>
      </c>
      <c r="Q608" s="77" t="inlineStr">
        <is>
          <t>Selective/competitive</t>
        </is>
      </c>
      <c r="R608" s="77" t="inlineStr">
        <is>
          <t>Unclear</t>
        </is>
      </c>
      <c r="S608" s="77" t="inlineStr">
        <is>
          <t>Not retrieved</t>
        </is>
      </c>
      <c r="T608" s="77" t="inlineStr">
        <is>
          <t>15 weeks</t>
        </is>
      </c>
      <c r="U608" s="77" t="inlineStr">
        <is>
          <t>Team consulting coached by consultant</t>
        </is>
      </c>
      <c r="V608" s="77" t="inlineStr">
        <is>
          <t>Yes</t>
        </is>
      </c>
      <c r="W608" s="77" t="inlineStr">
        <is>
          <t>'a key strategic question' for the client; deliverables not listed on page [1].</t>
        </is>
      </c>
      <c r="X608" s="77" t="inlineStr">
        <is>
          <t>Yes</t>
        </is>
      </c>
      <c r="Y608" s="77" t="inlineStr">
        <is>
          <t>'Multidisciplinary teams of 5-7' [1].</t>
        </is>
      </c>
      <c r="Z608" s="77" t="inlineStr">
        <is>
          <t>Yes</t>
        </is>
      </c>
      <c r="AA608" s="77" t="inlineStr">
        <is>
          <t>'Teams work with a nonprofit client to tackle a key strategic question for the organization.' [1]</t>
        </is>
      </c>
      <c r="AB608" s="77" t="inlineStr">
        <is>
          <t>Charity/community</t>
        </is>
      </c>
      <c r="AC608" s="77" t="inlineStr">
        <is>
          <t>Client posing strategic question</t>
        </is>
      </c>
      <c r="AD608" s="77" t="inlineStr"/>
      <c r="AE608" s="77" t="inlineStr">
        <is>
          <t>Not stated (consulting deliverables)</t>
        </is>
      </c>
      <c r="AF608" s="77">
        <f>IF(OR(V608="No",X608="No",Z608="No"),"Outside strict definition",IF(AND(V608="Yes",X608="Yes",Z608="Yes"),"Meets all three","Potentially relevant; evidence incomplete"))</f>
        <v/>
      </c>
      <c r="AG608" s="77" t="inlineStr">
        <is>
          <t>Current status unclear</t>
        </is>
      </c>
      <c r="AH608" s="77" t="inlineStr">
        <is>
          <t>2026 (heading '2026 Partner Organizations' only)</t>
        </is>
      </c>
      <c r="AI608" s="77" t="inlineStr">
        <is>
          <t>Yes</t>
        </is>
      </c>
      <c r="AJ608" s="77">
        <f>IF(AND(AI608="Yes",AF608="Meets all three",AG608="Current delivery confirmed"),"Yes","No")</f>
        <v/>
      </c>
      <c r="AK608" s="77" t="inlineStr"/>
      <c r="AL608" s="77" t="inlineStr">
        <is>
          <t>US05-S04-R1</t>
        </is>
      </c>
      <c r="AM608" s="77" t="inlineStr">
        <is>
          <t>Dates of current cohort, credit, deliverable form, named partners.</t>
        </is>
      </c>
      <c r="AN608" s="77" t="inlineStr"/>
      <c r="AO608" s="77" t="inlineStr">
        <is>
          <t>US</t>
        </is>
      </c>
      <c r="AP608" s="77" t="inlineStr">
        <is>
          <t>US</t>
        </is>
      </c>
      <c r="AQ608" s="77" t="inlineStr">
        <is>
          <t>~1 term/semester</t>
        </is>
      </c>
      <c r="AR608" s="77" t="inlineStr">
        <is>
          <t>All/standard</t>
        </is>
      </c>
      <c r="AS608" s="77" t="inlineStr"/>
    </row>
    <row r="609">
      <c r="A609" s="77" t="inlineStr">
        <is>
          <t>US05</t>
        </is>
      </c>
      <c r="B609" s="77" t="inlineStr">
        <is>
          <t>California Berkeley</t>
        </is>
      </c>
      <c r="C609" s="77" t="inlineStr">
        <is>
          <t>Programme/course</t>
        </is>
      </c>
      <c r="D609" s="77" t="inlineStr">
        <is>
          <t>US05-S05</t>
        </is>
      </c>
      <c r="E609" s="77" t="inlineStr"/>
      <c r="F609" s="77" t="inlineStr">
        <is>
          <t>No</t>
        </is>
      </c>
      <c r="G609" s="79" t="inlineStr">
        <is>
          <t>Haas@Work (Haas MBA experiential course)</t>
        </is>
      </c>
      <c r="H609" s="77" t="inlineStr">
        <is>
          <t>Haas@Work</t>
        </is>
      </c>
      <c r="I609" s="77" t="inlineStr"/>
      <c r="J609" s="77" t="inlineStr">
        <is>
          <t>MBA team course in which a firm poses a competitive challenge, student teams research and develop solutions, and the firm's executives choose the best ideas for implementation (examples Visa, Cisco).</t>
        </is>
      </c>
      <c r="K609" s="77" t="inlineStr">
        <is>
          <t>Haas School of Business (MBA)</t>
        </is>
      </c>
      <c r="L609" s="77" t="inlineStr">
        <is>
          <t>Berkeley MBA students</t>
        </is>
      </c>
      <c r="M609" s="77" t="inlineStr">
        <is>
          <t>Business/management</t>
        </is>
      </c>
      <c r="N609" s="77" t="inlineStr">
        <is>
          <t>Postgraduate taught</t>
        </is>
      </c>
      <c r="O609" s="77" t="inlineStr"/>
      <c r="P609" s="77" t="inlineStr"/>
      <c r="Q609" s="77" t="inlineStr">
        <is>
          <t>Optional/elective</t>
        </is>
      </c>
      <c r="R609" s="77" t="inlineStr">
        <is>
          <t>Curricular</t>
        </is>
      </c>
      <c r="S609" s="77" t="inlineStr">
        <is>
          <t>Not retrieved; page states MBAs take at least one of nearly 20 experiential courses</t>
        </is>
      </c>
      <c r="T609" s="77" t="inlineStr">
        <is>
          <t>Not stated</t>
        </is>
      </c>
      <c r="U609" s="77" t="inlineStr">
        <is>
          <t>Team challenge for corporate client</t>
        </is>
      </c>
      <c r="V609" s="77" t="inlineStr">
        <is>
          <t>Yes</t>
        </is>
      </c>
      <c r="W609" s="77" t="inlineStr">
        <is>
          <t>Firm-posed competitive challenge with solutions developed [1].</t>
        </is>
      </c>
      <c r="X609" s="77" t="inlineStr">
        <is>
          <t>Yes</t>
        </is>
      </c>
      <c r="Y609" s="77" t="inlineStr">
        <is>
          <t>'teams of Berkeley MBA students' [1].</t>
        </is>
      </c>
      <c r="Z609" s="77" t="inlineStr">
        <is>
          <t>Yes</t>
        </is>
      </c>
      <c r="AA609" s="77" t="inlineStr">
        <is>
          <t>Firm poses the challenge and its executives select best ideas [1].</t>
        </is>
      </c>
      <c r="AB609" s="77" t="inlineStr">
        <is>
          <t>Business/commercial</t>
        </is>
      </c>
      <c r="AC609" s="77" t="inlineStr">
        <is>
          <t>Poses challenge; selects ideas</t>
        </is>
      </c>
      <c r="AD609" s="77" t="inlineStr">
        <is>
          <t>Visa, Cisco (undated page)</t>
        </is>
      </c>
      <c r="AE609" s="77" t="inlineStr">
        <is>
          <t>Proposed solutions/ideas</t>
        </is>
      </c>
      <c r="AF609" s="77">
        <f>IF(OR(V609="No",X609="No",Z609="No"),"Outside strict definition",IF(AND(V609="Yes",X609="Yes",Z609="Yes"),"Meets all three","Potentially relevant; evidence incomplete"))</f>
        <v/>
      </c>
      <c r="AG609" s="77" t="inlineStr">
        <is>
          <t>Current status unclear</t>
        </is>
      </c>
      <c r="AH609" s="77" t="inlineStr">
        <is>
          <t>undated</t>
        </is>
      </c>
      <c r="AI609" s="77" t="inlineStr">
        <is>
          <t>Yes</t>
        </is>
      </c>
      <c r="AJ609" s="77">
        <f>IF(AND(AI609="Yes",AF609="Meets all three",AG609="Current delivery confirmed"),"Yes","No")</f>
        <v/>
      </c>
      <c r="AK609" s="77" t="inlineStr"/>
      <c r="AL609" s="77" t="inlineStr">
        <is>
          <t>US05-S05-R1</t>
        </is>
      </c>
      <c r="AM609" s="77" t="inlineStr">
        <is>
          <t>Current offering year, duration, credit, deliverable. Same page lists IBD, Design Sprint (Shell), Startup Lab-type courses not assessed.</t>
        </is>
      </c>
      <c r="AN609" s="77" t="inlineStr"/>
      <c r="AO609" s="77" t="inlineStr">
        <is>
          <t>US</t>
        </is>
      </c>
      <c r="AP609" s="77" t="inlineStr">
        <is>
          <t>US</t>
        </is>
      </c>
      <c r="AQ609" s="77" t="inlineStr">
        <is>
          <t>Unclear</t>
        </is>
      </c>
      <c r="AR609" s="77" t="inlineStr">
        <is>
          <t>All/standard</t>
        </is>
      </c>
      <c r="AS609" s="77" t="inlineStr"/>
    </row>
    <row r="610">
      <c r="A610" s="77" t="inlineStr">
        <is>
          <t>US05</t>
        </is>
      </c>
      <c r="B610" s="77" t="inlineStr">
        <is>
          <t>California Berkeley</t>
        </is>
      </c>
      <c r="C610" s="77" t="inlineStr">
        <is>
          <t>Programme/course</t>
        </is>
      </c>
      <c r="D610" s="77" t="inlineStr">
        <is>
          <t>US05-S06</t>
        </is>
      </c>
      <c r="E610" s="77" t="inlineStr"/>
      <c r="F610" s="77" t="inlineStr">
        <is>
          <t>No</t>
        </is>
      </c>
      <c r="G610" s="79" t="inlineStr">
        <is>
          <t>Startup Lab (MBA 295T)</t>
        </is>
      </c>
      <c r="H610" s="77" t="inlineStr">
        <is>
          <t>Startup Lab</t>
        </is>
      </c>
      <c r="I610" s="77" t="inlineStr"/>
      <c r="J610" s="77" t="inlineStr">
        <is>
          <t>Semester-long, 2-unit project-based consulting course in which self-formed Haas student teams (3-5) carry out a scoped consulting project for early-stage Silicon Valley startups, working with a founder or executive; presented in demo-day format.</t>
        </is>
      </c>
      <c r="K610" s="77" t="inlineStr">
        <is>
          <t>Haas School of Business</t>
        </is>
      </c>
      <c r="L610" s="77" t="inlineStr">
        <is>
          <t>Haas MBA students</t>
        </is>
      </c>
      <c r="M610" s="77" t="inlineStr">
        <is>
          <t>Business/management</t>
        </is>
      </c>
      <c r="N610" s="77" t="inlineStr">
        <is>
          <t>Postgraduate taught</t>
        </is>
      </c>
      <c r="O610" s="77" t="inlineStr"/>
      <c r="P610" s="77" t="inlineStr"/>
      <c r="Q610" s="77" t="inlineStr">
        <is>
          <t>Optional/elective</t>
        </is>
      </c>
      <c r="R610" s="77" t="inlineStr">
        <is>
          <t>Curricular</t>
        </is>
      </c>
      <c r="S610" s="77" t="inlineStr">
        <is>
          <t>2 units; client feedback 10% of grade (2020 syllabus)</t>
        </is>
      </c>
      <c r="T610" s="77" t="inlineStr">
        <is>
          <t>One semester</t>
        </is>
      </c>
      <c r="U610" s="77" t="inlineStr">
        <is>
          <t>Team consulting project</t>
        </is>
      </c>
      <c r="V610" s="77" t="inlineStr">
        <is>
          <t>Yes</t>
        </is>
      </c>
      <c r="W610" s="77" t="inlineStr">
        <is>
          <t>Scoped consulting project; mid and final presentations [1].</t>
        </is>
      </c>
      <c r="X610" s="77" t="inlineStr">
        <is>
          <t>Yes</t>
        </is>
      </c>
      <c r="Y610" s="77" t="inlineStr">
        <is>
          <t>Teams typically 3 to 5 students, self-formed [1].</t>
        </is>
      </c>
      <c r="Z610" s="77" t="inlineStr">
        <is>
          <t>Yes</t>
        </is>
      </c>
      <c r="AA610" s="77" t="inlineStr">
        <is>
          <t>Startups' founders or executives supply the project and give client feedback [1].</t>
        </is>
      </c>
      <c r="AB610" s="77" t="inlineStr">
        <is>
          <t>Business/commercial</t>
        </is>
      </c>
      <c r="AC610" s="77" t="inlineStr">
        <is>
          <t>Client</t>
        </is>
      </c>
      <c r="AD610" s="77" t="inlineStr"/>
      <c r="AE610" s="77" t="inlineStr">
        <is>
          <t>Final project presentation</t>
        </is>
      </c>
      <c r="AF610" s="77">
        <f>IF(OR(V610="No",X610="No",Z610="No"),"Outside strict definition",IF(AND(V610="Yes",X610="Yes",Z610="Yes"),"Meets all three","Potentially relevant; evidence incomplete"))</f>
        <v/>
      </c>
      <c r="AG610" s="77" t="inlineStr">
        <is>
          <t>Current status unclear</t>
        </is>
      </c>
      <c r="AH610" s="77" t="inlineStr">
        <is>
          <t>2020 (syllabus); no 2025/26 evidence found</t>
        </is>
      </c>
      <c r="AI610" s="77" t="inlineStr">
        <is>
          <t>Yes</t>
        </is>
      </c>
      <c r="AJ610" s="77">
        <f>IF(AND(AI610="Yes",AF610="Meets all three",AG610="Current delivery confirmed"),"Yes","No")</f>
        <v/>
      </c>
      <c r="AK610" s="77" t="inlineStr"/>
      <c r="AL610" s="77" t="inlineStr">
        <is>
          <t>US05-S06-R1</t>
        </is>
      </c>
      <c r="AM610" s="77" t="inlineStr">
        <is>
          <t>No current-year evidence; course numbers vary by term.</t>
        </is>
      </c>
      <c r="AN610" s="77" t="inlineStr"/>
      <c r="AO610" s="77" t="inlineStr">
        <is>
          <t>US</t>
        </is>
      </c>
      <c r="AP610" s="77" t="inlineStr">
        <is>
          <t>US</t>
        </is>
      </c>
      <c r="AQ610" s="77" t="inlineStr">
        <is>
          <t>~1 term/semester</t>
        </is>
      </c>
      <c r="AR610" s="77" t="inlineStr">
        <is>
          <t>All/standard</t>
        </is>
      </c>
      <c r="AS610" s="77" t="inlineStr"/>
    </row>
  </sheetData>
  <conditionalFormatting sqref="V7:V610">
    <cfRule type="expression" priority="1" dxfId="4">
      <formula>V7="Yes"</formula>
    </cfRule>
    <cfRule type="expression" priority="2" dxfId="6">
      <formula>V7="No"</formula>
    </cfRule>
    <cfRule type="expression" priority="3" dxfId="5">
      <formula>V7="Unclear"</formula>
    </cfRule>
  </conditionalFormatting>
  <conditionalFormatting sqref="X7:X610">
    <cfRule type="expression" priority="4" dxfId="4">
      <formula>X7="Yes"</formula>
    </cfRule>
    <cfRule type="expression" priority="5" dxfId="6">
      <formula>X7="No"</formula>
    </cfRule>
    <cfRule type="expression" priority="6" dxfId="5">
      <formula>X7="Unclear"</formula>
    </cfRule>
  </conditionalFormatting>
  <conditionalFormatting sqref="Z7:Z610">
    <cfRule type="expression" priority="7" dxfId="4">
      <formula>Z7="Yes"</formula>
    </cfRule>
    <cfRule type="expression" priority="8" dxfId="6">
      <formula>Z7="No"</formula>
    </cfRule>
    <cfRule type="expression" priority="9" dxfId="5">
      <formula>Z7="Unclear"</formula>
    </cfRule>
  </conditionalFormatting>
  <conditionalFormatting sqref="AF7:AF610">
    <cfRule type="expression" priority="10" dxfId="4">
      <formula>AF7="Meets all three"</formula>
    </cfRule>
    <cfRule type="expression" priority="11" dxfId="6">
      <formula>AF7="Outside strict definition"</formula>
    </cfRule>
    <cfRule type="expression" priority="12" dxfId="5">
      <formula>LEFT(AF7,11)="Potentially"</formula>
    </cfRule>
  </conditionalFormatting>
  <conditionalFormatting sqref="AJ7:AJ610">
    <cfRule type="expression" priority="13" dxfId="4">
      <formula>AJ7="Yes"</formula>
    </cfRule>
  </conditionalFormatting>
  <dataValidations count="7">
    <dataValidation sqref="V7:V610" showDropDown="0" showInputMessage="0" showErrorMessage="0" allowBlank="1" type="list">
      <formula1>"Yes,No,Unclear"</formula1>
    </dataValidation>
    <dataValidation sqref="X7:X610" showDropDown="0" showInputMessage="0" showErrorMessage="0" allowBlank="1" type="list">
      <formula1>"Yes,No,Unclear"</formula1>
    </dataValidation>
    <dataValidation sqref="Z7:Z610" showDropDown="0" showInputMessage="0" showErrorMessage="0" allowBlank="1" type="list">
      <formula1>"Yes,No,Unclear"</formula1>
    </dataValidation>
    <dataValidation sqref="C7:C610" showDropDown="0" showInputMessage="0" showErrorMessage="0" allowBlank="1" type="list">
      <formula1>"University-wide,Cross-faculty,Faculty/school,Programme/course,Unclear"</formula1>
    </dataValidation>
    <dataValidation sqref="AG7:AG610" showDropDown="0" showInputMessage="0" showErrorMessage="0" allowBlank="1" type="list">
      <formula1>"Current delivery confirmed,Announced/forthcoming,Historical delivery only,Paused/discontinued,Current status unclear"</formula1>
    </dataValidation>
    <dataValidation sqref="Q7:Q610" showDropDown="0" showInputMessage="0" showErrorMessage="0" allowBlank="1" type="list">
      <formula1>"Compulsory for all students (at stated level),Compulsory within specified programmes,Optional/elective,Selective/competitive,Unclear"</formula1>
    </dataValidation>
    <dataValidation sqref="AB7:AB610" showDropDown="0" showInputMessage="0" showErrorMessage="0" allowBlank="1" type="list">
      <formula1>"Business/commercial,Public sector,Charity/community,Mixed,Other,Unclear,None"</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2:K639"/>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22" customWidth="1" min="3" max="3"/>
    <col width="18" customWidth="1" min="4" max="4"/>
    <col width="36" customWidth="1" min="5" max="5"/>
    <col width="10" customWidth="1" min="6" max="6"/>
    <col width="10" customWidth="1" min="7" max="7"/>
    <col width="26" customWidth="1" min="8" max="8"/>
    <col width="70" customWidth="1" min="9" max="9"/>
    <col width="40" customWidth="1" min="10" max="10"/>
    <col width="30" customWidth="1" min="11" max="11"/>
  </cols>
  <sheetData>
    <row r="2">
      <c r="A2" s="78" t="inlineStr">
        <is>
          <t>Experiential learning: exclusions, near-misses and evidence gaps</t>
        </is>
      </c>
    </row>
    <row r="3">
      <c r="A3" s="71" t="inlineStr">
        <is>
          <t>Previously included frameworks and near-misses, with the reason they do not meet the strict definition or cannot yet be verified.</t>
        </is>
      </c>
    </row>
    <row r="4">
      <c r="A4" s="71" t="inlineStr">
        <is>
          <t>Legacy rows link back to 'Legacy schemes (v3)' (row number in column G; disposition in that tab's column Q).</t>
        </is>
      </c>
    </row>
    <row r="6">
      <c r="A6" s="75" t="inlineStr">
        <is>
          <t>Exclusion ID</t>
        </is>
      </c>
      <c r="B6" s="75" t="inlineStr">
        <is>
          <t>Institution ID</t>
        </is>
      </c>
      <c r="C6" s="75" t="inlineStr">
        <is>
          <t>Institution</t>
        </is>
      </c>
      <c r="D6" s="75" t="inlineStr">
        <is>
          <t>Region group</t>
        </is>
      </c>
      <c r="E6" s="75" t="inlineStr">
        <is>
          <t>Scheme / activity</t>
        </is>
      </c>
      <c r="F6" s="75" t="inlineStr">
        <is>
          <t>From legacy research?</t>
        </is>
      </c>
      <c r="G6" s="75" t="inlineStr">
        <is>
          <t>Legacy row no. (Legacy schemes tab)</t>
        </is>
      </c>
      <c r="H6" s="75" t="inlineStr">
        <is>
          <t>Category</t>
        </is>
      </c>
      <c r="I6" s="75" t="inlineStr">
        <is>
          <t>Reason it does not qualify / evidence missing</t>
        </is>
      </c>
      <c r="J6" s="75" t="inlineStr">
        <is>
          <t>Source URL</t>
        </is>
      </c>
      <c r="K6" s="75" t="inlineStr">
        <is>
          <t>Status note</t>
        </is>
      </c>
    </row>
    <row r="7">
      <c r="A7" s="77" t="inlineStr">
        <is>
          <t>RG01-X01</t>
        </is>
      </c>
      <c r="B7" s="77" t="inlineStr">
        <is>
          <t>RG01</t>
        </is>
      </c>
      <c r="C7" s="77" t="inlineStr">
        <is>
          <t>Birmingham</t>
        </is>
      </c>
      <c r="D7" s="77" t="inlineStr">
        <is>
          <t>UK – Russell Group</t>
        </is>
      </c>
      <c r="E7" s="77" t="inlineStr">
        <is>
          <t>Birmingham MBA Deloitte Consultancy Challenge</t>
        </is>
      </c>
      <c r="F7" s="77" t="inlineStr">
        <is>
          <t>No</t>
        </is>
      </c>
      <c r="G7" s="77" t="inlineStr"/>
      <c r="H7" s="77" t="inlineStr">
        <is>
          <t>Simulation/virtual</t>
        </is>
      </c>
      <c r="I7" s="77" t="inlineStr">
        <is>
          <t>Week-long challenge 'simulating a major business acquisition and consolidation' with Deloitte consultants; a designed scenario rather than a live client brief. MBA-only.</t>
        </is>
      </c>
      <c r="J7" s="77" t="inlineStr">
        <is>
          <t>https://www.birmingham.ac.uk/about/college-of-social-sciences/birmingham-business-school/company-projects</t>
        </is>
      </c>
      <c r="K7" s="77" t="inlineStr">
        <is>
          <t>undated</t>
        </is>
      </c>
    </row>
    <row r="8">
      <c r="A8" s="77" t="inlineStr">
        <is>
          <t>RG01-X02</t>
        </is>
      </c>
      <c r="B8" s="77" t="inlineStr">
        <is>
          <t>RG01</t>
        </is>
      </c>
      <c r="C8" s="77" t="inlineStr">
        <is>
          <t>Birmingham</t>
        </is>
      </c>
      <c r="D8" s="77" t="inlineStr">
        <is>
          <t>UK – Russell Group</t>
        </is>
      </c>
      <c r="E8" s="77" t="inlineStr">
        <is>
          <t>MBA Grow Movement pro-bono consulting</t>
        </is>
      </c>
      <c r="F8" s="77" t="inlineStr">
        <is>
          <t>No</t>
        </is>
      </c>
      <c r="G8" s="77" t="inlineStr"/>
      <c r="H8" s="77" t="inlineStr">
        <is>
          <t>Evidence gap</t>
        </is>
      </c>
      <c r="I8" s="77" t="inlineStr">
        <is>
          <t>MBA students act as pro-bono consultants to entrepreneurs in emerging economies; group working and current delivery not evidenced (not searched further owing to search limit).</t>
        </is>
      </c>
      <c r="J8" s="77" t="inlineStr">
        <is>
          <t>https://www.birmingham.ac.uk/about/college-of-social-sciences/birmingham-business-school/company-projects</t>
        </is>
      </c>
      <c r="K8" s="77" t="inlineStr">
        <is>
          <t>undated</t>
        </is>
      </c>
    </row>
    <row r="9">
      <c r="A9" s="77" t="inlineStr">
        <is>
          <t>RG01-X03</t>
        </is>
      </c>
      <c r="B9" s="77" t="inlineStr">
        <is>
          <t>RG01</t>
        </is>
      </c>
      <c r="C9" s="77" t="inlineStr">
        <is>
          <t>Birmingham</t>
        </is>
      </c>
      <c r="D9" s="77" t="inlineStr">
        <is>
          <t>UK – Russell Group</t>
        </is>
      </c>
      <c r="E9" s="77" t="inlineStr">
        <is>
          <t>Global Challenge (Careers Network)</t>
        </is>
      </c>
      <c r="F9" s="77" t="inlineStr">
        <is>
          <t>No</t>
        </is>
      </c>
      <c r="G9" s="77" t="inlineStr"/>
      <c r="H9" s="77" t="inlineStr">
        <is>
          <t>Placement/internship</t>
        </is>
      </c>
      <c r="I9" s="77" t="inlineStr">
        <is>
          <t>Overseas placements/internships (e.g. The English Theatre Frankfurt, British Consulate Chicago); no group project evidenced.</t>
        </is>
      </c>
      <c r="J9" s="77" t="inlineStr">
        <is>
          <t>https://intranet.birmingham.ac.uk/as/employability/careers/internships-and-work-experience/opportunities/bespoke-opportunities/global-challenge/index.aspx</t>
        </is>
      </c>
      <c r="K9" s="77" t="inlineStr"/>
    </row>
    <row r="10">
      <c r="A10" s="77" t="inlineStr">
        <is>
          <t>RG01-X04</t>
        </is>
      </c>
      <c r="B10" s="77" t="inlineStr">
        <is>
          <t>RG01</t>
        </is>
      </c>
      <c r="C10" s="77" t="inlineStr">
        <is>
          <t>Birmingham</t>
        </is>
      </c>
      <c r="D10" s="77" t="inlineStr">
        <is>
          <t>UK – Russell Group</t>
        </is>
      </c>
      <c r="E10" s="77" t="inlineStr">
        <is>
          <t>Physics Year 3 group research project</t>
        </is>
      </c>
      <c r="F10" s="77" t="inlineStr">
        <is>
          <t>No</t>
        </is>
      </c>
      <c r="G10" s="77" t="inlineStr"/>
      <c r="H10" s="77" t="inlineStr">
        <is>
          <t>Near-miss: no external org</t>
        </is>
      </c>
      <c r="I10" s="77" t="inlineStr">
        <is>
          <t>BSc physics pages describe a group research project led by an academic; no external partner. The IOP 'Group Industrial Projects' document hosted on the Birmingham site (2013) describes a national scheme, not a verified Birmingham route.</t>
        </is>
      </c>
      <c r="J10" s="77" t="inlineStr">
        <is>
          <t>https://www.birmingham.ac.uk/Documents/college-eps/college/stem/group-industrial-projects.pdf</t>
        </is>
      </c>
      <c r="K10" s="77" t="inlineStr">
        <is>
          <t>2013 document</t>
        </is>
      </c>
    </row>
    <row r="11">
      <c r="A11" s="77" t="inlineStr">
        <is>
          <t>RG01-X05</t>
        </is>
      </c>
      <c r="B11" s="77" t="inlineStr">
        <is>
          <t>RG01</t>
        </is>
      </c>
      <c r="C11" s="77" t="inlineStr">
        <is>
          <t>Birmingham</t>
        </is>
      </c>
      <c r="D11" s="77" t="inlineStr">
        <is>
          <t>UK – Russell Group</t>
        </is>
      </c>
      <c r="E11" s="77" t="inlineStr">
        <is>
          <t>Engineering MEng group design projects (Aerospace, Mechanical, Mechatronic, Materials)</t>
        </is>
      </c>
      <c r="F11" s="77" t="inlineStr">
        <is>
          <t>No</t>
        </is>
      </c>
      <c r="G11" s="77" t="inlineStr"/>
      <c r="H11" s="77" t="inlineStr">
        <is>
          <t>Evidence gap</t>
        </is>
      </c>
      <c r="I11" s="77" t="inlineStr">
        <is>
          <t>Major group design projects confirmed (A, B) but described only as 'industry-relevant'; Mechanical cites lectures from Rolls-Royce/JLR, not client briefs. No external organisation evidenced setting/assessing projects.</t>
        </is>
      </c>
      <c r="J11" s="77" t="inlineStr">
        <is>
          <t>https://www.birmingham.ac.uk/study/undergraduate/subjects/aerospace-engineering-courses/aerospace-engineering-meng</t>
        </is>
      </c>
      <c r="K11" s="77" t="inlineStr">
        <is>
          <t>course pages show future-intake module tables</t>
        </is>
      </c>
    </row>
    <row r="12">
      <c r="A12" s="77" t="inlineStr">
        <is>
          <t>RG01-X06</t>
        </is>
      </c>
      <c r="B12" s="77" t="inlineStr">
        <is>
          <t>RG01</t>
        </is>
      </c>
      <c r="C12" s="77" t="inlineStr">
        <is>
          <t>Birmingham</t>
        </is>
      </c>
      <c r="D12" s="77" t="inlineStr">
        <is>
          <t>UK – Russell Group</t>
        </is>
      </c>
      <c r="E12" s="77" t="inlineStr">
        <is>
          <t>College of Arts and Law Professional Skills Module</t>
        </is>
      </c>
      <c r="F12" s="77" t="inlineStr">
        <is>
          <t>No</t>
        </is>
      </c>
      <c r="G12" s="77" t="inlineStr"/>
      <c r="H12" s="77" t="inlineStr">
        <is>
          <t>Placement/internship</t>
        </is>
      </c>
      <c r="I12" s="77" t="inlineStr">
        <is>
          <t>Minimum 70-hour placement assessed by reflective essay and presentation; a 2022 example placement involved students working in teams to produce a report for a think tank, but team projects are not the standard route. Not verified further (search limit reached).</t>
        </is>
      </c>
      <c r="J12" s="77" t="inlineStr">
        <is>
          <t>https://www.birmingham.ac.uk/documents/college-artslaw/studentexperience/2022-psm-example-projects-web-version.pdf</t>
        </is>
      </c>
      <c r="K12" s="77" t="inlineStr">
        <is>
          <t>2022 examples</t>
        </is>
      </c>
    </row>
    <row r="13">
      <c r="A13" s="77" t="inlineStr">
        <is>
          <t>RG01-X07</t>
        </is>
      </c>
      <c r="B13" s="77" t="inlineStr">
        <is>
          <t>RG01</t>
        </is>
      </c>
      <c r="C13" s="77" t="inlineStr">
        <is>
          <t>Birmingham</t>
        </is>
      </c>
      <c r="D13" s="77" t="inlineStr">
        <is>
          <t>UK – Russell Group</t>
        </is>
      </c>
      <c r="E13" s="77" t="inlineStr">
        <is>
          <t>Social Sciences BASc final-year project</t>
        </is>
      </c>
      <c r="F13" s="77" t="inlineStr">
        <is>
          <t>No</t>
        </is>
      </c>
      <c r="G13" s="77" t="inlineStr"/>
      <c r="H13" s="77" t="inlineStr">
        <is>
          <t>Dissertation/research</t>
        </is>
      </c>
      <c r="I13" s="77" t="inlineStr">
        <is>
          <t>Individual research project supervised one-to-one.</t>
        </is>
      </c>
      <c r="J13" s="77" t="inlineStr">
        <is>
          <t>https://www.birmingham.ac.uk/study/undergraduate/subjects/social-policy-sociology-and-criminology-courses/ba-social-sciences</t>
        </is>
      </c>
      <c r="K13" s="77" t="inlineStr"/>
    </row>
    <row r="14">
      <c r="A14" s="77" t="inlineStr">
        <is>
          <t>RG01-X08</t>
        </is>
      </c>
      <c r="B14" s="77" t="inlineStr">
        <is>
          <t>RG01</t>
        </is>
      </c>
      <c r="C14" s="77" t="inlineStr">
        <is>
          <t>Birmingham</t>
        </is>
      </c>
      <c r="D14" s="77" t="inlineStr">
        <is>
          <t>UK – Russell Group</t>
        </is>
      </c>
      <c r="E14" s="77" t="inlineStr">
        <is>
          <t>Computer Science team projects / MSc Computer Science projects</t>
        </is>
      </c>
      <c r="F14" s="77" t="inlineStr">
        <is>
          <t>No</t>
        </is>
      </c>
      <c r="G14" s="77" t="inlineStr"/>
      <c r="H14" s="77" t="inlineStr">
        <is>
          <t>Near-miss: no external org</t>
        </is>
      </c>
      <c r="I14" s="77" t="inlineStr">
        <is>
          <t>MSc project individual (topics from staff or industrial collaborators); no Year 2 client team project found.</t>
        </is>
      </c>
      <c r="J14" s="77" t="inlineStr">
        <is>
          <t>https://www.birmingham.ac.uk/study/postgraduate/subjects/computer-science-and-data-science-courses/computer-science-msc</t>
        </is>
      </c>
      <c r="K14" s="77" t="inlineStr"/>
    </row>
    <row r="15">
      <c r="A15" s="77" t="inlineStr">
        <is>
          <t>RG02-X01</t>
        </is>
      </c>
      <c r="B15" s="77" t="inlineStr">
        <is>
          <t>RG02</t>
        </is>
      </c>
      <c r="C15" s="77" t="inlineStr">
        <is>
          <t>Bristol</t>
        </is>
      </c>
      <c r="D15" s="77" t="inlineStr">
        <is>
          <t>UK – Russell Group</t>
        </is>
      </c>
      <c r="E15" s="77" t="inlineStr">
        <is>
          <t>Bristol Futures Open Units</t>
        </is>
      </c>
      <c r="F15" s="77" t="inlineStr">
        <is>
          <t>Yes</t>
        </is>
      </c>
      <c r="G15" s="77" t="n">
        <v>8</v>
      </c>
      <c r="H15" s="77" t="inlineStr">
        <is>
          <t>Breadth/interdisciplinary curriculum</t>
        </is>
      </c>
      <c r="I15" s="77" t="inlineStr">
        <is>
          <t>Interdisciplinary breadth framework; guidance mentions group/problem-based work but no specific open unit with a documented external client brief was verified. Test would need a named unit.</t>
        </is>
      </c>
      <c r="J15" s="77" t="inlineStr">
        <is>
          <t>https://www.bristol.ac.uk/bristol-futures/open-units/</t>
        </is>
      </c>
      <c r="K15" s="77" t="inlineStr">
        <is>
          <t>Legacy row reassessed; no qualifying unit identified in the documented search.</t>
        </is>
      </c>
    </row>
    <row r="16">
      <c r="A16" s="77" t="inlineStr">
        <is>
          <t>RG02-X02</t>
        </is>
      </c>
      <c r="B16" s="77" t="inlineStr">
        <is>
          <t>RG02</t>
        </is>
      </c>
      <c r="C16" s="77" t="inlineStr">
        <is>
          <t>Bristol</t>
        </is>
      </c>
      <c r="D16" s="77" t="inlineStr">
        <is>
          <t>UK – Russell Group</t>
        </is>
      </c>
      <c r="E16" s="77" t="inlineStr">
        <is>
          <t>Bristol Futures community engagement / Bristol PLUS Award</t>
        </is>
      </c>
      <c r="F16" s="77" t="inlineStr">
        <is>
          <t>No</t>
        </is>
      </c>
      <c r="G16" s="77" t="inlineStr"/>
      <c r="H16" s="77" t="inlineStr">
        <is>
          <t>Employability award</t>
        </is>
      </c>
      <c r="I16" s="77" t="inlineStr">
        <is>
          <t>Umbrella listing of volunteering, placements and challenge-based activities; individual activities must be tested (City Challenges recorded as S15).</t>
        </is>
      </c>
      <c r="J16" s="77" t="inlineStr">
        <is>
          <t>https://www.bristol.ac.uk/bristol-futures/community-engagement/</t>
        </is>
      </c>
      <c r="K16" s="77" t="inlineStr"/>
    </row>
    <row r="17">
      <c r="A17" s="77" t="inlineStr">
        <is>
          <t>RG02-X03</t>
        </is>
      </c>
      <c r="B17" s="77" t="inlineStr">
        <is>
          <t>RG02</t>
        </is>
      </c>
      <c r="C17" s="77" t="inlineStr">
        <is>
          <t>Bristol</t>
        </is>
      </c>
      <c r="D17" s="77" t="inlineStr">
        <is>
          <t>UK – Russell Group</t>
        </is>
      </c>
      <c r="E17" s="77" t="inlineStr">
        <is>
          <t>PLN undergraduate placements (80-hour)</t>
        </is>
      </c>
      <c r="F17" s="77" t="inlineStr">
        <is>
          <t>No</t>
        </is>
      </c>
      <c r="G17" s="77" t="inlineStr"/>
      <c r="H17" s="77" t="inlineStr">
        <is>
          <t>Placement/internship</t>
        </is>
      </c>
      <c r="I17" s="77" t="inlineStr">
        <is>
          <t>Individual unpaid placements (80 hours, 10-12 weeks) with no group project component evidenced.</t>
        </is>
      </c>
      <c r="J17" s="77" t="inlineStr">
        <is>
          <t>https://www.bristol.ac.uk/fssl/professional-liaison-network/undergraduate-students/student-placements-and-projects/</t>
        </is>
      </c>
      <c r="K17" s="77" t="inlineStr">
        <is>
          <t>PLN 'projects' option is individual or group depending on programme; included within S14 as unresolved.</t>
        </is>
      </c>
    </row>
    <row r="18">
      <c r="A18" s="77" t="inlineStr">
        <is>
          <t>RG02-X04</t>
        </is>
      </c>
      <c r="B18" s="77" t="inlineStr">
        <is>
          <t>RG02</t>
        </is>
      </c>
      <c r="C18" s="77" t="inlineStr">
        <is>
          <t>Bristol</t>
        </is>
      </c>
      <c r="D18" s="77" t="inlineStr">
        <is>
          <t>UK – Russell Group</t>
        </is>
      </c>
      <c r="E18" s="77" t="inlineStr">
        <is>
          <t>180 Degrees Consulting Bristol</t>
        </is>
      </c>
      <c r="F18" s="77" t="inlineStr">
        <is>
          <t>No</t>
        </is>
      </c>
      <c r="G18" s="77" t="inlineStr"/>
      <c r="H18" s="77" t="inlineStr">
        <is>
          <t>Other</t>
        </is>
      </c>
      <c r="I18" s="77" t="inlineStr">
        <is>
          <t>Student-run society working with charities/social enterprises; not run by the University (Careers blog post, Nov 2025). Not recorded as a university scheme.</t>
        </is>
      </c>
      <c r="J18" s="77" t="inlineStr">
        <is>
          <t>https://universityofbristolcareers.blogs.bristol.ac.uk/2025/11/07/from-student-consultant-to-team-leader-my-journey-with-180-degrees-consulting/</t>
        </is>
      </c>
      <c r="K18" s="77" t="inlineStr"/>
    </row>
    <row r="19">
      <c r="A19" s="77" t="inlineStr">
        <is>
          <t>RG02-X05</t>
        </is>
      </c>
      <c r="B19" s="77" t="inlineStr">
        <is>
          <t>RG02</t>
        </is>
      </c>
      <c r="C19" s="77" t="inlineStr">
        <is>
          <t>Bristol</t>
        </is>
      </c>
      <c r="D19" s="77" t="inlineStr">
        <is>
          <t>UK – Russell Group</t>
        </is>
      </c>
      <c r="E19" s="77" t="inlineStr">
        <is>
          <t>Partner Placement Project (PHYSM0067)</t>
        </is>
      </c>
      <c r="F19" s="77" t="inlineStr">
        <is>
          <t>No</t>
        </is>
      </c>
      <c r="G19" s="77" t="inlineStr"/>
      <c r="H19" s="77" t="inlineStr">
        <is>
          <t>Near-miss: not group</t>
        </is>
      </c>
      <c r="I19" s="77" t="inlineStr">
        <is>
          <t>Individual six-week placement with industry/research facility partners for Superconductivity CDT students only; assessed by individual report and notebook.</t>
        </is>
      </c>
      <c r="J19" s="77" t="inlineStr">
        <is>
          <t>https://upc.bristol.ac.uk/unit-programme-catalogue/UnitDetails.jsa?ayrCode=25/26&amp;unitCode=PHYSM0067</t>
        </is>
      </c>
      <c r="K19" s="77" t="inlineStr">
        <is>
          <t>2025/26 entry.</t>
        </is>
      </c>
    </row>
    <row r="20">
      <c r="A20" s="77" t="inlineStr">
        <is>
          <t>RG02-X06</t>
        </is>
      </c>
      <c r="B20" s="77" t="inlineStr">
        <is>
          <t>RG02</t>
        </is>
      </c>
      <c r="C20" s="77" t="inlineStr">
        <is>
          <t>Bristol</t>
        </is>
      </c>
      <c r="D20" s="77" t="inlineStr">
        <is>
          <t>UK – Russell Group</t>
        </is>
      </c>
      <c r="E20" s="77" t="inlineStr">
        <is>
          <t>Engineering Design Practice A (CADE20008)</t>
        </is>
      </c>
      <c r="F20" s="77" t="inlineStr">
        <is>
          <t>No</t>
        </is>
      </c>
      <c r="G20" s="77" t="inlineStr"/>
      <c r="H20" s="77" t="inlineStr">
        <is>
          <t>Near-miss: no external org</t>
        </is>
      </c>
      <c r="I20" s="77" t="inlineStr">
        <is>
          <t>Team design-build-test capstone not directly sponsored by industry; ILO mentoring assessment is internal.</t>
        </is>
      </c>
      <c r="J20" s="77" t="inlineStr">
        <is>
          <t>https://upc.bristol.ac.uk/unit-programme-catalogue/UnitDetails.jsa?ayrCode=24/25&amp;unitCode=CADE20008</t>
        </is>
      </c>
      <c r="K20" s="77" t="inlineStr">
        <is>
          <t>2024/25 entry.</t>
        </is>
      </c>
    </row>
    <row r="21">
      <c r="A21" s="77" t="inlineStr">
        <is>
          <t>RG02-X07</t>
        </is>
      </c>
      <c r="B21" s="77" t="inlineStr">
        <is>
          <t>RG02</t>
        </is>
      </c>
      <c r="C21" s="77" t="inlineStr">
        <is>
          <t>Bristol</t>
        </is>
      </c>
      <c r="D21" s="77" t="inlineStr">
        <is>
          <t>UK – Russell Group</t>
        </is>
      </c>
      <c r="E21" s="77" t="inlineStr">
        <is>
          <t>MSc Data Science / Fintech with Data Science industry projects (ILO)</t>
        </is>
      </c>
      <c r="F21" s="77" t="inlineStr">
        <is>
          <t>No</t>
        </is>
      </c>
      <c r="G21" s="77" t="inlineStr"/>
      <c r="H21" s="77" t="inlineStr">
        <is>
          <t>Evidence gap</t>
        </is>
      </c>
      <c r="I21" s="77" t="inlineStr">
        <is>
          <t>Clients supply datasets, but MSc Data Science final project is 'individual or group' and the Fintech project is individual; routes not separable and group client route unverified. Group client projects covered by S5.</t>
        </is>
      </c>
      <c r="J21" s="77" t="inlineStr">
        <is>
          <t>https://www.bristol.ac.uk/science-engineering/ilo/industry/industry-projects/msc-data-science-and-msc-fintech-with-data-science-projects/</t>
        </is>
      </c>
      <c r="K21" s="77" t="inlineStr"/>
    </row>
    <row r="22">
      <c r="A22" s="77" t="inlineStr">
        <is>
          <t>RG02-X08</t>
        </is>
      </c>
      <c r="B22" s="77" t="inlineStr">
        <is>
          <t>RG02</t>
        </is>
      </c>
      <c r="C22" s="77" t="inlineStr">
        <is>
          <t>Bristol</t>
        </is>
      </c>
      <c r="D22" s="77" t="inlineStr">
        <is>
          <t>UK – Russell Group</t>
        </is>
      </c>
      <c r="E22" s="77" t="inlineStr">
        <is>
          <t>Bristol Law Clinic (casework and community projects)</t>
        </is>
      </c>
      <c r="F22" s="77" t="inlineStr">
        <is>
          <t>No</t>
        </is>
      </c>
      <c r="G22" s="77" t="inlineStr"/>
      <c r="H22" s="77" t="inlineStr">
        <is>
          <t>Volunteering/service-learning</t>
        </is>
      </c>
      <c r="I22" s="77" t="inlineStr">
        <is>
          <t>Free legal advice to individual members of the public and partnership activities (inquest service, drop-ins); not a client-brief group project. Human Rights Law Clinic recorded as S16.</t>
        </is>
      </c>
      <c r="J22" s="77" t="inlineStr">
        <is>
          <t>https://www.bristol.ac.uk/law/law-clinic/</t>
        </is>
      </c>
      <c r="K22" s="77" t="inlineStr"/>
    </row>
    <row r="23">
      <c r="A23" s="77" t="inlineStr">
        <is>
          <t>RG02-X09</t>
        </is>
      </c>
      <c r="B23" s="77" t="inlineStr">
        <is>
          <t>RG02</t>
        </is>
      </c>
      <c r="C23" s="77" t="inlineStr">
        <is>
          <t>Bristol</t>
        </is>
      </c>
      <c r="D23" s="77" t="inlineStr">
        <is>
          <t>UK – Russell Group</t>
        </is>
      </c>
      <c r="E23" s="77" t="inlineStr">
        <is>
          <t>Earth Sciences independent research projects</t>
        </is>
      </c>
      <c r="F23" s="77" t="inlineStr">
        <is>
          <t>No</t>
        </is>
      </c>
      <c r="G23" s="77" t="inlineStr"/>
      <c r="H23" s="77" t="inlineStr">
        <is>
          <t>Dissertation/research</t>
        </is>
      </c>
      <c r="I23" s="77" t="inlineStr">
        <is>
          <t>Supervised individual research projects with some group fieldwork; no client brief. Companies may offer projects (School partnerships page) but no unit evidenced.</t>
        </is>
      </c>
      <c r="J23" s="77" t="inlineStr">
        <is>
          <t>https://www.bristol.ac.uk/earthsciences/engagement/partnerships/</t>
        </is>
      </c>
      <c r="K23" s="77" t="inlineStr"/>
    </row>
    <row r="24">
      <c r="A24" s="77" t="inlineStr">
        <is>
          <t>RG03-X01</t>
        </is>
      </c>
      <c r="B24" s="77" t="inlineStr">
        <is>
          <t>RG03</t>
        </is>
      </c>
      <c r="C24" s="77" t="inlineStr">
        <is>
          <t>Cambridge</t>
        </is>
      </c>
      <c r="D24" s="77" t="inlineStr">
        <is>
          <t>UK – Russell Group</t>
        </is>
      </c>
      <c r="E24" s="77" t="inlineStr">
        <is>
          <t>Cambridge Venture Project / Global Consulting Project (legacy row)</t>
        </is>
      </c>
      <c r="F24" s="77" t="inlineStr">
        <is>
          <t>Yes</t>
        </is>
      </c>
      <c r="G24" s="77" t="n">
        <v>9</v>
      </c>
      <c r="H24" s="77" t="inlineStr">
        <is>
          <t>Other</t>
        </is>
      </c>
      <c r="I24" s="77" t="inlineStr">
        <is>
          <t>Reassessed as schemes S1 (GCP) and S2 (CVP); not excluded.</t>
        </is>
      </c>
      <c r="J24" s="77" t="inlineStr">
        <is>
          <t>https://www.jbs.cam.ac.uk/recruiters-organisations/student-projects/</t>
        </is>
      </c>
      <c r="K24" s="77" t="inlineStr">
        <is>
          <t>Legacy row 9 mapped to S1/S2</t>
        </is>
      </c>
    </row>
    <row r="25">
      <c r="A25" s="77" t="inlineStr">
        <is>
          <t>RG03-X02</t>
        </is>
      </c>
      <c r="B25" s="77" t="inlineStr">
        <is>
          <t>RG03</t>
        </is>
      </c>
      <c r="C25" s="77" t="inlineStr">
        <is>
          <t>Cambridge</t>
        </is>
      </c>
      <c r="D25" s="77" t="inlineStr">
        <is>
          <t>UK – Russell Group</t>
        </is>
      </c>
      <c r="E25" s="77" t="inlineStr">
        <is>
          <t>MFin Individual Project and Work Placement</t>
        </is>
      </c>
      <c r="F25" s="77" t="inlineStr">
        <is>
          <t>No</t>
        </is>
      </c>
      <c r="G25" s="77" t="inlineStr"/>
      <c r="H25" s="77" t="inlineStr">
        <is>
          <t>Near-miss: not group</t>
        </is>
      </c>
      <c r="I25" s="77" t="inlineStr">
        <is>
          <t>Individual summer internship/project of at least six weeks; no group working evidenced.</t>
        </is>
      </c>
      <c r="J25" s="77" t="inlineStr">
        <is>
          <t>https://www.jbs.cam.ac.uk/recruiters-organisations/student-projects/mfin-individual-project-work-placement/</t>
        </is>
      </c>
      <c r="K25" s="77" t="inlineStr"/>
    </row>
    <row r="26">
      <c r="A26" s="77" t="inlineStr">
        <is>
          <t>RG03-X03</t>
        </is>
      </c>
      <c r="B26" s="77" t="inlineStr">
        <is>
          <t>RG03</t>
        </is>
      </c>
      <c r="C26" s="77" t="inlineStr">
        <is>
          <t>Cambridge</t>
        </is>
      </c>
      <c r="D26" s="77" t="inlineStr">
        <is>
          <t>UK – Russell Group</t>
        </is>
      </c>
      <c r="E26" s="77" t="inlineStr">
        <is>
          <t>Engineering Student-led Projects and Industry Partnership (SPIP)</t>
        </is>
      </c>
      <c r="F26" s="77" t="inlineStr">
        <is>
          <t>No</t>
        </is>
      </c>
      <c r="G26" s="77" t="inlineStr"/>
      <c r="H26" s="77" t="inlineStr">
        <is>
          <t>Near-miss: no external org</t>
        </is>
      </c>
      <c r="I26" s="77" t="inlineStr">
        <is>
          <t>Student-run engineering teams (e.g. Eco Racing, Full Blue Racing) with industry sponsorship and funding; sponsors pay subscriptions, they do not set a client brief or receive outputs.</t>
        </is>
      </c>
      <c r="J26" s="77" t="inlineStr">
        <is>
          <t>https://teaching.eng.cam.ac.uk/content/student-led-projects</t>
        </is>
      </c>
      <c r="K26" s="77" t="inlineStr"/>
    </row>
    <row r="27">
      <c r="A27" s="77" t="inlineStr">
        <is>
          <t>RG03-X04</t>
        </is>
      </c>
      <c r="B27" s="77" t="inlineStr">
        <is>
          <t>RG03</t>
        </is>
      </c>
      <c r="C27" s="77" t="inlineStr">
        <is>
          <t>Cambridge</t>
        </is>
      </c>
      <c r="D27" s="77" t="inlineStr">
        <is>
          <t>UK – Russell Group</t>
        </is>
      </c>
      <c r="E27" s="77" t="inlineStr">
        <is>
          <t>Engineering Part IIB projects with industrial collaboration</t>
        </is>
      </c>
      <c r="F27" s="77" t="inlineStr">
        <is>
          <t>No</t>
        </is>
      </c>
      <c r="G27" s="77" t="inlineStr"/>
      <c r="H27" s="77" t="inlineStr">
        <is>
          <t>Near-miss: not group</t>
        </is>
      </c>
      <c r="I27" s="77" t="inlineStr">
        <is>
          <t>Fourth-year projects may involve an industrial collaborator but are described as individual/pair research projects (not evidenced as group); collaboration optional.</t>
        </is>
      </c>
      <c r="J27" s="77" t="inlineStr">
        <is>
          <t>https://teaching.eng.cam.ac.uk/content/part-iib-project-introduction</t>
        </is>
      </c>
      <c r="K27" s="77" t="inlineStr"/>
    </row>
    <row r="28">
      <c r="A28" s="77" t="inlineStr">
        <is>
          <t>RG03-X05</t>
        </is>
      </c>
      <c r="B28" s="77" t="inlineStr">
        <is>
          <t>RG03</t>
        </is>
      </c>
      <c r="C28" s="77" t="inlineStr">
        <is>
          <t>Cambridge</t>
        </is>
      </c>
      <c r="D28" s="77" t="inlineStr">
        <is>
          <t>UK – Russell Group</t>
        </is>
      </c>
      <c r="E28" s="77" t="inlineStr">
        <is>
          <t>Engineering Part IIA group projects (e.g. GM2 Technology for the poorest billion)</t>
        </is>
      </c>
      <c r="F28" s="77" t="inlineStr">
        <is>
          <t>No</t>
        </is>
      </c>
      <c r="G28" s="77" t="inlineStr"/>
      <c r="H28" s="77" t="inlineStr">
        <is>
          <t>Evidence gap</t>
        </is>
      </c>
      <c r="I28" s="77" t="inlineStr">
        <is>
          <t>Group projects (min 3 students) listed but no external client or sponsor evidenced in retrieved pages.</t>
        </is>
      </c>
      <c r="J28" s="77" t="inlineStr">
        <is>
          <t>https://teaching.eng.cam.ac.uk/content/part-iia-project-descriptions</t>
        </is>
      </c>
      <c r="K28" s="77" t="inlineStr">
        <is>
          <t>Further departmental instances may exist</t>
        </is>
      </c>
    </row>
    <row r="29">
      <c r="A29" s="77" t="inlineStr">
        <is>
          <t>RG03-X06</t>
        </is>
      </c>
      <c r="B29" s="77" t="inlineStr">
        <is>
          <t>RG03</t>
        </is>
      </c>
      <c r="C29" s="77" t="inlineStr">
        <is>
          <t>Cambridge</t>
        </is>
      </c>
      <c r="D29" s="77" t="inlineStr">
        <is>
          <t>UK – Russell Group</t>
        </is>
      </c>
      <c r="E29" s="77" t="inlineStr">
        <is>
          <t>Chemical Engineering team design project (3rd year)</t>
        </is>
      </c>
      <c r="F29" s="77" t="inlineStr">
        <is>
          <t>No</t>
        </is>
      </c>
      <c r="G29" s="77" t="inlineStr"/>
      <c r="H29" s="77" t="inlineStr">
        <is>
          <t>Evidence gap</t>
        </is>
      </c>
      <c r="I29" s="77" t="inlineStr">
        <is>
          <t>Five-week team plant design project in groups of ~5, but no external organisation involvement evidenced (2019-22 course documents).</t>
        </is>
      </c>
      <c r="J29" s="77" t="inlineStr">
        <is>
          <t>https://www.ceb.cam.ac.uk/study/undergraduate</t>
        </is>
      </c>
      <c r="K29" s="77" t="inlineStr"/>
    </row>
    <row r="30">
      <c r="A30" s="77" t="inlineStr">
        <is>
          <t>RG03-X07</t>
        </is>
      </c>
      <c r="B30" s="77" t="inlineStr">
        <is>
          <t>RG03</t>
        </is>
      </c>
      <c r="C30" s="77" t="inlineStr">
        <is>
          <t>Cambridge</t>
        </is>
      </c>
      <c r="D30" s="77" t="inlineStr">
        <is>
          <t>UK – Russell Group</t>
        </is>
      </c>
      <c r="E30" s="77" t="inlineStr">
        <is>
          <t>Cambridge Hub / student consultancy-style charity projects</t>
        </is>
      </c>
      <c r="F30" s="77" t="inlineStr">
        <is>
          <t>No</t>
        </is>
      </c>
      <c r="G30" s="77" t="inlineStr"/>
      <c r="H30" s="77" t="inlineStr">
        <is>
          <t>Evidence gap</t>
        </is>
      </c>
      <c r="I30" s="77" t="inlineStr">
        <is>
          <t>A student flyer mentions six-week consultancy-style projects for Cambridge charities; no current, official scheme page retrieved; student-run charity, not university provision.</t>
        </is>
      </c>
      <c r="J30" s="77" t="inlineStr">
        <is>
          <t>https://www.jbs.cam.ac.uk/ventures/cambridge-hub</t>
        </is>
      </c>
      <c r="K30" s="77" t="inlineStr"/>
    </row>
    <row r="31">
      <c r="A31" s="77" t="inlineStr">
        <is>
          <t>RG03-X08</t>
        </is>
      </c>
      <c r="B31" s="77" t="inlineStr">
        <is>
          <t>RG03</t>
        </is>
      </c>
      <c r="C31" s="77" t="inlineStr">
        <is>
          <t>Cambridge</t>
        </is>
      </c>
      <c r="D31" s="77" t="inlineStr">
        <is>
          <t>UK – Russell Group</t>
        </is>
      </c>
      <c r="E31" s="77" t="inlineStr">
        <is>
          <t>Cambridge Pro Bono Project (Law Faculty)</t>
        </is>
      </c>
      <c r="F31" s="77" t="inlineStr">
        <is>
          <t>No</t>
        </is>
      </c>
      <c r="G31" s="77" t="inlineStr"/>
      <c r="H31" s="77" t="inlineStr">
        <is>
          <t>Other</t>
        </is>
      </c>
      <c r="I31" s="77" t="inlineStr">
        <is>
          <t>Described as a Law Faculty research centre partnering with NGOs and others, not a student team project route; student participation not evidenced.</t>
        </is>
      </c>
      <c r="J31" s="77" t="inlineStr">
        <is>
          <t>https://www.cpp.law.cam.ac.uk</t>
        </is>
      </c>
      <c r="K31" s="77" t="inlineStr"/>
    </row>
    <row r="32">
      <c r="A32" s="77" t="inlineStr">
        <is>
          <t>RG03-X09</t>
        </is>
      </c>
      <c r="B32" s="77" t="inlineStr">
        <is>
          <t>RG03</t>
        </is>
      </c>
      <c r="C32" s="77" t="inlineStr">
        <is>
          <t>Cambridge</t>
        </is>
      </c>
      <c r="D32" s="77" t="inlineStr">
        <is>
          <t>UK – Russell Group</t>
        </is>
      </c>
      <c r="E32" s="77" t="inlineStr">
        <is>
          <t>Student societies: Cambridge Consulting Network / 180 Degrees Consulting</t>
        </is>
      </c>
      <c r="F32" s="77" t="inlineStr">
        <is>
          <t>No</t>
        </is>
      </c>
      <c r="G32" s="77" t="inlineStr"/>
      <c r="H32" s="77" t="inlineStr">
        <is>
          <t>Evidence gap</t>
        </is>
      </c>
      <c r="I32" s="77" t="inlineStr">
        <is>
          <t>Named by Careers Service as consulting experience routes; not searched individually; student-run extracurricular societies.</t>
        </is>
      </c>
      <c r="J32" s="77" t="inlineStr">
        <is>
          <t>https://www.careers.cam.ac.uk/sectors-consultancy</t>
        </is>
      </c>
      <c r="K32" s="77" t="inlineStr">
        <is>
          <t>Not verified</t>
        </is>
      </c>
    </row>
    <row r="33">
      <c r="A33" s="77" t="inlineStr">
        <is>
          <t>RG03-X10</t>
        </is>
      </c>
      <c r="B33" s="77" t="inlineStr">
        <is>
          <t>RG03</t>
        </is>
      </c>
      <c r="C33" s="77" t="inlineStr">
        <is>
          <t>Cambridge</t>
        </is>
      </c>
      <c r="D33" s="77" t="inlineStr">
        <is>
          <t>UK – Russell Group</t>
        </is>
      </c>
      <c r="E33" s="77" t="inlineStr">
        <is>
          <t>Careers Service (employer fairs, Charityworks)</t>
        </is>
      </c>
      <c r="F33" s="77" t="inlineStr">
        <is>
          <t>No</t>
        </is>
      </c>
      <c r="G33" s="77" t="inlineStr"/>
      <c r="H33" s="77" t="inlineStr">
        <is>
          <t>Careers service</t>
        </is>
      </c>
      <c r="I33" s="77" t="inlineStr">
        <is>
          <t>Careers provision; no group employer project.</t>
        </is>
      </c>
      <c r="J33" s="77" t="inlineStr">
        <is>
          <t>https://www.careers.cam.ac.uk/sectors-charities</t>
        </is>
      </c>
      <c r="K33" s="77" t="inlineStr"/>
    </row>
    <row r="34">
      <c r="A34" s="77" t="inlineStr">
        <is>
          <t>RG04-X01</t>
        </is>
      </c>
      <c r="B34" s="77" t="inlineStr">
        <is>
          <t>RG04</t>
        </is>
      </c>
      <c r="C34" s="77" t="inlineStr">
        <is>
          <t>Cardiff</t>
        </is>
      </c>
      <c r="D34" s="77" t="inlineStr">
        <is>
          <t>UK – Russell Group</t>
        </is>
      </c>
      <c r="E34" s="77" t="inlineStr">
        <is>
          <t>Cardiff Award</t>
        </is>
      </c>
      <c r="F34" s="77" t="inlineStr">
        <is>
          <t>Yes</t>
        </is>
      </c>
      <c r="G34" s="77" t="n">
        <v>52</v>
      </c>
      <c r="H34" s="77" t="inlineStr">
        <is>
          <t>Employability award</t>
        </is>
      </c>
      <c r="I34" s="77" t="inlineStr">
        <is>
          <t>Optional career-development award with structured employability activities and reflection; it is a framework, not a group project for an external client. No underlying employer project activity was identified.</t>
        </is>
      </c>
      <c r="J34" s="77" t="inlineStr">
        <is>
          <t>https://sites.cardiff.ac.uk/student-futures-framework/student-futures-framework/activities-supported-by-student-futures/</t>
        </is>
      </c>
      <c r="K34" s="77" t="inlineStr">
        <is>
          <t>Not re-searched (budget); assessed from legacy row</t>
        </is>
      </c>
    </row>
    <row r="35">
      <c r="A35" s="77" t="inlineStr">
        <is>
          <t>RG04-X02</t>
        </is>
      </c>
      <c r="B35" s="77" t="inlineStr">
        <is>
          <t>RG04</t>
        </is>
      </c>
      <c r="C35" s="77" t="inlineStr">
        <is>
          <t>Cardiff</t>
        </is>
      </c>
      <c r="D35" s="77" t="inlineStr">
        <is>
          <t>UK – Russell Group</t>
        </is>
      </c>
      <c r="E35" s="77" t="inlineStr">
        <is>
          <t>Student Futures Framework (industry briefs, Integrated Enterprise Projects)</t>
        </is>
      </c>
      <c r="F35" s="77" t="inlineStr">
        <is>
          <t>No</t>
        </is>
      </c>
      <c r="G35" s="77" t="inlineStr"/>
      <c r="H35" s="77" t="inlineStr">
        <is>
          <t>WIL framework</t>
        </is>
      </c>
      <c r="I35" s="77" t="inlineStr">
        <is>
          <t>A curriculum framework listing activity types (industry briefs, case studies, integrated enterprise projects); no specific team route with an external client is identified at framework level.</t>
        </is>
      </c>
      <c r="J35" s="77" t="inlineStr">
        <is>
          <t>https://sites.cardiff.ac.uk/student-futures-framework/student-futures-framework/activities-supported-by-student-futures/</t>
        </is>
      </c>
      <c r="K35" s="77" t="inlineStr">
        <is>
          <t>undated</t>
        </is>
      </c>
    </row>
    <row r="36">
      <c r="A36" s="77" t="inlineStr">
        <is>
          <t>RG04-X03</t>
        </is>
      </c>
      <c r="B36" s="77" t="inlineStr">
        <is>
          <t>RG04</t>
        </is>
      </c>
      <c r="C36" s="77" t="inlineStr">
        <is>
          <t>Cardiff</t>
        </is>
      </c>
      <c r="D36" s="77" t="inlineStr">
        <is>
          <t>UK – Russell Group</t>
        </is>
      </c>
      <c r="E36" s="77" t="inlineStr">
        <is>
          <t>The Cardiff Challenge (Business School public value competition)</t>
        </is>
      </c>
      <c r="F36" s="77" t="inlineStr">
        <is>
          <t>No</t>
        </is>
      </c>
      <c r="G36" s="77" t="inlineStr"/>
      <c r="H36" s="77" t="inlineStr">
        <is>
          <t>Other</t>
        </is>
      </c>
      <c r="I36" s="77" t="inlineStr">
        <is>
          <t>Aimed at school/college pupils (Welsh Baccalaureate, BTEC, A Level), not university students.</t>
        </is>
      </c>
      <c r="J36" s="77" t="inlineStr">
        <is>
          <t>https://www.cardiff.ac.uk/business-school/about-us/public-value/public-value-teaching/the-cardiff-challenge</t>
        </is>
      </c>
      <c r="K36" s="77" t="inlineStr"/>
    </row>
    <row r="37">
      <c r="A37" s="77" t="inlineStr">
        <is>
          <t>RG04-X04</t>
        </is>
      </c>
      <c r="B37" s="77" t="inlineStr">
        <is>
          <t>RG04</t>
        </is>
      </c>
      <c r="C37" s="77" t="inlineStr">
        <is>
          <t>Cardiff</t>
        </is>
      </c>
      <c r="D37" s="77" t="inlineStr">
        <is>
          <t>UK – Russell Group</t>
        </is>
      </c>
      <c r="E37" s="77" t="inlineStr">
        <is>
          <t>Cardiff Law Pro Bono Unit (Innocence Project, Fresh Claims Project, Speakeasy clinic etc.)</t>
        </is>
      </c>
      <c r="F37" s="77" t="inlineStr">
        <is>
          <t>No</t>
        </is>
      </c>
      <c r="G37" s="77" t="inlineStr"/>
      <c r="H37" s="77" t="inlineStr">
        <is>
          <t>Volunteering/service-learning</t>
        </is>
      </c>
      <c r="I37" s="77" t="inlineStr">
        <is>
          <t>Student volunteer casework and advice clinics supervised by lawyers; partnerships (e.g. Welsh Government, Asylum Justice) support casework, not a bounded team project to an organisation's brief. The Innocence Project credit module involves casework for individual applicants.</t>
        </is>
      </c>
      <c r="J37" s="77" t="inlineStr">
        <is>
          <t>https://www.cardiff.ac.uk/pro-bono/pro-bono-schemes</t>
        </is>
      </c>
      <c r="K37" s="77" t="inlineStr">
        <is>
          <t>Active 2026 (award news)</t>
        </is>
      </c>
    </row>
    <row r="38">
      <c r="A38" s="77" t="inlineStr">
        <is>
          <t>RG04-X05</t>
        </is>
      </c>
      <c r="B38" s="77" t="inlineStr">
        <is>
          <t>RG04</t>
        </is>
      </c>
      <c r="C38" s="77" t="inlineStr">
        <is>
          <t>Cardiff</t>
        </is>
      </c>
      <c r="D38" s="77" t="inlineStr">
        <is>
          <t>UK – Russell Group</t>
        </is>
      </c>
      <c r="E38" s="77" t="inlineStr">
        <is>
          <t>Philosophy in Practice / collaborative policy project (Philosophy BA programmes)</t>
        </is>
      </c>
      <c r="F38" s="77" t="inlineStr">
        <is>
          <t>No</t>
        </is>
      </c>
      <c r="G38" s="77" t="inlineStr"/>
      <c r="H38" s="77" t="inlineStr">
        <is>
          <t>Near-miss: no external org</t>
        </is>
      </c>
      <c r="I38" s="77" t="inlineStr">
        <is>
          <t>Students develop policy recommendations for a 'contemporary concrete real-world problem' (collaborative in the Welsh and Philosophy BA); no external organisation is evidenced as setting the brief or receiving the output.</t>
        </is>
      </c>
      <c r="J38" s="77" t="inlineStr">
        <is>
          <t>https://www.cardiff.ac.uk/study/undergraduate/courses/2026/philosophy-and-linguistics-ba</t>
        </is>
      </c>
      <c r="K38" s="77" t="inlineStr">
        <is>
          <t>2026 course page</t>
        </is>
      </c>
    </row>
    <row r="39">
      <c r="A39" s="77" t="inlineStr">
        <is>
          <t>RG04-X06</t>
        </is>
      </c>
      <c r="B39" s="77" t="inlineStr">
        <is>
          <t>RG04</t>
        </is>
      </c>
      <c r="C39" s="77" t="inlineStr">
        <is>
          <t>Cardiff</t>
        </is>
      </c>
      <c r="D39" s="77" t="inlineStr">
        <is>
          <t>UK – Russell Group</t>
        </is>
      </c>
      <c r="E39" s="77" t="inlineStr">
        <is>
          <t>Public Value Hackathon (Ecotricity challenge)</t>
        </is>
      </c>
      <c r="F39" s="77" t="inlineStr">
        <is>
          <t>No</t>
        </is>
      </c>
      <c r="G39" s="77" t="inlineStr"/>
      <c r="H39" s="77" t="inlineStr">
        <is>
          <t>Evidence gap</t>
        </is>
      </c>
      <c r="I39" s="77" t="inlineStr">
        <is>
          <t>MSc Business Strategy and Entrepreneurship students addressed an Ecotricity challenge (Theory of Change). Company-set challenge, but the format, team outputs, the company's role and dates were not verified (search budget exhausted).</t>
        </is>
      </c>
      <c r="J39" s="77" t="inlineStr">
        <is>
          <t>https://www.cardiff.ac.uk/news/view/2784694-public-value-hackathon-ignites-ideas-and-sparks-innovation</t>
        </is>
      </c>
      <c r="K39" s="77" t="inlineStr">
        <is>
          <t>undated news</t>
        </is>
      </c>
    </row>
    <row r="40">
      <c r="A40" s="77" t="inlineStr">
        <is>
          <t>RG04-X07</t>
        </is>
      </c>
      <c r="B40" s="77" t="inlineStr">
        <is>
          <t>RG04</t>
        </is>
      </c>
      <c r="C40" s="77" t="inlineStr">
        <is>
          <t>Cardiff</t>
        </is>
      </c>
      <c r="D40" s="77" t="inlineStr">
        <is>
          <t>UK – Russell Group</t>
        </is>
      </c>
      <c r="E40" s="77" t="inlineStr">
        <is>
          <t>FinTech Wales Skills Challenge (Cardiff Business School)</t>
        </is>
      </c>
      <c r="F40" s="77" t="inlineStr">
        <is>
          <t>No</t>
        </is>
      </c>
      <c r="G40" s="77" t="inlineStr"/>
      <c r="H40" s="77" t="inlineStr">
        <is>
          <t>Evidence gap</t>
        </is>
      </c>
      <c r="I40" s="77" t="inlineStr">
        <is>
          <t>News item found ('returns to Cardiff Business School'), but it could not be researched because the search budget ran out; whether companies set live challenges is unverified.</t>
        </is>
      </c>
      <c r="J40" s="77" t="inlineStr">
        <is>
          <t>https://www.cardiff.ac.uk/news/view/3048544-fintech-wales-skills-challenge-returns-to-cardiff-business-school</t>
        </is>
      </c>
      <c r="K40" s="77" t="inlineStr">
        <is>
          <t>Recent news (date not retrieved)</t>
        </is>
      </c>
    </row>
    <row r="41">
      <c r="A41" s="77" t="inlineStr">
        <is>
          <t>RG04-X08</t>
        </is>
      </c>
      <c r="B41" s="77" t="inlineStr">
        <is>
          <t>RG04</t>
        </is>
      </c>
      <c r="C41" s="77" t="inlineStr">
        <is>
          <t>Cardiff</t>
        </is>
      </c>
      <c r="D41" s="77" t="inlineStr">
        <is>
          <t>UK – Russell Group</t>
        </is>
      </c>
      <c r="E41" s="77" t="inlineStr">
        <is>
          <t>Engineering EN4100 Group Project</t>
        </is>
      </c>
      <c r="F41" s="77" t="inlineStr">
        <is>
          <t>No</t>
        </is>
      </c>
      <c r="G41" s="77" t="inlineStr"/>
      <c r="H41" s="77" t="inlineStr">
        <is>
          <t>Near-miss: no external org</t>
        </is>
      </c>
      <c r="I41" s="77" t="inlineStr">
        <is>
          <t>30-credit group project (report, presentations, poster; peer review); no external client evidenced in the 2021/22 catalogue entry.</t>
        </is>
      </c>
      <c r="J41" s="77" t="inlineStr">
        <is>
          <t>https://data.cardiff.ac.uk/legacy/grails/module/EN4100/.html</t>
        </is>
      </c>
      <c r="K41" s="77" t="inlineStr">
        <is>
          <t>2021/22</t>
        </is>
      </c>
    </row>
    <row r="42">
      <c r="A42" s="77" t="inlineStr">
        <is>
          <t>RG04-X09</t>
        </is>
      </c>
      <c r="B42" s="77" t="inlineStr">
        <is>
          <t>RG04</t>
        </is>
      </c>
      <c r="C42" s="77" t="inlineStr">
        <is>
          <t>Cardiff</t>
        </is>
      </c>
      <c r="D42" s="77" t="inlineStr">
        <is>
          <t>UK – Russell Group</t>
        </is>
      </c>
      <c r="E42" s="77" t="inlineStr">
        <is>
          <t>CP0259 Community Engagement, Mediation and Negotiation Skills</t>
        </is>
      </c>
      <c r="F42" s="77" t="inlineStr">
        <is>
          <t>No</t>
        </is>
      </c>
      <c r="G42" s="77" t="inlineStr"/>
      <c r="H42" s="77" t="inlineStr">
        <is>
          <t>Evidence gap</t>
        </is>
      </c>
      <c r="I42" s="77" t="inlineStr">
        <is>
          <t>Students work in teams and 'interact with real policy makers/practitioners/community representatives wherever possible' (optional external involvement). Assessed by a 40% group presentation and a 60% individual report; external organisations are not shown to set briefs.</t>
        </is>
      </c>
      <c r="J42" s="77" t="inlineStr">
        <is>
          <t>https://data.cardiff.ac.uk/legacy/grails/module/CP0259/18A.html</t>
        </is>
      </c>
      <c r="K42" s="77" t="inlineStr">
        <is>
          <t>2018/19 catalogue</t>
        </is>
      </c>
    </row>
    <row r="43">
      <c r="A43" s="77" t="inlineStr">
        <is>
          <t>RG04-X10</t>
        </is>
      </c>
      <c r="B43" s="77" t="inlineStr">
        <is>
          <t>RG04</t>
        </is>
      </c>
      <c r="C43" s="77" t="inlineStr">
        <is>
          <t>Cardiff</t>
        </is>
      </c>
      <c r="D43" s="77" t="inlineStr">
        <is>
          <t>UK – Russell Group</t>
        </is>
      </c>
      <c r="E43" s="77" t="inlineStr">
        <is>
          <t>Engineering undergraduate sponsorship / final-year project topic from company; summer and year-in-industry placements</t>
        </is>
      </c>
      <c r="F43" s="77" t="inlineStr">
        <is>
          <t>No</t>
        </is>
      </c>
      <c r="G43" s="77" t="inlineStr"/>
      <c r="H43" s="77" t="inlineStr">
        <is>
          <t>Placement/internship</t>
        </is>
      </c>
      <c r="I43" s="77" t="inlineStr">
        <is>
          <t>Sponsorship and placements, with a company-proposed individual final-year project; not group work.</t>
        </is>
      </c>
      <c r="J43" s="77" t="inlineStr">
        <is>
          <t>https://www.cardiff.ac.uk/engineering/industrial-collaboration/work-with-our-students</t>
        </is>
      </c>
      <c r="K43" s="77" t="inlineStr">
        <is>
          <t>undated</t>
        </is>
      </c>
    </row>
    <row r="44">
      <c r="A44" s="77" t="inlineStr">
        <is>
          <t>RG04-X11</t>
        </is>
      </c>
      <c r="B44" s="77" t="inlineStr">
        <is>
          <t>RG04</t>
        </is>
      </c>
      <c r="C44" s="77" t="inlineStr">
        <is>
          <t>Cardiff</t>
        </is>
      </c>
      <c r="D44" s="77" t="inlineStr">
        <is>
          <t>UK – Russell Group</t>
        </is>
      </c>
      <c r="E44" s="77" t="inlineStr">
        <is>
          <t>Knowledge Transfer Partnerships / KESS (Biosciences, Chemistry)</t>
        </is>
      </c>
      <c r="F44" s="77" t="inlineStr">
        <is>
          <t>No</t>
        </is>
      </c>
      <c r="G44" s="77" t="inlineStr"/>
      <c r="H44" s="77" t="inlineStr">
        <is>
          <t>Dissertation/research</t>
        </is>
      </c>
      <c r="I44" s="77" t="inlineStr">
        <is>
          <t>Research studentships/graduate KTP posts, not taught-student group projects.</t>
        </is>
      </c>
      <c r="J44" s="77" t="inlineStr">
        <is>
          <t>https://www.cardiff.ac.uk/biosciences/about-us/working-with-business/research-collaboration-and-development</t>
        </is>
      </c>
      <c r="K44" s="77" t="inlineStr"/>
    </row>
    <row r="45">
      <c r="A45" s="77" t="inlineStr">
        <is>
          <t>RG04-X12</t>
        </is>
      </c>
      <c r="B45" s="77" t="inlineStr">
        <is>
          <t>RG04</t>
        </is>
      </c>
      <c r="C45" s="77" t="inlineStr">
        <is>
          <t>Cardiff</t>
        </is>
      </c>
      <c r="D45" s="77" t="inlineStr">
        <is>
          <t>UK – Russell Group</t>
        </is>
      </c>
      <c r="E45" s="77" t="inlineStr">
        <is>
          <t>Work Experience team placements and internships (Student Futures)</t>
        </is>
      </c>
      <c r="F45" s="77" t="inlineStr">
        <is>
          <t>No</t>
        </is>
      </c>
      <c r="G45" s="77" t="inlineStr"/>
      <c r="H45" s="77" t="inlineStr">
        <is>
          <t>Placement/internship</t>
        </is>
      </c>
      <c r="I45" s="77" t="inlineStr">
        <is>
          <t>Individual placements/internships; the 2026 alumni story describes interns on live projects at a consultancy, with no team project for a client brief.</t>
        </is>
      </c>
      <c r="J45" s="77" t="inlineStr">
        <is>
          <t>https://www.cardiff.ac.uk/work-with-us/develop-your-workforce/recruit-our-graduates/student-placements</t>
        </is>
      </c>
      <c r="K45" s="77" t="inlineStr">
        <is>
          <t>2026 alumni blog</t>
        </is>
      </c>
    </row>
    <row r="46">
      <c r="A46" s="77" t="inlineStr">
        <is>
          <t>RG04-X13</t>
        </is>
      </c>
      <c r="B46" s="77" t="inlineStr">
        <is>
          <t>RG04</t>
        </is>
      </c>
      <c r="C46" s="77" t="inlineStr">
        <is>
          <t>Cardiff</t>
        </is>
      </c>
      <c r="D46" s="77" t="inlineStr">
        <is>
          <t>UK – Russell Group</t>
        </is>
      </c>
      <c r="E46" s="77" t="inlineStr">
        <is>
          <t>Data Science Academy collaboration and projects</t>
        </is>
      </c>
      <c r="F46" s="77" t="inlineStr">
        <is>
          <t>No</t>
        </is>
      </c>
      <c r="G46" s="77" t="inlineStr"/>
      <c r="H46" s="77" t="inlineStr">
        <is>
          <t>Near-miss: not group</t>
        </is>
      </c>
      <c r="I46" s="77" t="inlineStr">
        <is>
          <t>Search summary states client-linked projects are individual rather than team based.</t>
        </is>
      </c>
      <c r="J46" s="77" t="inlineStr">
        <is>
          <t>https://www.cardiff.ac.uk/data-science-academy/collaboration-and-projects</t>
        </is>
      </c>
      <c r="K46" s="77" t="inlineStr">
        <is>
          <t>undated</t>
        </is>
      </c>
    </row>
    <row r="47">
      <c r="A47" s="77" t="inlineStr">
        <is>
          <t>RG04-X14</t>
        </is>
      </c>
      <c r="B47" s="77" t="inlineStr">
        <is>
          <t>RG04</t>
        </is>
      </c>
      <c r="C47" s="77" t="inlineStr">
        <is>
          <t>Cardiff</t>
        </is>
      </c>
      <c r="D47" s="77" t="inlineStr">
        <is>
          <t>UK – Russell Group</t>
        </is>
      </c>
      <c r="E47" s="77" t="inlineStr">
        <is>
          <t>MSc Software Engineering (National Software Academy) team client project</t>
        </is>
      </c>
      <c r="F47" s="77" t="inlineStr">
        <is>
          <t>No</t>
        </is>
      </c>
      <c r="G47" s="77" t="inlineStr"/>
      <c r="H47" s="77" t="inlineStr">
        <is>
          <t>Evidence gap</t>
        </is>
      </c>
      <c r="I47" s="77" t="inlineStr">
        <is>
          <t>Search summary says the programme concludes with a team-based project for a real industry client; not opened or verified, likely a further qualifying route.</t>
        </is>
      </c>
      <c r="J47" s="77" t="inlineStr">
        <is>
          <t>https://www.cardiff.ac.uk/study/postgraduate/taught/courses/course/software-engineering</t>
        </is>
      </c>
      <c r="K47" s="77" t="inlineStr">
        <is>
          <t>undated</t>
        </is>
      </c>
    </row>
    <row r="48">
      <c r="A48" s="77" t="inlineStr">
        <is>
          <t>RG04-X15</t>
        </is>
      </c>
      <c r="B48" s="77" t="inlineStr">
        <is>
          <t>RG04</t>
        </is>
      </c>
      <c r="C48" s="77" t="inlineStr">
        <is>
          <t>Cardiff</t>
        </is>
      </c>
      <c r="D48" s="77" t="inlineStr">
        <is>
          <t>UK – Russell Group</t>
        </is>
      </c>
      <c r="E48" s="77" t="inlineStr">
        <is>
          <t>Pharmabees Enterprise Skills Challenge</t>
        </is>
      </c>
      <c r="F48" s="77" t="inlineStr">
        <is>
          <t>No</t>
        </is>
      </c>
      <c r="G48" s="77" t="inlineStr"/>
      <c r="H48" s="77" t="inlineStr">
        <is>
          <t>Evidence gap</t>
        </is>
      </c>
      <c r="I48" s="77" t="inlineStr">
        <is>
          <t>Past Community Gateway project with young people from Grangetown; current status and client role not shown.</t>
        </is>
      </c>
      <c r="J48" s="77" t="inlineStr">
        <is>
          <t>https://www.cardiff.ac.uk/community/our-local-community-projects/community-gateway/our-projects/places-and-activities-for-young-people-and-children/past-projects/pharmabees-competition-enterprise-skills-challenge</t>
        </is>
      </c>
      <c r="K48" s="77" t="inlineStr">
        <is>
          <t>past</t>
        </is>
      </c>
    </row>
    <row r="49">
      <c r="A49" s="77" t="inlineStr">
        <is>
          <t>RG05-X01</t>
        </is>
      </c>
      <c r="B49" s="77" t="inlineStr">
        <is>
          <t>RG05</t>
        </is>
      </c>
      <c r="C49" s="77" t="inlineStr">
        <is>
          <t>Durham</t>
        </is>
      </c>
      <c r="D49" s="77" t="inlineStr">
        <is>
          <t>UK – Russell Group</t>
        </is>
      </c>
      <c r="E49" s="77" t="inlineStr">
        <is>
          <t>MBA Strategic Consulting Project (full-time/online) and Executive MBA consultancy project</t>
        </is>
      </c>
      <c r="F49" s="77" t="inlineStr">
        <is>
          <t>No</t>
        </is>
      </c>
      <c r="G49" s="77" t="inlineStr"/>
      <c r="H49" s="77" t="inlineStr">
        <is>
          <t>Near-miss: not group</t>
        </is>
      </c>
      <c r="I49" s="77" t="inlineStr">
        <is>
          <t>Client host organisations (Vodafone, Boeing, Diageo, Sage etc.) define scope, but pages describe an individual project (individual supervisor, single-student Sage case, 'substantial individual project'); one search summary said 'teams or individuals' for the full-time MBA, not separable. Executive MBA has interdisciplinary teams but the consultancy project route is not shown to be a team client project.</t>
        </is>
      </c>
      <c r="J49" s="77" t="inlineStr">
        <is>
          <t>https://www.durham.ac.uk/business/for-business/business-projects/mba-strategic-consulting-projects/</t>
        </is>
      </c>
      <c r="K49" s="77" t="inlineStr">
        <is>
          <t>Group status unresolved; revisit if a team route is evidenced.</t>
        </is>
      </c>
    </row>
    <row r="50">
      <c r="A50" s="77" t="inlineStr">
        <is>
          <t>RG05-X02</t>
        </is>
      </c>
      <c r="B50" s="77" t="inlineStr">
        <is>
          <t>RG05</t>
        </is>
      </c>
      <c r="C50" s="77" t="inlineStr">
        <is>
          <t>Durham</t>
        </is>
      </c>
      <c r="D50" s="77" t="inlineStr">
        <is>
          <t>UK – Russell Group</t>
        </is>
      </c>
      <c r="E50" s="77" t="inlineStr">
        <is>
          <t>MSc Management / Management (Consulting) Business Project (BUSI48U60)</t>
        </is>
      </c>
      <c r="F50" s="77" t="inlineStr">
        <is>
          <t>No</t>
        </is>
      </c>
      <c r="G50" s="77" t="inlineStr"/>
      <c r="H50" s="77" t="inlineStr">
        <is>
          <t>Near-miss: not group</t>
        </is>
      </c>
      <c r="I50" s="77" t="inlineStr">
        <is>
          <t>Real host-organisation problem with report to the host, but described as an individual 60-credit project with a supervisor; module listed as not available in 2025/26.</t>
        </is>
      </c>
      <c r="J50" s="77" t="inlineStr">
        <is>
          <t>https://www.durham.ac.uk/study/modules/postgraduate/busi48u60.php</t>
        </is>
      </c>
      <c r="K50" s="77" t="inlineStr">
        <is>
          <t>Not available 2025/26.</t>
        </is>
      </c>
    </row>
    <row r="51">
      <c r="A51" s="77" t="inlineStr">
        <is>
          <t>RG05-X03</t>
        </is>
      </c>
      <c r="B51" s="77" t="inlineStr">
        <is>
          <t>RG05</t>
        </is>
      </c>
      <c r="C51" s="77" t="inlineStr">
        <is>
          <t>Durham</t>
        </is>
      </c>
      <c r="D51" s="77" t="inlineStr">
        <is>
          <t>UK – Russell Group</t>
        </is>
      </c>
      <c r="E51" s="77" t="inlineStr">
        <is>
          <t>BUSI3281 Work, Organisation and Society</t>
        </is>
      </c>
      <c r="F51" s="77" t="inlineStr">
        <is>
          <t>No</t>
        </is>
      </c>
      <c r="G51" s="77" t="inlineStr"/>
      <c r="H51" s="77" t="inlineStr">
        <is>
          <t>Near-miss: no external org</t>
        </is>
      </c>
      <c r="I51" s="77" t="inlineStr">
        <is>
          <t>Individual 4,000-word project; group presentation is formative; no external organisation.</t>
        </is>
      </c>
      <c r="J51" s="77" t="inlineStr">
        <is>
          <t>https://www.durham.ac.uk/study/modules/undergraduate/busi3281.php</t>
        </is>
      </c>
      <c r="K51" s="77" t="inlineStr"/>
    </row>
    <row r="52">
      <c r="A52" s="77" t="inlineStr">
        <is>
          <t>RG05-X04</t>
        </is>
      </c>
      <c r="B52" s="77" t="inlineStr">
        <is>
          <t>RG05</t>
        </is>
      </c>
      <c r="C52" s="77" t="inlineStr">
        <is>
          <t>Durham</t>
        </is>
      </c>
      <c r="D52" s="77" t="inlineStr">
        <is>
          <t>UK – Russell Group</t>
        </is>
      </c>
      <c r="E52" s="77" t="inlineStr">
        <is>
          <t>Durham Career Mentoring Programme / Employer Insight Programme</t>
        </is>
      </c>
      <c r="F52" s="77" t="inlineStr">
        <is>
          <t>No</t>
        </is>
      </c>
      <c r="G52" s="77" t="inlineStr"/>
      <c r="H52" s="77" t="inlineStr">
        <is>
          <t>Careers service</t>
        </is>
      </c>
      <c r="I52" s="77" t="inlineStr">
        <is>
          <t>Mentoring and insight events; no bounded group project.</t>
        </is>
      </c>
      <c r="J52" s="77" t="inlineStr">
        <is>
          <t>https://www.durham.ac.uk/study/careers-employability-enterprise/information-for-employers/work-based-learning-programmes-for-employers/</t>
        </is>
      </c>
      <c r="K52" s="77" t="inlineStr"/>
    </row>
    <row r="53">
      <c r="A53" s="77" t="inlineStr">
        <is>
          <t>RG05-X05</t>
        </is>
      </c>
      <c r="B53" s="77" t="inlineStr">
        <is>
          <t>RG05</t>
        </is>
      </c>
      <c r="C53" s="77" t="inlineStr">
        <is>
          <t>Durham</t>
        </is>
      </c>
      <c r="D53" s="77" t="inlineStr">
        <is>
          <t>UK – Russell Group</t>
        </is>
      </c>
      <c r="E53" s="77" t="inlineStr">
        <is>
          <t>Virtual Internship Programme (employer page)</t>
        </is>
      </c>
      <c r="F53" s="77" t="inlineStr">
        <is>
          <t>No</t>
        </is>
      </c>
      <c r="G53" s="77" t="inlineStr"/>
      <c r="H53" s="77" t="inlineStr">
        <is>
          <t>Evidence gap</t>
        </is>
      </c>
      <c r="I53" s="77" t="inlineStr">
        <is>
          <t>Employer page describes 125 hours of focused research/analysis over three weeks; no evidence of group working or live client brief; a later search could not find the programme again.</t>
        </is>
      </c>
      <c r="J53" s="77" t="inlineStr">
        <is>
          <t>https://dur.ac.uk/study/careers-employability-enterprise/information-for-employers/work-based-learning-programmes-for-employers/</t>
        </is>
      </c>
      <c r="K53" s="77" t="inlineStr">
        <is>
          <t>Appeared on one version of the page only.</t>
        </is>
      </c>
    </row>
    <row r="54">
      <c r="A54" s="77" t="inlineStr">
        <is>
          <t>RG05-X06</t>
        </is>
      </c>
      <c r="B54" s="77" t="inlineStr">
        <is>
          <t>RG05</t>
        </is>
      </c>
      <c r="C54" s="77" t="inlineStr">
        <is>
          <t>Durham</t>
        </is>
      </c>
      <c r="D54" s="77" t="inlineStr">
        <is>
          <t>UK – Russell Group</t>
        </is>
      </c>
      <c r="E54" s="77" t="inlineStr">
        <is>
          <t>Careers Forage work-based learning award</t>
        </is>
      </c>
      <c r="F54" s="77" t="inlineStr">
        <is>
          <t>No</t>
        </is>
      </c>
      <c r="G54" s="77" t="inlineStr"/>
      <c r="H54" s="77" t="inlineStr">
        <is>
          <t>Simulation/virtual</t>
        </is>
      </c>
      <c r="I54" s="77" t="inlineStr">
        <is>
          <t>Forage-style virtual work experience; no live client engagement evidenced.</t>
        </is>
      </c>
      <c r="J54" s="77" t="inlineStr">
        <is>
          <t>https://www.durham.ac.uk/news-events/latest-news/2023/02/careers-forage-work-based-learning-award/</t>
        </is>
      </c>
      <c r="K54" s="77" t="inlineStr">
        <is>
          <t>Durham ranked 9th on Forage list; 2023 news.</t>
        </is>
      </c>
    </row>
    <row r="55">
      <c r="A55" s="77" t="inlineStr">
        <is>
          <t>RG05-X07</t>
        </is>
      </c>
      <c r="B55" s="77" t="inlineStr">
        <is>
          <t>RG05</t>
        </is>
      </c>
      <c r="C55" s="77" t="inlineStr">
        <is>
          <t>Durham</t>
        </is>
      </c>
      <c r="D55" s="77" t="inlineStr">
        <is>
          <t>UK – Russell Group</t>
        </is>
      </c>
      <c r="E55" s="77" t="inlineStr">
        <is>
          <t>SME Internship Programme (Careers)</t>
        </is>
      </c>
      <c r="F55" s="77" t="inlineStr">
        <is>
          <t>No</t>
        </is>
      </c>
      <c r="G55" s="77" t="inlineStr"/>
      <c r="H55" s="77" t="inlineStr">
        <is>
          <t>Placement/internship</t>
        </is>
      </c>
      <c r="I55" s="77" t="inlineStr">
        <is>
          <t>Match-funded three-month internships with County Durham businesses; individual placements.</t>
        </is>
      </c>
      <c r="J55" s="77" t="inlineStr">
        <is>
          <t>https://www.durham.ac.uk/news-events/latest-news/2024/07/careers-sme-internships-project-/</t>
        </is>
      </c>
      <c r="K55" s="77" t="inlineStr"/>
    </row>
    <row r="56">
      <c r="A56" s="77" t="inlineStr">
        <is>
          <t>RG05-X08</t>
        </is>
      </c>
      <c r="B56" s="77" t="inlineStr">
        <is>
          <t>RG05</t>
        </is>
      </c>
      <c r="C56" s="77" t="inlineStr">
        <is>
          <t>Durham</t>
        </is>
      </c>
      <c r="D56" s="77" t="inlineStr">
        <is>
          <t>UK – Russell Group</t>
        </is>
      </c>
      <c r="E56" s="77" t="inlineStr">
        <is>
          <t>Chemistry (with Industrial Project) F111 / CHEM4375 External Research Project</t>
        </is>
      </c>
      <c r="F56" s="77" t="inlineStr">
        <is>
          <t>No</t>
        </is>
      </c>
      <c r="G56" s="77" t="inlineStr"/>
      <c r="H56" s="77" t="inlineStr">
        <is>
          <t>Placement/internship</t>
        </is>
      </c>
      <c r="I56" s="77" t="inlineStr">
        <is>
          <t>Research project in an external laboratory under a local supervisor; group working only a stated skill outcome, not a team project.</t>
        </is>
      </c>
      <c r="J56" s="77" t="inlineStr">
        <is>
          <t>https://www.durham.ac.uk/study/modules/undergraduate/chem4375.php</t>
        </is>
      </c>
      <c r="K56" s="77" t="inlineStr"/>
    </row>
    <row r="57">
      <c r="A57" s="77" t="inlineStr">
        <is>
          <t>RG05-X09</t>
        </is>
      </c>
      <c r="B57" s="77" t="inlineStr">
        <is>
          <t>RG05</t>
        </is>
      </c>
      <c r="C57" s="77" t="inlineStr">
        <is>
          <t>Durham</t>
        </is>
      </c>
      <c r="D57" s="77" t="inlineStr">
        <is>
          <t>UK – Russell Group</t>
        </is>
      </c>
      <c r="E57" s="77" t="inlineStr">
        <is>
          <t>ANTH49960 Vocational Dissertation</t>
        </is>
      </c>
      <c r="F57" s="77" t="inlineStr">
        <is>
          <t>No</t>
        </is>
      </c>
      <c r="G57" s="77" t="inlineStr"/>
      <c r="H57" s="77" t="inlineStr">
        <is>
          <t>Near-miss: not group</t>
        </is>
      </c>
      <c r="I57" s="77" t="inlineStr">
        <is>
          <t>Project with a private/voluntary/public partner producing a consultancy-style report, but individual.</t>
        </is>
      </c>
      <c r="J57" s="77" t="inlineStr">
        <is>
          <t>https://www.durham.ac.uk/study/modules/postgraduate/anth49960.php</t>
        </is>
      </c>
      <c r="K57" s="77" t="inlineStr"/>
    </row>
    <row r="58">
      <c r="A58" s="77" t="inlineStr">
        <is>
          <t>RG05-X10</t>
        </is>
      </c>
      <c r="B58" s="77" t="inlineStr">
        <is>
          <t>RG05</t>
        </is>
      </c>
      <c r="C58" s="77" t="inlineStr">
        <is>
          <t>Durham</t>
        </is>
      </c>
      <c r="D58" s="77" t="inlineStr">
        <is>
          <t>UK – Russell Group</t>
        </is>
      </c>
      <c r="E58" s="77" t="inlineStr">
        <is>
          <t>Maths and Statistics Internship Project (G111/G114)</t>
        </is>
      </c>
      <c r="F58" s="77" t="inlineStr">
        <is>
          <t>No</t>
        </is>
      </c>
      <c r="G58" s="77" t="inlineStr"/>
      <c r="H58" s="77" t="inlineStr">
        <is>
          <t>Evidence gap</t>
        </is>
      </c>
      <c r="I58" s="77" t="inlineStr">
        <is>
          <t>Third-party-supplied statistics/ML problem option; individual or group status and delivery not evidenced.</t>
        </is>
      </c>
      <c r="J58" s="77" t="inlineStr">
        <is>
          <t>https://www.durham.ac.uk/study/courses/mathematics-and-statistics-g114/</t>
        </is>
      </c>
      <c r="K58" s="77" t="inlineStr"/>
    </row>
    <row r="59">
      <c r="A59" s="77" t="inlineStr">
        <is>
          <t>RG05-X11</t>
        </is>
      </c>
      <c r="B59" s="77" t="inlineStr">
        <is>
          <t>RG05</t>
        </is>
      </c>
      <c r="C59" s="77" t="inlineStr">
        <is>
          <t>Durham</t>
        </is>
      </c>
      <c r="D59" s="77" t="inlineStr">
        <is>
          <t>UK – Russell Group</t>
        </is>
      </c>
      <c r="E59" s="77" t="inlineStr">
        <is>
          <t>MSc projects with industry partners (MISCADA G5T509 etc.; Advanced Computer Science G5T609)</t>
        </is>
      </c>
      <c r="F59" s="77" t="inlineStr">
        <is>
          <t>No</t>
        </is>
      </c>
      <c r="G59" s="77" t="inlineStr"/>
      <c r="H59" s="77" t="inlineStr">
        <is>
          <t>Near-miss: not group</t>
        </is>
      </c>
      <c r="I59" s="77" t="inlineStr">
        <is>
          <t>Dissertation-style projects, optionally in cooperation or co-supervision with industry; individual.</t>
        </is>
      </c>
      <c r="J59" s="77" t="inlineStr">
        <is>
          <t>https://www.durham.ac.uk/study/courses/g5t509/</t>
        </is>
      </c>
      <c r="K59" s="77" t="inlineStr"/>
    </row>
    <row r="60">
      <c r="A60" s="77" t="inlineStr">
        <is>
          <t>RG05-X12</t>
        </is>
      </c>
      <c r="B60" s="77" t="inlineStr">
        <is>
          <t>RG05</t>
        </is>
      </c>
      <c r="C60" s="77" t="inlineStr">
        <is>
          <t>Durham</t>
        </is>
      </c>
      <c r="D60" s="77" t="inlineStr">
        <is>
          <t>UK – Russell Group</t>
        </is>
      </c>
      <c r="E60" s="77" t="inlineStr">
        <is>
          <t>Engineering final-year MEng/BEng project (ENGI4093 etc.)</t>
        </is>
      </c>
      <c r="F60" s="77" t="inlineStr">
        <is>
          <t>No</t>
        </is>
      </c>
      <c r="G60" s="77" t="inlineStr"/>
      <c r="H60" s="77" t="inlineStr">
        <is>
          <t>Dissertation/research</t>
        </is>
      </c>
      <c r="I60" s="77" t="inlineStr">
        <is>
          <t>Individual project; topics drawn from academics and industrial partners.</t>
        </is>
      </c>
      <c r="J60" s="77" t="inlineStr">
        <is>
          <t>https://www.durham.ac.uk/departments/academic/engineering/undergraduate-study/courses/3rd-year-onwards/</t>
        </is>
      </c>
      <c r="K60" s="77" t="inlineStr"/>
    </row>
    <row r="61">
      <c r="A61" s="77" t="inlineStr">
        <is>
          <t>RG05-X13</t>
        </is>
      </c>
      <c r="B61" s="77" t="inlineStr">
        <is>
          <t>RG05</t>
        </is>
      </c>
      <c r="C61" s="77" t="inlineStr">
        <is>
          <t>Durham</t>
        </is>
      </c>
      <c r="D61" s="77" t="inlineStr">
        <is>
          <t>UK – Russell Group</t>
        </is>
      </c>
      <c r="E61" s="77" t="inlineStr">
        <is>
          <t>Engineering Industrial Partnership Committee capstone/design briefs</t>
        </is>
      </c>
      <c r="F61" s="77" t="inlineStr">
        <is>
          <t>No</t>
        </is>
      </c>
      <c r="G61" s="77" t="inlineStr"/>
      <c r="H61" s="77" t="inlineStr">
        <is>
          <t>Evidence gap</t>
        </is>
      </c>
      <c r="I61" s="77" t="inlineStr">
        <is>
          <t>Committee says partners can work with students on capstone projects and design briefs; no specific module or cohort evidenced.</t>
        </is>
      </c>
      <c r="J61" s="77" t="inlineStr">
        <is>
          <t>https://www.durham.ac.uk/departments/academic/engineering/research/partnership/committee/</t>
        </is>
      </c>
      <c r="K61" s="77" t="inlineStr"/>
    </row>
    <row r="62">
      <c r="A62" s="77" t="inlineStr">
        <is>
          <t>RG05-X14</t>
        </is>
      </c>
      <c r="B62" s="77" t="inlineStr">
        <is>
          <t>RG05</t>
        </is>
      </c>
      <c r="C62" s="77" t="inlineStr">
        <is>
          <t>Durham</t>
        </is>
      </c>
      <c r="D62" s="77" t="inlineStr">
        <is>
          <t>UK – Russell Group</t>
        </is>
      </c>
      <c r="E62" s="77" t="inlineStr">
        <is>
          <t>COMP3421 Computer Science into Schools / ENGI4321 Engineering into Schools / Physics into Schools</t>
        </is>
      </c>
      <c r="F62" s="77" t="inlineStr">
        <is>
          <t>No</t>
        </is>
      </c>
      <c r="G62" s="77" t="inlineStr"/>
      <c r="H62" s="77" t="inlineStr">
        <is>
          <t>Volunteering/service-learning</t>
        </is>
      </c>
      <c r="I62" s="77" t="inlineStr">
        <is>
          <t>Teams plan and deliver school visit days; schools are the recipients (outreach teaching), not commissioning employers; ENGI4321 not available 2025/26.</t>
        </is>
      </c>
      <c r="J62" s="77" t="inlineStr">
        <is>
          <t>https://www.durham.ac.uk/study/modules/undergraduate/comp3421.php</t>
        </is>
      </c>
      <c r="K62" s="77" t="inlineStr"/>
    </row>
    <row r="63">
      <c r="A63" s="77" t="inlineStr">
        <is>
          <t>RG05-X15</t>
        </is>
      </c>
      <c r="B63" s="77" t="inlineStr">
        <is>
          <t>RG05</t>
        </is>
      </c>
      <c r="C63" s="77" t="inlineStr">
        <is>
          <t>Durham</t>
        </is>
      </c>
      <c r="D63" s="77" t="inlineStr">
        <is>
          <t>UK – Russell Group</t>
        </is>
      </c>
      <c r="E63" s="77" t="inlineStr">
        <is>
          <t>Durham Computer Science hackathons / ClusDur Student Cluster Competition</t>
        </is>
      </c>
      <c r="F63" s="77" t="inlineStr">
        <is>
          <t>No</t>
        </is>
      </c>
      <c r="G63" s="77" t="inlineStr"/>
      <c r="H63" s="77" t="inlineStr">
        <is>
          <t>Event/competition without live client</t>
        </is>
      </c>
      <c r="I63" s="77" t="inlineStr">
        <is>
          <t>Industry-supported hackathons and company-written competition challenges; no evidence of an organisation-specific client output or university-run scheme.</t>
        </is>
      </c>
      <c r="J63" s="77" t="inlineStr">
        <is>
          <t>https://www.durham.ac.uk/departments/academic/computer-science/undergraduate/employability/</t>
        </is>
      </c>
      <c r="K63" s="77" t="inlineStr"/>
    </row>
    <row r="64">
      <c r="A64" s="77" t="inlineStr">
        <is>
          <t>RG05-X16</t>
        </is>
      </c>
      <c r="B64" s="77" t="inlineStr">
        <is>
          <t>RG05</t>
        </is>
      </c>
      <c r="C64" s="77" t="inlineStr">
        <is>
          <t>Durham</t>
        </is>
      </c>
      <c r="D64" s="77" t="inlineStr">
        <is>
          <t>UK – Russell Group</t>
        </is>
      </c>
      <c r="E64" s="77" t="inlineStr">
        <is>
          <t>Blueprint Challenge / Game Changer</t>
        </is>
      </c>
      <c r="F64" s="77" t="inlineStr">
        <is>
          <t>No</t>
        </is>
      </c>
      <c r="G64" s="77" t="inlineStr"/>
      <c r="H64" s="77" t="inlineStr">
        <is>
          <t>Entrepreneurship/incubator</t>
        </is>
      </c>
      <c r="I64" s="77" t="inlineStr">
        <is>
          <t>Enterprise competitions; Game Changer is SDG-themed and not company-set.</t>
        </is>
      </c>
      <c r="J64" s="77" t="inlineStr">
        <is>
          <t>https://www.durham.ac.uk/study/careers-employability-enterprise/our-services/start-new-ventures/innovate/game-changer/</t>
        </is>
      </c>
      <c r="K64" s="77" t="inlineStr"/>
    </row>
    <row r="65">
      <c r="A65" s="77" t="inlineStr">
        <is>
          <t>RG05-X17</t>
        </is>
      </c>
      <c r="B65" s="77" t="inlineStr">
        <is>
          <t>RG05</t>
        </is>
      </c>
      <c r="C65" s="77" t="inlineStr">
        <is>
          <t>Durham</t>
        </is>
      </c>
      <c r="D65" s="77" t="inlineStr">
        <is>
          <t>UK – Russell Group</t>
        </is>
      </c>
      <c r="E65" s="77" t="inlineStr">
        <is>
          <t>180 Degrees Consulting Durham</t>
        </is>
      </c>
      <c r="F65" s="77" t="inlineStr">
        <is>
          <t>No</t>
        </is>
      </c>
      <c r="G65" s="77" t="inlineStr"/>
      <c r="H65" s="77" t="inlineStr">
        <is>
          <t>Other</t>
        </is>
      </c>
      <c r="I65" s="77" t="inlineStr">
        <is>
          <t>Student-led consultancy for charities and social enterprises (founded 2018) that separated from the Students' Union and became a Community Interest Company; evidenced only on a third-party site, so not a university-run scheme.</t>
        </is>
      </c>
      <c r="J65" s="77" t="inlineStr">
        <is>
          <t>https://180dc.org/branches/durham-university</t>
        </is>
      </c>
      <c r="K65" s="77" t="inlineStr">
        <is>
          <t>Possible extracurricular live-client route but independent of the university.</t>
        </is>
      </c>
    </row>
    <row r="66">
      <c r="A66" s="77" t="inlineStr">
        <is>
          <t>RG05-X18</t>
        </is>
      </c>
      <c r="B66" s="77" t="inlineStr">
        <is>
          <t>RG05</t>
        </is>
      </c>
      <c r="C66" s="77" t="inlineStr">
        <is>
          <t>Durham</t>
        </is>
      </c>
      <c r="D66" s="77" t="inlineStr">
        <is>
          <t>UK – Russell Group</t>
        </is>
      </c>
      <c r="E66" s="77" t="inlineStr">
        <is>
          <t>Durham Law School Pro Bono Society/team</t>
        </is>
      </c>
      <c r="F66" s="77" t="inlineStr">
        <is>
          <t>No</t>
        </is>
      </c>
      <c r="G66" s="77" t="inlineStr"/>
      <c r="H66" s="77" t="inlineStr">
        <is>
          <t>Volunteering/service-learning</t>
        </is>
      </c>
      <c r="I66" s="77" t="inlineStr">
        <is>
          <t>Student-led pro bono and fundraising activity; no clinic module with real clients evidenced.</t>
        </is>
      </c>
      <c r="J66" s="77" t="inlineStr">
        <is>
          <t>https://www.durham.ac.uk/departments/academic/law/news-and-events/news/2025/04/durham-law-schools-pro-bono-team/</t>
        </is>
      </c>
      <c r="K66" s="77" t="inlineStr"/>
    </row>
    <row r="67">
      <c r="A67" s="77" t="inlineStr">
        <is>
          <t>RG05-X19</t>
        </is>
      </c>
      <c r="B67" s="77" t="inlineStr">
        <is>
          <t>RG05</t>
        </is>
      </c>
      <c r="C67" s="77" t="inlineStr">
        <is>
          <t>Durham</t>
        </is>
      </c>
      <c r="D67" s="77" t="inlineStr">
        <is>
          <t>UK – Russell Group</t>
        </is>
      </c>
      <c r="E67" s="77" t="inlineStr">
        <is>
          <t>SOCI43715 Participatory Action Research; SOCI2301 Communities and Social Justice; SOCI2252 Research Methods in Action</t>
        </is>
      </c>
      <c r="F67" s="77" t="inlineStr">
        <is>
          <t>No</t>
        </is>
      </c>
      <c r="G67" s="77" t="inlineStr"/>
      <c r="H67" s="77" t="inlineStr">
        <is>
          <t>Evidence gap</t>
        </is>
      </c>
      <c r="I67" s="77" t="inlineStr">
        <is>
          <t>PAR module has students co-design a PAR project in groups (available 2025/26) but community partner involvement not evidenced (search limit reached before checking); SOCI2301/SOCI2252 group work has no external organisation.</t>
        </is>
      </c>
      <c r="J67" s="77" t="inlineStr">
        <is>
          <t>https://www.durham.ac.uk/study/modules/postgraduate/soci43715.php</t>
        </is>
      </c>
      <c r="K67" s="77" t="inlineStr">
        <is>
          <t>Lead for follow-up.</t>
        </is>
      </c>
    </row>
    <row r="68">
      <c r="A68" s="77" t="inlineStr">
        <is>
          <t>RG05-X20</t>
        </is>
      </c>
      <c r="B68" s="77" t="inlineStr">
        <is>
          <t>RG05</t>
        </is>
      </c>
      <c r="C68" s="77" t="inlineStr">
        <is>
          <t>Durham</t>
        </is>
      </c>
      <c r="D68" s="77" t="inlineStr">
        <is>
          <t>UK – Russell Group</t>
        </is>
      </c>
      <c r="E68" s="77" t="inlineStr">
        <is>
          <t>Liberal Arts 'Arts and Humanities in the Workplace'; CSA3986 placement module</t>
        </is>
      </c>
      <c r="F68" s="77" t="inlineStr">
        <is>
          <t>No</t>
        </is>
      </c>
      <c r="G68" s="77" t="inlineStr"/>
      <c r="H68" s="77" t="inlineStr">
        <is>
          <t>Evidence gap</t>
        </is>
      </c>
      <c r="I68" s="77" t="inlineStr">
        <is>
          <t>Workplace/placement modules; no group client project described.</t>
        </is>
      </c>
      <c r="J68" s="77" t="inlineStr">
        <is>
          <t>https://www.durham.ac.uk/study/courses/liberal-arts-la01/</t>
        </is>
      </c>
      <c r="K68" s="77" t="inlineStr"/>
    </row>
    <row r="69">
      <c r="A69" s="77" t="inlineStr">
        <is>
          <t>RG05-X21</t>
        </is>
      </c>
      <c r="B69" s="77" t="inlineStr">
        <is>
          <t>RG05</t>
        </is>
      </c>
      <c r="C69" s="77" t="inlineStr">
        <is>
          <t>Durham</t>
        </is>
      </c>
      <c r="D69" s="77" t="inlineStr">
        <is>
          <t>UK – Russell Group</t>
        </is>
      </c>
      <c r="E69" s="77" t="inlineStr">
        <is>
          <t>Geography fieldwork group projects (GEOG3701, GEOG3491 etc.)</t>
        </is>
      </c>
      <c r="F69" s="77" t="inlineStr">
        <is>
          <t>No</t>
        </is>
      </c>
      <c r="G69" s="77" t="inlineStr"/>
      <c r="H69" s="77" t="inlineStr">
        <is>
          <t>Near-miss: no external org</t>
        </is>
      </c>
      <c r="I69" s="77" t="inlineStr">
        <is>
          <t>Group research projects based on fieldwork; no external organisation sets the brief.</t>
        </is>
      </c>
      <c r="J69" s="77" t="inlineStr">
        <is>
          <t>https://www.durham.ac.uk/study/modules/undergraduate/geog3701.php</t>
        </is>
      </c>
      <c r="K69" s="77" t="inlineStr"/>
    </row>
    <row r="70">
      <c r="A70" s="77" t="inlineStr">
        <is>
          <t>RG05-X22</t>
        </is>
      </c>
      <c r="B70" s="77" t="inlineStr">
        <is>
          <t>RG05</t>
        </is>
      </c>
      <c r="C70" s="77" t="inlineStr">
        <is>
          <t>Durham</t>
        </is>
      </c>
      <c r="D70" s="77" t="inlineStr">
        <is>
          <t>UK – Russell Group</t>
        </is>
      </c>
      <c r="E70" s="77" t="inlineStr">
        <is>
          <t>Biology and Chemistry interdisciplinary science enterprise module</t>
        </is>
      </c>
      <c r="F70" s="77" t="inlineStr">
        <is>
          <t>No</t>
        </is>
      </c>
      <c r="G70" s="77" t="inlineStr"/>
      <c r="H70" s="77" t="inlineStr">
        <is>
          <t>Near-miss: no external org</t>
        </is>
      </c>
      <c r="I70" s="77" t="inlineStr">
        <is>
          <t>Groups write a business plan to bid for research funding; no client brief.</t>
        </is>
      </c>
      <c r="J70" s="77" t="inlineStr">
        <is>
          <t>https://www.durham.ac.uk/study/courses/biology-and-chemistry-cf11/</t>
        </is>
      </c>
      <c r="K70" s="77" t="inlineStr"/>
    </row>
    <row r="71">
      <c r="A71" s="77" t="inlineStr">
        <is>
          <t>RG06-X01</t>
        </is>
      </c>
      <c r="B71" s="77" t="inlineStr">
        <is>
          <t>RG06</t>
        </is>
      </c>
      <c r="C71" s="77" t="inlineStr">
        <is>
          <t>Edinburgh</t>
        </is>
      </c>
      <c r="D71" s="77" t="inlineStr">
        <is>
          <t>UK – Russell Group</t>
        </is>
      </c>
      <c r="E71" s="77" t="inlineStr">
        <is>
          <t>EFI Student Challenge Projects (postgraduate)</t>
        </is>
      </c>
      <c r="F71" s="77" t="inlineStr">
        <is>
          <t>No</t>
        </is>
      </c>
      <c r="G71" s="77" t="inlineStr"/>
      <c r="H71" s="77" t="inlineStr">
        <is>
          <t>Near-miss: not group</t>
        </is>
      </c>
      <c r="I71" s="77" t="inlineStr">
        <is>
          <t>Postgraduate EFI students take a challenge with a partner organisation (Partner Bank / Project Bank / own challenge), but examples (VisitScotland toolkit, Nesta, LGBT Youth Scotland) are individual final-project work; group working not evidenced.</t>
        </is>
      </c>
      <c r="J71" s="77" t="inlineStr">
        <is>
          <t>https://efi.ed.ac.uk/student-challenge-projects/</t>
        </is>
      </c>
      <c r="K71" s="77" t="inlineStr">
        <is>
          <t>2024-25 examples</t>
        </is>
      </c>
    </row>
    <row r="72">
      <c r="A72" s="77" t="inlineStr">
        <is>
          <t>RG06-X02</t>
        </is>
      </c>
      <c r="B72" s="77" t="inlineStr">
        <is>
          <t>RG06</t>
        </is>
      </c>
      <c r="C72" s="77" t="inlineStr">
        <is>
          <t>Edinburgh</t>
        </is>
      </c>
      <c r="D72" s="77" t="inlineStr">
        <is>
          <t>UK – Russell Group</t>
        </is>
      </c>
      <c r="E72" s="77" t="inlineStr">
        <is>
          <t>System Design Project (INFR09032)</t>
        </is>
      </c>
      <c r="F72" s="77" t="inlineStr">
        <is>
          <t>No</t>
        </is>
      </c>
      <c r="G72" s="77" t="inlineStr"/>
      <c r="H72" s="77" t="inlineStr">
        <is>
          <t>Near-miss: no external org</t>
        </is>
      </c>
      <c r="I72" s="77" t="inlineStr">
        <is>
          <t>Compulsory Year 3 Informatics team project (groups of ~ten) aimed at a demonstrator suitable for a client/investor, with industry visitors at the final presentation; brief is set by the course (assistive robotics) and no external organisation sets the brief or is shown to assess, so hypothetical client (C = No).</t>
        </is>
      </c>
      <c r="J72" s="77" t="inlineStr">
        <is>
          <t>https://www.drps.ed.ac.uk/23-24/dpt/cxinfr09032.htm</t>
        </is>
      </c>
      <c r="K72" s="77" t="inlineStr">
        <is>
          <t>2023/24 entry</t>
        </is>
      </c>
    </row>
    <row r="73">
      <c r="A73" s="77" t="inlineStr">
        <is>
          <t>RG06-X03</t>
        </is>
      </c>
      <c r="B73" s="77" t="inlineStr">
        <is>
          <t>RG06</t>
        </is>
      </c>
      <c r="C73" s="77" t="inlineStr">
        <is>
          <t>Edinburgh</t>
        </is>
      </c>
      <c r="D73" s="77" t="inlineStr">
        <is>
          <t>UK – Russell Group</t>
        </is>
      </c>
      <c r="E73" s="77" t="inlineStr">
        <is>
          <t>Informatics MSc projects with industrial collaborators</t>
        </is>
      </c>
      <c r="F73" s="77" t="inlineStr">
        <is>
          <t>No</t>
        </is>
      </c>
      <c r="G73" s="77" t="inlineStr"/>
      <c r="H73" s="77" t="inlineStr">
        <is>
          <t>Near-miss: not group</t>
        </is>
      </c>
      <c r="I73" s="77" t="inlineStr">
        <is>
          <t>Externally proposed or self-proposed industry dissertation projects with an external supervisor; individual dissertations.</t>
        </is>
      </c>
      <c r="J73" s="77" t="inlineStr">
        <is>
          <t>https://opencourse.inf.ed.ac.uk/diss/projects-with-industrial-collaborators</t>
        </is>
      </c>
      <c r="K73" s="77" t="inlineStr"/>
    </row>
    <row r="74">
      <c r="A74" s="77" t="inlineStr">
        <is>
          <t>RG06-X04</t>
        </is>
      </c>
      <c r="B74" s="77" t="inlineStr">
        <is>
          <t>RG06</t>
        </is>
      </c>
      <c r="C74" s="77" t="inlineStr">
        <is>
          <t>Edinburgh</t>
        </is>
      </c>
      <c r="D74" s="77" t="inlineStr">
        <is>
          <t>UK – Russell Group</t>
        </is>
      </c>
      <c r="E74" s="77" t="inlineStr">
        <is>
          <t>Bayes Centre external partners for MSc student projects</t>
        </is>
      </c>
      <c r="F74" s="77" t="inlineStr">
        <is>
          <t>No</t>
        </is>
      </c>
      <c r="G74" s="77" t="inlineStr"/>
      <c r="H74" s="77" t="inlineStr">
        <is>
          <t>Near-miss: not group</t>
        </is>
      </c>
      <c r="I74" s="77" t="inlineStr">
        <is>
          <t>Partners propose MSc projects (5-12 weeks) but pages indicate one MSc student per partner; team structure not stated.</t>
        </is>
      </c>
      <c r="J74" s="77" t="inlineStr">
        <is>
          <t>https://bayes-centre.ed.ac.uk/access-expertise/partner-with-us/student-projects</t>
        </is>
      </c>
      <c r="K74" s="77" t="inlineStr">
        <is>
          <t>cached pages roughly two years old</t>
        </is>
      </c>
    </row>
    <row r="75">
      <c r="A75" s="77" t="inlineStr">
        <is>
          <t>RG06-X05</t>
        </is>
      </c>
      <c r="B75" s="77" t="inlineStr">
        <is>
          <t>RG06</t>
        </is>
      </c>
      <c r="C75" s="77" t="inlineStr">
        <is>
          <t>Edinburgh</t>
        </is>
      </c>
      <c r="D75" s="77" t="inlineStr">
        <is>
          <t>UK – Russell Group</t>
        </is>
      </c>
      <c r="E75" s="77" t="inlineStr">
        <is>
          <t>Digital Design and Manufacture Group Design Project (PGEE11211) and UG Interdisciplinary Group Design Project (SCEE11014)</t>
        </is>
      </c>
      <c r="F75" s="77" t="inlineStr">
        <is>
          <t>No</t>
        </is>
      </c>
      <c r="G75" s="77" t="inlineStr"/>
      <c r="H75" s="77" t="inlineStr">
        <is>
          <t>Evidence gap</t>
        </is>
      </c>
      <c r="I75" s="77" t="inlineStr">
        <is>
          <t>Team design problems described as 'real world' (teams of 4-6) but no external company brief or participation evidenced.</t>
        </is>
      </c>
      <c r="J75" s="77" t="inlineStr">
        <is>
          <t>http://www.drps.ed.ac.uk/24-25/dpt/cxpgee11211.htm</t>
        </is>
      </c>
      <c r="K75" s="77" t="inlineStr"/>
    </row>
    <row r="76">
      <c r="A76" s="77" t="inlineStr">
        <is>
          <t>RG06-X06</t>
        </is>
      </c>
      <c r="B76" s="77" t="inlineStr">
        <is>
          <t>RG06</t>
        </is>
      </c>
      <c r="C76" s="77" t="inlineStr">
        <is>
          <t>Edinburgh</t>
        </is>
      </c>
      <c r="D76" s="77" t="inlineStr">
        <is>
          <t>UK – Russell Group</t>
        </is>
      </c>
      <c r="E76" s="77" t="inlineStr">
        <is>
          <t>Capco Consulting Challenge (Business School)</t>
        </is>
      </c>
      <c r="F76" s="77" t="inlineStr">
        <is>
          <t>No</t>
        </is>
      </c>
      <c r="G76" s="77" t="inlineStr"/>
      <c r="H76" s="77" t="inlineStr">
        <is>
          <t>Event/competition without live client</t>
        </is>
      </c>
      <c r="I76" s="77" t="inlineStr">
        <is>
          <t>Teams analyse a fictional business set by Capco and present to Capco management; no live client engagement evidenced; extracurricular competition.</t>
        </is>
      </c>
      <c r="J76" s="77" t="inlineStr">
        <is>
          <t>https://www.bccas.business-school.ed.ac.uk/news/msc-students-final-stage-capco-consulting-challenge</t>
        </is>
      </c>
      <c r="K76" s="77" t="inlineStr">
        <is>
          <t>undated</t>
        </is>
      </c>
    </row>
    <row r="77">
      <c r="A77" s="77" t="inlineStr">
        <is>
          <t>RG06-X07</t>
        </is>
      </c>
      <c r="B77" s="77" t="inlineStr">
        <is>
          <t>RG06</t>
        </is>
      </c>
      <c r="C77" s="77" t="inlineStr">
        <is>
          <t>Edinburgh</t>
        </is>
      </c>
      <c r="D77" s="77" t="inlineStr">
        <is>
          <t>UK – Russell Group</t>
        </is>
      </c>
      <c r="E77" s="77" t="inlineStr">
        <is>
          <t>MBA Strategic Marketing Project</t>
        </is>
      </c>
      <c r="F77" s="77" t="inlineStr">
        <is>
          <t>No</t>
        </is>
      </c>
      <c r="G77" s="77" t="inlineStr"/>
      <c r="H77" s="77" t="inlineStr">
        <is>
          <t>Evidence gap</t>
        </is>
      </c>
      <c r="I77" s="77" t="inlineStr">
        <is>
          <t>Assignments with start-up and spin-out ventures (spin-outs may be internal); team working and external-client standardness not evidenced in extracts seen.</t>
        </is>
      </c>
      <c r="J77" s="77" t="inlineStr">
        <is>
          <t>https://www.business-school.ed.ac.uk/collaborate/student-projects/mba-strategic-marketing</t>
        </is>
      </c>
      <c r="K77" s="77" t="inlineStr"/>
    </row>
    <row r="78">
      <c r="A78" s="77" t="inlineStr">
        <is>
          <t>RG06-X08</t>
        </is>
      </c>
      <c r="B78" s="77" t="inlineStr">
        <is>
          <t>RG06</t>
        </is>
      </c>
      <c r="C78" s="77" t="inlineStr">
        <is>
          <t>Edinburgh</t>
        </is>
      </c>
      <c r="D78" s="77" t="inlineStr">
        <is>
          <t>UK – Russell Group</t>
        </is>
      </c>
      <c r="E78" s="77" t="inlineStr">
        <is>
          <t>Business Project Portfolio (BUST10167)</t>
        </is>
      </c>
      <c r="F78" s="77" t="inlineStr">
        <is>
          <t>No</t>
        </is>
      </c>
      <c r="G78" s="77" t="inlineStr"/>
      <c r="H78" s="77" t="inlineStr">
        <is>
          <t>Near-miss: not group</t>
        </is>
      </c>
      <c r="I78" s="77" t="inlineStr">
        <is>
          <t>Individual independent study on a company in the year-abroad country (MA Language and Business Year 3).</t>
        </is>
      </c>
      <c r="J78" s="77" t="inlineStr">
        <is>
          <t>https://www.drps.ed.ac.uk/24-25/dpt/cxbust10167.htm</t>
        </is>
      </c>
      <c r="K78" s="77" t="inlineStr"/>
    </row>
    <row r="79">
      <c r="A79" s="77" t="inlineStr">
        <is>
          <t>RG06-X09</t>
        </is>
      </c>
      <c r="B79" s="77" t="inlineStr">
        <is>
          <t>RG06</t>
        </is>
      </c>
      <c r="C79" s="77" t="inlineStr">
        <is>
          <t>Edinburgh</t>
        </is>
      </c>
      <c r="D79" s="77" t="inlineStr">
        <is>
          <t>UK – Russell Group</t>
        </is>
      </c>
      <c r="E79" s="77" t="inlineStr">
        <is>
          <t>Free Legal Advice Centre and Scottish Tax Clinic (Law)</t>
        </is>
      </c>
      <c r="F79" s="77" t="inlineStr">
        <is>
          <t>No</t>
        </is>
      </c>
      <c r="G79" s="77" t="inlineStr"/>
      <c r="H79" s="77" t="inlineStr">
        <is>
          <t>Volunteering/service-learning</t>
        </is>
      </c>
      <c r="I79" s="77" t="inlineStr">
        <is>
          <t>Supervised casework for individual members of the public (Tax Clinic is an undergraduate course with 14 students per year working with TaxAid); casework rather than a bounded team project for an external organisation; team output not evidenced.</t>
        </is>
      </c>
      <c r="J79" s="77" t="inlineStr">
        <is>
          <t>https://www.law.ed.ac.uk/community/legal-advice-clinics/free-legal-advice-centre</t>
        </is>
      </c>
      <c r="K79" s="77" t="inlineStr"/>
    </row>
    <row r="80">
      <c r="A80" s="77" t="inlineStr">
        <is>
          <t>RG06-X10</t>
        </is>
      </c>
      <c r="B80" s="77" t="inlineStr">
        <is>
          <t>RG06</t>
        </is>
      </c>
      <c r="C80" s="77" t="inlineStr">
        <is>
          <t>Edinburgh</t>
        </is>
      </c>
      <c r="D80" s="77" t="inlineStr">
        <is>
          <t>UK – Russell Group</t>
        </is>
      </c>
      <c r="E80" s="77" t="inlineStr">
        <is>
          <t>ECA live-brief projects (Graphic Design, Product Design, Illustration; Cala Homes artwork brief)</t>
        </is>
      </c>
      <c r="F80" s="77" t="inlineStr">
        <is>
          <t>No</t>
        </is>
      </c>
      <c r="G80" s="77" t="inlineStr"/>
      <c r="H80" s="77" t="inlineStr">
        <is>
          <t>Evidence gap</t>
        </is>
      </c>
      <c r="I80" s="77" t="inlineStr">
        <is>
          <t>Programme pages describe live client briefs and mentoring by design agencies, but module-level team structure, participation rules and current delivery not evidenced; Cala Homes brief paid individual artwork for 2nd-4th year students.</t>
        </is>
      </c>
      <c r="J80" s="77" t="inlineStr">
        <is>
          <t>https://www.eca.ed.ac.uk/programme/graphic-design-ma</t>
        </is>
      </c>
      <c r="K80" s="77" t="inlineStr">
        <is>
          <t>further departmental instances likely</t>
        </is>
      </c>
    </row>
    <row r="81">
      <c r="A81" s="77" t="inlineStr">
        <is>
          <t>RG06-X11</t>
        </is>
      </c>
      <c r="B81" s="77" t="inlineStr">
        <is>
          <t>RG06</t>
        </is>
      </c>
      <c r="C81" s="77" t="inlineStr">
        <is>
          <t>Edinburgh</t>
        </is>
      </c>
      <c r="D81" s="77" t="inlineStr">
        <is>
          <t>UK – Russell Group</t>
        </is>
      </c>
      <c r="E81" s="77" t="inlineStr">
        <is>
          <t>Careers Service virtual work experience</t>
        </is>
      </c>
      <c r="F81" s="77" t="inlineStr">
        <is>
          <t>No</t>
        </is>
      </c>
      <c r="G81" s="77" t="inlineStr"/>
      <c r="H81" s="77" t="inlineStr">
        <is>
          <t>Simulation/virtual</t>
        </is>
      </c>
      <c r="I81" s="77" t="inlineStr">
        <is>
          <t>Signposting to virtual work experience; no live client team project.</t>
        </is>
      </c>
      <c r="J81" s="77" t="inlineStr">
        <is>
          <t>https://careers.ed.ac.uk/build-experience/getting-virtual-work-experience</t>
        </is>
      </c>
      <c r="K81" s="77" t="inlineStr"/>
    </row>
    <row r="82">
      <c r="A82" s="77" t="inlineStr">
        <is>
          <t>RG07-X01</t>
        </is>
      </c>
      <c r="B82" s="77" t="inlineStr">
        <is>
          <t>RG07</t>
        </is>
      </c>
      <c r="C82" s="77" t="inlineStr">
        <is>
          <t>Exeter</t>
        </is>
      </c>
      <c r="D82" s="77" t="inlineStr">
        <is>
          <t>UK – Russell Group</t>
        </is>
      </c>
      <c r="E82" s="77" t="inlineStr">
        <is>
          <t>One Planet MBA / Exeter MBA consultancy project (MBAM914)</t>
        </is>
      </c>
      <c r="F82" s="77" t="inlineStr">
        <is>
          <t>No</t>
        </is>
      </c>
      <c r="G82" s="77" t="inlineStr"/>
      <c r="H82" s="77" t="inlineStr">
        <is>
          <t>Near-miss: not group</t>
        </is>
      </c>
      <c r="I82" s="77" t="inlineStr">
        <is>
          <t>Live client project with UK/international organisations (C met) but capstone described as a '12-week individual assignment with a client partner'. Embedded team elements (Local Community Impact Challenge, Global Sustainability Challenge, five-day corporate sprint) not verified in detail.</t>
        </is>
      </c>
      <c r="J82" s="77" t="inlineStr">
        <is>
          <t>https://www.exeter.ac.uk/study/studyinformation/modules/info/?moduleCode=MBAM914&amp;ay=2024/5&amp;sys=0</t>
        </is>
      </c>
      <c r="K82" s="77" t="inlineStr">
        <is>
          <t>2024/5 module page; 2023/24 timetable</t>
        </is>
      </c>
    </row>
    <row r="83">
      <c r="A83" s="77" t="inlineStr">
        <is>
          <t>RG07-X02</t>
        </is>
      </c>
      <c r="B83" s="77" t="inlineStr">
        <is>
          <t>RG07</t>
        </is>
      </c>
      <c r="C83" s="77" t="inlineStr">
        <is>
          <t>Exeter</t>
        </is>
      </c>
      <c r="D83" s="77" t="inlineStr">
        <is>
          <t>UK – Russell Group</t>
        </is>
      </c>
      <c r="E83" s="77" t="inlineStr">
        <is>
          <t>Green Consultants (GEO2449 credited route)</t>
        </is>
      </c>
      <c r="F83" s="77" t="inlineStr">
        <is>
          <t>No</t>
        </is>
      </c>
      <c r="G83" s="77" t="inlineStr"/>
      <c r="H83" s="77" t="inlineStr">
        <is>
          <t>Near-miss: no external org</t>
        </is>
      </c>
      <c r="I83" s="77" t="inlineStr">
        <is>
          <t>Small-group consultancy project with the University of Exeter as client (internal); older versions used FX Plus (Falmouth Exeter Plus, a university-affiliated services company - internal). Separate individual internship. C not met.</t>
        </is>
      </c>
      <c r="J83" s="77" t="inlineStr">
        <is>
          <t>https://exeter.ac.uk/greenconsultants</t>
        </is>
      </c>
      <c r="K83" s="77" t="inlineStr">
        <is>
          <t>Credited option for some Penryn students in 2025/26</t>
        </is>
      </c>
    </row>
    <row r="84">
      <c r="A84" s="77" t="inlineStr">
        <is>
          <t>RG07-X03</t>
        </is>
      </c>
      <c r="B84" s="77" t="inlineStr">
        <is>
          <t>RG07</t>
        </is>
      </c>
      <c r="C84" s="77" t="inlineStr">
        <is>
          <t>Exeter</t>
        </is>
      </c>
      <c r="D84" s="77" t="inlineStr">
        <is>
          <t>UK – Russell Group</t>
        </is>
      </c>
      <c r="E84" s="77" t="inlineStr">
        <is>
          <t>MSc Applied Data Science and Statistics group projects</t>
        </is>
      </c>
      <c r="F84" s="77" t="inlineStr">
        <is>
          <t>No</t>
        </is>
      </c>
      <c r="G84" s="77" t="inlineStr"/>
      <c r="H84" s="77" t="inlineStr">
        <is>
          <t>Near-miss: no external org</t>
        </is>
      </c>
      <c r="I84" s="77" t="inlineStr">
        <is>
          <t>Group and individual projects use real data on research topics; no external organisation evidenced.</t>
        </is>
      </c>
      <c r="J84" s="77" t="inlineStr">
        <is>
          <t>https://www.exeter.ac.uk/study/postgraduate/courses/mathematics/appdatamod/</t>
        </is>
      </c>
      <c r="K84" s="77" t="inlineStr">
        <is>
          <t>undated</t>
        </is>
      </c>
    </row>
    <row r="85">
      <c r="A85" s="77" t="inlineStr">
        <is>
          <t>RG07-X04</t>
        </is>
      </c>
      <c r="B85" s="77" t="inlineStr">
        <is>
          <t>RG07</t>
        </is>
      </c>
      <c r="C85" s="77" t="inlineStr">
        <is>
          <t>Exeter</t>
        </is>
      </c>
      <c r="D85" s="77" t="inlineStr">
        <is>
          <t>UK – Russell Group</t>
        </is>
      </c>
      <c r="E85" s="77" t="inlineStr">
        <is>
          <t>MSci Natural Sciences Group Project</t>
        </is>
      </c>
      <c r="F85" s="77" t="inlineStr">
        <is>
          <t>No</t>
        </is>
      </c>
      <c r="G85" s="77" t="inlineStr"/>
      <c r="H85" s="77" t="inlineStr">
        <is>
          <t>Near-miss: no external org</t>
        </is>
      </c>
      <c r="I85" s="77" t="inlineStr">
        <is>
          <t>30-credit third-year team project 'of your choosing', usually scientific research or outreach; no external client evidenced.</t>
        </is>
      </c>
      <c r="J85" s="77" t="inlineStr">
        <is>
          <t>https://www.exeter.ac.uk/undergraduate-degrees/msci-natural-sciences/</t>
        </is>
      </c>
      <c r="K85" s="77" t="inlineStr">
        <is>
          <t>undated</t>
        </is>
      </c>
    </row>
    <row r="86">
      <c r="A86" s="77" t="inlineStr">
        <is>
          <t>RG07-X05</t>
        </is>
      </c>
      <c r="B86" s="77" t="inlineStr">
        <is>
          <t>RG07</t>
        </is>
      </c>
      <c r="C86" s="77" t="inlineStr">
        <is>
          <t>Exeter</t>
        </is>
      </c>
      <c r="D86" s="77" t="inlineStr">
        <is>
          <t>UK – Russell Group</t>
        </is>
      </c>
      <c r="E86" s="77" t="inlineStr">
        <is>
          <t>MSc Social Data Science / MSc Health Data Science external-partner projects</t>
        </is>
      </c>
      <c r="F86" s="77" t="inlineStr">
        <is>
          <t>No</t>
        </is>
      </c>
      <c r="G86" s="77" t="inlineStr"/>
      <c r="H86" s="77" t="inlineStr">
        <is>
          <t>Dissertation/research</t>
        </is>
      </c>
      <c r="I86" s="77" t="inlineStr">
        <is>
          <t>External partner (NHS, pharma, organisations) dissertation alternatives; individual research projects, no group working evidenced.</t>
        </is>
      </c>
      <c r="J86" s="77" t="inlineStr">
        <is>
          <t>https://www.exeter.ac.uk/masters-degrees/msc-social-data-science/</t>
        </is>
      </c>
      <c r="K86" s="77" t="inlineStr">
        <is>
          <t>undated</t>
        </is>
      </c>
    </row>
    <row r="87">
      <c r="A87" s="77" t="inlineStr">
        <is>
          <t>RG07-X06</t>
        </is>
      </c>
      <c r="B87" s="77" t="inlineStr">
        <is>
          <t>RG07</t>
        </is>
      </c>
      <c r="C87" s="77" t="inlineStr">
        <is>
          <t>Exeter</t>
        </is>
      </c>
      <c r="D87" s="77" t="inlineStr">
        <is>
          <t>UK – Russell Group</t>
        </is>
      </c>
      <c r="E87" s="77" t="inlineStr">
        <is>
          <t>Exe Consulting (student society pro bono consultancy)</t>
        </is>
      </c>
      <c r="F87" s="77" t="inlineStr">
        <is>
          <t>No</t>
        </is>
      </c>
      <c r="G87" s="77" t="inlineStr"/>
      <c r="H87" s="77" t="inlineStr">
        <is>
          <t>Evidence gap</t>
        </is>
      </c>
      <c r="I87" s="77" t="inlineStr">
        <is>
          <t>Student society offering pro bono consultancy mentioned on a careers page; not university-run and no detail on teams/clients obtained.</t>
        </is>
      </c>
      <c r="J87" s="77" t="inlineStr">
        <is>
          <t>https://www.exeter.ac.uk/students/careers/research/explore/employmentsectors/businessanalysisstrategyandconsulting/consultancy/</t>
        </is>
      </c>
      <c r="K87" s="77" t="inlineStr"/>
    </row>
    <row r="88">
      <c r="A88" s="77" t="inlineStr">
        <is>
          <t>RG07-X07</t>
        </is>
      </c>
      <c r="B88" s="77" t="inlineStr">
        <is>
          <t>RG07</t>
        </is>
      </c>
      <c r="C88" s="77" t="inlineStr">
        <is>
          <t>Exeter</t>
        </is>
      </c>
      <c r="D88" s="77" t="inlineStr">
        <is>
          <t>UK – Russell Group</t>
        </is>
      </c>
      <c r="E88" s="77" t="inlineStr">
        <is>
          <t>Liberal Arts / Sociology 'real-life research challenges' from external organisations</t>
        </is>
      </c>
      <c r="F88" s="77" t="inlineStr">
        <is>
          <t>No</t>
        </is>
      </c>
      <c r="G88" s="77" t="inlineStr"/>
      <c r="H88" s="77" t="inlineStr">
        <is>
          <t>Evidence gap</t>
        </is>
      </c>
      <c r="I88" s="77" t="inlineStr">
        <is>
          <t>Programme pages say external organisations set real-life research challenges, but the underlying module, group format and current delivery could not be identified (search budget exhausted).</t>
        </is>
      </c>
      <c r="J88" s="77" t="inlineStr"/>
      <c r="K88" s="77" t="inlineStr"/>
    </row>
    <row r="89">
      <c r="A89" s="77" t="inlineStr">
        <is>
          <t>RG07-X08</t>
        </is>
      </c>
      <c r="B89" s="77" t="inlineStr">
        <is>
          <t>RG07</t>
        </is>
      </c>
      <c r="C89" s="77" t="inlineStr">
        <is>
          <t>Exeter</t>
        </is>
      </c>
      <c r="D89" s="77" t="inlineStr">
        <is>
          <t>UK – Russell Group</t>
        </is>
      </c>
      <c r="E89" s="77" t="inlineStr">
        <is>
          <t>Culture Innovation Consultancy</t>
        </is>
      </c>
      <c r="F89" s="77" t="inlineStr">
        <is>
          <t>No</t>
        </is>
      </c>
      <c r="G89" s="77" t="inlineStr"/>
      <c r="H89" s="77" t="inlineStr">
        <is>
          <t>Other</t>
        </is>
      </c>
      <c r="I89" s="77" t="inlineStr">
        <is>
          <t>University commercial consultancy service for heritage/arts clients; not a student learning route.</t>
        </is>
      </c>
      <c r="J89" s="77" t="inlineStr">
        <is>
          <t>https://www.exeter.ac.uk/departments/exeterinnovation/culture-consultancy/</t>
        </is>
      </c>
      <c r="K89" s="77" t="inlineStr"/>
    </row>
    <row r="90">
      <c r="A90" s="77" t="inlineStr">
        <is>
          <t>RG07-X09</t>
        </is>
      </c>
      <c r="B90" s="77" t="inlineStr">
        <is>
          <t>RG07</t>
        </is>
      </c>
      <c r="C90" s="77" t="inlineStr">
        <is>
          <t>Exeter</t>
        </is>
      </c>
      <c r="D90" s="77" t="inlineStr">
        <is>
          <t>UK – Russell Group</t>
        </is>
      </c>
      <c r="E90" s="77" t="inlineStr">
        <is>
          <t>BEng Engineering final-year projects / ENG1005 Multi-Disciplinary Group Challenge Project</t>
        </is>
      </c>
      <c r="F90" s="77" t="inlineStr">
        <is>
          <t>No</t>
        </is>
      </c>
      <c r="G90" s="77" t="inlineStr"/>
      <c r="H90" s="77" t="inlineStr">
        <is>
          <t>Evidence gap</t>
        </is>
      </c>
      <c r="I90" s="77" t="inlineStr">
        <is>
          <t>BEng page says projects are 'typically industrially driven' and 'often directly involve a company' with group or individual options; ENG1005 is a 30-credit first-year group challenge. Routes, group format and client role not separable from extracts.</t>
        </is>
      </c>
      <c r="J90" s="77" t="inlineStr">
        <is>
          <t>https://exeter.ac.uk/study/undergraduate/courses2023/engineering/engineering</t>
        </is>
      </c>
      <c r="K90" s="77" t="inlineStr">
        <is>
          <t>2023 course page</t>
        </is>
      </c>
    </row>
    <row r="91">
      <c r="A91" s="77" t="inlineStr">
        <is>
          <t>RG07-X10</t>
        </is>
      </c>
      <c r="B91" s="77" t="inlineStr">
        <is>
          <t>RG07</t>
        </is>
      </c>
      <c r="C91" s="77" t="inlineStr">
        <is>
          <t>Exeter</t>
        </is>
      </c>
      <c r="D91" s="77" t="inlineStr">
        <is>
          <t>UK – Russell Group</t>
        </is>
      </c>
      <c r="E91" s="77" t="inlineStr">
        <is>
          <t>Community Law Clinic / Exeter Law Projects</t>
        </is>
      </c>
      <c r="F91" s="77" t="inlineStr">
        <is>
          <t>No</t>
        </is>
      </c>
      <c r="G91" s="77" t="inlineStr"/>
      <c r="H91" s="77" t="inlineStr">
        <is>
          <t>Volunteering/service-learning</t>
        </is>
      </c>
      <c r="I91" s="77" t="inlineStr">
        <is>
          <t>Student-led supervised pro bono advice to individual clients and on-call research pools; group project format with a defined external brief not evidenced as a standard route.</t>
        </is>
      </c>
      <c r="J91" s="77" t="inlineStr">
        <is>
          <t>http://socialsciences.exeter.ac.uk/law/public/probono/</t>
        </is>
      </c>
      <c r="K91" s="77" t="inlineStr">
        <is>
          <t>Current (2026 news) but not qualifying on available evidence</t>
        </is>
      </c>
    </row>
    <row r="92">
      <c r="A92" s="77" t="inlineStr">
        <is>
          <t>RG07-X11</t>
        </is>
      </c>
      <c r="B92" s="77" t="inlineStr">
        <is>
          <t>RG07</t>
        </is>
      </c>
      <c r="C92" s="77" t="inlineStr">
        <is>
          <t>Exeter</t>
        </is>
      </c>
      <c r="D92" s="77" t="inlineStr">
        <is>
          <t>UK – Russell Group</t>
        </is>
      </c>
      <c r="E92" s="77" t="inlineStr">
        <is>
          <t>Humanities in the Workplace (HASS module)</t>
        </is>
      </c>
      <c r="F92" s="77" t="inlineStr">
        <is>
          <t>No</t>
        </is>
      </c>
      <c r="G92" s="77" t="inlineStr"/>
      <c r="H92" s="77" t="inlineStr">
        <is>
          <t>Evidence gap</t>
        </is>
      </c>
      <c r="I92" s="77" t="inlineStr">
        <is>
          <t>Module fair page mentions it but gives no group/project/employer detail.</t>
        </is>
      </c>
      <c r="J92" s="77" t="inlineStr">
        <is>
          <t>https://www.exeter.ac.uk/students/modulefair2025/exetercampuses/hass/</t>
        </is>
      </c>
      <c r="K92" s="77" t="inlineStr"/>
    </row>
    <row r="93">
      <c r="A93" s="77" t="inlineStr">
        <is>
          <t>RG08-X01</t>
        </is>
      </c>
      <c r="B93" s="77" t="inlineStr">
        <is>
          <t>RG08</t>
        </is>
      </c>
      <c r="C93" s="77" t="inlineStr">
        <is>
          <t>Glasgow</t>
        </is>
      </c>
      <c r="D93" s="77" t="inlineStr">
        <is>
          <t>UK – Russell Group</t>
        </is>
      </c>
      <c r="E93" s="77" t="inlineStr">
        <is>
          <t>Collaborative Online International Learning (COIL)</t>
        </is>
      </c>
      <c r="F93" s="77" t="inlineStr">
        <is>
          <t>Yes</t>
        </is>
      </c>
      <c r="G93" s="77" t="n">
        <v>14</v>
      </c>
      <c r="H93" s="77" t="inlineStr">
        <is>
          <t>Other</t>
        </is>
      </c>
      <c r="I93" s="77" t="inlineStr">
        <is>
          <t>Reassessed: COIL is a virtual collaboration framework between partner universities; no external employer/organisation setting briefs or receiving outputs evidenced (C not met); not a project scheme in itself.</t>
        </is>
      </c>
      <c r="J93" s="77" t="inlineStr">
        <is>
          <t>https://www.gla.ac.uk/explore/internationalisation/coil/</t>
        </is>
      </c>
      <c r="K93" s="77" t="inlineStr">
        <is>
          <t>Undated page; not fetched</t>
        </is>
      </c>
    </row>
    <row r="94">
      <c r="A94" s="77" t="inlineStr">
        <is>
          <t>RG08-X02</t>
        </is>
      </c>
      <c r="B94" s="77" t="inlineStr">
        <is>
          <t>RG08</t>
        </is>
      </c>
      <c r="C94" s="77" t="inlineStr">
        <is>
          <t>Glasgow</t>
        </is>
      </c>
      <c r="D94" s="77" t="inlineStr">
        <is>
          <t>UK – Russell Group</t>
        </is>
      </c>
      <c r="E94" s="77" t="inlineStr">
        <is>
          <t>Dissertation (MBA) MGT5019P</t>
        </is>
      </c>
      <c r="F94" s="77" t="inlineStr">
        <is>
          <t>No</t>
        </is>
      </c>
      <c r="G94" s="77" t="inlineStr"/>
      <c r="H94" s="77" t="inlineStr">
        <is>
          <t>Dissertation/research</t>
        </is>
      </c>
      <c r="I94" s="77" t="inlineStr">
        <is>
          <t>Individual dissertation/project; its consultancy element is an individual reflective report on the MBA consultancy week (group consultancy itself recorded as S2).</t>
        </is>
      </c>
      <c r="J94" s="77" t="inlineStr">
        <is>
          <t>https://www.gla.ac.uk/coursecatalogue/course/?code=MGT5019P</t>
        </is>
      </c>
      <c r="K94" s="77" t="inlineStr"/>
    </row>
    <row r="95">
      <c r="A95" s="77" t="inlineStr">
        <is>
          <t>RG08-X03</t>
        </is>
      </c>
      <c r="B95" s="77" t="inlineStr">
        <is>
          <t>RG08</t>
        </is>
      </c>
      <c r="C95" s="77" t="inlineStr">
        <is>
          <t>Glasgow</t>
        </is>
      </c>
      <c r="D95" s="77" t="inlineStr">
        <is>
          <t>UK – Russell Group</t>
        </is>
      </c>
      <c r="E95" s="77" t="inlineStr">
        <is>
          <t>Challenge-based dissertation (School of Education PGT; being introduced in an Adam Smith Business School UG programme)</t>
        </is>
      </c>
      <c r="F95" s="77" t="inlineStr">
        <is>
          <t>No</t>
        </is>
      </c>
      <c r="G95" s="77" t="inlineStr"/>
      <c r="H95" s="77" t="inlineStr">
        <is>
          <t>Dissertation/research</t>
        </is>
      </c>
      <c r="I95" s="77" t="inlineStr">
        <is>
          <t>Dissertation producing a policy brief for external non-academic partners plus oral presentation; group working not evidenced (dissertation format, presumed individual) - B Unclear/No; not researched further.</t>
        </is>
      </c>
      <c r="J95" s="77" t="inlineStr">
        <is>
          <t>https://www.gla.ac.uk/myglasgow/learningandteaching/studentskills/employabilityinsightsnewsletter/headline_1211670_en.html</t>
        </is>
      </c>
      <c r="K95" s="77" t="inlineStr">
        <is>
          <t>Newsletter, undated in extract</t>
        </is>
      </c>
    </row>
    <row r="96">
      <c r="A96" s="77" t="inlineStr">
        <is>
          <t>RG08-X04</t>
        </is>
      </c>
      <c r="B96" s="77" t="inlineStr">
        <is>
          <t>RG08</t>
        </is>
      </c>
      <c r="C96" s="77" t="inlineStr">
        <is>
          <t>Glasgow</t>
        </is>
      </c>
      <c r="D96" s="77" t="inlineStr">
        <is>
          <t>UK – Russell Group</t>
        </is>
      </c>
      <c r="E96" s="77" t="inlineStr">
        <is>
          <t>Management Project (Engineering Pathway) MGT5475P</t>
        </is>
      </c>
      <c r="F96" s="77" t="inlineStr">
        <is>
          <t>No</t>
        </is>
      </c>
      <c r="G96" s="77" t="inlineStr"/>
      <c r="H96" s="77" t="inlineStr">
        <is>
          <t>Evidence gap</t>
        </is>
      </c>
      <c r="I96" s="77" t="inlineStr">
        <is>
          <t>Group evidence gathering with group video presentation and individual reports; no evidence obtained of an external organisation setting the brief or receiving outputs.</t>
        </is>
      </c>
      <c r="J96" s="77" t="inlineStr">
        <is>
          <t>https://www.gla.ac.uk/coursecatalogue/course/?code=MGT5475P</t>
        </is>
      </c>
      <c r="K96" s="77" t="inlineStr"/>
    </row>
    <row r="97">
      <c r="A97" s="77" t="inlineStr">
        <is>
          <t>RG08-X05</t>
        </is>
      </c>
      <c r="B97" s="77" t="inlineStr">
        <is>
          <t>RG08</t>
        </is>
      </c>
      <c r="C97" s="77" t="inlineStr">
        <is>
          <t>Glasgow</t>
        </is>
      </c>
      <c r="D97" s="77" t="inlineStr">
        <is>
          <t>UK – Russell Group</t>
        </is>
      </c>
      <c r="E97" s="77" t="inlineStr">
        <is>
          <t>Experiential Learning Guide: Consultancy (Embedding Employability Framework)</t>
        </is>
      </c>
      <c r="F97" s="77" t="inlineStr">
        <is>
          <t>No</t>
        </is>
      </c>
      <c r="G97" s="77" t="inlineStr"/>
      <c r="H97" s="77" t="inlineStr">
        <is>
          <t>WIL framework</t>
        </is>
      </c>
      <c r="I97" s="77" t="inlineStr">
        <is>
          <t>Staff guidance on designing consultancy projects (individual or team-based; client may be organisation, charity, entrepreneur); not itself a scheme.</t>
        </is>
      </c>
      <c r="J97" s="77" t="inlineStr">
        <is>
          <t>https://www.gla.ac.uk/myglasgow/learningandteaching/studentskills/enhance/guides/experientiallearningguideconsultancy/</t>
        </is>
      </c>
      <c r="K97" s="77" t="inlineStr"/>
    </row>
    <row r="98">
      <c r="A98" s="77" t="inlineStr">
        <is>
          <t>RG08-X06</t>
        </is>
      </c>
      <c r="B98" s="77" t="inlineStr">
        <is>
          <t>RG08</t>
        </is>
      </c>
      <c r="C98" s="77" t="inlineStr">
        <is>
          <t>Glasgow</t>
        </is>
      </c>
      <c r="D98" s="77" t="inlineStr">
        <is>
          <t>UK – Russell Group</t>
        </is>
      </c>
      <c r="E98" s="77" t="inlineStr">
        <is>
          <t>College of Social Sciences work-related learning consultation projects</t>
        </is>
      </c>
      <c r="F98" s="77" t="inlineStr">
        <is>
          <t>No</t>
        </is>
      </c>
      <c r="G98" s="77" t="inlineStr"/>
      <c r="H98" s="77" t="inlineStr">
        <is>
          <t>Evidence gap</t>
        </is>
      </c>
      <c r="I98" s="77" t="inlineStr">
        <is>
          <t>Generic description that organisations can propose projects; no named course, group working or delivery evidence.</t>
        </is>
      </c>
      <c r="J98" s="77" t="inlineStr">
        <is>
          <t>https://www.gla.ac.uk/colleges/socialsciences/students/employability/forstaff/work-relatedlearning/</t>
        </is>
      </c>
      <c r="K98" s="77" t="inlineStr"/>
    </row>
    <row r="99">
      <c r="A99" s="77" t="inlineStr">
        <is>
          <t>RG08-X07</t>
        </is>
      </c>
      <c r="B99" s="77" t="inlineStr">
        <is>
          <t>RG08</t>
        </is>
      </c>
      <c r="C99" s="77" t="inlineStr">
        <is>
          <t>Glasgow</t>
        </is>
      </c>
      <c r="D99" s="77" t="inlineStr">
        <is>
          <t>UK – Russell Group</t>
        </is>
      </c>
      <c r="E99" s="77" t="inlineStr">
        <is>
          <t>School of Law GO Justice clinics / LLM collaborative dissertations</t>
        </is>
      </c>
      <c r="F99" s="77" t="inlineStr">
        <is>
          <t>No</t>
        </is>
      </c>
      <c r="G99" s="77" t="inlineStr"/>
      <c r="H99" s="77" t="inlineStr">
        <is>
          <t>Near-miss: not group</t>
        </is>
      </c>
      <c r="I99" s="77" t="inlineStr">
        <is>
          <t>Referral-based clinic casework and individual student-partner dissertations; group project not evidenced.</t>
        </is>
      </c>
      <c r="J99" s="77" t="inlineStr">
        <is>
          <t>https://www.gla.ac.uk/schools/law/gojustice/gojustice-getinvolved/</t>
        </is>
      </c>
      <c r="K99" s="77" t="inlineStr"/>
    </row>
    <row r="100">
      <c r="A100" s="77" t="inlineStr">
        <is>
          <t>RG08-X08</t>
        </is>
      </c>
      <c r="B100" s="77" t="inlineStr">
        <is>
          <t>RG08</t>
        </is>
      </c>
      <c r="C100" s="77" t="inlineStr">
        <is>
          <t>Glasgow</t>
        </is>
      </c>
      <c r="D100" s="77" t="inlineStr">
        <is>
          <t>UK – Russell Group</t>
        </is>
      </c>
      <c r="E100" s="77" t="inlineStr">
        <is>
          <t>James Watt School of Engineering design projects</t>
        </is>
      </c>
      <c r="F100" s="77" t="inlineStr">
        <is>
          <t>No</t>
        </is>
      </c>
      <c r="G100" s="77" t="inlineStr"/>
      <c r="H100" s="77" t="inlineStr">
        <is>
          <t>Evidence gap</t>
        </is>
      </c>
      <c r="I100" s="77" t="inlineStr">
        <is>
          <t>Group design and final-year industrial project mentioned on programme page; no external-client evidence obtained.</t>
        </is>
      </c>
      <c r="J100" s="77" t="inlineStr">
        <is>
          <t>https://www.gla.ac.uk/undergraduate/degrees/mechanicaldesignengineering/</t>
        </is>
      </c>
      <c r="K100" s="77" t="inlineStr"/>
    </row>
    <row r="101">
      <c r="A101" s="77" t="inlineStr">
        <is>
          <t>RG08-X09</t>
        </is>
      </c>
      <c r="B101" s="77" t="inlineStr">
        <is>
          <t>RG08</t>
        </is>
      </c>
      <c r="C101" s="77" t="inlineStr">
        <is>
          <t>Glasgow</t>
        </is>
      </c>
      <c r="D101" s="77" t="inlineStr">
        <is>
          <t>UK – Russell Group</t>
        </is>
      </c>
      <c r="E101" s="77" t="inlineStr">
        <is>
          <t>MSc Environment &amp; Sustainable Development consultancy experience</t>
        </is>
      </c>
      <c r="F101" s="77" t="inlineStr">
        <is>
          <t>No</t>
        </is>
      </c>
      <c r="G101" s="77" t="inlineStr"/>
      <c r="H101" s="77" t="inlineStr">
        <is>
          <t>Evidence gap</t>
        </is>
      </c>
      <c r="I101" s="77" t="inlineStr">
        <is>
          <t>Lead from earlier run; not verified in reduced-depth mode.</t>
        </is>
      </c>
      <c r="J101" s="77" t="inlineStr">
        <is>
          <t>https://www.gla.ac.uk/postgraduate/taught/environmentsustainabledevelopment/</t>
        </is>
      </c>
      <c r="K101" s="77" t="inlineStr"/>
    </row>
    <row r="102">
      <c r="A102" s="77" t="inlineStr">
        <is>
          <t>RG09-X01</t>
        </is>
      </c>
      <c r="B102" s="77" t="inlineStr">
        <is>
          <t>RG09</t>
        </is>
      </c>
      <c r="C102" s="77" t="inlineStr">
        <is>
          <t>Imperial College London</t>
        </is>
      </c>
      <c r="D102" s="77" t="inlineStr">
        <is>
          <t>UK – Russell Group</t>
        </is>
      </c>
      <c r="E102" s="77" t="inlineStr">
        <is>
          <t>I-Explore (Imperial Horizons / Multidisciplinary Project module)</t>
        </is>
      </c>
      <c r="F102" s="77" t="inlineStr">
        <is>
          <t>Yes</t>
        </is>
      </c>
      <c r="G102" s="77" t="n">
        <v>15</v>
      </c>
      <c r="H102" s="77" t="inlineStr">
        <is>
          <t>Breadth/interdisciplinary curriculum</t>
        </is>
      </c>
      <c r="I102" s="77" t="inlineStr">
        <is>
          <t>Breadth requirement for participating UG programmes. Tested modules: Multidisciplinary Project (term-long, 5 ECTS, group project video; no external partner mentioned), Interdisciplinary Research Computing (group project, no partner), How to Outreach (schools audience), Global Challenges: Sustainable Innovation (team research on global issue; no external partner found) and Global Village: Innovation Challenge (2 terms, team design proposal for a case study community chosen by the teaching team; no external client). No employer/organisation participation evidenced (C not met/Unclear).</t>
        </is>
      </c>
      <c r="J102" s="77" t="inlineStr">
        <is>
          <t>https://www.imperial.ac.uk/centre-for-languages-culture-and-communication/i-explore/multidisciplinary-project/multidisciplinary-project-module/</t>
        </is>
      </c>
      <c r="K102" s="77" t="inlineStr">
        <is>
          <t>Legacy row 'I-Explore' reassessed; not compulsory evidence found; Imperial Horizons modules page indicates 2026-27 listings</t>
        </is>
      </c>
    </row>
    <row r="103">
      <c r="A103" s="77" t="inlineStr">
        <is>
          <t>RG09-X02</t>
        </is>
      </c>
      <c r="B103" s="77" t="inlineStr">
        <is>
          <t>RG09</t>
        </is>
      </c>
      <c r="C103" s="77" t="inlineStr">
        <is>
          <t>Imperial College London</t>
        </is>
      </c>
      <c r="D103" s="77" t="inlineStr">
        <is>
          <t>UK – Russell Group</t>
        </is>
      </c>
      <c r="E103" s="77" t="inlineStr">
        <is>
          <t>MBA Perspectives on Practice</t>
        </is>
      </c>
      <c r="F103" s="77" t="inlineStr">
        <is>
          <t>No</t>
        </is>
      </c>
      <c r="G103" s="77" t="inlineStr"/>
      <c r="H103" s="77" t="inlineStr">
        <is>
          <t>Near-miss: not group</t>
        </is>
      </c>
      <c r="I103" s="77" t="inlineStr">
        <is>
          <t>Individual, self-directed internship or consulting project with an academic supervisor.</t>
        </is>
      </c>
      <c r="J103" s="77" t="inlineStr">
        <is>
          <t>https://www.imperial.ac.uk/business-school/corporate-relations/recruit-new-talent/partner-our-students/</t>
        </is>
      </c>
      <c r="K103" s="77" t="inlineStr"/>
    </row>
    <row r="104">
      <c r="A104" s="77" t="inlineStr">
        <is>
          <t>RG09-X03</t>
        </is>
      </c>
      <c r="B104" s="77" t="inlineStr">
        <is>
          <t>RG09</t>
        </is>
      </c>
      <c r="C104" s="77" t="inlineStr">
        <is>
          <t>Imperial College London</t>
        </is>
      </c>
      <c r="D104" s="77" t="inlineStr">
        <is>
          <t>UK – Russell Group</t>
        </is>
      </c>
      <c r="E104" s="77" t="inlineStr">
        <is>
          <t>MBA Group Consulting Project</t>
        </is>
      </c>
      <c r="F104" s="77" t="inlineStr">
        <is>
          <t>No</t>
        </is>
      </c>
      <c r="G104" s="77" t="inlineStr"/>
      <c r="H104" s="77" t="inlineStr">
        <is>
          <t>Evidence gap</t>
        </is>
      </c>
      <c r="I104" s="77" t="inlineStr">
        <is>
          <t>Only an old (c. seven-year) student blog found describing group consulting for a company; no current evidence.</t>
        </is>
      </c>
      <c r="J104" s="77" t="inlineStr">
        <is>
          <t>https://www.imperial.ac.uk/business-school/blogs/features/what-does-year-look-the-imperial-full-time-mba/</t>
        </is>
      </c>
      <c r="K104" s="77" t="inlineStr"/>
    </row>
    <row r="105">
      <c r="A105" s="77" t="inlineStr">
        <is>
          <t>RG09-X04</t>
        </is>
      </c>
      <c r="B105" s="77" t="inlineStr">
        <is>
          <t>RG09</t>
        </is>
      </c>
      <c r="C105" s="77" t="inlineStr">
        <is>
          <t>Imperial College London</t>
        </is>
      </c>
      <c r="D105" s="77" t="inlineStr">
        <is>
          <t>UK – Russell Group</t>
        </is>
      </c>
      <c r="E105" s="77" t="inlineStr">
        <is>
          <t>Mechanical Engineering Third Year Design, Make and Test</t>
        </is>
      </c>
      <c r="F105" s="77" t="inlineStr">
        <is>
          <t>No</t>
        </is>
      </c>
      <c r="G105" s="77" t="inlineStr"/>
      <c r="H105" s="77" t="inlineStr">
        <is>
          <t>Near-miss: no external org</t>
        </is>
      </c>
      <c r="I105" s="77" t="inlineStr">
        <is>
          <t>Teams of 4-5 work like a small consultancy but briefs mostly from supervisors' research (example built for an Imperial lab); no standard external client evidenced.</t>
        </is>
      </c>
      <c r="J105" s="77" t="inlineStr">
        <is>
          <t>https://www.imperial.ac.uk/engineering/departments/mechanical-engineering/study/undergraduate/third-year-design-make-and-test--projects/</t>
        </is>
      </c>
      <c r="K105" s="77" t="inlineStr"/>
    </row>
    <row r="106">
      <c r="A106" s="77" t="inlineStr">
        <is>
          <t>RG09-X05</t>
        </is>
      </c>
      <c r="B106" s="77" t="inlineStr">
        <is>
          <t>RG09</t>
        </is>
      </c>
      <c r="C106" s="77" t="inlineStr">
        <is>
          <t>Imperial College London</t>
        </is>
      </c>
      <c r="D106" s="77" t="inlineStr">
        <is>
          <t>UK – Russell Group</t>
        </is>
      </c>
      <c r="E106" s="77" t="inlineStr">
        <is>
          <t>Chemical Engineering final-year design project</t>
        </is>
      </c>
      <c r="F106" s="77" t="inlineStr">
        <is>
          <t>No</t>
        </is>
      </c>
      <c r="G106" s="77" t="inlineStr"/>
      <c r="H106" s="77" t="inlineStr">
        <is>
          <t>Evidence gap</t>
        </is>
      </c>
      <c r="I106" s="77" t="inlineStr">
        <is>
          <t>Team design project (teams of about ten) but no industrial partner role evidenced.</t>
        </is>
      </c>
      <c r="J106" s="77" t="inlineStr">
        <is>
          <t>https://www.imperial.ac.uk/engineering/departments/chemical-engineering/courses/undergraduate/</t>
        </is>
      </c>
      <c r="K106" s="77" t="inlineStr"/>
    </row>
    <row r="107">
      <c r="A107" s="77" t="inlineStr">
        <is>
          <t>RG09-X06</t>
        </is>
      </c>
      <c r="B107" s="77" t="inlineStr">
        <is>
          <t>RG09</t>
        </is>
      </c>
      <c r="C107" s="77" t="inlineStr">
        <is>
          <t>Imperial College London</t>
        </is>
      </c>
      <c r="D107" s="77" t="inlineStr">
        <is>
          <t>UK – Russell Group</t>
        </is>
      </c>
      <c r="E107" s="77" t="inlineStr">
        <is>
          <t>Aeronautics Third-year Group Design Project</t>
        </is>
      </c>
      <c r="F107" s="77" t="inlineStr">
        <is>
          <t>No</t>
        </is>
      </c>
      <c r="G107" s="77" t="inlineStr"/>
      <c r="H107" s="77" t="inlineStr">
        <is>
          <t>Evidence gap</t>
        </is>
      </c>
      <c r="I107" s="77" t="inlineStr">
        <is>
          <t>Team design project mirroring an industrial design office; no external sponsor evidenced.</t>
        </is>
      </c>
      <c r="J107" s="77" t="inlineStr">
        <is>
          <t>https://www.imperial.ac.uk/aeronautics/study/ug/aeroimperial/student-projects/</t>
        </is>
      </c>
      <c r="K107" s="77" t="inlineStr"/>
    </row>
    <row r="108">
      <c r="A108" s="77" t="inlineStr">
        <is>
          <t>RG09-X07</t>
        </is>
      </c>
      <c r="B108" s="77" t="inlineStr">
        <is>
          <t>RG09</t>
        </is>
      </c>
      <c r="C108" s="77" t="inlineStr">
        <is>
          <t>Imperial College London</t>
        </is>
      </c>
      <c r="D108" s="77" t="inlineStr">
        <is>
          <t>UK – Russell Group</t>
        </is>
      </c>
      <c r="E108" s="77" t="inlineStr">
        <is>
          <t>Dyson School of Design Engineering MEng/MSc project modules</t>
        </is>
      </c>
      <c r="F108" s="77" t="inlineStr">
        <is>
          <t>No</t>
        </is>
      </c>
      <c r="G108" s="77" t="inlineStr"/>
      <c r="H108" s="77" t="inlineStr">
        <is>
          <t>Evidence gap</t>
        </is>
      </c>
      <c r="I108" s="77" t="inlineStr">
        <is>
          <t>Project-based, team working, industry briefs mentioned generally; no specific industry-set group module evidenced. Six-month placement is individual.</t>
        </is>
      </c>
      <c r="J108" s="77" t="inlineStr">
        <is>
          <t>https://www.imperial.ac.uk/media/imperial-college/study/programme-specifications/design-eng/25x2f26/28G3-MEng-Design-Engineering-2025-26.pdf</t>
        </is>
      </c>
      <c r="K108" s="77" t="inlineStr"/>
    </row>
    <row r="109">
      <c r="A109" s="77" t="inlineStr">
        <is>
          <t>RG09-X08</t>
        </is>
      </c>
      <c r="B109" s="77" t="inlineStr">
        <is>
          <t>RG09</t>
        </is>
      </c>
      <c r="C109" s="77" t="inlineStr">
        <is>
          <t>Imperial College London</t>
        </is>
      </c>
      <c r="D109" s="77" t="inlineStr">
        <is>
          <t>UK – Russell Group</t>
        </is>
      </c>
      <c r="E109" s="77" t="inlineStr">
        <is>
          <t>Innovation Design Engineering (MA/MSc with RCA)</t>
        </is>
      </c>
      <c r="F109" s="77" t="inlineStr">
        <is>
          <t>No</t>
        </is>
      </c>
      <c r="G109" s="77" t="inlineStr"/>
      <c r="H109" s="77" t="inlineStr">
        <is>
          <t>Evidence gap</t>
        </is>
      </c>
      <c r="I109" s="77" t="inlineStr">
        <is>
          <t>Year-2 projects described as self-directed; regular company links but no partner-set group briefs evidenced.</t>
        </is>
      </c>
      <c r="J109" s="77" t="inlineStr">
        <is>
          <t>https://www.imperial.ac.uk/engineering/departments/design-engineering/study/postgraduate-taught-pgt/ide/</t>
        </is>
      </c>
      <c r="K109" s="77" t="inlineStr"/>
    </row>
    <row r="110">
      <c r="A110" s="77" t="inlineStr">
        <is>
          <t>RG09-X09</t>
        </is>
      </c>
      <c r="B110" s="77" t="inlineStr">
        <is>
          <t>RG09</t>
        </is>
      </c>
      <c r="C110" s="77" t="inlineStr">
        <is>
          <t>Imperial College London</t>
        </is>
      </c>
      <c r="D110" s="77" t="inlineStr">
        <is>
          <t>UK – Russell Group</t>
        </is>
      </c>
      <c r="E110" s="77" t="inlineStr">
        <is>
          <t>MSc Statistics research project</t>
        </is>
      </c>
      <c r="F110" s="77" t="inlineStr">
        <is>
          <t>No</t>
        </is>
      </c>
      <c r="G110" s="77" t="inlineStr"/>
      <c r="H110" s="77" t="inlineStr">
        <is>
          <t>Near-miss: not group</t>
        </is>
      </c>
      <c r="I110" s="77" t="inlineStr">
        <is>
          <t>Small-group phase in spring term then individual research project that may be done with an industry partner; project individual.</t>
        </is>
      </c>
      <c r="J110" s="77" t="inlineStr">
        <is>
          <t>https://www.imperial.ac.uk/natural-sciences/departments/mathematics/postgraduate/msc/statistics/prospective/</t>
        </is>
      </c>
      <c r="K110" s="77" t="inlineStr"/>
    </row>
    <row r="111">
      <c r="A111" s="77" t="inlineStr">
        <is>
          <t>RG09-X10</t>
        </is>
      </c>
      <c r="B111" s="77" t="inlineStr">
        <is>
          <t>RG09</t>
        </is>
      </c>
      <c r="C111" s="77" t="inlineStr">
        <is>
          <t>Imperial College London</t>
        </is>
      </c>
      <c r="D111" s="77" t="inlineStr">
        <is>
          <t>UK – Russell Group</t>
        </is>
      </c>
      <c r="E111" s="77" t="inlineStr">
        <is>
          <t>MSc Mathematics and Finance project</t>
        </is>
      </c>
      <c r="F111" s="77" t="inlineStr">
        <is>
          <t>No</t>
        </is>
      </c>
      <c r="G111" s="77" t="inlineStr"/>
      <c r="H111" s="77" t="inlineStr">
        <is>
          <t>Near-miss: not group</t>
        </is>
      </c>
      <c r="I111" s="77" t="inlineStr">
        <is>
          <t>Around four-month project with a finance firm but individual dissertation.</t>
        </is>
      </c>
      <c r="J111" s="77" t="inlineStr">
        <is>
          <t>https://www.imperial.ac.uk/mathematics/postgraduate/msc/mathematical-finance/project-and-thesis/</t>
        </is>
      </c>
      <c r="K111" s="77" t="inlineStr"/>
    </row>
    <row r="112">
      <c r="A112" s="77" t="inlineStr">
        <is>
          <t>RG09-X11</t>
        </is>
      </c>
      <c r="B112" s="77" t="inlineStr">
        <is>
          <t>RG09</t>
        </is>
      </c>
      <c r="C112" s="77" t="inlineStr">
        <is>
          <t>Imperial College London</t>
        </is>
      </c>
      <c r="D112" s="77" t="inlineStr">
        <is>
          <t>UK – Russell Group</t>
        </is>
      </c>
      <c r="E112" s="77" t="inlineStr">
        <is>
          <t>Master of Public Health project</t>
        </is>
      </c>
      <c r="F112" s="77" t="inlineStr">
        <is>
          <t>No</t>
        </is>
      </c>
      <c r="G112" s="77" t="inlineStr"/>
      <c r="H112" s="77" t="inlineStr">
        <is>
          <t>Dissertation/research</t>
        </is>
      </c>
      <c r="I112" s="77" t="inlineStr">
        <is>
          <t>Individual research project/dissertation, may be with NHS or agencies.</t>
        </is>
      </c>
      <c r="J112" s="77" t="inlineStr">
        <is>
          <t>https://www.imperial.ac.uk/study/pg/medicine/public-health-masters/</t>
        </is>
      </c>
      <c r="K112" s="77" t="inlineStr"/>
    </row>
    <row r="113">
      <c r="A113" s="77" t="inlineStr">
        <is>
          <t>RG09-X12</t>
        </is>
      </c>
      <c r="B113" s="77" t="inlineStr">
        <is>
          <t>RG09</t>
        </is>
      </c>
      <c r="C113" s="77" t="inlineStr">
        <is>
          <t>Imperial College London</t>
        </is>
      </c>
      <c r="D113" s="77" t="inlineStr">
        <is>
          <t>UK – Russell Group</t>
        </is>
      </c>
      <c r="E113" s="77" t="inlineStr">
        <is>
          <t>Enterprise Lab challenges (Global Challenge Lab, Start-up Sprint, Idea Challenge, Venture Catalyst)</t>
        </is>
      </c>
      <c r="F113" s="77" t="inlineStr">
        <is>
          <t>No</t>
        </is>
      </c>
      <c r="G113" s="77" t="inlineStr"/>
      <c r="H113" s="77" t="inlineStr">
        <is>
          <t>Entrepreneurship/incubator</t>
        </is>
      </c>
      <c r="I113" s="77" t="inlineStr">
        <is>
          <t>Student-led venture/ideas competitions; Idea Challenge teams present to corporate-partner audience but no employer-set brief evidenced; Global Challenge Lab is an inter-university hackathon.</t>
        </is>
      </c>
      <c r="J113" s="77" t="inlineStr">
        <is>
          <t>https://www.imperial.ac.uk/events/210302/global-challenge-lab-2026-enterprise-lab/</t>
        </is>
      </c>
      <c r="K113" s="77" t="inlineStr"/>
    </row>
    <row r="114">
      <c r="A114" s="77" t="inlineStr">
        <is>
          <t>RG09-X13</t>
        </is>
      </c>
      <c r="B114" s="77" t="inlineStr">
        <is>
          <t>RG09</t>
        </is>
      </c>
      <c r="C114" s="77" t="inlineStr">
        <is>
          <t>Imperial College London</t>
        </is>
      </c>
      <c r="D114" s="77" t="inlineStr">
        <is>
          <t>UK – Russell Group</t>
        </is>
      </c>
      <c r="E114" s="77" t="inlineStr">
        <is>
          <t>Siemens x Sony Immersive Design Challenge; Accuracy Business Cup; LSEG x Microsoft hackathon (Careers competitions)</t>
        </is>
      </c>
      <c r="F114" s="77" t="inlineStr">
        <is>
          <t>No</t>
        </is>
      </c>
      <c r="G114" s="77" t="inlineStr"/>
      <c r="H114" s="77" t="inlineStr">
        <is>
          <t>Event/competition without live client</t>
        </is>
      </c>
      <c r="I114" s="77" t="inlineStr">
        <is>
          <t>Employer-set competitions listed by Careers; team status, deliverable, duration and delivery details not evidenced; Siemens call closed 31 January 2026; Accuracy Business Cup described as teams supervised by Accuracy consultants presenting to leaders of a listed company but format not verified.</t>
        </is>
      </c>
      <c r="J114" s="77" t="inlineStr">
        <is>
          <t>https://www.imperial.ac.uk/careers/jobs-and-experience/competitions-and-awards/</t>
        </is>
      </c>
      <c r="K114" s="77" t="inlineStr">
        <is>
          <t>Possible extracurricular qualifying route; evidence gap</t>
        </is>
      </c>
    </row>
    <row r="115">
      <c r="A115" s="77" t="inlineStr">
        <is>
          <t>RG09-X14</t>
        </is>
      </c>
      <c r="B115" s="77" t="inlineStr">
        <is>
          <t>RG09</t>
        </is>
      </c>
      <c r="C115" s="77" t="inlineStr">
        <is>
          <t>Imperial College London</t>
        </is>
      </c>
      <c r="D115" s="77" t="inlineStr">
        <is>
          <t>UK – Russell Group</t>
        </is>
      </c>
      <c r="E115" s="77" t="inlineStr">
        <is>
          <t>Global Sustainability Challenge (with Stanford Doerr School)</t>
        </is>
      </c>
      <c r="F115" s="77" t="inlineStr">
        <is>
          <t>No</t>
        </is>
      </c>
      <c r="G115" s="77" t="inlineStr"/>
      <c r="H115" s="77" t="inlineStr">
        <is>
          <t>Evidence gap</t>
        </is>
      </c>
      <c r="I115" s="77" t="inlineStr">
        <is>
          <t>Interdisciplinary teams with mentors on real-world solutions; no evidence that an external organisation sets the brief.</t>
        </is>
      </c>
      <c r="J115" s="77" t="inlineStr">
        <is>
          <t>https://www.imperial.ac.uk/careers/jobs-and-experience/competitions-and-awards/</t>
        </is>
      </c>
      <c r="K115" s="77" t="inlineStr"/>
    </row>
    <row r="116">
      <c r="A116" s="77" t="inlineStr">
        <is>
          <t>RG09-X15</t>
        </is>
      </c>
      <c r="B116" s="77" t="inlineStr">
        <is>
          <t>RG09</t>
        </is>
      </c>
      <c r="C116" s="77" t="inlineStr">
        <is>
          <t>Imperial College London</t>
        </is>
      </c>
      <c r="D116" s="77" t="inlineStr">
        <is>
          <t>UK – Russell Group</t>
        </is>
      </c>
      <c r="E116" s="77" t="inlineStr">
        <is>
          <t>Imperial College Consultancy Society / Imperial Consulting Group</t>
        </is>
      </c>
      <c r="F116" s="77" t="inlineStr">
        <is>
          <t>No</t>
        </is>
      </c>
      <c r="G116" s="77" t="inlineStr"/>
      <c r="H116" s="77" t="inlineStr">
        <is>
          <t>Evidence gap</t>
        </is>
      </c>
      <c r="I116" s="77" t="inlineStr">
        <is>
          <t>Union society with a consulting subsidiary offering 'genuine consulting experience'; clients, projects and team format not evidenced.</t>
        </is>
      </c>
      <c r="J116" s="77" t="inlineStr">
        <is>
          <t>https://www.imperialcollegeunion.org/activities/a-to-z/consultancy</t>
        </is>
      </c>
      <c r="K116" s="77" t="inlineStr"/>
    </row>
    <row r="117">
      <c r="A117" s="77" t="inlineStr">
        <is>
          <t>RG09-X16</t>
        </is>
      </c>
      <c r="B117" s="77" t="inlineStr">
        <is>
          <t>RG09</t>
        </is>
      </c>
      <c r="C117" s="77" t="inlineStr">
        <is>
          <t>Imperial College London</t>
        </is>
      </c>
      <c r="D117" s="77" t="inlineStr">
        <is>
          <t>UK – Russell Group</t>
        </is>
      </c>
      <c r="E117" s="77" t="inlineStr">
        <is>
          <t>Imperial Consultants (ICON)</t>
        </is>
      </c>
      <c r="F117" s="77" t="inlineStr">
        <is>
          <t>No</t>
        </is>
      </c>
      <c r="G117" s="77" t="inlineStr"/>
      <c r="H117" s="77" t="inlineStr">
        <is>
          <t>Other</t>
        </is>
      </c>
      <c r="I117" s="77" t="inlineStr">
        <is>
          <t>College service for academics' consultancy, not a student scheme.</t>
        </is>
      </c>
      <c r="J117" s="77" t="inlineStr">
        <is>
          <t>https://www.imperial.ac.uk/admin-services/enterprise/staff/imperial-consultants/</t>
        </is>
      </c>
      <c r="K117" s="77" t="inlineStr"/>
    </row>
    <row r="118">
      <c r="A118" s="77" t="inlineStr">
        <is>
          <t>RG09-X17</t>
        </is>
      </c>
      <c r="B118" s="77" t="inlineStr">
        <is>
          <t>RG09</t>
        </is>
      </c>
      <c r="C118" s="77" t="inlineStr">
        <is>
          <t>Imperial College London</t>
        </is>
      </c>
      <c r="D118" s="77" t="inlineStr">
        <is>
          <t>UK – Russell Group</t>
        </is>
      </c>
      <c r="E118" s="77" t="inlineStr">
        <is>
          <t>Shell Techno-Economic project (Chemical and Mechanical Engineering)</t>
        </is>
      </c>
      <c r="F118" s="77" t="inlineStr">
        <is>
          <t>No</t>
        </is>
      </c>
      <c r="G118" s="77" t="inlineStr"/>
      <c r="H118" s="77" t="inlineStr">
        <is>
          <t>Other</t>
        </is>
      </c>
      <c r="I118" s="77" t="inlineStr">
        <is>
          <t>One-day role-play exercise delivered by Shell; known only from a 2023 TEF submission; short and no evidence of output for Shell.</t>
        </is>
      </c>
      <c r="J118" s="77" t="inlineStr">
        <is>
          <t>https://www.imperial.ac.uk/media/imperial-college/about/leadership-and-strategy/vp-education/Imperial-College-of-Science,-Technology-and-Medicine---TEF-2023---Provider-Submission---Redacted.pdf</t>
        </is>
      </c>
      <c r="K118" s="77" t="inlineStr"/>
    </row>
    <row r="119">
      <c r="A119" s="77" t="inlineStr">
        <is>
          <t>RG09-X18</t>
        </is>
      </c>
      <c r="B119" s="77" t="inlineStr">
        <is>
          <t>RG09</t>
        </is>
      </c>
      <c r="C119" s="77" t="inlineStr">
        <is>
          <t>Imperial College London</t>
        </is>
      </c>
      <c r="D119" s="77" t="inlineStr">
        <is>
          <t>UK – Russell Group</t>
        </is>
      </c>
      <c r="E119" s="77" t="inlineStr">
        <is>
          <t>Integrated Water Management case study</t>
        </is>
      </c>
      <c r="F119" s="77" t="inlineStr">
        <is>
          <t>No</t>
        </is>
      </c>
      <c r="G119" s="77" t="inlineStr"/>
      <c r="H119" s="77" t="inlineStr">
        <is>
          <t>Simulation/virtual</t>
        </is>
      </c>
      <c r="I119" s="77" t="inlineStr">
        <is>
          <t>Simulates a typical consultant problem with a presentation to a 'potential' client; hypothetical client.</t>
        </is>
      </c>
      <c r="J119" s="77" t="inlineStr">
        <is>
          <t>https://www.imperial.ac.uk/natural-sciences/departments/environmental-policy/study/msc-environmental-technology/choosing-an-option/integrated-water-management-iwm/</t>
        </is>
      </c>
      <c r="K119" s="77" t="inlineStr"/>
    </row>
    <row r="120">
      <c r="A120" s="77" t="inlineStr">
        <is>
          <t>RG10-X01</t>
        </is>
      </c>
      <c r="B120" s="77" t="inlineStr">
        <is>
          <t>RG10</t>
        </is>
      </c>
      <c r="C120" s="77" t="inlineStr">
        <is>
          <t>King’s College London</t>
        </is>
      </c>
      <c r="D120" s="77" t="inlineStr">
        <is>
          <t>UK – Russell Group</t>
        </is>
      </c>
      <c r="E120" s="77" t="inlineStr">
        <is>
          <t>Business Experience Project (MSc International Management)</t>
        </is>
      </c>
      <c r="F120" s="77" t="inlineStr">
        <is>
          <t>Yes</t>
        </is>
      </c>
      <c r="G120" s="77" t="n">
        <v>16</v>
      </c>
      <c r="H120" s="77" t="inlineStr">
        <is>
          <t>Placement/internship</t>
        </is>
      </c>
      <c r="I120" s="77" t="inlineStr">
        <is>
          <t>Legacy row. Re-searched: the Business Experience Project requires students to secure their own summer internship meeting KBS criteria (45 credits). It is an individual internship-based project, so B is not met, and no team or client brief is evidenced. The programme's separate Business Consulting Project (live issue for a local business) is recorded as S3.</t>
        </is>
      </c>
      <c r="J120" s="77" t="inlineStr">
        <is>
          <t>https://www.kcl.ac.uk/study/postgraduate-taught/courses/international-management-msc/teaching</t>
        </is>
      </c>
      <c r="K120" s="77" t="inlineStr">
        <is>
          <t>Undated course page</t>
        </is>
      </c>
    </row>
    <row r="121">
      <c r="A121" s="77" t="inlineStr">
        <is>
          <t>RG10-X02</t>
        </is>
      </c>
      <c r="B121" s="77" t="inlineStr">
        <is>
          <t>RG10</t>
        </is>
      </c>
      <c r="C121" s="77" t="inlineStr">
        <is>
          <t>King’s College London</t>
        </is>
      </c>
      <c r="D121" s="77" t="inlineStr">
        <is>
          <t>UK – Russell Group</t>
        </is>
      </c>
      <c r="E121" s="77" t="inlineStr">
        <is>
          <t>King's Enterprise Award</t>
        </is>
      </c>
      <c r="F121" s="77" t="inlineStr">
        <is>
          <t>Yes</t>
        </is>
      </c>
      <c r="G121" s="77" t="n">
        <v>42</v>
      </c>
      <c r="H121" s="77" t="inlineStr">
        <is>
          <t>Employability award</t>
        </is>
      </c>
      <c r="I121" s="77" t="inlineStr">
        <is>
          <t>Legacy row. Extracurricular skills development and reflection award with HEAR recognition, run by the Entrepreneurship Institute. No team project on an external organisation's brief is evidenced (not re-searched this round because the search budget ran out; legacy description used).</t>
        </is>
      </c>
      <c r="J121" s="77" t="inlineStr">
        <is>
          <t>https://www.kcl.ac.uk/entrepreneurship/learn-entrepreneurial-skills/kings-enterprise-award</t>
        </is>
      </c>
      <c r="K121" s="77" t="inlineStr">
        <is>
          <t>Legacy: 2026/27 applications confirmed</t>
        </is>
      </c>
    </row>
    <row r="122">
      <c r="A122" s="77" t="inlineStr">
        <is>
          <t>RG10-X03</t>
        </is>
      </c>
      <c r="B122" s="77" t="inlineStr">
        <is>
          <t>RG10</t>
        </is>
      </c>
      <c r="C122" s="77" t="inlineStr">
        <is>
          <t>King’s College London</t>
        </is>
      </c>
      <c r="D122" s="77" t="inlineStr">
        <is>
          <t>UK – Russell Group</t>
        </is>
      </c>
      <c r="E122" s="77" t="inlineStr">
        <is>
          <t>Insights Programme - Virtual Consultancy Projects (doctoral researchers)</t>
        </is>
      </c>
      <c r="F122" s="77" t="inlineStr">
        <is>
          <t>No</t>
        </is>
      </c>
      <c r="G122" s="77" t="inlineStr"/>
      <c r="H122" s="77" t="inlineStr">
        <is>
          <t>Evidence gap</t>
        </is>
      </c>
      <c r="I122" s="77" t="inlineStr">
        <is>
          <t>Summary says the 'consultancy version' runs in summer or winter for doctoral researchers. No extract on team structure, brief or output was obtained.</t>
        </is>
      </c>
      <c r="J122" s="77" t="inlineStr">
        <is>
          <t>https://www.kcl.ac.uk/employers/collaborate/insights-programme</t>
        </is>
      </c>
      <c r="K122" s="77" t="inlineStr">
        <is>
          <t>Undated</t>
        </is>
      </c>
    </row>
    <row r="123">
      <c r="A123" s="77" t="inlineStr">
        <is>
          <t>RG10-X04</t>
        </is>
      </c>
      <c r="B123" s="77" t="inlineStr">
        <is>
          <t>RG10</t>
        </is>
      </c>
      <c r="C123" s="77" t="inlineStr">
        <is>
          <t>King’s College London</t>
        </is>
      </c>
      <c r="D123" s="77" t="inlineStr">
        <is>
          <t>UK – Russell Group</t>
        </is>
      </c>
      <c r="E123" s="77" t="inlineStr">
        <is>
          <t>MSc Marketing consultancy for Westminster City Council (West End)</t>
        </is>
      </c>
      <c r="F123" s="77" t="inlineStr">
        <is>
          <t>No</t>
        </is>
      </c>
      <c r="G123" s="77" t="inlineStr"/>
      <c r="H123" s="77" t="inlineStr">
        <is>
          <t>Evidence gap</t>
        </is>
      </c>
      <c r="I123" s="77" t="inlineStr">
        <is>
          <t>News item: postgraduate marketing students acted as consultants for Westminster City Council on the future of the West End. It is about three years old (historical), and the module name and team structure were not identified.</t>
        </is>
      </c>
      <c r="J123" s="77" t="inlineStr">
        <is>
          <t>https://www.kcl.ac.uk/news/kings-postgraduate-marketing-students-step-up-to-help-londons-west-end-thrive</t>
        </is>
      </c>
      <c r="K123" s="77" t="inlineStr">
        <is>
          <t>~2023; historical</t>
        </is>
      </c>
    </row>
    <row r="124">
      <c r="A124" s="77" t="inlineStr">
        <is>
          <t>RG10-X05</t>
        </is>
      </c>
      <c r="B124" s="77" t="inlineStr">
        <is>
          <t>RG10</t>
        </is>
      </c>
      <c r="C124" s="77" t="inlineStr">
        <is>
          <t>King’s College London</t>
        </is>
      </c>
      <c r="D124" s="77" t="inlineStr">
        <is>
          <t>UK – Russell Group</t>
        </is>
      </c>
      <c r="E124" s="77" t="inlineStr">
        <is>
          <t>180 Degrees Consulting at King's</t>
        </is>
      </c>
      <c r="F124" s="77" t="inlineStr">
        <is>
          <t>No</t>
        </is>
      </c>
      <c r="G124" s="77" t="inlineStr"/>
      <c r="H124" s="77" t="inlineStr">
        <is>
          <t>Other</t>
        </is>
      </c>
      <c r="I124" s="77" t="inlineStr">
        <is>
          <t>Student-run society doing consulting for non-profits and social enterprises. It is not university-run provision, and no university-level evidence was obtained.</t>
        </is>
      </c>
      <c r="J124" s="77" t="inlineStr">
        <is>
          <t>https://www.kcl.ac.uk/business/undergraduate/student-experience/student-societies</t>
        </is>
      </c>
      <c r="K124" s="77" t="inlineStr"/>
    </row>
    <row r="125">
      <c r="A125" s="77" t="inlineStr">
        <is>
          <t>RG10-X06</t>
        </is>
      </c>
      <c r="B125" s="77" t="inlineStr">
        <is>
          <t>RG10</t>
        </is>
      </c>
      <c r="C125" s="77" t="inlineStr">
        <is>
          <t>King’s College London</t>
        </is>
      </c>
      <c r="D125" s="77" t="inlineStr">
        <is>
          <t>UK – Russell Group</t>
        </is>
      </c>
      <c r="E125" s="77" t="inlineStr">
        <is>
          <t>King's Legal Clinic</t>
        </is>
      </c>
      <c r="F125" s="77" t="inlineStr">
        <is>
          <t>No</t>
        </is>
      </c>
      <c r="G125" s="77" t="inlineStr"/>
      <c r="H125" s="77" t="inlineStr">
        <is>
          <t>Volunteering/service-learning</t>
        </is>
      </c>
      <c r="I125" s="77" t="inlineStr">
        <is>
          <t>Students advise individual clients under supervising lawyers; casework/service, no team project brief evidenced. Refugee Family Reunion clinic pairs law and biomedical students but its brief/output was not tested.</t>
        </is>
      </c>
      <c r="J125" s="77" t="inlineStr">
        <is>
          <t>https://www.kcl.ac.uk/law/law-in-practice</t>
        </is>
      </c>
      <c r="K125" s="77" t="inlineStr">
        <is>
          <t>Active 2024-25</t>
        </is>
      </c>
    </row>
    <row r="126">
      <c r="A126" s="77" t="inlineStr">
        <is>
          <t>RG10-X07</t>
        </is>
      </c>
      <c r="B126" s="77" t="inlineStr">
        <is>
          <t>RG10</t>
        </is>
      </c>
      <c r="C126" s="77" t="inlineStr">
        <is>
          <t>King’s College London</t>
        </is>
      </c>
      <c r="D126" s="77" t="inlineStr">
        <is>
          <t>UK – Russell Group</t>
        </is>
      </c>
      <c r="E126" s="77" t="inlineStr">
        <is>
          <t>Undisciplined Spaces</t>
        </is>
      </c>
      <c r="F126" s="77" t="inlineStr">
        <is>
          <t>No</t>
        </is>
      </c>
      <c r="G126" s="77" t="inlineStr"/>
      <c r="H126" s="77" t="inlineStr">
        <is>
          <t>Evidence gap</t>
        </is>
      </c>
      <c r="I126" s="77" t="inlineStr">
        <is>
          <t>Co-curricular programme pairing SSPP/Arts &amp; Humanities undergraduates with community researchers; team, output and organisation role not tested.</t>
        </is>
      </c>
      <c r="J126" s="77" t="inlineStr">
        <is>
          <t>https://www.kcl.ac.uk/news/kings-students-community-based-projects-address-marginalisation-in-six-countries</t>
        </is>
      </c>
      <c r="K126" s="77" t="inlineStr">
        <is>
          <t>Undated</t>
        </is>
      </c>
    </row>
    <row r="127">
      <c r="A127" s="77" t="inlineStr">
        <is>
          <t>RG11-X01</t>
        </is>
      </c>
      <c r="B127" s="77" t="inlineStr">
        <is>
          <t>RG11</t>
        </is>
      </c>
      <c r="C127" s="77" t="inlineStr">
        <is>
          <t>Leeds</t>
        </is>
      </c>
      <c r="D127" s="77" t="inlineStr">
        <is>
          <t>UK – Russell Group</t>
        </is>
      </c>
      <c r="E127" s="77" t="inlineStr">
        <is>
          <t>Discovery Modules</t>
        </is>
      </c>
      <c r="F127" s="77" t="inlineStr">
        <is>
          <t>Yes</t>
        </is>
      </c>
      <c r="G127" s="77" t="n">
        <v>17</v>
      </c>
      <c r="H127" s="77" t="inlineStr">
        <is>
          <t>Breadth/interdisciplinary curriculum</t>
        </is>
      </c>
      <c r="I127" s="77" t="inlineStr">
        <is>
          <t>Breadth framework; experiential content depends on module. Underlying qualifying activity tested separately: LUBS3013 Enterprise Consultancy (S1) and LUBS3990 Innovation Thinking and Practice (S9) are Discovery-approved.</t>
        </is>
      </c>
      <c r="J127" s="77" t="inlineStr">
        <is>
          <t>https://students.leeds.ac.uk/modules/doc/explore-discovery-modules</t>
        </is>
      </c>
      <c r="K127" s="77" t="inlineStr">
        <is>
          <t>Framework page undated</t>
        </is>
      </c>
    </row>
    <row r="128">
      <c r="A128" s="77" t="inlineStr">
        <is>
          <t>RG11-X02</t>
        </is>
      </c>
      <c r="B128" s="77" t="inlineStr">
        <is>
          <t>RG11</t>
        </is>
      </c>
      <c r="C128" s="77" t="inlineStr">
        <is>
          <t>Leeds</t>
        </is>
      </c>
      <c r="D128" s="77" t="inlineStr">
        <is>
          <t>UK – Russell Group</t>
        </is>
      </c>
      <c r="E128" s="77" t="inlineStr">
        <is>
          <t>MSc Management Consulting - Management Consulting Project (LUBS5594M)</t>
        </is>
      </c>
      <c r="F128" s="77" t="inlineStr">
        <is>
          <t>No</t>
        </is>
      </c>
      <c r="G128" s="77" t="inlineStr"/>
      <c r="H128" s="77" t="inlineStr">
        <is>
          <t>Near-miss: not group</t>
        </is>
      </c>
      <c r="I128" s="77" t="inlineStr">
        <is>
          <t>45-credit real consultancy project with client organisation, but described as individual (supervisor and organisational contact; 9,500-word report and video); group working not evidenced.</t>
        </is>
      </c>
      <c r="J128" s="77" t="inlineStr">
        <is>
          <t>https://catalogue.leeds.ac.uk/Module/TP/LUBS/5594M/202526</t>
        </is>
      </c>
      <c r="K128" s="77" t="inlineStr">
        <is>
          <t>2025/26</t>
        </is>
      </c>
    </row>
    <row r="129">
      <c r="A129" s="77" t="inlineStr">
        <is>
          <t>RG11-X03</t>
        </is>
      </c>
      <c r="B129" s="77" t="inlineStr">
        <is>
          <t>RG11</t>
        </is>
      </c>
      <c r="C129" s="77" t="inlineStr">
        <is>
          <t>Leeds</t>
        </is>
      </c>
      <c r="D129" s="77" t="inlineStr">
        <is>
          <t>UK – Russell Group</t>
        </is>
      </c>
      <c r="E129" s="77" t="inlineStr">
        <is>
          <t>MSc Sustainability and Consultancy - Sustainability Consultancy Project</t>
        </is>
      </c>
      <c r="F129" s="77" t="inlineStr">
        <is>
          <t>No</t>
        </is>
      </c>
      <c r="G129" s="77" t="inlineStr"/>
      <c r="H129" s="77" t="inlineStr">
        <is>
          <t>Near-miss: not group</t>
        </is>
      </c>
      <c r="I129" s="77" t="inlineStr">
        <is>
          <t>12-week consultancy project with industry partner (AECOM, Arup, Environment Agency etc.) but explicitly individual work.</t>
        </is>
      </c>
      <c r="J129" s="77" t="inlineStr">
        <is>
          <t>https://courses.leeds.ac.uk/g723/sustainability-and-consultancy-msc</t>
        </is>
      </c>
      <c r="K129" s="77" t="inlineStr"/>
    </row>
    <row r="130">
      <c r="A130" s="77" t="inlineStr">
        <is>
          <t>RG11-X04</t>
        </is>
      </c>
      <c r="B130" s="77" t="inlineStr">
        <is>
          <t>RG11</t>
        </is>
      </c>
      <c r="C130" s="77" t="inlineStr">
        <is>
          <t>Leeds</t>
        </is>
      </c>
      <c r="D130" s="77" t="inlineStr">
        <is>
          <t>UK – Russell Group</t>
        </is>
      </c>
      <c r="E130" s="77" t="inlineStr">
        <is>
          <t>Business and Intelligent Technologies BSc Capstone</t>
        </is>
      </c>
      <c r="F130" s="77" t="inlineStr">
        <is>
          <t>No</t>
        </is>
      </c>
      <c r="G130" s="77" t="inlineStr"/>
      <c r="H130" s="77" t="inlineStr">
        <is>
          <t>Near-miss: not group</t>
        </is>
      </c>
      <c r="I130" s="77" t="inlineStr">
        <is>
          <t>40-credit independent supervised capstone with organisations; group working not stated.</t>
        </is>
      </c>
      <c r="J130" s="77" t="inlineStr">
        <is>
          <t>https://courses.leeds.ac.uk/k239/business-and-intelligent-technologies-bsc</t>
        </is>
      </c>
      <c r="K130" s="77" t="inlineStr"/>
    </row>
    <row r="131">
      <c r="A131" s="77" t="inlineStr">
        <is>
          <t>RG11-X05</t>
        </is>
      </c>
      <c r="B131" s="77" t="inlineStr">
        <is>
          <t>RG11</t>
        </is>
      </c>
      <c r="C131" s="77" t="inlineStr">
        <is>
          <t>Leeds</t>
        </is>
      </c>
      <c r="D131" s="77" t="inlineStr">
        <is>
          <t>UK – Russell Group</t>
        </is>
      </c>
      <c r="E131" s="77" t="inlineStr">
        <is>
          <t>Universities Business Challenge / Global Masters Business Challenge</t>
        </is>
      </c>
      <c r="F131" s="77" t="inlineStr">
        <is>
          <t>No</t>
        </is>
      </c>
      <c r="G131" s="77" t="inlineStr"/>
      <c r="H131" s="77" t="inlineStr">
        <is>
          <t>Simulation/virtual</t>
        </is>
      </c>
      <c r="I131" s="77" t="inlineStr">
        <is>
          <t>Team business simulation run with Learning Dynamics Ltd; no live client brief.</t>
        </is>
      </c>
      <c r="J131" s="77" t="inlineStr">
        <is>
          <t>https://students.business.leeds.ac.uk/the-lubs-employability-and-opportunity-team/university-business-challenge/</t>
        </is>
      </c>
      <c r="K131" s="77" t="inlineStr"/>
    </row>
    <row r="132">
      <c r="A132" s="77" t="inlineStr">
        <is>
          <t>RG11-X06</t>
        </is>
      </c>
      <c r="B132" s="77" t="inlineStr">
        <is>
          <t>RG11</t>
        </is>
      </c>
      <c r="C132" s="77" t="inlineStr">
        <is>
          <t>Leeds</t>
        </is>
      </c>
      <c r="D132" s="77" t="inlineStr">
        <is>
          <t>UK – Russell Group</t>
        </is>
      </c>
      <c r="E132" s="77" t="inlineStr">
        <is>
          <t>Law clinics (Welfare Rights Clinic, Tribunal Clinic, pop-up clinics, StreetLaw)</t>
        </is>
      </c>
      <c r="F132" s="77" t="inlineStr">
        <is>
          <t>No</t>
        </is>
      </c>
      <c r="G132" s="77" t="inlineStr"/>
      <c r="H132" s="77" t="inlineStr">
        <is>
          <t>Volunteering/service-learning</t>
        </is>
      </c>
      <c r="I132" s="77" t="inlineStr">
        <is>
          <t>Pro bono advice to individual clients; extracurricular volunteering rather than a bounded group project for an organisation; no 2025/26 evidence retrieved. Cerebra Pro Bono Research Programme not assessed (further instance possible).</t>
        </is>
      </c>
      <c r="J132" s="77" t="inlineStr">
        <is>
          <t>https://essl.leeds.ac.uk/law-undergrad-enrichment-opportunities/doc/community-engagement-3</t>
        </is>
      </c>
      <c r="K132" s="77" t="inlineStr"/>
    </row>
    <row r="133">
      <c r="A133" s="77" t="inlineStr">
        <is>
          <t>RG11-X07</t>
        </is>
      </c>
      <c r="B133" s="77" t="inlineStr">
        <is>
          <t>RG11</t>
        </is>
      </c>
      <c r="C133" s="77" t="inlineStr">
        <is>
          <t>Leeds</t>
        </is>
      </c>
      <c r="D133" s="77" t="inlineStr">
        <is>
          <t>UK – Russell Group</t>
        </is>
      </c>
      <c r="E133" s="77" t="inlineStr">
        <is>
          <t>CSER2201 Career Development 2 (skills challenge)</t>
        </is>
      </c>
      <c r="F133" s="77" t="inlineStr">
        <is>
          <t>No</t>
        </is>
      </c>
      <c r="G133" s="77" t="inlineStr"/>
      <c r="H133" s="77" t="inlineStr">
        <is>
          <t>Employability award</t>
        </is>
      </c>
      <c r="I133" s="77" t="inlineStr">
        <is>
          <t>Group skills challenge worth 20% but employer involvement is networking/mock interview; 2019/20 catalogue only; no external client brief.</t>
        </is>
      </c>
      <c r="J133" s="77" t="inlineStr">
        <is>
          <t>https://catalogue.leeds.ac.uk/Module/UG/CSER/2201/201920</t>
        </is>
      </c>
      <c r="K133" s="77" t="inlineStr"/>
    </row>
    <row r="134">
      <c r="A134" s="77" t="inlineStr">
        <is>
          <t>RG11-X08</t>
        </is>
      </c>
      <c r="B134" s="77" t="inlineStr">
        <is>
          <t>RG11</t>
        </is>
      </c>
      <c r="C134" s="77" t="inlineStr">
        <is>
          <t>Leeds</t>
        </is>
      </c>
      <c r="D134" s="77" t="inlineStr">
        <is>
          <t>UK – Russell Group</t>
        </is>
      </c>
      <c r="E134" s="77" t="inlineStr">
        <is>
          <t>SLSP2976 Social and Public Policy beyond the University</t>
        </is>
      </c>
      <c r="F134" s="77" t="inlineStr">
        <is>
          <t>No</t>
        </is>
      </c>
      <c r="G134" s="77" t="inlineStr"/>
      <c r="H134" s="77" t="inlineStr">
        <is>
          <t>Placement/internship</t>
        </is>
      </c>
      <c r="I134" s="77" t="inlineStr">
        <is>
          <t>Research project placed at external organisation (50+ hours, organisation supervisor) but individual placement; group working not evidenced; 2024/25 catalogue.</t>
        </is>
      </c>
      <c r="J134" s="77" t="inlineStr">
        <is>
          <t>https://catalogue.leeds.ac.uk/Module/UG/SLSP/2976/202425</t>
        </is>
      </c>
      <c r="K134" s="77" t="inlineStr"/>
    </row>
    <row r="135">
      <c r="A135" s="77" t="inlineStr">
        <is>
          <t>RG11-X09</t>
        </is>
      </c>
      <c r="B135" s="77" t="inlineStr">
        <is>
          <t>RG11</t>
        </is>
      </c>
      <c r="C135" s="77" t="inlineStr">
        <is>
          <t>Leeds</t>
        </is>
      </c>
      <c r="D135" s="77" t="inlineStr">
        <is>
          <t>UK – Russell Group</t>
        </is>
      </c>
      <c r="E135" s="77" t="inlineStr">
        <is>
          <t>MEDI4226 Extended Student Research and Evaluation Project (MBChB)</t>
        </is>
      </c>
      <c r="F135" s="77" t="inlineStr">
        <is>
          <t>No</t>
        </is>
      </c>
      <c r="G135" s="77" t="inlineStr"/>
      <c r="H135" s="77" t="inlineStr">
        <is>
          <t>Evidence gap</t>
        </is>
      </c>
      <c r="I135" s="77" t="inlineStr">
        <is>
          <t>Student-led research/service evaluation embedded in NHS clinical teams; team size and external-client role not evidenced.</t>
        </is>
      </c>
      <c r="J135" s="77" t="inlineStr">
        <is>
          <t>https://catalogue.leeds.ac.uk/Module/UG/MEDI/4226/202526</t>
        </is>
      </c>
      <c r="K135" s="77" t="inlineStr"/>
    </row>
    <row r="136">
      <c r="A136" s="77" t="inlineStr">
        <is>
          <t>RG11-X10</t>
        </is>
      </c>
      <c r="B136" s="77" t="inlineStr">
        <is>
          <t>RG11</t>
        </is>
      </c>
      <c r="C136" s="77" t="inlineStr">
        <is>
          <t>Leeds</t>
        </is>
      </c>
      <c r="D136" s="77" t="inlineStr">
        <is>
          <t>UK – Russell Group</t>
        </is>
      </c>
      <c r="E136" s="77" t="inlineStr">
        <is>
          <t>Product Design Years 1-2 'Live' projects</t>
        </is>
      </c>
      <c r="F136" s="77" t="inlineStr">
        <is>
          <t>No</t>
        </is>
      </c>
      <c r="G136" s="77" t="inlineStr"/>
      <c r="H136" s="77" t="inlineStr">
        <is>
          <t>Evidence gap</t>
        </is>
      </c>
      <c r="I136" s="77" t="inlineStr">
        <is>
          <t>Industrial partners support some projects; no module-level evidence of group working, partner role or dates.</t>
        </is>
      </c>
      <c r="J136" s="77" t="inlineStr">
        <is>
          <t>https://courses.leeds.ac.uk/g893/product-design-industrial-bsc</t>
        </is>
      </c>
      <c r="K136" s="77" t="inlineStr"/>
    </row>
    <row r="137">
      <c r="A137" s="77" t="inlineStr">
        <is>
          <t>RG11-X11</t>
        </is>
      </c>
      <c r="B137" s="77" t="inlineStr">
        <is>
          <t>RG11</t>
        </is>
      </c>
      <c r="C137" s="77" t="inlineStr">
        <is>
          <t>Leeds</t>
        </is>
      </c>
      <c r="D137" s="77" t="inlineStr">
        <is>
          <t>UK – Russell Group</t>
        </is>
      </c>
      <c r="E137" s="77" t="inlineStr">
        <is>
          <t>Liberal Arts BA Year 2 guided group research project; Digital Humanities and Culture MA; Culture, Creativity and Entrepreneurship MA</t>
        </is>
      </c>
      <c r="F137" s="77" t="inlineStr">
        <is>
          <t>No</t>
        </is>
      </c>
      <c r="G137" s="77" t="inlineStr"/>
      <c r="H137" s="77" t="inlineStr">
        <is>
          <t>Evidence gap</t>
        </is>
      </c>
      <c r="I137" s="77" t="inlineStr">
        <is>
          <t>External organisation involvement is optional ('option of working with'/'may') or unspecified; not tested further.</t>
        </is>
      </c>
      <c r="J137" s="77" t="inlineStr">
        <is>
          <t>https://courses.leeds.ac.uk/g809/liberal-arts-ba</t>
        </is>
      </c>
      <c r="K137" s="77" t="inlineStr"/>
    </row>
    <row r="138">
      <c r="A138" s="77" t="inlineStr">
        <is>
          <t>RG11-X12</t>
        </is>
      </c>
      <c r="B138" s="77" t="inlineStr">
        <is>
          <t>RG11</t>
        </is>
      </c>
      <c r="C138" s="77" t="inlineStr">
        <is>
          <t>Leeds</t>
        </is>
      </c>
      <c r="D138" s="77" t="inlineStr">
        <is>
          <t>UK – Russell Group</t>
        </is>
      </c>
      <c r="E138" s="77" t="inlineStr">
        <is>
          <t>Evidence Based Consultancy (LUBS2931 / LUBS5318M); Contemporary Management Consulting (LUBS3850)</t>
        </is>
      </c>
      <c r="F138" s="77" t="inlineStr">
        <is>
          <t>No</t>
        </is>
      </c>
      <c r="G138" s="77" t="inlineStr"/>
      <c r="H138" s="77" t="inlineStr">
        <is>
          <t>Near-miss: no external org</t>
        </is>
      </c>
      <c r="I138" s="77" t="inlineStr">
        <is>
          <t>Taught consultancy-skills modules (CMI qualification route); no live client evidenced.</t>
        </is>
      </c>
      <c r="J138" s="77" t="inlineStr">
        <is>
          <t>https://catalogue.leeds.ac.uk/Module/UG/LUBS/2931/202425</t>
        </is>
      </c>
      <c r="K138" s="77" t="inlineStr"/>
    </row>
    <row r="139">
      <c r="A139" s="77" t="inlineStr">
        <is>
          <t>RG11-X13</t>
        </is>
      </c>
      <c r="B139" s="77" t="inlineStr">
        <is>
          <t>RG11</t>
        </is>
      </c>
      <c r="C139" s="77" t="inlineStr">
        <is>
          <t>Leeds</t>
        </is>
      </c>
      <c r="D139" s="77" t="inlineStr">
        <is>
          <t>UK – Russell Group</t>
        </is>
      </c>
      <c r="E139" s="77" t="inlineStr">
        <is>
          <t>Student-led engineering societies (Leeds Gryphon Racing, Rocketry, Sustainable Marine Team); EPS Year 1-2 sponsored competitions (Daring Dash, Martian Mile)</t>
        </is>
      </c>
      <c r="F139" s="77" t="inlineStr">
        <is>
          <t>No</t>
        </is>
      </c>
      <c r="G139" s="77" t="inlineStr"/>
      <c r="H139" s="77" t="inlineStr">
        <is>
          <t>Event/competition without live client</t>
        </is>
      </c>
      <c r="I139" s="77" t="inlineStr">
        <is>
          <t>Industry-sponsored competitions/societies; no evidence that sponsors set briefs as clients.</t>
        </is>
      </c>
      <c r="J139" s="77" t="inlineStr">
        <is>
          <t>https://eps.leeds.ac.uk/homepage/271/student-led-groups</t>
        </is>
      </c>
      <c r="K139" s="77" t="inlineStr"/>
    </row>
    <row r="140">
      <c r="A140" s="77" t="inlineStr">
        <is>
          <t>RG11-X14</t>
        </is>
      </c>
      <c r="B140" s="77" t="inlineStr">
        <is>
          <t>RG11</t>
        </is>
      </c>
      <c r="C140" s="77" t="inlineStr">
        <is>
          <t>Leeds</t>
        </is>
      </c>
      <c r="D140" s="77" t="inlineStr">
        <is>
          <t>UK – Russell Group</t>
        </is>
      </c>
      <c r="E140" s="77" t="inlineStr">
        <is>
          <t>Global Futures programme; Global Industry Project (undergraduate two-week virtual)</t>
        </is>
      </c>
      <c r="F140" s="77" t="inlineStr">
        <is>
          <t>No</t>
        </is>
      </c>
      <c r="G140" s="77" t="inlineStr"/>
      <c r="H140" s="77" t="inlineStr">
        <is>
          <t>Placement/internship</t>
        </is>
      </c>
      <c r="I140" s="77" t="inlineStr">
        <is>
          <t>Global Futures is an overseas individual placement; undergraduate Global Industry Project only seen in passing (undergraduate business page); details not retrieved.</t>
        </is>
      </c>
      <c r="J140" s="77" t="inlineStr">
        <is>
          <t>https://students.leeds.ac.uk/leadership-programmes/doc/global-futures-programme</t>
        </is>
      </c>
      <c r="K140" s="77" t="inlineStr">
        <is>
          <t>Further instance likely</t>
        </is>
      </c>
    </row>
    <row r="141">
      <c r="A141" s="77" t="inlineStr">
        <is>
          <t>RG12-X01</t>
        </is>
      </c>
      <c r="B141" s="77" t="inlineStr">
        <is>
          <t>RG12</t>
        </is>
      </c>
      <c r="C141" s="77" t="inlineStr">
        <is>
          <t>Liverpool</t>
        </is>
      </c>
      <c r="D141" s="77" t="inlineStr">
        <is>
          <t>UK – Russell Group</t>
        </is>
      </c>
      <c r="E141" s="77" t="inlineStr">
        <is>
          <t>Peel Ports Innovation Challenge (2022)</t>
        </is>
      </c>
      <c r="F141" s="77" t="inlineStr">
        <is>
          <t>No</t>
        </is>
      </c>
      <c r="G141" s="77" t="inlineStr"/>
      <c r="H141" s="77" t="inlineStr">
        <is>
          <t>Other</t>
        </is>
      </c>
      <c r="I141" s="77" t="inlineStr">
        <is>
          <t>Real port sustainability brief, cross-university interdisciplinary teams with Peel Ports mentors and pitch (Oct 2022, over 50 students from Liverpool and LJMU). Meets A/B/C but evidenced only for 2022; no later edition found, so historical only.</t>
        </is>
      </c>
      <c r="J141" s="77" t="inlineStr">
        <is>
          <t>https://news.liverpool.ac.uk/2022/04/04/university-partnership-to-improve-port-innovation/</t>
        </is>
      </c>
      <c r="K141" s="77" t="inlineStr">
        <is>
          <t>Historical delivery only (2022)</t>
        </is>
      </c>
    </row>
    <row r="142">
      <c r="A142" s="77" t="inlineStr">
        <is>
          <t>RG12-X02</t>
        </is>
      </c>
      <c r="B142" s="77" t="inlineStr">
        <is>
          <t>RG12</t>
        </is>
      </c>
      <c r="C142" s="77" t="inlineStr">
        <is>
          <t>Liverpool</t>
        </is>
      </c>
      <c r="D142" s="77" t="inlineStr">
        <is>
          <t>UK – Russell Group</t>
        </is>
      </c>
      <c r="E142" s="77" t="inlineStr">
        <is>
          <t>Enterprise in the Life Sciences Challenge (2021)</t>
        </is>
      </c>
      <c r="F142" s="77" t="inlineStr">
        <is>
          <t>No</t>
        </is>
      </c>
      <c r="G142" s="77" t="inlineStr"/>
      <c r="H142" s="77" t="inlineStr">
        <is>
          <t>Other</t>
        </is>
      </c>
      <c r="I142" s="77" t="inlineStr">
        <is>
          <t>Three-week challenge, over 40 students in small groups on real-world employer-set challenges with digital pitches and employer feedback; 2021 one-off, no later edition found.</t>
        </is>
      </c>
      <c r="J142" s="77" t="inlineStr">
        <is>
          <t>https://www.liverpool.ac.uk/careers/students/blog/new/enterprise-in-the-life-sciences-challenge/</t>
        </is>
      </c>
      <c r="K142" s="77" t="inlineStr">
        <is>
          <t>Historical delivery only (2021)</t>
        </is>
      </c>
    </row>
    <row r="143">
      <c r="A143" s="77" t="inlineStr">
        <is>
          <t>RG12-X03</t>
        </is>
      </c>
      <c r="B143" s="77" t="inlineStr">
        <is>
          <t>RG12</t>
        </is>
      </c>
      <c r="C143" s="77" t="inlineStr">
        <is>
          <t>Liverpool</t>
        </is>
      </c>
      <c r="D143" s="77" t="inlineStr">
        <is>
          <t>UK – Russell Group</t>
        </is>
      </c>
      <c r="E143" s="77" t="inlineStr">
        <is>
          <t>Play Your Part: Students in the Community Innovation Challenge (2023)</t>
        </is>
      </c>
      <c r="F143" s="77" t="inlineStr">
        <is>
          <t>No</t>
        </is>
      </c>
      <c r="G143" s="77" t="inlineStr"/>
      <c r="H143" s="77" t="inlineStr">
        <is>
          <t>Other</t>
        </is>
      </c>
      <c r="I143" s="77" t="inlineStr">
        <is>
          <t>Interdisciplinary team competition on cost-of-living ideas run with Civic Data Cooperative and Everton in the Community, finalist pitches; 2023 only, no later edition found.</t>
        </is>
      </c>
      <c r="J143" s="77" t="inlineStr">
        <is>
          <t>https://www.liverpool.ac.uk/histories-languages-and-cultures/news/stories/title,1386162,en.php</t>
        </is>
      </c>
      <c r="K143" s="77" t="inlineStr">
        <is>
          <t>Historical delivery only (2023)</t>
        </is>
      </c>
    </row>
    <row r="144">
      <c r="A144" s="77" t="inlineStr">
        <is>
          <t>RG12-X04</t>
        </is>
      </c>
      <c r="B144" s="77" t="inlineStr">
        <is>
          <t>RG12</t>
        </is>
      </c>
      <c r="C144" s="77" t="inlineStr">
        <is>
          <t>Liverpool</t>
        </is>
      </c>
      <c r="D144" s="77" t="inlineStr">
        <is>
          <t>UK – Russell Group</t>
        </is>
      </c>
      <c r="E144" s="77" t="inlineStr">
        <is>
          <t>Unilever / Sensor City curriculum projects (Electrical Engineering and Electronics)</t>
        </is>
      </c>
      <c r="F144" s="77" t="inlineStr">
        <is>
          <t>No</t>
        </is>
      </c>
      <c r="G144" s="77" t="inlineStr"/>
      <c r="H144" s="77" t="inlineStr">
        <is>
          <t>Evidence gap</t>
        </is>
      </c>
      <c r="I144" s="77" t="inlineStr">
        <is>
          <t>2021 announcement of planned individual and group Unilever projects embedded in modules; no evidence they ran or continue.</t>
        </is>
      </c>
      <c r="J144" s="77" t="inlineStr">
        <is>
          <t>https://news.liverpool.ac.uk/2021/04/15/embedding-unilever-student-projects-in-the-curriculum/</t>
        </is>
      </c>
      <c r="K144" s="77" t="inlineStr">
        <is>
          <t>Announced 2021; delivery unverified</t>
        </is>
      </c>
    </row>
    <row r="145">
      <c r="A145" s="77" t="inlineStr">
        <is>
          <t>RG12-X05</t>
        </is>
      </c>
      <c r="B145" s="77" t="inlineStr">
        <is>
          <t>RG12</t>
        </is>
      </c>
      <c r="C145" s="77" t="inlineStr">
        <is>
          <t>Liverpool</t>
        </is>
      </c>
      <c r="D145" s="77" t="inlineStr">
        <is>
          <t>UK – Russell Group</t>
        </is>
      </c>
      <c r="E145" s="77" t="inlineStr">
        <is>
          <t>Liverpool Law Clinic</t>
        </is>
      </c>
      <c r="F145" s="77" t="inlineStr">
        <is>
          <t>No</t>
        </is>
      </c>
      <c r="G145" s="77" t="inlineStr"/>
      <c r="H145" s="77" t="inlineStr">
        <is>
          <t>Near-miss: not group</t>
        </is>
      </c>
      <c r="I145" s="77" t="inlineStr">
        <is>
          <t>Credit-bearing clinic module and volunteering with real clients under solicitor supervision; clients are individuals and students assist casework (advice letters), no team project with an organisation evidenced.</t>
        </is>
      </c>
      <c r="J145" s="77" t="inlineStr">
        <is>
          <t>https://www.liverpool.ac.uk/law/liverpool-law-clinic/about/</t>
        </is>
      </c>
      <c r="K145" s="77" t="inlineStr">
        <is>
          <t>Current</t>
        </is>
      </c>
    </row>
    <row r="146">
      <c r="A146" s="77" t="inlineStr">
        <is>
          <t>RG12-X06</t>
        </is>
      </c>
      <c r="B146" s="77" t="inlineStr">
        <is>
          <t>RG12</t>
        </is>
      </c>
      <c r="C146" s="77" t="inlineStr">
        <is>
          <t>Liverpool</t>
        </is>
      </c>
      <c r="D146" s="77" t="inlineStr">
        <is>
          <t>UK – Russell Group</t>
        </is>
      </c>
      <c r="E146" s="77" t="inlineStr">
        <is>
          <t>Geography/Environmental Science authentic-assessment consultancy reports (ENVS217, ENVS238)</t>
        </is>
      </c>
      <c r="F146" s="77" t="inlineStr">
        <is>
          <t>No</t>
        </is>
      </c>
      <c r="G146" s="77" t="inlineStr"/>
      <c r="H146" s="77" t="inlineStr">
        <is>
          <t>Near-miss: no external org</t>
        </is>
      </c>
      <c r="I146" s="77" t="inlineStr">
        <is>
          <t>Students act as consultants to the Environment Agency or a geotechnical consultancy but the Environment Agency is a notional client; no external organisation sets or assesses the brief.</t>
        </is>
      </c>
      <c r="J146" s="77" t="inlineStr">
        <is>
          <t>https://www.liverpool.ac.uk/centre-for-innovation-in-education/resources/all-resources/authentic-assessment-in-a-non-vocational-discipline.html</t>
        </is>
      </c>
      <c r="K146" s="77" t="inlineStr">
        <is>
          <t>Undated</t>
        </is>
      </c>
    </row>
    <row r="147">
      <c r="A147" s="77" t="inlineStr">
        <is>
          <t>RG12-X07</t>
        </is>
      </c>
      <c r="B147" s="77" t="inlineStr">
        <is>
          <t>RG12</t>
        </is>
      </c>
      <c r="C147" s="77" t="inlineStr">
        <is>
          <t>Liverpool</t>
        </is>
      </c>
      <c r="D147" s="77" t="inlineStr">
        <is>
          <t>UK – Russell Group</t>
        </is>
      </c>
      <c r="E147" s="77" t="inlineStr">
        <is>
          <t>Greening the Campus interdisciplinary module</t>
        </is>
      </c>
      <c r="F147" s="77" t="inlineStr">
        <is>
          <t>No</t>
        </is>
      </c>
      <c r="G147" s="77" t="inlineStr"/>
      <c r="H147" s="77" t="inlineStr">
        <is>
          <t>Near-miss: no external org</t>
        </is>
      </c>
      <c r="I147" s="77" t="inlineStr">
        <is>
          <t>About 180 students in interdisciplinary groups with brief set by Guild of Students/Sustainability Team/estates and presentations assessed by that client; internal university client does not satisfy C.</t>
        </is>
      </c>
      <c r="J147" s="77" t="inlineStr">
        <is>
          <t>https://www.liverpool.ac.uk/centre-for-innovation-in-education/resources/all-resources/greening-the-campus.html</t>
        </is>
      </c>
      <c r="K147" s="77" t="inlineStr">
        <is>
          <t>Undated</t>
        </is>
      </c>
    </row>
    <row r="148">
      <c r="A148" s="77" t="inlineStr">
        <is>
          <t>RG12-X08</t>
        </is>
      </c>
      <c r="B148" s="77" t="inlineStr">
        <is>
          <t>RG12</t>
        </is>
      </c>
      <c r="C148" s="77" t="inlineStr">
        <is>
          <t>Liverpool</t>
        </is>
      </c>
      <c r="D148" s="77" t="inlineStr">
        <is>
          <t>UK – Russell Group</t>
        </is>
      </c>
      <c r="E148" s="77" t="inlineStr">
        <is>
          <t>Computer Science group projects (COMP208, COMP530, COMP591 MEng Group Project)</t>
        </is>
      </c>
      <c r="F148" s="77" t="inlineStr">
        <is>
          <t>No</t>
        </is>
      </c>
      <c r="G148" s="77" t="inlineStr"/>
      <c r="H148" s="77" t="inlineStr">
        <is>
          <t>Evidence gap</t>
        </is>
      </c>
      <c r="I148" s="77" t="inlineStr">
        <is>
          <t>Compulsory/optional group software and MEng projects exist but no page states an external client or employer sets the brief.</t>
        </is>
      </c>
      <c r="J148" s="77" t="inlineStr">
        <is>
          <t>https://www.liverpool.ac.uk/study/undergraduate/courses/computer-science-with-a-year-in-industry-meng-hons/module-details/</t>
        </is>
      </c>
      <c r="K148" s="77" t="inlineStr">
        <is>
          <t>Programme pages</t>
        </is>
      </c>
    </row>
    <row r="149">
      <c r="A149" s="77" t="inlineStr">
        <is>
          <t>RG12-X09</t>
        </is>
      </c>
      <c r="B149" s="77" t="inlineStr">
        <is>
          <t>RG12</t>
        </is>
      </c>
      <c r="C149" s="77" t="inlineStr">
        <is>
          <t>Liverpool</t>
        </is>
      </c>
      <c r="D149" s="77" t="inlineStr">
        <is>
          <t>UK – Russell Group</t>
        </is>
      </c>
      <c r="E149" s="77" t="inlineStr">
        <is>
          <t>Aerospace Capstone Group Design Project and Civil/Structural MEng group design project</t>
        </is>
      </c>
      <c r="F149" s="77" t="inlineStr">
        <is>
          <t>No</t>
        </is>
      </c>
      <c r="G149" s="77" t="inlineStr"/>
      <c r="H149" s="77" t="inlineStr">
        <is>
          <t>Evidence gap</t>
        </is>
      </c>
      <c r="I149" s="77" t="inlineStr">
        <is>
          <t>Group design projects exist (30-credit capstone; Year 4 civil design) but no source documents external sponsors or clients.</t>
        </is>
      </c>
      <c r="J149" s="77" t="inlineStr">
        <is>
          <t>https://www.liverpool.ac.uk/courses/civil-and-structural-engineering-meng-hons</t>
        </is>
      </c>
      <c r="K149" s="77" t="inlineStr">
        <is>
          <t>Programme pages</t>
        </is>
      </c>
    </row>
    <row r="150">
      <c r="A150" s="77" t="inlineStr">
        <is>
          <t>RG12-X10</t>
        </is>
      </c>
      <c r="B150" s="77" t="inlineStr">
        <is>
          <t>RG12</t>
        </is>
      </c>
      <c r="C150" s="77" t="inlineStr">
        <is>
          <t>Liverpool</t>
        </is>
      </c>
      <c r="D150" s="77" t="inlineStr">
        <is>
          <t>UK – Russell Group</t>
        </is>
      </c>
      <c r="E150" s="77" t="inlineStr">
        <is>
          <t>Year in Industry / placement routes and MSc Industrial Project (COMP599)</t>
        </is>
      </c>
      <c r="F150" s="77" t="inlineStr">
        <is>
          <t>No</t>
        </is>
      </c>
      <c r="G150" s="77" t="inlineStr"/>
      <c r="H150" s="77" t="inlineStr">
        <is>
          <t>Placement/internship</t>
        </is>
      </c>
      <c r="I150" s="77" t="inlineStr">
        <is>
          <t>Individual placements; no group project component evidenced.</t>
        </is>
      </c>
      <c r="J150" s="77" t="inlineStr">
        <is>
          <t>https://www.liverpool.ac.uk/courses/computer-science-with-year-in-industry-msc</t>
        </is>
      </c>
      <c r="K150" s="77" t="inlineStr">
        <is>
          <t>Current programme pages</t>
        </is>
      </c>
    </row>
    <row r="151">
      <c r="A151" s="77" t="inlineStr">
        <is>
          <t>RG12-X11</t>
        </is>
      </c>
      <c r="B151" s="77" t="inlineStr">
        <is>
          <t>RG12</t>
        </is>
      </c>
      <c r="C151" s="77" t="inlineStr">
        <is>
          <t>Liverpool</t>
        </is>
      </c>
      <c r="D151" s="77" t="inlineStr">
        <is>
          <t>UK – Russell Group</t>
        </is>
      </c>
      <c r="E151" s="77" t="inlineStr">
        <is>
          <t>Liverpool Interns and AI Consulting Micro-Internship (Accenture/Springpod)</t>
        </is>
      </c>
      <c r="F151" s="77" t="inlineStr">
        <is>
          <t>No</t>
        </is>
      </c>
      <c r="G151" s="77" t="inlineStr"/>
      <c r="H151" s="77" t="inlineStr">
        <is>
          <t>Placement/internship</t>
        </is>
      </c>
      <c r="I151" s="77" t="inlineStr">
        <is>
          <t>80-hour individual projects for SMEs; micro-internship students work individually on the brief.</t>
        </is>
      </c>
      <c r="J151" s="77" t="inlineStr">
        <is>
          <t>https://www.liverpool.ac.uk/careers/employers/sme-support/liverpool-interns/</t>
        </is>
      </c>
      <c r="K151" s="77" t="inlineStr">
        <is>
          <t>Current</t>
        </is>
      </c>
    </row>
    <row r="152">
      <c r="A152" s="77" t="inlineStr">
        <is>
          <t>RG12-X12</t>
        </is>
      </c>
      <c r="B152" s="77" t="inlineStr">
        <is>
          <t>RG12</t>
        </is>
      </c>
      <c r="C152" s="77" t="inlineStr">
        <is>
          <t>Liverpool</t>
        </is>
      </c>
      <c r="D152" s="77" t="inlineStr">
        <is>
          <t>UK – Russell Group</t>
        </is>
      </c>
      <c r="E152" s="77" t="inlineStr">
        <is>
          <t>Design your Future / enterprise competitions</t>
        </is>
      </c>
      <c r="F152" s="77" t="inlineStr">
        <is>
          <t>No</t>
        </is>
      </c>
      <c r="G152" s="77" t="inlineStr"/>
      <c r="H152" s="77" t="inlineStr">
        <is>
          <t>Entrepreneurship/incubator</t>
        </is>
      </c>
      <c r="I152" s="77" t="inlineStr">
        <is>
          <t>12-week entrepreneurship programme for student ideas with advice and funding; no external-organisation brief.</t>
        </is>
      </c>
      <c r="J152" s="77" t="inlineStr">
        <is>
          <t>https://www.liverpool.ac.uk/careers/employability/enterprise/bring-your-ideas-to-life/</t>
        </is>
      </c>
      <c r="K152" s="77" t="inlineStr">
        <is>
          <t>Current</t>
        </is>
      </c>
    </row>
    <row r="153">
      <c r="A153" s="77" t="inlineStr">
        <is>
          <t>RG12-X13</t>
        </is>
      </c>
      <c r="B153" s="77" t="inlineStr">
        <is>
          <t>RG12</t>
        </is>
      </c>
      <c r="C153" s="77" t="inlineStr">
        <is>
          <t>Liverpool</t>
        </is>
      </c>
      <c r="D153" s="77" t="inlineStr">
        <is>
          <t>UK – Russell Group</t>
        </is>
      </c>
      <c r="E153" s="77" t="inlineStr">
        <is>
          <t>University Business Challenge (postgraduate and undergraduate teams)</t>
        </is>
      </c>
      <c r="F153" s="77" t="inlineStr">
        <is>
          <t>No</t>
        </is>
      </c>
      <c r="G153" s="77" t="inlineStr"/>
      <c r="H153" s="77" t="inlineStr">
        <is>
          <t>Simulation/virtual</t>
        </is>
      </c>
      <c r="I153" s="77" t="inlineStr">
        <is>
          <t>National competition mirroring business environments via a simulation; no live client.</t>
        </is>
      </c>
      <c r="J153" s="77" t="inlineStr">
        <is>
          <t>https://www.liverpool.ac.uk/management/news/stories/title,1555883,en.php</t>
        </is>
      </c>
      <c r="K153" s="77" t="inlineStr">
        <is>
          <t>Event</t>
        </is>
      </c>
    </row>
    <row r="154">
      <c r="A154" s="77" t="inlineStr">
        <is>
          <t>RG12-X14</t>
        </is>
      </c>
      <c r="B154" s="77" t="inlineStr">
        <is>
          <t>RG12</t>
        </is>
      </c>
      <c r="C154" s="77" t="inlineStr">
        <is>
          <t>Liverpool</t>
        </is>
      </c>
      <c r="D154" s="77" t="inlineStr">
        <is>
          <t>UK – Russell Group</t>
        </is>
      </c>
      <c r="E154" s="77" t="inlineStr">
        <is>
          <t>Health professions Dragons' Den session</t>
        </is>
      </c>
      <c r="F154" s="77" t="inlineStr">
        <is>
          <t>No</t>
        </is>
      </c>
      <c r="G154" s="77" t="inlineStr"/>
      <c r="H154" s="77" t="inlineStr">
        <is>
          <t>Near-miss: no external org</t>
        </is>
      </c>
      <c r="I154" s="77" t="inlineStr">
        <is>
          <t>Single-discipline groups pitched to profession-based panels; no external organisation brief.</t>
        </is>
      </c>
      <c r="J154" s="77" t="inlineStr">
        <is>
          <t>https://www.liverpool.ac.uk/centre-for-innovation-in-education/resources/all-resources/dragons-den.html</t>
        </is>
      </c>
      <c r="K154" s="77" t="inlineStr">
        <is>
          <t>Undated</t>
        </is>
      </c>
    </row>
    <row r="155">
      <c r="A155" s="77" t="inlineStr">
        <is>
          <t>RG12-X15</t>
        </is>
      </c>
      <c r="B155" s="77" t="inlineStr">
        <is>
          <t>RG12</t>
        </is>
      </c>
      <c r="C155" s="77" t="inlineStr">
        <is>
          <t>Liverpool</t>
        </is>
      </c>
      <c r="D155" s="77" t="inlineStr">
        <is>
          <t>UK – Russell Group</t>
        </is>
      </c>
      <c r="E155" s="77" t="inlineStr">
        <is>
          <t>Sociology interchange project (SOCI311) / Social policy project</t>
        </is>
      </c>
      <c r="F155" s="77" t="inlineStr">
        <is>
          <t>No</t>
        </is>
      </c>
      <c r="G155" s="77" t="inlineStr"/>
      <c r="H155" s="77" t="inlineStr">
        <is>
          <t>Evidence gap</t>
        </is>
      </c>
      <c r="I155" s="77" t="inlineStr">
        <is>
          <t>Page (old) describes short interchange project and research commissioned by local agency; group vs individual and current delivery not evidenced.</t>
        </is>
      </c>
      <c r="J155" s="77" t="inlineStr">
        <is>
          <t>https://liverpool.ac.uk/study/undergraduate/courses/sociology-ba-hons/module-details</t>
        </is>
      </c>
      <c r="K155" s="77" t="inlineStr">
        <is>
          <t>Stale page</t>
        </is>
      </c>
    </row>
    <row r="156">
      <c r="A156" s="77" t="inlineStr">
        <is>
          <t>RG13-X01</t>
        </is>
      </c>
      <c r="B156" s="77" t="inlineStr">
        <is>
          <t>RG13</t>
        </is>
      </c>
      <c r="C156" s="77" t="inlineStr">
        <is>
          <t>London School of Economics</t>
        </is>
      </c>
      <c r="D156" s="77" t="inlineStr">
        <is>
          <t>UK – Russell Group</t>
        </is>
      </c>
      <c r="E156" s="77" t="inlineStr">
        <is>
          <t>LSE GROUPS (undergraduate group research projects)</t>
        </is>
      </c>
      <c r="F156" s="77" t="inlineStr">
        <is>
          <t>No</t>
        </is>
      </c>
      <c r="G156" s="77" t="inlineStr"/>
      <c r="H156" s="77" t="inlineStr">
        <is>
          <t>Near-miss: no external org</t>
        </is>
      </c>
      <c r="I156" s="77" t="inlineStr">
        <is>
          <t>Eden Centre-run undergraduate group research projects; guide describes building an undergraduate research project with no evidence of external organisation briefs/clients (internal academic research).</t>
        </is>
      </c>
      <c r="J156" s="77" t="inlineStr">
        <is>
          <t>https://info.lse.ac.uk/staff/divisions/Eden-Centre/Assets-EC/Documents/LSE-GROUPS-guide-2025.pdf</t>
        </is>
      </c>
      <c r="K156" s="77" t="inlineStr">
        <is>
          <t>2025 guide</t>
        </is>
      </c>
    </row>
    <row r="157">
      <c r="A157" s="77" t="inlineStr">
        <is>
          <t>RG13-X02</t>
        </is>
      </c>
      <c r="B157" s="77" t="inlineStr">
        <is>
          <t>RG13</t>
        </is>
      </c>
      <c r="C157" s="77" t="inlineStr">
        <is>
          <t>London School of Economics</t>
        </is>
      </c>
      <c r="D157" s="77" t="inlineStr">
        <is>
          <t>UK – Russell Group</t>
        </is>
      </c>
      <c r="E157" s="77" t="inlineStr">
        <is>
          <t>LSE Generate (entrepreneurship hub, Accelerator Programme)</t>
        </is>
      </c>
      <c r="F157" s="77" t="inlineStr">
        <is>
          <t>No</t>
        </is>
      </c>
      <c r="G157" s="77" t="inlineStr"/>
      <c r="H157" s="77" t="inlineStr">
        <is>
          <t>Entrepreneurship/incubator</t>
        </is>
      </c>
      <c r="I157" s="77" t="inlineStr">
        <is>
          <t>Supports students/alumni building their own ventures; no external client brief.</t>
        </is>
      </c>
      <c r="J157" s="77" t="inlineStr">
        <is>
          <t>https://info.lse.ac.uk/staff/divisions/research-and-innovation/generate</t>
        </is>
      </c>
      <c r="K157" s="77" t="inlineStr"/>
    </row>
    <row r="158">
      <c r="A158" s="77" t="inlineStr">
        <is>
          <t>RG13-X03</t>
        </is>
      </c>
      <c r="B158" s="77" t="inlineStr">
        <is>
          <t>RG13</t>
        </is>
      </c>
      <c r="C158" s="77" t="inlineStr">
        <is>
          <t>London School of Economics</t>
        </is>
      </c>
      <c r="D158" s="77" t="inlineStr">
        <is>
          <t>UK – Russell Group</t>
        </is>
      </c>
      <c r="E158" s="77" t="inlineStr">
        <is>
          <t>LSE Careers Discover | Consultancy</t>
        </is>
      </c>
      <c r="F158" s="77" t="inlineStr">
        <is>
          <t>No</t>
        </is>
      </c>
      <c r="G158" s="77" t="inlineStr"/>
      <c r="H158" s="77" t="inlineStr">
        <is>
          <t>Careers service</t>
        </is>
      </c>
      <c r="I158" s="77" t="inlineStr">
        <is>
          <t>Careers events (fairs, alumni panels, skills seminars) about consulting careers; no project.</t>
        </is>
      </c>
      <c r="J158" s="77" t="inlineStr">
        <is>
          <t>https://info.lse.ac.uk/current-students/careers/events/discover-consultancy</t>
        </is>
      </c>
      <c r="K158" s="77" t="inlineStr"/>
    </row>
    <row r="159">
      <c r="A159" s="77" t="inlineStr">
        <is>
          <t>RG13-X04</t>
        </is>
      </c>
      <c r="B159" s="77" t="inlineStr">
        <is>
          <t>RG13</t>
        </is>
      </c>
      <c r="C159" s="77" t="inlineStr">
        <is>
          <t>London School of Economics</t>
        </is>
      </c>
      <c r="D159" s="77" t="inlineStr">
        <is>
          <t>UK – Russell Group</t>
        </is>
      </c>
      <c r="E159" s="77" t="inlineStr">
        <is>
          <t>MY498 Capstone Project (MSc Applied Social Data Science)</t>
        </is>
      </c>
      <c r="F159" s="77" t="inlineStr">
        <is>
          <t>No</t>
        </is>
      </c>
      <c r="G159" s="77" t="inlineStr"/>
      <c r="H159" s="77" t="inlineStr">
        <is>
          <t>Dissertation/research</t>
        </is>
      </c>
      <c r="I159" s="77" t="inlineStr">
        <is>
          <t>Individual 10,000-word data-science thesis supervised in Department of Methodology; no external partner or group evidence.</t>
        </is>
      </c>
      <c r="J159" s="77" t="inlineStr">
        <is>
          <t>https://www.lse.ac.uk/resources/calendar/courseGuides/MY/2026_MY498.htm</t>
        </is>
      </c>
      <c r="K159" s="77" t="inlineStr">
        <is>
          <t>2026/27 guide</t>
        </is>
      </c>
    </row>
    <row r="160">
      <c r="A160" s="77" t="inlineStr">
        <is>
          <t>RG13-X05</t>
        </is>
      </c>
      <c r="B160" s="77" t="inlineStr">
        <is>
          <t>RG13</t>
        </is>
      </c>
      <c r="C160" s="77" t="inlineStr">
        <is>
          <t>London School of Economics</t>
        </is>
      </c>
      <c r="D160" s="77" t="inlineStr">
        <is>
          <t>UK – Russell Group</t>
        </is>
      </c>
      <c r="E160" s="77" t="inlineStr">
        <is>
          <t>GV331 Capstone Data Science &amp; Civic Engagement (BSc Politics and Data Science)</t>
        </is>
      </c>
      <c r="F160" s="77" t="inlineStr">
        <is>
          <t>No</t>
        </is>
      </c>
      <c r="G160" s="77" t="inlineStr"/>
      <c r="H160" s="77" t="inlineStr">
        <is>
          <t>Other</t>
        </is>
      </c>
      <c r="I160" s="77" t="inlineStr">
        <is>
          <t>Design met A/B/C (groups doing applied projects for civic partner organisations) but course marked not available 2021/22 and 2022/23; no later guide found.</t>
        </is>
      </c>
      <c r="J160" s="77" t="inlineStr">
        <is>
          <t>https://www.lse.ac.uk/resources/calendar2021-2022/courseGuides/GV/2021_GV331.htm</t>
        </is>
      </c>
      <c r="K160" s="77" t="inlineStr">
        <is>
          <t>Paused/discontinued (not available 2021/22, 2022/23)</t>
        </is>
      </c>
    </row>
    <row r="161">
      <c r="A161" s="77" t="inlineStr">
        <is>
          <t>RG13-X06</t>
        </is>
      </c>
      <c r="B161" s="77" t="inlineStr">
        <is>
          <t>RG13</t>
        </is>
      </c>
      <c r="C161" s="77" t="inlineStr">
        <is>
          <t>London School of Economics</t>
        </is>
      </c>
      <c r="D161" s="77" t="inlineStr">
        <is>
          <t>UK – Russell Group</t>
        </is>
      </c>
      <c r="E161" s="77" t="inlineStr">
        <is>
          <t>MG315 Marketing Action Learning Project (undergraduate)</t>
        </is>
      </c>
      <c r="F161" s="77" t="inlineStr">
        <is>
          <t>No</t>
        </is>
      </c>
      <c r="G161" s="77" t="inlineStr"/>
      <c r="H161" s="77" t="inlineStr">
        <is>
          <t>Other</t>
        </is>
      </c>
      <c r="I161" s="77" t="inlineStr">
        <is>
          <t>Team marketing plan project; 2022/23 guide shows 'Not available'; no 2025/26 guide; client involvement not evidenced in extract. Superseded at PG level by MG4F1.</t>
        </is>
      </c>
      <c r="J161" s="77" t="inlineStr">
        <is>
          <t>https://www.lse.ac.uk/resources/calendar2022-2023/courseGuides/MG/2022_MG315.htm</t>
        </is>
      </c>
      <c r="K161" s="77" t="inlineStr">
        <is>
          <t>Not available 2022/23; no current guide</t>
        </is>
      </c>
    </row>
    <row r="162">
      <c r="A162" s="77" t="inlineStr">
        <is>
          <t>RG13-X07</t>
        </is>
      </c>
      <c r="B162" s="77" t="inlineStr">
        <is>
          <t>RG13</t>
        </is>
      </c>
      <c r="C162" s="77" t="inlineStr">
        <is>
          <t>London School of Economics</t>
        </is>
      </c>
      <c r="D162" s="77" t="inlineStr">
        <is>
          <t>UK – Russell Group</t>
        </is>
      </c>
      <c r="E162" s="77" t="inlineStr">
        <is>
          <t>MG311 Behavioural Science and Group Processes</t>
        </is>
      </c>
      <c r="F162" s="77" t="inlineStr">
        <is>
          <t>No</t>
        </is>
      </c>
      <c r="G162" s="77" t="inlineStr"/>
      <c r="H162" s="77" t="inlineStr">
        <is>
          <t>Near-miss: no external org</t>
        </is>
      </c>
      <c r="I162" s="77" t="inlineStr">
        <is>
          <t>Group project analyses a real decision selected by students, not a client brief.</t>
        </is>
      </c>
      <c r="J162" s="77" t="inlineStr">
        <is>
          <t>https://www.lse.ac.uk/resources/calendar/courseGuides/MG/2026_MG311.htm</t>
        </is>
      </c>
      <c r="K162" s="77" t="inlineStr">
        <is>
          <t>2026/27</t>
        </is>
      </c>
    </row>
    <row r="163">
      <c r="A163" s="77" t="inlineStr">
        <is>
          <t>RG13-X08</t>
        </is>
      </c>
      <c r="B163" s="77" t="inlineStr">
        <is>
          <t>RG13</t>
        </is>
      </c>
      <c r="C163" s="77" t="inlineStr">
        <is>
          <t>London School of Economics</t>
        </is>
      </c>
      <c r="D163" s="77" t="inlineStr">
        <is>
          <t>UK – Russell Group</t>
        </is>
      </c>
      <c r="E163" s="77" t="inlineStr">
        <is>
          <t>LSE Legal Advice Centre / Homelessness Legal Clinic (with Centrepoint and Shelter)</t>
        </is>
      </c>
      <c r="F163" s="77" t="inlineStr">
        <is>
          <t>No</t>
        </is>
      </c>
      <c r="G163" s="77" t="inlineStr"/>
      <c r="H163" s="77" t="inlineStr">
        <is>
          <t>Volunteering/service-learning</t>
        </is>
      </c>
      <c r="I163" s="77" t="inlineStr">
        <is>
          <t>Pro bono casework in pairs under Shelter lawyers; individual-client legal casework rather than a bounded project with defined output to an organisation; volunteer roles for 2nd/3rd year LLB, BA Law and Anthropology and LLM (~5 hrs/week).</t>
        </is>
      </c>
      <c r="J163" s="77" t="inlineStr">
        <is>
          <t>https://www.lse.ac.uk/law/legal-advice-centre/access-to-justice</t>
        </is>
      </c>
      <c r="K163" s="77" t="inlineStr">
        <is>
          <t>2025/26 volunteer call on https://www.lse.ac.uk/law/legal-advice/lse-law-students</t>
        </is>
      </c>
    </row>
    <row r="164">
      <c r="A164" s="77" t="inlineStr">
        <is>
          <t>RG13-X09</t>
        </is>
      </c>
      <c r="B164" s="77" t="inlineStr">
        <is>
          <t>RG13</t>
        </is>
      </c>
      <c r="C164" s="77" t="inlineStr">
        <is>
          <t>London School of Economics</t>
        </is>
      </c>
      <c r="D164" s="77" t="inlineStr">
        <is>
          <t>UK – Russell Group</t>
        </is>
      </c>
      <c r="E164" s="77" t="inlineStr">
        <is>
          <t>LSE Consulting</t>
        </is>
      </c>
      <c r="F164" s="77" t="inlineStr">
        <is>
          <t>No</t>
        </is>
      </c>
      <c r="G164" s="77" t="inlineStr"/>
      <c r="H164" s="77" t="inlineStr">
        <is>
          <t>Other</t>
        </is>
      </c>
      <c r="I164" s="77" t="inlineStr">
        <is>
          <t>LSE's academic consultancy arm (staff consulting for clients), not a student scheme.</t>
        </is>
      </c>
      <c r="J164" s="77" t="inlineStr">
        <is>
          <t>https://www.lse.ac.uk/business/consulting</t>
        </is>
      </c>
      <c r="K164" s="77" t="inlineStr"/>
    </row>
    <row r="165">
      <c r="A165" s="77" t="inlineStr">
        <is>
          <t>RG14-X01</t>
        </is>
      </c>
      <c r="B165" s="77" t="inlineStr">
        <is>
          <t>RG14</t>
        </is>
      </c>
      <c r="C165" s="77" t="inlineStr">
        <is>
          <t>Manchester</t>
        </is>
      </c>
      <c r="D165" s="77" t="inlineStr">
        <is>
          <t>UK – Russell Group</t>
        </is>
      </c>
      <c r="E165" s="77" t="inlineStr">
        <is>
          <t>University College for Interdisciplinary Learning (UCIL)</t>
        </is>
      </c>
      <c r="F165" s="77" t="inlineStr">
        <is>
          <t>Yes</t>
        </is>
      </c>
      <c r="G165" s="77" t="n">
        <v>20</v>
      </c>
      <c r="H165" s="77" t="inlineStr">
        <is>
          <t>Breadth/interdisciplinary curriculum</t>
        </is>
      </c>
      <c r="I165" s="77" t="inlineStr">
        <is>
          <t>Framework of university-wide elective interdisciplinary units; not itself a project scheme. The qualifying underlying activity found is the Manchester Enterprise Challenge (S7), which pairs UCIL enterprise units with group projects for community organisations. Other UCIL units checked (e.g. On Creativity) set briefs with a self-chosen audience (no external organisation). Manchester 2035 strategy commitment to expand partner-based learning for credit is a future plan, not current provision.</t>
        </is>
      </c>
      <c r="J165" s="77" t="inlineStr">
        <is>
          <t>https://www.ucil.manchester.ac.uk/info-for-students/</t>
        </is>
      </c>
      <c r="K165" s="77" t="inlineStr">
        <is>
          <t>Reassessed via S7</t>
        </is>
      </c>
    </row>
    <row r="166">
      <c r="A166" s="77" t="inlineStr">
        <is>
          <t>RG14-X02</t>
        </is>
      </c>
      <c r="B166" s="77" t="inlineStr">
        <is>
          <t>RG14</t>
        </is>
      </c>
      <c r="C166" s="77" t="inlineStr">
        <is>
          <t>Manchester</t>
        </is>
      </c>
      <c r="D166" s="77" t="inlineStr">
        <is>
          <t>UK – Russell Group</t>
        </is>
      </c>
      <c r="E166" s="77" t="inlineStr">
        <is>
          <t>On Creativity: Practices and Perspectives (UCIL unit)</t>
        </is>
      </c>
      <c r="F166" s="77" t="inlineStr">
        <is>
          <t>No</t>
        </is>
      </c>
      <c r="G166" s="77" t="inlineStr"/>
      <c r="H166" s="77" t="inlineStr">
        <is>
          <t>Near-miss: no external org</t>
        </is>
      </c>
      <c r="I166" s="77" t="inlineStr">
        <is>
          <t>Creative project responding to a brief to communicate a topic 'to an audience of your choice'; collaborative activities in live sessions but no external organisation sets brief or receives output.</t>
        </is>
      </c>
      <c r="J166" s="77" t="inlineStr">
        <is>
          <t>https://www.ucil.manchester.ac.uk/unit-catalogue/on-creativity-practices-and-perspectives/</t>
        </is>
      </c>
      <c r="K166" s="77" t="inlineStr"/>
    </row>
    <row r="167">
      <c r="A167" s="77" t="inlineStr">
        <is>
          <t>RG14-X03</t>
        </is>
      </c>
      <c r="B167" s="77" t="inlineStr">
        <is>
          <t>RG14</t>
        </is>
      </c>
      <c r="C167" s="77" t="inlineStr">
        <is>
          <t>Manchester</t>
        </is>
      </c>
      <c r="D167" s="77" t="inlineStr">
        <is>
          <t>UK – Russell Group</t>
        </is>
      </c>
      <c r="E167" s="77" t="inlineStr">
        <is>
          <t>MSc Business Analytics and Artificial Intelligence summer dissertation projects</t>
        </is>
      </c>
      <c r="F167" s="77" t="inlineStr">
        <is>
          <t>No</t>
        </is>
      </c>
      <c r="G167" s="77" t="inlineStr"/>
      <c r="H167" s="77" t="inlineStr">
        <is>
          <t>Dissertation/research</t>
        </is>
      </c>
      <c r="I167" s="77" t="inlineStr">
        <is>
          <t>June-August dissertation research projects listed on the AMBS Masters Projects page; described as dissertations, not group client consultancy.</t>
        </is>
      </c>
      <c r="J167" s="77" t="inlineStr">
        <is>
          <t>https://www.alliancembs.manchester.ac.uk/collaborate/access-student-talent/consultancy-projects/masters-projects/</t>
        </is>
      </c>
      <c r="K167" s="77" t="inlineStr"/>
    </row>
    <row r="168">
      <c r="A168" s="77" t="inlineStr">
        <is>
          <t>RG14-X04</t>
        </is>
      </c>
      <c r="B168" s="77" t="inlineStr">
        <is>
          <t>RG14</t>
        </is>
      </c>
      <c r="C168" s="77" t="inlineStr">
        <is>
          <t>Manchester</t>
        </is>
      </c>
      <c r="D168" s="77" t="inlineStr">
        <is>
          <t>UK – Russell Group</t>
        </is>
      </c>
      <c r="E168" s="77" t="inlineStr">
        <is>
          <t>Venture Further Awards / Ready, Set, Pitch! (Masood Entrepreneurship Centre)</t>
        </is>
      </c>
      <c r="F168" s="77" t="inlineStr">
        <is>
          <t>No</t>
        </is>
      </c>
      <c r="G168" s="77" t="inlineStr"/>
      <c r="H168" s="77" t="inlineStr">
        <is>
          <t>Entrepreneurship/incubator</t>
        </is>
      </c>
      <c r="I168" s="77" t="inlineStr">
        <is>
          <t>Start-up competitions and pitch events for students' own ventures; no external client brief.</t>
        </is>
      </c>
      <c r="J168" s="77" t="inlineStr">
        <is>
          <t>https://www.manchester.ac.uk/about/news/ready-set-pitch---april-edition-recap/</t>
        </is>
      </c>
      <c r="K168" s="77" t="inlineStr">
        <is>
          <t>April 2025 event</t>
        </is>
      </c>
    </row>
    <row r="169">
      <c r="A169" s="77" t="inlineStr">
        <is>
          <t>RG14-X05</t>
        </is>
      </c>
      <c r="B169" s="77" t="inlineStr">
        <is>
          <t>RG14</t>
        </is>
      </c>
      <c r="C169" s="77" t="inlineStr">
        <is>
          <t>Manchester</t>
        </is>
      </c>
      <c r="D169" s="77" t="inlineStr">
        <is>
          <t>UK – Russell Group</t>
        </is>
      </c>
      <c r="E169" s="77" t="inlineStr">
        <is>
          <t>Computer Science Industry Club</t>
        </is>
      </c>
      <c r="F169" s="77" t="inlineStr">
        <is>
          <t>No</t>
        </is>
      </c>
      <c r="G169" s="77" t="inlineStr"/>
      <c r="H169" s="77" t="inlineStr">
        <is>
          <t>Careers service</t>
        </is>
      </c>
      <c r="I169" s="77" t="inlineStr">
        <is>
          <t>Employer membership network for recruitment; no project activity evidenced beyond the COMP23311 mentoring (S9).</t>
        </is>
      </c>
      <c r="J169" s="77" t="inlineStr">
        <is>
          <t>https://www.cs.manchester.ac.uk/connect/business-engagement/recruiting-talent/</t>
        </is>
      </c>
      <c r="K169" s="77" t="inlineStr"/>
    </row>
    <row r="170">
      <c r="A170" s="77" t="inlineStr">
        <is>
          <t>RG14-X06</t>
        </is>
      </c>
      <c r="B170" s="77" t="inlineStr">
        <is>
          <t>RG14</t>
        </is>
      </c>
      <c r="C170" s="77" t="inlineStr">
        <is>
          <t>Manchester</t>
        </is>
      </c>
      <c r="D170" s="77" t="inlineStr">
        <is>
          <t>UK – Russell Group</t>
        </is>
      </c>
      <c r="E170" s="77" t="inlineStr">
        <is>
          <t>BSc Biotechnology group enterprise projects</t>
        </is>
      </c>
      <c r="F170" s="77" t="inlineStr">
        <is>
          <t>No</t>
        </is>
      </c>
      <c r="G170" s="77" t="inlineStr"/>
      <c r="H170" s="77" t="inlineStr">
        <is>
          <t>Evidence gap</t>
        </is>
      </c>
      <c r="I170" s="77" t="inlineStr">
        <is>
          <t>Course page says group enterprise projects involve close work with entrepreneurs on business plans for real life-sciences products; insufficient detail on whether entrepreneurs are external clients setting briefs (C unclear) and no unit identified; not researched further owing to search budget.</t>
        </is>
      </c>
      <c r="J170" s="77" t="inlineStr">
        <is>
          <t>https://www.manchester.ac.uk/study/undergraduate/courses/2027/08662/bsc-biotechnology/course-details/</t>
        </is>
      </c>
      <c r="K170" s="77" t="inlineStr">
        <is>
          <t>2027 entry page</t>
        </is>
      </c>
    </row>
    <row r="171">
      <c r="A171" s="77" t="inlineStr">
        <is>
          <t>RG14-X07</t>
        </is>
      </c>
      <c r="B171" s="77" t="inlineStr">
        <is>
          <t>RG14</t>
        </is>
      </c>
      <c r="C171" s="77" t="inlineStr">
        <is>
          <t>Manchester</t>
        </is>
      </c>
      <c r="D171" s="77" t="inlineStr">
        <is>
          <t>UK – Russell Group</t>
        </is>
      </c>
      <c r="E171" s="77" t="inlineStr">
        <is>
          <t>MEng Chemical Engineering / Mechanical Engineering group design projects</t>
        </is>
      </c>
      <c r="F171" s="77" t="inlineStr">
        <is>
          <t>No</t>
        </is>
      </c>
      <c r="G171" s="77" t="inlineStr"/>
      <c r="H171" s="77" t="inlineStr">
        <is>
          <t>Evidence gap</t>
        </is>
      </c>
      <c r="I171" s="77" t="inlineStr">
        <is>
          <t>Group design projects (Chem Eng year 3; Mech Eng year 4) found, but no evidence of external organisation involvement retrieved.</t>
        </is>
      </c>
      <c r="J171" s="77" t="inlineStr">
        <is>
          <t>https://www.manchester.ac.uk/study/undergraduate/courses/2027/03848/meng-chemical-engineering/course-details/</t>
        </is>
      </c>
      <c r="K171" s="77" t="inlineStr">
        <is>
          <t>2027 entry page</t>
        </is>
      </c>
    </row>
    <row r="172">
      <c r="A172" s="77" t="inlineStr">
        <is>
          <t>RG14-X08</t>
        </is>
      </c>
      <c r="B172" s="77" t="inlineStr">
        <is>
          <t>RG14</t>
        </is>
      </c>
      <c r="C172" s="77" t="inlineStr">
        <is>
          <t>Manchester</t>
        </is>
      </c>
      <c r="D172" s="77" t="inlineStr">
        <is>
          <t>UK – Russell Group</t>
        </is>
      </c>
      <c r="E172" s="77" t="inlineStr">
        <is>
          <t>Legal Advice Centre (Manchester Law)</t>
        </is>
      </c>
      <c r="F172" s="77" t="inlineStr">
        <is>
          <t>No</t>
        </is>
      </c>
      <c r="G172" s="77" t="inlineStr"/>
      <c r="H172" s="77" t="inlineStr">
        <is>
          <t>Near-miss: not group</t>
        </is>
      </c>
      <c r="I172" s="77" t="inlineStr">
        <is>
          <t>Students advise individual members of the public under solicitor supervision; clinic casework, not a team project for an organisational client.</t>
        </is>
      </c>
      <c r="J172" s="77" t="inlineStr">
        <is>
          <t>https://www.socialsciences.manchester.ac.uk/law/study/careers-and-employability/legal-advice-centre/</t>
        </is>
      </c>
      <c r="K172" s="77" t="inlineStr"/>
    </row>
    <row r="173">
      <c r="A173" s="77" t="inlineStr">
        <is>
          <t>RG15-X01</t>
        </is>
      </c>
      <c r="B173" s="77" t="inlineStr">
        <is>
          <t>RG15</t>
        </is>
      </c>
      <c r="C173" s="77" t="inlineStr">
        <is>
          <t>Newcastle</t>
        </is>
      </c>
      <c r="D173" s="77" t="inlineStr">
        <is>
          <t>UK – Russell Group</t>
        </is>
      </c>
      <c r="E173" s="77" t="inlineStr">
        <is>
          <t>NCL2100 Developing Enterprise, Entrepreneurship and Employability</t>
        </is>
      </c>
      <c r="F173" s="77" t="inlineStr">
        <is>
          <t>Yes</t>
        </is>
      </c>
      <c r="G173" s="77" t="n">
        <v>21</v>
      </c>
      <c r="H173" s="77" t="inlineStr">
        <is>
          <t>Evidence gap</t>
        </is>
      </c>
      <c r="I173" s="77" t="inlineStr">
        <is>
          <t>20-credit enterprise/employability module available as an option on several degrees (2021/22 regulations); no module outline was found, so project content, group working and external-organisation involvement are all unevidenced (A, B, C Unclear). Nothing indicates a live-client project.</t>
        </is>
      </c>
      <c r="J173" s="77" t="inlineStr">
        <is>
          <t>https://www.ncl.ac.uk/computing/people/profile/charlottehope.html</t>
        </is>
      </c>
      <c r="K173" s="77" t="inlineStr">
        <is>
          <t>Module leader profile only; current availability by degree not verified.</t>
        </is>
      </c>
    </row>
    <row r="174">
      <c r="A174" s="77" t="inlineStr">
        <is>
          <t>RG15-X02</t>
        </is>
      </c>
      <c r="B174" s="77" t="inlineStr">
        <is>
          <t>RG15</t>
        </is>
      </c>
      <c r="C174" s="77" t="inlineStr">
        <is>
          <t>Newcastle</t>
        </is>
      </c>
      <c r="D174" s="77" t="inlineStr">
        <is>
          <t>UK – Russell Group</t>
        </is>
      </c>
      <c r="E174" s="77" t="inlineStr">
        <is>
          <t>START UP / Summer Launchpad</t>
        </is>
      </c>
      <c r="F174" s="77" t="inlineStr">
        <is>
          <t>Yes</t>
        </is>
      </c>
      <c r="G174" s="77" t="n">
        <v>51</v>
      </c>
      <c r="H174" s="77" t="inlineStr">
        <is>
          <t>Entrepreneurship/incubator</t>
        </is>
      </c>
      <c r="I174" s="77" t="inlineStr">
        <is>
          <t>Careers Service enterprise workshops, coaching and a three-day Launchpad including a mini hackathon and startup-hub visits; no external organisation setting a brief or receiving group output is evidenced (C not met/unevidenced).</t>
        </is>
      </c>
      <c r="J174" s="77" t="inlineStr">
        <is>
          <t>https://www.ncl.ac.uk/careers/startup/start-up-stories/news/news-items/start-up-summer-launchpad-success/</t>
        </is>
      </c>
      <c r="K174" s="77" t="inlineStr">
        <is>
          <t>June 2026 delivery per legacy research; not re-searched.</t>
        </is>
      </c>
    </row>
    <row r="175">
      <c r="A175" s="77" t="inlineStr">
        <is>
          <t>RG15-X03</t>
        </is>
      </c>
      <c r="B175" s="77" t="inlineStr">
        <is>
          <t>RG15</t>
        </is>
      </c>
      <c r="C175" s="77" t="inlineStr">
        <is>
          <t>Newcastle</t>
        </is>
      </c>
      <c r="D175" s="77" t="inlineStr">
        <is>
          <t>UK – Russell Group</t>
        </is>
      </c>
      <c r="E175" s="77" t="inlineStr">
        <is>
          <t>MBA Corporate Consultancy (individual route)</t>
        </is>
      </c>
      <c r="F175" s="77" t="inlineStr">
        <is>
          <t>No</t>
        </is>
      </c>
      <c r="G175" s="77" t="inlineStr"/>
      <c r="H175" s="77" t="inlineStr">
        <is>
          <t>Near-miss: not group</t>
        </is>
      </c>
      <c r="I175" s="77" t="inlineStr">
        <is>
          <t>A partner-facing page describes pairing a partner with a student for a summer project (e.g. Sage, Trench Networks); individual corporate consultancy project route is separate from the team NBS8130 module.</t>
        </is>
      </c>
      <c r="J175" s="77" t="inlineStr">
        <is>
          <t>https://www.ncl.ac.uk/business/partner/solve-a-business-challenge/mba-corporate-consultancy/</t>
        </is>
      </c>
      <c r="K175" s="77" t="inlineStr">
        <is>
          <t>Undated.</t>
        </is>
      </c>
    </row>
    <row r="176">
      <c r="A176" s="77" t="inlineStr">
        <is>
          <t>RG15-X04</t>
        </is>
      </c>
      <c r="B176" s="77" t="inlineStr">
        <is>
          <t>RG15</t>
        </is>
      </c>
      <c r="C176" s="77" t="inlineStr">
        <is>
          <t>Newcastle</t>
        </is>
      </c>
      <c r="D176" s="77" t="inlineStr">
        <is>
          <t>UK – Russell Group</t>
        </is>
      </c>
      <c r="E176" s="77" t="inlineStr">
        <is>
          <t>NES8013 Consultancy Dissertation Project</t>
        </is>
      </c>
      <c r="F176" s="77" t="inlineStr">
        <is>
          <t>No</t>
        </is>
      </c>
      <c r="G176" s="77" t="inlineStr"/>
      <c r="H176" s="77" t="inlineStr">
        <is>
          <t>Near-miss: not group</t>
        </is>
      </c>
      <c r="I176" s="77" t="inlineStr">
        <is>
          <t>Client-based consultancy dissertation; some projects have teams on different aspects but each student's report must be unique and based on own data - individual output.</t>
        </is>
      </c>
      <c r="J176" s="77" t="inlineStr">
        <is>
          <t>https://www.ncl.ac.uk/mobility/newcastle/study-abroad/NES8013</t>
        </is>
      </c>
      <c r="K176" s="77" t="inlineStr">
        <is>
          <t>2024/25 entry.</t>
        </is>
      </c>
    </row>
    <row r="177">
      <c r="A177" s="77" t="inlineStr">
        <is>
          <t>RG15-X05</t>
        </is>
      </c>
      <c r="B177" s="77" t="inlineStr">
        <is>
          <t>RG15</t>
        </is>
      </c>
      <c r="C177" s="77" t="inlineStr">
        <is>
          <t>Newcastle</t>
        </is>
      </c>
      <c r="D177" s="77" t="inlineStr">
        <is>
          <t>UK – Russell Group</t>
        </is>
      </c>
      <c r="E177" s="77" t="inlineStr">
        <is>
          <t>Business School MSc practice-based dissertations (International Business, Operations/Logistics, AI in Business, Entrepreneurship and Innovation)</t>
        </is>
      </c>
      <c r="F177" s="77" t="inlineStr">
        <is>
          <t>No</t>
        </is>
      </c>
      <c r="G177" s="77" t="inlineStr"/>
      <c r="H177" s="77" t="inlineStr">
        <is>
          <t>Near-miss: not group</t>
        </is>
      </c>
      <c r="I177" s="77" t="inlineStr">
        <is>
          <t>Optional practice-based dissertations/consultancy reports with companies; individual dissertations and availability depends on application/performance.</t>
        </is>
      </c>
      <c r="J177" s="77" t="inlineStr">
        <is>
          <t>https://www.ncl.ac.uk/postgraduate/degrees/4047f/</t>
        </is>
      </c>
      <c r="K177" s="77" t="inlineStr">
        <is>
          <t>Programme pages undated.</t>
        </is>
      </c>
    </row>
    <row r="178">
      <c r="A178" s="77" t="inlineStr">
        <is>
          <t>RG15-X06</t>
        </is>
      </c>
      <c r="B178" s="77" t="inlineStr">
        <is>
          <t>RG15</t>
        </is>
      </c>
      <c r="C178" s="77" t="inlineStr">
        <is>
          <t>Newcastle</t>
        </is>
      </c>
      <c r="D178" s="77" t="inlineStr">
        <is>
          <t>UK – Russell Group</t>
        </is>
      </c>
      <c r="E178" s="77" t="inlineStr">
        <is>
          <t>Law pro bono schemes (SEQUENTUS, LegaCare, Citizens Advice, Street Law)</t>
        </is>
      </c>
      <c r="F178" s="77" t="inlineStr">
        <is>
          <t>No</t>
        </is>
      </c>
      <c r="G178" s="77" t="inlineStr"/>
      <c r="H178" s="77" t="inlineStr">
        <is>
          <t>Volunteering/service-learning</t>
        </is>
      </c>
      <c r="I178" s="77" t="inlineStr">
        <is>
          <t>Supervised individual client casework, internships and volunteering; Street Law is outreach teaching. No group project output for an external client evidenced.</t>
        </is>
      </c>
      <c r="J178" s="77" t="inlineStr">
        <is>
          <t>https://www.ncl.ac.uk/law/study/student-life/pro-bono/</t>
        </is>
      </c>
      <c r="K178" s="77" t="inlineStr">
        <is>
          <t>Mixed-age marketing page.</t>
        </is>
      </c>
    </row>
    <row r="179">
      <c r="A179" s="77" t="inlineStr">
        <is>
          <t>RG15-X07</t>
        </is>
      </c>
      <c r="B179" s="77" t="inlineStr">
        <is>
          <t>RG15</t>
        </is>
      </c>
      <c r="C179" s="77" t="inlineStr">
        <is>
          <t>Newcastle</t>
        </is>
      </c>
      <c r="D179" s="77" t="inlineStr">
        <is>
          <t>UK – Russell Group</t>
        </is>
      </c>
      <c r="E179" s="77" t="inlineStr">
        <is>
          <t>Chemical Engineering (Industry) MEng Stage 3 Industrial Design Project</t>
        </is>
      </c>
      <c r="F179" s="77" t="inlineStr">
        <is>
          <t>No</t>
        </is>
      </c>
      <c r="G179" s="77" t="inlineStr"/>
      <c r="H179" s="77" t="inlineStr">
        <is>
          <t>Placement/internship</t>
        </is>
      </c>
      <c r="I179" s="77" t="inlineStr">
        <is>
          <t>Paid placement in which the student works as part of a team of professional engineers at the host company on a company-defined problem; not a student team (B not met).</t>
        </is>
      </c>
      <c r="J179" s="77" t="inlineStr">
        <is>
          <t>https://www.ncl.ac.uk/undergraduate/degrees/h815/</t>
        </is>
      </c>
      <c r="K179" s="77" t="inlineStr">
        <is>
          <t>Undated.</t>
        </is>
      </c>
    </row>
    <row r="180">
      <c r="A180" s="77" t="inlineStr">
        <is>
          <t>RG15-X08</t>
        </is>
      </c>
      <c r="B180" s="77" t="inlineStr">
        <is>
          <t>RG15</t>
        </is>
      </c>
      <c r="C180" s="77" t="inlineStr">
        <is>
          <t>Newcastle</t>
        </is>
      </c>
      <c r="D180" s="77" t="inlineStr">
        <is>
          <t>UK – Russell Group</t>
        </is>
      </c>
      <c r="E180" s="77" t="inlineStr">
        <is>
          <t>Chemical Engineering MEng Stage 3 team design project (CME3039 Plant Design)</t>
        </is>
      </c>
      <c r="F180" s="77" t="inlineStr">
        <is>
          <t>No</t>
        </is>
      </c>
      <c r="G180" s="77" t="inlineStr"/>
      <c r="H180" s="77" t="inlineStr">
        <is>
          <t>Evidence gap</t>
        </is>
      </c>
      <c r="I180" s="77" t="inlineStr">
        <is>
          <t>Group plant design project (small teams) presented to a panel of sector experts; no evidence that an external organisation sets the brief or that the panel is external beyond 'sector experts'.</t>
        </is>
      </c>
      <c r="J180" s="77" t="inlineStr">
        <is>
          <t>https://www.ncl.ac.uk/undergraduate/degrees/h813/</t>
        </is>
      </c>
      <c r="K180" s="77" t="inlineStr">
        <is>
          <t>Course summary dated 17 Dec 2025 exists; project details paraphrased only.</t>
        </is>
      </c>
    </row>
    <row r="181">
      <c r="A181" s="77" t="inlineStr">
        <is>
          <t>RG15-X09</t>
        </is>
      </c>
      <c r="B181" s="77" t="inlineStr">
        <is>
          <t>RG15</t>
        </is>
      </c>
      <c r="C181" s="77" t="inlineStr">
        <is>
          <t>Newcastle</t>
        </is>
      </c>
      <c r="D181" s="77" t="inlineStr">
        <is>
          <t>UK – Russell Group</t>
        </is>
      </c>
      <c r="E181" s="77" t="inlineStr">
        <is>
          <t>Electrical and Electronic Engineering with Industrial Project MEng (Group Design Project and Industrial Project)</t>
        </is>
      </c>
      <c r="F181" s="77" t="inlineStr">
        <is>
          <t>No</t>
        </is>
      </c>
      <c r="G181" s="77" t="inlineStr"/>
      <c r="H181" s="77" t="inlineStr">
        <is>
          <t>Evidence gap</t>
        </is>
      </c>
      <c r="I181" s="77" t="inlineStr">
        <is>
          <t>30-credit Group Design Project and separate 40-credit Industrial Project (companies such as Tridonic, Dyson); group and industrial elements are separate and the industrial project's team format and the group design project's external client are not evidenced.</t>
        </is>
      </c>
      <c r="J181" s="77" t="inlineStr">
        <is>
          <t>https://www.ncl.ac.uk/undergraduate/degrees/h605/</t>
        </is>
      </c>
      <c r="K181" s="77" t="inlineStr">
        <is>
          <t>Undated.</t>
        </is>
      </c>
    </row>
    <row r="182">
      <c r="A182" s="77" t="inlineStr">
        <is>
          <t>RG15-X10</t>
        </is>
      </c>
      <c r="B182" s="77" t="inlineStr">
        <is>
          <t>RG15</t>
        </is>
      </c>
      <c r="C182" s="77" t="inlineStr">
        <is>
          <t>Newcastle</t>
        </is>
      </c>
      <c r="D182" s="77" t="inlineStr">
        <is>
          <t>UK – Russell Group</t>
        </is>
      </c>
      <c r="E182" s="77" t="inlineStr">
        <is>
          <t>General Engineering MEng Stage 3 interdisciplinary design project / Stage 4 team project</t>
        </is>
      </c>
      <c r="F182" s="77" t="inlineStr">
        <is>
          <t>No</t>
        </is>
      </c>
      <c r="G182" s="77" t="inlineStr"/>
      <c r="H182" s="77" t="inlineStr">
        <is>
          <t>Evidence gap</t>
        </is>
      </c>
      <c r="I182" s="77" t="inlineStr">
        <is>
          <t>2020 course summary only: 40-credit design project 'with industry experts' and 60-credit team project; external client involvement and current delivery unevidenced.</t>
        </is>
      </c>
      <c r="J182" s="77" t="inlineStr">
        <is>
          <t>https://pdf.ncl.ac.uk/ug/h104.pdf</t>
        </is>
      </c>
      <c r="K182" s="77" t="inlineStr">
        <is>
          <t>2020 source.</t>
        </is>
      </c>
    </row>
    <row r="183">
      <c r="A183" s="77" t="inlineStr">
        <is>
          <t>RG15-X11</t>
        </is>
      </c>
      <c r="B183" s="77" t="inlineStr">
        <is>
          <t>RG15</t>
        </is>
      </c>
      <c r="C183" s="77" t="inlineStr">
        <is>
          <t>Newcastle</t>
        </is>
      </c>
      <c r="D183" s="77" t="inlineStr">
        <is>
          <t>UK – Russell Group</t>
        </is>
      </c>
      <c r="E183" s="77" t="inlineStr">
        <is>
          <t>Mechanical Engineering Year 2 design project with an industry partner</t>
        </is>
      </c>
      <c r="F183" s="77" t="inlineStr">
        <is>
          <t>No</t>
        </is>
      </c>
      <c r="G183" s="77" t="inlineStr"/>
      <c r="H183" s="77" t="inlineStr">
        <is>
          <t>Evidence gap</t>
        </is>
      </c>
      <c r="I183" s="77" t="inlineStr">
        <is>
          <t>Programme page says students 'can' work on an industry-partner design project in Year 2; optional/format unevidenced.</t>
        </is>
      </c>
      <c r="J183" s="77" t="inlineStr">
        <is>
          <t>https://www.ncl.ac.uk/undergraduate/degrees/h301/</t>
        </is>
      </c>
      <c r="K183" s="77" t="inlineStr">
        <is>
          <t>Page approx. 7 years old per search.</t>
        </is>
      </c>
    </row>
    <row r="184">
      <c r="A184" s="77" t="inlineStr">
        <is>
          <t>RG15-X12</t>
        </is>
      </c>
      <c r="B184" s="77" t="inlineStr">
        <is>
          <t>RG15</t>
        </is>
      </c>
      <c r="C184" s="77" t="inlineStr">
        <is>
          <t>Newcastle</t>
        </is>
      </c>
      <c r="D184" s="77" t="inlineStr">
        <is>
          <t>UK – Russell Group</t>
        </is>
      </c>
      <c r="E184" s="77" t="inlineStr">
        <is>
          <t>MArch Live Build / Landscape Architecture live projects</t>
        </is>
      </c>
      <c r="F184" s="77" t="inlineStr">
        <is>
          <t>No</t>
        </is>
      </c>
      <c r="G184" s="77" t="inlineStr"/>
      <c r="H184" s="77" t="inlineStr">
        <is>
          <t>Evidence gap</t>
        </is>
      </c>
      <c r="I184" s="77" t="inlineStr">
        <is>
          <t>Live build projects with local clients and communities (e.g. Kielder Art and Architecture 2018) and live projects with practitioners; group format, module and current delivery not evidenced.</t>
        </is>
      </c>
      <c r="J184" s="77" t="inlineStr">
        <is>
          <t>https://www.ncl.ac.uk/apl/research/case-studies/live-build-projects/</t>
        </is>
      </c>
      <c r="K184" s="77" t="inlineStr">
        <is>
          <t>Latest example 2018.</t>
        </is>
      </c>
    </row>
    <row r="185">
      <c r="A185" s="77" t="inlineStr">
        <is>
          <t>RG15-X13</t>
        </is>
      </c>
      <c r="B185" s="77" t="inlineStr">
        <is>
          <t>RG15</t>
        </is>
      </c>
      <c r="C185" s="77" t="inlineStr">
        <is>
          <t>Newcastle</t>
        </is>
      </c>
      <c r="D185" s="77" t="inlineStr">
        <is>
          <t>UK – Russell Group</t>
        </is>
      </c>
      <c r="E185" s="77" t="inlineStr">
        <is>
          <t>CSC8491 Project and Dissertation for MSc in Advanced Computer Science</t>
        </is>
      </c>
      <c r="F185" s="77" t="inlineStr">
        <is>
          <t>No</t>
        </is>
      </c>
      <c r="G185" s="77" t="inlineStr"/>
      <c r="H185" s="77" t="inlineStr">
        <is>
          <t>Dissertation/research</t>
        </is>
      </c>
      <c r="I185" s="77" t="inlineStr">
        <is>
          <t>Individual MSc project/dissertation that may involve an industrial partner; not group.</t>
        </is>
      </c>
      <c r="J185" s="77" t="inlineStr">
        <is>
          <t>https://www.ncl.ac.uk/postgraduate/degrees/module/?code=CSC8491</t>
        </is>
      </c>
      <c r="K185" s="77" t="inlineStr"/>
    </row>
    <row r="186">
      <c r="A186" s="77" t="inlineStr">
        <is>
          <t>RG15-X14</t>
        </is>
      </c>
      <c r="B186" s="77" t="inlineStr">
        <is>
          <t>RG15</t>
        </is>
      </c>
      <c r="C186" s="77" t="inlineStr">
        <is>
          <t>Newcastle</t>
        </is>
      </c>
      <c r="D186" s="77" t="inlineStr">
        <is>
          <t>UK – Russell Group</t>
        </is>
      </c>
      <c r="E186" s="77" t="inlineStr">
        <is>
          <t>Sustainable Futures Challenge, Creative Spark challenge kit, Careers competitions</t>
        </is>
      </c>
      <c r="F186" s="77" t="inlineStr">
        <is>
          <t>No</t>
        </is>
      </c>
      <c r="G186" s="77" t="inlineStr"/>
      <c r="H186" s="77" t="inlineStr">
        <is>
          <t>Event/competition without live client</t>
        </is>
      </c>
      <c r="I186" s="77" t="inlineStr">
        <is>
          <t>Enterprise/idea competitions pitched to universities or judges; no external organisation brief evidenced.</t>
        </is>
      </c>
      <c r="J186" s="77" t="inlineStr">
        <is>
          <t>https://www.ncl.ac.uk/global/sustainable-futures-challenge/</t>
        </is>
      </c>
      <c r="K186" s="77" t="inlineStr">
        <is>
          <t>Sustainable Futures Challenge 2023; Creative Spark pages look dated.</t>
        </is>
      </c>
    </row>
    <row r="187">
      <c r="A187" s="77" t="inlineStr">
        <is>
          <t>RG15-X15</t>
        </is>
      </c>
      <c r="B187" s="77" t="inlineStr">
        <is>
          <t>RG15</t>
        </is>
      </c>
      <c r="C187" s="77" t="inlineStr">
        <is>
          <t>Newcastle</t>
        </is>
      </c>
      <c r="D187" s="77" t="inlineStr">
        <is>
          <t>UK – Russell Group</t>
        </is>
      </c>
      <c r="E187" s="77" t="inlineStr">
        <is>
          <t>Museum, Gallery and Heritage placements</t>
        </is>
      </c>
      <c r="F187" s="77" t="inlineStr">
        <is>
          <t>No</t>
        </is>
      </c>
      <c r="G187" s="77" t="inlineStr"/>
      <c r="H187" s="77" t="inlineStr">
        <is>
          <t>Placement/internship</t>
        </is>
      </c>
      <c r="I187" s="77" t="inlineStr">
        <is>
          <t>About 100 placements per year via sector contacts; individual placements, no group project evidenced.</t>
        </is>
      </c>
      <c r="J187" s="77" t="inlineStr">
        <is>
          <t>https://teaching.ncl.ac.uk/museumgalleryheritageplacements/</t>
        </is>
      </c>
      <c r="K187" s="77" t="inlineStr"/>
    </row>
    <row r="188">
      <c r="A188" s="77" t="inlineStr">
        <is>
          <t>RG16-X01</t>
        </is>
      </c>
      <c r="B188" s="77" t="inlineStr">
        <is>
          <t>RG16</t>
        </is>
      </c>
      <c r="C188" s="77" t="inlineStr">
        <is>
          <t>Nottingham</t>
        </is>
      </c>
      <c r="D188" s="77" t="inlineStr">
        <is>
          <t>UK – Russell Group</t>
        </is>
      </c>
      <c r="E188" s="77" t="inlineStr">
        <is>
          <t>Nottingham Advantage Award</t>
        </is>
      </c>
      <c r="F188" s="77" t="inlineStr">
        <is>
          <t>Yes</t>
        </is>
      </c>
      <c r="G188" s="77" t="n">
        <v>22</v>
      </c>
      <c r="H188" s="77" t="inlineStr">
        <is>
          <t>Employability award</t>
        </is>
      </c>
      <c r="I188" s="77" t="inlineStr">
        <is>
          <t>Central co-curricular award; the underlying employer-led modules seen (Capital One Product Challenge, Enterprise Rent-A-Car Car/Business Challenge) are described as real-world case-study/scenario-based group work followed by an individual report, with no live client brief or employer assessment evidenced; module list is undated/old. Award itself is not a project.</t>
        </is>
      </c>
      <c r="J188" s="77" t="inlineStr">
        <is>
          <t>https://www.nottingham.ac.uk/careers/students/advantageaward/index.aspx</t>
        </is>
      </c>
      <c r="K188" s="77" t="inlineStr">
        <is>
          <t>Legacy row reassessed; Evidence gap on current module list.</t>
        </is>
      </c>
    </row>
    <row r="189">
      <c r="A189" s="77" t="inlineStr">
        <is>
          <t>RG16-X02</t>
        </is>
      </c>
      <c r="B189" s="77" t="inlineStr">
        <is>
          <t>RG16</t>
        </is>
      </c>
      <c r="C189" s="77" t="inlineStr">
        <is>
          <t>Nottingham</t>
        </is>
      </c>
      <c r="D189" s="77" t="inlineStr">
        <is>
          <t>UK – Russell Group</t>
        </is>
      </c>
      <c r="E189" s="77" t="inlineStr">
        <is>
          <t>Capital One Product Challenge / Enterprise Rent-A-Car Challenge (NAA modules)</t>
        </is>
      </c>
      <c r="F189" s="77" t="inlineStr">
        <is>
          <t>No</t>
        </is>
      </c>
      <c r="G189" s="77" t="inlineStr"/>
      <c r="H189" s="77" t="inlineStr">
        <is>
          <t>Near-miss: not project</t>
        </is>
      </c>
      <c r="I189" s="77" t="inlineStr">
        <is>
          <t>Company visit plus scenario-based group work then individual business report; case-study design, current delivery not evidenced.</t>
        </is>
      </c>
      <c r="J189" s="77" t="inlineStr">
        <is>
          <t>https://www.nottingham.ac.uk/careers/students/career-insights/choosing-my-nottingham-advantage-award-modules.aspx</t>
        </is>
      </c>
      <c r="K189" s="77" t="inlineStr"/>
    </row>
    <row r="190">
      <c r="A190" s="77" t="inlineStr">
        <is>
          <t>RG16-X03</t>
        </is>
      </c>
      <c r="B190" s="77" t="inlineStr">
        <is>
          <t>RG16</t>
        </is>
      </c>
      <c r="C190" s="77" t="inlineStr">
        <is>
          <t>Nottingham</t>
        </is>
      </c>
      <c r="D190" s="77" t="inlineStr">
        <is>
          <t>UK – Russell Group</t>
        </is>
      </c>
      <c r="E190" s="77" t="inlineStr">
        <is>
          <t>Sustainability Challenge (Careers) and EDI Challenge (Careers/SU)</t>
        </is>
      </c>
      <c r="F190" s="77" t="inlineStr">
        <is>
          <t>No</t>
        </is>
      </c>
      <c r="G190" s="77" t="inlineStr"/>
      <c r="H190" s="77" t="inlineStr">
        <is>
          <t>Near-miss: no external org</t>
        </is>
      </c>
      <c r="I190" s="77" t="inlineStr">
        <is>
          <t>Four-session extracurricular team challenges where students develop their own campus ideas; employers give guest/partner sessions on pitching and a panel of staff/experts listens; no employer-supplied brief or receipt of outputs evidenced.</t>
        </is>
      </c>
      <c r="J190" s="77" t="inlineStr">
        <is>
          <t>https://www.nottingham.ac.uk/careers/students/work-experience/on-offer/sustainability-challenge.aspx</t>
        </is>
      </c>
      <c r="K190" s="77" t="inlineStr"/>
    </row>
    <row r="191">
      <c r="A191" s="77" t="inlineStr">
        <is>
          <t>RG16-X04</t>
        </is>
      </c>
      <c r="B191" s="77" t="inlineStr">
        <is>
          <t>RG16</t>
        </is>
      </c>
      <c r="C191" s="77" t="inlineStr">
        <is>
          <t>Nottingham</t>
        </is>
      </c>
      <c r="D191" s="77" t="inlineStr">
        <is>
          <t>UK – Russell Group</t>
        </is>
      </c>
      <c r="E191" s="77" t="inlineStr">
        <is>
          <t>Tri-Campus Sustainability Challenge (Faculty of Science)</t>
        </is>
      </c>
      <c r="F191" s="77" t="inlineStr">
        <is>
          <t>No</t>
        </is>
      </c>
      <c r="G191" s="77" t="inlineStr"/>
      <c r="H191" s="77" t="inlineStr">
        <is>
          <t>Near-miss: no external org</t>
        </is>
      </c>
      <c r="I191" s="77" t="inlineStr">
        <is>
          <t>Teams of 4-6 pitch SDG solutions to an expert panel; no external organisation setting brief evidenced; 2023 pilot, no later edition found.</t>
        </is>
      </c>
      <c r="J191" s="77" t="inlineStr">
        <is>
          <t>https://www.nottingham.ac.uk/science/tri-campus-sustainability-challenge.aspx</t>
        </is>
      </c>
      <c r="K191" s="77" t="inlineStr"/>
    </row>
    <row r="192">
      <c r="A192" s="77" t="inlineStr">
        <is>
          <t>RG16-X05</t>
        </is>
      </c>
      <c r="B192" s="77" t="inlineStr">
        <is>
          <t>RG16</t>
        </is>
      </c>
      <c r="C192" s="77" t="inlineStr">
        <is>
          <t>Nottingham</t>
        </is>
      </c>
      <c r="D192" s="77" t="inlineStr">
        <is>
          <t>UK – Russell Group</t>
        </is>
      </c>
      <c r="E192" s="77" t="inlineStr">
        <is>
          <t>Sustainability Challenge (BSc Business and Management module)</t>
        </is>
      </c>
      <c r="F192" s="77" t="inlineStr">
        <is>
          <t>No</t>
        </is>
      </c>
      <c r="G192" s="77" t="inlineStr"/>
      <c r="H192" s="77" t="inlineStr">
        <is>
          <t>Simulation/virtual</t>
        </is>
      </c>
      <c r="I192" s="77" t="inlineStr">
        <is>
          <t>Described as students simulating business responses to sustainability issues; no external organisation evidenced.</t>
        </is>
      </c>
      <c r="J192" s="77" t="inlineStr">
        <is>
          <t>https://www.nottingham.ac.uk/studywithus/ugstudy/courses/UG/Business-and-Management-BSc-Hons.html</t>
        </is>
      </c>
      <c r="K192" s="77" t="inlineStr"/>
    </row>
    <row r="193">
      <c r="A193" s="77" t="inlineStr">
        <is>
          <t>RG16-X06</t>
        </is>
      </c>
      <c r="B193" s="77" t="inlineStr">
        <is>
          <t>RG16</t>
        </is>
      </c>
      <c r="C193" s="77" t="inlineStr">
        <is>
          <t>Nottingham</t>
        </is>
      </c>
      <c r="D193" s="77" t="inlineStr">
        <is>
          <t>UK – Russell Group</t>
        </is>
      </c>
      <c r="E193" s="77" t="inlineStr">
        <is>
          <t>MSc Business Consulting and Analytics (online) capstone</t>
        </is>
      </c>
      <c r="F193" s="77" t="inlineStr">
        <is>
          <t>No</t>
        </is>
      </c>
      <c r="G193" s="77" t="inlineStr"/>
      <c r="H193" s="77" t="inlineStr">
        <is>
          <t>Near-miss: not group</t>
        </is>
      </c>
      <c r="I193" s="77" t="inlineStr">
        <is>
          <t>Capstones use real-world scenarios; students work independently with optional collaboration.</t>
        </is>
      </c>
      <c r="J193" s="77" t="inlineStr">
        <is>
          <t>https://www.nottingham.ac.uk/pgstudy/course/taught/business-consulting-and-analytics-msc</t>
        </is>
      </c>
      <c r="K193" s="77" t="inlineStr"/>
    </row>
    <row r="194">
      <c r="A194" s="77" t="inlineStr">
        <is>
          <t>RG16-X07</t>
        </is>
      </c>
      <c r="B194" s="77" t="inlineStr">
        <is>
          <t>RG16</t>
        </is>
      </c>
      <c r="C194" s="77" t="inlineStr">
        <is>
          <t>Nottingham</t>
        </is>
      </c>
      <c r="D194" s="77" t="inlineStr">
        <is>
          <t>UK – Russell Group</t>
        </is>
      </c>
      <c r="E194" s="77" t="inlineStr">
        <is>
          <t>MBA management project / Company Based Challenge within MBA</t>
        </is>
      </c>
      <c r="F194" s="77" t="inlineStr">
        <is>
          <t>No</t>
        </is>
      </c>
      <c r="G194" s="77" t="inlineStr"/>
      <c r="H194" s="77" t="inlineStr">
        <is>
          <t>Evidence gap</t>
        </is>
      </c>
      <c r="I194" s="77" t="inlineStr">
        <is>
          <t>MBA management project page appeared but group/individual and client involvement not retrieved.</t>
        </is>
      </c>
      <c r="J194" s="77" t="inlineStr">
        <is>
          <t>https://www.nottingham.ac.uk/business/study-with-us/mba/mba-management-project.aspx</t>
        </is>
      </c>
      <c r="K194" s="77" t="inlineStr"/>
    </row>
    <row r="195">
      <c r="A195" s="77" t="inlineStr">
        <is>
          <t>RG16-X08</t>
        </is>
      </c>
      <c r="B195" s="77" t="inlineStr">
        <is>
          <t>RG16</t>
        </is>
      </c>
      <c r="C195" s="77" t="inlineStr">
        <is>
          <t>Nottingham</t>
        </is>
      </c>
      <c r="D195" s="77" t="inlineStr">
        <is>
          <t>UK – Russell Group</t>
        </is>
      </c>
      <c r="E195" s="77" t="inlineStr">
        <is>
          <t>Civil and Structural Steel Design Project / Civil MEng Group Design Project</t>
        </is>
      </c>
      <c r="F195" s="77" t="inlineStr">
        <is>
          <t>No</t>
        </is>
      </c>
      <c r="G195" s="77" t="inlineStr"/>
      <c r="H195" s="77" t="inlineStr">
        <is>
          <t>Near-miss: no external org</t>
        </is>
      </c>
      <c r="I195" s="77" t="inlineStr">
        <is>
          <t>Group design modules (feasibility, BIM, steel design) but no external client or practitioner assessor evidenced.</t>
        </is>
      </c>
      <c r="J195" s="77" t="inlineStr">
        <is>
          <t>https://www.nottingham.ac.uk/studywithus/ugstudy/articles/explore-more-articles/engineering/civil-and-structural-steel-design-project.html</t>
        </is>
      </c>
      <c r="K195" s="77" t="inlineStr"/>
    </row>
    <row r="196">
      <c r="A196" s="77" t="inlineStr">
        <is>
          <t>RG16-X09</t>
        </is>
      </c>
      <c r="B196" s="77" t="inlineStr">
        <is>
          <t>RG16</t>
        </is>
      </c>
      <c r="C196" s="77" t="inlineStr">
        <is>
          <t>Nottingham</t>
        </is>
      </c>
      <c r="D196" s="77" t="inlineStr">
        <is>
          <t>UK – Russell Group</t>
        </is>
      </c>
      <c r="E196" s="77" t="inlineStr">
        <is>
          <t>Aerospace Group Design Project</t>
        </is>
      </c>
      <c r="F196" s="77" t="inlineStr">
        <is>
          <t>No</t>
        </is>
      </c>
      <c r="G196" s="77" t="inlineStr"/>
      <c r="H196" s="77" t="inlineStr">
        <is>
          <t>Simulation/virtual</t>
        </is>
      </c>
      <c r="I196" s="77" t="inlineStr">
        <is>
          <t>Run as a simulated industry integrated product team; no live client evidenced.</t>
        </is>
      </c>
      <c r="J196" s="77" t="inlineStr">
        <is>
          <t>https://www.nottingham.ac.uk/studywithus/ugstudy/courses/UG/Aerospace-Engineering-MEng-Hons.html</t>
        </is>
      </c>
      <c r="K196" s="77" t="inlineStr"/>
    </row>
    <row r="197">
      <c r="A197" s="77" t="inlineStr">
        <is>
          <t>RG16-X10</t>
        </is>
      </c>
      <c r="B197" s="77" t="inlineStr">
        <is>
          <t>RG16</t>
        </is>
      </c>
      <c r="C197" s="77" t="inlineStr">
        <is>
          <t>Nottingham</t>
        </is>
      </c>
      <c r="D197" s="77" t="inlineStr">
        <is>
          <t>UK – Russell Group</t>
        </is>
      </c>
      <c r="E197" s="77" t="inlineStr">
        <is>
          <t>Chemical Engineering final-year design project</t>
        </is>
      </c>
      <c r="F197" s="77" t="inlineStr">
        <is>
          <t>No</t>
        </is>
      </c>
      <c r="G197" s="77" t="inlineStr"/>
      <c r="H197" s="77" t="inlineStr">
        <is>
          <t>Evidence gap</t>
        </is>
      </c>
      <c r="I197" s="77" t="inlineStr">
        <is>
          <t>Course page says some projects are linked to ongoing industrial projects with liaison with an industry partner, but group format and partner coverage not evidenced.</t>
        </is>
      </c>
      <c r="J197" s="77" t="inlineStr">
        <is>
          <t>https://www.nottingham.ac.uk/studywithus/ugstudy/courses/UG/2026/Chemical-Engineering-with-Environmental-Engineering-MEng-Hons.html</t>
        </is>
      </c>
      <c r="K197" s="77" t="inlineStr"/>
    </row>
    <row r="198">
      <c r="A198" s="77" t="inlineStr">
        <is>
          <t>RG16-X11</t>
        </is>
      </c>
      <c r="B198" s="77" t="inlineStr">
        <is>
          <t>RG16</t>
        </is>
      </c>
      <c r="C198" s="77" t="inlineStr">
        <is>
          <t>Nottingham</t>
        </is>
      </c>
      <c r="D198" s="77" t="inlineStr">
        <is>
          <t>UK – Russell Group</t>
        </is>
      </c>
      <c r="E198" s="77" t="inlineStr">
        <is>
          <t>Product Design and Manufacture major/group design projects</t>
        </is>
      </c>
      <c r="F198" s="77" t="inlineStr">
        <is>
          <t>No</t>
        </is>
      </c>
      <c r="G198" s="77" t="inlineStr"/>
      <c r="H198" s="77" t="inlineStr">
        <is>
          <t>Evidence gap</t>
        </is>
      </c>
      <c r="I198" s="77" t="inlineStr">
        <is>
          <t>Major project is individual; optional MEng group design projects module; sponsorship not evidenced.</t>
        </is>
      </c>
      <c r="J198" s="77" t="inlineStr">
        <is>
          <t>https://www.nottingham.ac.uk/engineering/departments/m3/product-design-and-manufacture.aspx</t>
        </is>
      </c>
      <c r="K198" s="77" t="inlineStr"/>
    </row>
    <row r="199">
      <c r="A199" s="77" t="inlineStr">
        <is>
          <t>RG16-X12</t>
        </is>
      </c>
      <c r="B199" s="77" t="inlineStr">
        <is>
          <t>RG16</t>
        </is>
      </c>
      <c r="C199" s="77" t="inlineStr">
        <is>
          <t>Nottingham</t>
        </is>
      </c>
      <c r="D199" s="77" t="inlineStr">
        <is>
          <t>UK – Russell Group</t>
        </is>
      </c>
      <c r="E199" s="77" t="inlineStr">
        <is>
          <t>Physics group project</t>
        </is>
      </c>
      <c r="F199" s="77" t="inlineStr">
        <is>
          <t>No</t>
        </is>
      </c>
      <c r="G199" s="77" t="inlineStr"/>
      <c r="H199" s="77" t="inlineStr">
        <is>
          <t>Near-miss: no external org</t>
        </is>
      </c>
      <c r="I199" s="77" t="inlineStr">
        <is>
          <t>Group project in Physics with Theoretical Physics described without any industry partner.</t>
        </is>
      </c>
      <c r="J199" s="77" t="inlineStr">
        <is>
          <t>https://www.nottingham.ac.uk/studywithus/ugstudy/courses/UG/physics-with-theoretical-physics-bsc.html</t>
        </is>
      </c>
      <c r="K199" s="77" t="inlineStr"/>
    </row>
    <row r="200">
      <c r="A200" s="77" t="inlineStr">
        <is>
          <t>RG16-X13</t>
        </is>
      </c>
      <c r="B200" s="77" t="inlineStr">
        <is>
          <t>RG16</t>
        </is>
      </c>
      <c r="C200" s="77" t="inlineStr">
        <is>
          <t>Nottingham</t>
        </is>
      </c>
      <c r="D200" s="77" t="inlineStr">
        <is>
          <t>UK – Russell Group</t>
        </is>
      </c>
      <c r="E200" s="77" t="inlineStr">
        <is>
          <t>Digital Marketing Academy</t>
        </is>
      </c>
      <c r="F200" s="77" t="inlineStr">
        <is>
          <t>No</t>
        </is>
      </c>
      <c r="G200" s="77" t="inlineStr"/>
      <c r="H200" s="77" t="inlineStr">
        <is>
          <t>Evidence gap</t>
        </is>
      </c>
      <c r="I200" s="77" t="inlineStr">
        <is>
          <t>Extracurricular skills/insight programme with partner agencies; employer part-time 4-8 week projects appear individual; no team client project evidenced.</t>
        </is>
      </c>
      <c r="J200" s="77" t="inlineStr">
        <is>
          <t>https://www.nottingham.ac.uk/careers/students/work-experience/on-offer/digital-marketing-academy/index.aspx</t>
        </is>
      </c>
      <c r="K200" s="77" t="inlineStr"/>
    </row>
    <row r="201">
      <c r="A201" s="77" t="inlineStr">
        <is>
          <t>RG16-X14</t>
        </is>
      </c>
      <c r="B201" s="77" t="inlineStr">
        <is>
          <t>RG16</t>
        </is>
      </c>
      <c r="C201" s="77" t="inlineStr">
        <is>
          <t>Nottingham</t>
        </is>
      </c>
      <c r="D201" s="77" t="inlineStr">
        <is>
          <t>UK – Russell Group</t>
        </is>
      </c>
      <c r="E201" s="77" t="inlineStr">
        <is>
          <t>Law: Clinical Legal Education module / Pro Bono Society clinic</t>
        </is>
      </c>
      <c r="F201" s="77" t="inlineStr">
        <is>
          <t>No</t>
        </is>
      </c>
      <c r="G201" s="77" t="inlineStr"/>
      <c r="H201" s="77" t="inlineStr">
        <is>
          <t>Simulation/virtual</t>
        </is>
      </c>
      <c r="I201" s="77" t="inlineStr">
        <is>
          <t>Module simulates a law clinic; Pro Bono clinic is voluntary advice to the public; 50-hour placements individual.</t>
        </is>
      </c>
      <c r="J201" s="77" t="inlineStr">
        <is>
          <t>https://www.nottingham.ac.uk/ugstudy/course/Law-LLB</t>
        </is>
      </c>
      <c r="K201" s="77" t="inlineStr"/>
    </row>
    <row r="202">
      <c r="A202" s="77" t="inlineStr">
        <is>
          <t>RG16-X15</t>
        </is>
      </c>
      <c r="B202" s="77" t="inlineStr">
        <is>
          <t>RG16</t>
        </is>
      </c>
      <c r="C202" s="77" t="inlineStr">
        <is>
          <t>Nottingham</t>
        </is>
      </c>
      <c r="D202" s="77" t="inlineStr">
        <is>
          <t>UK – Russell Group</t>
        </is>
      </c>
      <c r="E202" s="77" t="inlineStr">
        <is>
          <t>Faculty of Social Sciences placements; Arts Digital Hub volunteering</t>
        </is>
      </c>
      <c r="F202" s="77" t="inlineStr">
        <is>
          <t>No</t>
        </is>
      </c>
      <c r="G202" s="77" t="inlineStr"/>
      <c r="H202" s="77" t="inlineStr">
        <is>
          <t>Placement/internship</t>
        </is>
      </c>
      <c r="I202" s="77" t="inlineStr">
        <is>
          <t>Individual placements/volunteering; Arts Digital Hub projects with internal and external partners lack group/client detail.</t>
        </is>
      </c>
      <c r="J202" s="77" t="inlineStr">
        <is>
          <t>https://blogs.nottingham.ac.uk/fossplacementsblog/</t>
        </is>
      </c>
      <c r="K202" s="77" t="inlineStr"/>
    </row>
    <row r="203">
      <c r="A203" s="77" t="inlineStr">
        <is>
          <t>RG16-X16</t>
        </is>
      </c>
      <c r="B203" s="77" t="inlineStr">
        <is>
          <t>RG16</t>
        </is>
      </c>
      <c r="C203" s="77" t="inlineStr">
        <is>
          <t>Nottingham</t>
        </is>
      </c>
      <c r="D203" s="77" t="inlineStr">
        <is>
          <t>UK – Russell Group</t>
        </is>
      </c>
      <c r="E203" s="77" t="inlineStr">
        <is>
          <t>Medicine/Nursing interprofessional learning</t>
        </is>
      </c>
      <c r="F203" s="77" t="inlineStr">
        <is>
          <t>No</t>
        </is>
      </c>
      <c r="G203" s="77" t="inlineStr"/>
      <c r="H203" s="77" t="inlineStr">
        <is>
          <t>Near-miss: no external org</t>
        </is>
      </c>
      <c r="I203" s="77" t="inlineStr">
        <is>
          <t>Interdisciplinary group work with no external client.</t>
        </is>
      </c>
      <c r="J203" s="77" t="inlineStr">
        <is>
          <t>https://www.nottingham.ac.uk/studywithus/ugstudy/courses/UG/Medicine-BMBS.html</t>
        </is>
      </c>
      <c r="K203" s="77" t="inlineStr"/>
    </row>
    <row r="204">
      <c r="A204" s="77" t="inlineStr">
        <is>
          <t>RG16-X17</t>
        </is>
      </c>
      <c r="B204" s="77" t="inlineStr">
        <is>
          <t>RG16</t>
        </is>
      </c>
      <c r="C204" s="77" t="inlineStr">
        <is>
          <t>Nottingham</t>
        </is>
      </c>
      <c r="D204" s="77" t="inlineStr">
        <is>
          <t>UK – Russell Group</t>
        </is>
      </c>
      <c r="E204" s="77" t="inlineStr">
        <is>
          <t>Industrial placements / Year in Industry; industrially linked PhDs and CASE studentships</t>
        </is>
      </c>
      <c r="F204" s="77" t="inlineStr">
        <is>
          <t>No</t>
        </is>
      </c>
      <c r="G204" s="77" t="inlineStr"/>
      <c r="H204" s="77" t="inlineStr">
        <is>
          <t>Placement/internship</t>
        </is>
      </c>
      <c r="I204" s="77" t="inlineStr">
        <is>
          <t>Individual placements and research studentships.</t>
        </is>
      </c>
      <c r="J204" s="77" t="inlineStr">
        <is>
          <t>https://www.nottingham.ac.uk/engineering/industry/industrial-placements/for-business/index.aspx</t>
        </is>
      </c>
      <c r="K204" s="77" t="inlineStr"/>
    </row>
    <row r="205">
      <c r="A205" s="77" t="inlineStr">
        <is>
          <t>RG17-X01</t>
        </is>
      </c>
      <c r="B205" s="77" t="inlineStr">
        <is>
          <t>RG17</t>
        </is>
      </c>
      <c r="C205" s="77" t="inlineStr">
        <is>
          <t>Oxford</t>
        </is>
      </c>
      <c r="D205" s="77" t="inlineStr">
        <is>
          <t>UK – Russell Group</t>
        </is>
      </c>
      <c r="E205" s="77" t="inlineStr">
        <is>
          <t>Micro-Internship Programme</t>
        </is>
      </c>
      <c r="F205" s="77" t="inlineStr">
        <is>
          <t>Yes</t>
        </is>
      </c>
      <c r="G205" s="77" t="n">
        <v>23</v>
      </c>
      <c r="H205" s="77" t="inlineStr">
        <is>
          <t>Placement/internship</t>
        </is>
      </c>
      <c r="I205" s="77" t="inlineStr">
        <is>
          <t>Individual 2-5 day voluntary placements with an employer: the intern assists with and observes a small project and/or work shadowing. A project component exists but is undertaken by an individual intern with host staff (B = No); not a team project.</t>
        </is>
      </c>
      <c r="J205" s="77" t="inlineStr">
        <is>
          <t>https://www.careers.ox.ac.uk/micros</t>
        </is>
      </c>
      <c r="K205" s="77" t="inlineStr">
        <is>
          <t>Current: 2026-27 cycles published (winter 7-11 or 14-18 Dec 2026; spring Mar 2027; summer Jun/Jul 2027) per https://www.careers.ox.ac.uk/the-micro-internship-programme-employer-information</t>
        </is>
      </c>
    </row>
    <row r="206">
      <c r="A206" s="77" t="inlineStr">
        <is>
          <t>RG17-X02</t>
        </is>
      </c>
      <c r="B206" s="77" t="inlineStr">
        <is>
          <t>RG17</t>
        </is>
      </c>
      <c r="C206" s="77" t="inlineStr">
        <is>
          <t>Oxford</t>
        </is>
      </c>
      <c r="D206" s="77" t="inlineStr">
        <is>
          <t>UK – Russell Group</t>
        </is>
      </c>
      <c r="E206" s="77" t="inlineStr">
        <is>
          <t>The Researcher Strategy Consultancy (TRSC; incl. health and life sciences variant)</t>
        </is>
      </c>
      <c r="F206" s="77" t="inlineStr">
        <is>
          <t>No</t>
        </is>
      </c>
      <c r="G206" s="77" t="inlineStr"/>
      <c r="H206" s="77" t="inlineStr">
        <is>
          <t>Evidence gap</t>
        </is>
      </c>
      <c r="I206" s="77" t="inlineStr">
        <is>
          <t>Careers Service consultancy programme for researchers; page labelled 'Programme Paused' and no extract on team structure/clients obtained before search budget ran out.</t>
        </is>
      </c>
      <c r="J206" s="77" t="inlineStr">
        <is>
          <t>https://www.careers.ox.ac.uk/trsc</t>
        </is>
      </c>
      <c r="K206" s="77" t="inlineStr">
        <is>
          <t>Paused (programme page)</t>
        </is>
      </c>
    </row>
    <row r="207">
      <c r="A207" s="77" t="inlineStr">
        <is>
          <t>RG17-X03</t>
        </is>
      </c>
      <c r="B207" s="77" t="inlineStr">
        <is>
          <t>RG17</t>
        </is>
      </c>
      <c r="C207" s="77" t="inlineStr">
        <is>
          <t>Oxford</t>
        </is>
      </c>
      <c r="D207" s="77" t="inlineStr">
        <is>
          <t>UK – Russell Group</t>
        </is>
      </c>
      <c r="E207" s="77" t="inlineStr">
        <is>
          <t>Insight into Strategy and Management / Insight into Consulting and Strategy</t>
        </is>
      </c>
      <c r="F207" s="77" t="inlineStr">
        <is>
          <t>No</t>
        </is>
      </c>
      <c r="G207" s="77" t="inlineStr"/>
      <c r="H207" s="77" t="inlineStr">
        <is>
          <t>Careers service</t>
        </is>
      </c>
      <c r="I207" s="77" t="inlineStr">
        <is>
          <t>Insight/skills programmes; no evidence obtained of a team client project; one variant labelled paused.</t>
        </is>
      </c>
      <c r="J207" s="77" t="inlineStr">
        <is>
          <t>https://www.careers.ox.ac.uk/insight-into-business/</t>
        </is>
      </c>
      <c r="K207" s="77" t="inlineStr">
        <is>
          <t>Paused label</t>
        </is>
      </c>
    </row>
    <row r="208">
      <c r="A208" s="77" t="inlineStr">
        <is>
          <t>RG17-X04</t>
        </is>
      </c>
      <c r="B208" s="77" t="inlineStr">
        <is>
          <t>RG17</t>
        </is>
      </c>
      <c r="C208" s="77" t="inlineStr">
        <is>
          <t>Oxford</t>
        </is>
      </c>
      <c r="D208" s="77" t="inlineStr">
        <is>
          <t>UK – Russell Group</t>
        </is>
      </c>
      <c r="E208" s="77" t="inlineStr">
        <is>
          <t>MSc MMSC Case Studies in Mathematical Modelling / Scientific Computing</t>
        </is>
      </c>
      <c r="F208" s="77" t="inlineStr">
        <is>
          <t>No</t>
        </is>
      </c>
      <c r="G208" s="77" t="inlineStr"/>
      <c r="H208" s="77" t="inlineStr">
        <is>
          <t>Near-miss: no external org</t>
        </is>
      </c>
      <c r="I208" s="77" t="inlineStr">
        <is>
          <t>Group case studies (groups of 4-5; group presentation 20% + individual report) on 'problems of practical interest'; no evidence an external organisation sets or receives them. Industry co-supervision applies only to the individual dissertation ('may be').</t>
        </is>
      </c>
      <c r="J208" s="77" t="inlineStr">
        <is>
          <t>https://courses.maths.ox.ac.uk/mod/book/view.php?id=65607&amp;chapterid=802</t>
        </is>
      </c>
      <c r="K208" s="77" t="inlineStr">
        <is>
          <t>2025-26 handbook</t>
        </is>
      </c>
    </row>
    <row r="209">
      <c r="A209" s="77" t="inlineStr">
        <is>
          <t>RG17-X05</t>
        </is>
      </c>
      <c r="B209" s="77" t="inlineStr">
        <is>
          <t>RG17</t>
        </is>
      </c>
      <c r="C209" s="77" t="inlineStr">
        <is>
          <t>Oxford</t>
        </is>
      </c>
      <c r="D209" s="77" t="inlineStr">
        <is>
          <t>UK – Russell Group</t>
        </is>
      </c>
      <c r="E209" s="77" t="inlineStr">
        <is>
          <t>Oxford Statistical Consultancy</t>
        </is>
      </c>
      <c r="F209" s="77" t="inlineStr">
        <is>
          <t>No</t>
        </is>
      </c>
      <c r="G209" s="77" t="inlineStr"/>
      <c r="H209" s="77" t="inlineStr">
        <is>
          <t>Other</t>
        </is>
      </c>
      <c r="I209" s="77" t="inlineStr">
        <is>
          <t>Staff consultancy service; states it generally does not have capacity to support MSc students; not a student project route.</t>
        </is>
      </c>
      <c r="J209" s="77" t="inlineStr">
        <is>
          <t>https://www.stats.ox.ac.uk/internal-clients</t>
        </is>
      </c>
      <c r="K209" s="77" t="inlineStr"/>
    </row>
    <row r="210">
      <c r="A210" s="77" t="inlineStr">
        <is>
          <t>RG17-X06</t>
        </is>
      </c>
      <c r="B210" s="77" t="inlineStr">
        <is>
          <t>RG17</t>
        </is>
      </c>
      <c r="C210" s="77" t="inlineStr">
        <is>
          <t>Oxford</t>
        </is>
      </c>
      <c r="D210" s="77" t="inlineStr">
        <is>
          <t>UK – Russell Group</t>
        </is>
      </c>
      <c r="E210" s="77" t="inlineStr">
        <is>
          <t>Oxford Global Private Equity Challenge</t>
        </is>
      </c>
      <c r="F210" s="77" t="inlineStr">
        <is>
          <t>No</t>
        </is>
      </c>
      <c r="G210" s="77" t="inlineStr"/>
      <c r="H210" s="77" t="inlineStr">
        <is>
          <t>Event/competition without live client</t>
        </is>
      </c>
      <c r="I210" s="77" t="inlineStr">
        <is>
          <t>Competition hosted by Saïd for full-time business-school postgraduates (teams of 3-4); no evidence of a live client setting its own problem; open to external business schools.</t>
        </is>
      </c>
      <c r="J210" s="77" t="inlineStr">
        <is>
          <t>https://www.sbs.ox.ac.uk/events/oxford-global-private-equity-challenge-2026</t>
        </is>
      </c>
      <c r="K210" s="77" t="inlineStr">
        <is>
          <t>2026 edition</t>
        </is>
      </c>
    </row>
    <row r="211">
      <c r="A211" s="77" t="inlineStr">
        <is>
          <t>RG17-X07</t>
        </is>
      </c>
      <c r="B211" s="77" t="inlineStr">
        <is>
          <t>RG17</t>
        </is>
      </c>
      <c r="C211" s="77" t="inlineStr">
        <is>
          <t>Oxford</t>
        </is>
      </c>
      <c r="D211" s="77" t="inlineStr">
        <is>
          <t>UK – Russell Group</t>
        </is>
      </c>
      <c r="E211" s="77" t="inlineStr">
        <is>
          <t>Oxford Scenarios Programme (executive education)</t>
        </is>
      </c>
      <c r="F211" s="77" t="inlineStr">
        <is>
          <t>No</t>
        </is>
      </c>
      <c r="G211" s="77" t="inlineStr"/>
      <c r="H211" s="77" t="inlineStr">
        <is>
          <t>Other</t>
        </is>
      </c>
      <c r="I211" s="77" t="inlineStr">
        <is>
          <t>Non-degree executive education (group work on a strategic issue for a real-world client); out of scope for student provision.</t>
        </is>
      </c>
      <c r="J211" s="77" t="inlineStr">
        <is>
          <t>https://www.sbs.ox.ac.uk/programmes/executive-education/person-programmes/oxford-scenarios-programme</t>
        </is>
      </c>
      <c r="K211" s="77" t="inlineStr"/>
    </row>
    <row r="212">
      <c r="A212" s="77" t="inlineStr">
        <is>
          <t>RG17-X08</t>
        </is>
      </c>
      <c r="B212" s="77" t="inlineStr">
        <is>
          <t>RG17</t>
        </is>
      </c>
      <c r="C212" s="77" t="inlineStr">
        <is>
          <t>Oxford</t>
        </is>
      </c>
      <c r="D212" s="77" t="inlineStr">
        <is>
          <t>UK – Russell Group</t>
        </is>
      </c>
      <c r="E212" s="77" t="inlineStr">
        <is>
          <t>Blavatnik MPP Policy Report (Policy Challenge II)</t>
        </is>
      </c>
      <c r="F212" s="77" t="inlineStr">
        <is>
          <t>No</t>
        </is>
      </c>
      <c r="G212" s="77" t="inlineStr"/>
      <c r="H212" s="77" t="inlineStr">
        <is>
          <t>Near-miss: not group</t>
        </is>
      </c>
      <c r="I212" s="77" t="inlineStr">
        <is>
          <t>Externally hosted placement or desk research (113 host organisations 2025) producing an individual 4,500-word report; only one team example (Samagra) evidenced, so group route not established.</t>
        </is>
      </c>
      <c r="J212" s="77" t="inlineStr">
        <is>
          <t>https://www.bsg.ox.ac.uk/study/mpp/policy-report</t>
        </is>
      </c>
      <c r="K212" s="77" t="inlineStr">
        <is>
          <t>2025</t>
        </is>
      </c>
    </row>
    <row r="213">
      <c r="A213" s="77" t="inlineStr">
        <is>
          <t>RG17-X09</t>
        </is>
      </c>
      <c r="B213" s="77" t="inlineStr">
        <is>
          <t>RG17</t>
        </is>
      </c>
      <c r="C213" s="77" t="inlineStr">
        <is>
          <t>Oxford</t>
        </is>
      </c>
      <c r="D213" s="77" t="inlineStr">
        <is>
          <t>UK – Russell Group</t>
        </is>
      </c>
      <c r="E213" s="77" t="inlineStr">
        <is>
          <t>Saïd Business School Strategic Consulting Projects (development.sbs.ox.ac.uk)</t>
        </is>
      </c>
      <c r="F213" s="77" t="inlineStr">
        <is>
          <t>No</t>
        </is>
      </c>
      <c r="G213" s="77" t="inlineStr"/>
      <c r="H213" s="77" t="inlineStr">
        <is>
          <t>Evidence gap</t>
        </is>
      </c>
      <c r="I213" s="77" t="inlineStr">
        <is>
          <t>Client-facing page: 4-6 students per project; likely the MBA SCP (S5) but not verified as same record.</t>
        </is>
      </c>
      <c r="J213" s="77" t="inlineStr">
        <is>
          <t>https://development.sbs.ox.ac.uk/strategic-consulting-projects/index.html</t>
        </is>
      </c>
      <c r="K213" s="77" t="inlineStr"/>
    </row>
    <row r="214">
      <c r="A214" s="77" t="inlineStr">
        <is>
          <t>RG18-X01</t>
        </is>
      </c>
      <c r="B214" s="77" t="inlineStr">
        <is>
          <t>RG18</t>
        </is>
      </c>
      <c r="C214" s="77" t="inlineStr">
        <is>
          <t>Queen Mary University of London</t>
        </is>
      </c>
      <c r="D214" s="77" t="inlineStr">
        <is>
          <t>UK – Russell Group</t>
        </is>
      </c>
      <c r="E214" s="77" t="inlineStr">
        <is>
          <t>QInterns</t>
        </is>
      </c>
      <c r="F214" s="77" t="inlineStr">
        <is>
          <t>Yes</t>
        </is>
      </c>
      <c r="G214" s="77" t="n">
        <v>44</v>
      </c>
      <c r="H214" s="77" t="inlineStr">
        <is>
          <t>Placement/internship</t>
        </is>
      </c>
      <c r="I214" s="77" t="inlineStr">
        <is>
          <t>Central internship scheme; individual workplace roles with no project/group component evidenced (criteria A and B not met).</t>
        </is>
      </c>
      <c r="J214" s="77" t="inlineStr">
        <is>
          <t>https://www.qmul.ac.uk/careers/find-opportunities/current-opportunities/</t>
        </is>
      </c>
      <c r="K214" s="77" t="inlineStr">
        <is>
          <t>Not researched further.</t>
        </is>
      </c>
    </row>
    <row r="215">
      <c r="A215" s="77" t="inlineStr">
        <is>
          <t>RG18-X02</t>
        </is>
      </c>
      <c r="B215" s="77" t="inlineStr">
        <is>
          <t>RG18</t>
        </is>
      </c>
      <c r="C215" s="77" t="inlineStr">
        <is>
          <t>Queen Mary University of London</t>
        </is>
      </c>
      <c r="D215" s="77" t="inlineStr">
        <is>
          <t>UK – Russell Group</t>
        </is>
      </c>
      <c r="E215" s="77" t="inlineStr">
        <is>
          <t>EECS MSc project with industry</t>
        </is>
      </c>
      <c r="F215" s="77" t="inlineStr">
        <is>
          <t>No</t>
        </is>
      </c>
      <c r="G215" s="77" t="inlineStr"/>
      <c r="H215" s="77" t="inlineStr">
        <is>
          <t>Near-miss: not group</t>
        </is>
      </c>
      <c r="I215" s="77" t="inlineStr">
        <is>
          <t>Industry co-supervised MSc project with company site option, but described as individual student projects selected by partner; no team working evidenced.</t>
        </is>
      </c>
      <c r="J215" s="77" t="inlineStr">
        <is>
          <t>https://www.qmul.ac.uk/eecs/postgraduate/msc-project-with-industry/</t>
        </is>
      </c>
      <c r="K215" s="77" t="inlineStr">
        <is>
          <t>Jan-Aug part-time then full-time; not paid.</t>
        </is>
      </c>
    </row>
    <row r="216">
      <c r="A216" s="77" t="inlineStr">
        <is>
          <t>RG18-X03</t>
        </is>
      </c>
      <c r="B216" s="77" t="inlineStr">
        <is>
          <t>RG18</t>
        </is>
      </c>
      <c r="C216" s="77" t="inlineStr">
        <is>
          <t>Queen Mary University of London</t>
        </is>
      </c>
      <c r="D216" s="77" t="inlineStr">
        <is>
          <t>UK – Russell Group</t>
        </is>
      </c>
      <c r="E216" s="77" t="inlineStr">
        <is>
          <t>ECS506U Software Engineering Project</t>
        </is>
      </c>
      <c r="F216" s="77" t="inlineStr">
        <is>
          <t>No</t>
        </is>
      </c>
      <c r="G216" s="77" t="inlineStr"/>
      <c r="H216" s="77" t="inlineStr">
        <is>
          <t>Evidence gap</t>
        </is>
      </c>
      <c r="I216" s="77" t="inlineStr">
        <is>
          <t>Groups of six solve a significant software problem (B, A likely) but no external organisation evidenced as brief-setter.</t>
        </is>
      </c>
      <c r="J216" s="77" t="inlineStr">
        <is>
          <t>http://eecs.qmul.ac.uk/undergraduate/programmes/module-information/items/ecs506u-software-engineering-project.html</t>
        </is>
      </c>
      <c r="K216" s="77" t="inlineStr"/>
    </row>
    <row r="217">
      <c r="A217" s="77" t="inlineStr">
        <is>
          <t>RG18-X04</t>
        </is>
      </c>
      <c r="B217" s="77" t="inlineStr">
        <is>
          <t>RG18</t>
        </is>
      </c>
      <c r="C217" s="77" t="inlineStr">
        <is>
          <t>Queen Mary University of London</t>
        </is>
      </c>
      <c r="D217" s="77" t="inlineStr">
        <is>
          <t>UK – Russell Group</t>
        </is>
      </c>
      <c r="E217" s="77" t="inlineStr">
        <is>
          <t>DEN327 Studio Practice Year 3: Industry Related Design Project</t>
        </is>
      </c>
      <c r="F217" s="77" t="inlineStr">
        <is>
          <t>No</t>
        </is>
      </c>
      <c r="G217" s="77" t="inlineStr"/>
      <c r="H217" s="77" t="inlineStr">
        <is>
          <t>Evidence gap</t>
        </is>
      </c>
      <c r="I217" s="77" t="inlineStr">
        <is>
          <t>Core 30-credit module in Design Engineering with industry-related title; no partner brief, group structure or external participation found (DEN329 is individual version).</t>
        </is>
      </c>
      <c r="J217" s="77" t="inlineStr">
        <is>
          <t>https://www.qmul.ac.uk/undergraduate/coursefinder/courses/2027/design-engineering/</t>
        </is>
      </c>
      <c r="K217" s="77" t="inlineStr"/>
    </row>
    <row r="218">
      <c r="A218" s="77" t="inlineStr">
        <is>
          <t>RG18-X05</t>
        </is>
      </c>
      <c r="B218" s="77" t="inlineStr">
        <is>
          <t>RG18</t>
        </is>
      </c>
      <c r="C218" s="77" t="inlineStr">
        <is>
          <t>Queen Mary University of London</t>
        </is>
      </c>
      <c r="D218" s="77" t="inlineStr">
        <is>
          <t>UK – Russell Group</t>
        </is>
      </c>
      <c r="E218" s="77" t="inlineStr">
        <is>
          <t>Queen Mary Legal Advice Centre</t>
        </is>
      </c>
      <c r="F218" s="77" t="inlineStr">
        <is>
          <t>No</t>
        </is>
      </c>
      <c r="G218" s="77" t="inlineStr"/>
      <c r="H218" s="77" t="inlineStr">
        <is>
          <t>Near-miss: not group</t>
        </is>
      </c>
      <c r="I218" s="77" t="inlineStr">
        <is>
          <t>Supervised casework for individual clients/public; client letters of advice; no team project for an organisation evidenced.</t>
        </is>
      </c>
      <c r="J218" s="77" t="inlineStr">
        <is>
          <t>https://www.qmul.ac.uk/lac/</t>
        </is>
      </c>
      <c r="K218" s="77" t="inlineStr"/>
    </row>
    <row r="219">
      <c r="A219" s="77" t="inlineStr">
        <is>
          <t>RG18-X06</t>
        </is>
      </c>
      <c r="B219" s="77" t="inlineStr">
        <is>
          <t>RG18</t>
        </is>
      </c>
      <c r="C219" s="77" t="inlineStr">
        <is>
          <t>Queen Mary University of London</t>
        </is>
      </c>
      <c r="D219" s="77" t="inlineStr">
        <is>
          <t>UK – Russell Group</t>
        </is>
      </c>
      <c r="E219" s="77" t="inlineStr">
        <is>
          <t>qLegal pro bono commercial law clinic</t>
        </is>
      </c>
      <c r="F219" s="77" t="inlineStr">
        <is>
          <t>No</t>
        </is>
      </c>
      <c r="G219" s="77" t="inlineStr"/>
      <c r="H219" s="77" t="inlineStr">
        <is>
          <t>Evidence gap</t>
        </is>
      </c>
      <c r="I219" s="77" t="inlineStr">
        <is>
          <t>PG law students advise start-ups and entrepreneurs, sometimes in interdisciplinary teams, but advice/externship format; project output, credit and current delivery not established.</t>
        </is>
      </c>
      <c r="J219" s="77" t="inlineStr">
        <is>
          <t>https://www.qmul.ac.uk/publicengagement/blog/archive/items/qlegal-free-legal-advice-and-the-entrepreneurship-community.html</t>
        </is>
      </c>
      <c r="K219" s="77" t="inlineStr">
        <is>
          <t>Some pages ~2019.</t>
        </is>
      </c>
    </row>
    <row r="220">
      <c r="A220" s="77" t="inlineStr">
        <is>
          <t>RG18-X07</t>
        </is>
      </c>
      <c r="B220" s="77" t="inlineStr">
        <is>
          <t>RG18</t>
        </is>
      </c>
      <c r="C220" s="77" t="inlineStr">
        <is>
          <t>Queen Mary University of London</t>
        </is>
      </c>
      <c r="D220" s="77" t="inlineStr">
        <is>
          <t>UK – Russell Group</t>
        </is>
      </c>
      <c r="E220" s="77" t="inlineStr">
        <is>
          <t>MSc Natural Capital and Sustainability research project</t>
        </is>
      </c>
      <c r="F220" s="77" t="inlineStr">
        <is>
          <t>No</t>
        </is>
      </c>
      <c r="G220" s="77" t="inlineStr"/>
      <c r="H220" s="77" t="inlineStr">
        <is>
          <t>Dissertation/research</t>
        </is>
      </c>
      <c r="I220" s="77" t="inlineStr">
        <is>
          <t>Individual research project that may be done with a sustainability organisation 'where appropriate'; not group, partner optional.</t>
        </is>
      </c>
      <c r="J220" s="77" t="inlineStr">
        <is>
          <t>https://www.qmul.ac.uk/postgraduate/taught/coursefinder/courses/natural-capital-and-sustainability-msc/</t>
        </is>
      </c>
      <c r="K220" s="77" t="inlineStr">
        <is>
          <t>Programme launches Sept 2026.</t>
        </is>
      </c>
    </row>
    <row r="221">
      <c r="A221" s="77" t="inlineStr">
        <is>
          <t>RG18-X08</t>
        </is>
      </c>
      <c r="B221" s="77" t="inlineStr">
        <is>
          <t>RG18</t>
        </is>
      </c>
      <c r="C221" s="77" t="inlineStr">
        <is>
          <t>Queen Mary University of London</t>
        </is>
      </c>
      <c r="D221" s="77" t="inlineStr">
        <is>
          <t>UK – Russell Group</t>
        </is>
      </c>
      <c r="E221" s="77" t="inlineStr">
        <is>
          <t>Politics Civil Society placement module</t>
        </is>
      </c>
      <c r="F221" s="77" t="inlineStr">
        <is>
          <t>No</t>
        </is>
      </c>
      <c r="G221" s="77" t="inlineStr"/>
      <c r="H221" s="77" t="inlineStr">
        <is>
          <t>Placement/internship</t>
        </is>
      </c>
      <c r="I221" s="77" t="inlineStr">
        <is>
          <t>Individual placement 2 days/week with local organisation; no group project.</t>
        </is>
      </c>
      <c r="J221" s="77" t="inlineStr">
        <is>
          <t>https://www.qmul.ac.uk/about/for-east-london/education-and-students/community-engaged-teaching/</t>
        </is>
      </c>
      <c r="K221" s="77" t="inlineStr"/>
    </row>
    <row r="222">
      <c r="A222" s="77" t="inlineStr">
        <is>
          <t>RG18-X09</t>
        </is>
      </c>
      <c r="B222" s="77" t="inlineStr">
        <is>
          <t>RG18</t>
        </is>
      </c>
      <c r="C222" s="77" t="inlineStr">
        <is>
          <t>Queen Mary University of London</t>
        </is>
      </c>
      <c r="D222" s="77" t="inlineStr">
        <is>
          <t>UK – Russell Group</t>
        </is>
      </c>
      <c r="E222" s="77" t="inlineStr">
        <is>
          <t>SBBS Year in Industry (SBC5001/BMD5555)</t>
        </is>
      </c>
      <c r="F222" s="77" t="inlineStr">
        <is>
          <t>No</t>
        </is>
      </c>
      <c r="G222" s="77" t="inlineStr"/>
      <c r="H222" s="77" t="inlineStr">
        <is>
          <t>Placement/internship</t>
        </is>
      </c>
      <c r="I222" s="77" t="inlineStr">
        <is>
          <t>Individual 10-12 month placement; no group project.</t>
        </is>
      </c>
      <c r="J222" s="77" t="inlineStr">
        <is>
          <t>https://www.qmul.ac.uk/sbbs/undergraduate/year-in-industry/</t>
        </is>
      </c>
      <c r="K222" s="77" t="inlineStr"/>
    </row>
    <row r="223">
      <c r="A223" s="77" t="inlineStr">
        <is>
          <t>RG18-X10</t>
        </is>
      </c>
      <c r="B223" s="77" t="inlineStr">
        <is>
          <t>RG18</t>
        </is>
      </c>
      <c r="C223" s="77" t="inlineStr">
        <is>
          <t>Queen Mary University of London</t>
        </is>
      </c>
      <c r="D223" s="77" t="inlineStr">
        <is>
          <t>UK – Russell Group</t>
        </is>
      </c>
      <c r="E223" s="77" t="inlineStr">
        <is>
          <t>Dentistry PTSR community project (10 hours volunteering)</t>
        </is>
      </c>
      <c r="F223" s="77" t="inlineStr">
        <is>
          <t>No</t>
        </is>
      </c>
      <c r="G223" s="77" t="inlineStr"/>
      <c r="H223" s="77" t="inlineStr">
        <is>
          <t>Volunteering/service-learning</t>
        </is>
      </c>
      <c r="I223" s="77" t="inlineStr">
        <is>
          <t>Individual voluntary hours at a community project of choice; no group project.</t>
        </is>
      </c>
      <c r="J223" s="77" t="inlineStr">
        <is>
          <t>https://www.qmul.ac.uk/queenmaryacademy/educators/resources/graduate-attributes/all-case-studies/socially-responsible-dentists/</t>
        </is>
      </c>
      <c r="K223" s="77" t="inlineStr"/>
    </row>
    <row r="224">
      <c r="A224" s="77" t="inlineStr">
        <is>
          <t>RG19-X01</t>
        </is>
      </c>
      <c r="B224" s="77" t="inlineStr">
        <is>
          <t>RG19</t>
        </is>
      </c>
      <c r="C224" s="77" t="inlineStr">
        <is>
          <t>Queen’s University Belfast</t>
        </is>
      </c>
      <c r="D224" s="77" t="inlineStr">
        <is>
          <t>UK – Russell Group</t>
        </is>
      </c>
      <c r="E224" s="77" t="inlineStr">
        <is>
          <t>Future-Ready Award</t>
        </is>
      </c>
      <c r="F224" s="77" t="inlineStr">
        <is>
          <t>Yes</t>
        </is>
      </c>
      <c r="G224" s="77" t="n">
        <v>25</v>
      </c>
      <c r="H224" s="77" t="inlineStr">
        <is>
          <t>Employability award</t>
        </is>
      </c>
      <c r="I224" s="77" t="inlineStr">
        <is>
          <t>Co-curricular recognition framework (1,000+ awards/yr, 100+ accredited activities per legacy); it recognises other activities rather than being a project scheme. Qualifying underlying activities (e.g. Real-World Consultancy Programme, S1) are recorded separately.</t>
        </is>
      </c>
      <c r="J224" s="77" t="inlineStr">
        <is>
          <t>https://www.qub.ac.uk/directorates/future-ready-award/</t>
        </is>
      </c>
      <c r="K224" s="77" t="inlineStr">
        <is>
          <t>Undated page</t>
        </is>
      </c>
    </row>
    <row r="225">
      <c r="A225" s="77" t="inlineStr">
        <is>
          <t>RG19-X02</t>
        </is>
      </c>
      <c r="B225" s="77" t="inlineStr">
        <is>
          <t>RG19</t>
        </is>
      </c>
      <c r="C225" s="77" t="inlineStr">
        <is>
          <t>Queen’s University Belfast</t>
        </is>
      </c>
      <c r="D225" s="77" t="inlineStr">
        <is>
          <t>UK – Russell Group</t>
        </is>
      </c>
      <c r="E225" s="77" t="inlineStr">
        <is>
          <t>Stock Market Challenge (Careers)</t>
        </is>
      </c>
      <c r="F225" s="77" t="inlineStr">
        <is>
          <t>No</t>
        </is>
      </c>
      <c r="G225" s="77" t="inlineStr"/>
      <c r="H225" s="77" t="inlineStr">
        <is>
          <t>Event/competition without live client</t>
        </is>
      </c>
      <c r="I225" s="77" t="inlineStr">
        <is>
          <t>Pairs/teams compete on an investment simulation; no external organisation brief evidenced.</t>
        </is>
      </c>
      <c r="J225" s="77" t="inlineStr">
        <is>
          <t>https://www.qub.ac.uk/directorates/sgc/careers/recruit-queens-students/AccessSkills/</t>
        </is>
      </c>
      <c r="K225" s="77" t="inlineStr"/>
    </row>
    <row r="226">
      <c r="A226" s="77" t="inlineStr">
        <is>
          <t>RG19-X03</t>
        </is>
      </c>
      <c r="B226" s="77" t="inlineStr">
        <is>
          <t>RG19</t>
        </is>
      </c>
      <c r="C226" s="77" t="inlineStr">
        <is>
          <t>Queen’s University Belfast</t>
        </is>
      </c>
      <c r="D226" s="77" t="inlineStr">
        <is>
          <t>UK – Russell Group</t>
        </is>
      </c>
      <c r="E226" s="77" t="inlineStr">
        <is>
          <t>MSc Data Analytics Work Based Project / 12-week industry placement</t>
        </is>
      </c>
      <c r="F226" s="77" t="inlineStr">
        <is>
          <t>No</t>
        </is>
      </c>
      <c r="G226" s="77" t="inlineStr"/>
      <c r="H226" s="77" t="inlineStr">
        <is>
          <t>Near-miss: not group</t>
        </is>
      </c>
      <c r="I226" s="77" t="inlineStr">
        <is>
          <t>Project with external organisation proposed by the organisation with company mentor, but described as individual placement/report.</t>
        </is>
      </c>
      <c r="J226" s="77" t="inlineStr">
        <is>
          <t>https://www.qub.ac.uk/courses/postgraduate-taught/data-analytics-msc/</t>
        </is>
      </c>
      <c r="K226" s="77" t="inlineStr"/>
    </row>
    <row r="227">
      <c r="A227" s="77" t="inlineStr">
        <is>
          <t>RG19-X04</t>
        </is>
      </c>
      <c r="B227" s="77" t="inlineStr">
        <is>
          <t>RG19</t>
        </is>
      </c>
      <c r="C227" s="77" t="inlineStr">
        <is>
          <t>Queen’s University Belfast</t>
        </is>
      </c>
      <c r="D227" s="77" t="inlineStr">
        <is>
          <t>UK – Russell Group</t>
        </is>
      </c>
      <c r="E227" s="77" t="inlineStr">
        <is>
          <t>MSc Software Development (AI) summer project</t>
        </is>
      </c>
      <c r="F227" s="77" t="inlineStr">
        <is>
          <t>No</t>
        </is>
      </c>
      <c r="G227" s="77" t="inlineStr"/>
      <c r="H227" s="77" t="inlineStr">
        <is>
          <t>Near-miss: not group</t>
        </is>
      </c>
      <c r="I227" s="77" t="inlineStr">
        <is>
          <t>60-credit individual software development project, many in collaboration with industry partners.</t>
        </is>
      </c>
      <c r="J227" s="77" t="inlineStr">
        <is>
          <t>https://www.qub.ac.uk/courses/postgraduate-taught/2026/software-development-ai-msc/</t>
        </is>
      </c>
      <c r="K227" s="77" t="inlineStr"/>
    </row>
    <row r="228">
      <c r="A228" s="77" t="inlineStr">
        <is>
          <t>RG19-X05</t>
        </is>
      </c>
      <c r="B228" s="77" t="inlineStr">
        <is>
          <t>RG19</t>
        </is>
      </c>
      <c r="C228" s="77" t="inlineStr">
        <is>
          <t>Queen’s University Belfast</t>
        </is>
      </c>
      <c r="D228" s="77" t="inlineStr">
        <is>
          <t>UK – Russell Group</t>
        </is>
      </c>
      <c r="E228" s="77" t="inlineStr">
        <is>
          <t>Industrial and Green Chemistry team problem (Medicinal Chemistry with a Year in Industry)</t>
        </is>
      </c>
      <c r="F228" s="77" t="inlineStr">
        <is>
          <t>No</t>
        </is>
      </c>
      <c r="G228" s="77" t="inlineStr"/>
      <c r="H228" s="77" t="inlineStr">
        <is>
          <t>Near-miss: no external org</t>
        </is>
      </c>
      <c r="I228" s="77" t="inlineStr">
        <is>
          <t>Teams solve a problem 'framed as coming from a company' and give poster presentations; hypothetical company, no external organisation evidenced.</t>
        </is>
      </c>
      <c r="J228" s="77" t="inlineStr">
        <is>
          <t>https://www.qub.ac.uk/courses/undergraduate/medicinal-chemistry-year-industry-mchem-f15c/</t>
        </is>
      </c>
      <c r="K228" s="77" t="inlineStr"/>
    </row>
    <row r="229">
      <c r="A229" s="77" t="inlineStr">
        <is>
          <t>RG19-X06</t>
        </is>
      </c>
      <c r="B229" s="77" t="inlineStr">
        <is>
          <t>RG19</t>
        </is>
      </c>
      <c r="C229" s="77" t="inlineStr">
        <is>
          <t>Queen’s University Belfast</t>
        </is>
      </c>
      <c r="D229" s="77" t="inlineStr">
        <is>
          <t>UK – Russell Group</t>
        </is>
      </c>
      <c r="E229" s="77" t="inlineStr">
        <is>
          <t>Business Management with Placement: Consultancy and problem solving (20 credits)</t>
        </is>
      </c>
      <c r="F229" s="77" t="inlineStr">
        <is>
          <t>No</t>
        </is>
      </c>
      <c r="G229" s="77" t="inlineStr"/>
      <c r="H229" s="77" t="inlineStr">
        <is>
          <t>Evidence gap</t>
        </is>
      </c>
      <c r="I229" s="77" t="inlineStr">
        <is>
          <t>Teaches consulting methods and client-proposal skills; no external client evidenced for the assessment.</t>
        </is>
      </c>
      <c r="J229" s="77" t="inlineStr">
        <is>
          <t>https://www.qub.ac.uk/courses/undergraduate/business-management-placement-bsc-n202/</t>
        </is>
      </c>
      <c r="K229" s="77" t="inlineStr"/>
    </row>
    <row r="230">
      <c r="A230" s="77" t="inlineStr">
        <is>
          <t>RG19-X07</t>
        </is>
      </c>
      <c r="B230" s="77" t="inlineStr">
        <is>
          <t>RG19</t>
        </is>
      </c>
      <c r="C230" s="77" t="inlineStr">
        <is>
          <t>Queen’s University Belfast</t>
        </is>
      </c>
      <c r="D230" s="77" t="inlineStr">
        <is>
          <t>UK – Russell Group</t>
        </is>
      </c>
      <c r="E230" s="77" t="inlineStr">
        <is>
          <t>MSc Management Consultancy Based Report (MGT9202) and MBA consultancy project option</t>
        </is>
      </c>
      <c r="F230" s="77" t="inlineStr">
        <is>
          <t>No</t>
        </is>
      </c>
      <c r="G230" s="77" t="inlineStr"/>
      <c r="H230" s="77" t="inlineStr">
        <is>
          <t>Evidence gap</t>
        </is>
      </c>
      <c r="I230" s="77" t="inlineStr">
        <is>
          <t>60-credit consultancy route / optional consultancy dissertation (MBA pays own travel); no evidence of live clients or team delivery seen.</t>
        </is>
      </c>
      <c r="J230" s="77" t="inlineStr">
        <is>
          <t>https://www.qub.ac.uk/courses/postgraduate-taught/master-business-administration-mba/</t>
        </is>
      </c>
      <c r="K230" s="77" t="inlineStr"/>
    </row>
    <row r="231">
      <c r="A231" s="77" t="inlineStr">
        <is>
          <t>RG19-X08</t>
        </is>
      </c>
      <c r="B231" s="77" t="inlineStr">
        <is>
          <t>RG19</t>
        </is>
      </c>
      <c r="C231" s="77" t="inlineStr">
        <is>
          <t>Queen’s University Belfast</t>
        </is>
      </c>
      <c r="D231" s="77" t="inlineStr">
        <is>
          <t>UK – Russell Group</t>
        </is>
      </c>
      <c r="E231" s="77" t="inlineStr">
        <is>
          <t>MSc Planning and Development live planning problems</t>
        </is>
      </c>
      <c r="F231" s="77" t="inlineStr">
        <is>
          <t>No</t>
        </is>
      </c>
      <c r="G231" s="77" t="inlineStr"/>
      <c r="H231" s="77" t="inlineStr">
        <is>
          <t>Evidence gap</t>
        </is>
      </c>
      <c r="I231" s="77" t="inlineStr">
        <is>
          <t>Programme-level marketing refers to live problems and a local-authority Development Plan exercise; no module-level extract on client or group working.</t>
        </is>
      </c>
      <c r="J231" s="77" t="inlineStr">
        <is>
          <t>https://www.qub.ac.uk/courses/postgraduate-taught/planning-development-msc/</t>
        </is>
      </c>
      <c r="K231" s="77" t="inlineStr"/>
    </row>
    <row r="232">
      <c r="A232" s="77" t="inlineStr">
        <is>
          <t>RG19-X09</t>
        </is>
      </c>
      <c r="B232" s="77" t="inlineStr">
        <is>
          <t>RG19</t>
        </is>
      </c>
      <c r="C232" s="77" t="inlineStr">
        <is>
          <t>Queen’s University Belfast</t>
        </is>
      </c>
      <c r="D232" s="77" t="inlineStr">
        <is>
          <t>UK – Russell Group</t>
        </is>
      </c>
      <c r="E232" s="77" t="inlineStr">
        <is>
          <t>Software engineering first-year Deloitte brief / EWB Design Challenge (CSC2058)</t>
        </is>
      </c>
      <c r="F232" s="77" t="inlineStr">
        <is>
          <t>No</t>
        </is>
      </c>
      <c r="G232" s="77" t="inlineStr"/>
      <c r="H232" s="77" t="inlineStr">
        <is>
          <t>Evidence gap</t>
        </is>
      </c>
      <c r="I232" s="77" t="inlineStr">
        <is>
          <t>Deloitte-briefed first-year group work (page ~1,200 days old) and Engineering Without Borders challenge within CSC2058 group project: no current-year evidence of external organisation role.</t>
        </is>
      </c>
      <c r="J232" s="77" t="inlineStr">
        <is>
          <t>https://www.qub.ac.uk/research-centres/ces/CaseStudies/EngineeringWithoutBordersEWBDesignChallengeatEEECS/</t>
        </is>
      </c>
      <c r="K232" s="77" t="inlineStr">
        <is>
          <t>Historical/undated</t>
        </is>
      </c>
    </row>
    <row r="233">
      <c r="A233" s="77" t="inlineStr">
        <is>
          <t>RG19-X10</t>
        </is>
      </c>
      <c r="B233" s="77" t="inlineStr">
        <is>
          <t>RG19</t>
        </is>
      </c>
      <c r="C233" s="77" t="inlineStr">
        <is>
          <t>Queen’s University Belfast</t>
        </is>
      </c>
      <c r="D233" s="77" t="inlineStr">
        <is>
          <t>UK – Russell Group</t>
        </is>
      </c>
      <c r="E233" s="77" t="inlineStr">
        <is>
          <t>EEE final-year projects (Megaw Lecture) with industry support</t>
        </is>
      </c>
      <c r="F233" s="77" t="inlineStr">
        <is>
          <t>No</t>
        </is>
      </c>
      <c r="G233" s="77" t="inlineStr"/>
      <c r="H233" s="77" t="inlineStr">
        <is>
          <t>Evidence gap</t>
        </is>
      </c>
      <c r="I233" s="77" t="inlineStr">
        <is>
          <t>Industry judges and sponsors at showcase; no evidence that organisations set briefs or that projects are group-based.</t>
        </is>
      </c>
      <c r="J233" s="77" t="inlineStr">
        <is>
          <t>https://www.qub.ac.uk/schools/eeecs/News/EEEstudentsshowcasedprojectsattheMegawLecture2025withsupportfromindustrypartners.html</t>
        </is>
      </c>
      <c r="K233" s="77" t="inlineStr"/>
    </row>
    <row r="234">
      <c r="A234" s="77" t="inlineStr">
        <is>
          <t>RG19-X11</t>
        </is>
      </c>
      <c r="B234" s="77" t="inlineStr">
        <is>
          <t>RG19</t>
        </is>
      </c>
      <c r="C234" s="77" t="inlineStr">
        <is>
          <t>Queen’s University Belfast</t>
        </is>
      </c>
      <c r="D234" s="77" t="inlineStr">
        <is>
          <t>UK – Russell Group</t>
        </is>
      </c>
      <c r="E234" s="77" t="inlineStr">
        <is>
          <t>Chemical Engineering plant design groups</t>
        </is>
      </c>
      <c r="F234" s="77" t="inlineStr">
        <is>
          <t>No</t>
        </is>
      </c>
      <c r="G234" s="77" t="inlineStr"/>
      <c r="H234" s="77" t="inlineStr">
        <is>
          <t>Near-miss: no external org</t>
        </is>
      </c>
      <c r="I234" s="77" t="inlineStr">
        <is>
          <t>Groups of five design a chemical plant under academic supervision; no external client or industrial mentor evidenced.</t>
        </is>
      </c>
      <c r="J234" s="77" t="inlineStr">
        <is>
          <t>https://www.qub.ac.uk/courses/undergraduate/chemical-engineering-meng-h802/</t>
        </is>
      </c>
      <c r="K234" s="77" t="inlineStr"/>
    </row>
    <row r="235">
      <c r="A235" s="77" t="inlineStr">
        <is>
          <t>RG19-X12</t>
        </is>
      </c>
      <c r="B235" s="77" t="inlineStr">
        <is>
          <t>RG19</t>
        </is>
      </c>
      <c r="C235" s="77" t="inlineStr">
        <is>
          <t>Queen’s University Belfast</t>
        </is>
      </c>
      <c r="D235" s="77" t="inlineStr">
        <is>
          <t>UK – Russell Group</t>
        </is>
      </c>
      <c r="E235" s="77" t="inlineStr">
        <is>
          <t>Physics/Maths projects with outside organisations</t>
        </is>
      </c>
      <c r="F235" s="77" t="inlineStr">
        <is>
          <t>No</t>
        </is>
      </c>
      <c r="G235" s="77" t="inlineStr"/>
      <c r="H235" s="77" t="inlineStr">
        <is>
          <t>Near-miss: not group</t>
        </is>
      </c>
      <c r="I235" s="77" t="inlineStr">
        <is>
          <t>Individual projects with external bodies (e.g. Central Laser Facility, NI Cancer Centre) if approved; group projects are internal modelling.</t>
        </is>
      </c>
      <c r="J235" s="77" t="inlineStr">
        <is>
          <t>https://www.qub.ac.uk/courses/undergraduate/physics-mphys-f303/</t>
        </is>
      </c>
      <c r="K235" s="77" t="inlineStr"/>
    </row>
    <row r="236">
      <c r="A236" s="77" t="inlineStr">
        <is>
          <t>RG19-X13</t>
        </is>
      </c>
      <c r="B236" s="77" t="inlineStr">
        <is>
          <t>RG19</t>
        </is>
      </c>
      <c r="C236" s="77" t="inlineStr">
        <is>
          <t>Queen’s University Belfast</t>
        </is>
      </c>
      <c r="D236" s="77" t="inlineStr">
        <is>
          <t>UK – Russell Group</t>
        </is>
      </c>
      <c r="E236" s="77" t="inlineStr">
        <is>
          <t>Industry-linked MSc Industrial Pharmaceutics / Pharmaceutical Analysis projects</t>
        </is>
      </c>
      <c r="F236" s="77" t="inlineStr">
        <is>
          <t>No</t>
        </is>
      </c>
      <c r="G236" s="77" t="inlineStr"/>
      <c r="H236" s="77" t="inlineStr">
        <is>
          <t>Near-miss: not group</t>
        </is>
      </c>
      <c r="I236" s="77" t="inlineStr">
        <is>
          <t>Individual research projects possibly with industry partners.</t>
        </is>
      </c>
      <c r="J236" s="77" t="inlineStr">
        <is>
          <t>https://www.qub.ac.uk/courses/postgraduate-taught/industrial-pharmaceutical-biotechnology-msc/</t>
        </is>
      </c>
      <c r="K236" s="77" t="inlineStr"/>
    </row>
    <row r="237">
      <c r="A237" s="77" t="inlineStr">
        <is>
          <t>RG19-X14</t>
        </is>
      </c>
      <c r="B237" s="77" t="inlineStr">
        <is>
          <t>RG19</t>
        </is>
      </c>
      <c r="C237" s="77" t="inlineStr">
        <is>
          <t>Queen’s University Belfast</t>
        </is>
      </c>
      <c r="D237" s="77" t="inlineStr">
        <is>
          <t>UK – Russell Group</t>
        </is>
      </c>
      <c r="E237" s="77" t="inlineStr">
        <is>
          <t>Law: Clinical Law placement (Law Centre NI), Victims' Rights Law Clinic, GLAN clinical project</t>
        </is>
      </c>
      <c r="F237" s="77" t="inlineStr">
        <is>
          <t>No</t>
        </is>
      </c>
      <c r="G237" s="77" t="inlineStr"/>
      <c r="H237" s="77" t="inlineStr">
        <is>
          <t>Placement/internship</t>
        </is>
      </c>
      <c r="I237" s="77" t="inlineStr">
        <is>
          <t>Placement-based or historical (clinic evidence 2016/17); GLAN project is a small postgraduate group but no project/team detail seen.</t>
        </is>
      </c>
      <c r="J237" s="77" t="inlineStr">
        <is>
          <t>https://www.qub.ac.uk/schools/SchoolofLaw/news/archive-22-25/GLAN.html</t>
        </is>
      </c>
      <c r="K237" s="77" t="inlineStr"/>
    </row>
    <row r="238">
      <c r="A238" s="77" t="inlineStr">
        <is>
          <t>RG19-X15</t>
        </is>
      </c>
      <c r="B238" s="77" t="inlineStr">
        <is>
          <t>RG19</t>
        </is>
      </c>
      <c r="C238" s="77" t="inlineStr">
        <is>
          <t>Queen’s University Belfast</t>
        </is>
      </c>
      <c r="D238" s="77" t="inlineStr">
        <is>
          <t>UK – Russell Group</t>
        </is>
      </c>
      <c r="E238" s="77" t="inlineStr">
        <is>
          <t>Politics / Public History placements</t>
        </is>
      </c>
      <c r="F238" s="77" t="inlineStr">
        <is>
          <t>No</t>
        </is>
      </c>
      <c r="G238" s="77" t="inlineStr"/>
      <c r="H238" s="77" t="inlineStr">
        <is>
          <t>Placement/internship</t>
        </is>
      </c>
      <c r="I238" s="77" t="inlineStr">
        <is>
          <t>Individual placements with partner organisations (Ulster Museum, Titanic Belfast, PRONI) or dissertation alternative.</t>
        </is>
      </c>
      <c r="J238" s="77" t="inlineStr">
        <is>
          <t>https://www.qub.ac.uk/courses/postgraduate-taught/public-history-ma/</t>
        </is>
      </c>
      <c r="K238" s="77" t="inlineStr"/>
    </row>
    <row r="239">
      <c r="A239" s="77" t="inlineStr">
        <is>
          <t>RG19-X16</t>
        </is>
      </c>
      <c r="B239" s="77" t="inlineStr">
        <is>
          <t>RG19</t>
        </is>
      </c>
      <c r="C239" s="77" t="inlineStr">
        <is>
          <t>Queen’s University Belfast</t>
        </is>
      </c>
      <c r="D239" s="77" t="inlineStr">
        <is>
          <t>UK – Russell Group</t>
        </is>
      </c>
      <c r="E239" s="77" t="inlineStr">
        <is>
          <t>Architecture live projects / Civil Engineering group design exercises</t>
        </is>
      </c>
      <c r="F239" s="77" t="inlineStr">
        <is>
          <t>No</t>
        </is>
      </c>
      <c r="G239" s="77" t="inlineStr"/>
      <c r="H239" s="77" t="inlineStr">
        <is>
          <t>Evidence gap</t>
        </is>
      </c>
      <c r="I239" s="77" t="inlineStr">
        <is>
          <t>General statements of live projects and team design exercises; no specific external-client module found.</t>
        </is>
      </c>
      <c r="J239" s="77" t="inlineStr">
        <is>
          <t>https://www.qub.ac.uk/schools/NBE/Disciplines/Architecture/</t>
        </is>
      </c>
      <c r="K239" s="77" t="inlineStr"/>
    </row>
    <row r="240">
      <c r="A240" s="77" t="inlineStr">
        <is>
          <t>RG19-X17</t>
        </is>
      </c>
      <c r="B240" s="77" t="inlineStr">
        <is>
          <t>RG19</t>
        </is>
      </c>
      <c r="C240" s="77" t="inlineStr">
        <is>
          <t>Queen’s University Belfast</t>
        </is>
      </c>
      <c r="D240" s="77" t="inlineStr">
        <is>
          <t>UK – Russell Group</t>
        </is>
      </c>
      <c r="E240" s="77" t="inlineStr">
        <is>
          <t>Queen's Global Leadership Programme (Careers)</t>
        </is>
      </c>
      <c r="F240" s="77" t="inlineStr">
        <is>
          <t>No</t>
        </is>
      </c>
      <c r="G240" s="77" t="inlineStr"/>
      <c r="H240" s="77" t="inlineStr">
        <is>
          <t>Evidence gap</t>
        </is>
      </c>
      <c r="I240" s="77" t="inlineStr">
        <is>
          <t>Students create a proposal and pitch to a professional panel; organisation brief and group structure not evidenced.</t>
        </is>
      </c>
      <c r="J240" s="77" t="inlineStr">
        <is>
          <t>https://www.qub.ac.uk/directorates/future-ready-award/activity-search-tool/activities/QueensGlobalLeadershipProgrammeCareersProgramme.html</t>
        </is>
      </c>
      <c r="K240" s="77" t="inlineStr"/>
    </row>
    <row r="241">
      <c r="A241" s="77" t="inlineStr">
        <is>
          <t>RG20-X01</t>
        </is>
      </c>
      <c r="B241" s="77" t="inlineStr">
        <is>
          <t>RG20</t>
        </is>
      </c>
      <c r="C241" s="77" t="inlineStr">
        <is>
          <t>Sheffield</t>
        </is>
      </c>
      <c r="D241" s="77" t="inlineStr">
        <is>
          <t>UK – Russell Group</t>
        </is>
      </c>
      <c r="E241" s="77" t="inlineStr">
        <is>
          <t>Emerge: Be enterprising (incl. Idea Bootcamp, Apprentice Challenge, founder pathways, Business Awards Showcase)</t>
        </is>
      </c>
      <c r="F241" s="77" t="inlineStr">
        <is>
          <t>Yes</t>
        </is>
      </c>
      <c r="G241" s="77" t="n">
        <v>50</v>
      </c>
      <c r="H241" s="77" t="inlineStr">
        <is>
          <t>Entrepreneurship/incubator</t>
        </is>
      </c>
      <c r="I241" s="77" t="inlineStr">
        <is>
          <t>Central entrepreneurship programme supporting students' own ventures; the Apprentice Challenge is a 10-day £10 profit contest (solo or small teams) with no external client brief; Awards Showcase is pitching to investors. Fails C (no external organisation sets brief or receives outputs) and is venture support rather than a client project.</t>
        </is>
      </c>
      <c r="J241" s="77" t="inlineStr">
        <is>
          <t>https://sheffield.ac.uk/entrepreneurship/events-competitions/apprentice-challenge</t>
        </is>
      </c>
      <c r="K241" s="77" t="inlineStr">
        <is>
          <t>2026 Awards Showcase confirmed on Emerge pages; Apprentice Challenge page appears to describe the 2025 round</t>
        </is>
      </c>
    </row>
    <row r="242">
      <c r="A242" s="77" t="inlineStr">
        <is>
          <t>RG20-X02</t>
        </is>
      </c>
      <c r="B242" s="77" t="inlineStr">
        <is>
          <t>RG20</t>
        </is>
      </c>
      <c r="C242" s="77" t="inlineStr">
        <is>
          <t>Sheffield</t>
        </is>
      </c>
      <c r="D242" s="77" t="inlineStr">
        <is>
          <t>UK – Russell Group</t>
        </is>
      </c>
      <c r="E242" s="77" t="inlineStr">
        <is>
          <t>Management School 'Host a student project' (company-based dissertation)</t>
        </is>
      </c>
      <c r="F242" s="77" t="inlineStr">
        <is>
          <t>No</t>
        </is>
      </c>
      <c r="G242" s="77" t="inlineStr"/>
      <c r="H242" s="77" t="inlineStr">
        <is>
          <t>Dissertation/research</t>
        </is>
      </c>
      <c r="I242" s="77" t="inlineStr">
        <is>
          <t>Organisations host a dissertation-style project (around three months, June-August) with a report to the organisation; individual dissertation, fails B.</t>
        </is>
      </c>
      <c r="J242" s="77" t="inlineStr">
        <is>
          <t>https://www.sheffield.ac.uk/management/partnerships/host-student-project</t>
        </is>
      </c>
      <c r="K242" s="77" t="inlineStr"/>
    </row>
    <row r="243">
      <c r="A243" s="77" t="inlineStr">
        <is>
          <t>RG20-X03</t>
        </is>
      </c>
      <c r="B243" s="77" t="inlineStr">
        <is>
          <t>RG20</t>
        </is>
      </c>
      <c r="C243" s="77" t="inlineStr">
        <is>
          <t>Sheffield</t>
        </is>
      </c>
      <c r="D243" s="77" t="inlineStr">
        <is>
          <t>UK – Russell Group</t>
        </is>
      </c>
      <c r="E243" s="77" t="inlineStr">
        <is>
          <t>International Business Management with Study Abroad BA final project</t>
        </is>
      </c>
      <c r="F243" s="77" t="inlineStr">
        <is>
          <t>No</t>
        </is>
      </c>
      <c r="G243" s="77" t="inlineStr"/>
      <c r="H243" s="77" t="inlineStr">
        <is>
          <t>Near-miss: not group</t>
        </is>
      </c>
      <c r="I243" s="77" t="inlineStr">
        <is>
          <t>Students address a management problem independently and report recommendations to the chosen organisation; individual (B=No).</t>
        </is>
      </c>
      <c r="J243" s="77" t="inlineStr">
        <is>
          <t>https://sheffield.ac.uk/undergraduate/courses/2026/international-business-management-study-abroad-ba</t>
        </is>
      </c>
      <c r="K243" s="77" t="inlineStr">
        <is>
          <t>2026 entry</t>
        </is>
      </c>
    </row>
    <row r="244">
      <c r="A244" s="77" t="inlineStr">
        <is>
          <t>RG20-X04</t>
        </is>
      </c>
      <c r="B244" s="77" t="inlineStr">
        <is>
          <t>RG20</t>
        </is>
      </c>
      <c r="C244" s="77" t="inlineStr">
        <is>
          <t>Sheffield</t>
        </is>
      </c>
      <c r="D244" s="77" t="inlineStr">
        <is>
          <t>UK – Russell Group</t>
        </is>
      </c>
      <c r="E244" s="77" t="inlineStr">
        <is>
          <t>Business Management BA Final Year Challenge; Case Studies in Accounting and Consultancy</t>
        </is>
      </c>
      <c r="F244" s="77" t="inlineStr">
        <is>
          <t>No</t>
        </is>
      </c>
      <c r="G244" s="77" t="inlineStr"/>
      <c r="H244" s="77" t="inlineStr">
        <is>
          <t>Evidence gap</t>
        </is>
      </c>
      <c r="I244" s="77" t="inlineStr">
        <is>
          <t>Listings do not mention external client organisations (case studies are teaching cases); C not evidenced.</t>
        </is>
      </c>
      <c r="J244" s="77" t="inlineStr">
        <is>
          <t>https://sheffield.ac.uk/undergraduate/courses/2027/business-management-ba</t>
        </is>
      </c>
      <c r="K244" s="77" t="inlineStr"/>
    </row>
    <row r="245">
      <c r="A245" s="77" t="inlineStr">
        <is>
          <t>RG20-X05</t>
        </is>
      </c>
      <c r="B245" s="77" t="inlineStr">
        <is>
          <t>RG20</t>
        </is>
      </c>
      <c r="C245" s="77" t="inlineStr">
        <is>
          <t>Sheffield</t>
        </is>
      </c>
      <c r="D245" s="77" t="inlineStr">
        <is>
          <t>UK – Russell Group</t>
        </is>
      </c>
      <c r="E245" s="77" t="inlineStr">
        <is>
          <t>SLT CDT Consultancy Hub</t>
        </is>
      </c>
      <c r="F245" s="77" t="inlineStr">
        <is>
          <t>No</t>
        </is>
      </c>
      <c r="G245" s="77" t="inlineStr"/>
      <c r="H245" s="77" t="inlineStr">
        <is>
          <t>Evidence gap</t>
        </is>
      </c>
      <c r="I245" s="77" t="inlineStr">
        <is>
          <t>PhD students run a consultancy service producing written technology-recommendation reports for 'clients'; team structure and whether clients are external organisations not evidenced; undated.</t>
        </is>
      </c>
      <c r="J245" s="77" t="inlineStr">
        <is>
          <t>https://slt-cdt.sheffield.ac.uk/training/slt-hub</t>
        </is>
      </c>
      <c r="K245" s="77" t="inlineStr">
        <is>
          <t>undated</t>
        </is>
      </c>
    </row>
    <row r="246">
      <c r="A246" s="77" t="inlineStr">
        <is>
          <t>RG20-X06</t>
        </is>
      </c>
      <c r="B246" s="77" t="inlineStr">
        <is>
          <t>RG20</t>
        </is>
      </c>
      <c r="C246" s="77" t="inlineStr">
        <is>
          <t>Sheffield</t>
        </is>
      </c>
      <c r="D246" s="77" t="inlineStr">
        <is>
          <t>UK – Russell Group</t>
        </is>
      </c>
      <c r="E246" s="77" t="inlineStr">
        <is>
          <t>Molecules to Market (Biology/Chemistry/Psychology second-year module)</t>
        </is>
      </c>
      <c r="F246" s="77" t="inlineStr">
        <is>
          <t>No</t>
        </is>
      </c>
      <c r="G246" s="77" t="inlineStr"/>
      <c r="H246" s="77" t="inlineStr">
        <is>
          <t>Near-miss: no external org</t>
        </is>
      </c>
      <c r="I246" s="77" t="inlineStr">
        <is>
          <t>Teams develop and pitch business concepts applying science commercially at a poster day; no evidence an external organisation sets the brief or receives outputs.</t>
        </is>
      </c>
      <c r="J246" s="77" t="inlineStr">
        <is>
          <t>https://www.sheffield.ac.uk/biosciences/news/student-teams-pitch-innovative-business-ideas-applying-science-industry</t>
        </is>
      </c>
      <c r="K246" s="77" t="inlineStr"/>
    </row>
    <row r="247">
      <c r="A247" s="77" t="inlineStr">
        <is>
          <t>RG20-X07</t>
        </is>
      </c>
      <c r="B247" s="77" t="inlineStr">
        <is>
          <t>RG20</t>
        </is>
      </c>
      <c r="C247" s="77" t="inlineStr">
        <is>
          <t>Sheffield</t>
        </is>
      </c>
      <c r="D247" s="77" t="inlineStr">
        <is>
          <t>UK – Russell Group</t>
        </is>
      </c>
      <c r="E247" s="77" t="inlineStr">
        <is>
          <t>Professional Skills for Bioscientists (team project); MBiolSci final-year project with industry</t>
        </is>
      </c>
      <c r="F247" s="77" t="inlineStr">
        <is>
          <t>No</t>
        </is>
      </c>
      <c r="G247" s="77" t="inlineStr"/>
      <c r="H247" s="77" t="inlineStr">
        <is>
          <t>Near-miss: no external org</t>
        </is>
      </c>
      <c r="I247" s="77" t="inlineStr">
        <is>
          <t>Team project addresses a UN SDG with no client; MBiolSci project 'can be' with industry and is an individual research project.</t>
        </is>
      </c>
      <c r="J247" s="77" t="inlineStr">
        <is>
          <t>https://sheffield.ac.uk/undergraduate/courses/2027/biological-sciences-bsc</t>
        </is>
      </c>
      <c r="K247" s="77" t="inlineStr"/>
    </row>
    <row r="248">
      <c r="A248" s="77" t="inlineStr">
        <is>
          <t>RG20-X08</t>
        </is>
      </c>
      <c r="B248" s="77" t="inlineStr">
        <is>
          <t>RG20</t>
        </is>
      </c>
      <c r="C248" s="77" t="inlineStr">
        <is>
          <t>Sheffield</t>
        </is>
      </c>
      <c r="D248" s="77" t="inlineStr">
        <is>
          <t>UK – Russell Group</t>
        </is>
      </c>
      <c r="E248" s="77" t="inlineStr">
        <is>
          <t>Social Sciences BA team qualitative project / applied methods module</t>
        </is>
      </c>
      <c r="F248" s="77" t="inlineStr">
        <is>
          <t>No</t>
        </is>
      </c>
      <c r="G248" s="77" t="inlineStr"/>
      <c r="H248" s="77" t="inlineStr">
        <is>
          <t>Evidence gap</t>
        </is>
      </c>
      <c r="I248" s="77" t="inlineStr">
        <is>
          <t>Team qualitative project with knowledge-exchange emphasis whose assessment 'could be useful to an outside organisation'; external organisation participation not evidenced (C Unclear at best).</t>
        </is>
      </c>
      <c r="J248" s="77" t="inlineStr">
        <is>
          <t>https://sheffield.ac.uk/undergraduate/courses/2027/social-sciences-ba</t>
        </is>
      </c>
      <c r="K248" s="77" t="inlineStr">
        <is>
          <t>2027 entry</t>
        </is>
      </c>
    </row>
    <row r="249">
      <c r="A249" s="77" t="inlineStr">
        <is>
          <t>RG20-X09</t>
        </is>
      </c>
      <c r="B249" s="77" t="inlineStr">
        <is>
          <t>RG20</t>
        </is>
      </c>
      <c r="C249" s="77" t="inlineStr">
        <is>
          <t>Sheffield</t>
        </is>
      </c>
      <c r="D249" s="77" t="inlineStr">
        <is>
          <t>UK – Russell Group</t>
        </is>
      </c>
      <c r="E249" s="77" t="inlineStr">
        <is>
          <t>Psychology BSc optional modules with community partners</t>
        </is>
      </c>
      <c r="F249" s="77" t="inlineStr">
        <is>
          <t>No</t>
        </is>
      </c>
      <c r="G249" s="77" t="inlineStr"/>
      <c r="H249" s="77" t="inlineStr">
        <is>
          <t>Evidence gap</t>
        </is>
      </c>
      <c r="I249" s="77" t="inlineStr">
        <is>
          <t>Optional modules 'can involve' project work for an organisation or community group; group format and standard partner involvement not evidenced.</t>
        </is>
      </c>
      <c r="J249" s="77" t="inlineStr">
        <is>
          <t>https://sheffield.ac.uk/undergraduate/courses/2027/psychology-bsc</t>
        </is>
      </c>
      <c r="K249" s="77" t="inlineStr"/>
    </row>
    <row r="250">
      <c r="A250" s="77" t="inlineStr">
        <is>
          <t>RG20-X10</t>
        </is>
      </c>
      <c r="B250" s="77" t="inlineStr">
        <is>
          <t>RG20</t>
        </is>
      </c>
      <c r="C250" s="77" t="inlineStr">
        <is>
          <t>Sheffield</t>
        </is>
      </c>
      <c r="D250" s="77" t="inlineStr">
        <is>
          <t>UK – Russell Group</t>
        </is>
      </c>
      <c r="E250" s="77" t="inlineStr">
        <is>
          <t>Transforming and Activating Places (TAP)</t>
        </is>
      </c>
      <c r="F250" s="77" t="inlineStr">
        <is>
          <t>No</t>
        </is>
      </c>
      <c r="G250" s="77" t="inlineStr"/>
      <c r="H250" s="77" t="inlineStr">
        <is>
          <t>Placement/internship</t>
        </is>
      </c>
      <c r="I250" s="77" t="inlineStr">
        <is>
          <t>Three-week individual internships with placemaking/heritage partners for widening-participation undergraduates; no group project evidenced.</t>
        </is>
      </c>
      <c r="J250" s="77" t="inlineStr">
        <is>
          <t>https://sheffield.ac.uk/arts-humanities/schools-and-outreach/transforming-and-activating-places-tap</t>
        </is>
      </c>
      <c r="K250" s="77" t="inlineStr"/>
    </row>
    <row r="251">
      <c r="A251" s="77" t="inlineStr">
        <is>
          <t>RG20-X11</t>
        </is>
      </c>
      <c r="B251" s="77" t="inlineStr">
        <is>
          <t>RG20</t>
        </is>
      </c>
      <c r="C251" s="77" t="inlineStr">
        <is>
          <t>Sheffield</t>
        </is>
      </c>
      <c r="D251" s="77" t="inlineStr">
        <is>
          <t>UK – Russell Group</t>
        </is>
      </c>
      <c r="E251" s="77" t="inlineStr">
        <is>
          <t>Sheffield Digital Justice (Law pro bono)</t>
        </is>
      </c>
      <c r="F251" s="77" t="inlineStr">
        <is>
          <t>No</t>
        </is>
      </c>
      <c r="G251" s="77" t="inlineStr"/>
      <c r="H251" s="77" t="inlineStr">
        <is>
          <t>Evidence gap</t>
        </is>
      </c>
      <c r="I251" s="77" t="inlineStr">
        <is>
          <t>Semester- or year-long projects that 'often' involve external partners (e.g., lawtech companies) with University teams and CS students; group format and standard external partnering not established (C Unclear).</t>
        </is>
      </c>
      <c r="J251" s="77" t="inlineStr">
        <is>
          <t>https://sheffield.ac.uk/law/pro-bono/sheffield-digital-justice</t>
        </is>
      </c>
      <c r="K251" s="77" t="inlineStr">
        <is>
          <t>undated</t>
        </is>
      </c>
    </row>
    <row r="252">
      <c r="A252" s="77" t="inlineStr">
        <is>
          <t>RG20-X12</t>
        </is>
      </c>
      <c r="B252" s="77" t="inlineStr">
        <is>
          <t>RG20</t>
        </is>
      </c>
      <c r="C252" s="77" t="inlineStr">
        <is>
          <t>Sheffield</t>
        </is>
      </c>
      <c r="D252" s="77" t="inlineStr">
        <is>
          <t>UK – Russell Group</t>
        </is>
      </c>
      <c r="E252" s="77" t="inlineStr">
        <is>
          <t>FreeLaw and CommLaw clinics; Special Project: Pro Bono module</t>
        </is>
      </c>
      <c r="F252" s="77" t="inlineStr">
        <is>
          <t>No</t>
        </is>
      </c>
      <c r="G252" s="77" t="inlineStr"/>
      <c r="H252" s="77" t="inlineStr">
        <is>
          <t>Volunteering/service-learning</t>
        </is>
      </c>
      <c r="I252" s="77" t="inlineStr">
        <is>
          <t>Advice-only student clinics for individual/small-business clients; pro bono module states project work itself is not assessed. No team project with organisational client evidenced.</t>
        </is>
      </c>
      <c r="J252" s="77" t="inlineStr">
        <is>
          <t>https://sheffield.ac.uk/law/pro-bono/other-pro-bono-schemes</t>
        </is>
      </c>
      <c r="K252" s="77" t="inlineStr"/>
    </row>
    <row r="253">
      <c r="A253" s="77" t="inlineStr">
        <is>
          <t>RG20-X13</t>
        </is>
      </c>
      <c r="B253" s="77" t="inlineStr">
        <is>
          <t>RG20</t>
        </is>
      </c>
      <c r="C253" s="77" t="inlineStr">
        <is>
          <t>Sheffield</t>
        </is>
      </c>
      <c r="D253" s="77" t="inlineStr">
        <is>
          <t>UK – Russell Group</t>
        </is>
      </c>
      <c r="E253" s="77" t="inlineStr">
        <is>
          <t>Careers 'Offer a project' / Ambition Internship Programme / SME Summer Internship</t>
        </is>
      </c>
      <c r="F253" s="77" t="inlineStr">
        <is>
          <t>No</t>
        </is>
      </c>
      <c r="G253" s="77" t="inlineStr"/>
      <c r="H253" s="77" t="inlineStr">
        <is>
          <t>Placement/internship</t>
        </is>
      </c>
      <c r="I253" s="77" t="inlineStr">
        <is>
          <t>Employer-facing routes connecting SMEs with a student or graduate for internships (70-hour) or projects; individual, not group.</t>
        </is>
      </c>
      <c r="J253" s="77" t="inlineStr">
        <is>
          <t>https://sheffield.ac.uk/careers/employers/sme</t>
        </is>
      </c>
      <c r="K253" s="77" t="inlineStr">
        <is>
          <t>Ambition Internship applications open 2026</t>
        </is>
      </c>
    </row>
    <row r="254">
      <c r="A254" s="77" t="inlineStr">
        <is>
          <t>RG20-X14</t>
        </is>
      </c>
      <c r="B254" s="77" t="inlineStr">
        <is>
          <t>RG20</t>
        </is>
      </c>
      <c r="C254" s="77" t="inlineStr">
        <is>
          <t>Sheffield</t>
        </is>
      </c>
      <c r="D254" s="77" t="inlineStr">
        <is>
          <t>UK – Russell Group</t>
        </is>
      </c>
      <c r="E254" s="77" t="inlineStr">
        <is>
          <t>General Engineering MEng Interdisciplinary Group Design Project; Materials Science MEng industrial training projects</t>
        </is>
      </c>
      <c r="F254" s="77" t="inlineStr">
        <is>
          <t>No</t>
        </is>
      </c>
      <c r="G254" s="77" t="inlineStr"/>
      <c r="H254" s="77" t="inlineStr">
        <is>
          <t>Evidence gap</t>
        </is>
      </c>
      <c r="I254" s="77" t="inlineStr">
        <is>
          <t>General Engineering group project: 'some projects may include industrial involvement' (C Unclear). Materials: groups work with materials companies on industrial training projects, but project output/format not evidenced; not checked further (search budget exhausted).</t>
        </is>
      </c>
      <c r="J254" s="77" t="inlineStr">
        <is>
          <t>https://sheffield.ac.uk/undergraduate/courses/2026/general-engineering-meng-hons</t>
        </is>
      </c>
      <c r="K254" s="77" t="inlineStr">
        <is>
          <t>2026 entry</t>
        </is>
      </c>
    </row>
    <row r="255">
      <c r="A255" s="77" t="inlineStr">
        <is>
          <t>RG20-X15</t>
        </is>
      </c>
      <c r="B255" s="77" t="inlineStr">
        <is>
          <t>RG20</t>
        </is>
      </c>
      <c r="C255" s="77" t="inlineStr">
        <is>
          <t>Sheffield</t>
        </is>
      </c>
      <c r="D255" s="77" t="inlineStr">
        <is>
          <t>UK – Russell Group</t>
        </is>
      </c>
      <c r="E255" s="77" t="inlineStr">
        <is>
          <t>Information Systems Management MSc</t>
        </is>
      </c>
      <c r="F255" s="77" t="inlineStr">
        <is>
          <t>No</t>
        </is>
      </c>
      <c r="G255" s="77" t="inlineStr"/>
      <c r="H255" s="77" t="inlineStr">
        <is>
          <t>Dissertation/research</t>
        </is>
      </c>
      <c r="I255" s="77" t="inlineStr">
        <is>
          <t>Generic group projects in assessment plus option of dissertation with an external organisation (individual).</t>
        </is>
      </c>
      <c r="J255" s="77" t="inlineStr">
        <is>
          <t>https://sheffield.ac.uk/postgraduate/taught/courses/2027/information-systems-management-msc</t>
        </is>
      </c>
      <c r="K255" s="77" t="inlineStr"/>
    </row>
    <row r="256">
      <c r="A256" s="77" t="inlineStr">
        <is>
          <t>RG21-X01</t>
        </is>
      </c>
      <c r="B256" s="77" t="inlineStr">
        <is>
          <t>RG21</t>
        </is>
      </c>
      <c r="C256" s="77" t="inlineStr">
        <is>
          <t>Southampton</t>
        </is>
      </c>
      <c r="D256" s="77" t="inlineStr">
        <is>
          <t>UK – Russell Group</t>
        </is>
      </c>
      <c r="E256" s="77" t="inlineStr">
        <is>
          <t>Global Legal Clinic (incl. Legal Tech Clinic with Automate Legal; CaseCraft.AI partnership)</t>
        </is>
      </c>
      <c r="F256" s="77" t="inlineStr">
        <is>
          <t>No</t>
        </is>
      </c>
      <c r="G256" s="77" t="inlineStr"/>
      <c r="H256" s="77" t="inlineStr">
        <is>
          <t>Near-miss: no external org</t>
        </is>
      </c>
      <c r="I256" s="77" t="inlineStr">
        <is>
          <t>Students (in pairs, supervised by lawyers) advise real clients who are members of the public on casework - not an organisation-commissioned bounded project; Legal Tech Clinic (Automate Legal) evidence is 2019; CaseCraft.AI (Aug 2025) has students giving feedback on a tool, not a defined group project.</t>
        </is>
      </c>
      <c r="J256" s="77" t="inlineStr">
        <is>
          <t>https://www.southampton.ac.uk/study/facilities/global-legal-clinic</t>
        </is>
      </c>
      <c r="K256" s="77" t="inlineStr">
        <is>
          <t>Open to all Law students; opens each Oct-Mar.</t>
        </is>
      </c>
    </row>
    <row r="257">
      <c r="A257" s="77" t="inlineStr">
        <is>
          <t>RG21-X02</t>
        </is>
      </c>
      <c r="B257" s="77" t="inlineStr">
        <is>
          <t>RG21</t>
        </is>
      </c>
      <c r="C257" s="77" t="inlineStr">
        <is>
          <t>Southampton</t>
        </is>
      </c>
      <c r="D257" s="77" t="inlineStr">
        <is>
          <t>UK – Russell Group</t>
        </is>
      </c>
      <c r="E257" s="77" t="inlineStr">
        <is>
          <t>Decision Analytics and Risk MSc sponsored summer projects / MANG6546 Summer Project</t>
        </is>
      </c>
      <c r="F257" s="77" t="inlineStr">
        <is>
          <t>No</t>
        </is>
      </c>
      <c r="G257" s="77" t="inlineStr"/>
      <c r="H257" s="77" t="inlineStr">
        <is>
          <t>Near-miss: not group</t>
        </is>
      </c>
      <c r="I257" s="77" t="inlineStr">
        <is>
          <t>Three-month sponsor-company project (about 50 a year, all sectors incl. public sector) is an individual dissertation with a company supervisor; no group working evidenced.</t>
        </is>
      </c>
      <c r="J257" s="77" t="inlineStr">
        <is>
          <t>https://www.southampton.ac.uk/business-school/about/departments/decision-analytics-and-risk/enterprise.page</t>
        </is>
      </c>
      <c r="K257" s="77" t="inlineStr">
        <is>
          <t>MANG6546 2025-26 and 2026-27 pages exist.</t>
        </is>
      </c>
    </row>
    <row r="258">
      <c r="A258" s="77" t="inlineStr">
        <is>
          <t>RG21-X03</t>
        </is>
      </c>
      <c r="B258" s="77" t="inlineStr">
        <is>
          <t>RG21</t>
        </is>
      </c>
      <c r="C258" s="77" t="inlineStr">
        <is>
          <t>Southampton</t>
        </is>
      </c>
      <c r="D258" s="77" t="inlineStr">
        <is>
          <t>UK – Russell Group</t>
        </is>
      </c>
      <c r="E258" s="77" t="inlineStr">
        <is>
          <t>MANG6349 Business Project / MANG6518 Marketing Practice-based Project</t>
        </is>
      </c>
      <c r="F258" s="77" t="inlineStr">
        <is>
          <t>No</t>
        </is>
      </c>
      <c r="G258" s="77" t="inlineStr"/>
      <c r="H258" s="77" t="inlineStr">
        <is>
          <t>Near-miss: not group</t>
        </is>
      </c>
      <c r="I258" s="77" t="inlineStr">
        <is>
          <t>MANG6349 is an individual independent project; MANG6518 addresses a real company problem but is 'individually developed' with group-led teaching only.</t>
        </is>
      </c>
      <c r="J258" s="77" t="inlineStr">
        <is>
          <t>https://www.southampton.ac.uk/courses/2026-27/modules/mang6518</t>
        </is>
      </c>
      <c r="K258" s="77" t="inlineStr"/>
    </row>
    <row r="259">
      <c r="A259" s="77" t="inlineStr">
        <is>
          <t>RG21-X04</t>
        </is>
      </c>
      <c r="B259" s="77" t="inlineStr">
        <is>
          <t>RG21</t>
        </is>
      </c>
      <c r="C259" s="77" t="inlineStr">
        <is>
          <t>Southampton</t>
        </is>
      </c>
      <c r="D259" s="77" t="inlineStr">
        <is>
          <t>UK – Russell Group</t>
        </is>
      </c>
      <c r="E259" s="77" t="inlineStr">
        <is>
          <t>MANG6599 / MANG2104 Management Consulting modules</t>
        </is>
      </c>
      <c r="F259" s="77" t="inlineStr">
        <is>
          <t>No</t>
        </is>
      </c>
      <c r="G259" s="77" t="inlineStr"/>
      <c r="H259" s="77" t="inlineStr">
        <is>
          <t>Simulation/virtual</t>
        </is>
      </c>
      <c r="I259" s="77" t="inlineStr">
        <is>
          <t>Role-play scenario with non-assessed group meeting with clients; no live external client.</t>
        </is>
      </c>
      <c r="J259" s="77" t="inlineStr">
        <is>
          <t>https://www.southampton.ac.uk/courses/2026-27/modules/mang6599</t>
        </is>
      </c>
      <c r="K259" s="77" t="inlineStr"/>
    </row>
    <row r="260">
      <c r="A260" s="77" t="inlineStr">
        <is>
          <t>RG21-X05</t>
        </is>
      </c>
      <c r="B260" s="77" t="inlineStr">
        <is>
          <t>RG21</t>
        </is>
      </c>
      <c r="C260" s="77" t="inlineStr">
        <is>
          <t>Southampton</t>
        </is>
      </c>
      <c r="D260" s="77" t="inlineStr">
        <is>
          <t>UK – Russell Group</t>
        </is>
      </c>
      <c r="E260" s="77" t="inlineStr">
        <is>
          <t>Riipen live projects embedded in Business School modules</t>
        </is>
      </c>
      <c r="F260" s="77" t="inlineStr">
        <is>
          <t>No</t>
        </is>
      </c>
      <c r="G260" s="77" t="inlineStr"/>
      <c r="H260" s="77" t="inlineStr">
        <is>
          <t>WIL framework</t>
        </is>
      </c>
      <c r="I260" s="77" t="inlineStr">
        <is>
          <t>2021 partnership news (e.g. MSc HRM students and iSAW on gender equality research) shows live projects through Riipen but no current module-level scheme or evidence of continued delivery found.</t>
        </is>
      </c>
      <c r="J260" s="77" t="inlineStr">
        <is>
          <t>https://www.southampton.ac.uk/business-school/enterprise/work_with_us.page</t>
        </is>
      </c>
      <c r="K260" s="77" t="inlineStr">
        <is>
          <t>Historical (2021).</t>
        </is>
      </c>
    </row>
    <row r="261">
      <c r="A261" s="77" t="inlineStr">
        <is>
          <t>RG21-X06</t>
        </is>
      </c>
      <c r="B261" s="77" t="inlineStr">
        <is>
          <t>RG21</t>
        </is>
      </c>
      <c r="C261" s="77" t="inlineStr">
        <is>
          <t>Southampton</t>
        </is>
      </c>
      <c r="D261" s="77" t="inlineStr">
        <is>
          <t>UK – Russell Group</t>
        </is>
      </c>
      <c r="E261" s="77" t="inlineStr">
        <is>
          <t>External Projects (ARTD3074, BA Graphic Arts)</t>
        </is>
      </c>
      <c r="F261" s="77" t="inlineStr">
        <is>
          <t>No</t>
        </is>
      </c>
      <c r="G261" s="77" t="inlineStr"/>
      <c r="H261" s="77" t="inlineStr">
        <is>
          <t>Evidence gap</t>
        </is>
      </c>
      <c r="I261" s="77" t="inlineStr">
        <is>
          <t>Briefs and competitions set by outside individuals/organisations with industry feedback, but page is 2021-22, assessment is a 100% individual-style portfolio and group working not evidenced.</t>
        </is>
      </c>
      <c r="J261" s="77" t="inlineStr">
        <is>
          <t>https://www.southampton.ac.uk/courses/modules/artd3074</t>
        </is>
      </c>
      <c r="K261" s="77" t="inlineStr">
        <is>
          <t>Undated/2021-22.</t>
        </is>
      </c>
    </row>
    <row r="262">
      <c r="A262" s="77" t="inlineStr">
        <is>
          <t>RG21-X07</t>
        </is>
      </c>
      <c r="B262" s="77" t="inlineStr">
        <is>
          <t>RG21</t>
        </is>
      </c>
      <c r="C262" s="77" t="inlineStr">
        <is>
          <t>Southampton</t>
        </is>
      </c>
      <c r="D262" s="77" t="inlineStr">
        <is>
          <t>UK – Russell Group</t>
        </is>
      </c>
      <c r="E262" s="77" t="inlineStr">
        <is>
          <t>MSc Environmental Consultancy Partnership Projects</t>
        </is>
      </c>
      <c r="F262" s="77" t="inlineStr">
        <is>
          <t>No</t>
        </is>
      </c>
      <c r="G262" s="77" t="inlineStr"/>
      <c r="H262" s="77" t="inlineStr">
        <is>
          <t>Near-miss: not group</t>
        </is>
      </c>
      <c r="I262" s="77" t="inlineStr">
        <is>
          <t>Optional dissertation-style real brief with an external partner; individual research article.</t>
        </is>
      </c>
      <c r="J262" s="77" t="inlineStr">
        <is>
          <t>https://www.southampton.ac.uk/courses/environmental-consultancy-masters-msc</t>
        </is>
      </c>
      <c r="K262" s="77" t="inlineStr"/>
    </row>
    <row r="263">
      <c r="A263" s="77" t="inlineStr">
        <is>
          <t>RG21-X08</t>
        </is>
      </c>
      <c r="B263" s="77" t="inlineStr">
        <is>
          <t>RG21</t>
        </is>
      </c>
      <c r="C263" s="77" t="inlineStr">
        <is>
          <t>Southampton</t>
        </is>
      </c>
      <c r="D263" s="77" t="inlineStr">
        <is>
          <t>UK – Russell Group</t>
        </is>
      </c>
      <c r="E263" s="77" t="inlineStr">
        <is>
          <t>CDT-SIS Group Research Project (FEEG6030)</t>
        </is>
      </c>
      <c r="F263" s="77" t="inlineStr">
        <is>
          <t>No</t>
        </is>
      </c>
      <c r="G263" s="77" t="inlineStr"/>
      <c r="H263" s="77" t="inlineStr">
        <is>
          <t>Evidence gap</t>
        </is>
      </c>
      <c r="I263" s="77" t="inlineStr">
        <is>
          <t>Group project with presentation to an external industry sponsor, but only an undated page was found; sponsor role in setting brief not shown.</t>
        </is>
      </c>
      <c r="J263" s="77" t="inlineStr">
        <is>
          <t>https://www.southampton.ac.uk/courses/modules/feeg6030</t>
        </is>
      </c>
      <c r="K263" s="77" t="inlineStr"/>
    </row>
    <row r="264">
      <c r="A264" s="77" t="inlineStr">
        <is>
          <t>RG21-X09</t>
        </is>
      </c>
      <c r="B264" s="77" t="inlineStr">
        <is>
          <t>RG21</t>
        </is>
      </c>
      <c r="C264" s="77" t="inlineStr">
        <is>
          <t>Southampton</t>
        </is>
      </c>
      <c r="D264" s="77" t="inlineStr">
        <is>
          <t>UK – Russell Group</t>
        </is>
      </c>
      <c r="E264" s="77" t="inlineStr">
        <is>
          <t>ELEC6231 VLSI Design Project, COMP2300 Software Design and Development Project</t>
        </is>
      </c>
      <c r="F264" s="77" t="inlineStr">
        <is>
          <t>No</t>
        </is>
      </c>
      <c r="G264" s="77" t="inlineStr"/>
      <c r="H264" s="77" t="inlineStr">
        <is>
          <t>Near-miss: no external org</t>
        </is>
      </c>
      <c r="I264" s="77" t="inlineStr">
        <is>
          <t>Team projects with no external organisation evidenced in the retrieved extracts.</t>
        </is>
      </c>
      <c r="J264" s="77" t="inlineStr">
        <is>
          <t>https://www.southampton.ac.uk/courses/2026-27/modules/comp2300</t>
        </is>
      </c>
      <c r="K264" s="77" t="inlineStr"/>
    </row>
    <row r="265">
      <c r="A265" s="77" t="inlineStr">
        <is>
          <t>RG21-X10</t>
        </is>
      </c>
      <c r="B265" s="77" t="inlineStr">
        <is>
          <t>RG21</t>
        </is>
      </c>
      <c r="C265" s="77" t="inlineStr">
        <is>
          <t>Southampton</t>
        </is>
      </c>
      <c r="D265" s="77" t="inlineStr">
        <is>
          <t>UK – Russell Group</t>
        </is>
      </c>
      <c r="E265" s="77" t="inlineStr">
        <is>
          <t>Industrial Studies (ELEC3200) / year-in-employment placements and UoS internships</t>
        </is>
      </c>
      <c r="F265" s="77" t="inlineStr">
        <is>
          <t>No</t>
        </is>
      </c>
      <c r="G265" s="77" t="inlineStr"/>
      <c r="H265" s="77" t="inlineStr">
        <is>
          <t>Placement/internship</t>
        </is>
      </c>
      <c r="I265" s="77" t="inlineStr">
        <is>
          <t>Individual placements; no group project component evidenced.</t>
        </is>
      </c>
      <c r="J265" s="77" t="inlineStr">
        <is>
          <t>https://www.southampton.ac.uk/courses/modules/elec3200</t>
        </is>
      </c>
      <c r="K265" s="77" t="inlineStr"/>
    </row>
    <row r="266">
      <c r="A266" s="77" t="inlineStr">
        <is>
          <t>RG22-X01</t>
        </is>
      </c>
      <c r="B266" s="77" t="inlineStr">
        <is>
          <t>RG22</t>
        </is>
      </c>
      <c r="C266" s="77" t="inlineStr">
        <is>
          <t>UCL</t>
        </is>
      </c>
      <c r="D266" s="77" t="inlineStr">
        <is>
          <t>UK – Russell Group</t>
        </is>
      </c>
      <c r="E266" s="77" t="inlineStr">
        <is>
          <t>UCL IXN individual final-year / MSc dissertation projects (CS MSc, Santander etc.)</t>
        </is>
      </c>
      <c r="F266" s="77" t="inlineStr">
        <is>
          <t>No</t>
        </is>
      </c>
      <c r="G266" s="77" t="inlineStr"/>
      <c r="H266" s="77" t="inlineStr">
        <is>
          <t>Near-miss: not group</t>
        </is>
      </c>
      <c r="I266" s="77" t="inlineStr">
        <is>
          <t>Industry-set but individual dissertation projects (e.g. ~15 MSc students/yr on financial-risk projects with Santander); group working not evidenced (A/C Yes, B No).</t>
        </is>
      </c>
      <c r="J266" s="77" t="inlineStr">
        <is>
          <t>https://www.ucl.ac.uk/engineering/computer-science/collaborate/ucl-industry-exchange-network-ucl-ixn/ucl-ixn-case-studies/santander-case-study</t>
        </is>
      </c>
      <c r="K266" s="77" t="inlineStr"/>
    </row>
    <row r="267">
      <c r="A267" s="77" t="inlineStr">
        <is>
          <t>RG22-X02</t>
        </is>
      </c>
      <c r="B267" s="77" t="inlineStr">
        <is>
          <t>RG22</t>
        </is>
      </c>
      <c r="C267" s="77" t="inlineStr">
        <is>
          <t>UCL</t>
        </is>
      </c>
      <c r="D267" s="77" t="inlineStr">
        <is>
          <t>UK – Russell Group</t>
        </is>
      </c>
      <c r="E267" s="77" t="inlineStr">
        <is>
          <t>MSc Business Analytics Consulting Project/Dissertation (MSIN0114)</t>
        </is>
      </c>
      <c r="F267" s="77" t="inlineStr">
        <is>
          <t>No</t>
        </is>
      </c>
      <c r="G267" s="77" t="inlineStr"/>
      <c r="H267" s="77" t="inlineStr">
        <is>
          <t>Near-miss: not group</t>
        </is>
      </c>
      <c r="I267" s="77" t="inlineStr">
        <is>
          <t>Real company projects but an individual (60-credit) dissertation; one student account says partner wanted three students together but separate research questions were required.</t>
        </is>
      </c>
      <c r="J267" s="77" t="inlineStr">
        <is>
          <t>https://www.ucl.ac.uk/prospective-students/graduate/taught-degrees/business-analytics-msc</t>
        </is>
      </c>
      <c r="K267" s="77" t="inlineStr"/>
    </row>
    <row r="268">
      <c r="A268" s="77" t="inlineStr">
        <is>
          <t>RG22-X03</t>
        </is>
      </c>
      <c r="B268" s="77" t="inlineStr">
        <is>
          <t>RG22</t>
        </is>
      </c>
      <c r="C268" s="77" t="inlineStr">
        <is>
          <t>UCL</t>
        </is>
      </c>
      <c r="D268" s="77" t="inlineStr">
        <is>
          <t>UK – Russell Group</t>
        </is>
      </c>
      <c r="E268" s="77" t="inlineStr">
        <is>
          <t>MSc Management optional consultancy project</t>
        </is>
      </c>
      <c r="F268" s="77" t="inlineStr">
        <is>
          <t>No</t>
        </is>
      </c>
      <c r="G268" s="77" t="inlineStr"/>
      <c r="H268" s="77" t="inlineStr">
        <is>
          <t>Evidence gap</t>
        </is>
      </c>
      <c r="I268" s="77" t="inlineStr">
        <is>
          <t>Small-group company projects run mid-May to August but optional and not for a grade; company 'of their choice'; coverage unclear (2023 blog timings).</t>
        </is>
      </c>
      <c r="J268" s="77" t="inlineStr">
        <is>
          <t>https://www.mgmt.ucl.ac.uk/management</t>
        </is>
      </c>
      <c r="K268" s="77" t="inlineStr">
        <is>
          <t>Could be revisited.</t>
        </is>
      </c>
    </row>
    <row r="269">
      <c r="A269" s="77" t="inlineStr">
        <is>
          <t>RG22-X04</t>
        </is>
      </c>
      <c r="B269" s="77" t="inlineStr">
        <is>
          <t>RG22</t>
        </is>
      </c>
      <c r="C269" s="77" t="inlineStr">
        <is>
          <t>UCL</t>
        </is>
      </c>
      <c r="D269" s="77" t="inlineStr">
        <is>
          <t>UK – Russell Group</t>
        </is>
      </c>
      <c r="E269" s="77" t="inlineStr">
        <is>
          <t>LAWS0030 Access to Justice and Community Engagement / iLAC casework</t>
        </is>
      </c>
      <c r="F269" s="77" t="inlineStr">
        <is>
          <t>No</t>
        </is>
      </c>
      <c r="G269" s="77" t="inlineStr"/>
      <c r="H269" s="77" t="inlineStr">
        <is>
          <t>Volunteering/service-learning</t>
        </is>
      </c>
      <c r="I269" s="77" t="inlineStr">
        <is>
          <t>Supervised individual casework for clinic clients, not a team project; Pro Bono projects (231 volunteers, 25 projects 2024/25) are volunteering with no team brief evidence.</t>
        </is>
      </c>
      <c r="J269" s="77" t="inlineStr">
        <is>
          <t>https://www.ucl.ac.uk/laws/study/undergraduate/modules/laws0030-access-justice-and-community-engagement</t>
        </is>
      </c>
      <c r="K269" s="77" t="inlineStr"/>
    </row>
    <row r="270">
      <c r="A270" s="77" t="inlineStr">
        <is>
          <t>RG22-X05</t>
        </is>
      </c>
      <c r="B270" s="77" t="inlineStr">
        <is>
          <t>RG22</t>
        </is>
      </c>
      <c r="C270" s="77" t="inlineStr">
        <is>
          <t>UCL</t>
        </is>
      </c>
      <c r="D270" s="77" t="inlineStr">
        <is>
          <t>UK – Russell Group</t>
        </is>
      </c>
      <c r="E270" s="77" t="inlineStr">
        <is>
          <t>UCL Public International Law Pro Bono Project (LLM/PhD)</t>
        </is>
      </c>
      <c r="F270" s="77" t="inlineStr">
        <is>
          <t>No</t>
        </is>
      </c>
      <c r="G270" s="77" t="inlineStr"/>
      <c r="H270" s="77" t="inlineStr">
        <is>
          <t>Evidence gap</t>
        </is>
      </c>
      <c r="I270" s="77" t="inlineStr">
        <is>
          <t>Research and advice for external parties but team structure and current delivery not evidenced.</t>
        </is>
      </c>
      <c r="J270" s="77" t="inlineStr">
        <is>
          <t>https://www.ucl.ac.uk/laws/study/life-ucl-laws/pro-bono-opportunities</t>
        </is>
      </c>
      <c r="K270" s="77" t="inlineStr"/>
    </row>
    <row r="271">
      <c r="A271" s="77" t="inlineStr">
        <is>
          <t>RG22-X06</t>
        </is>
      </c>
      <c r="B271" s="77" t="inlineStr">
        <is>
          <t>RG22</t>
        </is>
      </c>
      <c r="C271" s="77" t="inlineStr">
        <is>
          <t>UCL</t>
        </is>
      </c>
      <c r="D271" s="77" t="inlineStr">
        <is>
          <t>UK – Russell Group</t>
        </is>
      </c>
      <c r="E271" s="77" t="inlineStr">
        <is>
          <t>BASC0002 Interdisciplinary Research Methods team exercise</t>
        </is>
      </c>
      <c r="F271" s="77" t="inlineStr">
        <is>
          <t>No</t>
        </is>
      </c>
      <c r="G271" s="77" t="inlineStr"/>
      <c r="H271" s="77" t="inlineStr">
        <is>
          <t>Near-miss: no external org</t>
        </is>
      </c>
      <c r="I271" s="77" t="inlineStr">
        <is>
          <t>Team research interview exercise on a Grand Challenge; no external organisation evidenced.</t>
        </is>
      </c>
      <c r="J271" s="77" t="inlineStr">
        <is>
          <t>https://www.ucl.ac.uk/module-catalogue/modules/interdisciplinary-research-methods/BASC0002</t>
        </is>
      </c>
      <c r="K271" s="77" t="inlineStr"/>
    </row>
    <row r="272">
      <c r="A272" s="77" t="inlineStr">
        <is>
          <t>RG22-X07</t>
        </is>
      </c>
      <c r="B272" s="77" t="inlineStr">
        <is>
          <t>RG22</t>
        </is>
      </c>
      <c r="C272" s="77" t="inlineStr">
        <is>
          <t>UCL</t>
        </is>
      </c>
      <c r="D272" s="77" t="inlineStr">
        <is>
          <t>UK – Russell Group</t>
        </is>
      </c>
      <c r="E272" s="77" t="inlineStr">
        <is>
          <t>ExtendED AI-Simulated Industry Challenge (Practera Nano Projects)</t>
        </is>
      </c>
      <c r="F272" s="77" t="inlineStr">
        <is>
          <t>No</t>
        </is>
      </c>
      <c r="G272" s="77" t="inlineStr"/>
      <c r="H272" s="77" t="inlineStr">
        <is>
          <t>Simulation/virtual</t>
        </is>
      </c>
      <c r="I272" s="77" t="inlineStr">
        <is>
          <t>AI acts as the client; pitch to student cohort; no live external organisation.</t>
        </is>
      </c>
      <c r="J272" s="77" t="inlineStr">
        <is>
          <t>https://www.ucl.ac.uk/study/current-students/academic-support-and-skills/extended-learning/202526-programme/supercharge-your-career</t>
        </is>
      </c>
      <c r="K272" s="77" t="inlineStr"/>
    </row>
    <row r="273">
      <c r="A273" s="77" t="inlineStr">
        <is>
          <t>RG22-X08</t>
        </is>
      </c>
      <c r="B273" s="77" t="inlineStr">
        <is>
          <t>RG22</t>
        </is>
      </c>
      <c r="C273" s="77" t="inlineStr">
        <is>
          <t>UCL</t>
        </is>
      </c>
      <c r="D273" s="77" t="inlineStr">
        <is>
          <t>UK – Russell Group</t>
        </is>
      </c>
      <c r="E273" s="77" t="inlineStr">
        <is>
          <t>Civil Engineering MEng Integrated Design Project / Construction Engineering MEng industry design project</t>
        </is>
      </c>
      <c r="F273" s="77" t="inlineStr">
        <is>
          <t>No</t>
        </is>
      </c>
      <c r="G273" s="77" t="inlineStr"/>
      <c r="H273" s="77" t="inlineStr">
        <is>
          <t>Evidence gap</t>
        </is>
      </c>
      <c r="I273" s="77" t="inlineStr">
        <is>
          <t>Large-group design projects 'supported by practitioners/industry experts'; no evidence of client brief or employer receiving output.</t>
        </is>
      </c>
      <c r="J273" s="77" t="inlineStr">
        <is>
          <t>https://www.ucl.ac.uk/study/prospective-students/undergraduate/courses/civil-engineering-meng</t>
        </is>
      </c>
      <c r="K273" s="77" t="inlineStr"/>
    </row>
    <row r="274">
      <c r="A274" s="77" t="inlineStr">
        <is>
          <t>RG22-X09</t>
        </is>
      </c>
      <c r="B274" s="77" t="inlineStr">
        <is>
          <t>RG22</t>
        </is>
      </c>
      <c r="C274" s="77" t="inlineStr">
        <is>
          <t>UCL</t>
        </is>
      </c>
      <c r="D274" s="77" t="inlineStr">
        <is>
          <t>UK – Russell Group</t>
        </is>
      </c>
      <c r="E274" s="77" t="inlineStr">
        <is>
          <t>MSc Global Healthcare Management (Finance) group business project</t>
        </is>
      </c>
      <c r="F274" s="77" t="inlineStr">
        <is>
          <t>No</t>
        </is>
      </c>
      <c r="G274" s="77" t="inlineStr"/>
      <c r="H274" s="77" t="inlineStr">
        <is>
          <t>Near-miss: no external org</t>
        </is>
      </c>
      <c r="I274" s="77" t="inlineStr">
        <is>
          <t>Group business case 'actionable in a real-world context' but no external organisation evidenced.</t>
        </is>
      </c>
      <c r="J274" s="77" t="inlineStr">
        <is>
          <t>https://www.ucl.ac.uk/prospective-students/graduate/taught-degrees/global-healthcare-management-finance-msc</t>
        </is>
      </c>
      <c r="K274" s="77" t="inlineStr"/>
    </row>
    <row r="275">
      <c r="A275" s="77" t="inlineStr">
        <is>
          <t>RG22-X10</t>
        </is>
      </c>
      <c r="B275" s="77" t="inlineStr">
        <is>
          <t>RG22</t>
        </is>
      </c>
      <c r="C275" s="77" t="inlineStr">
        <is>
          <t>UCL</t>
        </is>
      </c>
      <c r="D275" s="77" t="inlineStr">
        <is>
          <t>UK – Russell Group</t>
        </is>
      </c>
      <c r="E275" s="77" t="inlineStr">
        <is>
          <t>MSc Supply Chain Management Consulting Project</t>
        </is>
      </c>
      <c r="F275" s="77" t="inlineStr">
        <is>
          <t>No</t>
        </is>
      </c>
      <c r="G275" s="77" t="inlineStr"/>
      <c r="H275" s="77" t="inlineStr">
        <is>
          <t>Evidence gap</t>
        </is>
      </c>
      <c r="I275" s="77" t="inlineStr">
        <is>
          <t>Programme announced to launch 2027; consulting project in partnership with industry but not yet delivered.</t>
        </is>
      </c>
      <c r="J275" s="77" t="inlineStr">
        <is>
          <t>https://www.ucl.ac.uk/mathematical-physical-sciences/systems-engineering/study/postgraduate-taught-courses/msc-management-complex-projects</t>
        </is>
      </c>
      <c r="K275" s="77" t="inlineStr">
        <is>
          <t>Announced/forthcoming; URL from search result that mentioned it.</t>
        </is>
      </c>
    </row>
    <row r="276">
      <c r="A276" s="77" t="inlineStr">
        <is>
          <t>RG22-X11</t>
        </is>
      </c>
      <c r="B276" s="77" t="inlineStr">
        <is>
          <t>RG22</t>
        </is>
      </c>
      <c r="C276" s="77" t="inlineStr">
        <is>
          <t>UCL</t>
        </is>
      </c>
      <c r="D276" s="77" t="inlineStr">
        <is>
          <t>UK – Russell Group</t>
        </is>
      </c>
      <c r="E276" s="77" t="inlineStr">
        <is>
          <t>Hackathons (Minerva's Hack, UCL x Canva, Newham Futures Hackathon)</t>
        </is>
      </c>
      <c r="F276" s="77" t="inlineStr">
        <is>
          <t>No</t>
        </is>
      </c>
      <c r="G276" s="77" t="inlineStr"/>
      <c r="H276" s="77" t="inlineStr">
        <is>
          <t>Event/competition without live client</t>
        </is>
      </c>
      <c r="I276" s="77" t="inlineStr">
        <is>
          <t>One-day events; sponsor/community involvement noted but defined output for a named organisation not evidenced.</t>
        </is>
      </c>
      <c r="J276" s="77" t="inlineStr">
        <is>
          <t>https://www.ucl.ac.uk/ucl-east/news/2025/oct/newham-futures-hackathon-day-ideas-action-imagination</t>
        </is>
      </c>
      <c r="K276" s="77" t="inlineStr"/>
    </row>
    <row r="277">
      <c r="A277" s="77" t="inlineStr">
        <is>
          <t>RG22-X12</t>
        </is>
      </c>
      <c r="B277" s="77" t="inlineStr">
        <is>
          <t>RG22</t>
        </is>
      </c>
      <c r="C277" s="77" t="inlineStr">
        <is>
          <t>UCL</t>
        </is>
      </c>
      <c r="D277" s="77" t="inlineStr">
        <is>
          <t>UK – Russell Group</t>
        </is>
      </c>
      <c r="E277" s="77" t="inlineStr">
        <is>
          <t>ChangeMakers Student Societies grant; Policy Impact Unit; Venturer programme</t>
        </is>
      </c>
      <c r="F277" s="77" t="inlineStr">
        <is>
          <t>No</t>
        </is>
      </c>
      <c r="G277" s="77" t="inlineStr"/>
      <c r="H277" s="77" t="inlineStr">
        <is>
          <t>Entrepreneurship/incubator</t>
        </is>
      </c>
      <c r="I277" s="77" t="inlineStr">
        <is>
          <t>Funding/incubation/research-translation structures, not employer-set team projects.</t>
        </is>
      </c>
      <c r="J277" s="77" t="inlineStr">
        <is>
          <t>https://www.ucl.ac.uk/research-innovation/ucl-grand-challenges-grant-student-societies</t>
        </is>
      </c>
      <c r="K277" s="77" t="inlineStr"/>
    </row>
    <row r="278">
      <c r="A278" s="77" t="inlineStr">
        <is>
          <t>RG23-X01</t>
        </is>
      </c>
      <c r="B278" s="77" t="inlineStr">
        <is>
          <t>RG23</t>
        </is>
      </c>
      <c r="C278" s="77" t="inlineStr">
        <is>
          <t>Warwick</t>
        </is>
      </c>
      <c r="D278" s="77" t="inlineStr">
        <is>
          <t>UK – Russell Group</t>
        </is>
      </c>
      <c r="E278" s="77" t="inlineStr">
        <is>
          <t>IATL undergraduate modules</t>
        </is>
      </c>
      <c r="F278" s="77" t="inlineStr">
        <is>
          <t>Yes</t>
        </is>
      </c>
      <c r="G278" s="77" t="n">
        <v>29</v>
      </c>
      <c r="H278" s="77" t="inlineStr">
        <is>
          <t>Breadth/interdisciplinary curriculum</t>
        </is>
      </c>
      <c r="I278" s="77" t="inlineStr">
        <is>
          <t>University-level interdisciplinary elective framework (legacy row). The framework itself is not a project scheme; individual IATL modules with live external partners were NOT tested because the session's web-search budget was exhausted. Remains a lead.</t>
        </is>
      </c>
      <c r="J278" s="77" t="inlineStr">
        <is>
          <t>https://warwick.ac.uk/fac/cross_fac/iatl/study/iatlugmodules/</t>
        </is>
      </c>
      <c r="K278" s="77" t="inlineStr">
        <is>
          <t>Not re-searched in this review</t>
        </is>
      </c>
    </row>
    <row r="279">
      <c r="A279" s="77" t="inlineStr">
        <is>
          <t>RG23-X02</t>
        </is>
      </c>
      <c r="B279" s="77" t="inlineStr">
        <is>
          <t>RG23</t>
        </is>
      </c>
      <c r="C279" s="77" t="inlineStr">
        <is>
          <t>Warwick</t>
        </is>
      </c>
      <c r="D279" s="77" t="inlineStr">
        <is>
          <t>UK – Russell Group</t>
        </is>
      </c>
      <c r="E279" s="77" t="inlineStr">
        <is>
          <t>WBS Individual Projects (MBA/MSc client projects)</t>
        </is>
      </c>
      <c r="F279" s="77" t="inlineStr">
        <is>
          <t>No</t>
        </is>
      </c>
      <c r="G279" s="77" t="inlineStr"/>
      <c r="H279" s="77" t="inlineStr">
        <is>
          <t>Near-miss: not group</t>
        </is>
      </c>
      <c r="I279" s="77" t="inlineStr">
        <is>
          <t>Individual client-based project/dissertation route (Masters students can only be offered Individual Projects; MBA may choose). B = No.</t>
        </is>
      </c>
      <c r="J279" s="77" t="inlineStr">
        <is>
          <t>https://www.wbs.ac.uk/sites/wbs2020/assets/pdf/FAQs_Student_Consultancy_Projects_2026.pdf</t>
        </is>
      </c>
      <c r="K279" s="77" t="inlineStr">
        <is>
          <t>2026 FAQ</t>
        </is>
      </c>
    </row>
    <row r="280">
      <c r="A280" s="77" t="inlineStr">
        <is>
          <t>RG23-X03</t>
        </is>
      </c>
      <c r="B280" s="77" t="inlineStr">
        <is>
          <t>RG23</t>
        </is>
      </c>
      <c r="C280" s="77" t="inlineStr">
        <is>
          <t>Warwick</t>
        </is>
      </c>
      <c r="D280" s="77" t="inlineStr">
        <is>
          <t>UK – Russell Group</t>
        </is>
      </c>
      <c r="E280" s="77" t="inlineStr">
        <is>
          <t>Business in Practice capstone (WBS MSc programmes)</t>
        </is>
      </c>
      <c r="F280" s="77" t="inlineStr">
        <is>
          <t>No</t>
        </is>
      </c>
      <c r="G280" s="77" t="inlineStr"/>
      <c r="H280" s="77" t="inlineStr">
        <is>
          <t>Simulation/virtual</t>
        </is>
      </c>
      <c r="I280" s="77" t="inlineStr">
        <is>
          <t>Applied capstone alternative to dissertation described as a simulation of real-world corporate challenges; no live external client evidenced.</t>
        </is>
      </c>
      <c r="J280" s="77" t="inlineStr">
        <is>
          <t>https://www.wbs.ac.uk/courses/masters/business-with-finance/structure/</t>
        </is>
      </c>
      <c r="K280" s="77" t="inlineStr"/>
    </row>
    <row r="281">
      <c r="A281" s="77" t="inlineStr">
        <is>
          <t>RG23-X04</t>
        </is>
      </c>
      <c r="B281" s="77" t="inlineStr">
        <is>
          <t>RG23</t>
        </is>
      </c>
      <c r="C281" s="77" t="inlineStr">
        <is>
          <t>Warwick</t>
        </is>
      </c>
      <c r="D281" s="77" t="inlineStr">
        <is>
          <t>UK – Russell Group</t>
        </is>
      </c>
      <c r="E281" s="77" t="inlineStr">
        <is>
          <t>IB3G2 Team Consulting Project</t>
        </is>
      </c>
      <c r="F281" s="77" t="inlineStr">
        <is>
          <t>No</t>
        </is>
      </c>
      <c r="G281" s="77" t="inlineStr"/>
      <c r="H281" s="77" t="inlineStr">
        <is>
          <t>Evidence gap</t>
        </is>
      </c>
      <c r="I281" s="77" t="inlineStr">
        <is>
          <t>Appears only as a title in the archived 2018-19 WBS module list; no description, client or current delivery evidence.</t>
        </is>
      </c>
      <c r="J281" s="77" t="inlineStr">
        <is>
          <t>https://warwick.ac.uk/services/aro/dar/quality/modules/archive201819/undergraduate-1819/ib</t>
        </is>
      </c>
      <c r="K281" s="77" t="inlineStr">
        <is>
          <t>2018/19 only</t>
        </is>
      </c>
    </row>
    <row r="282">
      <c r="A282" s="77" t="inlineStr">
        <is>
          <t>RG23-X05</t>
        </is>
      </c>
      <c r="B282" s="77" t="inlineStr">
        <is>
          <t>RG23</t>
        </is>
      </c>
      <c r="C282" s="77" t="inlineStr">
        <is>
          <t>Warwick</t>
        </is>
      </c>
      <c r="D282" s="77" t="inlineStr">
        <is>
          <t>UK – Russell Group</t>
        </is>
      </c>
      <c r="E282" s="77" t="inlineStr">
        <is>
          <t>IB2BC-15 Business Operations Consulting</t>
        </is>
      </c>
      <c r="F282" s="77" t="inlineStr">
        <is>
          <t>No</t>
        </is>
      </c>
      <c r="G282" s="77" t="inlineStr"/>
      <c r="H282" s="77" t="inlineStr">
        <is>
          <t>Evidence gap</t>
        </is>
      </c>
      <c r="I282" s="77" t="inlineStr">
        <is>
          <t>Level 2 elective open to WBS and non-WBS students, 100% coursework; aims refer to skills for consulting projects but no live external client or team output evidenced.</t>
        </is>
      </c>
      <c r="J282" s="77" t="inlineStr">
        <is>
          <t>https://courses.warwick.ac.uk/modules/2025/IB2BC-15</t>
        </is>
      </c>
      <c r="K282" s="77" t="inlineStr">
        <is>
          <t>2025 catalogue</t>
        </is>
      </c>
    </row>
    <row r="283">
      <c r="A283" s="77" t="inlineStr">
        <is>
          <t>RG23-X06</t>
        </is>
      </c>
      <c r="B283" s="77" t="inlineStr">
        <is>
          <t>RG23</t>
        </is>
      </c>
      <c r="C283" s="77" t="inlineStr">
        <is>
          <t>Warwick</t>
        </is>
      </c>
      <c r="D283" s="77" t="inlineStr">
        <is>
          <t>UK – Russell Group</t>
        </is>
      </c>
      <c r="E283" s="77" t="inlineStr">
        <is>
          <t>IB260 Business Consulting/Research Methods</t>
        </is>
      </c>
      <c r="F283" s="77" t="inlineStr">
        <is>
          <t>No</t>
        </is>
      </c>
      <c r="G283" s="77" t="inlineStr"/>
      <c r="H283" s="77" t="inlineStr">
        <is>
          <t>Near-miss: no external org</t>
        </is>
      </c>
      <c r="I283" s="77" t="inlineStr">
        <is>
          <t>Archived 2018/19 module: 20% group presentation plus 80% individual assignment; no external client evidenced.</t>
        </is>
      </c>
      <c r="J283" s="77" t="inlineStr">
        <is>
          <t>https://warwick.ac.uk/services/aro/dar/quality/modules/undergraduate/ib/ib260/</t>
        </is>
      </c>
      <c r="K283" s="77" t="inlineStr">
        <is>
          <t>Historical (18/19)</t>
        </is>
      </c>
    </row>
    <row r="284">
      <c r="A284" s="77" t="inlineStr">
        <is>
          <t>RG23-X07</t>
        </is>
      </c>
      <c r="B284" s="77" t="inlineStr">
        <is>
          <t>RG23</t>
        </is>
      </c>
      <c r="C284" s="77" t="inlineStr">
        <is>
          <t>Warwick</t>
        </is>
      </c>
      <c r="D284" s="77" t="inlineStr">
        <is>
          <t>UK – Russell Group</t>
        </is>
      </c>
      <c r="E284" s="77" t="inlineStr">
        <is>
          <t>CS261 Software Engineering group project</t>
        </is>
      </c>
      <c r="F284" s="77" t="inlineStr">
        <is>
          <t>No</t>
        </is>
      </c>
      <c r="G284" s="77" t="inlineStr"/>
      <c r="H284" s="77" t="inlineStr">
        <is>
          <t>Evidence gap</t>
        </is>
      </c>
      <c r="I284" s="77" t="inlineStr">
        <is>
          <t>Year 2 core module with 50% group project developing a significant software system; no external client/customer evidenced in results.</t>
        </is>
      </c>
      <c r="J284" s="77" t="inlineStr">
        <is>
          <t>https://warwick.ac.uk/fac/sci/dcs/teaching/modules/cs261/</t>
        </is>
      </c>
      <c r="K284" s="77" t="inlineStr"/>
    </row>
    <row r="285">
      <c r="A285" s="77" t="inlineStr">
        <is>
          <t>RG23-X08</t>
        </is>
      </c>
      <c r="B285" s="77" t="inlineStr">
        <is>
          <t>RG23</t>
        </is>
      </c>
      <c r="C285" s="77" t="inlineStr">
        <is>
          <t>Warwick</t>
        </is>
      </c>
      <c r="D285" s="77" t="inlineStr">
        <is>
          <t>UK – Russell Group</t>
        </is>
      </c>
      <c r="E285" s="77" t="inlineStr">
        <is>
          <t>Warwick Railway Challenge (IMechE) team</t>
        </is>
      </c>
      <c r="F285" s="77" t="inlineStr">
        <is>
          <t>No</t>
        </is>
      </c>
      <c r="G285" s="77" t="inlineStr"/>
      <c r="H285" s="77" t="inlineStr">
        <is>
          <t>Event/competition without live client</t>
        </is>
      </c>
      <c r="I285" s="77" t="inlineStr">
        <is>
          <t>Sponsored student team building a locomotive for the IMechE Railway Challenge (sponsors include Catapult HVM, West Midlands Rail Executive, Chiltern Railways); sponsors fund rather than set a client brief. Also an ES410 project instance.</t>
        </is>
      </c>
      <c r="J285" s="77" t="inlineStr">
        <is>
          <t>https://warwick.ac.uk/fac/sci/eng/meng/railchallenge/</t>
        </is>
      </c>
      <c r="K285" s="77" t="inlineStr"/>
    </row>
    <row r="286">
      <c r="A286" s="77" t="inlineStr">
        <is>
          <t>RG23-X09</t>
        </is>
      </c>
      <c r="B286" s="77" t="inlineStr">
        <is>
          <t>RG23</t>
        </is>
      </c>
      <c r="C286" s="77" t="inlineStr">
        <is>
          <t>Warwick</t>
        </is>
      </c>
      <c r="D286" s="77" t="inlineStr">
        <is>
          <t>UK – Russell Group</t>
        </is>
      </c>
      <c r="E286" s="77" t="inlineStr">
        <is>
          <t>WMG student-led projects (Warwick Racing, Warwick Harvest)</t>
        </is>
      </c>
      <c r="F286" s="77" t="inlineStr">
        <is>
          <t>No</t>
        </is>
      </c>
      <c r="G286" s="77" t="inlineStr"/>
      <c r="H286" s="77" t="inlineStr">
        <is>
          <t>Evidence gap</t>
        </is>
      </c>
      <c r="I286" s="77" t="inlineStr">
        <is>
          <t>Extracurricular engineering teams with industry connections (Warwick Harvest collaborates with Warwick Agri-Tech and G's Fresh); whether the company sets a brief or receives outputs not evidenced; Warwick Agri-Tech is internal.</t>
        </is>
      </c>
      <c r="J286" s="77" t="inlineStr">
        <is>
          <t>https://warwick.ac.uk/fac/sci/wmg/study/undergraduate/student-led-projects/</t>
        </is>
      </c>
      <c r="K286" s="77" t="inlineStr">
        <is>
          <t>undated</t>
        </is>
      </c>
    </row>
    <row r="287">
      <c r="A287" s="77" t="inlineStr">
        <is>
          <t>RG23-X10</t>
        </is>
      </c>
      <c r="B287" s="77" t="inlineStr">
        <is>
          <t>RG23</t>
        </is>
      </c>
      <c r="C287" s="77" t="inlineStr">
        <is>
          <t>Warwick</t>
        </is>
      </c>
      <c r="D287" s="77" t="inlineStr">
        <is>
          <t>UK – Russell Group</t>
        </is>
      </c>
      <c r="E287" s="77" t="inlineStr">
        <is>
          <t>MSc Smart, Connected and Autonomous Vehicles sponsored project</t>
        </is>
      </c>
      <c r="F287" s="77" t="inlineStr">
        <is>
          <t>No</t>
        </is>
      </c>
      <c r="G287" s="77" t="inlineStr"/>
      <c r="H287" s="77" t="inlineStr">
        <is>
          <t>Evidence gap</t>
        </is>
      </c>
      <c r="I287" s="77" t="inlineStr">
        <is>
          <t>Project 'will have an industrial sponsor' but no evidence it is a team project (likely individual).</t>
        </is>
      </c>
      <c r="J287" s="77" t="inlineStr">
        <is>
          <t>https://warwick.ac.uk/fac/sci/wmg/study/masters-degrees/connected-autonomous-vehicles/</t>
        </is>
      </c>
      <c r="K287" s="77" t="inlineStr">
        <is>
          <t>undated</t>
        </is>
      </c>
    </row>
    <row r="288">
      <c r="A288" s="77" t="inlineStr">
        <is>
          <t>RG23-X11</t>
        </is>
      </c>
      <c r="B288" s="77" t="inlineStr">
        <is>
          <t>RG23</t>
        </is>
      </c>
      <c r="C288" s="77" t="inlineStr">
        <is>
          <t>Warwick</t>
        </is>
      </c>
      <c r="D288" s="77" t="inlineStr">
        <is>
          <t>UK – Russell Group</t>
        </is>
      </c>
      <c r="E288" s="77" t="inlineStr">
        <is>
          <t>LP303-30 Media and Creative Industries Residency</t>
        </is>
      </c>
      <c r="F288" s="77" t="inlineStr">
        <is>
          <t>No</t>
        </is>
      </c>
      <c r="G288" s="77" t="inlineStr"/>
      <c r="H288" s="77" t="inlineStr">
        <is>
          <t>Placement/internship</t>
        </is>
      </c>
      <c r="I288" s="77" t="inlineStr">
        <is>
          <t>Residency or directed client brief with a cultural/creative organisation; group working not evidenced; 2020 catalogue only.</t>
        </is>
      </c>
      <c r="J288" s="77" t="inlineStr">
        <is>
          <t>https://courses.warwick.ac.uk/modules/2020/LP303-30</t>
        </is>
      </c>
      <c r="K288" s="77" t="inlineStr">
        <is>
          <t>2020</t>
        </is>
      </c>
    </row>
    <row r="289">
      <c r="A289" s="77" t="inlineStr">
        <is>
          <t>RG23-X12</t>
        </is>
      </c>
      <c r="B289" s="77" t="inlineStr">
        <is>
          <t>RG23</t>
        </is>
      </c>
      <c r="C289" s="77" t="inlineStr">
        <is>
          <t>Warwick</t>
        </is>
      </c>
      <c r="D289" s="77" t="inlineStr">
        <is>
          <t>UK – Russell Group</t>
        </is>
      </c>
      <c r="E289" s="77" t="inlineStr">
        <is>
          <t>WMG EngD / MSc by Research</t>
        </is>
      </c>
      <c r="F289" s="77" t="inlineStr">
        <is>
          <t>No</t>
        </is>
      </c>
      <c r="G289" s="77" t="inlineStr"/>
      <c r="H289" s="77" t="inlineStr">
        <is>
          <t>Dissertation/research</t>
        </is>
      </c>
      <c r="I289" s="77" t="inlineStr">
        <is>
          <t>Individual company-sponsored research degrees.</t>
        </is>
      </c>
      <c r="J289" s="77" t="inlineStr">
        <is>
          <t>https://warwick.ac.uk/study/postgraduate/courses/msc-by-research-warwick-manufacturing-group/</t>
        </is>
      </c>
      <c r="K289" s="77" t="inlineStr"/>
    </row>
    <row r="290">
      <c r="A290" s="77" t="inlineStr">
        <is>
          <t>RG23-X13</t>
        </is>
      </c>
      <c r="B290" s="77" t="inlineStr">
        <is>
          <t>RG23</t>
        </is>
      </c>
      <c r="C290" s="77" t="inlineStr">
        <is>
          <t>Warwick</t>
        </is>
      </c>
      <c r="D290" s="77" t="inlineStr">
        <is>
          <t>UK – Russell Group</t>
        </is>
      </c>
      <c r="E290" s="77" t="inlineStr">
        <is>
          <t>IATL modules (Creating Digital Futures IL138/IL438/IL938; Global Connections IL014/IL114; Public Engagement)</t>
        </is>
      </c>
      <c r="F290" s="77" t="inlineStr">
        <is>
          <t>Yes</t>
        </is>
      </c>
      <c r="G290" s="77" t="n">
        <v>29</v>
      </c>
      <c r="H290" s="77" t="inlineStr">
        <is>
          <t>Near-miss: no external org</t>
        </is>
      </c>
      <c r="I290" s="77" t="inlineStr">
        <is>
          <t>Creating Digital Futures teams answer a brief from Warwick's internal incubator Creative Futures (internal; optional later external competition); Global Connections is multidisciplinary teams of 5 linked to EUTOPIA students (no employer); Public Engagement builds activity for the public about Warwick research. No module verified with an external organisation setting the brief. Legacy IATL framework row assessed here.</t>
        </is>
      </c>
      <c r="J290" s="77" t="inlineStr">
        <is>
          <t>https://warwick.ac.uk/fac/cross_fac/iatl/study/iatlugmodules/</t>
        </is>
      </c>
      <c r="K290" s="77" t="inlineStr">
        <is>
          <t>2024/25 pages; search-summary</t>
        </is>
      </c>
    </row>
    <row r="291">
      <c r="A291" s="77" t="inlineStr">
        <is>
          <t>RG23-X14</t>
        </is>
      </c>
      <c r="B291" s="77" t="inlineStr">
        <is>
          <t>RG23</t>
        </is>
      </c>
      <c r="C291" s="77" t="inlineStr">
        <is>
          <t>Warwick</t>
        </is>
      </c>
      <c r="D291" s="77" t="inlineStr">
        <is>
          <t>UK – Russell Group</t>
        </is>
      </c>
      <c r="E291" s="77" t="inlineStr">
        <is>
          <t>Warwick Law in the Community (LinC) clinics</t>
        </is>
      </c>
      <c r="F291" s="77" t="inlineStr">
        <is>
          <t>No</t>
        </is>
      </c>
      <c r="G291" s="77" t="inlineStr"/>
      <c r="H291" s="77" t="inlineStr">
        <is>
          <t>Evidence gap</t>
        </is>
      </c>
      <c r="I291" s="77" t="inlineStr">
        <is>
          <t>Live legal projects with partners (2021/22 report); group structure, client type and current delivery not verified.</t>
        </is>
      </c>
      <c r="J291" s="77" t="inlineStr">
        <is>
          <t>https://warwick.ac.uk/fac/soc/law/aboutus/linc/warwick_law_in_the_community_annual_report_2021-22_final.pdf</t>
        </is>
      </c>
      <c r="K291" s="77" t="inlineStr">
        <is>
          <t>2021/22</t>
        </is>
      </c>
    </row>
    <row r="292">
      <c r="A292" s="77" t="inlineStr">
        <is>
          <t>RG23-X15</t>
        </is>
      </c>
      <c r="B292" s="77" t="inlineStr">
        <is>
          <t>RG23</t>
        </is>
      </c>
      <c r="C292" s="77" t="inlineStr">
        <is>
          <t>Warwick</t>
        </is>
      </c>
      <c r="D292" s="77" t="inlineStr">
        <is>
          <t>UK – Russell Group</t>
        </is>
      </c>
      <c r="E292" s="77" t="inlineStr">
        <is>
          <t>MD90A Pathways to the public health workplace (WMS)</t>
        </is>
      </c>
      <c r="F292" s="77" t="inlineStr">
        <is>
          <t>No</t>
        </is>
      </c>
      <c r="G292" s="77" t="inlineStr"/>
      <c r="H292" s="77" t="inlineStr">
        <is>
          <t>Placement/internship</t>
        </is>
      </c>
      <c r="I292" s="77" t="inlineStr">
        <is>
          <t>12-week organisation-directed project placement; group working not evidenced.</t>
        </is>
      </c>
      <c r="J292" s="77" t="inlineStr">
        <is>
          <t>https://warwick.ac.uk/fac/sci/med/study/cpd/module_index/md90a/</t>
        </is>
      </c>
      <c r="K292" s="77" t="inlineStr">
        <is>
          <t>undated</t>
        </is>
      </c>
    </row>
    <row r="293">
      <c r="A293" s="77" t="inlineStr">
        <is>
          <t>RG23-X16</t>
        </is>
      </c>
      <c r="B293" s="77" t="inlineStr">
        <is>
          <t>RG23</t>
        </is>
      </c>
      <c r="C293" s="77" t="inlineStr">
        <is>
          <t>Warwick</t>
        </is>
      </c>
      <c r="D293" s="77" t="inlineStr">
        <is>
          <t>UK – Russell Group</t>
        </is>
      </c>
      <c r="E293" s="77" t="inlineStr">
        <is>
          <t>MChem/MBio industrial placements</t>
        </is>
      </c>
      <c r="F293" s="77" t="inlineStr">
        <is>
          <t>No</t>
        </is>
      </c>
      <c r="G293" s="77" t="inlineStr"/>
      <c r="H293" s="77" t="inlineStr">
        <is>
          <t>Placement/internship</t>
        </is>
      </c>
      <c r="I293" s="77" t="inlineStr">
        <is>
          <t>Individual year-long industrial research placements.</t>
        </is>
      </c>
      <c r="J293" s="77" t="inlineStr">
        <is>
          <t>https://warwick.ac.uk/study/undergraduate/courses/mchem-chemistry-industrial-placement/</t>
        </is>
      </c>
      <c r="K293" s="77" t="inlineStr"/>
    </row>
    <row r="294">
      <c r="A294" s="77" t="inlineStr">
        <is>
          <t>RG24-X01</t>
        </is>
      </c>
      <c r="B294" s="77" t="inlineStr">
        <is>
          <t>RG24</t>
        </is>
      </c>
      <c r="C294" s="77" t="inlineStr">
        <is>
          <t>York</t>
        </is>
      </c>
      <c r="D294" s="77" t="inlineStr">
        <is>
          <t>UK – Russell Group</t>
        </is>
      </c>
      <c r="E294" s="77" t="inlineStr">
        <is>
          <t>Engineering Group Project A/B (ELE00093H/ELE00087H) and Electronics Projects</t>
        </is>
      </c>
      <c r="F294" s="77" t="inlineStr">
        <is>
          <t>No</t>
        </is>
      </c>
      <c r="G294" s="77" t="inlineStr"/>
      <c r="H294" s="77" t="inlineStr">
        <is>
          <t>Near-miss: no external org</t>
        </is>
      </c>
      <c r="I294" s="77" t="inlineStr">
        <is>
          <t>Group design-build projects with 'client' specifications and client meetings run by students, but no named external organisation or partner evidenced; clients appear to be staff-set scenarios (self-driving floating water-sampling vehicle).</t>
        </is>
      </c>
      <c r="J294" s="77" t="inlineStr">
        <is>
          <t>https://www.york.ac.uk/students/studying/manage/programmes/module-catalogue/module/ELE00093H/latest</t>
        </is>
      </c>
      <c r="K294" s="77" t="inlineStr">
        <is>
          <t>2026-27 catalogue entry</t>
        </is>
      </c>
    </row>
    <row r="295">
      <c r="A295" s="77" t="inlineStr">
        <is>
          <t>RG24-X02</t>
        </is>
      </c>
      <c r="B295" s="77" t="inlineStr">
        <is>
          <t>RG24</t>
        </is>
      </c>
      <c r="C295" s="77" t="inlineStr">
        <is>
          <t>York</t>
        </is>
      </c>
      <c r="D295" s="77" t="inlineStr">
        <is>
          <t>UK – Russell Group</t>
        </is>
      </c>
      <c r="E295" s="77" t="inlineStr">
        <is>
          <t>Public History Placement (HIS00050M)</t>
        </is>
      </c>
      <c r="F295" s="77" t="inlineStr">
        <is>
          <t>No</t>
        </is>
      </c>
      <c r="G295" s="77" t="inlineStr"/>
      <c r="H295" s="77" t="inlineStr">
        <is>
          <t>Placement/internship</t>
        </is>
      </c>
      <c r="I295" s="77" t="inlineStr">
        <is>
          <t>10-week placement with external host producing a defined output; placement/individual host route, group working not evidenced (may be part of wider team).</t>
        </is>
      </c>
      <c r="J295" s="77" t="inlineStr">
        <is>
          <t>https://www.york.ac.uk/students/studying/manage/programmes/module-catalogue/module/HIS00050M/</t>
        </is>
      </c>
      <c r="K295" s="77" t="inlineStr">
        <is>
          <t>2026-27 catalogue entry</t>
        </is>
      </c>
    </row>
    <row r="296">
      <c r="A296" s="77" t="inlineStr">
        <is>
          <t>RG24-X03</t>
        </is>
      </c>
      <c r="B296" s="77" t="inlineStr">
        <is>
          <t>RG24</t>
        </is>
      </c>
      <c r="C296" s="77" t="inlineStr">
        <is>
          <t>York</t>
        </is>
      </c>
      <c r="D296" s="77" t="inlineStr">
        <is>
          <t>UK – Russell Group</t>
        </is>
      </c>
      <c r="E296" s="77" t="inlineStr">
        <is>
          <t>Mathematics final-year projects with external partners</t>
        </is>
      </c>
      <c r="F296" s="77" t="inlineStr">
        <is>
          <t>No</t>
        </is>
      </c>
      <c r="G296" s="77" t="inlineStr"/>
      <c r="H296" s="77" t="inlineStr">
        <is>
          <t>Near-miss: not group</t>
        </is>
      </c>
      <c r="I296" s="77" t="inlineStr">
        <is>
          <t>Department offers external-partner projects (e.g. Whitby Lobster Hatchery, Sky Betting and Gaming, GSK, Pfizer, Fera) but they are individual 40-credit projects with an academic supervisor; group working not evidenced.</t>
        </is>
      </c>
      <c r="J296" s="77" t="inlineStr">
        <is>
          <t>https://www.york.ac.uk/maths/research/collaborating-business-industry/</t>
        </is>
      </c>
      <c r="K296" s="77" t="inlineStr">
        <is>
          <t>undated page; 2025 student blog</t>
        </is>
      </c>
    </row>
    <row r="297">
      <c r="A297" s="77" t="inlineStr">
        <is>
          <t>RG24-X04</t>
        </is>
      </c>
      <c r="B297" s="77" t="inlineStr">
        <is>
          <t>RG24</t>
        </is>
      </c>
      <c r="C297" s="77" t="inlineStr">
        <is>
          <t>York</t>
        </is>
      </c>
      <c r="D297" s="77" t="inlineStr">
        <is>
          <t>UK – Russell Group</t>
        </is>
      </c>
      <c r="E297" s="77" t="inlineStr">
        <is>
          <t>Chemistry Advanced Research Project (Industry) CHE00051M / BSc Industry Project CHE00042H</t>
        </is>
      </c>
      <c r="F297" s="77" t="inlineStr">
        <is>
          <t>No</t>
        </is>
      </c>
      <c r="G297" s="77" t="inlineStr"/>
      <c r="H297" s="77" t="inlineStr">
        <is>
          <t>Placement/internship</t>
        </is>
      </c>
      <c r="I297" s="77" t="inlineStr">
        <is>
          <t>Individual industry-based research placement with industrial supervisor; not a group project.</t>
        </is>
      </c>
      <c r="J297" s="77" t="inlineStr">
        <is>
          <t>https://www.york.ac.uk/students/studying/manage/programmes/module-catalogue/module/CHE00051M/latest</t>
        </is>
      </c>
      <c r="K297" s="77" t="inlineStr">
        <is>
          <t>2026-27 / 2024-25</t>
        </is>
      </c>
    </row>
    <row r="298">
      <c r="A298" s="77" t="inlineStr">
        <is>
          <t>RG24-X05</t>
        </is>
      </c>
      <c r="B298" s="77" t="inlineStr">
        <is>
          <t>RG24</t>
        </is>
      </c>
      <c r="C298" s="77" t="inlineStr">
        <is>
          <t>York</t>
        </is>
      </c>
      <c r="D298" s="77" t="inlineStr">
        <is>
          <t>UK – Russell Group</t>
        </is>
      </c>
      <c r="E298" s="77" t="inlineStr">
        <is>
          <t>MBA Consultancy Portfolio (MAN00129M) and Consultancy Proposal &amp; Pitch (MAN00128M)</t>
        </is>
      </c>
      <c r="F298" s="77" t="inlineStr">
        <is>
          <t>No</t>
        </is>
      </c>
      <c r="G298" s="77" t="inlineStr"/>
      <c r="H298" s="77" t="inlineStr">
        <is>
          <t>Evidence gap</t>
        </is>
      </c>
      <c r="I298" s="77" t="inlineStr">
        <is>
          <t>MBA capstone consultancy on an organisational issue; no evidence of group working or named external client.</t>
        </is>
      </c>
      <c r="J298" s="77" t="inlineStr">
        <is>
          <t>https://www.york.ac.uk/students/studying/manage/programmes/module-catalogue/module/MAN00129M/2025-26</t>
        </is>
      </c>
      <c r="K298" s="77" t="inlineStr">
        <is>
          <t>2023-24 to 2025-26 entries</t>
        </is>
      </c>
    </row>
    <row r="299">
      <c r="A299" s="77" t="inlineStr">
        <is>
          <t>RG24-X06</t>
        </is>
      </c>
      <c r="B299" s="77" t="inlineStr">
        <is>
          <t>RG24</t>
        </is>
      </c>
      <c r="C299" s="77" t="inlineStr">
        <is>
          <t>York</t>
        </is>
      </c>
      <c r="D299" s="77" t="inlineStr">
        <is>
          <t>UK – Russell Group</t>
        </is>
      </c>
      <c r="E299" s="77" t="inlineStr">
        <is>
          <t>Strategic Marketing Consulting (MAN00068H)</t>
        </is>
      </c>
      <c r="F299" s="77" t="inlineStr">
        <is>
          <t>No</t>
        </is>
      </c>
      <c r="G299" s="77" t="inlineStr"/>
      <c r="H299" s="77" t="inlineStr">
        <is>
          <t>Near-miss: no external org</t>
        </is>
      </c>
      <c r="I299" s="77" t="inlineStr">
        <is>
          <t>Aim is 'interacting with a real-world client and/or case study' - live-or-case without separating routes (C Unclear).</t>
        </is>
      </c>
      <c r="J299" s="77" t="inlineStr">
        <is>
          <t>https://www.york.ac.uk/students/studying/manage/programmes/module-catalogue/module/MAN00068H/latest</t>
        </is>
      </c>
      <c r="K299" s="77" t="inlineStr">
        <is>
          <t>2026-27 catalogue</t>
        </is>
      </c>
    </row>
    <row r="300">
      <c r="A300" s="77" t="inlineStr">
        <is>
          <t>RG24-X07</t>
        </is>
      </c>
      <c r="B300" s="77" t="inlineStr">
        <is>
          <t>RG24</t>
        </is>
      </c>
      <c r="C300" s="77" t="inlineStr">
        <is>
          <t>York</t>
        </is>
      </c>
      <c r="D300" s="77" t="inlineStr">
        <is>
          <t>UK – Russell Group</t>
        </is>
      </c>
      <c r="E300" s="77" t="inlineStr">
        <is>
          <t>Clinic (LAW00083H) and Baroness Hale Legal Clinic</t>
        </is>
      </c>
      <c r="F300" s="77" t="inlineStr">
        <is>
          <t>No</t>
        </is>
      </c>
      <c r="G300" s="77" t="inlineStr"/>
      <c r="H300" s="77" t="inlineStr">
        <is>
          <t>Near-miss: not group</t>
        </is>
      </c>
      <c r="I300" s="77" t="inlineStr">
        <is>
          <t>Students advise members of the public (individuals) in a student law firm under supervision; clients are mostly individuals and group project working not separated.</t>
        </is>
      </c>
      <c r="J300" s="77" t="inlineStr">
        <is>
          <t>https://www.york.ac.uk/students/studying/manage/programmes/module-catalogue/module/LAW00083H/latest</t>
        </is>
      </c>
      <c r="K300" s="77" t="inlineStr">
        <is>
          <t>2026-27 catalogue</t>
        </is>
      </c>
    </row>
    <row r="301">
      <c r="A301" s="77" t="inlineStr">
        <is>
          <t>RG24-X08</t>
        </is>
      </c>
      <c r="B301" s="77" t="inlineStr">
        <is>
          <t>RG24</t>
        </is>
      </c>
      <c r="C301" s="77" t="inlineStr">
        <is>
          <t>York</t>
        </is>
      </c>
      <c r="D301" s="77" t="inlineStr">
        <is>
          <t>UK – Russell Group</t>
        </is>
      </c>
      <c r="E301" s="77" t="inlineStr">
        <is>
          <t>Film &amp; Television Group Projects (TFT00040H/TFT00085H, Group Projects I/II)</t>
        </is>
      </c>
      <c r="F301" s="77" t="inlineStr">
        <is>
          <t>No</t>
        </is>
      </c>
      <c r="G301" s="77" t="inlineStr"/>
      <c r="H301" s="77" t="inlineStr">
        <is>
          <t>Near-miss: no external org</t>
        </is>
      </c>
      <c r="I301" s="77" t="inlineStr">
        <is>
          <t>Team productions to industry-style briefs; no external organisation sets brief or receives output.</t>
        </is>
      </c>
      <c r="J301" s="77" t="inlineStr">
        <is>
          <t>https://www.york.ac.uk/students/studying/manage/programmes/module-catalogue/module/TFT00085H/latest</t>
        </is>
      </c>
      <c r="K301" s="77" t="inlineStr">
        <is>
          <t>2026-27</t>
        </is>
      </c>
    </row>
    <row r="302">
      <c r="A302" s="77" t="inlineStr">
        <is>
          <t>RG24-X09</t>
        </is>
      </c>
      <c r="B302" s="77" t="inlineStr">
        <is>
          <t>RG24</t>
        </is>
      </c>
      <c r="C302" s="77" t="inlineStr">
        <is>
          <t>York</t>
        </is>
      </c>
      <c r="D302" s="77" t="inlineStr">
        <is>
          <t>UK – Russell Group</t>
        </is>
      </c>
      <c r="E302" s="77" t="inlineStr">
        <is>
          <t>Physics BSc Research Project &amp; Skills (PHY00052H)</t>
        </is>
      </c>
      <c r="F302" s="77" t="inlineStr">
        <is>
          <t>No</t>
        </is>
      </c>
      <c r="G302" s="77" t="inlineStr"/>
      <c r="H302" s="77" t="inlineStr">
        <is>
          <t>Dissertation/research</t>
        </is>
      </c>
      <c r="I302" s="77" t="inlineStr">
        <is>
          <t>Small-group or individual research project; no standard external partner route evidenced.</t>
        </is>
      </c>
      <c r="J302" s="77" t="inlineStr">
        <is>
          <t>https://www.york.ac.uk/students/studying/manage/programmes/module-catalogue/module/PHY00052H/latest</t>
        </is>
      </c>
      <c r="K302" s="77" t="inlineStr">
        <is>
          <t>2026-27</t>
        </is>
      </c>
    </row>
    <row r="303">
      <c r="A303" s="77" t="inlineStr">
        <is>
          <t>RG24-X10</t>
        </is>
      </c>
      <c r="B303" s="77" t="inlineStr">
        <is>
          <t>RG24</t>
        </is>
      </c>
      <c r="C303" s="77" t="inlineStr">
        <is>
          <t>York</t>
        </is>
      </c>
      <c r="D303" s="77" t="inlineStr">
        <is>
          <t>UK – Russell Group</t>
        </is>
      </c>
      <c r="E303" s="77" t="inlineStr">
        <is>
          <t>Year in Industry (ELE00032H) and year-in-industry degrees</t>
        </is>
      </c>
      <c r="F303" s="77" t="inlineStr">
        <is>
          <t>No</t>
        </is>
      </c>
      <c r="G303" s="77" t="inlineStr"/>
      <c r="H303" s="77" t="inlineStr">
        <is>
          <t>Placement/internship</t>
        </is>
      </c>
      <c r="I303" s="77" t="inlineStr">
        <is>
          <t>Placement year; no project-group component evidenced.</t>
        </is>
      </c>
      <c r="J303" s="77" t="inlineStr">
        <is>
          <t>https://www.york.ac.uk/students/studying/manage/programmes/module-catalogue/module/ELE00032H/2026-27</t>
        </is>
      </c>
      <c r="K303" s="77" t="inlineStr">
        <is>
          <t>2026-27</t>
        </is>
      </c>
    </row>
    <row r="304">
      <c r="A304" s="77" t="inlineStr">
        <is>
          <t>RG24-X11</t>
        </is>
      </c>
      <c r="B304" s="77" t="inlineStr">
        <is>
          <t>RG24</t>
        </is>
      </c>
      <c r="C304" s="77" t="inlineStr">
        <is>
          <t>York</t>
        </is>
      </c>
      <c r="D304" s="77" t="inlineStr">
        <is>
          <t>UK – Russell Group</t>
        </is>
      </c>
      <c r="E304" s="77" t="inlineStr">
        <is>
          <t>Community projects (student volunteering) / York Leaders Challenge Day</t>
        </is>
      </c>
      <c r="F304" s="77" t="inlineStr">
        <is>
          <t>No</t>
        </is>
      </c>
      <c r="G304" s="77" t="inlineStr"/>
      <c r="H304" s="77" t="inlineStr">
        <is>
          <t>Volunteering/service-learning</t>
        </is>
      </c>
      <c r="I304" s="77" t="inlineStr">
        <is>
          <t>Voluntary student community projects and a leadership challenge day; not tested as substantive employer-set group projects.</t>
        </is>
      </c>
      <c r="J304" s="77" t="inlineStr">
        <is>
          <t>https://www.york.ac.uk/students/work-volunteering-careers/skills/volunteer/communityprojects/</t>
        </is>
      </c>
      <c r="K304" s="77" t="inlineStr">
        <is>
          <t>undated</t>
        </is>
      </c>
    </row>
    <row r="305">
      <c r="A305" s="77" t="inlineStr">
        <is>
          <t>RG24-X12</t>
        </is>
      </c>
      <c r="B305" s="77" t="inlineStr">
        <is>
          <t>RG24</t>
        </is>
      </c>
      <c r="C305" s="77" t="inlineStr">
        <is>
          <t>York</t>
        </is>
      </c>
      <c r="D305" s="77" t="inlineStr">
        <is>
          <t>UK – Russell Group</t>
        </is>
      </c>
      <c r="E305" s="77" t="inlineStr">
        <is>
          <t>Communities, Participation &amp; Creating Change (SPY00037I)</t>
        </is>
      </c>
      <c r="F305" s="77" t="inlineStr">
        <is>
          <t>No</t>
        </is>
      </c>
      <c r="G305" s="77" t="inlineStr"/>
      <c r="H305" s="77" t="inlineStr">
        <is>
          <t>Near-miss: no external org</t>
        </is>
      </c>
      <c r="I305" s="77" t="inlineStr">
        <is>
          <t>Taught module on community action in Social Work; catalogue lists no external-partner project.</t>
        </is>
      </c>
      <c r="J305" s="77" t="inlineStr">
        <is>
          <t>https://www.york.ac.uk/students/studying/manage/programmes/module-catalogue/module/SPY00037I/latest</t>
        </is>
      </c>
      <c r="K305" s="77" t="inlineStr">
        <is>
          <t>2026-27</t>
        </is>
      </c>
    </row>
    <row r="306">
      <c r="A306" s="77" t="inlineStr">
        <is>
          <t>AU01-X01</t>
        </is>
      </c>
      <c r="B306" s="77" t="inlineStr">
        <is>
          <t>AU01</t>
        </is>
      </c>
      <c r="C306" s="77" t="inlineStr">
        <is>
          <t>UNSW Sydney</t>
        </is>
      </c>
      <c r="D306" s="77" t="inlineStr">
        <is>
          <t>Australia</t>
        </is>
      </c>
      <c r="E306" s="77" t="inlineStr">
        <is>
          <t>COMM1120 Collaboration and Innovation in Business</t>
        </is>
      </c>
      <c r="F306" s="77" t="inlineStr">
        <is>
          <t>Yes</t>
        </is>
      </c>
      <c r="G306" s="77" t="n">
        <v>31</v>
      </c>
      <c r="H306" s="77" t="inlineStr">
        <is>
          <t>Evidence gap</t>
        </is>
      </c>
      <c r="I306" s="77" t="inlineStr">
        <is>
          <t>Handbook page (2025 edition and 2023) shows only title and 6 UOC and no description; no evidence of a project brief or any external organisation, so A and C cannot be assessed. 2026 progression plans list it as a core Commerce course; compulsory within specified programmes only.</t>
        </is>
      </c>
      <c r="J306" s="77" t="inlineStr">
        <is>
          <t>https://www.handbook.unsw.edu.au/undergraduate/courses/2025/COMM1120</t>
        </is>
      </c>
      <c r="K306" s="77" t="inlineStr">
        <is>
          <t>Convenor profile places it in the Integrated First Year program</t>
        </is>
      </c>
    </row>
    <row r="307">
      <c r="A307" s="77" t="inlineStr">
        <is>
          <t>AU01-X02</t>
        </is>
      </c>
      <c r="B307" s="77" t="inlineStr">
        <is>
          <t>AU01</t>
        </is>
      </c>
      <c r="C307" s="77" t="inlineStr">
        <is>
          <t>UNSW Sydney</t>
        </is>
      </c>
      <c r="D307" s="77" t="inlineStr">
        <is>
          <t>Australia</t>
        </is>
      </c>
      <c r="E307" s="77" t="inlineStr">
        <is>
          <t>AHEGS Advantage</t>
        </is>
      </c>
      <c r="F307" s="77" t="inlineStr">
        <is>
          <t>Yes</t>
        </is>
      </c>
      <c r="G307" s="77" t="n">
        <v>48</v>
      </c>
      <c r="H307" s="77" t="inlineStr">
        <is>
          <t>Employability award</t>
        </is>
      </c>
      <c r="I307" s="77" t="inlineStr">
        <is>
          <t>Recognition framework on the graduation statement; not itself a project activity. Underlying activities not tested.</t>
        </is>
      </c>
      <c r="J307" s="77" t="inlineStr">
        <is>
          <t>https://www.unsw.edu.au/student/opportunities/advantage</t>
        </is>
      </c>
      <c r="K307" s="77" t="inlineStr">
        <is>
          <t>Not re-fetched in this run</t>
        </is>
      </c>
    </row>
    <row r="308">
      <c r="A308" s="77" t="inlineStr">
        <is>
          <t>AU01-X03</t>
        </is>
      </c>
      <c r="B308" s="77" t="inlineStr">
        <is>
          <t>AU01</t>
        </is>
      </c>
      <c r="C308" s="77" t="inlineStr">
        <is>
          <t>UNSW Sydney</t>
        </is>
      </c>
      <c r="D308" s="77" t="inlineStr">
        <is>
          <t>Australia</t>
        </is>
      </c>
      <c r="E308" s="77" t="inlineStr">
        <is>
          <t>COMM3900 Business Sustainability and Social Impact Capstone Project</t>
        </is>
      </c>
      <c r="F308" s="77" t="inlineStr">
        <is>
          <t>No</t>
        </is>
      </c>
      <c r="G308" s="77" t="inlineStr"/>
      <c r="H308" s="77" t="inlineStr">
        <is>
          <t>Evidence gap</t>
        </is>
      </c>
      <c r="I308" s="77" t="inlineStr">
        <is>
          <t>2026 handbook page shows only code, title and 6 UOC; no description of client involvement or team working.</t>
        </is>
      </c>
      <c r="J308" s="77" t="inlineStr">
        <is>
          <t>https://www.handbook.unsw.edu.au/undergraduate/courses/2026/COMM3900</t>
        </is>
      </c>
      <c r="K308" s="77" t="inlineStr"/>
    </row>
    <row r="309">
      <c r="A309" s="77" t="inlineStr">
        <is>
          <t>AU01-X04</t>
        </is>
      </c>
      <c r="B309" s="77" t="inlineStr">
        <is>
          <t>AU01</t>
        </is>
      </c>
      <c r="C309" s="77" t="inlineStr">
        <is>
          <t>UNSW Sydney</t>
        </is>
      </c>
      <c r="D309" s="77" t="inlineStr">
        <is>
          <t>Australia</t>
        </is>
      </c>
      <c r="E309" s="77" t="inlineStr">
        <is>
          <t>UNSW Co-op Program internships</t>
        </is>
      </c>
      <c r="F309" s="77" t="inlineStr">
        <is>
          <t>No</t>
        </is>
      </c>
      <c r="G309" s="77" t="inlineStr"/>
      <c r="H309" s="77" t="inlineStr">
        <is>
          <t>Placement/internship</t>
        </is>
      </c>
      <c r="I309" s="77" t="inlineStr">
        <is>
          <t>Sponsored individual industry placements; no group project evidenced.</t>
        </is>
      </c>
      <c r="J309" s="77" t="inlineStr">
        <is>
          <t>https://www.unsw.edu.au/co-op-program/experience</t>
        </is>
      </c>
      <c r="K309" s="77" t="inlineStr"/>
    </row>
    <row r="310">
      <c r="A310" s="77" t="inlineStr">
        <is>
          <t>AU01-X05</t>
        </is>
      </c>
      <c r="B310" s="77" t="inlineStr">
        <is>
          <t>AU01</t>
        </is>
      </c>
      <c r="C310" s="77" t="inlineStr">
        <is>
          <t>UNSW Sydney</t>
        </is>
      </c>
      <c r="D310" s="77" t="inlineStr">
        <is>
          <t>Australia</t>
        </is>
      </c>
      <c r="E310" s="77" t="inlineStr">
        <is>
          <t>Art &amp; Design Professional Experience Project (ADAD3000)</t>
        </is>
      </c>
      <c r="F310" s="77" t="inlineStr">
        <is>
          <t>No</t>
        </is>
      </c>
      <c r="G310" s="77" t="inlineStr"/>
      <c r="H310" s="77" t="inlineStr">
        <is>
          <t>Placement/internship</t>
        </is>
      </c>
      <c r="I310" s="77" t="inlineStr">
        <is>
          <t>Capstone placements in creative workplaces; individual placements, no group project component evidenced.</t>
        </is>
      </c>
      <c r="J310" s="77" t="inlineStr">
        <is>
          <t>https://www.unsw.edu.au/arts-design-architecture/our-schools/art-design/student-life/professional-experience-project</t>
        </is>
      </c>
      <c r="K310" s="77" t="inlineStr"/>
    </row>
    <row r="311">
      <c r="A311" s="77" t="inlineStr">
        <is>
          <t>AU01-X06</t>
        </is>
      </c>
      <c r="B311" s="77" t="inlineStr">
        <is>
          <t>AU01</t>
        </is>
      </c>
      <c r="C311" s="77" t="inlineStr">
        <is>
          <t>UNSW Sydney</t>
        </is>
      </c>
      <c r="D311" s="77" t="inlineStr">
        <is>
          <t>Australia</t>
        </is>
      </c>
      <c r="E311" s="77" t="inlineStr">
        <is>
          <t>Law clinics (Land and Environment Court Clinic; Kingsford Legal Centre)</t>
        </is>
      </c>
      <c r="F311" s="77" t="inlineStr">
        <is>
          <t>No</t>
        </is>
      </c>
      <c r="G311" s="77" t="inlineStr"/>
      <c r="H311" s="77" t="inlineStr">
        <is>
          <t>Placement/internship</t>
        </is>
      </c>
      <c r="I311" s="77" t="inlineStr">
        <is>
          <t>Casework/placement clinics, not team project briefs. A Law 'Social Impact Hub' team clinic appears only in a 2014 news item (current status unknown).</t>
        </is>
      </c>
      <c r="J311" s="77" t="inlineStr">
        <is>
          <t>https://www.unsw.edu.au/law-justice/student-life/work-integrated-learning/clinics</t>
        </is>
      </c>
      <c r="K311" s="77" t="inlineStr"/>
    </row>
    <row r="312">
      <c r="A312" s="77" t="inlineStr">
        <is>
          <t>AU01-X07</t>
        </is>
      </c>
      <c r="B312" s="77" t="inlineStr">
        <is>
          <t>AU01</t>
        </is>
      </c>
      <c r="C312" s="77" t="inlineStr">
        <is>
          <t>UNSW Sydney</t>
        </is>
      </c>
      <c r="D312" s="77" t="inlineStr">
        <is>
          <t>Australia</t>
        </is>
      </c>
      <c r="E312" s="77" t="inlineStr">
        <is>
          <t>Chemical Engineering capstone; Industrial Design Capstone A/B (IDES4113/4114); Vertically Integrated Projects (ChallEng)</t>
        </is>
      </c>
      <c r="F312" s="77" t="inlineStr">
        <is>
          <t>No</t>
        </is>
      </c>
      <c r="G312" s="77" t="inlineStr"/>
      <c r="H312" s="77" t="inlineStr">
        <is>
          <t>Evidence gap</t>
        </is>
      </c>
      <c r="I312" s="77" t="inlineStr">
        <is>
          <t>Search summaries indicate team design projects with industry partners but the pages were not opened in reduced-depth mode.</t>
        </is>
      </c>
      <c r="J312" s="77" t="inlineStr">
        <is>
          <t>https://www.unsw.edu.au/study/undergraduate/bachelor-of-engineering-honours-chemical</t>
        </is>
      </c>
      <c r="K312" s="77" t="inlineStr"/>
    </row>
    <row r="313">
      <c r="A313" s="77" t="inlineStr">
        <is>
          <t>AU01-X08</t>
        </is>
      </c>
      <c r="B313" s="77" t="inlineStr">
        <is>
          <t>AU01</t>
        </is>
      </c>
      <c r="C313" s="77" t="inlineStr">
        <is>
          <t>UNSW Sydney</t>
        </is>
      </c>
      <c r="D313" s="77" t="inlineStr">
        <is>
          <t>Australia</t>
        </is>
      </c>
      <c r="E313" s="77" t="inlineStr">
        <is>
          <t>Business postgraduate Future of Work Project, Global Business Practicum, MIB consulting practicum</t>
        </is>
      </c>
      <c r="F313" s="77" t="inlineStr">
        <is>
          <t>No</t>
        </is>
      </c>
      <c r="G313" s="77" t="inlineStr"/>
      <c r="H313" s="77" t="inlineStr">
        <is>
          <t>Evidence gap</t>
        </is>
      </c>
      <c r="I313" s="77" t="inlineStr">
        <is>
          <t>Named in a search summary of Business School partner pages (Future of Work: 10-week, partners host multiple groups); not opened or dated.</t>
        </is>
      </c>
      <c r="J313" s="77" t="inlineStr">
        <is>
          <t>https://www.unsw.edu.au/business/career-accelerator/partner-with-us/host-our-students</t>
        </is>
      </c>
      <c r="K313" s="77" t="inlineStr"/>
    </row>
    <row r="314">
      <c r="A314" s="77" t="inlineStr">
        <is>
          <t>AU01-X09</t>
        </is>
      </c>
      <c r="B314" s="77" t="inlineStr">
        <is>
          <t>AU01</t>
        </is>
      </c>
      <c r="C314" s="77" t="inlineStr">
        <is>
          <t>UNSW Sydney</t>
        </is>
      </c>
      <c r="D314" s="77" t="inlineStr">
        <is>
          <t>Australia</t>
        </is>
      </c>
      <c r="E314" s="77" t="inlineStr">
        <is>
          <t>Arts, Design &amp; Architecture Innovation Hub projects</t>
        </is>
      </c>
      <c r="F314" s="77" t="inlineStr">
        <is>
          <t>No</t>
        </is>
      </c>
      <c r="G314" s="77" t="inlineStr"/>
      <c r="H314" s="77" t="inlineStr">
        <is>
          <t>Evidence gap</t>
        </is>
      </c>
      <c r="I314" s="77" t="inlineStr">
        <is>
          <t>Projects with community, industry and government partners listed; student team structure and credit not tested.</t>
        </is>
      </c>
      <c r="J314" s="77" t="inlineStr">
        <is>
          <t>https://www.unsw.edu.au/arts-design-architecture/engage-with-us/innovation-hub/projects</t>
        </is>
      </c>
      <c r="K314" s="77" t="inlineStr"/>
    </row>
    <row r="315">
      <c r="A315" s="77" t="inlineStr">
        <is>
          <t>AU02-X01</t>
        </is>
      </c>
      <c r="B315" s="77" t="inlineStr">
        <is>
          <t>AU02</t>
        </is>
      </c>
      <c r="C315" s="77" t="inlineStr">
        <is>
          <t>Melbourne</t>
        </is>
      </c>
      <c r="D315" s="77" t="inlineStr">
        <is>
          <t>Australia</t>
        </is>
      </c>
      <c r="E315" s="77" t="inlineStr">
        <is>
          <t>Breadth subjects / Melbourne curriculum</t>
        </is>
      </c>
      <c r="F315" s="77" t="inlineStr">
        <is>
          <t>Yes</t>
        </is>
      </c>
      <c r="G315" s="77" t="n">
        <v>32</v>
      </c>
      <c r="H315" s="77" t="inlineStr">
        <is>
          <t>Breadth/interdisciplinary curriculum</t>
        </is>
      </c>
      <c r="I315" s="77" t="inlineStr">
        <is>
          <t>Curriculum framework requiring study outside the main discipline; not itself a project. Underlying routes tested separately: ARTS30001 Industry Project is a breadth-eligible subject and is recorded as S1. The framework fails A/B/C as a scheme.</t>
        </is>
      </c>
      <c r="J315" s="77" t="inlineStr">
        <is>
          <t>https://students.unimelb.edu.au/course-admin/planning-your-course-and-subjects/breadth-subjects</t>
        </is>
      </c>
      <c r="K315" s="77" t="inlineStr">
        <is>
          <t>Framework current; not counted.</t>
        </is>
      </c>
    </row>
    <row r="316">
      <c r="A316" s="77" t="inlineStr">
        <is>
          <t>AU02-X02</t>
        </is>
      </c>
      <c r="B316" s="77" t="inlineStr">
        <is>
          <t>AU02</t>
        </is>
      </c>
      <c r="C316" s="77" t="inlineStr">
        <is>
          <t>Melbourne</t>
        </is>
      </c>
      <c r="D316" s="77" t="inlineStr">
        <is>
          <t>Australia</t>
        </is>
      </c>
      <c r="E316" s="77" t="inlineStr">
        <is>
          <t>Arts Work Integrated Learning and Industry Partnerships (partner umbrella page)</t>
        </is>
      </c>
      <c r="F316" s="77" t="inlineStr">
        <is>
          <t>No</t>
        </is>
      </c>
      <c r="G316" s="77" t="inlineStr"/>
      <c r="H316" s="77" t="inlineStr">
        <is>
          <t>WIL framework</t>
        </is>
      </c>
      <c r="I316" s="77" t="inlineStr">
        <is>
          <t>Umbrella describing internships and industry projects; the qualifying project route is ARTS30001 (S1); internships (incl. NGV placements, Melbourne Writers Festival research projects) are individual placements.</t>
        </is>
      </c>
      <c r="J316" s="77" t="inlineStr">
        <is>
          <t>https://arts.unimelb.edu.au/engage/partner-with-us/work-with-our-students/experiential-learning</t>
        </is>
      </c>
      <c r="K316" s="77" t="inlineStr">
        <is>
          <t>Undated</t>
        </is>
      </c>
    </row>
    <row r="317">
      <c r="A317" s="77" t="inlineStr">
        <is>
          <t>AU02-X03</t>
        </is>
      </c>
      <c r="B317" s="77" t="inlineStr">
        <is>
          <t>AU02</t>
        </is>
      </c>
      <c r="C317" s="77" t="inlineStr">
        <is>
          <t>Melbourne</t>
        </is>
      </c>
      <c r="D317" s="77" t="inlineStr">
        <is>
          <t>Australia</t>
        </is>
      </c>
      <c r="E317" s="77" t="inlineStr">
        <is>
          <t>Business Innovation Lab (FBE newsroom)</t>
        </is>
      </c>
      <c r="F317" s="77" t="inlineStr">
        <is>
          <t>No</t>
        </is>
      </c>
      <c r="G317" s="77" t="inlineStr"/>
      <c r="H317" s="77" t="inlineStr">
        <is>
          <t>Evidence gap</t>
        </is>
      </c>
      <c r="I317" s="77" t="inlineStr">
        <is>
          <t>Design-thinking program with industry partners (around 300 applicants for 100 spots per intake; 46 partners), run up to four times a year. Article undated; appears to be predecessor of or same as the Business Innovation Challenge (S8) - not counted separately to avoid duplication.</t>
        </is>
      </c>
      <c r="J317" s="77" t="inlineStr">
        <is>
          <t>https://fbe.unimelb.edu.au/newsroom/experiencing-the-business-innovation-lab</t>
        </is>
      </c>
      <c r="K317" s="77" t="inlineStr">
        <is>
          <t>Undated; relationship to S8 unconfirmed</t>
        </is>
      </c>
    </row>
    <row r="318">
      <c r="A318" s="77" t="inlineStr">
        <is>
          <t>AU02-X04</t>
        </is>
      </c>
      <c r="B318" s="77" t="inlineStr">
        <is>
          <t>AU02</t>
        </is>
      </c>
      <c r="C318" s="77" t="inlineStr">
        <is>
          <t>Melbourne</t>
        </is>
      </c>
      <c r="D318" s="77" t="inlineStr">
        <is>
          <t>Australia</t>
        </is>
      </c>
      <c r="E318" s="77" t="inlineStr">
        <is>
          <t>Consulting Project (MGMT90147)</t>
        </is>
      </c>
      <c r="F318" s="77" t="inlineStr">
        <is>
          <t>No</t>
        </is>
      </c>
      <c r="G318" s="77" t="inlineStr"/>
      <c r="H318" s="77" t="inlineStr">
        <is>
          <t>Other</t>
        </is>
      </c>
      <c r="I318" s="77" t="inlineStr">
        <is>
          <t>Graduate team consulting with a practicum organisation (statement of work) - would meet A/B/C, but handbook marks it 'Not available in 2024'; no later offering found.</t>
        </is>
      </c>
      <c r="J318" s="77" t="inlineStr">
        <is>
          <t>https://handbook.unimelb.edu.au/view/current/MGMT90147</t>
        </is>
      </c>
      <c r="K318" s="77" t="inlineStr">
        <is>
          <t>Paused/discontinued (not available 2024)</t>
        </is>
      </c>
    </row>
    <row r="319">
      <c r="A319" s="77" t="inlineStr">
        <is>
          <t>AU02-X05</t>
        </is>
      </c>
      <c r="B319" s="77" t="inlineStr">
        <is>
          <t>AU02</t>
        </is>
      </c>
      <c r="C319" s="77" t="inlineStr">
        <is>
          <t>Melbourne</t>
        </is>
      </c>
      <c r="D319" s="77" t="inlineStr">
        <is>
          <t>Australia</t>
        </is>
      </c>
      <c r="E319" s="77" t="inlineStr">
        <is>
          <t>FBE Grand Challenges</t>
        </is>
      </c>
      <c r="F319" s="77" t="inlineStr">
        <is>
          <t>No</t>
        </is>
      </c>
      <c r="G319" s="77" t="inlineStr"/>
      <c r="H319" s="77" t="inlineStr">
        <is>
          <t>Evidence gap</t>
        </is>
      </c>
      <c r="I319" s="77" t="inlineStr">
        <is>
          <t>Three-week (50 hours) online program in cross-disciplinary remote teams on client themes with industry mentors; page appears ~3 years old and no current delivery found; client role not clear enough to distinguish from a Practera-type programme.</t>
        </is>
      </c>
      <c r="J319" s="77" t="inlineStr">
        <is>
          <t>https://fbe.unimelb.edu.au/bcom/career/expertise/fbe-grand-challenges</t>
        </is>
      </c>
      <c r="K319" s="77" t="inlineStr">
        <is>
          <t>Historical/undated</t>
        </is>
      </c>
    </row>
    <row r="320">
      <c r="A320" s="77" t="inlineStr">
        <is>
          <t>AU02-X06</t>
        </is>
      </c>
      <c r="B320" s="77" t="inlineStr">
        <is>
          <t>AU02</t>
        </is>
      </c>
      <c r="C320" s="77" t="inlineStr">
        <is>
          <t>Melbourne</t>
        </is>
      </c>
      <c r="D320" s="77" t="inlineStr">
        <is>
          <t>Australia</t>
        </is>
      </c>
      <c r="E320" s="77" t="inlineStr">
        <is>
          <t>BCom Case Competition / MBS Case Competition / FBE international case competitions</t>
        </is>
      </c>
      <c r="F320" s="77" t="inlineStr">
        <is>
          <t>No</t>
        </is>
      </c>
      <c r="G320" s="77" t="inlineStr"/>
      <c r="H320" s="77" t="inlineStr">
        <is>
          <t>Event/competition without live client</t>
        </is>
      </c>
      <c r="I320" s="77" t="inlineStr">
        <is>
          <t>Case competitions with a case partner (BCom: Who Gives A Crap, current year) and prize pool; no evidence the partner sets a live problem or engages with teams beyond the case - C not established.</t>
        </is>
      </c>
      <c r="J320" s="77" t="inlineStr">
        <is>
          <t>https://fbe.unimelb.edu.au/bcom/career/expertise/case-competition</t>
        </is>
      </c>
      <c r="K320" s="77" t="inlineStr">
        <is>
          <t>Current</t>
        </is>
      </c>
    </row>
    <row r="321">
      <c r="A321" s="77" t="inlineStr">
        <is>
          <t>AU02-X07</t>
        </is>
      </c>
      <c r="B321" s="77" t="inlineStr">
        <is>
          <t>AU02</t>
        </is>
      </c>
      <c r="C321" s="77" t="inlineStr">
        <is>
          <t>Melbourne</t>
        </is>
      </c>
      <c r="D321" s="77" t="inlineStr">
        <is>
          <t>Australia</t>
        </is>
      </c>
      <c r="E321" s="77" t="inlineStr">
        <is>
          <t>Innovation and Enterprise Internship (BUSA90518)</t>
        </is>
      </c>
      <c r="F321" s="77" t="inlineStr">
        <is>
          <t>No</t>
        </is>
      </c>
      <c r="G321" s="77" t="inlineStr"/>
      <c r="H321" s="77" t="inlineStr">
        <is>
          <t>Placement/internship</t>
        </is>
      </c>
      <c r="I321" s="77" t="inlineStr">
        <is>
          <t>Individual client-based internship; no team route.</t>
        </is>
      </c>
      <c r="J321" s="77" t="inlineStr">
        <is>
          <t>https://handbook.unimelb.edu.au/2021/subjects/busa90518</t>
        </is>
      </c>
      <c r="K321" s="77" t="inlineStr">
        <is>
          <t>2021 handbook</t>
        </is>
      </c>
    </row>
    <row r="322">
      <c r="A322" s="77" t="inlineStr">
        <is>
          <t>AU02-X08</t>
        </is>
      </c>
      <c r="B322" s="77" t="inlineStr">
        <is>
          <t>AU02</t>
        </is>
      </c>
      <c r="C322" s="77" t="inlineStr">
        <is>
          <t>Melbourne</t>
        </is>
      </c>
      <c r="D322" s="77" t="inlineStr">
        <is>
          <t>Australia</t>
        </is>
      </c>
      <c r="E322" s="77" t="inlineStr">
        <is>
          <t>Industry Project (AGRI30006, Dookie)</t>
        </is>
      </c>
      <c r="F322" s="77" t="inlineStr">
        <is>
          <t>No</t>
        </is>
      </c>
      <c r="G322" s="77" t="inlineStr"/>
      <c r="H322" s="77" t="inlineStr">
        <is>
          <t>Near-miss: not group</t>
        </is>
      </c>
      <c r="I322" s="77" t="inlineStr">
        <is>
          <t>Industry-linked project with industry advisors and presentation to an audience including industry members, but students define their own individual projects with a supervisor and submit individual reports. AGRI30005 not available in 2026.</t>
        </is>
      </c>
      <c r="J322" s="77" t="inlineStr">
        <is>
          <t>https://handbook.unimelb.edu.au/subjects/agri30006</t>
        </is>
      </c>
      <c r="K322" s="77" t="inlineStr">
        <is>
          <t>Current 2026 (Semester 2, Dookie)</t>
        </is>
      </c>
    </row>
    <row r="323">
      <c r="A323" s="77" t="inlineStr">
        <is>
          <t>AU02-X09</t>
        </is>
      </c>
      <c r="B323" s="77" t="inlineStr">
        <is>
          <t>AU02</t>
        </is>
      </c>
      <c r="C323" s="77" t="inlineStr">
        <is>
          <t>Melbourne</t>
        </is>
      </c>
      <c r="D323" s="77" t="inlineStr">
        <is>
          <t>Australia</t>
        </is>
      </c>
      <c r="E323" s="77" t="inlineStr">
        <is>
          <t>Environmental Industry Research (ENST90025 / ENST90020)</t>
        </is>
      </c>
      <c r="F323" s="77" t="inlineStr">
        <is>
          <t>No</t>
        </is>
      </c>
      <c r="G323" s="77" t="inlineStr"/>
      <c r="H323" s="77" t="inlineStr">
        <is>
          <t>Evidence gap</t>
        </is>
      </c>
      <c r="I323" s="77" t="inlineStr">
        <is>
          <t>Research with an industry partner on a real-world problem; team format not evidenced (likely individual research).</t>
        </is>
      </c>
      <c r="J323" s="77" t="inlineStr">
        <is>
          <t>https://environment.unimelb.edu.au/current-students/subject-options/research-and-industry-projects</t>
        </is>
      </c>
      <c r="K323" s="77" t="inlineStr">
        <is>
          <t>Undated</t>
        </is>
      </c>
    </row>
    <row r="324">
      <c r="A324" s="77" t="inlineStr">
        <is>
          <t>AU02-X10</t>
        </is>
      </c>
      <c r="B324" s="77" t="inlineStr">
        <is>
          <t>AU02</t>
        </is>
      </c>
      <c r="C324" s="77" t="inlineStr">
        <is>
          <t>Melbourne</t>
        </is>
      </c>
      <c r="D324" s="77" t="inlineStr">
        <is>
          <t>Australia</t>
        </is>
      </c>
      <c r="E324" s="77" t="inlineStr">
        <is>
          <t>Public Interest Law Clinic</t>
        </is>
      </c>
      <c r="F324" s="77" t="inlineStr">
        <is>
          <t>No</t>
        </is>
      </c>
      <c r="G324" s="77" t="inlineStr"/>
      <c r="H324" s="77" t="inlineStr">
        <is>
          <t>Placement/internship</t>
        </is>
      </c>
      <c r="I324" s="77" t="inlineStr">
        <is>
          <t>Students placed at VALS doing intake/casework with possible policy work - individual clinical placement, no team project.</t>
        </is>
      </c>
      <c r="J324" s="77" t="inlineStr">
        <is>
          <t>https://law.unimelb.edu.au/students/jd/enrichment/mls-clinics/subjects/public-interest-law-clinic</t>
        </is>
      </c>
      <c r="K324" s="77" t="inlineStr">
        <is>
          <t>Undated</t>
        </is>
      </c>
    </row>
    <row r="325">
      <c r="A325" s="77" t="inlineStr">
        <is>
          <t>AU02-X11</t>
        </is>
      </c>
      <c r="B325" s="77" t="inlineStr">
        <is>
          <t>AU02</t>
        </is>
      </c>
      <c r="C325" s="77" t="inlineStr">
        <is>
          <t>Melbourne</t>
        </is>
      </c>
      <c r="D325" s="77" t="inlineStr">
        <is>
          <t>Australia</t>
        </is>
      </c>
      <c r="E325" s="77" t="inlineStr">
        <is>
          <t>Melbourne School of Design studios with external partners (e.g. Studio 5/02, 2024 Merri-Bek Council / Wurundjeri)</t>
        </is>
      </c>
      <c r="F325" s="77" t="inlineStr">
        <is>
          <t>No</t>
        </is>
      </c>
      <c r="G325" s="77" t="inlineStr"/>
      <c r="H325" s="77" t="inlineStr">
        <is>
          <t>Evidence gap</t>
        </is>
      </c>
      <c r="I325" s="77" t="inlineStr">
        <is>
          <t>Individual studios sometimes have named external clients, but team format and partner role per studio not evidenced; studios vary each semester. Travelling studios partner with universities/government departments (role unclear).</t>
        </is>
      </c>
      <c r="J325" s="77" t="inlineStr">
        <is>
          <t>https://msd.unimelb.edu.au/current-students/subject-information/msd-studios/msd-studio-archive/2024/semester-1/studio-502</t>
        </is>
      </c>
      <c r="K325" s="77" t="inlineStr">
        <is>
          <t>2024 archive</t>
        </is>
      </c>
    </row>
    <row r="326">
      <c r="A326" s="77" t="inlineStr">
        <is>
          <t>AU02-X12</t>
        </is>
      </c>
      <c r="B326" s="77" t="inlineStr">
        <is>
          <t>AU02</t>
        </is>
      </c>
      <c r="C326" s="77" t="inlineStr">
        <is>
          <t>Melbourne</t>
        </is>
      </c>
      <c r="D326" s="77" t="inlineStr">
        <is>
          <t>Australia</t>
        </is>
      </c>
      <c r="E326" s="77" t="inlineStr">
        <is>
          <t>Melbourne Plus (co-curricular credential)</t>
        </is>
      </c>
      <c r="F326" s="77" t="inlineStr">
        <is>
          <t>No</t>
        </is>
      </c>
      <c r="G326" s="77" t="inlineStr"/>
      <c r="H326" s="77" t="inlineStr">
        <is>
          <t>Employability award</t>
        </is>
      </c>
      <c r="I326" s="77" t="inlineStr">
        <is>
          <t>Credential recognising activities such as BIC and VIP; not itself a project.</t>
        </is>
      </c>
      <c r="J326" s="77" t="inlineStr">
        <is>
          <t>https://mbs.unimelb.edu.au/career/expertise/business-innovation-challenge</t>
        </is>
      </c>
      <c r="K326" s="77" t="inlineStr"/>
    </row>
    <row r="327">
      <c r="A327" s="77" t="inlineStr">
        <is>
          <t>AU02-X13</t>
        </is>
      </c>
      <c r="B327" s="77" t="inlineStr">
        <is>
          <t>AU02</t>
        </is>
      </c>
      <c r="C327" s="77" t="inlineStr">
        <is>
          <t>Melbourne</t>
        </is>
      </c>
      <c r="D327" s="77" t="inlineStr">
        <is>
          <t>Australia</t>
        </is>
      </c>
      <c r="E327" s="77" t="inlineStr">
        <is>
          <t>Students@Work</t>
        </is>
      </c>
      <c r="F327" s="77" t="inlineStr">
        <is>
          <t>No</t>
        </is>
      </c>
      <c r="G327" s="77" t="inlineStr"/>
      <c r="H327" s="77" t="inlineStr">
        <is>
          <t>Placement/internship</t>
        </is>
      </c>
      <c r="I327" s="77" t="inlineStr">
        <is>
          <t>Paid on-campus work/internships for students; not an external team project.</t>
        </is>
      </c>
      <c r="J327" s="77" t="inlineStr">
        <is>
          <t>https://about.unimelb.edu.au/news-resources/awards-and-achievements/awards-and-prizes/university-of-melbournes-students@work-program-ranked-sixth-nationally</t>
        </is>
      </c>
      <c r="K327" s="77" t="inlineStr"/>
    </row>
    <row r="328">
      <c r="A328" s="77" t="inlineStr">
        <is>
          <t>AU03-X01</t>
        </is>
      </c>
      <c r="B328" s="77" t="inlineStr">
        <is>
          <t>AU03</t>
        </is>
      </c>
      <c r="C328" s="77" t="inlineStr">
        <is>
          <t>Sydney</t>
        </is>
      </c>
      <c r="D328" s="77" t="inlineStr">
        <is>
          <t>Australia</t>
        </is>
      </c>
      <c r="E328" s="77" t="inlineStr">
        <is>
          <t>DATA3888 Data Science Capstone</t>
        </is>
      </c>
      <c r="F328" s="77" t="inlineStr">
        <is>
          <t>No</t>
        </is>
      </c>
      <c r="G328" s="77" t="inlineStr"/>
      <c r="H328" s="77" t="inlineStr">
        <is>
          <t>Near-miss: no external org</t>
        </is>
      </c>
      <c r="I328" s="77" t="inlineStr">
        <is>
          <t>2026 unit page: project-based learning teams create a public data product; no industry partner mentioned (A,B yes; C not evidenced). A 2020 handbook described a separate selective partner-provided project, not current evidence.</t>
        </is>
      </c>
      <c r="J328" s="77" t="inlineStr">
        <is>
          <t>https://www.sydney.edu.au/units/DATA3888</t>
        </is>
      </c>
      <c r="K328" s="77" t="inlineStr">
        <is>
          <t>2026 unit page; ~440 students per 2025 symposium programme</t>
        </is>
      </c>
    </row>
    <row r="329">
      <c r="A329" s="77" t="inlineStr">
        <is>
          <t>AU03-X02</t>
        </is>
      </c>
      <c r="B329" s="77" t="inlineStr">
        <is>
          <t>AU03</t>
        </is>
      </c>
      <c r="C329" s="77" t="inlineStr">
        <is>
          <t>Sydney</t>
        </is>
      </c>
      <c r="D329" s="77" t="inlineStr">
        <is>
          <t>Australia</t>
        </is>
      </c>
      <c r="E329" s="77" t="inlineStr">
        <is>
          <t>SMBA6201 MBA capstone</t>
        </is>
      </c>
      <c r="F329" s="77" t="inlineStr">
        <is>
          <t>No</t>
        </is>
      </c>
      <c r="G329" s="77" t="inlineStr"/>
      <c r="H329" s="77" t="inlineStr">
        <is>
          <t>Evidence gap</t>
        </is>
      </c>
      <c r="I329" s="77" t="inlineStr">
        <is>
          <t>2018 handbook: teams integrate MBA learning to bring a real prototype to market; no external client evidenced and only historical (2018) evidence.</t>
        </is>
      </c>
      <c r="J329" s="77" t="inlineStr">
        <is>
          <t>https://rp-handbooks.sydney.edu.au/handbooks/archive/2018/business_school_PG/coursework/mba/mba_units.shtml.html</t>
        </is>
      </c>
      <c r="K329" s="77" t="inlineStr">
        <is>
          <t>2018</t>
        </is>
      </c>
    </row>
    <row r="330">
      <c r="A330" s="77" t="inlineStr">
        <is>
          <t>AU03-X03</t>
        </is>
      </c>
      <c r="B330" s="77" t="inlineStr">
        <is>
          <t>AU03</t>
        </is>
      </c>
      <c r="C330" s="77" t="inlineStr">
        <is>
          <t>Sydney</t>
        </is>
      </c>
      <c r="D330" s="77" t="inlineStr">
        <is>
          <t>Australia</t>
        </is>
      </c>
      <c r="E330" s="77" t="inlineStr">
        <is>
          <t>ARHT6923 Capstone Art Curating Placement</t>
        </is>
      </c>
      <c r="F330" s="77" t="inlineStr">
        <is>
          <t>No</t>
        </is>
      </c>
      <c r="G330" s="77" t="inlineStr"/>
      <c r="H330" s="77" t="inlineStr">
        <is>
          <t>Placement/internship</t>
        </is>
      </c>
      <c r="I330" s="77" t="inlineStr">
        <is>
          <t>20-day individual internship with a gallery/museum followed by a major essay; not a group project.</t>
        </is>
      </c>
      <c r="J330" s="77" t="inlineStr">
        <is>
          <t>https://www.sydney.edu.au/units/ARHT6923</t>
        </is>
      </c>
      <c r="K330" s="77" t="inlineStr"/>
    </row>
    <row r="331">
      <c r="A331" s="77" t="inlineStr">
        <is>
          <t>AU03-X04</t>
        </is>
      </c>
      <c r="B331" s="77" t="inlineStr">
        <is>
          <t>AU03</t>
        </is>
      </c>
      <c r="C331" s="77" t="inlineStr">
        <is>
          <t>Sydney</t>
        </is>
      </c>
      <c r="D331" s="77" t="inlineStr">
        <is>
          <t>Australia</t>
        </is>
      </c>
      <c r="E331" s="77" t="inlineStr">
        <is>
          <t>Cultural Studies internship capstone / MECO6928 Media internship</t>
        </is>
      </c>
      <c r="F331" s="77" t="inlineStr">
        <is>
          <t>No</t>
        </is>
      </c>
      <c r="G331" s="77" t="inlineStr"/>
      <c r="H331" s="77" t="inlineStr">
        <is>
          <t>Placement/internship</t>
        </is>
      </c>
      <c r="I331" s="77" t="inlineStr">
        <is>
          <t>Supervised individual work placements (MECO6928: 20-day placement); no group project evidenced.</t>
        </is>
      </c>
      <c r="J331" s="77" t="inlineStr">
        <is>
          <t>https://www.sydney.edu.au/handbooks/arts-pg/coursework-areas/cultural-studies/overview.html</t>
        </is>
      </c>
      <c r="K331" s="77" t="inlineStr"/>
    </row>
    <row r="332">
      <c r="A332" s="77" t="inlineStr">
        <is>
          <t>AU03-X05</t>
        </is>
      </c>
      <c r="B332" s="77" t="inlineStr">
        <is>
          <t>AU03</t>
        </is>
      </c>
      <c r="C332" s="77" t="inlineStr">
        <is>
          <t>Sydney</t>
        </is>
      </c>
      <c r="D332" s="77" t="inlineStr">
        <is>
          <t>Australia</t>
        </is>
      </c>
      <c r="E332" s="77" t="inlineStr">
        <is>
          <t>MECO6935 Professional Project</t>
        </is>
      </c>
      <c r="F332" s="77" t="inlineStr">
        <is>
          <t>No</t>
        </is>
      </c>
      <c r="G332" s="77" t="inlineStr"/>
      <c r="H332" s="77" t="inlineStr">
        <is>
          <t>Near-miss: not group</t>
        </is>
      </c>
      <c r="I332" s="77" t="inlineStr">
        <is>
          <t>Individual researched project tied to student's career goals; no team or external client evidenced (2021 archive).</t>
        </is>
      </c>
      <c r="J332" s="77" t="inlineStr">
        <is>
          <t>https://rp-handbooks.sydney.edu.au/handbooks/archive/2021/arts_PG/subject_areas_im/digital_communication_culture_descriptions.shtml.html</t>
        </is>
      </c>
      <c r="K332" s="77" t="inlineStr">
        <is>
          <t>2021 archive</t>
        </is>
      </c>
    </row>
    <row r="333">
      <c r="A333" s="77" t="inlineStr">
        <is>
          <t>AU03-X06</t>
        </is>
      </c>
      <c r="B333" s="77" t="inlineStr">
        <is>
          <t>AU03</t>
        </is>
      </c>
      <c r="C333" s="77" t="inlineStr">
        <is>
          <t>Sydney</t>
        </is>
      </c>
      <c r="D333" s="77" t="inlineStr">
        <is>
          <t>Australia</t>
        </is>
      </c>
      <c r="E333" s="77" t="inlineStr">
        <is>
          <t>Sydney Policy Reform Project</t>
        </is>
      </c>
      <c r="F333" s="77" t="inlineStr">
        <is>
          <t>No</t>
        </is>
      </c>
      <c r="G333" s="77" t="inlineStr"/>
      <c r="H333" s="77" t="inlineStr">
        <is>
          <t>Evidence gap</t>
        </is>
      </c>
      <c r="I333" s="77" t="inlineStr">
        <is>
          <t>High-achieving students do volunteer research for policy and law reform organisations under academic supervision (230+ students, ~45 papers since 2019, per FASS partner page). Group format, partner role and current status not verified: search budget exhausted before the dedicated search ran.</t>
        </is>
      </c>
      <c r="J333" s="77" t="inlineStr">
        <is>
          <t>https://www.sydney.edu.au/arts/industry-and-community/industry-partnerships/engage-with-our-students.html</t>
        </is>
      </c>
      <c r="K333" s="77" t="inlineStr">
        <is>
          <t>Not tested</t>
        </is>
      </c>
    </row>
    <row r="334">
      <c r="A334" s="77" t="inlineStr">
        <is>
          <t>AU04-X01</t>
        </is>
      </c>
      <c r="B334" s="77" t="inlineStr">
        <is>
          <t>AU04</t>
        </is>
      </c>
      <c r="C334" s="77" t="inlineStr">
        <is>
          <t>Australian National University</t>
        </is>
      </c>
      <c r="D334" s="77" t="inlineStr">
        <is>
          <t>Australia</t>
        </is>
      </c>
      <c r="E334" s="77" t="inlineStr">
        <is>
          <t>SoCIETIE courses (legacy row)</t>
        </is>
      </c>
      <c r="F334" s="77" t="inlineStr">
        <is>
          <t>Yes</t>
        </is>
      </c>
      <c r="G334" s="77" t="n">
        <v>34</v>
      </c>
      <c r="H334" s="77" t="inlineStr">
        <is>
          <t>Breadth/interdisciplinary curriculum</t>
        </is>
      </c>
      <c r="I334" s="77" t="inlineStr">
        <is>
          <t>Reassessed as S5; criteria B and C unclear.</t>
        </is>
      </c>
      <c r="J334" s="77" t="inlineStr">
        <is>
          <t>https://vc-courses.anu.edu.au/societie/courses/</t>
        </is>
      </c>
      <c r="K334" s="77" t="inlineStr">
        <is>
          <t>Page returned 503 on fetch; see S5</t>
        </is>
      </c>
    </row>
    <row r="335">
      <c r="A335" s="77" t="inlineStr">
        <is>
          <t>AU04-X02</t>
        </is>
      </c>
      <c r="B335" s="77" t="inlineStr">
        <is>
          <t>AU04</t>
        </is>
      </c>
      <c r="C335" s="77" t="inlineStr">
        <is>
          <t>Australian National University</t>
        </is>
      </c>
      <c r="D335" s="77" t="inlineStr">
        <is>
          <t>Australia</t>
        </is>
      </c>
      <c r="E335" s="77" t="inlineStr">
        <is>
          <t>Group Research and Innovation Project (GRIP, VCPG6100)</t>
        </is>
      </c>
      <c r="F335" s="77" t="inlineStr">
        <is>
          <t>No</t>
        </is>
      </c>
      <c r="G335" s="77" t="inlineStr"/>
      <c r="H335" s="77" t="inlineStr">
        <is>
          <t>WIL framework</t>
        </is>
      </c>
      <c r="I335" s="77" t="inlineStr">
        <is>
          <t>Portfolio assessed individually; joins other endorsed group project courses; WIL partners a 'minor component'; underlying projects are the hosts' (e.g. TechLauncher).</t>
        </is>
      </c>
      <c r="J335" s="77" t="inlineStr">
        <is>
          <t>https://programsandcourses.anu.edu.au/course/VCPG6100</t>
        </is>
      </c>
      <c r="K335" s="77" t="inlineStr"/>
    </row>
    <row r="336">
      <c r="A336" s="77" t="inlineStr">
        <is>
          <t>AU04-X03</t>
        </is>
      </c>
      <c r="B336" s="77" t="inlineStr">
        <is>
          <t>AU04</t>
        </is>
      </c>
      <c r="C336" s="77" t="inlineStr">
        <is>
          <t>Australian National University</t>
        </is>
      </c>
      <c r="D336" s="77" t="inlineStr">
        <is>
          <t>Australia</t>
        </is>
      </c>
      <c r="E336" s="77" t="inlineStr">
        <is>
          <t>Company Consultancy Project (MGMT8008)</t>
        </is>
      </c>
      <c r="F336" s="77" t="inlineStr">
        <is>
          <t>No</t>
        </is>
      </c>
      <c r="G336" s="77" t="inlineStr"/>
      <c r="H336" s="77" t="inlineStr">
        <is>
          <t>Evidence gap</t>
        </is>
      </c>
      <c r="I336" s="77" t="inlineStr">
        <is>
          <t>Teams develop growth strategy for external client, but search listing indicated no current offerings.</t>
        </is>
      </c>
      <c r="J336" s="77" t="inlineStr">
        <is>
          <t>https://programsandcourses.anu.edu.au/course/MGMT8008</t>
        </is>
      </c>
      <c r="K336" s="77" t="inlineStr">
        <is>
          <t>Possibly discontinued</t>
        </is>
      </c>
    </row>
    <row r="337">
      <c r="A337" s="77" t="inlineStr">
        <is>
          <t>AU04-X04</t>
        </is>
      </c>
      <c r="B337" s="77" t="inlineStr">
        <is>
          <t>AU04</t>
        </is>
      </c>
      <c r="C337" s="77" t="inlineStr">
        <is>
          <t>Australian National University</t>
        </is>
      </c>
      <c r="D337" s="77" t="inlineStr">
        <is>
          <t>Australia</t>
        </is>
      </c>
      <c r="E337" s="77" t="inlineStr">
        <is>
          <t>Evidence-Based Decision-Making Capstone (MGMT8007)</t>
        </is>
      </c>
      <c r="F337" s="77" t="inlineStr">
        <is>
          <t>No</t>
        </is>
      </c>
      <c r="G337" s="77" t="inlineStr"/>
      <c r="H337" s="77" t="inlineStr">
        <is>
          <t>Near-miss: not group</t>
        </is>
      </c>
      <c r="I337" s="77" t="inlineStr">
        <is>
          <t>Individual MBA capstone, often in own organisation.</t>
        </is>
      </c>
      <c r="J337" s="77" t="inlineStr">
        <is>
          <t>https://programsandcourses.anu.edu.au/course/MGMT8007</t>
        </is>
      </c>
      <c r="K337" s="77" t="inlineStr"/>
    </row>
    <row r="338">
      <c r="A338" s="77" t="inlineStr">
        <is>
          <t>AU04-X05</t>
        </is>
      </c>
      <c r="B338" s="77" t="inlineStr">
        <is>
          <t>AU04</t>
        </is>
      </c>
      <c r="C338" s="77" t="inlineStr">
        <is>
          <t>Australian National University</t>
        </is>
      </c>
      <c r="D338" s="77" t="inlineStr">
        <is>
          <t>Australia</t>
        </is>
      </c>
      <c r="E338" s="77" t="inlineStr">
        <is>
          <t>Science Research Project SCNC3021 / Science Internship SCNC3000</t>
        </is>
      </c>
      <c r="F338" s="77" t="inlineStr">
        <is>
          <t>No</t>
        </is>
      </c>
      <c r="G338" s="77" t="inlineStr"/>
      <c r="H338" s="77" t="inlineStr">
        <is>
          <t>Near-miss: not group</t>
        </is>
      </c>
      <c r="I338" s="77" t="inlineStr">
        <is>
          <t>Individual research project or placement.</t>
        </is>
      </c>
      <c r="J338" s="77" t="inlineStr">
        <is>
          <t>https://programsandcourses.anu.edu.au/course/scnc3021</t>
        </is>
      </c>
      <c r="K338" s="77" t="inlineStr"/>
    </row>
    <row r="339">
      <c r="A339" s="77" t="inlineStr">
        <is>
          <t>AU04-X06</t>
        </is>
      </c>
      <c r="B339" s="77" t="inlineStr">
        <is>
          <t>AU04</t>
        </is>
      </c>
      <c r="C339" s="77" t="inlineStr">
        <is>
          <t>Australian National University</t>
        </is>
      </c>
      <c r="D339" s="77" t="inlineStr">
        <is>
          <t>Australia</t>
        </is>
      </c>
      <c r="E339" s="77" t="inlineStr">
        <is>
          <t>ANU Law clinics (Community, Youth, Law and Development, International Law Clinic)</t>
        </is>
      </c>
      <c r="F339" s="77" t="inlineStr">
        <is>
          <t>No</t>
        </is>
      </c>
      <c r="G339" s="77" t="inlineStr"/>
      <c r="H339" s="77" t="inlineStr">
        <is>
          <t>Placement/internship</t>
        </is>
      </c>
      <c r="I339" s="77" t="inlineStr">
        <is>
          <t>Casework placements; International Law Clinic project individual or in pairs set by convenor, no external client evidenced.</t>
        </is>
      </c>
      <c r="J339" s="77" t="inlineStr">
        <is>
          <t>https://law.anu.edu.au/current-students/professional-experience/community-law-clinic</t>
        </is>
      </c>
      <c r="K339" s="77" t="inlineStr"/>
    </row>
    <row r="340">
      <c r="A340" s="77" t="inlineStr">
        <is>
          <t>AU04-X07</t>
        </is>
      </c>
      <c r="B340" s="77" t="inlineStr">
        <is>
          <t>AU04</t>
        </is>
      </c>
      <c r="C340" s="77" t="inlineStr">
        <is>
          <t>Australian National University</t>
        </is>
      </c>
      <c r="D340" s="77" t="inlineStr">
        <is>
          <t>Australia</t>
        </is>
      </c>
      <c r="E340" s="77" t="inlineStr">
        <is>
          <t>SCOM3007 Science Communication Project Design; BIOL3188 SynBio Challenge Team Project; McCusker Living Lab; INFS8202 Industry Research Project</t>
        </is>
      </c>
      <c r="F340" s="77" t="inlineStr">
        <is>
          <t>No</t>
        </is>
      </c>
      <c r="G340" s="77" t="inlineStr"/>
      <c r="H340" s="77" t="inlineStr">
        <is>
          <t>Evidence gap</t>
        </is>
      </c>
      <c r="I340" s="77" t="inlineStr">
        <is>
          <t>Surfaced in searches but not opened; individual-or-group (SCOM3007), partner role unverified for the others.</t>
        </is>
      </c>
      <c r="J340" s="77" t="inlineStr">
        <is>
          <t>https://programsandcourses.anu.edu.au/course/scom3007</t>
        </is>
      </c>
      <c r="K340" s="77" t="inlineStr">
        <is>
          <t>Not researched in reduced-depth mode</t>
        </is>
      </c>
    </row>
    <row r="341">
      <c r="A341" s="77" t="inlineStr">
        <is>
          <t>AU05-X01</t>
        </is>
      </c>
      <c r="B341" s="77" t="inlineStr">
        <is>
          <t>AU05</t>
        </is>
      </c>
      <c r="C341" s="77" t="inlineStr">
        <is>
          <t>Monash</t>
        </is>
      </c>
      <c r="D341" s="77" t="inlineStr">
        <is>
          <t>Australia</t>
        </is>
      </c>
      <c r="E341" s="77" t="inlineStr">
        <is>
          <t>Science in Action research project SCI3990 / Global Challenges SCI3502 industry project</t>
        </is>
      </c>
      <c r="F341" s="77" t="inlineStr">
        <is>
          <t>No</t>
        </is>
      </c>
      <c r="G341" s="77" t="inlineStr"/>
      <c r="H341" s="77" t="inlineStr">
        <is>
          <t>Evidence gap</t>
        </is>
      </c>
      <c r="I341" s="77" t="inlineStr">
        <is>
          <t>Project with an external industry partner is an option, but individual versus team format not evidenced.</t>
        </is>
      </c>
      <c r="J341" s="77" t="inlineStr">
        <is>
          <t>https://www.monash.edu/science/current-students/manage-your-science-studies/research-units</t>
        </is>
      </c>
      <c r="K341" s="77" t="inlineStr">
        <is>
          <t>Search summary only</t>
        </is>
      </c>
    </row>
    <row r="342">
      <c r="A342" s="77" t="inlineStr">
        <is>
          <t>AU05-X02</t>
        </is>
      </c>
      <c r="B342" s="77" t="inlineStr">
        <is>
          <t>AU05</t>
        </is>
      </c>
      <c r="C342" s="77" t="inlineStr">
        <is>
          <t>Monash</t>
        </is>
      </c>
      <c r="D342" s="77" t="inlineStr">
        <is>
          <t>Australia</t>
        </is>
      </c>
      <c r="E342" s="77" t="inlineStr">
        <is>
          <t>Science internships SCI3920/SCI3925/SCI3501; IT Industry-Based Learning placements; Business placements</t>
        </is>
      </c>
      <c r="F342" s="77" t="inlineStr">
        <is>
          <t>No</t>
        </is>
      </c>
      <c r="G342" s="77" t="inlineStr"/>
      <c r="H342" s="77" t="inlineStr">
        <is>
          <t>Placement/internship</t>
        </is>
      </c>
      <c r="I342" s="77" t="inlineStr">
        <is>
          <t>Individual placements, not group projects.</t>
        </is>
      </c>
      <c r="J342" s="77" t="inlineStr">
        <is>
          <t>https://www.monash.edu/it/industry-based-learning/partners</t>
        </is>
      </c>
      <c r="K342" s="77" t="inlineStr"/>
    </row>
    <row r="343">
      <c r="A343" s="77" t="inlineStr">
        <is>
          <t>AU05-X03</t>
        </is>
      </c>
      <c r="B343" s="77" t="inlineStr">
        <is>
          <t>AU05</t>
        </is>
      </c>
      <c r="C343" s="77" t="inlineStr">
        <is>
          <t>Monash</t>
        </is>
      </c>
      <c r="D343" s="77" t="inlineStr">
        <is>
          <t>Australia</t>
        </is>
      </c>
      <c r="E343" s="77" t="inlineStr">
        <is>
          <t>Monash Student Teams Initiative (IT)</t>
        </is>
      </c>
      <c r="F343" s="77" t="inlineStr">
        <is>
          <t>No</t>
        </is>
      </c>
      <c r="G343" s="77" t="inlineStr"/>
      <c r="H343" s="77" t="inlineStr">
        <is>
          <t>Evidence gap</t>
        </is>
      </c>
      <c r="I343" s="77" t="inlineStr">
        <is>
          <t>Partners act as adviser/sponsor to self-managed student teams; extent of partner-set briefs and curricular status not evidenced.</t>
        </is>
      </c>
      <c r="J343" s="77" t="inlineStr">
        <is>
          <t>https://www.monash.edu/it/industry-and-community/partnership-options</t>
        </is>
      </c>
      <c r="K343" s="77" t="inlineStr"/>
    </row>
    <row r="344">
      <c r="A344" s="77" t="inlineStr">
        <is>
          <t>AU05-X04</t>
        </is>
      </c>
      <c r="B344" s="77" t="inlineStr">
        <is>
          <t>AU05</t>
        </is>
      </c>
      <c r="C344" s="77" t="inlineStr">
        <is>
          <t>Monash</t>
        </is>
      </c>
      <c r="D344" s="77" t="inlineStr">
        <is>
          <t>Australia</t>
        </is>
      </c>
      <c r="E344" s="77" t="inlineStr">
        <is>
          <t>Collaborative design studios (MDC5330, COL3001/3002)</t>
        </is>
      </c>
      <c r="F344" s="77" t="inlineStr">
        <is>
          <t>No</t>
        </is>
      </c>
      <c r="G344" s="77" t="inlineStr"/>
      <c r="H344" s="77" t="inlineStr">
        <is>
          <t>Evidence gap</t>
        </is>
      </c>
      <c r="I344" s="77" t="inlineStr">
        <is>
          <t>2019-2022 handbook entries say projects are drawn from industry or societal issues; no evidence of an external client or current delivery.</t>
        </is>
      </c>
      <c r="J344" s="77" t="inlineStr">
        <is>
          <t>https://handbook.monash.edu/2022/units/MDC5330</t>
        </is>
      </c>
      <c r="K344" s="77" t="inlineStr">
        <is>
          <t>Historical handbook</t>
        </is>
      </c>
    </row>
    <row r="345">
      <c r="A345" s="77" t="inlineStr">
        <is>
          <t>AU05-X05</t>
        </is>
      </c>
      <c r="B345" s="77" t="inlineStr">
        <is>
          <t>AU05</t>
        </is>
      </c>
      <c r="C345" s="77" t="inlineStr">
        <is>
          <t>Monash</t>
        </is>
      </c>
      <c r="D345" s="77" t="inlineStr">
        <is>
          <t>Australia</t>
        </is>
      </c>
      <c r="E345" s="77" t="inlineStr">
        <is>
          <t>SWM5106 Community engagement group project (Social Work); PAC3552 Community engagement (Pharmacy)</t>
        </is>
      </c>
      <c r="F345" s="77" t="inlineStr">
        <is>
          <t>No</t>
        </is>
      </c>
      <c r="G345" s="77" t="inlineStr"/>
      <c r="H345" s="77" t="inlineStr">
        <is>
          <t>Evidence gap</t>
        </is>
      </c>
      <c r="I345" s="77" t="inlineStr">
        <is>
          <t>2018-2019 handbook entries; group community project, but current status and organisation role not evidenced.</t>
        </is>
      </c>
      <c r="J345" s="77" t="inlineStr">
        <is>
          <t>http://www.monash.edu/pubs/2019handbooks/units/SWM5106.html</t>
        </is>
      </c>
      <c r="K345" s="77" t="inlineStr">
        <is>
          <t>Historical handbook</t>
        </is>
      </c>
    </row>
    <row r="346">
      <c r="A346" s="77" t="inlineStr">
        <is>
          <t>AU06-X01</t>
        </is>
      </c>
      <c r="B346" s="77" t="inlineStr">
        <is>
          <t>AU06</t>
        </is>
      </c>
      <c r="C346" s="77" t="inlineStr">
        <is>
          <t>Queensland</t>
        </is>
      </c>
      <c r="D346" s="77" t="inlineStr">
        <is>
          <t>Australia</t>
        </is>
      </c>
      <c r="E346" s="77" t="inlineStr">
        <is>
          <t>DECO3800/DECO3801 Design Computing Studio 3 (IT/software capstone)</t>
        </is>
      </c>
      <c r="F346" s="77" t="inlineStr">
        <is>
          <t>No</t>
        </is>
      </c>
      <c r="G346" s="77" t="inlineStr"/>
      <c r="H346" s="77" t="inlineStr">
        <is>
          <t>Near-miss: no external org</t>
        </is>
      </c>
      <c r="I346" s="77" t="inlineStr">
        <is>
          <t>Compulsory capstone for BInfTech, MInfTech and BE (Software) where interdisciplinary teams build a software prototype to a project brief (A, B = Yes), but briefs derive from student team proposals in DECO3800; industry involvement evidenced only as guest speakers; no external client found.</t>
        </is>
      </c>
      <c r="J346" s="77" t="inlineStr">
        <is>
          <t>https://programs-courses.uq.edu.au/course.html?course_code=DECO3801</t>
        </is>
      </c>
      <c r="K346" s="77" t="inlineStr">
        <is>
          <t>Semester 1 2026 offering</t>
        </is>
      </c>
    </row>
    <row r="347">
      <c r="A347" s="77" t="inlineStr">
        <is>
          <t>AU06-X02</t>
        </is>
      </c>
      <c r="B347" s="77" t="inlineStr">
        <is>
          <t>AU06</t>
        </is>
      </c>
      <c r="C347" s="77" t="inlineStr">
        <is>
          <t>Queensland</t>
        </is>
      </c>
      <c r="D347" s="77" t="inlineStr">
        <is>
          <t>Australia</t>
        </is>
      </c>
      <c r="E347" s="77" t="inlineStr">
        <is>
          <t>ENGG1100 Professional Engineering / ENGG4901 Professional Practice and the Business Environment A</t>
        </is>
      </c>
      <c r="F347" s="77" t="inlineStr">
        <is>
          <t>No</t>
        </is>
      </c>
      <c r="G347" s="77" t="inlineStr"/>
      <c r="H347" s="77" t="inlineStr">
        <is>
          <t>Near-miss: no external org</t>
        </is>
      </c>
      <c r="I347" s="77" t="inlineStr">
        <is>
          <t>Team design project/report (ENGG1100) and team project reported to a 'project manager' (ENGG4901) in 2026 profiles; no external organisation evidenced as client.</t>
        </is>
      </c>
      <c r="J347" s="77" t="inlineStr">
        <is>
          <t>https://course-profiles.uq.edu.au/course-profiles/ENGG1100-20455-7620</t>
        </is>
      </c>
      <c r="K347" s="77" t="inlineStr">
        <is>
          <t>2026 profiles</t>
        </is>
      </c>
    </row>
    <row r="348">
      <c r="A348" s="77" t="inlineStr">
        <is>
          <t>AU06-X03</t>
        </is>
      </c>
      <c r="B348" s="77" t="inlineStr">
        <is>
          <t>AU06</t>
        </is>
      </c>
      <c r="C348" s="77" t="inlineStr">
        <is>
          <t>Queensland</t>
        </is>
      </c>
      <c r="D348" s="77" t="inlineStr">
        <is>
          <t>Australia</t>
        </is>
      </c>
      <c r="E348" s="77" t="inlineStr">
        <is>
          <t>Master of Data Science Capstone Project (industry-partner projects)</t>
        </is>
      </c>
      <c r="F348" s="77" t="inlineStr">
        <is>
          <t>No</t>
        </is>
      </c>
      <c r="G348" s="77" t="inlineStr"/>
      <c r="H348" s="77" t="inlineStr">
        <is>
          <t>Near-miss: not group</t>
        </is>
      </c>
      <c r="I348" s="77" t="inlineStr">
        <is>
          <t>Industry partners post projects which students apply for individually (shortlisting/interview; application signed by industry supervisor); no evidence of team working.</t>
        </is>
      </c>
      <c r="J348" s="77" t="inlineStr">
        <is>
          <t>https://www.eait.uq.edu.au/employability/industry-partnerships/data-science-and-cyber-security/master-of-data-science-capstone-project</t>
        </is>
      </c>
      <c r="K348" s="77" t="inlineStr">
        <is>
          <t>undated</t>
        </is>
      </c>
    </row>
    <row r="349">
      <c r="A349" s="77" t="inlineStr">
        <is>
          <t>AU06-X04</t>
        </is>
      </c>
      <c r="B349" s="77" t="inlineStr">
        <is>
          <t>AU06</t>
        </is>
      </c>
      <c r="C349" s="77" t="inlineStr">
        <is>
          <t>Queensland</t>
        </is>
      </c>
      <c r="D349" s="77" t="inlineStr">
        <is>
          <t>Australia</t>
        </is>
      </c>
      <c r="E349" s="77" t="inlineStr">
        <is>
          <t>BE (Hons)/ME 24-week industry placement</t>
        </is>
      </c>
      <c r="F349" s="77" t="inlineStr">
        <is>
          <t>No</t>
        </is>
      </c>
      <c r="G349" s="77" t="inlineStr"/>
      <c r="H349" s="77" t="inlineStr">
        <is>
          <t>Placement/internship</t>
        </is>
      </c>
      <c r="I349" s="77" t="inlineStr">
        <is>
          <t>Industry-proposed investigation/design task undertaken on an individual placement; not group.</t>
        </is>
      </c>
      <c r="J349" s="77" t="inlineStr">
        <is>
          <t>https://www.eait.uq.edu.au/employability/industry-partnerships/engineering-students/beme-industry-placement</t>
        </is>
      </c>
      <c r="K349" s="77" t="inlineStr">
        <is>
          <t>undated</t>
        </is>
      </c>
    </row>
    <row r="350">
      <c r="A350" s="77" t="inlineStr">
        <is>
          <t>AU06-X05</t>
        </is>
      </c>
      <c r="B350" s="77" t="inlineStr">
        <is>
          <t>AU06</t>
        </is>
      </c>
      <c r="C350" s="77" t="inlineStr">
        <is>
          <t>Queensland</t>
        </is>
      </c>
      <c r="D350" s="77" t="inlineStr">
        <is>
          <t>Australia</t>
        </is>
      </c>
      <c r="E350" s="77" t="inlineStr">
        <is>
          <t>RBUS7999 Business Industry Placement</t>
        </is>
      </c>
      <c r="F350" s="77" t="inlineStr">
        <is>
          <t>No</t>
        </is>
      </c>
      <c r="G350" s="77" t="inlineStr"/>
      <c r="H350" s="77" t="inlineStr">
        <is>
          <t>Placement/internship</t>
        </is>
      </c>
      <c r="I350" s="77" t="inlineStr">
        <is>
          <t>Professional placement or industry consultancy project (group project) option; consultancy route appears to be the same BEL Industry Consulting Project framework (S3); 2023 course page only.</t>
        </is>
      </c>
      <c r="J350" s="77" t="inlineStr">
        <is>
          <t>https://my.uq.edu.au/programs-courses/course.html?course_code=RBUS7999&amp;year=2023</t>
        </is>
      </c>
      <c r="K350" s="77" t="inlineStr">
        <is>
          <t>2023</t>
        </is>
      </c>
    </row>
    <row r="351">
      <c r="A351" s="77" t="inlineStr">
        <is>
          <t>AU06-X06</t>
        </is>
      </c>
      <c r="B351" s="77" t="inlineStr">
        <is>
          <t>AU06</t>
        </is>
      </c>
      <c r="C351" s="77" t="inlineStr">
        <is>
          <t>Queensland</t>
        </is>
      </c>
      <c r="D351" s="77" t="inlineStr">
        <is>
          <t>Australia</t>
        </is>
      </c>
      <c r="E351" s="77" t="inlineStr">
        <is>
          <t>PSYC7405 Business Skills for Consultants</t>
        </is>
      </c>
      <c r="F351" s="77" t="inlineStr">
        <is>
          <t>No</t>
        </is>
      </c>
      <c r="G351" s="77" t="inlineStr"/>
      <c r="H351" s="77" t="inlineStr">
        <is>
          <t>Near-miss: no external org</t>
        </is>
      </c>
      <c r="I351" s="77" t="inlineStr">
        <is>
          <t>Teams work through case studies with an experienced consultant; no live client.</t>
        </is>
      </c>
      <c r="J351" s="77" t="inlineStr">
        <is>
          <t>https://programs-courses.uq.edu.au/course.html?course_code=PSYC7405</t>
        </is>
      </c>
      <c r="K351" s="77" t="inlineStr">
        <is>
          <t>undated</t>
        </is>
      </c>
    </row>
    <row r="352">
      <c r="A352" s="77" t="inlineStr">
        <is>
          <t>AU06-X07</t>
        </is>
      </c>
      <c r="B352" s="77" t="inlineStr">
        <is>
          <t>AU06</t>
        </is>
      </c>
      <c r="C352" s="77" t="inlineStr">
        <is>
          <t>Queensland</t>
        </is>
      </c>
      <c r="D352" s="77" t="inlineStr">
        <is>
          <t>Australia</t>
        </is>
      </c>
      <c r="E352" s="77" t="inlineStr">
        <is>
          <t>UQ Ventures other challenges (Global Business Challenge, Food Innovation Challenge, Quantum Hackathon) and ilab Accelerator</t>
        </is>
      </c>
      <c r="F352" s="77" t="inlineStr">
        <is>
          <t>No</t>
        </is>
      </c>
      <c r="G352" s="77" t="inlineStr"/>
      <c r="H352" s="77" t="inlineStr">
        <is>
          <t>Evidence gap</t>
        </is>
      </c>
      <c r="I352" s="77" t="inlineStr">
        <is>
          <t>Surfaced in search results but not researched within budget; ilab Accelerator supports students' own ventures (entrepreneurship).</t>
        </is>
      </c>
      <c r="J352" s="77" t="inlineStr">
        <is>
          <t>https://ventures.uq.edu.au/programs</t>
        </is>
      </c>
      <c r="K352" s="77" t="inlineStr"/>
    </row>
    <row r="353">
      <c r="A353" s="77" t="inlineStr">
        <is>
          <t>AU06-X08</t>
        </is>
      </c>
      <c r="B353" s="77" t="inlineStr">
        <is>
          <t>AU06</t>
        </is>
      </c>
      <c r="C353" s="77" t="inlineStr">
        <is>
          <t>Queensland</t>
        </is>
      </c>
      <c r="D353" s="77" t="inlineStr">
        <is>
          <t>Australia</t>
        </is>
      </c>
      <c r="E353" s="77" t="inlineStr">
        <is>
          <t>POLS3801 Internship / PHSS2000 Practical Employability Experience (HASS)</t>
        </is>
      </c>
      <c r="F353" s="77" t="inlineStr">
        <is>
          <t>No</t>
        </is>
      </c>
      <c r="G353" s="77" t="inlineStr"/>
      <c r="H353" s="77" t="inlineStr">
        <is>
          <t>Placement/internship</t>
        </is>
      </c>
      <c r="I353" s="77" t="inlineStr">
        <is>
          <t>Individual placements with external organisations; not group.</t>
        </is>
      </c>
      <c r="J353" s="77" t="inlineStr">
        <is>
          <t>https://polsis.uq.edu.au/internshipfield-work</t>
        </is>
      </c>
      <c r="K353" s="77" t="inlineStr">
        <is>
          <t>undated</t>
        </is>
      </c>
    </row>
    <row r="354">
      <c r="A354" s="77" t="inlineStr">
        <is>
          <t>AU06-X09</t>
        </is>
      </c>
      <c r="B354" s="77" t="inlineStr">
        <is>
          <t>AU06</t>
        </is>
      </c>
      <c r="C354" s="77" t="inlineStr">
        <is>
          <t>Queensland</t>
        </is>
      </c>
      <c r="D354" s="77" t="inlineStr">
        <is>
          <t>Australia</t>
        </is>
      </c>
      <c r="E354" s="77" t="inlineStr">
        <is>
          <t>HASS Portfolio Projects</t>
        </is>
      </c>
      <c r="F354" s="77" t="inlineStr">
        <is>
          <t>No</t>
        </is>
      </c>
      <c r="G354" s="77" t="inlineStr"/>
      <c r="H354" s="77" t="inlineStr">
        <is>
          <t>Near-miss: no external org</t>
        </is>
      </c>
      <c r="I354" s="77" t="inlineStr">
        <is>
          <t>Small student team projects from pre-prepared ideas with minor funding; no external client evidenced.</t>
        </is>
      </c>
      <c r="J354" s="77" t="inlineStr">
        <is>
          <t>https://hass.uq.edu.au/portfolio-projects</t>
        </is>
      </c>
      <c r="K354" s="77" t="inlineStr">
        <is>
          <t>undated</t>
        </is>
      </c>
    </row>
    <row r="355">
      <c r="A355" s="77" t="inlineStr">
        <is>
          <t>AU06-X10</t>
        </is>
      </c>
      <c r="B355" s="77" t="inlineStr">
        <is>
          <t>AU06</t>
        </is>
      </c>
      <c r="C355" s="77" t="inlineStr">
        <is>
          <t>Queensland</t>
        </is>
      </c>
      <c r="D355" s="77" t="inlineStr">
        <is>
          <t>Australia</t>
        </is>
      </c>
      <c r="E355" s="77" t="inlineStr">
        <is>
          <t>ARCH3100 Architectural Design: Clients and Culture / ARCH7043 studios</t>
        </is>
      </c>
      <c r="F355" s="77" t="inlineStr">
        <is>
          <t>No</t>
        </is>
      </c>
      <c r="G355" s="77" t="inlineStr"/>
      <c r="H355" s="77" t="inlineStr">
        <is>
          <t>Evidence gap</t>
        </is>
      </c>
      <c r="I355" s="77" t="inlineStr">
        <is>
          <t>Studio briefs involve real client communities (e.g. ATSICHS Brisbane healthcare hub, Sem 1 2025) and guest critics, but whether students work in groups on the client brief (vs individual design) and client role are not established.</t>
        </is>
      </c>
      <c r="J355" s="77" t="inlineStr">
        <is>
          <t>https://programs-courses.uq.edu.au/course.html?course_code=ARCH3100</t>
        </is>
      </c>
      <c r="K355" s="77" t="inlineStr">
        <is>
          <t>Sem 1 2025 profile</t>
        </is>
      </c>
    </row>
    <row r="356">
      <c r="A356" s="77" t="inlineStr">
        <is>
          <t>AU06-X11</t>
        </is>
      </c>
      <c r="B356" s="77" t="inlineStr">
        <is>
          <t>AU06</t>
        </is>
      </c>
      <c r="C356" s="77" t="inlineStr">
        <is>
          <t>Queensland</t>
        </is>
      </c>
      <c r="D356" s="77" t="inlineStr">
        <is>
          <t>Australia</t>
        </is>
      </c>
      <c r="E356" s="77" t="inlineStr">
        <is>
          <t>DATA7901 Data Science Capstone Project 1</t>
        </is>
      </c>
      <c r="F356" s="77" t="inlineStr">
        <is>
          <t>No</t>
        </is>
      </c>
      <c r="G356" s="77" t="inlineStr"/>
      <c r="H356" s="77" t="inlineStr">
        <is>
          <t>Near-miss: not group</t>
        </is>
      </c>
      <c r="I356" s="77" t="inlineStr">
        <is>
          <t>Industry-proposed projects; group working not evidenced (see Data Science capstone exclusion).</t>
        </is>
      </c>
      <c r="J356" s="77" t="inlineStr">
        <is>
          <t>https://programs-courses.uq.edu.au/course.html?course_code=DATA7901</t>
        </is>
      </c>
      <c r="K356" s="77" t="inlineStr">
        <is>
          <t>undated</t>
        </is>
      </c>
    </row>
    <row r="357">
      <c r="A357" s="77" t="inlineStr">
        <is>
          <t>AU09-X01</t>
        </is>
      </c>
      <c r="B357" s="77" t="inlineStr">
        <is>
          <t>AU09</t>
        </is>
      </c>
      <c r="C357" s="77" t="inlineStr">
        <is>
          <t>University of Technology Sydney</t>
        </is>
      </c>
      <c r="D357" s="77" t="inlineStr">
        <is>
          <t>Australia</t>
        </is>
      </c>
      <c r="E357" s="77" t="inlineStr">
        <is>
          <t>Business School capstones (21698 Managing for Social Impact; 24790 Business Project: Marketing; 24100 Applied Project in Marketing; 22319 Business Analysis)</t>
        </is>
      </c>
      <c r="F357" s="77" t="inlineStr">
        <is>
          <t>No</t>
        </is>
      </c>
      <c r="G357" s="77" t="inlineStr"/>
      <c r="H357" s="77" t="inlineStr">
        <is>
          <t>Evidence gap</t>
        </is>
      </c>
      <c r="I357" s="77" t="inlineStr">
        <is>
          <t>Search summaries suggest industry-engaged team work (21698 'small teams'), but handbook pages gave no description, client role or year.</t>
        </is>
      </c>
      <c r="J357" s="77" t="inlineStr">
        <is>
          <t>https://handbook.uts.edu.au/subjects/details/21698.html</t>
        </is>
      </c>
      <c r="K357" s="77" t="inlineStr">
        <is>
          <t>Further departmental instances likely</t>
        </is>
      </c>
    </row>
    <row r="358">
      <c r="A358" s="77" t="inlineStr">
        <is>
          <t>AU09-X02</t>
        </is>
      </c>
      <c r="B358" s="77" t="inlineStr">
        <is>
          <t>AU09</t>
        </is>
      </c>
      <c r="C358" s="77" t="inlineStr">
        <is>
          <t>University of Technology Sydney</t>
        </is>
      </c>
      <c r="D358" s="77" t="inlineStr">
        <is>
          <t>Australia</t>
        </is>
      </c>
      <c r="E358" s="77" t="inlineStr">
        <is>
          <t>Strategic Design Studio (EMBA)</t>
        </is>
      </c>
      <c r="F358" s="77" t="inlineStr">
        <is>
          <t>No</t>
        </is>
      </c>
      <c r="G358" s="77" t="inlineStr"/>
      <c r="H358" s="77" t="inlineStr">
        <is>
          <t>Evidence gap</t>
        </is>
      </c>
      <c r="I358" s="77" t="inlineStr">
        <is>
          <t>Teams of 4-5 with start-ups/corporates/NFPs per search summary, but page undated and EMBA-only; not opened.</t>
        </is>
      </c>
      <c r="J358" s="77" t="inlineStr">
        <is>
          <t>https://www.uts.edu.au/about/faculties/business/partner-us/solve-your-business-challenges/experiential-learning-programs/strategic-design-studio</t>
        </is>
      </c>
      <c r="K358" s="77" t="inlineStr">
        <is>
          <t>undated</t>
        </is>
      </c>
    </row>
    <row r="359">
      <c r="A359" s="77" t="inlineStr">
        <is>
          <t>AU09-X03</t>
        </is>
      </c>
      <c r="B359" s="77" t="inlineStr">
        <is>
          <t>AU09</t>
        </is>
      </c>
      <c r="C359" s="77" t="inlineStr">
        <is>
          <t>University of Technology Sydney</t>
        </is>
      </c>
      <c r="D359" s="77" t="inlineStr">
        <is>
          <t>Australia</t>
        </is>
      </c>
      <c r="E359" s="77" t="inlineStr">
        <is>
          <t>Engineering Capstone 41030 / IT capstones (31280, 41004, 37500, 36127)</t>
        </is>
      </c>
      <c r="F359" s="77" t="inlineStr">
        <is>
          <t>No</t>
        </is>
      </c>
      <c r="G359" s="77" t="inlineStr"/>
      <c r="H359" s="77" t="inlineStr">
        <is>
          <t>Evidence gap</t>
        </is>
      </c>
      <c r="I359" s="77" t="inlineStr">
        <is>
          <t>Industry projects are optional with third-party partner; group/individual not separable; IT group capstones seen only as list entries, 2021/2024 guides.</t>
        </is>
      </c>
      <c r="J359" s="77" t="inlineStr">
        <is>
          <t>https://www.uts.edu.au/globalassets/sites/default/files/Student_guide_to_capstone_project.pdf</t>
        </is>
      </c>
      <c r="K359" s="77" t="inlineStr">
        <is>
          <t>2026 handbook entries exist</t>
        </is>
      </c>
    </row>
    <row r="360">
      <c r="A360" s="77" t="inlineStr">
        <is>
          <t>AU09-X04</t>
        </is>
      </c>
      <c r="B360" s="77" t="inlineStr">
        <is>
          <t>AU09</t>
        </is>
      </c>
      <c r="C360" s="77" t="inlineStr">
        <is>
          <t>University of Technology Sydney</t>
        </is>
      </c>
      <c r="D360" s="77" t="inlineStr">
        <is>
          <t>Australia</t>
        </is>
      </c>
      <c r="E360" s="77" t="inlineStr">
        <is>
          <t>Mechanical and Mechatronic Design industry studio</t>
        </is>
      </c>
      <c r="F360" s="77" t="inlineStr">
        <is>
          <t>No</t>
        </is>
      </c>
      <c r="G360" s="77" t="inlineStr"/>
      <c r="H360" s="77" t="inlineStr">
        <is>
          <t>Evidence gap</t>
        </is>
      </c>
      <c r="I360" s="77" t="inlineStr">
        <is>
          <t>Snippet: teams of 4-6 with clients, final-year; page not opened or dated.</t>
        </is>
      </c>
      <c r="J360" s="77" t="inlineStr">
        <is>
          <t>https://www.uts.edu.au/for-students/current-students/managing-your-course/current-students-information-engineering-and-information-technology/undergraduate/industry-studio/mechanical-and-mechatronic-design</t>
        </is>
      </c>
      <c r="K360" s="77" t="inlineStr">
        <is>
          <t>undated</t>
        </is>
      </c>
    </row>
    <row r="361">
      <c r="A361" s="77" t="inlineStr">
        <is>
          <t>AU09-X05</t>
        </is>
      </c>
      <c r="B361" s="77" t="inlineStr">
        <is>
          <t>AU09</t>
        </is>
      </c>
      <c r="C361" s="77" t="inlineStr">
        <is>
          <t>University of Technology Sydney</t>
        </is>
      </c>
      <c r="D361" s="77" t="inlineStr">
        <is>
          <t>Australia</t>
        </is>
      </c>
      <c r="E361" s="77" t="inlineStr">
        <is>
          <t>SPS Professional Placement (52677)</t>
        </is>
      </c>
      <c r="F361" s="77" t="inlineStr">
        <is>
          <t>No</t>
        </is>
      </c>
      <c r="G361" s="77" t="inlineStr"/>
      <c r="H361" s="77" t="inlineStr">
        <is>
          <t>Placement/internship</t>
        </is>
      </c>
      <c r="I361" s="77" t="inlineStr">
        <is>
          <t>External-organisation research project co-designed with organisation, 80-100 hours, but placement-type; group format not evidenced.</t>
        </is>
      </c>
      <c r="J361" s="77" t="inlineStr">
        <is>
          <t>https://handbook.uts.edu.au/subjects/details/52677.html</t>
        </is>
      </c>
      <c r="K361" s="77" t="inlineStr">
        <is>
          <t>undated</t>
        </is>
      </c>
    </row>
    <row r="362">
      <c r="A362" s="77" t="inlineStr">
        <is>
          <t>AU09-X06</t>
        </is>
      </c>
      <c r="B362" s="77" t="inlineStr">
        <is>
          <t>AU09</t>
        </is>
      </c>
      <c r="C362" s="77" t="inlineStr">
        <is>
          <t>University of Technology Sydney</t>
        </is>
      </c>
      <c r="D362" s="77" t="inlineStr">
        <is>
          <t>Australia</t>
        </is>
      </c>
      <c r="E362" s="77" t="inlineStr">
        <is>
          <t>Physical Modelling (Science, CHOICE)</t>
        </is>
      </c>
      <c r="F362" s="77" t="inlineStr">
        <is>
          <t>No</t>
        </is>
      </c>
      <c r="G362" s="77" t="inlineStr"/>
      <c r="H362" s="77" t="inlineStr">
        <is>
          <t>Evidence gap</t>
        </is>
      </c>
      <c r="I362" s="77" t="inlineStr">
        <is>
          <t>2017 article only; current status unknown.</t>
        </is>
      </c>
      <c r="J362" s="77" t="inlineStr">
        <is>
          <t>https://futures.uts.edu.au/blog/2017/10/30/key-technology-partnership-teaching-excellence/</t>
        </is>
      </c>
      <c r="K362" s="77" t="inlineStr">
        <is>
          <t>historical</t>
        </is>
      </c>
    </row>
    <row r="363">
      <c r="A363" s="77" t="inlineStr">
        <is>
          <t>AU09-X07</t>
        </is>
      </c>
      <c r="B363" s="77" t="inlineStr">
        <is>
          <t>AU09</t>
        </is>
      </c>
      <c r="C363" s="77" t="inlineStr">
        <is>
          <t>University of Technology Sydney</t>
        </is>
      </c>
      <c r="D363" s="77" t="inlineStr">
        <is>
          <t>Australia</t>
        </is>
      </c>
      <c r="E363" s="77" t="inlineStr">
        <is>
          <t>Design Innovation Research Centre client projects; Master of Architecture Live Project 1 (11376)</t>
        </is>
      </c>
      <c r="F363" s="77" t="inlineStr">
        <is>
          <t>No</t>
        </is>
      </c>
      <c r="G363" s="77" t="inlineStr"/>
      <c r="H363" s="77" t="inlineStr">
        <is>
          <t>Evidence gap</t>
        </is>
      </c>
      <c r="I363" s="77" t="inlineStr">
        <is>
          <t>Research centre acts through university staff (internal); Live Project 1 individual or studio, no external client evidenced.</t>
        </is>
      </c>
      <c r="J363" s="77" t="inlineStr">
        <is>
          <t>https://handbook.uts.edu.au/subjects/11376.html</t>
        </is>
      </c>
      <c r="K363" s="77" t="inlineStr"/>
    </row>
    <row r="364">
      <c r="A364" s="77" t="inlineStr">
        <is>
          <t>AU10-X01</t>
        </is>
      </c>
      <c r="B364" s="77" t="inlineStr">
        <is>
          <t>AU10</t>
        </is>
      </c>
      <c r="C364" s="77" t="inlineStr">
        <is>
          <t>RMIT</t>
        </is>
      </c>
      <c r="D364" s="77" t="inlineStr">
        <is>
          <t>Australia</t>
        </is>
      </c>
      <c r="E364" s="77" t="inlineStr">
        <is>
          <t>Work-Integrated Learning (RMIT WIL framework)</t>
        </is>
      </c>
      <c r="F364" s="77" t="inlineStr">
        <is>
          <t>Yes</t>
        </is>
      </c>
      <c r="G364" s="77" t="n">
        <v>40</v>
      </c>
      <c r="H364" s="77" t="inlineStr">
        <is>
          <t>WIL framework</t>
        </is>
      </c>
      <c r="I364" s="77" t="inlineStr">
        <is>
          <t>Umbrella description: 'structured projects where students work on real problems set by industry or community partners, often in teams' but 'WIL requirements vary by course' and may be placements, creative practice or simulations; tested via the specific courses recorded as schemes S1-S6.</t>
        </is>
      </c>
      <c r="J364" s="77" t="inlineStr">
        <is>
          <t>https://www.rmit.edu.au/study-with-us/study-options/what-is-wil</t>
        </is>
      </c>
      <c r="K364" s="77" t="inlineStr">
        <is>
          <t>Undated page</t>
        </is>
      </c>
    </row>
    <row r="365">
      <c r="A365" s="77" t="inlineStr">
        <is>
          <t>AU10-X02</t>
        </is>
      </c>
      <c r="B365" s="77" t="inlineStr">
        <is>
          <t>AU10</t>
        </is>
      </c>
      <c r="C365" s="77" t="inlineStr">
        <is>
          <t>RMIT</t>
        </is>
      </c>
      <c r="D365" s="77" t="inlineStr">
        <is>
          <t>Australia</t>
        </is>
      </c>
      <c r="E365" s="77" t="inlineStr">
        <is>
          <t>COSC2408 Programming Project / School of Science capstone (client guide)</t>
        </is>
      </c>
      <c r="F365" s="77" t="inlineStr">
        <is>
          <t>No</t>
        </is>
      </c>
      <c r="G365" s="77" t="inlineStr"/>
      <c r="H365" s="77" t="inlineStr">
        <is>
          <t>Evidence gap</t>
        </is>
      </c>
      <c r="I365" s="77" t="inlineStr">
        <is>
          <t>Client guide describes groups of up to 5 with external clients (12 credit points, one semester) but is dated 2018 and hosted on a student server; current delivery unverified.</t>
        </is>
      </c>
      <c r="J365" s="77" t="inlineStr">
        <is>
          <t>http://titan.csit.rmit.edu.au/~e23005/capstone/capstone-client.pdf</t>
        </is>
      </c>
      <c r="K365" s="77" t="inlineStr">
        <is>
          <t>2018</t>
        </is>
      </c>
    </row>
    <row r="366">
      <c r="A366" s="77" t="inlineStr">
        <is>
          <t>AU10-X03</t>
        </is>
      </c>
      <c r="B366" s="77" t="inlineStr">
        <is>
          <t>AU10</t>
        </is>
      </c>
      <c r="C366" s="77" t="inlineStr">
        <is>
          <t>RMIT</t>
        </is>
      </c>
      <c r="D366" s="77" t="inlineStr">
        <is>
          <t>Australia</t>
        </is>
      </c>
      <c r="E366" s="77" t="inlineStr">
        <is>
          <t>Bachelor of Science capstone (WIL)</t>
        </is>
      </c>
      <c r="F366" s="77" t="inlineStr">
        <is>
          <t>No</t>
        </is>
      </c>
      <c r="G366" s="77" t="inlineStr"/>
      <c r="H366" s="77" t="inlineStr">
        <is>
          <t>Evidence gap</t>
        </is>
      </c>
      <c r="I366" s="77" t="inlineStr">
        <is>
          <t>Page mentions industry challenges and capstone projects but no team or client detail was read (page truncated).</t>
        </is>
      </c>
      <c r="J366" s="77" t="inlineStr">
        <is>
          <t>https://www.rmit.edu.au/study-with-us/levels-of-study/undergraduate-study/bachelor-degrees/bp350</t>
        </is>
      </c>
      <c r="K366" s="77" t="inlineStr">
        <is>
          <t>Undated</t>
        </is>
      </c>
    </row>
    <row r="367">
      <c r="A367" s="77" t="inlineStr">
        <is>
          <t>AU10-X04</t>
        </is>
      </c>
      <c r="B367" s="77" t="inlineStr">
        <is>
          <t>AU10</t>
        </is>
      </c>
      <c r="C367" s="77" t="inlineStr">
        <is>
          <t>RMIT</t>
        </is>
      </c>
      <c r="D367" s="77" t="inlineStr">
        <is>
          <t>Australia</t>
        </is>
      </c>
      <c r="E367" s="77" t="inlineStr">
        <is>
          <t>Master of Business Information Technology project</t>
        </is>
      </c>
      <c r="F367" s="77" t="inlineStr">
        <is>
          <t>No</t>
        </is>
      </c>
      <c r="G367" s="77" t="inlineStr"/>
      <c r="H367" s="77" t="inlineStr">
        <is>
          <t>Evidence gap</t>
        </is>
      </c>
      <c r="I367" s="77" t="inlineStr">
        <is>
          <t>Search summary says project teams build a system for an industry client; page not opened.</t>
        </is>
      </c>
      <c r="J367" s="77" t="inlineStr">
        <is>
          <t>https://www.rmit.edu.au/study-with-us/levels-of-study/postgraduate-study/masters-by-coursework/master-of-business-information-technology-mc200</t>
        </is>
      </c>
      <c r="K367" s="77" t="inlineStr">
        <is>
          <t>Undated</t>
        </is>
      </c>
    </row>
    <row r="368">
      <c r="A368" s="77" t="inlineStr">
        <is>
          <t>AU10-X05</t>
        </is>
      </c>
      <c r="B368" s="77" t="inlineStr">
        <is>
          <t>AU10</t>
        </is>
      </c>
      <c r="C368" s="77" t="inlineStr">
        <is>
          <t>RMIT</t>
        </is>
      </c>
      <c r="D368" s="77" t="inlineStr">
        <is>
          <t>Australia</t>
        </is>
      </c>
      <c r="E368" s="77" t="inlineStr">
        <is>
          <t>Master of Interior Design live-client studio / School of Design partnered studios</t>
        </is>
      </c>
      <c r="F368" s="77" t="inlineStr">
        <is>
          <t>No</t>
        </is>
      </c>
      <c r="G368" s="77" t="inlineStr"/>
      <c r="H368" s="77" t="inlineStr">
        <is>
          <t>Evidence gap</t>
        </is>
      </c>
      <c r="I368" s="77" t="inlineStr">
        <is>
          <t>Search summaries indicate industry-partnered 12-week studios with changing partners; pages not opened, team structure unverified.</t>
        </is>
      </c>
      <c r="J368" s="77" t="inlineStr">
        <is>
          <t>https://www.rmit.edu.au/about/schools-colleges/design/industry/partnered-projects</t>
        </is>
      </c>
      <c r="K368" s="77" t="inlineStr">
        <is>
          <t>Undated</t>
        </is>
      </c>
    </row>
    <row r="369">
      <c r="A369" s="77" t="inlineStr">
        <is>
          <t>AU10-X06</t>
        </is>
      </c>
      <c r="B369" s="77" t="inlineStr">
        <is>
          <t>AU10</t>
        </is>
      </c>
      <c r="C369" s="77" t="inlineStr">
        <is>
          <t>RMIT</t>
        </is>
      </c>
      <c r="D369" s="77" t="inlineStr">
        <is>
          <t>Australia</t>
        </is>
      </c>
      <c r="E369" s="77" t="inlineStr">
        <is>
          <t>School of Media and Communication partnered projects</t>
        </is>
      </c>
      <c r="F369" s="77" t="inlineStr">
        <is>
          <t>No</t>
        </is>
      </c>
      <c r="G369" s="77" t="inlineStr"/>
      <c r="H369" s="77" t="inlineStr">
        <is>
          <t>Evidence gap</t>
        </is>
      </c>
      <c r="I369" s="77" t="inlineStr">
        <is>
          <t>Generic page naming partners and areas; no course, team or date specified.</t>
        </is>
      </c>
      <c r="J369" s="77" t="inlineStr">
        <is>
          <t>https://www.rmit.edu.au/about/schools-colleges/media-and-communication/industry/partnered-projects</t>
        </is>
      </c>
      <c r="K369" s="77" t="inlineStr">
        <is>
          <t>Undated</t>
        </is>
      </c>
    </row>
    <row r="370">
      <c r="A370" s="77" t="inlineStr">
        <is>
          <t>AU10-X07</t>
        </is>
      </c>
      <c r="B370" s="77" t="inlineStr">
        <is>
          <t>AU10</t>
        </is>
      </c>
      <c r="C370" s="77" t="inlineStr">
        <is>
          <t>RMIT</t>
        </is>
      </c>
      <c r="D370" s="77" t="inlineStr">
        <is>
          <t>Australia</t>
        </is>
      </c>
      <c r="E370" s="77" t="inlineStr">
        <is>
          <t>Cyber Ready CIC Innovation Challenges (RMIT Activator)</t>
        </is>
      </c>
      <c r="F370" s="77" t="inlineStr">
        <is>
          <t>No</t>
        </is>
      </c>
      <c r="G370" s="77" t="inlineStr"/>
      <c r="H370" s="77" t="inlineStr">
        <is>
          <t>Evidence gap</t>
        </is>
      </c>
      <c r="I370" s="77" t="inlineStr">
        <is>
          <t>Search summary: customer-led design challenge with student teams and industry sponsors at checkpoints; page not opened, status unverified.</t>
        </is>
      </c>
      <c r="J370" s="77" t="inlineStr">
        <is>
          <t>https://www.rmit.edu.au/partner/hubs/activator/partnerships/cloud-innovation-centre/for-students</t>
        </is>
      </c>
      <c r="K370" s="77" t="inlineStr">
        <is>
          <t>Undated</t>
        </is>
      </c>
    </row>
    <row r="371">
      <c r="A371" s="77" t="inlineStr">
        <is>
          <t>AU10-X08</t>
        </is>
      </c>
      <c r="B371" s="77" t="inlineStr">
        <is>
          <t>AU10</t>
        </is>
      </c>
      <c r="C371" s="77" t="inlineStr">
        <is>
          <t>RMIT</t>
        </is>
      </c>
      <c r="D371" s="77" t="inlineStr">
        <is>
          <t>Australia</t>
        </is>
      </c>
      <c r="E371" s="77" t="inlineStr">
        <is>
          <t>Master of Communication Professional Research Project</t>
        </is>
      </c>
      <c r="F371" s="77" t="inlineStr">
        <is>
          <t>No</t>
        </is>
      </c>
      <c r="G371" s="77" t="inlineStr"/>
      <c r="H371" s="77" t="inlineStr">
        <is>
          <t>Near-miss: not group</t>
        </is>
      </c>
      <c r="I371" s="77" t="inlineStr">
        <is>
          <t>Capstone is an individually negotiated research project (search summary); the live-project element sits in Strategic Communication Management, not verified.</t>
        </is>
      </c>
      <c r="J371" s="77" t="inlineStr">
        <is>
          <t>https://www.rmit.edu.au/study-with-us/levels-of-study/postgraduate-study/masters-by-coursework/master-of-communication-mc248</t>
        </is>
      </c>
      <c r="K371" s="77" t="inlineStr">
        <is>
          <t>Undated</t>
        </is>
      </c>
    </row>
    <row r="372">
      <c r="A372" s="77" t="inlineStr">
        <is>
          <t>AU10-X09</t>
        </is>
      </c>
      <c r="B372" s="77" t="inlineStr">
        <is>
          <t>AU10</t>
        </is>
      </c>
      <c r="C372" s="77" t="inlineStr">
        <is>
          <t>RMIT</t>
        </is>
      </c>
      <c r="D372" s="77" t="inlineStr">
        <is>
          <t>Australia</t>
        </is>
      </c>
      <c r="E372" s="77" t="inlineStr">
        <is>
          <t>Juris Doctor simulations; 2008 architecture health studio</t>
        </is>
      </c>
      <c r="F372" s="77" t="inlineStr">
        <is>
          <t>No</t>
        </is>
      </c>
      <c r="G372" s="77" t="inlineStr"/>
      <c r="H372" s="77" t="inlineStr">
        <is>
          <t>Simulation/virtual</t>
        </is>
      </c>
      <c r="I372" s="77" t="inlineStr">
        <is>
          <t>Law shows simulated negotiations/moots only; the architecture live-client studio is from 2008.</t>
        </is>
      </c>
      <c r="J372" s="77" t="inlineStr">
        <is>
          <t>https://www.rmit.edu.au/study-with-us/law</t>
        </is>
      </c>
      <c r="K372" s="77" t="inlineStr"/>
    </row>
    <row r="373">
      <c r="A373" s="77" t="inlineStr">
        <is>
          <t>UK01-X01</t>
        </is>
      </c>
      <c r="B373" s="77" t="inlineStr">
        <is>
          <t>UK01</t>
        </is>
      </c>
      <c r="C373" s="77" t="inlineStr">
        <is>
          <t>Bath</t>
        </is>
      </c>
      <c r="D373" s="77" t="inlineStr">
        <is>
          <t>UK – additional</t>
        </is>
      </c>
      <c r="E373" s="77" t="inlineStr">
        <is>
          <t>External Integrated Project (EIP)</t>
        </is>
      </c>
      <c r="F373" s="77" t="inlineStr">
        <is>
          <t>No</t>
        </is>
      </c>
      <c r="G373" s="77" t="inlineStr"/>
      <c r="H373" s="77" t="inlineStr">
        <is>
          <t>Near-miss: not group</t>
        </is>
      </c>
      <c r="I373" s="77" t="inlineStr">
        <is>
          <t>Third-year E&amp;D students work individually at a company for 4-6 months (within a larger company team); group working between students not evidenced.</t>
        </is>
      </c>
      <c r="J373" s="77" t="inlineStr">
        <is>
          <t>https://www.bath.ac.uk/campaigns/become-an-external-integrated-project-partner/</t>
        </is>
      </c>
      <c r="K373" s="77" t="inlineStr">
        <is>
          <t>Undated; months only</t>
        </is>
      </c>
    </row>
    <row r="374">
      <c r="A374" s="77" t="inlineStr">
        <is>
          <t>UK01-X02</t>
        </is>
      </c>
      <c r="B374" s="77" t="inlineStr">
        <is>
          <t>UK01</t>
        </is>
      </c>
      <c r="C374" s="77" t="inlineStr">
        <is>
          <t>Bath</t>
        </is>
      </c>
      <c r="D374" s="77" t="inlineStr">
        <is>
          <t>UK – additional</t>
        </is>
      </c>
      <c r="E374" s="77" t="inlineStr">
        <is>
          <t>Ted Happold architecture/civil engineering joint project</t>
        </is>
      </c>
      <c r="F374" s="77" t="inlineStr">
        <is>
          <t>No</t>
        </is>
      </c>
      <c r="G374" s="77" t="inlineStr"/>
      <c r="H374" s="77" t="inlineStr">
        <is>
          <t>Near-miss: no external org</t>
        </is>
      </c>
      <c r="I374" s="77" t="inlineStr">
        <is>
          <t>Teams of 4-6 over ~8 weeks on a brief 'always based on a real scenario', but no external organisation setting or receiving the brief evidenced.</t>
        </is>
      </c>
      <c r="J374" s="77" t="inlineStr">
        <is>
          <t>https://www.bath.ac.uk/campaigns/developing-design-solutions-with-architecture-and-civil-engineering-projects/</t>
        </is>
      </c>
      <c r="K374" s="77" t="inlineStr">
        <is>
          <t>search extract only</t>
        </is>
      </c>
    </row>
    <row r="375">
      <c r="A375" s="77" t="inlineStr">
        <is>
          <t>UK01-X03</t>
        </is>
      </c>
      <c r="B375" s="77" t="inlineStr">
        <is>
          <t>UK01</t>
        </is>
      </c>
      <c r="C375" s="77" t="inlineStr">
        <is>
          <t>Bath</t>
        </is>
      </c>
      <c r="D375" s="77" t="inlineStr">
        <is>
          <t>UK – additional</t>
        </is>
      </c>
      <c r="E375" s="77" t="inlineStr">
        <is>
          <t>Computer Science final-year/group projects</t>
        </is>
      </c>
      <c r="F375" s="77" t="inlineStr">
        <is>
          <t>No</t>
        </is>
      </c>
      <c r="G375" s="77" t="inlineStr"/>
      <c r="H375" s="77" t="inlineStr">
        <is>
          <t>Near-miss: no external org</t>
        </is>
      </c>
      <c r="I375" s="77" t="inlineStr">
        <is>
          <t>Final-year project individual; group projects in earlier years with no client evidenced; industry links are placements.</t>
        </is>
      </c>
      <c r="J375" s="77" t="inlineStr">
        <is>
          <t>https://www.bath.ac.uk/courses/undergraduate-2027/computer-science/bsc-computer-science/</t>
        </is>
      </c>
      <c r="K375" s="77" t="inlineStr"/>
    </row>
    <row r="376">
      <c r="A376" s="77" t="inlineStr">
        <is>
          <t>UK01-X04</t>
        </is>
      </c>
      <c r="B376" s="77" t="inlineStr">
        <is>
          <t>UK01</t>
        </is>
      </c>
      <c r="C376" s="77" t="inlineStr">
        <is>
          <t>Bath</t>
        </is>
      </c>
      <c r="D376" s="77" t="inlineStr">
        <is>
          <t>UK – additional</t>
        </is>
      </c>
      <c r="E376" s="77" t="inlineStr">
        <is>
          <t>MBA Multi-Project Suite (consulting and change management project)</t>
        </is>
      </c>
      <c r="F376" s="77" t="inlineStr">
        <is>
          <t>No</t>
        </is>
      </c>
      <c r="G376" s="77" t="inlineStr"/>
      <c r="H376" s="77" t="inlineStr">
        <is>
          <t>Evidence gap</t>
        </is>
      </c>
      <c r="I376" s="77" t="inlineStr">
        <is>
          <t>Search result states teams work with an external client; page not opened and not undergraduate/MSc core; MBA site (mba.bath.ac.uk) should be fetched.</t>
        </is>
      </c>
      <c r="J376" s="77" t="inlineStr">
        <is>
          <t>https://mba.bath.ac.uk/full-time-mba/programme-content-and-modules/</t>
        </is>
      </c>
      <c r="K376" s="77" t="inlineStr"/>
    </row>
    <row r="377">
      <c r="A377" s="77" t="inlineStr">
        <is>
          <t>UK01-X05</t>
        </is>
      </c>
      <c r="B377" s="77" t="inlineStr">
        <is>
          <t>UK01</t>
        </is>
      </c>
      <c r="C377" s="77" t="inlineStr">
        <is>
          <t>Bath</t>
        </is>
      </c>
      <c r="D377" s="77" t="inlineStr">
        <is>
          <t>UK – additional</t>
        </is>
      </c>
      <c r="E377" s="77" t="inlineStr">
        <is>
          <t>Science departments (Chemistry, Physics, Maths, Biology) student projects</t>
        </is>
      </c>
      <c r="F377" s="77" t="inlineStr">
        <is>
          <t>No</t>
        </is>
      </c>
      <c r="G377" s="77" t="inlineStr"/>
      <c r="H377" s="77" t="inlineStr">
        <is>
          <t>Evidence gap</t>
        </is>
      </c>
      <c r="I377" s="77" t="inlineStr">
        <is>
          <t>No taught student team project with an external partner found; industry links are PhD CASE/CDT and placements.</t>
        </is>
      </c>
      <c r="J377" s="77" t="inlineStr">
        <is>
          <t>https://www.bath.ac.uk/faculties/faculty-of-science/</t>
        </is>
      </c>
      <c r="K377" s="77" t="inlineStr"/>
    </row>
    <row r="378">
      <c r="A378" s="77" t="inlineStr">
        <is>
          <t>UK01-X06</t>
        </is>
      </c>
      <c r="B378" s="77" t="inlineStr">
        <is>
          <t>UK01</t>
        </is>
      </c>
      <c r="C378" s="77" t="inlineStr">
        <is>
          <t>Bath</t>
        </is>
      </c>
      <c r="D378" s="77" t="inlineStr">
        <is>
          <t>UK – additional</t>
        </is>
      </c>
      <c r="E378" s="77" t="inlineStr">
        <is>
          <t>Professional placement years (Social Policy, Sociology etc.)</t>
        </is>
      </c>
      <c r="F378" s="77" t="inlineStr">
        <is>
          <t>No</t>
        </is>
      </c>
      <c r="G378" s="77" t="inlineStr"/>
      <c r="H378" s="77" t="inlineStr">
        <is>
          <t>Placement/internship</t>
        </is>
      </c>
      <c r="I378" s="77" t="inlineStr">
        <is>
          <t>Individual placements; no group project component evidenced.</t>
        </is>
      </c>
      <c r="J378" s="77" t="inlineStr">
        <is>
          <t>https://www.bath.ac.uk/courses/undergraduate-2026/sociology-social-policy-and-social-sciences/bsc-social-policy/</t>
        </is>
      </c>
      <c r="K378" s="77" t="inlineStr"/>
    </row>
    <row r="379">
      <c r="A379" s="77" t="inlineStr">
        <is>
          <t>UK02-X01</t>
        </is>
      </c>
      <c r="B379" s="77" t="inlineStr">
        <is>
          <t>UK02</t>
        </is>
      </c>
      <c r="C379" s="77" t="inlineStr">
        <is>
          <t>St Andrews</t>
        </is>
      </c>
      <c r="D379" s="77" t="inlineStr">
        <is>
          <t>UK – additional</t>
        </is>
      </c>
      <c r="E379" s="77" t="inlineStr">
        <is>
          <t>St Andrews Innovation consultancy services</t>
        </is>
      </c>
      <c r="F379" s="77" t="inlineStr">
        <is>
          <t>No</t>
        </is>
      </c>
      <c r="G379" s="77" t="inlineStr"/>
      <c r="H379" s="77" t="inlineStr">
        <is>
          <t>Other</t>
        </is>
      </c>
      <c r="I379" s="77" t="inlineStr">
        <is>
          <t>Staff-led consultancy for external clients handled by the University's innovation office; not a student project route.</t>
        </is>
      </c>
      <c r="J379" s="77" t="inlineStr">
        <is>
          <t>https://innovation.st-andrews.ac.uk/industry-services/consultancy/</t>
        </is>
      </c>
      <c r="K379" s="77" t="inlineStr"/>
    </row>
    <row r="380">
      <c r="A380" s="77" t="inlineStr">
        <is>
          <t>UK02-X02</t>
        </is>
      </c>
      <c r="B380" s="77" t="inlineStr">
        <is>
          <t>UK02</t>
        </is>
      </c>
      <c r="C380" s="77" t="inlineStr">
        <is>
          <t>St Andrews</t>
        </is>
      </c>
      <c r="D380" s="77" t="inlineStr">
        <is>
          <t>UK – additional</t>
        </is>
      </c>
      <c r="E380" s="77" t="inlineStr">
        <is>
          <t>Entrepreneurship MSc entrepreneurship project</t>
        </is>
      </c>
      <c r="F380" s="77" t="inlineStr">
        <is>
          <t>No</t>
        </is>
      </c>
      <c r="G380" s="77" t="inlineStr"/>
      <c r="H380" s="77" t="inlineStr">
        <is>
          <t>Entrepreneurship/incubator</t>
        </is>
      </c>
      <c r="I380" s="77" t="inlineStr">
        <is>
          <t>Replaces the dissertation with taking 'a real business idea from concept to action plan'; no external client brief evidenced.</t>
        </is>
      </c>
      <c r="J380" s="77" t="inlineStr">
        <is>
          <t>https://www.st-andrews.ac.uk/subjects/management/entrepreneurship-msc/</t>
        </is>
      </c>
      <c r="K380" s="77" t="inlineStr">
        <is>
          <t>Current course page</t>
        </is>
      </c>
    </row>
    <row r="381">
      <c r="A381" s="77" t="inlineStr">
        <is>
          <t>UK02-X03</t>
        </is>
      </c>
      <c r="B381" s="77" t="inlineStr">
        <is>
          <t>UK02</t>
        </is>
      </c>
      <c r="C381" s="77" t="inlineStr">
        <is>
          <t>St Andrews</t>
        </is>
      </c>
      <c r="D381" s="77" t="inlineStr">
        <is>
          <t>UK – additional</t>
        </is>
      </c>
      <c r="E381" s="77" t="inlineStr">
        <is>
          <t>ScotGEM MBChB Agents of Change projects</t>
        </is>
      </c>
      <c r="F381" s="77" t="inlineStr">
        <is>
          <t>No</t>
        </is>
      </c>
      <c r="G381" s="77" t="inlineStr"/>
      <c r="H381" s="77" t="inlineStr">
        <is>
          <t>Evidence gap</t>
        </is>
      </c>
      <c r="I381" s="77" t="inlineStr">
        <is>
          <t>Voluntary sector placement and healthcare improvement projects in years 1, 3, 4; page does not describe group work, outputs or the external organisation's role.</t>
        </is>
      </c>
      <c r="J381" s="77" t="inlineStr">
        <is>
          <t>https://www.st-andrews.ac.uk/subjects/medicine/scotgem-mbchb/</t>
        </is>
      </c>
      <c r="K381" s="77" t="inlineStr">
        <is>
          <t>Current course page</t>
        </is>
      </c>
    </row>
    <row r="382">
      <c r="A382" s="77" t="inlineStr">
        <is>
          <t>UK03-X01</t>
        </is>
      </c>
      <c r="B382" s="77" t="inlineStr">
        <is>
          <t>UK03</t>
        </is>
      </c>
      <c r="C382" s="77" t="inlineStr">
        <is>
          <t>Lancaster</t>
        </is>
      </c>
      <c r="D382" s="77" t="inlineStr">
        <is>
          <t>UK – additional</t>
        </is>
      </c>
      <c r="E382" s="77" t="inlineStr">
        <is>
          <t>Lancaster Award</t>
        </is>
      </c>
      <c r="F382" s="77" t="inlineStr">
        <is>
          <t>Yes</t>
        </is>
      </c>
      <c r="G382" s="77" t="n">
        <v>55</v>
      </c>
      <c r="H382" s="77" t="inlineStr">
        <is>
          <t>Employability award</t>
        </is>
      </c>
      <c r="I382" s="77" t="inlineStr">
        <is>
          <t>Co-curricular award recognising work experience, volunteering, workshops; not itself a group employer project. Open to all students per careers pages but underlying activities not tested. (Legacy: 900+ registrations, 200 completions in preceding year per graduation info.)</t>
        </is>
      </c>
      <c r="J382" s="77" t="inlineStr">
        <is>
          <t>https://www.lancaster.ac.uk/study/why-lancaster/careers-and-employability/</t>
        </is>
      </c>
      <c r="K382" s="77" t="inlineStr">
        <is>
          <t>Academic reach would be University-wide but no qualifying activity</t>
        </is>
      </c>
    </row>
    <row r="383">
      <c r="A383" s="77" t="inlineStr">
        <is>
          <t>UK03-X02</t>
        </is>
      </c>
      <c r="B383" s="77" t="inlineStr">
        <is>
          <t>UK03</t>
        </is>
      </c>
      <c r="C383" s="77" t="inlineStr">
        <is>
          <t>Lancaster</t>
        </is>
      </c>
      <c r="D383" s="77" t="inlineStr">
        <is>
          <t>UK – additional</t>
        </is>
      </c>
      <c r="E383" s="77" t="inlineStr">
        <is>
          <t>Computer Science Group Project (Year 2)</t>
        </is>
      </c>
      <c r="F383" s="77" t="inlineStr">
        <is>
          <t>No</t>
        </is>
      </c>
      <c r="G383" s="77" t="inlineStr"/>
      <c r="H383" s="77" t="inlineStr">
        <is>
          <t>Near-miss: no external org</t>
        </is>
      </c>
      <c r="I383" s="77" t="inlineStr">
        <is>
          <t>Group client-brief module, but brief is the module's own; no evidence of external organisations; client represented through supervisor in older records.</t>
        </is>
      </c>
      <c r="J383" s="77" t="inlineStr">
        <is>
          <t>https://www.lancaster.ac.uk/study/undergraduate/courses/computer-science-bsc-hons-g400/2027/</t>
        </is>
      </c>
      <c r="K383" s="77" t="inlineStr"/>
    </row>
    <row r="384">
      <c r="A384" s="77" t="inlineStr">
        <is>
          <t>UK03-X03</t>
        </is>
      </c>
      <c r="B384" s="77" t="inlineStr">
        <is>
          <t>UK03</t>
        </is>
      </c>
      <c r="C384" s="77" t="inlineStr">
        <is>
          <t>Lancaster</t>
        </is>
      </c>
      <c r="D384" s="77" t="inlineStr">
        <is>
          <t>UK – additional</t>
        </is>
      </c>
      <c r="E384" s="77" t="inlineStr">
        <is>
          <t>Computing Third Year Project with external partner</t>
        </is>
      </c>
      <c r="F384" s="77" t="inlineStr">
        <is>
          <t>No</t>
        </is>
      </c>
      <c r="G384" s="77" t="inlineStr"/>
      <c r="H384" s="77" t="inlineStr">
        <is>
          <t>Near-miss: not group</t>
        </is>
      </c>
      <c r="I384" s="77" t="inlineStr">
        <is>
          <t>Individual project that can be done with a company.</t>
        </is>
      </c>
      <c r="J384" s="77" t="inlineStr">
        <is>
          <t>https://www.lancaster.ac.uk/natural-sciences/course-and-pathways-2026/computing-and-communications-pathway/</t>
        </is>
      </c>
      <c r="K384" s="77" t="inlineStr"/>
    </row>
    <row r="385">
      <c r="A385" s="77" t="inlineStr">
        <is>
          <t>UK03-X04</t>
        </is>
      </c>
      <c r="B385" s="77" t="inlineStr">
        <is>
          <t>UK03</t>
        </is>
      </c>
      <c r="C385" s="77" t="inlineStr">
        <is>
          <t>Lancaster</t>
        </is>
      </c>
      <c r="D385" s="77" t="inlineStr">
        <is>
          <t>UK – additional</t>
        </is>
      </c>
      <c r="E385" s="77" t="inlineStr">
        <is>
          <t>Law Clinic (pro bono advice)</t>
        </is>
      </c>
      <c r="F385" s="77" t="inlineStr">
        <is>
          <t>No</t>
        </is>
      </c>
      <c r="G385" s="77" t="inlineStr"/>
      <c r="H385" s="77" t="inlineStr">
        <is>
          <t>Near-miss: no external org</t>
        </is>
      </c>
      <c r="I385" s="77" t="inlineStr">
        <is>
          <t>Students in pairs advise members of the public under supervision; clients are individuals, output is advice letters rather than organisation project. Policy Law Clinic with Environmental Law Foundation not evidenced in detail.</t>
        </is>
      </c>
      <c r="J385" s="77" t="inlineStr">
        <is>
          <t>https://www.lancaster.ac.uk/study/why-lancaster/law-clinics/</t>
        </is>
      </c>
      <c r="K385" s="77" t="inlineStr"/>
    </row>
    <row r="386">
      <c r="A386" s="77" t="inlineStr">
        <is>
          <t>UK03-X05</t>
        </is>
      </c>
      <c r="B386" s="77" t="inlineStr">
        <is>
          <t>UK03</t>
        </is>
      </c>
      <c r="C386" s="77" t="inlineStr">
        <is>
          <t>Lancaster</t>
        </is>
      </c>
      <c r="D386" s="77" t="inlineStr">
        <is>
          <t>UK – additional</t>
        </is>
      </c>
      <c r="E386" s="77" t="inlineStr">
        <is>
          <t>Global Challenges and Collaborative Solutions (FASS5002 Discovery module)</t>
        </is>
      </c>
      <c r="F386" s="77" t="inlineStr">
        <is>
          <t>No</t>
        </is>
      </c>
      <c r="G386" s="77" t="inlineStr"/>
      <c r="H386" s="77" t="inlineStr">
        <is>
          <t>Evidence gap</t>
        </is>
      </c>
      <c r="I386" s="77" t="inlineStr">
        <is>
          <t>Interdisciplinary team problem-solving; no external organisation evidenced.</t>
        </is>
      </c>
      <c r="J386" s="77" t="inlineStr">
        <is>
          <t>https://www.lancaster.ac.uk/humanities-arts-and-social-sciences/courses/discovery-modules/</t>
        </is>
      </c>
      <c r="K386" s="77" t="inlineStr"/>
    </row>
    <row r="387">
      <c r="A387" s="77" t="inlineStr">
        <is>
          <t>UK03-X06</t>
        </is>
      </c>
      <c r="B387" s="77" t="inlineStr">
        <is>
          <t>UK03</t>
        </is>
      </c>
      <c r="C387" s="77" t="inlineStr">
        <is>
          <t>Lancaster</t>
        </is>
      </c>
      <c r="D387" s="77" t="inlineStr">
        <is>
          <t>UK – additional</t>
        </is>
      </c>
      <c r="E387" s="77" t="inlineStr">
        <is>
          <t>SHAPE sustainability project</t>
        </is>
      </c>
      <c r="F387" s="77" t="inlineStr">
        <is>
          <t>No</t>
        </is>
      </c>
      <c r="G387" s="77" t="inlineStr"/>
      <c r="H387" s="77" t="inlineStr">
        <is>
          <t>Evidence gap</t>
        </is>
      </c>
      <c r="I387" s="77" t="inlineStr">
        <is>
          <t>Small interdisciplinary groups solving real-life sustainability challenges (2024, with SOS-UK/British Academy); external organisation role and current status not evidenced.</t>
        </is>
      </c>
      <c r="J387" s="77" t="inlineStr">
        <is>
          <t>https://www.lancaster.ac.uk/sustainability/get-involved/students/</t>
        </is>
      </c>
      <c r="K387" s="77" t="inlineStr">
        <is>
          <t>2024</t>
        </is>
      </c>
    </row>
    <row r="388">
      <c r="A388" s="77" t="inlineStr">
        <is>
          <t>UK03-X07</t>
        </is>
      </c>
      <c r="B388" s="77" t="inlineStr">
        <is>
          <t>UK03</t>
        </is>
      </c>
      <c r="C388" s="77" t="inlineStr">
        <is>
          <t>Lancaster</t>
        </is>
      </c>
      <c r="D388" s="77" t="inlineStr">
        <is>
          <t>UK – additional</t>
        </is>
      </c>
      <c r="E388" s="77" t="inlineStr">
        <is>
          <t>MSc Data Science summer placement/dissertation</t>
        </is>
      </c>
      <c r="F388" s="77" t="inlineStr">
        <is>
          <t>No</t>
        </is>
      </c>
      <c r="G388" s="77" t="inlineStr"/>
      <c r="H388" s="77" t="inlineStr">
        <is>
          <t>Placement/internship</t>
        </is>
      </c>
      <c r="I388" s="77" t="inlineStr">
        <is>
          <t>Industry placements (Unilever, Siemens, Bank of England) as individual dissertation basis; not shown as group.</t>
        </is>
      </c>
      <c r="J388" s="77" t="inlineStr">
        <is>
          <t>https://www.lancaster.ac.uk/sci-tech/msc-data-science-apply-now/</t>
        </is>
      </c>
      <c r="K388" s="77" t="inlineStr"/>
    </row>
    <row r="389">
      <c r="A389" s="77" t="inlineStr">
        <is>
          <t>UK03-X08</t>
        </is>
      </c>
      <c r="B389" s="77" t="inlineStr">
        <is>
          <t>UK03</t>
        </is>
      </c>
      <c r="C389" s="77" t="inlineStr">
        <is>
          <t>Lancaster</t>
        </is>
      </c>
      <c r="D389" s="77" t="inlineStr">
        <is>
          <t>UK – additional</t>
        </is>
      </c>
      <c r="E389" s="77" t="inlineStr">
        <is>
          <t>Psychology Employability Programme</t>
        </is>
      </c>
      <c r="F389" s="77" t="inlineStr">
        <is>
          <t>No</t>
        </is>
      </c>
      <c r="G389" s="77" t="inlineStr"/>
      <c r="H389" s="77" t="inlineStr">
        <is>
          <t>Volunteering/service-learning</t>
        </is>
      </c>
      <c r="I389" s="77" t="inlineStr">
        <is>
          <t>Individual community/charity work placements counting toward Lancaster Award.</t>
        </is>
      </c>
      <c r="J389" s="77" t="inlineStr">
        <is>
          <t>https://www.lancaster.ac.uk/psychology/study/employability/</t>
        </is>
      </c>
      <c r="K389" s="77" t="inlineStr"/>
    </row>
    <row r="390">
      <c r="A390" s="77" t="inlineStr">
        <is>
          <t>UK03-X09</t>
        </is>
      </c>
      <c r="B390" s="77" t="inlineStr">
        <is>
          <t>UK03</t>
        </is>
      </c>
      <c r="C390" s="77" t="inlineStr">
        <is>
          <t>Lancaster</t>
        </is>
      </c>
      <c r="D390" s="77" t="inlineStr">
        <is>
          <t>UK – additional</t>
        </is>
      </c>
      <c r="E390" s="77" t="inlineStr">
        <is>
          <t>Environmental Management MSc / Environment and Development MSc</t>
        </is>
      </c>
      <c r="F390" s="77" t="inlineStr">
        <is>
          <t>No</t>
        </is>
      </c>
      <c r="G390" s="77" t="inlineStr"/>
      <c r="H390" s="77" t="inlineStr">
        <is>
          <t>Near-miss: not group</t>
        </is>
      </c>
      <c r="I390" s="77" t="inlineStr">
        <is>
          <t>Partner-organisation dissertations are individual; Eco-innovation team module has no external client evidenced.</t>
        </is>
      </c>
      <c r="J390" s="77" t="inlineStr">
        <is>
          <t>https://www.lancaster.ac.uk/study/postgraduate/postgraduate-courses/environmental-management-msc/2025/</t>
        </is>
      </c>
      <c r="K390" s="77" t="inlineStr"/>
    </row>
    <row r="391">
      <c r="A391" s="77" t="inlineStr">
        <is>
          <t>UK03-X10</t>
        </is>
      </c>
      <c r="B391" s="77" t="inlineStr">
        <is>
          <t>UK03</t>
        </is>
      </c>
      <c r="C391" s="77" t="inlineStr">
        <is>
          <t>Lancaster</t>
        </is>
      </c>
      <c r="D391" s="77" t="inlineStr">
        <is>
          <t>UK – additional</t>
        </is>
      </c>
      <c r="E391" s="77" t="inlineStr">
        <is>
          <t>Marketing MSc live dissertation / Executive MBA group consultancy challenge</t>
        </is>
      </c>
      <c r="F391" s="77" t="inlineStr">
        <is>
          <t>No</t>
        </is>
      </c>
      <c r="G391" s="77" t="inlineStr"/>
      <c r="H391" s="77" t="inlineStr">
        <is>
          <t>Evidence gap</t>
        </is>
      </c>
      <c r="I391" s="77" t="inlineStr">
        <is>
          <t>'Can' complete live company dissertation (P&amp;G, Molson Coors, Suntory); Executive MBA says 'real-life problem or business simulation'; group/real status not separable.</t>
        </is>
      </c>
      <c r="J391" s="77" t="inlineStr">
        <is>
          <t>https://www.lancaster.ac.uk/study/postgraduate/postgraduate-courses/marketing-msc/2026/</t>
        </is>
      </c>
      <c r="K391" s="77" t="inlineStr"/>
    </row>
    <row r="392">
      <c r="A392" s="77" t="inlineStr">
        <is>
          <t>UK03-X11</t>
        </is>
      </c>
      <c r="B392" s="77" t="inlineStr">
        <is>
          <t>UK03</t>
        </is>
      </c>
      <c r="C392" s="77" t="inlineStr">
        <is>
          <t>Lancaster</t>
        </is>
      </c>
      <c r="D392" s="77" t="inlineStr">
        <is>
          <t>UK – additional</t>
        </is>
      </c>
      <c r="E392" s="77" t="inlineStr">
        <is>
          <t>Lancaster University Consultancy Services (LUCS)</t>
        </is>
      </c>
      <c r="F392" s="77" t="inlineStr">
        <is>
          <t>No</t>
        </is>
      </c>
      <c r="G392" s="77" t="inlineStr"/>
      <c r="H392" s="77" t="inlineStr">
        <is>
          <t>Other</t>
        </is>
      </c>
      <c r="I392" s="77" t="inlineStr">
        <is>
          <t>Staff consultancy; states it will not subcontract to students.</t>
        </is>
      </c>
      <c r="J392" s="77" t="inlineStr">
        <is>
          <t>https://www.lancaster.ac.uk/research/research-enterprise-services/consultancy/key-principles/</t>
        </is>
      </c>
      <c r="K392" s="77" t="inlineStr"/>
    </row>
    <row r="393">
      <c r="A393" s="77" t="inlineStr">
        <is>
          <t>UK03-X12</t>
        </is>
      </c>
      <c r="B393" s="77" t="inlineStr">
        <is>
          <t>UK03</t>
        </is>
      </c>
      <c r="C393" s="77" t="inlineStr">
        <is>
          <t>Lancaster</t>
        </is>
      </c>
      <c r="D393" s="77" t="inlineStr">
        <is>
          <t>UK – additional</t>
        </is>
      </c>
      <c r="E393" s="77" t="inlineStr">
        <is>
          <t>LUMS Next-Gen Entrepreneurs Challenge / 100 Day Challenge</t>
        </is>
      </c>
      <c r="F393" s="77" t="inlineStr">
        <is>
          <t>No</t>
        </is>
      </c>
      <c r="G393" s="77" t="inlineStr"/>
      <c r="H393" s="77" t="inlineStr">
        <is>
          <t>Entrepreneurship/incubator</t>
        </is>
      </c>
      <c r="I393" s="77" t="inlineStr">
        <is>
          <t>Schools outreach / entrepreneurship competition; no live external client.</t>
        </is>
      </c>
      <c r="J393" s="77" t="inlineStr">
        <is>
          <t>https://www.lancaster.ac.uk/lums/about-us/working-with-schools/next-gen-entrepreneurs-challenge/</t>
        </is>
      </c>
      <c r="K393" s="77" t="inlineStr"/>
    </row>
    <row r="394">
      <c r="A394" s="77" t="inlineStr">
        <is>
          <t>UK04-X01</t>
        </is>
      </c>
      <c r="B394" s="77" t="inlineStr">
        <is>
          <t>UK04</t>
        </is>
      </c>
      <c r="C394" s="77" t="inlineStr">
        <is>
          <t>Loughborough</t>
        </is>
      </c>
      <c r="D394" s="77" t="inlineStr">
        <is>
          <t>UK – additional</t>
        </is>
      </c>
      <c r="E394" s="77" t="inlineStr">
        <is>
          <t>Personal Best</t>
        </is>
      </c>
      <c r="F394" s="77" t="inlineStr">
        <is>
          <t>Yes</t>
        </is>
      </c>
      <c r="G394" s="77" t="n">
        <v>56</v>
      </c>
      <c r="H394" s="77" t="inlineStr">
        <is>
          <t>Employability award</t>
        </is>
      </c>
      <c r="I394" s="77" t="inlineStr">
        <is>
          <t>Co-curricular award recording personal/professional development badges (complete Ready Set Loughborough plus other badges); no project, group or external-organisation component identified.</t>
        </is>
      </c>
      <c r="J394" s="77" t="inlineStr">
        <is>
          <t>https://www.lboro.ac.uk/students/personal-best/award/</t>
        </is>
      </c>
      <c r="K394" s="77" t="inlineStr">
        <is>
          <t>Awarded on transcript; undated</t>
        </is>
      </c>
    </row>
    <row r="395">
      <c r="A395" s="77" t="inlineStr">
        <is>
          <t>UK04-X02</t>
        </is>
      </c>
      <c r="B395" s="77" t="inlineStr">
        <is>
          <t>UK04</t>
        </is>
      </c>
      <c r="C395" s="77" t="inlineStr">
        <is>
          <t>Loughborough</t>
        </is>
      </c>
      <c r="D395" s="77" t="inlineStr">
        <is>
          <t>UK – additional</t>
        </is>
      </c>
      <c r="E395" s="77" t="inlineStr">
        <is>
          <t>Digital Media and Communication MSc Workplace Focused Dissertation</t>
        </is>
      </c>
      <c r="F395" s="77" t="inlineStr">
        <is>
          <t>No</t>
        </is>
      </c>
      <c r="G395" s="77" t="inlineStr"/>
      <c r="H395" s="77" t="inlineStr">
        <is>
          <t>Near-miss: not group</t>
        </is>
      </c>
      <c r="I395" s="77" t="inlineStr">
        <is>
          <t>60-credit dissertation based on a project partner's brief solving a real problem, but a dissertation assessed individually; no group working evidenced.</t>
        </is>
      </c>
      <c r="J395" s="77" t="inlineStr">
        <is>
          <t>https://www.lboro.ac.uk/study/postgraduate/masters-degrees/digital-media-communication/</t>
        </is>
      </c>
      <c r="K395" s="77" t="inlineStr">
        <is>
          <t>Undated</t>
        </is>
      </c>
    </row>
    <row r="396">
      <c r="A396" s="77" t="inlineStr">
        <is>
          <t>UK04-X03</t>
        </is>
      </c>
      <c r="B396" s="77" t="inlineStr">
        <is>
          <t>UK04</t>
        </is>
      </c>
      <c r="C396" s="77" t="inlineStr">
        <is>
          <t>Loughborough</t>
        </is>
      </c>
      <c r="D396" s="77" t="inlineStr">
        <is>
          <t>UK – additional</t>
        </is>
      </c>
      <c r="E396" s="77" t="inlineStr">
        <is>
          <t>NatWest Group final-year work-based learning case</t>
        </is>
      </c>
      <c r="F396" s="77" t="inlineStr">
        <is>
          <t>No</t>
        </is>
      </c>
      <c r="G396" s="77" t="inlineStr"/>
      <c r="H396" s="77" t="inlineStr">
        <is>
          <t>Near-miss: no external org</t>
        </is>
      </c>
      <c r="I396" s="77" t="inlineStr">
        <is>
          <t>NatWest wrote a case study of a fictional organisation; top performers offered an internship; not a live brief.</t>
        </is>
      </c>
      <c r="J396" s="77" t="inlineStr">
        <is>
          <t>https://www.lboro.ac.uk/schools/business-school/news/2023/natwest-group-working-with-business-school/</t>
        </is>
      </c>
      <c r="K396" s="77" t="inlineStr">
        <is>
          <t>2023</t>
        </is>
      </c>
    </row>
    <row r="397">
      <c r="A397" s="77" t="inlineStr">
        <is>
          <t>UK04-X04</t>
        </is>
      </c>
      <c r="B397" s="77" t="inlineStr">
        <is>
          <t>UK04</t>
        </is>
      </c>
      <c r="C397" s="77" t="inlineStr">
        <is>
          <t>Loughborough</t>
        </is>
      </c>
      <c r="D397" s="77" t="inlineStr">
        <is>
          <t>UK – additional</t>
        </is>
      </c>
      <c r="E397" s="77" t="inlineStr">
        <is>
          <t>University Business Challenge (Loughborough Business School teams)</t>
        </is>
      </c>
      <c r="F397" s="77" t="inlineStr">
        <is>
          <t>No</t>
        </is>
      </c>
      <c r="G397" s="77" t="inlineStr"/>
      <c r="H397" s="77" t="inlineStr">
        <is>
          <t>Simulation/virtual</t>
        </is>
      </c>
      <c r="I397" s="77" t="inlineStr">
        <is>
          <t>Online business simulation competition; no live client.</t>
        </is>
      </c>
      <c r="J397" s="77" t="inlineStr">
        <is>
          <t>https://www.lboro.ac.uk/schools/business-school/news/2026/ubc-semi-final-2026/</t>
        </is>
      </c>
      <c r="K397" s="77" t="inlineStr">
        <is>
          <t>2026 semi-finals</t>
        </is>
      </c>
    </row>
    <row r="398">
      <c r="A398" s="77" t="inlineStr">
        <is>
          <t>UK04-X05</t>
        </is>
      </c>
      <c r="B398" s="77" t="inlineStr">
        <is>
          <t>UK04</t>
        </is>
      </c>
      <c r="C398" s="77" t="inlineStr">
        <is>
          <t>Loughborough</t>
        </is>
      </c>
      <c r="D398" s="77" t="inlineStr">
        <is>
          <t>UK – additional</t>
        </is>
      </c>
      <c r="E398" s="77" t="inlineStr">
        <is>
          <t>Challenge X (Loughborough Enterprise Network)</t>
        </is>
      </c>
      <c r="F398" s="77" t="inlineStr">
        <is>
          <t>No</t>
        </is>
      </c>
      <c r="G398" s="77" t="inlineStr"/>
      <c r="H398" s="77" t="inlineStr">
        <is>
          <t>Evidence gap</t>
        </is>
      </c>
      <c r="I398" s="77" t="inlineStr">
        <is>
          <t>18-hour event pairing students with SMEs on real problems (Santander-sponsored) but evidence is an old student blog post and current delivery was not confirmed.</t>
        </is>
      </c>
      <c r="J398" s="77" t="inlineStr">
        <is>
          <t>https://blog.lboro.ac.uk/students/postgraduate/challenge-x/</t>
        </is>
      </c>
      <c r="K398" s="77" t="inlineStr">
        <is>
          <t>Undated/old</t>
        </is>
      </c>
    </row>
    <row r="399">
      <c r="A399" s="77" t="inlineStr">
        <is>
          <t>UK04-X06</t>
        </is>
      </c>
      <c r="B399" s="77" t="inlineStr">
        <is>
          <t>UK04</t>
        </is>
      </c>
      <c r="C399" s="77" t="inlineStr">
        <is>
          <t>Loughborough</t>
        </is>
      </c>
      <c r="D399" s="77" t="inlineStr">
        <is>
          <t>UK – additional</t>
        </is>
      </c>
      <c r="E399" s="77" t="inlineStr">
        <is>
          <t>Talent Match micro-internships and Finalist/Global internships</t>
        </is>
      </c>
      <c r="F399" s="77" t="inlineStr">
        <is>
          <t>No</t>
        </is>
      </c>
      <c r="G399" s="77" t="inlineStr"/>
      <c r="H399" s="77" t="inlineStr">
        <is>
          <t>Placement/internship</t>
        </is>
      </c>
      <c r="I399" s="77" t="inlineStr">
        <is>
          <t>50-100 hour paid internships with SMEs/organisations; individual placements; no group project evidenced (the Consultancy Programme is recorded as S4).</t>
        </is>
      </c>
      <c r="J399" s="77" t="inlineStr">
        <is>
          <t>https://www.lboro.ac.uk/internal/news/2023/october/talent-match-roles-live/</t>
        </is>
      </c>
      <c r="K399" s="77" t="inlineStr">
        <is>
          <t>2023 call</t>
        </is>
      </c>
    </row>
    <row r="400">
      <c r="A400" s="77" t="inlineStr">
        <is>
          <t>UK04-X07</t>
        </is>
      </c>
      <c r="B400" s="77" t="inlineStr">
        <is>
          <t>UK04</t>
        </is>
      </c>
      <c r="C400" s="77" t="inlineStr">
        <is>
          <t>Loughborough</t>
        </is>
      </c>
      <c r="D400" s="77" t="inlineStr">
        <is>
          <t>UK – additional</t>
        </is>
      </c>
      <c r="E400" s="77" t="inlineStr">
        <is>
          <t>Materials Science and Engineering BEng year-3 research project / Chemistry MChem final-year project</t>
        </is>
      </c>
      <c r="F400" s="77" t="inlineStr">
        <is>
          <t>No</t>
        </is>
      </c>
      <c r="G400" s="77" t="inlineStr"/>
      <c r="H400" s="77" t="inlineStr">
        <is>
          <t>Dissertation/research</t>
        </is>
      </c>
      <c r="I400" s="77" t="inlineStr">
        <is>
          <t>Individual research projects possibly with an industrial partner; industry-sponsored projects mentioned but no group or client-brief evidence.</t>
        </is>
      </c>
      <c r="J400" s="77" t="inlineStr">
        <is>
          <t>https://www.lboro.ac.uk/study/undergraduate/courses/materials-science-engineering-beng/</t>
        </is>
      </c>
      <c r="K400" s="77" t="inlineStr">
        <is>
          <t>Undated</t>
        </is>
      </c>
    </row>
    <row r="401">
      <c r="A401" s="77" t="inlineStr">
        <is>
          <t>UK04-X08</t>
        </is>
      </c>
      <c r="B401" s="77" t="inlineStr">
        <is>
          <t>UK04</t>
        </is>
      </c>
      <c r="C401" s="77" t="inlineStr">
        <is>
          <t>Loughborough</t>
        </is>
      </c>
      <c r="D401" s="77" t="inlineStr">
        <is>
          <t>UK – additional</t>
        </is>
      </c>
      <c r="E401" s="77" t="inlineStr">
        <is>
          <t>Computer Science Team Projects / Group Project modules</t>
        </is>
      </c>
      <c r="F401" s="77" t="inlineStr">
        <is>
          <t>No</t>
        </is>
      </c>
      <c r="G401" s="77" t="inlineStr"/>
      <c r="H401" s="77" t="inlineStr">
        <is>
          <t>Evidence gap</t>
        </is>
      </c>
      <c r="I401" s="77" t="inlineStr">
        <is>
          <t>Group project modules exist (26COB290, 26COC800, 26COD292) but search results gave no evidence of external clients or briefs.</t>
        </is>
      </c>
      <c r="J401" s="77" t="inlineStr">
        <is>
          <t>https://www.lboro.ac.uk/study/undergraduate/courses/computer-science-msci/</t>
        </is>
      </c>
      <c r="K401" s="77" t="inlineStr">
        <is>
          <t>2025 course archive</t>
        </is>
      </c>
    </row>
    <row r="402">
      <c r="A402" s="77" t="inlineStr">
        <is>
          <t>UK04-X09</t>
        </is>
      </c>
      <c r="B402" s="77" t="inlineStr">
        <is>
          <t>UK04</t>
        </is>
      </c>
      <c r="C402" s="77" t="inlineStr">
        <is>
          <t>Loughborough</t>
        </is>
      </c>
      <c r="D402" s="77" t="inlineStr">
        <is>
          <t>UK – additional</t>
        </is>
      </c>
      <c r="E402" s="77" t="inlineStr">
        <is>
          <t>Loughborough University Enterprises Limited (LUEL) consultancy</t>
        </is>
      </c>
      <c r="F402" s="77" t="inlineStr">
        <is>
          <t>No</t>
        </is>
      </c>
      <c r="G402" s="77" t="inlineStr"/>
      <c r="H402" s="77" t="inlineStr">
        <is>
          <t>Other</t>
        </is>
      </c>
      <c r="I402" s="77" t="inlineStr">
        <is>
          <t>Staff-led external consultancy, not student project work.</t>
        </is>
      </c>
      <c r="J402" s="77" t="inlineStr">
        <is>
          <t>https://www.lboro.ac.uk/internal/research-innovation-support/partners-collaborators/luel/</t>
        </is>
      </c>
      <c r="K402" s="77" t="inlineStr"/>
    </row>
    <row r="403">
      <c r="A403" s="77" t="inlineStr">
        <is>
          <t>UK04-X10</t>
        </is>
      </c>
      <c r="B403" s="77" t="inlineStr">
        <is>
          <t>UK04</t>
        </is>
      </c>
      <c r="C403" s="77" t="inlineStr">
        <is>
          <t>Loughborough</t>
        </is>
      </c>
      <c r="D403" s="77" t="inlineStr">
        <is>
          <t>UK – additional</t>
        </is>
      </c>
      <c r="E403" s="77" t="inlineStr">
        <is>
          <t>Engineers Without Borders Loughborough (student society)</t>
        </is>
      </c>
      <c r="F403" s="77" t="inlineStr">
        <is>
          <t>No</t>
        </is>
      </c>
      <c r="G403" s="77" t="inlineStr"/>
      <c r="H403" s="77" t="inlineStr">
        <is>
          <t>Event/competition without live client</t>
        </is>
      </c>
      <c r="I403" s="77" t="inlineStr">
        <is>
          <t>Student society design challenges; no external client brief evidenced.</t>
        </is>
      </c>
      <c r="J403" s="77" t="inlineStr">
        <is>
          <t>https://lsu.co.uk/societies/engineers-without-borders</t>
        </is>
      </c>
      <c r="K403" s="77" t="inlineStr"/>
    </row>
    <row r="404">
      <c r="A404" s="77" t="inlineStr">
        <is>
          <t>UK04-X11</t>
        </is>
      </c>
      <c r="B404" s="77" t="inlineStr">
        <is>
          <t>UK04</t>
        </is>
      </c>
      <c r="C404" s="77" t="inlineStr">
        <is>
          <t>Loughborough</t>
        </is>
      </c>
      <c r="D404" s="77" t="inlineStr">
        <is>
          <t>UK – additional</t>
        </is>
      </c>
      <c r="E404" s="77" t="inlineStr">
        <is>
          <t>Loughborough Apprentice / LEN enterprise challenge</t>
        </is>
      </c>
      <c r="F404" s="77" t="inlineStr">
        <is>
          <t>No</t>
        </is>
      </c>
      <c r="G404" s="77" t="inlineStr"/>
      <c r="H404" s="77" t="inlineStr">
        <is>
          <t>Event/competition without live client</t>
        </is>
      </c>
      <c r="I404" s="77" t="inlineStr">
        <is>
          <t>Student-life improvement challenge for societies and halls; internal, not an employer brief.</t>
        </is>
      </c>
      <c r="J404" s="77" t="inlineStr">
        <is>
          <t>https://www.lboro.ac.uk/services/student-services/topics/len-whats-on/</t>
        </is>
      </c>
      <c r="K404" s="77" t="inlineStr"/>
    </row>
    <row r="405">
      <c r="A405" s="77" t="inlineStr">
        <is>
          <t>UK05-X01</t>
        </is>
      </c>
      <c r="B405" s="77" t="inlineStr">
        <is>
          <t>UK05</t>
        </is>
      </c>
      <c r="C405" s="77" t="inlineStr">
        <is>
          <t>Aberdeen</t>
        </is>
      </c>
      <c r="D405" s="77" t="inlineStr">
        <is>
          <t>UK – additional</t>
        </is>
      </c>
      <c r="E405" s="77" t="inlineStr">
        <is>
          <t>ABDN Internships</t>
        </is>
      </c>
      <c r="F405" s="77" t="inlineStr">
        <is>
          <t>Yes</t>
        </is>
      </c>
      <c r="G405" s="77" t="n">
        <v>57</v>
      </c>
      <c r="H405" s="77" t="inlineStr">
        <is>
          <t>Placement/internship</t>
        </is>
      </c>
      <c r="I405" s="77" t="inlineStr">
        <is>
          <t>Paid part-time internships in University departments and with external employers, open to all full-degree students. These are individual roles, so group working was not evidenced (B). The legacy row mentions 2026/27 seven-week employer projects; that strand was not verified in this review and should be checked for any team project component.</t>
        </is>
      </c>
      <c r="J405" s="77" t="inlineStr">
        <is>
          <t>https://www.abdn.ac.uk/careers/experience/abdn-internships/</t>
        </is>
      </c>
      <c r="K405" s="77" t="inlineStr">
        <is>
          <t>2026/27 confirmed: Term 1 applications closed 7 October 2026 (legacy row). Seven-week employer-project strand not verified; remains an evidence gap.</t>
        </is>
      </c>
    </row>
    <row r="406">
      <c r="A406" s="77" t="inlineStr">
        <is>
          <t>UK05-X02</t>
        </is>
      </c>
      <c r="B406" s="77" t="inlineStr">
        <is>
          <t>UK05</t>
        </is>
      </c>
      <c r="C406" s="77" t="inlineStr">
        <is>
          <t>Aberdeen</t>
        </is>
      </c>
      <c r="D406" s="77" t="inlineStr">
        <is>
          <t>UK – additional</t>
        </is>
      </c>
      <c r="E406" s="77" t="inlineStr">
        <is>
          <t>Business School postgraduate consulting courses (BU593F, BU5996, BU591L)</t>
        </is>
      </c>
      <c r="F406" s="77" t="inlineStr">
        <is>
          <t>No</t>
        </is>
      </c>
      <c r="G406" s="77" t="inlineStr"/>
      <c r="H406" s="77" t="inlineStr">
        <is>
          <t>Evidence gap</t>
        </is>
      </c>
      <c r="I406" s="77" t="inlineStr">
        <is>
          <t>Only older catalogues (2020-2023) retrieved; BU593F allows a company of the student's choice or a case; group working and external-client standardness not evidenced.</t>
        </is>
      </c>
      <c r="J406" s="77" t="inlineStr">
        <is>
          <t>https://www.abdn.ac.uk/registry/courses/postgraduate/2025-2026/business_studies/bu503e</t>
        </is>
      </c>
      <c r="K406" s="77" t="inlineStr">
        <is>
          <t>Not current-verified</t>
        </is>
      </c>
    </row>
    <row r="407">
      <c r="A407" s="77" t="inlineStr">
        <is>
          <t>UK05-X03</t>
        </is>
      </c>
      <c r="B407" s="77" t="inlineStr">
        <is>
          <t>UK05</t>
        </is>
      </c>
      <c r="C407" s="77" t="inlineStr">
        <is>
          <t>Aberdeen</t>
        </is>
      </c>
      <c r="D407" s="77" t="inlineStr">
        <is>
          <t>UK – additional</t>
        </is>
      </c>
      <c r="E407" s="77" t="inlineStr">
        <is>
          <t>Aberdeen Law Project</t>
        </is>
      </c>
      <c r="F407" s="77" t="inlineStr">
        <is>
          <t>No</t>
        </is>
      </c>
      <c r="G407" s="77" t="inlineStr"/>
      <c r="H407" s="77" t="inlineStr">
        <is>
          <t>Volunteering/service-learning</t>
        </is>
      </c>
      <c r="I407" s="77" t="inlineStr">
        <is>
          <t>Student-run legal advice clinic: casework for households, not a bounded group project for an external client.</t>
        </is>
      </c>
      <c r="J407" s="77" t="inlineStr">
        <is>
          <t>https://www.abdn.ac.uk/law/why-us/student-activities/</t>
        </is>
      </c>
      <c r="K407" s="77" t="inlineStr"/>
    </row>
    <row r="408">
      <c r="A408" s="77" t="inlineStr">
        <is>
          <t>UK05-X04</t>
        </is>
      </c>
      <c r="B408" s="77" t="inlineStr">
        <is>
          <t>UK05</t>
        </is>
      </c>
      <c r="C408" s="77" t="inlineStr">
        <is>
          <t>Aberdeen</t>
        </is>
      </c>
      <c r="D408" s="77" t="inlineStr">
        <is>
          <t>UK – additional</t>
        </is>
      </c>
      <c r="E408" s="77" t="inlineStr">
        <is>
          <t>Medicine Student Selected Component / electives</t>
        </is>
      </c>
      <c r="F408" s="77" t="inlineStr">
        <is>
          <t>No</t>
        </is>
      </c>
      <c r="G408" s="77" t="inlineStr"/>
      <c r="H408" s="77" t="inlineStr">
        <is>
          <t>Evidence gap</t>
        </is>
      </c>
      <c r="I408" s="77" t="inlineStr">
        <is>
          <t>SSC described as project-based group work, but no external organisation role evidenced; elective is individually arranged.</t>
        </is>
      </c>
      <c r="J408" s="77" t="inlineStr">
        <is>
          <t>https://www.abdn.ac.uk/smmsn/undergraduate/medicine/our-course/</t>
        </is>
      </c>
      <c r="K408" s="77" t="inlineStr"/>
    </row>
    <row r="409">
      <c r="A409" s="77" t="inlineStr">
        <is>
          <t>UK06-X01</t>
        </is>
      </c>
      <c r="B409" s="77" t="inlineStr">
        <is>
          <t>UK06</t>
        </is>
      </c>
      <c r="C409" s="77" t="inlineStr">
        <is>
          <t>Reading</t>
        </is>
      </c>
      <c r="D409" s="77" t="inlineStr">
        <is>
          <t>UK – additional</t>
        </is>
      </c>
      <c r="E409" s="77" t="inlineStr">
        <is>
          <t>RED Awards (Professional Development, Global Engagement, Sustainable Action)</t>
        </is>
      </c>
      <c r="F409" s="77" t="inlineStr">
        <is>
          <t>Yes</t>
        </is>
      </c>
      <c r="G409" s="77" t="n">
        <v>58</v>
      </c>
      <c r="H409" s="77" t="inlineStr">
        <is>
          <t>Employability award</t>
        </is>
      </c>
      <c r="I409" s="77" t="inlineStr">
        <is>
          <t>Co-curricular recognition scheme for any student activity; not itself a bounded team project with an external organisation (criteria A, B, C not evidenced).</t>
        </is>
      </c>
      <c r="J409" s="77" t="inlineStr">
        <is>
          <t>https://www.reading.ac.uk/essentials/Careers/Gaining-experience/RED-Awards</t>
        </is>
      </c>
      <c r="K409" s="77" t="inlineStr">
        <is>
          <t>Legacy row; undated page</t>
        </is>
      </c>
    </row>
    <row r="410">
      <c r="A410" s="77" t="inlineStr">
        <is>
          <t>UK06-X02</t>
        </is>
      </c>
      <c r="B410" s="77" t="inlineStr">
        <is>
          <t>UK06</t>
        </is>
      </c>
      <c r="C410" s="77" t="inlineStr">
        <is>
          <t>Reading</t>
        </is>
      </c>
      <c r="D410" s="77" t="inlineStr">
        <is>
          <t>UK – additional</t>
        </is>
      </c>
      <c r="E410" s="77" t="inlineStr">
        <is>
          <t>Reading Internship Scheme (RIS)</t>
        </is>
      </c>
      <c r="F410" s="77" t="inlineStr">
        <is>
          <t>No</t>
        </is>
      </c>
      <c r="G410" s="77" t="inlineStr"/>
      <c r="H410" s="77" t="inlineStr">
        <is>
          <t>Placement/internship</t>
        </is>
      </c>
      <c r="I410" s="77" t="inlineStr">
        <is>
          <t>Individual paid internships of 4-8 weeks with employer-set projects; individual, no team component (B not met).</t>
        </is>
      </c>
      <c r="J410" s="77" t="inlineStr">
        <is>
          <t>https://www.reading.ac.uk/essentials/careers/employers/ris</t>
        </is>
      </c>
      <c r="K410" s="77" t="inlineStr">
        <is>
          <t>2026-27 employer page</t>
        </is>
      </c>
    </row>
    <row r="411">
      <c r="A411" s="77" t="inlineStr">
        <is>
          <t>UK06-X03</t>
        </is>
      </c>
      <c r="B411" s="77" t="inlineStr">
        <is>
          <t>UK06</t>
        </is>
      </c>
      <c r="C411" s="77" t="inlineStr">
        <is>
          <t>Reading</t>
        </is>
      </c>
      <c r="D411" s="77" t="inlineStr">
        <is>
          <t>UK – additional</t>
        </is>
      </c>
      <c r="E411" s="77" t="inlineStr">
        <is>
          <t>MM313A/B Applied Entrepreneurship</t>
        </is>
      </c>
      <c r="F411" s="77" t="inlineStr">
        <is>
          <t>No</t>
        </is>
      </c>
      <c r="G411" s="77" t="inlineStr"/>
      <c r="H411" s="77" t="inlineStr">
        <is>
          <t>Near-miss: no external org</t>
        </is>
      </c>
      <c r="I411" s="77" t="inlineStr">
        <is>
          <t>Students run their own venture solo or in teams up to 3; no external client; earlier-year external industry assessor not confirmed for current version.</t>
        </is>
      </c>
      <c r="J411" s="77" t="inlineStr">
        <is>
          <t>https://www.reading.ac.uk/modules/documents?acyear=2025%2F6&amp;modcode=MM313A&amp;schoolcode=HBS+DME+W%7CHBS+FIN+W%7CHBS+IBS+W%7CHBS+ICM+W%7CHBS+LOB+W%7CHBS+MGM+W%7CHBS+MKR+W%7CHBS+REP+W</t>
        </is>
      </c>
      <c r="K411" s="77" t="inlineStr">
        <is>
          <t>2025/6 module record</t>
        </is>
      </c>
    </row>
    <row r="412">
      <c r="A412" s="77" t="inlineStr">
        <is>
          <t>UK06-X04</t>
        </is>
      </c>
      <c r="B412" s="77" t="inlineStr">
        <is>
          <t>UK06</t>
        </is>
      </c>
      <c r="C412" s="77" t="inlineStr">
        <is>
          <t>Reading</t>
        </is>
      </c>
      <c r="D412" s="77" t="inlineStr">
        <is>
          <t>UK – additional</t>
        </is>
      </c>
      <c r="E412" s="77" t="inlineStr">
        <is>
          <t>MMM163 Advanced Project (MSc International Business and Digital Transformation)</t>
        </is>
      </c>
      <c r="F412" s="77" t="inlineStr">
        <is>
          <t>No</t>
        </is>
      </c>
      <c r="G412" s="77" t="inlineStr"/>
      <c r="H412" s="77" t="inlineStr">
        <is>
          <t>Evidence gap</t>
        </is>
      </c>
      <c r="I412" s="77" t="inlineStr">
        <is>
          <t>Projects usually for outside organisations (competitive, may need interview) but a single report is submitted; group working not evidenced.</t>
        </is>
      </c>
      <c r="J412" s="77" t="inlineStr">
        <is>
          <t>https://www.reading.ac.uk/modules/documents?acyear=2025/6&amp;modcode=MMM163&amp;schoolcode=HBS+DME+W%7CHBS+FIN+W%7CHBS+IBS+W%7CHBS+ICM+W%7CHBS+LOB+W%7CHBS+MGM+W%7CHBS+MKR+W%7CHBS+REP+W</t>
        </is>
      </c>
      <c r="K412" s="77" t="inlineStr">
        <is>
          <t>2025/6 record</t>
        </is>
      </c>
    </row>
    <row r="413">
      <c r="A413" s="77" t="inlineStr">
        <is>
          <t>UK06-X05</t>
        </is>
      </c>
      <c r="B413" s="77" t="inlineStr">
        <is>
          <t>UK06</t>
        </is>
      </c>
      <c r="C413" s="77" t="inlineStr">
        <is>
          <t>Reading</t>
        </is>
      </c>
      <c r="D413" s="77" t="inlineStr">
        <is>
          <t>UK – additional</t>
        </is>
      </c>
      <c r="E413" s="77" t="inlineStr">
        <is>
          <t>MQM3CSP Capstone Project (Degree Apprenticeship MSc)</t>
        </is>
      </c>
      <c r="F413" s="77" t="inlineStr">
        <is>
          <t>No</t>
        </is>
      </c>
      <c r="G413" s="77" t="inlineStr"/>
      <c r="H413" s="77" t="inlineStr">
        <is>
          <t>Near-miss: not group</t>
        </is>
      </c>
      <c r="I413" s="77" t="inlineStr">
        <is>
          <t>Individual project for the apprentice's own employer.</t>
        </is>
      </c>
      <c r="J413" s="77" t="inlineStr">
        <is>
          <t>https://www.reading.ac.uk/modules/documents?acyear=2024/5&amp;modcode=MQM3CSP&amp;schoolcode=HBS+BIS+G%7CHBS+BIS+W%7CHBS+IBS+G%7CHBS+IBS+W%7CHBS+ICM+W%7CHBS+LOB+W%7CHBS+MGM+W%7CHBS+MKR+W%7CHBS+REP+W</t>
        </is>
      </c>
      <c r="K413" s="77" t="inlineStr">
        <is>
          <t>2024/5</t>
        </is>
      </c>
    </row>
    <row r="414">
      <c r="A414" s="77" t="inlineStr">
        <is>
          <t>UK06-X06</t>
        </is>
      </c>
      <c r="B414" s="77" t="inlineStr">
        <is>
          <t>UK06</t>
        </is>
      </c>
      <c r="C414" s="77" t="inlineStr">
        <is>
          <t>Reading</t>
        </is>
      </c>
      <c r="D414" s="77" t="inlineStr">
        <is>
          <t>UK – additional</t>
        </is>
      </c>
      <c r="E414" s="77" t="inlineStr">
        <is>
          <t>Strategic Technology Consulting (MQM2STC / INMB39)</t>
        </is>
      </c>
      <c r="F414" s="77" t="inlineStr">
        <is>
          <t>No</t>
        </is>
      </c>
      <c r="G414" s="77" t="inlineStr"/>
      <c r="H414" s="77" t="inlineStr">
        <is>
          <t>Evidence gap</t>
        </is>
      </c>
      <c r="I414" s="77" t="inlineStr">
        <is>
          <t>Module draws on students' own organisations; no live external client project evidenced.</t>
        </is>
      </c>
      <c r="J414" s="77" t="inlineStr">
        <is>
          <t>https://www.reading.ac.uk/modules/documents?acyear=2024/5&amp;modcode=MQM2STC</t>
        </is>
      </c>
      <c r="K414" s="77" t="inlineStr"/>
    </row>
    <row r="415">
      <c r="A415" s="77" t="inlineStr">
        <is>
          <t>UK06-X07</t>
        </is>
      </c>
      <c r="B415" s="77" t="inlineStr">
        <is>
          <t>UK06</t>
        </is>
      </c>
      <c r="C415" s="77" t="inlineStr">
        <is>
          <t>Reading</t>
        </is>
      </c>
      <c r="D415" s="77" t="inlineStr">
        <is>
          <t>UK – additional</t>
        </is>
      </c>
      <c r="E415" s="77" t="inlineStr">
        <is>
          <t>CS3IP Degree Project (Computer Science)</t>
        </is>
      </c>
      <c r="F415" s="77" t="inlineStr">
        <is>
          <t>No</t>
        </is>
      </c>
      <c r="G415" s="77" t="inlineStr"/>
      <c r="H415" s="77" t="inlineStr">
        <is>
          <t>Near-miss: no external org</t>
        </is>
      </c>
      <c r="I415" s="77" t="inlineStr">
        <is>
          <t>Final-year project with staff-proposed or own topics, supervisor and second assessor; no external organisation evidenced; team format unclear.</t>
        </is>
      </c>
      <c r="J415" s="77" t="inlineStr">
        <is>
          <t>https://www.reading.ac.uk/modules/documents?acyear=2025/6&amp;modcode=CS3IP&amp;schoolcode=MPS+CS%7CMPS+MATHST%7CMPS+MET</t>
        </is>
      </c>
      <c r="K415" s="77" t="inlineStr">
        <is>
          <t>2025/6</t>
        </is>
      </c>
    </row>
    <row r="416">
      <c r="A416" s="77" t="inlineStr">
        <is>
          <t>UK06-X08</t>
        </is>
      </c>
      <c r="B416" s="77" t="inlineStr">
        <is>
          <t>UK06</t>
        </is>
      </c>
      <c r="C416" s="77" t="inlineStr">
        <is>
          <t>Reading</t>
        </is>
      </c>
      <c r="D416" s="77" t="inlineStr">
        <is>
          <t>UK – additional</t>
        </is>
      </c>
      <c r="E416" s="77" t="inlineStr">
        <is>
          <t>PIM92 Applied Research Project and Placement (MSc Public Policy)</t>
        </is>
      </c>
      <c r="F416" s="77" t="inlineStr">
        <is>
          <t>No</t>
        </is>
      </c>
      <c r="G416" s="77" t="inlineStr"/>
      <c r="H416" s="77" t="inlineStr">
        <is>
          <t>Placement/internship</t>
        </is>
      </c>
      <c r="I416" s="77" t="inlineStr">
        <is>
          <t>Individual placement with external organisation and 4,000-word report; not a group route.</t>
        </is>
      </c>
      <c r="J416" s="77" t="inlineStr">
        <is>
          <t>https://www.reading.ac.uk/modules/documents?acyear=2023/4&amp;modcode=PIM92&amp;schoolcode=PEI+ECO%7CPEI+GIPIS%7CPEI+POL</t>
        </is>
      </c>
      <c r="K416" s="77" t="inlineStr">
        <is>
          <t>2023/4</t>
        </is>
      </c>
    </row>
    <row r="417">
      <c r="A417" s="77" t="inlineStr">
        <is>
          <t>UK06-X09</t>
        </is>
      </c>
      <c r="B417" s="77" t="inlineStr">
        <is>
          <t>UK06</t>
        </is>
      </c>
      <c r="C417" s="77" t="inlineStr">
        <is>
          <t>Reading</t>
        </is>
      </c>
      <c r="D417" s="77" t="inlineStr">
        <is>
          <t>UK – additional</t>
        </is>
      </c>
      <c r="E417" s="77" t="inlineStr">
        <is>
          <t>AD3APR Applied Marketing Project</t>
        </is>
      </c>
      <c r="F417" s="77" t="inlineStr">
        <is>
          <t>No</t>
        </is>
      </c>
      <c r="G417" s="77" t="inlineStr"/>
      <c r="H417" s="77" t="inlineStr">
        <is>
          <t>Evidence gap</t>
        </is>
      </c>
      <c r="I417" s="77" t="inlineStr">
        <is>
          <t>Students act as consultants responding to a client's brief, assessed by individual reports (3,500 words); no group work or external client evidenced.</t>
        </is>
      </c>
      <c r="J417" s="77" t="inlineStr">
        <is>
          <t>https://www.reading.ac.uk/modules/documents?acyear=2025/6&amp;modcode=AD3APR&amp;schoolcode=APD</t>
        </is>
      </c>
      <c r="K417" s="77" t="inlineStr">
        <is>
          <t>2025/6</t>
        </is>
      </c>
    </row>
    <row r="418">
      <c r="A418" s="77" t="inlineStr">
        <is>
          <t>UK06-X10</t>
        </is>
      </c>
      <c r="B418" s="77" t="inlineStr">
        <is>
          <t>UK06</t>
        </is>
      </c>
      <c r="C418" s="77" t="inlineStr">
        <is>
          <t>Reading</t>
        </is>
      </c>
      <c r="D418" s="77" t="inlineStr">
        <is>
          <t>UK – additional</t>
        </is>
      </c>
      <c r="E418" s="77" t="inlineStr">
        <is>
          <t>AP3EX3 Consumer Research Group Project 2</t>
        </is>
      </c>
      <c r="F418" s="77" t="inlineStr">
        <is>
          <t>No</t>
        </is>
      </c>
      <c r="G418" s="77" t="inlineStr"/>
      <c r="H418" s="77" t="inlineStr">
        <is>
          <t>Evidence gap</t>
        </is>
      </c>
      <c r="I418" s="77" t="inlineStr">
        <is>
          <t>Team consultancy for client companies/organisations, but only a 2021/22 record found; no current delivery evidence.</t>
        </is>
      </c>
      <c r="J418" s="77" t="inlineStr">
        <is>
          <t>https://www.reading.ac.uk/modules/documents?acyear=2021/2&amp;modcode=AP3EX3&amp;schoolcode=APD%7CAPD+AGECON%7CAPD+AGRIC%7CAPD+GIIDAE%7CAPD+IRDD</t>
        </is>
      </c>
      <c r="K418" s="77" t="inlineStr">
        <is>
          <t>Historical</t>
        </is>
      </c>
    </row>
    <row r="419">
      <c r="A419" s="77" t="inlineStr">
        <is>
          <t>UK06-X11</t>
        </is>
      </c>
      <c r="B419" s="77" t="inlineStr">
        <is>
          <t>UK06</t>
        </is>
      </c>
      <c r="C419" s="77" t="inlineStr">
        <is>
          <t>Reading</t>
        </is>
      </c>
      <c r="D419" s="77" t="inlineStr">
        <is>
          <t>UK – additional</t>
        </is>
      </c>
      <c r="E419" s="77" t="inlineStr">
        <is>
          <t>GV3GEF Geography and Environmental Science Field Class</t>
        </is>
      </c>
      <c r="F419" s="77" t="inlineStr">
        <is>
          <t>No</t>
        </is>
      </c>
      <c r="G419" s="77" t="inlineStr"/>
      <c r="H419" s="77" t="inlineStr">
        <is>
          <t>Near-miss: no external org</t>
        </is>
      </c>
      <c r="I419" s="77" t="inlineStr">
        <is>
          <t>Groups act as consultants on a scenario informed by field data; hypothetical scenario with no external organisation.</t>
        </is>
      </c>
      <c r="J419" s="77" t="inlineStr">
        <is>
          <t>https://www.reading.ac.uk/modules/documents?acyear=2025/6&amp;modcode=GV3GEF&amp;schoolcode=HES+ARCH%7CHES+GESC</t>
        </is>
      </c>
      <c r="K419" s="77" t="inlineStr">
        <is>
          <t>2025/6</t>
        </is>
      </c>
    </row>
    <row r="420">
      <c r="A420" s="77" t="inlineStr">
        <is>
          <t>UK06-X12</t>
        </is>
      </c>
      <c r="B420" s="77" t="inlineStr">
        <is>
          <t>UK06</t>
        </is>
      </c>
      <c r="C420" s="77" t="inlineStr">
        <is>
          <t>Reading</t>
        </is>
      </c>
      <c r="D420" s="77" t="inlineStr">
        <is>
          <t>UK – additional</t>
        </is>
      </c>
      <c r="E420" s="77" t="inlineStr">
        <is>
          <t>School of Law clinics and pro bono credit (Freedom Law Clinic, CommuniCare, Resolve Mediation)</t>
        </is>
      </c>
      <c r="F420" s="77" t="inlineStr">
        <is>
          <t>No</t>
        </is>
      </c>
      <c r="G420" s="77" t="inlineStr"/>
      <c r="H420" s="77" t="inlineStr">
        <is>
          <t>Volunteering/service-learning</t>
        </is>
      </c>
      <c r="I420" s="77" t="inlineStr">
        <is>
          <t>Individual casework/volunteering with supervisors; not a team project for a client; CommuniCare detail from 2010 source.</t>
        </is>
      </c>
      <c r="J420" s="77" t="inlineStr">
        <is>
          <t>https://www.reading.ac.uk/law/undergraduate/co-curricular-activities-and-pro-bono-work</t>
        </is>
      </c>
      <c r="K420" s="77" t="inlineStr"/>
    </row>
    <row r="421">
      <c r="A421" s="77" t="inlineStr">
        <is>
          <t>UK06-X13</t>
        </is>
      </c>
      <c r="B421" s="77" t="inlineStr">
        <is>
          <t>UK06</t>
        </is>
      </c>
      <c r="C421" s="77" t="inlineStr">
        <is>
          <t>Reading</t>
        </is>
      </c>
      <c r="D421" s="77" t="inlineStr">
        <is>
          <t>UK – additional</t>
        </is>
      </c>
      <c r="E421" s="77" t="inlineStr">
        <is>
          <t>Henley Enterprise Lab, IDEAFEST, Entrepreneurship Society</t>
        </is>
      </c>
      <c r="F421" s="77" t="inlineStr">
        <is>
          <t>No</t>
        </is>
      </c>
      <c r="G421" s="77" t="inlineStr"/>
      <c r="H421" s="77" t="inlineStr">
        <is>
          <t>Entrepreneurship/incubator</t>
        </is>
      </c>
      <c r="I421" s="77" t="inlineStr">
        <is>
          <t>Student business-idea competition and society; no external client brief evidenced.</t>
        </is>
      </c>
      <c r="J421" s="77" t="inlineStr">
        <is>
          <t>https://www.henley.ac.uk/henley-enterprise-lab</t>
        </is>
      </c>
      <c r="K421" s="77" t="inlineStr"/>
    </row>
    <row r="422">
      <c r="A422" s="77" t="inlineStr">
        <is>
          <t>UK06-X14</t>
        </is>
      </c>
      <c r="B422" s="77" t="inlineStr">
        <is>
          <t>UK06</t>
        </is>
      </c>
      <c r="C422" s="77" t="inlineStr">
        <is>
          <t>Reading</t>
        </is>
      </c>
      <c r="D422" s="77" t="inlineStr">
        <is>
          <t>UK – additional</t>
        </is>
      </c>
      <c r="E422" s="77" t="inlineStr">
        <is>
          <t>CE2CPR Projects (construction/surveying client briefs)</t>
        </is>
      </c>
      <c r="F422" s="77" t="inlineStr">
        <is>
          <t>No</t>
        </is>
      </c>
      <c r="G422" s="77" t="inlineStr"/>
      <c r="H422" s="77" t="inlineStr">
        <is>
          <t>Evidence gap</t>
        </is>
      </c>
      <c r="I422" s="77" t="inlineStr">
        <is>
          <t>Teams respond to client briefs and present to clients' representatives (2023/4 record), but whether clients are real external organisations and current delivery not verified.</t>
        </is>
      </c>
      <c r="J422" s="77" t="inlineStr">
        <is>
          <t>https://www.reading.ac.uk/modules/documents?acyear=2023/4&amp;modcode=CE2CPR</t>
        </is>
      </c>
      <c r="K422" s="77" t="inlineStr">
        <is>
          <t>2023/4</t>
        </is>
      </c>
    </row>
    <row r="423">
      <c r="A423" s="77" t="inlineStr">
        <is>
          <t>UK07-X01</t>
        </is>
      </c>
      <c r="B423" s="77" t="inlineStr">
        <is>
          <t>UK07</t>
        </is>
      </c>
      <c r="C423" s="77" t="inlineStr">
        <is>
          <t>Surrey</t>
        </is>
      </c>
      <c r="D423" s="77" t="inlineStr">
        <is>
          <t>UK – additional</t>
        </is>
      </c>
      <c r="E423" s="77" t="inlineStr">
        <is>
          <t>Professional Training placements</t>
        </is>
      </c>
      <c r="F423" s="77" t="inlineStr">
        <is>
          <t>Yes</t>
        </is>
      </c>
      <c r="G423" s="77" t="n">
        <v>59</v>
      </c>
      <c r="H423" s="77" t="inlineStr">
        <is>
          <t>Placement/internship</t>
        </is>
      </c>
      <c r="I423" s="77" t="inlineStr">
        <is>
          <t>Up-to-a-year individual placement with employers (legacy row); individual work alongside colleagues, no group project; not tested as project/group.</t>
        </is>
      </c>
      <c r="J423" s="77" t="inlineStr">
        <is>
          <t>https://www.surrey.ac.uk/professional-training-placements/ug-courses-placements</t>
        </is>
      </c>
      <c r="K423" s="77" t="inlineStr">
        <is>
          <t>Undated page; intake unverified</t>
        </is>
      </c>
    </row>
    <row r="424">
      <c r="A424" s="77" t="inlineStr">
        <is>
          <t>UK07-X02</t>
        </is>
      </c>
      <c r="B424" s="77" t="inlineStr">
        <is>
          <t>UK07</t>
        </is>
      </c>
      <c r="C424" s="77" t="inlineStr">
        <is>
          <t>Surrey</t>
        </is>
      </c>
      <c r="D424" s="77" t="inlineStr">
        <is>
          <t>UK – additional</t>
        </is>
      </c>
      <c r="E424" s="77" t="inlineStr">
        <is>
          <t>Independent Applied Study (MANM572)</t>
        </is>
      </c>
      <c r="F424" s="77" t="inlineStr">
        <is>
          <t>No</t>
        </is>
      </c>
      <c r="G424" s="77" t="inlineStr"/>
      <c r="H424" s="77" t="inlineStr">
        <is>
          <t>Near-miss: not group</t>
        </is>
      </c>
      <c r="I424" s="77" t="inlineStr">
        <is>
          <t>Consultancy route on a brief agreed with a company stakeholder and supervisor is an individual summer project.</t>
        </is>
      </c>
      <c r="J424" s="77" t="inlineStr">
        <is>
          <t>https://catalogue.surrey.ac.uk/2025-6/module/MANM572/XAY/X</t>
        </is>
      </c>
      <c r="K424" s="77" t="inlineStr">
        <is>
          <t>2025/6</t>
        </is>
      </c>
    </row>
    <row r="425">
      <c r="A425" s="77" t="inlineStr">
        <is>
          <t>UK07-X03</t>
        </is>
      </c>
      <c r="B425" s="77" t="inlineStr">
        <is>
          <t>UK07</t>
        </is>
      </c>
      <c r="C425" s="77" t="inlineStr">
        <is>
          <t>Surrey</t>
        </is>
      </c>
      <c r="D425" s="77" t="inlineStr">
        <is>
          <t>UK – additional</t>
        </is>
      </c>
      <c r="E425" s="77" t="inlineStr">
        <is>
          <t>Business Analytics Consultancy Project (MAN3245)</t>
        </is>
      </c>
      <c r="F425" s="77" t="inlineStr">
        <is>
          <t>No</t>
        </is>
      </c>
      <c r="G425" s="77" t="inlineStr"/>
      <c r="H425" s="77" t="inlineStr">
        <is>
          <t>Near-miss: not group</t>
        </is>
      </c>
      <c r="I425" s="77" t="inlineStr">
        <is>
          <t>Individual supervised analytics project.</t>
        </is>
      </c>
      <c r="J425" s="77" t="inlineStr">
        <is>
          <t>https://catalogue.surrey.ac.uk/2025-6/module/MAN3245</t>
        </is>
      </c>
      <c r="K425" s="77" t="inlineStr">
        <is>
          <t>2025/6</t>
        </is>
      </c>
    </row>
    <row r="426">
      <c r="A426" s="77" t="inlineStr">
        <is>
          <t>UK07-X04</t>
        </is>
      </c>
      <c r="B426" s="77" t="inlineStr">
        <is>
          <t>UK07</t>
        </is>
      </c>
      <c r="C426" s="77" t="inlineStr">
        <is>
          <t>Surrey</t>
        </is>
      </c>
      <c r="D426" s="77" t="inlineStr">
        <is>
          <t>UK – additional</t>
        </is>
      </c>
      <c r="E426" s="77" t="inlineStr">
        <is>
          <t>Capstone Project (MANM488)</t>
        </is>
      </c>
      <c r="F426" s="77" t="inlineStr">
        <is>
          <t>No</t>
        </is>
      </c>
      <c r="G426" s="77" t="inlineStr"/>
      <c r="H426" s="77" t="inlineStr">
        <is>
          <t>Dissertation/research</t>
        </is>
      </c>
      <c r="I426" s="77" t="inlineStr">
        <is>
          <t>Individual 8,000-word research report plus viva; no external organisation.</t>
        </is>
      </c>
      <c r="J426" s="77" t="inlineStr">
        <is>
          <t>https://catalogue.surrey.ac.uk/2025-6/module/MANM488</t>
        </is>
      </c>
      <c r="K426" s="77" t="inlineStr">
        <is>
          <t>2025/6</t>
        </is>
      </c>
    </row>
    <row r="427">
      <c r="A427" s="77" t="inlineStr">
        <is>
          <t>UK07-X05</t>
        </is>
      </c>
      <c r="B427" s="77" t="inlineStr">
        <is>
          <t>UK07</t>
        </is>
      </c>
      <c r="C427" s="77" t="inlineStr">
        <is>
          <t>Surrey</t>
        </is>
      </c>
      <c r="D427" s="77" t="inlineStr">
        <is>
          <t>UK – additional</t>
        </is>
      </c>
      <c r="E427" s="77" t="inlineStr">
        <is>
          <t>Professional Project (COM3001)</t>
        </is>
      </c>
      <c r="F427" s="77" t="inlineStr">
        <is>
          <t>No</t>
        </is>
      </c>
      <c r="G427" s="77" t="inlineStr"/>
      <c r="H427" s="77" t="inlineStr">
        <is>
          <t>Near-miss: not group</t>
        </is>
      </c>
      <c r="I427" s="77" t="inlineStr">
        <is>
          <t>Mostly individual final-year project; some on placement-employer topics.</t>
        </is>
      </c>
      <c r="J427" s="77" t="inlineStr">
        <is>
          <t>https://catalogue.surrey.ac.uk/2025-6/module/COM3001</t>
        </is>
      </c>
      <c r="K427" s="77" t="inlineStr">
        <is>
          <t>2025/6</t>
        </is>
      </c>
    </row>
    <row r="428">
      <c r="A428" s="77" t="inlineStr">
        <is>
          <t>UK07-X06</t>
        </is>
      </c>
      <c r="B428" s="77" t="inlineStr">
        <is>
          <t>UK07</t>
        </is>
      </c>
      <c r="C428" s="77" t="inlineStr">
        <is>
          <t>Surrey</t>
        </is>
      </c>
      <c r="D428" s="77" t="inlineStr">
        <is>
          <t>UK – additional</t>
        </is>
      </c>
      <c r="E428" s="77" t="inlineStr">
        <is>
          <t>Group Project (ENGM321, MSc Sustainable Energy)</t>
        </is>
      </c>
      <c r="F428" s="77" t="inlineStr">
        <is>
          <t>No</t>
        </is>
      </c>
      <c r="G428" s="77" t="inlineStr"/>
      <c r="H428" s="77" t="inlineStr">
        <is>
          <t>Near-miss: no external org</t>
        </is>
      </c>
      <c r="I428" s="77" t="inlineStr">
        <is>
          <t>Compulsory group project, but academic staff act as clients (internal), only 'often' consulting industry.</t>
        </is>
      </c>
      <c r="J428" s="77" t="inlineStr">
        <is>
          <t>https://catalogue.surrey.ac.uk/2025-6/module/ENGM321/XAY/XCF</t>
        </is>
      </c>
      <c r="K428" s="77" t="inlineStr">
        <is>
          <t>2025/6</t>
        </is>
      </c>
    </row>
    <row r="429">
      <c r="A429" s="77" t="inlineStr">
        <is>
          <t>UK07-X07</t>
        </is>
      </c>
      <c r="B429" s="77" t="inlineStr">
        <is>
          <t>UK07</t>
        </is>
      </c>
      <c r="C429" s="77" t="inlineStr">
        <is>
          <t>Surrey</t>
        </is>
      </c>
      <c r="D429" s="77" t="inlineStr">
        <is>
          <t>UK – additional</t>
        </is>
      </c>
      <c r="E429" s="77" t="inlineStr">
        <is>
          <t>Mentoring and Professional Development (MAN3162)</t>
        </is>
      </c>
      <c r="F429" s="77" t="inlineStr">
        <is>
          <t>No</t>
        </is>
      </c>
      <c r="G429" s="77" t="inlineStr"/>
      <c r="H429" s="77" t="inlineStr">
        <is>
          <t>Near-miss: not group</t>
        </is>
      </c>
      <c r="I429" s="77" t="inlineStr">
        <is>
          <t>Industry mentor sets a live issue but assessment is an individual 6,000-word industry report.</t>
        </is>
      </c>
      <c r="J429" s="77" t="inlineStr">
        <is>
          <t>https://www.surrey.ac.uk/mentoring-and-professional-development</t>
        </is>
      </c>
      <c r="K429" s="77" t="inlineStr">
        <is>
          <t>2025/6 catalogue</t>
        </is>
      </c>
    </row>
    <row r="430">
      <c r="A430" s="77" t="inlineStr">
        <is>
          <t>UK07-X08</t>
        </is>
      </c>
      <c r="B430" s="77" t="inlineStr">
        <is>
          <t>UK07</t>
        </is>
      </c>
      <c r="C430" s="77" t="inlineStr">
        <is>
          <t>Surrey</t>
        </is>
      </c>
      <c r="D430" s="77" t="inlineStr">
        <is>
          <t>UK – additional</t>
        </is>
      </c>
      <c r="E430" s="77" t="inlineStr">
        <is>
          <t>International Business Project (MANM372)</t>
        </is>
      </c>
      <c r="F430" s="77" t="inlineStr">
        <is>
          <t>No</t>
        </is>
      </c>
      <c r="G430" s="77" t="inlineStr"/>
      <c r="H430" s="77" t="inlineStr">
        <is>
          <t>Near-miss: no external org</t>
        </is>
      </c>
      <c r="I430" s="77" t="inlineStr">
        <is>
          <t>Unsupervised secondary-research project; no client evidenced.</t>
        </is>
      </c>
      <c r="J430" s="77" t="inlineStr">
        <is>
          <t>https://catalogue.surrey.ac.uk/2025-6/module/MANM372/SEMR2/2</t>
        </is>
      </c>
      <c r="K430" s="77" t="inlineStr">
        <is>
          <t>2025/6</t>
        </is>
      </c>
    </row>
    <row r="431">
      <c r="A431" s="77" t="inlineStr">
        <is>
          <t>UK07-X09</t>
        </is>
      </c>
      <c r="B431" s="77" t="inlineStr">
        <is>
          <t>UK07</t>
        </is>
      </c>
      <c r="C431" s="77" t="inlineStr">
        <is>
          <t>Surrey</t>
        </is>
      </c>
      <c r="D431" s="77" t="inlineStr">
        <is>
          <t>UK – additional</t>
        </is>
      </c>
      <c r="E431" s="77" t="inlineStr">
        <is>
          <t>Law Access to Justice partner workshop / D2LT pro bono / AI simulated client</t>
        </is>
      </c>
      <c r="F431" s="77" t="inlineStr">
        <is>
          <t>No</t>
        </is>
      </c>
      <c r="G431" s="77" t="inlineStr"/>
      <c r="H431" s="77" t="inlineStr">
        <is>
          <t>Evidence gap</t>
        </is>
      </c>
      <c r="I431" s="77" t="inlineStr">
        <is>
          <t>Single 2024 teaching-fund workshop with a charity and theatre company; pro bono clinical options and AI 'client' (simulation) not shown as group projects.</t>
        </is>
      </c>
      <c r="J431" s="77" t="inlineStr">
        <is>
          <t>https://surrey.ac.uk/faculty-arts-social-sciences/education/projects</t>
        </is>
      </c>
      <c r="K431" s="77" t="inlineStr">
        <is>
          <t>2024-2026</t>
        </is>
      </c>
    </row>
    <row r="432">
      <c r="A432" s="77" t="inlineStr">
        <is>
          <t>UK07-X10</t>
        </is>
      </c>
      <c r="B432" s="77" t="inlineStr">
        <is>
          <t>UK07</t>
        </is>
      </c>
      <c r="C432" s="77" t="inlineStr">
        <is>
          <t>Surrey</t>
        </is>
      </c>
      <c r="D432" s="77" t="inlineStr">
        <is>
          <t>UK – additional</t>
        </is>
      </c>
      <c r="E432" s="77" t="inlineStr">
        <is>
          <t>Biochemistry MSci target-product-profile pitch to industry experts</t>
        </is>
      </c>
      <c r="F432" s="77" t="inlineStr">
        <is>
          <t>No</t>
        </is>
      </c>
      <c r="G432" s="77" t="inlineStr"/>
      <c r="H432" s="77" t="inlineStr">
        <is>
          <t>Evidence gap</t>
        </is>
      </c>
      <c r="I432" s="77" t="inlineStr">
        <is>
          <t>Group status, client role and programme unclear from search summary.</t>
        </is>
      </c>
      <c r="J432" s="77" t="inlineStr">
        <is>
          <t>https://www.surrey.ac.uk/undergraduate/biochemistry</t>
        </is>
      </c>
      <c r="K432" s="77" t="inlineStr"/>
    </row>
    <row r="433">
      <c r="A433" s="77" t="inlineStr">
        <is>
          <t>UK07-X11</t>
        </is>
      </c>
      <c r="B433" s="77" t="inlineStr">
        <is>
          <t>UK07</t>
        </is>
      </c>
      <c r="C433" s="77" t="inlineStr">
        <is>
          <t>Surrey</t>
        </is>
      </c>
      <c r="D433" s="77" t="inlineStr">
        <is>
          <t>UK – additional</t>
        </is>
      </c>
      <c r="E433" s="77" t="inlineStr">
        <is>
          <t>Surrey Hatchery / Student Enterprise start-up support</t>
        </is>
      </c>
      <c r="F433" s="77" t="inlineStr">
        <is>
          <t>No</t>
        </is>
      </c>
      <c r="G433" s="77" t="inlineStr"/>
      <c r="H433" s="77" t="inlineStr">
        <is>
          <t>Entrepreneurship/incubator</t>
        </is>
      </c>
      <c r="I433" s="77" t="inlineStr">
        <is>
          <t>Supports students' own ventures.</t>
        </is>
      </c>
      <c r="J433" s="77" t="inlineStr">
        <is>
          <t>https://www.surrey.ac.uk/student-enterprise/about</t>
        </is>
      </c>
      <c r="K433" s="77" t="inlineStr"/>
    </row>
    <row r="434">
      <c r="A434" s="77" t="inlineStr">
        <is>
          <t>UK07-X12</t>
        </is>
      </c>
      <c r="B434" s="77" t="inlineStr">
        <is>
          <t>UK07</t>
        </is>
      </c>
      <c r="C434" s="77" t="inlineStr">
        <is>
          <t>Surrey</t>
        </is>
      </c>
      <c r="D434" s="77" t="inlineStr">
        <is>
          <t>UK – additional</t>
        </is>
      </c>
      <c r="E434" s="77" t="inlineStr">
        <is>
          <t>Surrey Employability Hub / Pathfinder / careers events</t>
        </is>
      </c>
      <c r="F434" s="77" t="inlineStr">
        <is>
          <t>No</t>
        </is>
      </c>
      <c r="G434" s="77" t="inlineStr"/>
      <c r="H434" s="77" t="inlineStr">
        <is>
          <t>Careers service</t>
        </is>
      </c>
      <c r="I434" s="77" t="inlineStr">
        <is>
          <t>Job and event listings; no project.</t>
        </is>
      </c>
      <c r="J434" s="77" t="inlineStr">
        <is>
          <t>https://www.surrey.ac.uk/employability-and-careers/about/surrey-employability-hub</t>
        </is>
      </c>
      <c r="K434" s="77" t="inlineStr"/>
    </row>
    <row r="435">
      <c r="A435" s="77" t="inlineStr">
        <is>
          <t>UK08-X01</t>
        </is>
      </c>
      <c r="B435" s="77" t="inlineStr">
        <is>
          <t>UK08</t>
        </is>
      </c>
      <c r="C435" s="77" t="inlineStr">
        <is>
          <t>Sussex</t>
        </is>
      </c>
      <c r="D435" s="77" t="inlineStr">
        <is>
          <t>UK – additional</t>
        </is>
      </c>
      <c r="E435" s="77" t="inlineStr">
        <is>
          <t>Connector Programme</t>
        </is>
      </c>
      <c r="F435" s="77" t="inlineStr">
        <is>
          <t>Yes</t>
        </is>
      </c>
      <c r="G435" s="77" t="n">
        <v>60</v>
      </c>
      <c r="H435" s="77" t="inlineStr">
        <is>
          <t>Near-miss: no external org</t>
        </is>
      </c>
      <c r="I435" s="77" t="inlineStr">
        <is>
          <t>Paid student-staff partnership projects improving university provision (modules, technology, student support); the university itself is the client, so C is not met (internal). Assessed from the legacy row; not re-searched this round (budget exhausted).</t>
        </is>
      </c>
      <c r="J435" s="77" t="inlineStr">
        <is>
          <t>https://staff.sussex.ac.uk/guides/join-the-connector-programme</t>
        </is>
      </c>
      <c r="K435" s="77" t="inlineStr">
        <is>
          <t>Legacy: 2025 welcome evidence</t>
        </is>
      </c>
    </row>
    <row r="436">
      <c r="A436" s="77" t="inlineStr">
        <is>
          <t>UK08-X02</t>
        </is>
      </c>
      <c r="B436" s="77" t="inlineStr">
        <is>
          <t>UK08</t>
        </is>
      </c>
      <c r="C436" s="77" t="inlineStr">
        <is>
          <t>Sussex</t>
        </is>
      </c>
      <c r="D436" s="77" t="inlineStr">
        <is>
          <t>UK – additional</t>
        </is>
      </c>
      <c r="E436" s="77" t="inlineStr">
        <is>
          <t>Teaching management consulting in partnership with the university's commercial services (Learning Matters blog)</t>
        </is>
      </c>
      <c r="F436" s="77" t="inlineStr">
        <is>
          <t>No</t>
        </is>
      </c>
      <c r="G436" s="77" t="inlineStr"/>
      <c r="H436" s="77" t="inlineStr">
        <is>
          <t>Near-miss: no external org</t>
        </is>
      </c>
      <c r="I436" s="77" t="inlineStr">
        <is>
          <t>Blog title indicates an authentic assessment in which the client is the university's own commercial services (internal client); not tested further.</t>
        </is>
      </c>
      <c r="J436" s="77" t="inlineStr">
        <is>
          <t>https://blogs.sussex.ac.uk/learning-matters/2024/08/27/authentic-assessment-through-collaboration-teaching-management-consulting-in-partnership-with-our-universitys-commercial-services/</t>
        </is>
      </c>
      <c r="K436" s="77" t="inlineStr">
        <is>
          <t>2024 blog</t>
        </is>
      </c>
    </row>
    <row r="437">
      <c r="A437" s="77" t="inlineStr">
        <is>
          <t>UK08-X03</t>
        </is>
      </c>
      <c r="B437" s="77" t="inlineStr">
        <is>
          <t>UK08</t>
        </is>
      </c>
      <c r="C437" s="77" t="inlineStr">
        <is>
          <t>Sussex</t>
        </is>
      </c>
      <c r="D437" s="77" t="inlineStr">
        <is>
          <t>UK – additional</t>
        </is>
      </c>
      <c r="E437" s="77" t="inlineStr">
        <is>
          <t>Business Analysis and Consulting (974N1)</t>
        </is>
      </c>
      <c r="F437" s="77" t="inlineStr">
        <is>
          <t>No</t>
        </is>
      </c>
      <c r="G437" s="77" t="inlineStr"/>
      <c r="H437" s="77" t="inlineStr">
        <is>
          <t>Evidence gap</t>
        </is>
      </c>
      <c r="I437" s="77" t="inlineStr">
        <is>
          <t>Level 7 module with group written submission (2020/21) following a generalist consulting approach; no evidence of an external client.</t>
        </is>
      </c>
      <c r="J437" s="77" t="inlineStr">
        <is>
          <t>https://www.sussex.ac.uk/business-school/internal/departments/strategy-marketing/pgcourses/2020/N1508T/88475</t>
        </is>
      </c>
      <c r="K437" s="77" t="inlineStr">
        <is>
          <t>2020/21 and 2024 pages</t>
        </is>
      </c>
    </row>
    <row r="438">
      <c r="A438" s="77" t="inlineStr">
        <is>
          <t>UK08-X04</t>
        </is>
      </c>
      <c r="B438" s="77" t="inlineStr">
        <is>
          <t>UK08</t>
        </is>
      </c>
      <c r="C438" s="77" t="inlineStr">
        <is>
          <t>Sussex</t>
        </is>
      </c>
      <c r="D438" s="77" t="inlineStr">
        <is>
          <t>UK – additional</t>
        </is>
      </c>
      <c r="E438" s="77" t="inlineStr">
        <is>
          <t>Dissertation / Consultancy Project (International Business and Development in Practice)</t>
        </is>
      </c>
      <c r="F438" s="77" t="inlineStr">
        <is>
          <t>No</t>
        </is>
      </c>
      <c r="G438" s="77" t="inlineStr"/>
      <c r="H438" s="77" t="inlineStr">
        <is>
          <t>Evidence gap</t>
        </is>
      </c>
      <c r="I438" s="77" t="inlineStr">
        <is>
          <t>Stream in which students choose a specific company and identify a research question; group working not evidenced (appears individual).</t>
        </is>
      </c>
      <c r="J438" s="77" t="inlineStr">
        <is>
          <t>https://www.sussex.ac.uk/study/modules/postgraduate/2024/95257-dissertation-consultancy-project-international-business-and-development-in-practice</t>
        </is>
      </c>
      <c r="K438" s="77" t="inlineStr">
        <is>
          <t>2024/25 page</t>
        </is>
      </c>
    </row>
    <row r="439">
      <c r="A439" s="77" t="inlineStr">
        <is>
          <t>UK08-X05</t>
        </is>
      </c>
      <c r="B439" s="77" t="inlineStr">
        <is>
          <t>UK08</t>
        </is>
      </c>
      <c r="C439" s="77" t="inlineStr">
        <is>
          <t>Sussex</t>
        </is>
      </c>
      <c r="D439" s="77" t="inlineStr">
        <is>
          <t>UK – additional</t>
        </is>
      </c>
      <c r="E439" s="77" t="inlineStr">
        <is>
          <t>MEng Group Project (860H1)</t>
        </is>
      </c>
      <c r="F439" s="77" t="inlineStr">
        <is>
          <t>No</t>
        </is>
      </c>
      <c r="G439" s="77" t="inlineStr"/>
      <c r="H439" s="77" t="inlineStr">
        <is>
          <t>Near-miss: no external org</t>
        </is>
      </c>
      <c r="I439" s="77" t="inlineStr">
        <is>
          <t>45-credit L7 multidisciplinary team project on an engineering challenge 'of industrial interest' in a mock industrial environment; no external client evidenced (page planned for 2022/23).</t>
        </is>
      </c>
      <c r="J439" s="77" t="inlineStr">
        <is>
          <t>https://www.sussex.ac.uk/study/modules/undergraduate/2022/96501-meng-group-project</t>
        </is>
      </c>
      <c r="K439" s="77" t="inlineStr">
        <is>
          <t>2022/23 page</t>
        </is>
      </c>
    </row>
    <row r="440">
      <c r="A440" s="77" t="inlineStr">
        <is>
          <t>UK08-X06</t>
        </is>
      </c>
      <c r="B440" s="77" t="inlineStr">
        <is>
          <t>UK08</t>
        </is>
      </c>
      <c r="C440" s="77" t="inlineStr">
        <is>
          <t>Sussex</t>
        </is>
      </c>
      <c r="D440" s="77" t="inlineStr">
        <is>
          <t>UK – additional</t>
        </is>
      </c>
      <c r="E440" s="77" t="inlineStr">
        <is>
          <t>Sussex Law Clinics (Clinical Legal Education)</t>
        </is>
      </c>
      <c r="F440" s="77" t="inlineStr">
        <is>
          <t>No</t>
        </is>
      </c>
      <c r="G440" s="77" t="inlineStr"/>
      <c r="H440" s="77" t="inlineStr">
        <is>
          <t>Evidence gap</t>
        </is>
      </c>
      <c r="I440" s="77" t="inlineStr">
        <is>
          <t>Third-year clinics with external solicitors/barristers advising charities and public; project/group structure and per-client team working not evidenced.</t>
        </is>
      </c>
      <c r="J440" s="77" t="inlineStr">
        <is>
          <t>https://www.sussex.ac.uk/schools/law-politics-and-sociology/study/law-clinics</t>
        </is>
      </c>
      <c r="K440" s="77" t="inlineStr">
        <is>
          <t>undated</t>
        </is>
      </c>
    </row>
    <row r="441">
      <c r="A441" s="77" t="inlineStr">
        <is>
          <t>UK08-X07</t>
        </is>
      </c>
      <c r="B441" s="77" t="inlineStr">
        <is>
          <t>UK08</t>
        </is>
      </c>
      <c r="C441" s="77" t="inlineStr">
        <is>
          <t>Sussex</t>
        </is>
      </c>
      <c r="D441" s="77" t="inlineStr">
        <is>
          <t>UK – additional</t>
        </is>
      </c>
      <c r="E441" s="77" t="inlineStr">
        <is>
          <t>Community Media (100595)</t>
        </is>
      </c>
      <c r="F441" s="77" t="inlineStr">
        <is>
          <t>No</t>
        </is>
      </c>
      <c r="G441" s="77" t="inlineStr"/>
      <c r="H441" s="77" t="inlineStr">
        <is>
          <t>Evidence gap</t>
        </is>
      </c>
      <c r="I441" s="77" t="inlineStr">
        <is>
          <t>L6 30-credit module working with activists, charities, NGOs; group working and client role not verified.</t>
        </is>
      </c>
      <c r="J441" s="77" t="inlineStr">
        <is>
          <t>https://www.sussex.ac.uk/study/modules/undergraduate/2024/100595-community-media</t>
        </is>
      </c>
      <c r="K441" s="77" t="inlineStr">
        <is>
          <t>2024</t>
        </is>
      </c>
    </row>
    <row r="442">
      <c r="A442" s="77" t="inlineStr">
        <is>
          <t>UK08-X08</t>
        </is>
      </c>
      <c r="B442" s="77" t="inlineStr">
        <is>
          <t>UK08</t>
        </is>
      </c>
      <c r="C442" s="77" t="inlineStr">
        <is>
          <t>Sussex</t>
        </is>
      </c>
      <c r="D442" s="77" t="inlineStr">
        <is>
          <t>UK – additional</t>
        </is>
      </c>
      <c r="E442" s="77" t="inlineStr">
        <is>
          <t>Chemistry Industrial Project / Informatics Industrial Advisory Board sponsored projects</t>
        </is>
      </c>
      <c r="F442" s="77" t="inlineStr">
        <is>
          <t>No</t>
        </is>
      </c>
      <c r="G442" s="77" t="inlineStr"/>
      <c r="H442" s="77" t="inlineStr">
        <is>
          <t>Evidence gap</t>
        </is>
      </c>
      <c r="I442" s="77" t="inlineStr">
        <is>
          <t>Listed in module catalogues; no description of group work or client seen.</t>
        </is>
      </c>
      <c r="J442" s="77" t="inlineStr">
        <is>
          <t>https://www.sussex.ac.uk/ei/internal/coursesandmodules/informatics/modules</t>
        </is>
      </c>
      <c r="K442" s="77" t="inlineStr">
        <is>
          <t>undated</t>
        </is>
      </c>
    </row>
    <row r="443">
      <c r="A443" s="77" t="inlineStr">
        <is>
          <t>UK09-X01</t>
        </is>
      </c>
      <c r="B443" s="77" t="inlineStr">
        <is>
          <t>UK09</t>
        </is>
      </c>
      <c r="C443" s="77" t="inlineStr">
        <is>
          <t>Leicester</t>
        </is>
      </c>
      <c r="D443" s="77" t="inlineStr">
        <is>
          <t>UK – additional</t>
        </is>
      </c>
      <c r="E443" s="77" t="inlineStr">
        <is>
          <t>Leicester Award / Leicester Award Gold</t>
        </is>
      </c>
      <c r="F443" s="77" t="inlineStr">
        <is>
          <t>Yes</t>
        </is>
      </c>
      <c r="G443" s="77" t="n">
        <v>61</v>
      </c>
      <c r="H443" s="77" t="inlineStr">
        <is>
          <t>Employability award</t>
        </is>
      </c>
      <c r="I443" s="77" t="inlineStr">
        <is>
          <t>Co-curricular/embedded employability award and Gold stage supporting placements/internships; no specific group employer project evidenced (fails A/B/C on its own). Now embedded in degree programmes (Gold usually a second-year module).</t>
        </is>
      </c>
      <c r="J443" s="77" t="inlineStr">
        <is>
          <t>https://le.ac.uk/study/undergraduates/careers/the-leicester-award</t>
        </is>
      </c>
      <c r="K443" s="77" t="inlineStr">
        <is>
          <t>2023 embedding news; latest award intake not verified</t>
        </is>
      </c>
    </row>
    <row r="444">
      <c r="A444" s="77" t="inlineStr">
        <is>
          <t>UK09-X02</t>
        </is>
      </c>
      <c r="B444" s="77" t="inlineStr">
        <is>
          <t>UK09</t>
        </is>
      </c>
      <c r="C444" s="77" t="inlineStr">
        <is>
          <t>Leicester</t>
        </is>
      </c>
      <c r="D444" s="77" t="inlineStr">
        <is>
          <t>UK – additional</t>
        </is>
      </c>
      <c r="E444" s="77" t="inlineStr">
        <is>
          <t>100 hours of work-related learning guarantee</t>
        </is>
      </c>
      <c r="F444" s="77" t="inlineStr">
        <is>
          <t>Yes</t>
        </is>
      </c>
      <c r="G444" s="77" t="n">
        <v>62</v>
      </c>
      <c r="H444" s="77" t="inlineStr">
        <is>
          <t>WIL framework</t>
        </is>
      </c>
      <c r="I444" s="77" t="inlineStr">
        <is>
          <t>Institution-wide guarantee for all campus-based undergraduates completing the whole programme at Leicester from 2026/27, delivered through modules; hours can be live briefs, consultancy challenges, simulations or virtual internships, so the guarantee itself does not establish a group, employer-linked project. Underlying routes tested separately (S1-S9). Does not imply 100 hours of employment or placement.</t>
        </is>
      </c>
      <c r="J444" s="77" t="inlineStr">
        <is>
          <t>https://le.ac.uk/study/undergraduates/careers/100-hours</t>
        </is>
      </c>
      <c r="K444" s="77" t="inlineStr">
        <is>
          <t>Applies from 2026/27; announced Jan 2026</t>
        </is>
      </c>
    </row>
    <row r="445">
      <c r="A445" s="77" t="inlineStr">
        <is>
          <t>UK09-X03</t>
        </is>
      </c>
      <c r="B445" s="77" t="inlineStr">
        <is>
          <t>UK09</t>
        </is>
      </c>
      <c r="C445" s="77" t="inlineStr">
        <is>
          <t>Leicester</t>
        </is>
      </c>
      <c r="D445" s="77" t="inlineStr">
        <is>
          <t>UK – additional</t>
        </is>
      </c>
      <c r="E445" s="77" t="inlineStr">
        <is>
          <t>Business Consultancy Competition (School of Business)</t>
        </is>
      </c>
      <c r="F445" s="77" t="inlineStr">
        <is>
          <t>No</t>
        </is>
      </c>
      <c r="G445" s="77" t="inlineStr"/>
      <c r="H445" s="77" t="inlineStr">
        <is>
          <t>Simulation/virtual</t>
        </is>
      </c>
      <c r="I445" s="77" t="inlineStr">
        <is>
          <t>Teams of 2-5 form fictitious companies bidding on a made-up university procurement review; judges include the University's Director of Procurement (internal) - hypothetical client.</t>
        </is>
      </c>
      <c r="J445" s="77" t="inlineStr">
        <is>
          <t>https://le.ac.uk/school-of-business/news/events/business-consultancy-competition</t>
        </is>
      </c>
      <c r="K445" s="77" t="inlineStr">
        <is>
          <t>Event listing, undated</t>
        </is>
      </c>
    </row>
    <row r="446">
      <c r="A446" s="77" t="inlineStr">
        <is>
          <t>UK09-X04</t>
        </is>
      </c>
      <c r="B446" s="77" t="inlineStr">
        <is>
          <t>UK09</t>
        </is>
      </c>
      <c r="C446" s="77" t="inlineStr">
        <is>
          <t>Leicester</t>
        </is>
      </c>
      <c r="D446" s="77" t="inlineStr">
        <is>
          <t>UK – additional</t>
        </is>
      </c>
      <c r="E446" s="77" t="inlineStr">
        <is>
          <t>MSc Management with Professional Practice (live business project)</t>
        </is>
      </c>
      <c r="F446" s="77" t="inlineStr">
        <is>
          <t>No</t>
        </is>
      </c>
      <c r="G446" s="77" t="inlineStr"/>
      <c r="H446" s="77" t="inlineStr">
        <is>
          <t>Placement/internship</t>
        </is>
      </c>
      <c r="I446" s="77" t="inlineStr">
        <is>
          <t>Optional route: internship plus final business project informed by internship; individual and dependent on internship; group working not evidenced.</t>
        </is>
      </c>
      <c r="J446" s="77" t="inlineStr">
        <is>
          <t>https://le.ac.uk/courses/management-msc/2026</t>
        </is>
      </c>
      <c r="K446" s="77" t="inlineStr">
        <is>
          <t>2026 entry</t>
        </is>
      </c>
    </row>
    <row r="447">
      <c r="A447" s="77" t="inlineStr">
        <is>
          <t>UK09-X05</t>
        </is>
      </c>
      <c r="B447" s="77" t="inlineStr">
        <is>
          <t>UK09</t>
        </is>
      </c>
      <c r="C447" s="77" t="inlineStr">
        <is>
          <t>Leicester</t>
        </is>
      </c>
      <c r="D447" s="77" t="inlineStr">
        <is>
          <t>UK – additional</t>
        </is>
      </c>
      <c r="E447" s="77" t="inlineStr">
        <is>
          <t>MSc AI for Business Intelligence / Data Analysis for Business Intelligence summer project</t>
        </is>
      </c>
      <c r="F447" s="77" t="inlineStr">
        <is>
          <t>No</t>
        </is>
      </c>
      <c r="G447" s="77" t="inlineStr"/>
      <c r="H447" s="77" t="inlineStr">
        <is>
          <t>Near-miss: not group</t>
        </is>
      </c>
      <c r="I447" s="77" t="inlineStr">
        <is>
          <t>Industry supervisor and real data, partners such as Santander and Deloitte named as past collaborators, but programme specification describes students working individually.</t>
        </is>
      </c>
      <c r="J447" s="77" t="inlineStr">
        <is>
          <t>https://le.ac.uk/course-doc-links/pg/a/25-26/ai-for-business-intelligence-msc</t>
        </is>
      </c>
      <c r="K447" s="77" t="inlineStr">
        <is>
          <t>2025/26 spec</t>
        </is>
      </c>
    </row>
    <row r="448">
      <c r="A448" s="77" t="inlineStr">
        <is>
          <t>UK09-X06</t>
        </is>
      </c>
      <c r="B448" s="77" t="inlineStr">
        <is>
          <t>UK09</t>
        </is>
      </c>
      <c r="C448" s="77" t="inlineStr">
        <is>
          <t>Leicester</t>
        </is>
      </c>
      <c r="D448" s="77" t="inlineStr">
        <is>
          <t>UK – additional</t>
        </is>
      </c>
      <c r="E448" s="77" t="inlineStr">
        <is>
          <t>Law Legal Advice Clinic / Law in Practice modules and Pro Bono Society</t>
        </is>
      </c>
      <c r="F448" s="77" t="inlineStr">
        <is>
          <t>No</t>
        </is>
      </c>
      <c r="G448" s="77" t="inlineStr"/>
      <c r="H448" s="77" t="inlineStr">
        <is>
          <t>Volunteering/service-learning</t>
        </is>
      </c>
      <c r="I448" s="77" t="inlineStr">
        <is>
          <t>Students advise real members of the public under solicitor supervision (individual casework); Pro Bono Society is extracurricular volunteering; final-year 'Law in Practice: Legal Advice Clinic Community projects' option exists but its group/organisation-brief format was not evidenced.</t>
        </is>
      </c>
      <c r="J448" s="77" t="inlineStr">
        <is>
          <t>https://le.ac.uk/engagement/case-studies/legal-advice</t>
        </is>
      </c>
      <c r="K448" s="77" t="inlineStr">
        <is>
          <t>2026 pages</t>
        </is>
      </c>
    </row>
    <row r="449">
      <c r="A449" s="77" t="inlineStr">
        <is>
          <t>UK09-X07</t>
        </is>
      </c>
      <c r="B449" s="77" t="inlineStr">
        <is>
          <t>UK09</t>
        </is>
      </c>
      <c r="C449" s="77" t="inlineStr">
        <is>
          <t>Leicester</t>
        </is>
      </c>
      <c r="D449" s="77" t="inlineStr">
        <is>
          <t>UK – additional</t>
        </is>
      </c>
      <c r="E449" s="77" t="inlineStr">
        <is>
          <t>Live Sociology (and Citizens for Change)</t>
        </is>
      </c>
      <c r="F449" s="77" t="inlineStr">
        <is>
          <t>No</t>
        </is>
      </c>
      <c r="G449" s="77" t="inlineStr"/>
      <c r="H449" s="77" t="inlineStr">
        <is>
          <t>Evidence gap</t>
        </is>
      </c>
      <c r="I449" s="77" t="inlineStr">
        <is>
          <t>Second-year community fieldwork 'real-world projects' module; no source identifies external organisations, group working or deliverables. Citizens for Change (Criminology BSc) format not described.</t>
        </is>
      </c>
      <c r="J449" s="77" t="inlineStr">
        <is>
          <t>https://le.ac.uk/courses/sociology-ba/2027</t>
        </is>
      </c>
      <c r="K449" s="77" t="inlineStr">
        <is>
          <t>2026-27 course pages</t>
        </is>
      </c>
    </row>
    <row r="450">
      <c r="A450" s="77" t="inlineStr">
        <is>
          <t>UK09-X08</t>
        </is>
      </c>
      <c r="B450" s="77" t="inlineStr">
        <is>
          <t>UK09</t>
        </is>
      </c>
      <c r="C450" s="77" t="inlineStr">
        <is>
          <t>Leicester</t>
        </is>
      </c>
      <c r="D450" s="77" t="inlineStr">
        <is>
          <t>UK – additional</t>
        </is>
      </c>
      <c r="E450" s="77" t="inlineStr">
        <is>
          <t>Employer-supplied summer consultancy challenges / micro-internships / Undergraduate Project Engineers (Innovation Hub)</t>
        </is>
      </c>
      <c r="F450" s="77" t="inlineStr">
        <is>
          <t>No</t>
        </is>
      </c>
      <c r="G450" s="77" t="inlineStr"/>
      <c r="H450" s="77" t="inlineStr">
        <is>
          <t>Evidence gap</t>
        </is>
      </c>
      <c r="I450" s="77" t="inlineStr">
        <is>
          <t>Employer-facing pages offer consultancy briefs and student projects for SMEs; no student-facing description, team structure, participation numbers or dated delivery found.</t>
        </is>
      </c>
      <c r="J450" s="77" t="inlineStr">
        <is>
          <t>https://le.ac.uk/enterprise/recruit-our-students/toolkit</t>
        </is>
      </c>
      <c r="K450" s="77" t="inlineStr">
        <is>
          <t>Undated pages</t>
        </is>
      </c>
    </row>
    <row r="451">
      <c r="A451" s="77" t="inlineStr">
        <is>
          <t>UK09-X09</t>
        </is>
      </c>
      <c r="B451" s="77" t="inlineStr">
        <is>
          <t>UK09</t>
        </is>
      </c>
      <c r="C451" s="77" t="inlineStr">
        <is>
          <t>Leicester</t>
        </is>
      </c>
      <c r="D451" s="77" t="inlineStr">
        <is>
          <t>UK – additional</t>
        </is>
      </c>
      <c r="E451" s="77" t="inlineStr">
        <is>
          <t>Interprofessional education / Health Care Team Challenge</t>
        </is>
      </c>
      <c r="F451" s="77" t="inlineStr">
        <is>
          <t>No</t>
        </is>
      </c>
      <c r="G451" s="77" t="inlineStr"/>
      <c r="H451" s="77" t="inlineStr">
        <is>
          <t>Simulation/virtual</t>
        </is>
      </c>
      <c r="I451" s="77" t="inlineStr">
        <is>
          <t>Uses a fictitious mock patient scenario; no external organisation.</t>
        </is>
      </c>
      <c r="J451" s="77" t="inlineStr">
        <is>
          <t>https://www2.le.ac.uk/departments/medicine/student-staff/projects/patient-centred-collaborative-quality-improvement-case-study-ajay-patel</t>
        </is>
      </c>
      <c r="K451" s="77" t="inlineStr">
        <is>
          <t>Undated</t>
        </is>
      </c>
    </row>
    <row r="452">
      <c r="A452" s="77" t="inlineStr">
        <is>
          <t>UK10-X01</t>
        </is>
      </c>
      <c r="B452" s="77" t="inlineStr">
        <is>
          <t>UK10</t>
        </is>
      </c>
      <c r="C452" s="77" t="inlineStr">
        <is>
          <t>Strathclyde</t>
        </is>
      </c>
      <c r="D452" s="77" t="inlineStr">
        <is>
          <t>UK – additional</t>
        </is>
      </c>
      <c r="E452" s="77" t="inlineStr">
        <is>
          <t>MSc Business Analysis &amp; Consulting summer project</t>
        </is>
      </c>
      <c r="F452" s="77" t="inlineStr">
        <is>
          <t>No</t>
        </is>
      </c>
      <c r="G452" s="77" t="inlineStr"/>
      <c r="H452" s="77" t="inlineStr">
        <is>
          <t>Near-miss: not group</t>
        </is>
      </c>
      <c r="I452" s="77" t="inlineStr">
        <is>
          <t>Three-month summer project for an external organisation, but the student manages the client relationship individually (individual project).</t>
        </is>
      </c>
      <c r="J452" s="77" t="inlineStr">
        <is>
          <t>https://www.strath.ac.uk/courses/postgraduatetaught/businessanalysisconsulting/</t>
        </is>
      </c>
      <c r="K452" s="77" t="inlineStr">
        <is>
          <t>Undated page; June-Sept (Aug-Nov January intake)</t>
        </is>
      </c>
    </row>
    <row r="453">
      <c r="A453" s="77" t="inlineStr">
        <is>
          <t>UK10-X02</t>
        </is>
      </c>
      <c r="B453" s="77" t="inlineStr">
        <is>
          <t>UK10</t>
        </is>
      </c>
      <c r="C453" s="77" t="inlineStr">
        <is>
          <t>Strathclyde</t>
        </is>
      </c>
      <c r="D453" s="77" t="inlineStr">
        <is>
          <t>UK – additional</t>
        </is>
      </c>
      <c r="E453" s="77" t="inlineStr">
        <is>
          <t>BA Business Analysis &amp; Technology Honours client projects</t>
        </is>
      </c>
      <c r="F453" s="77" t="inlineStr">
        <is>
          <t>No</t>
        </is>
      </c>
      <c r="G453" s="77" t="inlineStr"/>
      <c r="H453" s="77" t="inlineStr">
        <is>
          <t>Near-miss: not group</t>
        </is>
      </c>
      <c r="I453" s="77" t="inlineStr">
        <is>
          <t>Honours students work 'directly for a client' on business research projects (past clients Scottish Power, NHS, Glasgow City Council), but format appears individual; a Management Science 4 team module for external clients mentioned on a related page without separable detail.</t>
        </is>
      </c>
      <c r="J453" s="77" t="inlineStr">
        <is>
          <t>https://www.strath.ac.uk/courses/undergraduate/businessanalysistechnology/</t>
        </is>
      </c>
      <c r="K453" s="77" t="inlineStr">
        <is>
          <t>Undated</t>
        </is>
      </c>
    </row>
    <row r="454">
      <c r="A454" s="77" t="inlineStr">
        <is>
          <t>UK10-X03</t>
        </is>
      </c>
      <c r="B454" s="77" t="inlineStr">
        <is>
          <t>UK10</t>
        </is>
      </c>
      <c r="C454" s="77" t="inlineStr">
        <is>
          <t>Strathclyde</t>
        </is>
      </c>
      <c r="D454" s="77" t="inlineStr">
        <is>
          <t>UK – additional</t>
        </is>
      </c>
      <c r="E454" s="77" t="inlineStr">
        <is>
          <t>Strathclyde Business School Student Projects / HR Management Projects / Marketing placements (organisation engagement offer)</t>
        </is>
      </c>
      <c r="F454" s="77" t="inlineStr">
        <is>
          <t>No</t>
        </is>
      </c>
      <c r="G454" s="77" t="inlineStr"/>
      <c r="H454" s="77" t="inlineStr">
        <is>
          <t>Placement/internship</t>
        </is>
      </c>
      <c r="I454" s="77" t="inlineStr">
        <is>
          <t>Employer-facing offer of projects from a few days to months (class assignments or dissertations); HR route is student acting as consultant on an HR brief but no group working or underlying module evidenced; Marketing Works captured as S6.</t>
        </is>
      </c>
      <c r="J454" s="77" t="inlineStr">
        <is>
          <t>https://www.strath.ac.uk/business/faculty/engagewithourstudents/studentprojects/</t>
        </is>
      </c>
      <c r="K454" s="77" t="inlineStr"/>
    </row>
    <row r="455">
      <c r="A455" s="77" t="inlineStr">
        <is>
          <t>UK10-X04</t>
        </is>
      </c>
      <c r="B455" s="77" t="inlineStr">
        <is>
          <t>UK10</t>
        </is>
      </c>
      <c r="C455" s="77" t="inlineStr">
        <is>
          <t>Strathclyde</t>
        </is>
      </c>
      <c r="D455" s="77" t="inlineStr">
        <is>
          <t>UK – additional</t>
        </is>
      </c>
      <c r="E455" s="77" t="inlineStr">
        <is>
          <t>Management Science IDeA three-month consultancy</t>
        </is>
      </c>
      <c r="F455" s="77" t="inlineStr">
        <is>
          <t>No</t>
        </is>
      </c>
      <c r="G455" s="77" t="inlineStr"/>
      <c r="H455" s="77" t="inlineStr">
        <is>
          <t>Near-miss: not group</t>
        </is>
      </c>
      <c r="I455" s="77" t="inlineStr">
        <is>
          <t>Postgraduate students spend three months with organisations delivering consultancy work (dissertation-type); group working not evidenced.</t>
        </is>
      </c>
      <c r="J455" s="77" t="inlineStr">
        <is>
          <t>https://www.strath.ac.uk/business/managementscience/idea/howcanwehelp/</t>
        </is>
      </c>
      <c r="K455" s="77" t="inlineStr"/>
    </row>
    <row r="456">
      <c r="A456" s="77" t="inlineStr">
        <is>
          <t>UK10-X05</t>
        </is>
      </c>
      <c r="B456" s="77" t="inlineStr">
        <is>
          <t>UK10</t>
        </is>
      </c>
      <c r="C456" s="77" t="inlineStr">
        <is>
          <t>Strathclyde</t>
        </is>
      </c>
      <c r="D456" s="77" t="inlineStr">
        <is>
          <t>UK – additional</t>
        </is>
      </c>
      <c r="E456" s="77" t="inlineStr">
        <is>
          <t>Chemical &amp; Process Engineering industrial placement projects</t>
        </is>
      </c>
      <c r="F456" s="77" t="inlineStr">
        <is>
          <t>No</t>
        </is>
      </c>
      <c r="G456" s="77" t="inlineStr"/>
      <c r="H456" s="77" t="inlineStr">
        <is>
          <t>Near-miss: not group</t>
        </is>
      </c>
      <c r="I456" s="77" t="inlineStr">
        <is>
          <t>Final-year MEng students placed with a company for 3-6 months on a defined project: individual placement.</t>
        </is>
      </c>
      <c r="J456" s="77" t="inlineStr">
        <is>
          <t>https://www.strath.ac.uk/engineering/chemicalprocessengineering/workingwithindustry/industryprojects/</t>
        </is>
      </c>
      <c r="K456" s="77" t="inlineStr"/>
    </row>
    <row r="457">
      <c r="A457" s="77" t="inlineStr">
        <is>
          <t>UK10-X06</t>
        </is>
      </c>
      <c r="B457" s="77" t="inlineStr">
        <is>
          <t>UK10</t>
        </is>
      </c>
      <c r="C457" s="77" t="inlineStr">
        <is>
          <t>Strathclyde</t>
        </is>
      </c>
      <c r="D457" s="77" t="inlineStr">
        <is>
          <t>UK – additional</t>
        </is>
      </c>
      <c r="E457" s="77" t="inlineStr">
        <is>
          <t>BSc Software Engineering / MSc Advanced Computer Science employer-sponsored final projects</t>
        </is>
      </c>
      <c r="F457" s="77" t="inlineStr">
        <is>
          <t>No</t>
        </is>
      </c>
      <c r="G457" s="77" t="inlineStr"/>
      <c r="H457" s="77" t="inlineStr">
        <is>
          <t>Evidence gap</t>
        </is>
      </c>
      <c r="I457" s="77" t="inlineStr">
        <is>
          <t>Companies develop individual or group final-year projects with occasional advice; MSc summer research projects come from employers but are individual; group/individual routes cannot be separated. MEng Computer Science group project (teams of 3-4) has no external client evidenced.</t>
        </is>
      </c>
      <c r="J457" s="77" t="inlineStr">
        <is>
          <t>https://www.strath.ac.uk/courses/undergraduate/softwareengineering/</t>
        </is>
      </c>
      <c r="K457" s="77" t="inlineStr"/>
    </row>
    <row r="458">
      <c r="A458" s="77" t="inlineStr">
        <is>
          <t>UK10-X07</t>
        </is>
      </c>
      <c r="B458" s="77" t="inlineStr">
        <is>
          <t>UK10</t>
        </is>
      </c>
      <c r="C458" s="77" t="inlineStr">
        <is>
          <t>Strathclyde</t>
        </is>
      </c>
      <c r="D458" s="77" t="inlineStr">
        <is>
          <t>UK – additional</t>
        </is>
      </c>
      <c r="E458" s="77" t="inlineStr">
        <is>
          <t>Mechanical &amp; Aerospace Engineering MEng/MSc group projects</t>
        </is>
      </c>
      <c r="F458" s="77" t="inlineStr">
        <is>
          <t>No</t>
        </is>
      </c>
      <c r="G458" s="77" t="inlineStr"/>
      <c r="H458" s="77" t="inlineStr">
        <is>
          <t>Evidence gap</t>
        </is>
      </c>
      <c r="I458" s="77" t="inlineStr">
        <is>
          <t>PGT handbook 2025/26 refers to group projects tackling industry and societal challenges; no evidence retrieved that external clients set briefs.</t>
        </is>
      </c>
      <c r="J458" s="77" t="inlineStr">
        <is>
          <t>https://www.strath.ac.uk/media/departments/mechanicalengineering/handbooks/pg/FINAL_PGT_Handbook_2526.pdf</t>
        </is>
      </c>
      <c r="K458" s="77" t="inlineStr">
        <is>
          <t>2025/26 handbook</t>
        </is>
      </c>
    </row>
    <row r="459">
      <c r="A459" s="77" t="inlineStr">
        <is>
          <t>UK10-X08</t>
        </is>
      </c>
      <c r="B459" s="77" t="inlineStr">
        <is>
          <t>UK10</t>
        </is>
      </c>
      <c r="C459" s="77" t="inlineStr">
        <is>
          <t>Strathclyde</t>
        </is>
      </c>
      <c r="D459" s="77" t="inlineStr">
        <is>
          <t>UK – additional</t>
        </is>
      </c>
      <c r="E459" s="77" t="inlineStr">
        <is>
          <t>Mathematics &amp; Statistics SMART MSc summer projects</t>
        </is>
      </c>
      <c r="F459" s="77" t="inlineStr">
        <is>
          <t>No</t>
        </is>
      </c>
      <c r="G459" s="77" t="inlineStr"/>
      <c r="H459" s="77" t="inlineStr">
        <is>
          <t>Near-miss: not group</t>
        </is>
      </c>
      <c r="I459" s="77" t="inlineStr">
        <is>
          <t>Financial-sector firms co-supervise MSc Actuarial Science / Quantitative Finance summer projects; individual dissertations.</t>
        </is>
      </c>
      <c r="J459" s="77" t="inlineStr">
        <is>
          <t>https://www.strath.ac.uk/science/mathematicsstatistics/smart/</t>
        </is>
      </c>
      <c r="K459" s="77" t="inlineStr"/>
    </row>
    <row r="460">
      <c r="A460" s="77" t="inlineStr">
        <is>
          <t>UK10-X09</t>
        </is>
      </c>
      <c r="B460" s="77" t="inlineStr">
        <is>
          <t>UK10</t>
        </is>
      </c>
      <c r="C460" s="77" t="inlineStr">
        <is>
          <t>Strathclyde</t>
        </is>
      </c>
      <c r="D460" s="77" t="inlineStr">
        <is>
          <t>UK – additional</t>
        </is>
      </c>
      <c r="E460" s="77" t="inlineStr">
        <is>
          <t>Strathclyde Law Clinic</t>
        </is>
      </c>
      <c r="F460" s="77" t="inlineStr">
        <is>
          <t>No</t>
        </is>
      </c>
      <c r="G460" s="77" t="inlineStr"/>
      <c r="H460" s="77" t="inlineStr">
        <is>
          <t>Near-miss: no external org</t>
        </is>
      </c>
      <c r="I460" s="77" t="inlineStr">
        <is>
          <t>Students work in pairs under supervision on casework for members of the public (individuals), not external organisations; project-based clinics (e.g. Scottish Women's Rights Centre) mentioned but not assessed. Typed as service-learning/clinical.</t>
        </is>
      </c>
      <c r="J460" s="77" t="inlineStr">
        <is>
          <t>https://www.strath.ac.uk/humanities/lawschool/lawclinic/</t>
        </is>
      </c>
      <c r="K460" s="77" t="inlineStr"/>
    </row>
    <row r="461">
      <c r="A461" s="77" t="inlineStr">
        <is>
          <t>UK10-X10</t>
        </is>
      </c>
      <c r="B461" s="77" t="inlineStr">
        <is>
          <t>UK10</t>
        </is>
      </c>
      <c r="C461" s="77" t="inlineStr">
        <is>
          <t>Strathclyde</t>
        </is>
      </c>
      <c r="D461" s="77" t="inlineStr">
        <is>
          <t>UK – additional</t>
        </is>
      </c>
      <c r="E461" s="77" t="inlineStr">
        <is>
          <t>Exploring Entrepreneurship Challenge</t>
        </is>
      </c>
      <c r="F461" s="77" t="inlineStr">
        <is>
          <t>No</t>
        </is>
      </c>
      <c r="G461" s="77" t="inlineStr"/>
      <c r="H461" s="77" t="inlineStr">
        <is>
          <t>Entrepreneurship/incubator</t>
        </is>
      </c>
      <c r="I461" s="77" t="inlineStr">
        <is>
          <t>Student teams develop their own ventures with Strathclyde Inspire mentors; no external organisation sets a brief.</t>
        </is>
      </c>
      <c r="J461" s="77" t="inlineStr">
        <is>
          <t>https://www.strath.ac.uk/whystrathclyde/employability/employabilityopportunities/exploringentrepreneurshipchallenge/</t>
        </is>
      </c>
      <c r="K461" s="77" t="inlineStr"/>
    </row>
    <row r="462">
      <c r="A462" s="77" t="inlineStr">
        <is>
          <t>UK10-X11</t>
        </is>
      </c>
      <c r="B462" s="77" t="inlineStr">
        <is>
          <t>UK10</t>
        </is>
      </c>
      <c r="C462" s="77" t="inlineStr">
        <is>
          <t>Strathclyde</t>
        </is>
      </c>
      <c r="D462" s="77" t="inlineStr">
        <is>
          <t>UK – additional</t>
        </is>
      </c>
      <c r="E462" s="77" t="inlineStr">
        <is>
          <t>Innovation Challenge</t>
        </is>
      </c>
      <c r="F462" s="77" t="inlineStr">
        <is>
          <t>No</t>
        </is>
      </c>
      <c r="G462" s="77" t="inlineStr"/>
      <c r="H462" s="77" t="inlineStr">
        <is>
          <t>Entrepreneurship/incubator</t>
        </is>
      </c>
      <c r="I462" s="77" t="inlineStr">
        <is>
          <t>Grant of up to GBP 5,000 for students developing own product idea.</t>
        </is>
      </c>
      <c r="J462" s="77" t="inlineStr">
        <is>
          <t>https://www.strath.ac.uk/whystrathclyde/employability/employabilityopportunities/innovationchallege/</t>
        </is>
      </c>
      <c r="K462" s="77" t="inlineStr"/>
    </row>
    <row r="463">
      <c r="A463" s="77" t="inlineStr">
        <is>
          <t>UK10-X12</t>
        </is>
      </c>
      <c r="B463" s="77" t="inlineStr">
        <is>
          <t>UK10</t>
        </is>
      </c>
      <c r="C463" s="77" t="inlineStr">
        <is>
          <t>Strathclyde</t>
        </is>
      </c>
      <c r="D463" s="77" t="inlineStr">
        <is>
          <t>UK – additional</t>
        </is>
      </c>
      <c r="E463" s="77" t="inlineStr">
        <is>
          <t>Strathclyde Solutions Exchange</t>
        </is>
      </c>
      <c r="F463" s="77" t="inlineStr">
        <is>
          <t>No</t>
        </is>
      </c>
      <c r="G463" s="77" t="inlineStr"/>
      <c r="H463" s="77" t="inlineStr">
        <is>
          <t>Event/competition without live client</t>
        </is>
      </c>
      <c r="I463" s="77" t="inlineStr">
        <is>
          <t>Five-day workshop aimed at researchers working with students/staff on problems from industry, charities and SMEs; researcher-focused, student participation and curricular status not evidenced.</t>
        </is>
      </c>
      <c r="J463" s="77" t="inlineStr">
        <is>
          <t>https://www.strath.ac.uk/workwithus/strathclydesolutionsexchange/</t>
        </is>
      </c>
      <c r="K463" s="77" t="inlineStr"/>
    </row>
    <row r="464">
      <c r="A464" s="77" t="inlineStr">
        <is>
          <t>UK10-X13</t>
        </is>
      </c>
      <c r="B464" s="77" t="inlineStr">
        <is>
          <t>UK10</t>
        </is>
      </c>
      <c r="C464" s="77" t="inlineStr">
        <is>
          <t>Strathclyde</t>
        </is>
      </c>
      <c r="D464" s="77" t="inlineStr">
        <is>
          <t>UK – additional</t>
        </is>
      </c>
      <c r="E464" s="77" t="inlineStr">
        <is>
          <t>Careers Service employer projects/engagement</t>
        </is>
      </c>
      <c r="F464" s="77" t="inlineStr">
        <is>
          <t>No</t>
        </is>
      </c>
      <c r="G464" s="77" t="inlineStr"/>
      <c r="H464" s="77" t="inlineStr">
        <is>
          <t>Careers service</t>
        </is>
      </c>
      <c r="I464" s="77" t="inlineStr">
        <is>
          <t>Employer engagement page lists guest lectures and offering projects but no defined student project scheme.</t>
        </is>
      </c>
      <c r="J464" s="77" t="inlineStr">
        <is>
          <t>https://www.strath.ac.uk/professionalservices/careers/employers/</t>
        </is>
      </c>
      <c r="K464" s="77" t="inlineStr"/>
    </row>
    <row r="465">
      <c r="A465" s="77" t="inlineStr">
        <is>
          <t>UK10-X14</t>
        </is>
      </c>
      <c r="B465" s="77" t="inlineStr">
        <is>
          <t>UK10</t>
        </is>
      </c>
      <c r="C465" s="77" t="inlineStr">
        <is>
          <t>Strathclyde</t>
        </is>
      </c>
      <c r="D465" s="77" t="inlineStr">
        <is>
          <t>UK – additional</t>
        </is>
      </c>
      <c r="E465" s="77" t="inlineStr">
        <is>
          <t>Faculty of Humanities &amp; Social Sciences consultancy</t>
        </is>
      </c>
      <c r="F465" s="77" t="inlineStr">
        <is>
          <t>No</t>
        </is>
      </c>
      <c r="G465" s="77" t="inlineStr"/>
      <c r="H465" s="77" t="inlineStr">
        <is>
          <t>Other</t>
        </is>
      </c>
      <c r="I465" s="77" t="inlineStr">
        <is>
          <t>Staff consultancy (Save the Children, UNICEF Albania, British Council); no student project route evidenced.</t>
        </is>
      </c>
      <c r="J465" s="77" t="inlineStr">
        <is>
          <t>https://www.strath.ac.uk/humanities/engagewithus/consultancy/</t>
        </is>
      </c>
      <c r="K465" s="77" t="inlineStr"/>
    </row>
    <row r="466">
      <c r="A466" s="77" t="inlineStr">
        <is>
          <t>UK11-X01</t>
        </is>
      </c>
      <c r="B466" s="77" t="inlineStr">
        <is>
          <t>UK11</t>
        </is>
      </c>
      <c r="C466" s="77" t="inlineStr">
        <is>
          <t>Heriot-Watt</t>
        </is>
      </c>
      <c r="D466" s="77" t="inlineStr">
        <is>
          <t>UK – additional</t>
        </is>
      </c>
      <c r="E466" s="77" t="inlineStr">
        <is>
          <t>Global Innovation Challenge</t>
        </is>
      </c>
      <c r="F466" s="77" t="inlineStr">
        <is>
          <t>Yes</t>
        </is>
      </c>
      <c r="G466" s="77" t="n">
        <v>64</v>
      </c>
      <c r="H466" s="77" t="inlineStr">
        <is>
          <t>Entrepreneurship/incubator</t>
        </is>
      </c>
      <c r="I466" s="77" t="inlineStr">
        <is>
          <t>Nine-week workshop and competition developing participants' own business ideas (student/alumni-led ventures, prize fund). Founder-led; no external organisation sets a brief or acts as client (fails C; not a client project).</t>
        </is>
      </c>
      <c r="J466" s="77" t="inlineStr">
        <is>
          <t>https://www.hw.ac.uk/news/2025/global-innovation-challenge-2025-celebrates-heriot-watts-next-generation-of-founders</t>
        </is>
      </c>
      <c r="K466" s="77" t="inlineStr">
        <is>
          <t>2025 edition reported (GIC 2025 awarded £30,000 to student and alumni-led ventures); legacy notes 2026 challenge.</t>
        </is>
      </c>
    </row>
    <row r="467">
      <c r="A467" s="77" t="inlineStr">
        <is>
          <t>UK11-X02</t>
        </is>
      </c>
      <c r="B467" s="77" t="inlineStr">
        <is>
          <t>UK11</t>
        </is>
      </c>
      <c r="C467" s="77" t="inlineStr">
        <is>
          <t>Heriot-Watt</t>
        </is>
      </c>
      <c r="D467" s="77" t="inlineStr">
        <is>
          <t>UK – additional</t>
        </is>
      </c>
      <c r="E467" s="77" t="inlineStr">
        <is>
          <t>Careers and Graduate Futures Micro-Placements</t>
        </is>
      </c>
      <c r="F467" s="77" t="inlineStr">
        <is>
          <t>No</t>
        </is>
      </c>
      <c r="G467" s="77" t="inlineStr"/>
      <c r="H467" s="77" t="inlineStr">
        <is>
          <t>Placement/internship</t>
        </is>
      </c>
      <c r="I467" s="77" t="inlineStr">
        <is>
          <t>Two-week extracurricular unpaid placements giving insight into an industry; no evidence of a team project output.</t>
        </is>
      </c>
      <c r="J467" s="77" t="inlineStr">
        <is>
          <t>https://www.hw.ac.uk/document-library/recruitment-pack.pdf</t>
        </is>
      </c>
      <c r="K467" s="77" t="inlineStr">
        <is>
          <t>undated</t>
        </is>
      </c>
    </row>
    <row r="468">
      <c r="A468" s="77" t="inlineStr">
        <is>
          <t>UK11-X03</t>
        </is>
      </c>
      <c r="B468" s="77" t="inlineStr">
        <is>
          <t>UK11</t>
        </is>
      </c>
      <c r="C468" s="77" t="inlineStr">
        <is>
          <t>Heriot-Watt</t>
        </is>
      </c>
      <c r="D468" s="77" t="inlineStr">
        <is>
          <t>UK – additional</t>
        </is>
      </c>
      <c r="E468" s="77" t="inlineStr">
        <is>
          <t>MACS Project System (School of Mathematical and Computer Sciences project proposals)</t>
        </is>
      </c>
      <c r="F468" s="77" t="inlineStr">
        <is>
          <t>No</t>
        </is>
      </c>
      <c r="G468" s="77" t="inlineStr"/>
      <c r="H468" s="77" t="inlineStr">
        <is>
          <t>Dissertation/research</t>
        </is>
      </c>
      <c r="I468" s="77" t="inlineStr">
        <is>
          <t>Proposal database for (mainly individual) degree projects; some proposals state students work independently, others mention pairs/teams; external-client share not established. Evidence gap rather than verified scheme.</t>
        </is>
      </c>
      <c r="J468" s="77" t="inlineStr">
        <is>
          <t>https://projects.hw.ac.uk/Proposals/Index</t>
        </is>
      </c>
      <c r="K468" s="77" t="inlineStr">
        <is>
          <t>undated</t>
        </is>
      </c>
    </row>
    <row r="469">
      <c r="A469" s="77" t="inlineStr">
        <is>
          <t>UK11-X04</t>
        </is>
      </c>
      <c r="B469" s="77" t="inlineStr">
        <is>
          <t>UK11</t>
        </is>
      </c>
      <c r="C469" s="77" t="inlineStr">
        <is>
          <t>Heriot-Watt</t>
        </is>
      </c>
      <c r="D469" s="77" t="inlineStr">
        <is>
          <t>UK – additional</t>
        </is>
      </c>
      <c r="E469" s="77" t="inlineStr">
        <is>
          <t>Heriot-Watt / Falkirk FC Memorandum of Understanding</t>
        </is>
      </c>
      <c r="F469" s="77" t="inlineStr">
        <is>
          <t>No</t>
        </is>
      </c>
      <c r="G469" s="77" t="inlineStr"/>
      <c r="H469" s="77" t="inlineStr">
        <is>
          <t>Evidence gap</t>
        </is>
      </c>
      <c r="I469" s="77" t="inlineStr">
        <is>
          <t>2026 news says students apply learning to practical problems (player conditioning, match analysis) in a professional football environment; no evidence of a defined group project with output for the club.</t>
        </is>
      </c>
      <c r="J469" s="77" t="inlineStr">
        <is>
          <t>https://www.hw.ac.uk/news/2026/academic-expertise-aims-to-bolster-scottish-premiership-clubs-growth</t>
        </is>
      </c>
      <c r="K469" s="77" t="inlineStr">
        <is>
          <t>2026</t>
        </is>
      </c>
    </row>
    <row r="470">
      <c r="A470" s="77" t="inlineStr">
        <is>
          <t>UK11-X05</t>
        </is>
      </c>
      <c r="B470" s="77" t="inlineStr">
        <is>
          <t>UK11</t>
        </is>
      </c>
      <c r="C470" s="77" t="inlineStr">
        <is>
          <t>Heriot-Watt</t>
        </is>
      </c>
      <c r="D470" s="77" t="inlineStr">
        <is>
          <t>UK – additional</t>
        </is>
      </c>
      <c r="E470" s="77" t="inlineStr">
        <is>
          <t>EBS Consultancy Bootcamp / business partnerships</t>
        </is>
      </c>
      <c r="F470" s="77" t="inlineStr">
        <is>
          <t>No</t>
        </is>
      </c>
      <c r="G470" s="77" t="inlineStr"/>
      <c r="H470" s="77" t="inlineStr">
        <is>
          <t>Evidence gap</t>
        </is>
      </c>
      <c r="I470" s="77" t="inlineStr">
        <is>
          <t>Named on EBS study page only; no detail on teams, clients or outputs.</t>
        </is>
      </c>
      <c r="J470" s="77" t="inlineStr">
        <is>
          <t>https://www.hw.ac.uk/ebs/study</t>
        </is>
      </c>
      <c r="K470" s="77" t="inlineStr">
        <is>
          <t>undated</t>
        </is>
      </c>
    </row>
    <row r="471">
      <c r="A471" s="77" t="inlineStr">
        <is>
          <t>UK11-X06</t>
        </is>
      </c>
      <c r="B471" s="77" t="inlineStr">
        <is>
          <t>UK11</t>
        </is>
      </c>
      <c r="C471" s="77" t="inlineStr">
        <is>
          <t>Heriot-Watt</t>
        </is>
      </c>
      <c r="D471" s="77" t="inlineStr">
        <is>
          <t>UK – additional</t>
        </is>
      </c>
      <c r="E471" s="77" t="inlineStr">
        <is>
          <t>Actuarial Science Diploma in Industrial Training</t>
        </is>
      </c>
      <c r="F471" s="77" t="inlineStr">
        <is>
          <t>No</t>
        </is>
      </c>
      <c r="G471" s="77" t="inlineStr"/>
      <c r="H471" s="77" t="inlineStr">
        <is>
          <t>Placement/internship</t>
        </is>
      </c>
      <c r="I471" s="77" t="inlineStr">
        <is>
          <t>Year-long individual placement; no group project evidenced.</t>
        </is>
      </c>
      <c r="J471" s="77" t="inlineStr">
        <is>
          <t>https://www.hw.ac.uk/study/undergraduate/actuarial-science-and-diploma-in-industrial-training</t>
        </is>
      </c>
      <c r="K471" s="77" t="inlineStr">
        <is>
          <t>undated</t>
        </is>
      </c>
    </row>
    <row r="472">
      <c r="A472" s="77" t="inlineStr">
        <is>
          <t>UK12-X01</t>
        </is>
      </c>
      <c r="B472" s="77" t="inlineStr">
        <is>
          <t>UK12</t>
        </is>
      </c>
      <c r="C472" s="77" t="inlineStr">
        <is>
          <t>East Anglia</t>
        </is>
      </c>
      <c r="D472" s="77" t="inlineStr">
        <is>
          <t>UK – additional</t>
        </is>
      </c>
      <c r="E472" s="77" t="inlineStr">
        <is>
          <t>UEA Award</t>
        </is>
      </c>
      <c r="F472" s="77" t="inlineStr">
        <is>
          <t>Yes</t>
        </is>
      </c>
      <c r="G472" s="77" t="n">
        <v>65</v>
      </c>
      <c r="H472" s="77" t="inlineStr">
        <is>
          <t>Employability award</t>
        </is>
      </c>
      <c r="I472" s="77" t="inlineStr">
        <is>
          <t>CareerCentral co-curricular skills/employability award recognising wider experience; not itself a bounded group project with an external organisation. Reach not confirmed in legacy review.</t>
        </is>
      </c>
      <c r="J472" s="77" t="inlineStr">
        <is>
          <t>https://mycareercentral.uea.ac.uk/Uploads/Attachments/UEA%20Award/TandCs-UEA-Award-final.pdf</t>
        </is>
      </c>
      <c r="K472" s="77" t="inlineStr">
        <is>
          <t>Legacy: 2025-29 access plan and T&amp;Cs</t>
        </is>
      </c>
    </row>
    <row r="473">
      <c r="A473" s="77" t="inlineStr">
        <is>
          <t>UK12-X02</t>
        </is>
      </c>
      <c r="B473" s="77" t="inlineStr">
        <is>
          <t>UK12</t>
        </is>
      </c>
      <c r="C473" s="77" t="inlineStr">
        <is>
          <t>East Anglia</t>
        </is>
      </c>
      <c r="D473" s="77" t="inlineStr">
        <is>
          <t>UK – additional</t>
        </is>
      </c>
      <c r="E473" s="77" t="inlineStr">
        <is>
          <t>UEA Law Clinic (Norfolk Community Law Service, Shelter etc.)</t>
        </is>
      </c>
      <c r="F473" s="77" t="inlineStr">
        <is>
          <t>No</t>
        </is>
      </c>
      <c r="G473" s="77" t="inlineStr"/>
      <c r="H473" s="77" t="inlineStr">
        <is>
          <t>Volunteering/service-learning</t>
        </is>
      </c>
      <c r="I473" s="77" t="inlineStr">
        <is>
          <t>Voluntary pro bono advice work with charities (about 50 students/year at Norfolk Community Law Service); not credit-bearing and individual advice rather than a team project; occasional short toolkit projects for Norfolk Community Foundation not evidenced as team projects.</t>
        </is>
      </c>
      <c r="J473" s="77" t="inlineStr">
        <is>
          <t>https://lawclinic.uea.ac.uk/what-our-students-do/</t>
        </is>
      </c>
      <c r="K473" s="77" t="inlineStr"/>
    </row>
    <row r="474">
      <c r="A474" s="77" t="inlineStr">
        <is>
          <t>UK12-X03</t>
        </is>
      </c>
      <c r="B474" s="77" t="inlineStr">
        <is>
          <t>UK12</t>
        </is>
      </c>
      <c r="C474" s="77" t="inlineStr">
        <is>
          <t>East Anglia</t>
        </is>
      </c>
      <c r="D474" s="77" t="inlineStr">
        <is>
          <t>UK – additional</t>
        </is>
      </c>
      <c r="E474" s="77" t="inlineStr">
        <is>
          <t>BA Media and International Development first-year communications consultancy group project</t>
        </is>
      </c>
      <c r="F474" s="77" t="inlineStr">
        <is>
          <t>No</t>
        </is>
      </c>
      <c r="G474" s="77" t="inlineStr"/>
      <c r="H474" s="77" t="inlineStr">
        <is>
          <t>Near-miss: no external org</t>
        </is>
      </c>
      <c r="I474" s="77" t="inlineStr">
        <is>
          <t>Group project analysing the political communications of a real political actor as 'client' in a role-play consultancy; the actor does not appear to engage with students or receive outputs. Source is a 2021-year page.</t>
        </is>
      </c>
      <c r="J474" s="77" t="inlineStr">
        <is>
          <t>https://www.uea.ac.uk/course/undergraduate/ba-media-and-international-development/2021</t>
        </is>
      </c>
      <c r="K474" s="77" t="inlineStr">
        <is>
          <t>2021 page; currency unknown</t>
        </is>
      </c>
    </row>
    <row r="475">
      <c r="A475" s="77" t="inlineStr">
        <is>
          <t>UK12-X04</t>
        </is>
      </c>
      <c r="B475" s="77" t="inlineStr">
        <is>
          <t>UK12</t>
        </is>
      </c>
      <c r="C475" s="77" t="inlineStr">
        <is>
          <t>East Anglia</t>
        </is>
      </c>
      <c r="D475" s="77" t="inlineStr">
        <is>
          <t>UK – additional</t>
        </is>
      </c>
      <c r="E475" s="77" t="inlineStr">
        <is>
          <t>Year in Industry / Placement Year / Year Abroad degree variants and UEA Internship Programme</t>
        </is>
      </c>
      <c r="F475" s="77" t="inlineStr">
        <is>
          <t>No</t>
        </is>
      </c>
      <c r="G475" s="77" t="inlineStr"/>
      <c r="H475" s="77" t="inlineStr">
        <is>
          <t>Placement/internship</t>
        </is>
      </c>
      <c r="I475" s="77" t="inlineStr">
        <is>
          <t>Individual employer placements and internships with no evidenced group project component.</t>
        </is>
      </c>
      <c r="J475" s="77" t="inlineStr">
        <is>
          <t>https://mycareercentral.uea.ac.uk/docs/684/UEA-Internship-Programme-Employer-Booklet_online.pdf</t>
        </is>
      </c>
      <c r="K475" s="77" t="inlineStr"/>
    </row>
    <row r="476">
      <c r="A476" s="77" t="inlineStr">
        <is>
          <t>UK12-X05</t>
        </is>
      </c>
      <c r="B476" s="77" t="inlineStr">
        <is>
          <t>UK12</t>
        </is>
      </c>
      <c r="C476" s="77" t="inlineStr">
        <is>
          <t>East Anglia</t>
        </is>
      </c>
      <c r="D476" s="77" t="inlineStr">
        <is>
          <t>UK – additional</t>
        </is>
      </c>
      <c r="E476" s="77" t="inlineStr">
        <is>
          <t>Student Enterprise (Startup Bootcamp, Try It)</t>
        </is>
      </c>
      <c r="F476" s="77" t="inlineStr">
        <is>
          <t>No</t>
        </is>
      </c>
      <c r="G476" s="77" t="inlineStr"/>
      <c r="H476" s="77" t="inlineStr">
        <is>
          <t>Entrepreneurship/incubator</t>
        </is>
      </c>
      <c r="I476" s="77" t="inlineStr">
        <is>
          <t>Support for students' own start-up ideas; no external client brief.</t>
        </is>
      </c>
      <c r="J476" s="77" t="inlineStr">
        <is>
          <t>https://www.uea.ac.uk/business/access-entrepreneurship-and-innovation/student-enterprise</t>
        </is>
      </c>
      <c r="K476" s="77" t="inlineStr"/>
    </row>
    <row r="477">
      <c r="A477" s="77" t="inlineStr">
        <is>
          <t>UK12-X06</t>
        </is>
      </c>
      <c r="B477" s="77" t="inlineStr">
        <is>
          <t>UK12</t>
        </is>
      </c>
      <c r="C477" s="77" t="inlineStr">
        <is>
          <t>East Anglia</t>
        </is>
      </c>
      <c r="D477" s="77" t="inlineStr">
        <is>
          <t>UK – additional</t>
        </is>
      </c>
      <c r="E477" s="77" t="inlineStr">
        <is>
          <t>BSc Environmental Sciences optional module 'Environmental Consultancy'</t>
        </is>
      </c>
      <c r="F477" s="77" t="inlineStr">
        <is>
          <t>No</t>
        </is>
      </c>
      <c r="G477" s="77" t="inlineStr"/>
      <c r="H477" s="77" t="inlineStr">
        <is>
          <t>Evidence gap</t>
        </is>
      </c>
      <c r="I477" s="77" t="inlineStr">
        <is>
          <t>Course page lists an environmental consultancy option, but no source on real clients, team working or outputs was found.</t>
        </is>
      </c>
      <c r="J477" s="77" t="inlineStr">
        <is>
          <t>https://www.uea.ac.uk/course/undergraduate/bsc-environmental-sciences/2025-26/sep</t>
        </is>
      </c>
      <c r="K477" s="77" t="inlineStr"/>
    </row>
    <row r="478">
      <c r="A478" s="77" t="inlineStr">
        <is>
          <t>UK12-X07</t>
        </is>
      </c>
      <c r="B478" s="77" t="inlineStr">
        <is>
          <t>UK12</t>
        </is>
      </c>
      <c r="C478" s="77" t="inlineStr">
        <is>
          <t>East Anglia</t>
        </is>
      </c>
      <c r="D478" s="77" t="inlineStr">
        <is>
          <t>UK – additional</t>
        </is>
      </c>
      <c r="E478" s="77" t="inlineStr">
        <is>
          <t>Biological Sciences Integrated Laboratory Research Project / Skills for Biologists</t>
        </is>
      </c>
      <c r="F478" s="77" t="inlineStr">
        <is>
          <t>No</t>
        </is>
      </c>
      <c r="G478" s="77" t="inlineStr"/>
      <c r="H478" s="77" t="inlineStr">
        <is>
          <t>Near-miss: no external org</t>
        </is>
      </c>
      <c r="I478" s="77" t="inlineStr">
        <is>
          <t>Group work named as a skill but no external organisation involved in the retrieved descriptions.</t>
        </is>
      </c>
      <c r="J478" s="77" t="inlineStr">
        <is>
          <t>https://www2.uea.ac.uk/study/undergraduate/degree/detail/bsc-biological-sciences-with-a-year-in-industry</t>
        </is>
      </c>
      <c r="K478" s="77" t="inlineStr"/>
    </row>
    <row r="479">
      <c r="A479" s="77" t="inlineStr">
        <is>
          <t>UK12-X08</t>
        </is>
      </c>
      <c r="B479" s="77" t="inlineStr">
        <is>
          <t>UK12</t>
        </is>
      </c>
      <c r="C479" s="77" t="inlineStr">
        <is>
          <t>East Anglia</t>
        </is>
      </c>
      <c r="D479" s="77" t="inlineStr">
        <is>
          <t>UK – additional</t>
        </is>
      </c>
      <c r="E479" s="77" t="inlineStr">
        <is>
          <t>MSc Project Management</t>
        </is>
      </c>
      <c r="F479" s="77" t="inlineStr">
        <is>
          <t>No</t>
        </is>
      </c>
      <c r="G479" s="77" t="inlineStr"/>
      <c r="H479" s="77" t="inlineStr">
        <is>
          <t>Evidence gap</t>
        </is>
      </c>
      <c r="I479" s="77" t="inlineStr">
        <is>
          <t>Individual and group work assessed, but no live-client project evidenced.</t>
        </is>
      </c>
      <c r="J479" s="77" t="inlineStr">
        <is>
          <t>https://www.uea.ac.uk/course/postgraduate/msc-project-management</t>
        </is>
      </c>
      <c r="K479" s="77" t="inlineStr"/>
    </row>
    <row r="480">
      <c r="A480" s="77" t="inlineStr">
        <is>
          <t>UK12-X09</t>
        </is>
      </c>
      <c r="B480" s="77" t="inlineStr">
        <is>
          <t>UK12</t>
        </is>
      </c>
      <c r="C480" s="77" t="inlineStr">
        <is>
          <t>East Anglia</t>
        </is>
      </c>
      <c r="D480" s="77" t="inlineStr">
        <is>
          <t>UK – additional</t>
        </is>
      </c>
      <c r="E480" s="77" t="inlineStr">
        <is>
          <t>TCS Tech Challenge (CareerCentral news)</t>
        </is>
      </c>
      <c r="F480" s="77" t="inlineStr">
        <is>
          <t>No</t>
        </is>
      </c>
      <c r="G480" s="77" t="inlineStr"/>
      <c r="H480" s="77" t="inlineStr">
        <is>
          <t>Evidence gap</t>
        </is>
      </c>
      <c r="I480" s="77" t="inlineStr">
        <is>
          <t>2015 page about 8-week charity projects by teams across six UK universities; no evidence that UEA took part or that it runs now.</t>
        </is>
      </c>
      <c r="J480" s="77" t="inlineStr">
        <is>
          <t>https://mycareercentral.uea.ac.uk/students/news/detail/78/tcs-tech-challenge</t>
        </is>
      </c>
      <c r="K480" s="77" t="inlineStr">
        <is>
          <t>2015, historical</t>
        </is>
      </c>
    </row>
    <row r="481">
      <c r="A481" s="77" t="inlineStr">
        <is>
          <t>UK12-X10</t>
        </is>
      </c>
      <c r="B481" s="77" t="inlineStr">
        <is>
          <t>UK12</t>
        </is>
      </c>
      <c r="C481" s="77" t="inlineStr">
        <is>
          <t>East Anglia</t>
        </is>
      </c>
      <c r="D481" s="77" t="inlineStr">
        <is>
          <t>UK – additional</t>
        </is>
      </c>
      <c r="E481" s="77" t="inlineStr">
        <is>
          <t>MPharm Pharmacy extended group projects</t>
        </is>
      </c>
      <c r="F481" s="77" t="inlineStr">
        <is>
          <t>No</t>
        </is>
      </c>
      <c r="G481" s="77" t="inlineStr"/>
      <c r="H481" s="77" t="inlineStr">
        <is>
          <t>Near-miss: no external org</t>
        </is>
      </c>
      <c r="I481" s="77" t="inlineStr">
        <is>
          <t>Page text: 'you'll complete extended group projects to improve population health by developing new services and health campaigns. Placements will provide opportunities to enhance real healthcare services.' Group and project yes, but no external organisation documented as setting the brief or receiving outputs.</t>
        </is>
      </c>
      <c r="J481" s="77" t="inlineStr">
        <is>
          <t>https://www.uea.ac.uk/course/undergraduate/mpharm-pharmacy</t>
        </is>
      </c>
      <c r="K481" s="77" t="inlineStr">
        <is>
          <t>Course page, Sept 2027 start (2025/2026 starts also listed)</t>
        </is>
      </c>
    </row>
    <row r="482">
      <c r="A482" s="77" t="inlineStr">
        <is>
          <t>UK12-X11</t>
        </is>
      </c>
      <c r="B482" s="77" t="inlineStr">
        <is>
          <t>UK12</t>
        </is>
      </c>
      <c r="C482" s="77" t="inlineStr">
        <is>
          <t>East Anglia</t>
        </is>
      </c>
      <c r="D482" s="77" t="inlineStr">
        <is>
          <t>UK – additional</t>
        </is>
      </c>
      <c r="E482" s="77" t="inlineStr">
        <is>
          <t>Medicine (MBBS), BA Social Work, LLB Law course pages</t>
        </is>
      </c>
      <c r="F482" s="77" t="inlineStr">
        <is>
          <t>No</t>
        </is>
      </c>
      <c r="G482" s="77" t="inlineStr"/>
      <c r="H482" s="77" t="inlineStr">
        <is>
          <t>Evidence gap</t>
        </is>
      </c>
      <c r="I482" s="77" t="inlineStr">
        <is>
          <t>Course page text fetched 2026-10-13 contained no group project with external organisation wording (placements and clinical/practice learning are individual or non-project). Education school not queried.</t>
        </is>
      </c>
      <c r="J482" s="77" t="inlineStr">
        <is>
          <t>https://www.uea.ac.uk/course/undergraduate/mbbs-medicine</t>
        </is>
      </c>
      <c r="K482" s="77" t="inlineStr"/>
    </row>
    <row r="483">
      <c r="A483" s="77" t="inlineStr">
        <is>
          <t>UK13-X01</t>
        </is>
      </c>
      <c r="B483" s="77" t="inlineStr">
        <is>
          <t>UK13</t>
        </is>
      </c>
      <c r="C483" s="77" t="inlineStr">
        <is>
          <t>Dundee</t>
        </is>
      </c>
      <c r="D483" s="77" t="inlineStr">
        <is>
          <t>UK – additional</t>
        </is>
      </c>
      <c r="E483" s="77" t="inlineStr">
        <is>
          <t>Enterprise Challenge / Venture Competition</t>
        </is>
      </c>
      <c r="F483" s="77" t="inlineStr">
        <is>
          <t>Yes</t>
        </is>
      </c>
      <c r="G483" s="77" t="n">
        <v>66</v>
      </c>
      <c r="H483" s="77" t="inlineStr">
        <is>
          <t>Entrepreneurship/incubator</t>
        </is>
      </c>
      <c r="I483" s="77" t="inlineStr">
        <is>
          <t>New-business-idea competition for students, staff and recent graduates; no external organisation sets a brief; team participation not stated. Venture 2026 stages Jan-Feb 2026 (page text).</t>
        </is>
      </c>
      <c r="J483" s="77" t="inlineStr">
        <is>
          <t>https://www.dundee.ac.uk/entrepreneurship/venture</t>
        </is>
      </c>
      <c r="K483" s="77" t="inlineStr">
        <is>
          <t>Venture 2026 is now over; legacy dates confirmed</t>
        </is>
      </c>
    </row>
    <row r="484">
      <c r="A484" s="77" t="inlineStr">
        <is>
          <t>UK13-X02</t>
        </is>
      </c>
      <c r="B484" s="77" t="inlineStr">
        <is>
          <t>UK13</t>
        </is>
      </c>
      <c r="C484" s="77" t="inlineStr">
        <is>
          <t>Dundee</t>
        </is>
      </c>
      <c r="D484" s="77" t="inlineStr">
        <is>
          <t>UK – additional</t>
        </is>
      </c>
      <c r="E484" s="77" t="inlineStr">
        <is>
          <t>Business Consultancy Project (BU40012)</t>
        </is>
      </c>
      <c r="F484" s="77" t="inlineStr">
        <is>
          <t>No</t>
        </is>
      </c>
      <c r="G484" s="77" t="inlineStr"/>
      <c r="H484" s="77" t="inlineStr">
        <is>
          <t>Near-miss: not group</t>
        </is>
      </c>
      <c r="I484" s="77" t="inlineStr">
        <is>
          <t>30-credit consultancy project for a client but assessed by an individual 10,000-word report with supervisor; no group evidence (search extract).</t>
        </is>
      </c>
      <c r="J484" s="77" t="inlineStr">
        <is>
          <t>https://www.dundee.ac.uk/module/bu40012</t>
        </is>
      </c>
      <c r="K484" s="77" t="inlineStr">
        <is>
          <t>search-index extract</t>
        </is>
      </c>
    </row>
    <row r="485">
      <c r="A485" s="77" t="inlineStr">
        <is>
          <t>UK13-X03</t>
        </is>
      </c>
      <c r="B485" s="77" t="inlineStr">
        <is>
          <t>UK13</t>
        </is>
      </c>
      <c r="C485" s="77" t="inlineStr">
        <is>
          <t>Dundee</t>
        </is>
      </c>
      <c r="D485" s="77" t="inlineStr">
        <is>
          <t>UK – additional</t>
        </is>
      </c>
      <c r="E485" s="77" t="inlineStr">
        <is>
          <t>International Business Project (BU52020)</t>
        </is>
      </c>
      <c r="F485" s="77" t="inlineStr">
        <is>
          <t>No</t>
        </is>
      </c>
      <c r="G485" s="77" t="inlineStr"/>
      <c r="H485" s="77" t="inlineStr">
        <is>
          <t>Near-miss: not group</t>
        </is>
      </c>
      <c r="I485" s="77" t="inlineStr">
        <is>
          <t>Consultancy route with company brief but individual 4,000-6,000 word report (search extract).</t>
        </is>
      </c>
      <c r="J485" s="77" t="inlineStr">
        <is>
          <t>https://www.dundee.ac.uk/module/bu52020</t>
        </is>
      </c>
      <c r="K485" s="77" t="inlineStr">
        <is>
          <t>search-index extract</t>
        </is>
      </c>
    </row>
    <row r="486">
      <c r="A486" s="77" t="inlineStr">
        <is>
          <t>UK13-X04</t>
        </is>
      </c>
      <c r="B486" s="77" t="inlineStr">
        <is>
          <t>UK13</t>
        </is>
      </c>
      <c r="C486" s="77" t="inlineStr">
        <is>
          <t>Dundee</t>
        </is>
      </c>
      <c r="D486" s="77" t="inlineStr">
        <is>
          <t>UK – additional</t>
        </is>
      </c>
      <c r="E486" s="77" t="inlineStr">
        <is>
          <t>Partner employer real-life problems (Toll House Spirits, Dundee United FC)</t>
        </is>
      </c>
      <c r="F486" s="77" t="inlineStr">
        <is>
          <t>No</t>
        </is>
      </c>
      <c r="G486" s="77" t="inlineStr"/>
      <c r="H486" s="77" t="inlineStr">
        <is>
          <t>Evidence gap</t>
        </is>
      </c>
      <c r="I486" s="77" t="inlineStr">
        <is>
          <t>19 Nov 2025 news feature says partner employers provide real problems and students produce recommendation reports, but module, group basis and level are not named.</t>
        </is>
      </c>
      <c r="J486" s="77" t="inlineStr">
        <is>
          <t>https://www.dundee.ac.uk/feature/strengthening-employability-through-alumni-support</t>
        </is>
      </c>
      <c r="K486" s="77" t="inlineStr">
        <is>
          <t>page text; lead for follow-up</t>
        </is>
      </c>
    </row>
    <row r="487">
      <c r="A487" s="77" t="inlineStr">
        <is>
          <t>UK13-X05</t>
        </is>
      </c>
      <c r="B487" s="77" t="inlineStr">
        <is>
          <t>UK13</t>
        </is>
      </c>
      <c r="C487" s="77" t="inlineStr">
        <is>
          <t>Dundee</t>
        </is>
      </c>
      <c r="D487" s="77" t="inlineStr">
        <is>
          <t>UK – additional</t>
        </is>
      </c>
      <c r="E487" s="77" t="inlineStr">
        <is>
          <t>Biomedical Engineering BE32001 industry-provided design project</t>
        </is>
      </c>
      <c r="F487" s="77" t="inlineStr">
        <is>
          <t>No</t>
        </is>
      </c>
      <c r="G487" s="77" t="inlineStr"/>
      <c r="H487" s="77" t="inlineStr">
        <is>
          <t>Evidence gap</t>
        </is>
      </c>
      <c r="I487" s="77" t="inlineStr">
        <is>
          <t>Search summary only: industrial partners provide projects; module page not opened.</t>
        </is>
      </c>
      <c r="J487" s="77" t="inlineStr">
        <is>
          <t>https://www.dundee.ac.uk/undergraduate/biomedical-engineering/teaching-and-assessment</t>
        </is>
      </c>
      <c r="K487" s="77" t="inlineStr">
        <is>
          <t>search-index summary</t>
        </is>
      </c>
    </row>
    <row r="488">
      <c r="A488" s="77" t="inlineStr">
        <is>
          <t>UK13-X06</t>
        </is>
      </c>
      <c r="B488" s="77" t="inlineStr">
        <is>
          <t>UK13</t>
        </is>
      </c>
      <c r="C488" s="77" t="inlineStr">
        <is>
          <t>Dundee</t>
        </is>
      </c>
      <c r="D488" s="77" t="inlineStr">
        <is>
          <t>UK – additional</t>
        </is>
      </c>
      <c r="E488" s="77" t="inlineStr">
        <is>
          <t>Student Law Clinic</t>
        </is>
      </c>
      <c r="F488" s="77" t="inlineStr">
        <is>
          <t>No</t>
        </is>
      </c>
      <c r="G488" s="77" t="inlineStr"/>
      <c r="H488" s="77" t="inlineStr">
        <is>
          <t>Evidence gap</t>
        </is>
      </c>
      <c r="I488" s="77" t="inlineStr">
        <is>
          <t>Only 2012 press release; casework under solicitor supervision, not a team project.</t>
        </is>
      </c>
      <c r="J488" s="77" t="inlineStr">
        <is>
          <t>http://app.dundee.ac.uk/pressreleases/2012/june12/lawclinic.htm</t>
        </is>
      </c>
      <c r="K488" s="77" t="inlineStr">
        <is>
          <t>2012</t>
        </is>
      </c>
    </row>
    <row r="489">
      <c r="A489" s="77" t="inlineStr">
        <is>
          <t>UK14-X01</t>
        </is>
      </c>
      <c r="B489" s="77" t="inlineStr">
        <is>
          <t>UK14</t>
        </is>
      </c>
      <c r="C489" s="77" t="inlineStr">
        <is>
          <t>Swansea</t>
        </is>
      </c>
      <c r="D489" s="77" t="inlineStr">
        <is>
          <t>UK – additional</t>
        </is>
      </c>
      <c r="E489" s="77" t="inlineStr">
        <is>
          <t>Employability Awards (Swansea Employability Academy)</t>
        </is>
      </c>
      <c r="F489" s="77" t="inlineStr">
        <is>
          <t>Yes</t>
        </is>
      </c>
      <c r="G489" s="77" t="n">
        <v>67</v>
      </c>
      <c r="H489" s="77" t="inlineStr">
        <is>
          <t>Employability award</t>
        </is>
      </c>
      <c r="I489" s="77" t="inlineStr">
        <is>
          <t>A co-curricular recognition framework: eight awards with digital badges and HEAR recognition for activities such as volunteering and Discovery projects. It is not a project scheme with a group and an external client. The underlying Discovery activity is excluded separately.</t>
        </is>
      </c>
      <c r="J489" s="77" t="inlineStr">
        <is>
          <t>https://hwb.swansea.ac.uk/employability-enterprise/employability-awards/</t>
        </is>
      </c>
      <c r="K489" s="77" t="inlineStr">
        <is>
          <t>Undated page</t>
        </is>
      </c>
    </row>
    <row r="490">
      <c r="A490" s="77" t="inlineStr">
        <is>
          <t>UK14-X02</t>
        </is>
      </c>
      <c r="B490" s="77" t="inlineStr">
        <is>
          <t>UK14</t>
        </is>
      </c>
      <c r="C490" s="77" t="inlineStr">
        <is>
          <t>Swansea</t>
        </is>
      </c>
      <c r="D490" s="77" t="inlineStr">
        <is>
          <t>UK – additional</t>
        </is>
      </c>
      <c r="E490" s="77" t="inlineStr">
        <is>
          <t>Discovery (student volunteering charity) award pathways</t>
        </is>
      </c>
      <c r="F490" s="77" t="inlineStr">
        <is>
          <t>No</t>
        </is>
      </c>
      <c r="G490" s="77" t="inlineStr"/>
      <c r="H490" s="77" t="inlineStr">
        <is>
          <t>Volunteering/service-learning</t>
        </is>
      </c>
      <c r="I490" s="77" t="inlineStr">
        <is>
          <t>Student-run volunteering projects with Volunteer, Project Coordinator and Trustee awards. No external organisation sets a brief or acts as client.</t>
        </is>
      </c>
      <c r="J490" s="77" t="inlineStr">
        <is>
          <t>https://hwb.swansea.ac.uk/employability-enterprise/employability-awards/</t>
        </is>
      </c>
      <c r="K490" s="77" t="inlineStr">
        <is>
          <t>Undated</t>
        </is>
      </c>
    </row>
    <row r="491">
      <c r="A491" s="77" t="inlineStr">
        <is>
          <t>UK14-X03</t>
        </is>
      </c>
      <c r="B491" s="77" t="inlineStr">
        <is>
          <t>UK14</t>
        </is>
      </c>
      <c r="C491" s="77" t="inlineStr">
        <is>
          <t>Swansea</t>
        </is>
      </c>
      <c r="D491" s="77" t="inlineStr">
        <is>
          <t>UK – additional</t>
        </is>
      </c>
      <c r="E491" s="77" t="inlineStr">
        <is>
          <t>GO Wales (SEA)</t>
        </is>
      </c>
      <c r="F491" s="77" t="inlineStr">
        <is>
          <t>No</t>
        </is>
      </c>
      <c r="G491" s="77" t="inlineStr"/>
      <c r="H491" s="77" t="inlineStr">
        <is>
          <t>Placement/internship</t>
        </is>
      </c>
      <c r="I491" s="77" t="inlineStr">
        <is>
          <t>Individual unpaid work experience (up to 70 hours) or subsidised internships. No group project evidenced.</t>
        </is>
      </c>
      <c r="J491" s="77" t="inlineStr">
        <is>
          <t>https://www.swansea.ac.uk/business-and-industry/recruit-our-talent/go-wales/</t>
        </is>
      </c>
      <c r="K491" s="77" t="inlineStr"/>
    </row>
    <row r="492">
      <c r="A492" s="77" t="inlineStr">
        <is>
          <t>UK14-X04</t>
        </is>
      </c>
      <c r="B492" s="77" t="inlineStr">
        <is>
          <t>UK14</t>
        </is>
      </c>
      <c r="C492" s="77" t="inlineStr">
        <is>
          <t>Swansea</t>
        </is>
      </c>
      <c r="D492" s="77" t="inlineStr">
        <is>
          <t>UK – additional</t>
        </is>
      </c>
      <c r="E492" s="77" t="inlineStr">
        <is>
          <t>Computer Science third-year project / Project Fair</t>
        </is>
      </c>
      <c r="F492" s="77" t="inlineStr">
        <is>
          <t>No</t>
        </is>
      </c>
      <c r="G492" s="77" t="inlineStr"/>
      <c r="H492" s="77" t="inlineStr">
        <is>
          <t>Near-miss: no external org</t>
        </is>
      </c>
      <c r="I492" s="77" t="inlineStr">
        <is>
          <t>Third-year projects are shown to 'leading industry experts' at a Project Fair with an industry-voted prize. Industry acts only as audience or judge of student-defined projects, and no external brief is evidenced. The Software Engineering BSc also lists 'individual and group projects' with no client evidenced.</t>
        </is>
      </c>
      <c r="J492" s="77" t="inlineStr">
        <is>
          <t>https://www.swansea.ac.uk/undergraduate/courses/maths-comp-sci/computer-science/bsc-computer-science/</t>
        </is>
      </c>
      <c r="K492" s="77" t="inlineStr">
        <is>
          <t>Undated</t>
        </is>
      </c>
    </row>
    <row r="493">
      <c r="A493" s="77" t="inlineStr">
        <is>
          <t>UK14-X05</t>
        </is>
      </c>
      <c r="B493" s="77" t="inlineStr">
        <is>
          <t>UK14</t>
        </is>
      </c>
      <c r="C493" s="77" t="inlineStr">
        <is>
          <t>Swansea</t>
        </is>
      </c>
      <c r="D493" s="77" t="inlineStr">
        <is>
          <t>UK – additional</t>
        </is>
      </c>
      <c r="E493" s="77" t="inlineStr">
        <is>
          <t>Engineering Doctorate (EngD)</t>
        </is>
      </c>
      <c r="F493" s="77" t="inlineStr">
        <is>
          <t>No</t>
        </is>
      </c>
      <c r="G493" s="77" t="inlineStr"/>
      <c r="H493" s="77" t="inlineStr">
        <is>
          <t>Dissertation/research</t>
        </is>
      </c>
      <c r="I493" s="77" t="inlineStr">
        <is>
          <t>An individual four-year research project defined by an industrial partner. Not group.</t>
        </is>
      </c>
      <c r="J493" s="77" t="inlineStr">
        <is>
          <t>https://www.swansea.ac.uk/science-and-engineering/courses/engineering/engd/</t>
        </is>
      </c>
      <c r="K493" s="77" t="inlineStr">
        <is>
          <t>Postgraduate research</t>
        </is>
      </c>
    </row>
    <row r="494">
      <c r="A494" s="77" t="inlineStr">
        <is>
          <t>UK14-X06</t>
        </is>
      </c>
      <c r="B494" s="77" t="inlineStr">
        <is>
          <t>UK14</t>
        </is>
      </c>
      <c r="C494" s="77" t="inlineStr">
        <is>
          <t>Swansea</t>
        </is>
      </c>
      <c r="D494" s="77" t="inlineStr">
        <is>
          <t>UK – additional</t>
        </is>
      </c>
      <c r="E494" s="77" t="inlineStr">
        <is>
          <t>MBA consultancy-based project (Research in Action Part 2)</t>
        </is>
      </c>
      <c r="F494" s="77" t="inlineStr">
        <is>
          <t>No</t>
        </is>
      </c>
      <c r="G494" s="77" t="inlineStr"/>
      <c r="H494" s="77" t="inlineStr">
        <is>
          <t>Evidence gap</t>
        </is>
      </c>
      <c r="I494" s="77" t="inlineStr">
        <is>
          <t>A search summary said the MBA 'culminates in a consultancy-based project ... through working with a client organisation', but did not tie this to a specific URL, so it cannot be cited. Group format is unknown.</t>
        </is>
      </c>
      <c r="J494" s="77" t="inlineStr"/>
      <c r="K494" s="77" t="inlineStr">
        <is>
          <t>Needs re-search</t>
        </is>
      </c>
    </row>
    <row r="495">
      <c r="A495" s="77" t="inlineStr">
        <is>
          <t>UK14-X07</t>
        </is>
      </c>
      <c r="B495" s="77" t="inlineStr">
        <is>
          <t>UK14</t>
        </is>
      </c>
      <c r="C495" s="77" t="inlineStr">
        <is>
          <t>Swansea</t>
        </is>
      </c>
      <c r="D495" s="77" t="inlineStr">
        <is>
          <t>UK – additional</t>
        </is>
      </c>
      <c r="E495" s="77" t="inlineStr">
        <is>
          <t>MSc Accounting and Finance consultancy-style projects</t>
        </is>
      </c>
      <c r="F495" s="77" t="inlineStr">
        <is>
          <t>No</t>
        </is>
      </c>
      <c r="G495" s="77" t="inlineStr"/>
      <c r="H495" s="77" t="inlineStr">
        <is>
          <t>Evidence gap</t>
        </is>
      </c>
      <c r="I495" s="77" t="inlineStr">
        <is>
          <t>The course page mentions 'industry partners, simulations and consultancy-style projects' without separating live-client work from simulation. Group format is unknown.</t>
        </is>
      </c>
      <c r="J495" s="77" t="inlineStr">
        <is>
          <t>https://www.swansea.ac.uk/postgraduate/taught/som/accounting-finance/msc-accounting-finance/</t>
        </is>
      </c>
      <c r="K495" s="77" t="inlineStr">
        <is>
          <t>Undated</t>
        </is>
      </c>
    </row>
    <row r="496">
      <c r="A496" s="77" t="inlineStr">
        <is>
          <t>UK14-X08</t>
        </is>
      </c>
      <c r="B496" s="77" t="inlineStr">
        <is>
          <t>UK14</t>
        </is>
      </c>
      <c r="C496" s="77" t="inlineStr">
        <is>
          <t>Swansea</t>
        </is>
      </c>
      <c r="D496" s="77" t="inlineStr">
        <is>
          <t>UK – additional</t>
        </is>
      </c>
      <c r="E496" s="77" t="inlineStr">
        <is>
          <t>MSc with Industry (second-year industry-focused project)</t>
        </is>
      </c>
      <c r="F496" s="77" t="inlineStr">
        <is>
          <t>No</t>
        </is>
      </c>
      <c r="G496" s="77" t="inlineStr"/>
      <c r="H496" s="77" t="inlineStr">
        <is>
          <t>Evidence gap</t>
        </is>
      </c>
      <c r="I496" s="77" t="inlineStr">
        <is>
          <t>Second year offers 'Industry focused project to work on a real life challenge' with industrial partners, but group vs individual not stated and not guaranteed.</t>
        </is>
      </c>
      <c r="J496" s="77" t="inlineStr">
        <is>
          <t>https://www.swansea.ac.uk/science-and-engineering/courses/engineering/msc-industry/</t>
        </is>
      </c>
      <c r="K496" s="77" t="inlineStr">
        <is>
          <t>Undated</t>
        </is>
      </c>
    </row>
    <row r="497">
      <c r="A497" s="77" t="inlineStr">
        <is>
          <t>UK14-X09</t>
        </is>
      </c>
      <c r="B497" s="77" t="inlineStr">
        <is>
          <t>UK14</t>
        </is>
      </c>
      <c r="C497" s="77" t="inlineStr">
        <is>
          <t>Swansea</t>
        </is>
      </c>
      <c r="D497" s="77" t="inlineStr">
        <is>
          <t>UK – additional</t>
        </is>
      </c>
      <c r="E497" s="77" t="inlineStr">
        <is>
          <t>Sociology and other HSS placements</t>
        </is>
      </c>
      <c r="F497" s="77" t="inlineStr">
        <is>
          <t>No</t>
        </is>
      </c>
      <c r="G497" s="77" t="inlineStr"/>
      <c r="H497" s="77" t="inlineStr">
        <is>
          <t>Placement/internship</t>
        </is>
      </c>
      <c r="I497" s="77" t="inlineStr">
        <is>
          <t>Individual placements with local authorities, charities etc.; no group project.</t>
        </is>
      </c>
      <c r="J497" s="77" t="inlineStr">
        <is>
          <t>https://www.swansea.ac.uk/undergraduate/courses/human-and-health-sciences/sociology-foundation/</t>
        </is>
      </c>
      <c r="K497" s="77" t="inlineStr">
        <is>
          <t>Search summary only</t>
        </is>
      </c>
    </row>
    <row r="498">
      <c r="A498" s="77" t="inlineStr">
        <is>
          <t>UK15-X01</t>
        </is>
      </c>
      <c r="B498" s="77" t="inlineStr">
        <is>
          <t>UK15</t>
        </is>
      </c>
      <c r="C498" s="77" t="inlineStr">
        <is>
          <t>Essex</t>
        </is>
      </c>
      <c r="D498" s="77" t="inlineStr">
        <is>
          <t>UK – additional</t>
        </is>
      </c>
      <c r="E498" s="77" t="inlineStr">
        <is>
          <t>Big Essex Award</t>
        </is>
      </c>
      <c r="F498" s="77" t="inlineStr">
        <is>
          <t>Yes</t>
        </is>
      </c>
      <c r="G498" s="77" t="n">
        <v>68</v>
      </c>
      <c r="H498" s="77" t="inlineStr">
        <is>
          <t>Employability award</t>
        </is>
      </c>
      <c r="I498" s="77" t="inlineStr">
        <is>
          <t>Co-curricular recognition framework recorded via HEAR; not itself a collaborative employer-linked project. Underlying activities would need testing individually.</t>
        </is>
      </c>
      <c r="J498" s="77" t="inlineStr">
        <is>
          <t>https://www.essex.ac.uk/student/awards-and-achievements/hear</t>
        </is>
      </c>
      <c r="K498" s="77" t="inlineStr">
        <is>
          <t>Legacy row; official page, intake unverified</t>
        </is>
      </c>
    </row>
    <row r="499">
      <c r="A499" s="77" t="inlineStr">
        <is>
          <t>UK15-X02</t>
        </is>
      </c>
      <c r="B499" s="77" t="inlineStr">
        <is>
          <t>UK15</t>
        </is>
      </c>
      <c r="C499" s="77" t="inlineStr">
        <is>
          <t>Essex</t>
        </is>
      </c>
      <c r="D499" s="77" t="inlineStr">
        <is>
          <t>UK – additional</t>
        </is>
      </c>
      <c r="E499" s="77" t="inlineStr">
        <is>
          <t>Essex MBA consultancy project</t>
        </is>
      </c>
      <c r="F499" s="77" t="inlineStr">
        <is>
          <t>No</t>
        </is>
      </c>
      <c r="G499" s="77" t="inlineStr"/>
      <c r="H499" s="77" t="inlineStr">
        <is>
          <t>Near-miss: not group</t>
        </is>
      </c>
      <c r="I499" s="77" t="inlineStr">
        <is>
          <t>Real charity/business clients (e.g. Havens Hospices, 2022) but projects are carried out by a single student; MBA Project may alternatively be business plan or dissertation.</t>
        </is>
      </c>
      <c r="J499" s="77" t="inlineStr">
        <is>
          <t>https://www.essex.ac.uk/blog/posts/2023/02/27/mba-consultancy-project-havens-hospices</t>
        </is>
      </c>
      <c r="K499" s="77" t="inlineStr">
        <is>
          <t>Individual route</t>
        </is>
      </c>
    </row>
    <row r="500">
      <c r="A500" s="77" t="inlineStr">
        <is>
          <t>UK15-X03</t>
        </is>
      </c>
      <c r="B500" s="77" t="inlineStr">
        <is>
          <t>UK15</t>
        </is>
      </c>
      <c r="C500" s="77" t="inlineStr">
        <is>
          <t>Essex</t>
        </is>
      </c>
      <c r="D500" s="77" t="inlineStr">
        <is>
          <t>UK – additional</t>
        </is>
      </c>
      <c r="E500" s="77" t="inlineStr">
        <is>
          <t>Computer Science Team Project Challenge (CE101 / CE201 / CE291)</t>
        </is>
      </c>
      <c r="F500" s="77" t="inlineStr">
        <is>
          <t>No</t>
        </is>
      </c>
      <c r="G500" s="77" t="inlineStr"/>
      <c r="H500" s="77" t="inlineStr">
        <is>
          <t>Near-miss: no external org</t>
        </is>
      </c>
      <c r="I500" s="77" t="inlineStr">
        <is>
          <t>Small-team full-lifecycle project, but each team chooses its own project to given attributes; no external organisation evidenced.</t>
        </is>
      </c>
      <c r="J500" s="77" t="inlineStr">
        <is>
          <t>https://www1.essex.ac.uk/modules/Default.aspx?coursecode=CE101&amp;level=4&amp;period=FY&amp;campus=CO</t>
        </is>
      </c>
      <c r="K500" s="77" t="inlineStr">
        <is>
          <t>2026/27 CE101 entry seen via search extract</t>
        </is>
      </c>
    </row>
    <row r="501">
      <c r="A501" s="77" t="inlineStr">
        <is>
          <t>UK15-X04</t>
        </is>
      </c>
      <c r="B501" s="77" t="inlineStr">
        <is>
          <t>UK15</t>
        </is>
      </c>
      <c r="C501" s="77" t="inlineStr">
        <is>
          <t>Essex</t>
        </is>
      </c>
      <c r="D501" s="77" t="inlineStr">
        <is>
          <t>UK – additional</t>
        </is>
      </c>
      <c r="E501" s="77" t="inlineStr">
        <is>
          <t>Computer Science capstone with external company</t>
        </is>
      </c>
      <c r="F501" s="77" t="inlineStr">
        <is>
          <t>No</t>
        </is>
      </c>
      <c r="G501" s="77" t="inlineStr"/>
      <c r="H501" s="77" t="inlineStr">
        <is>
          <t>Near-miss: not group</t>
        </is>
      </c>
      <c r="I501" s="77" t="inlineStr">
        <is>
          <t>Project may originate from an external company with a company mentor, but it is an individual capstone and company projects are optional alongside staff-set ones.</t>
        </is>
      </c>
      <c r="J501" s="77" t="inlineStr">
        <is>
          <t>https://www.essex.ac.uk/courses/ug00069/1/bsc-computer-science</t>
        </is>
      </c>
      <c r="K501" s="77" t="inlineStr"/>
    </row>
    <row r="502">
      <c r="A502" s="77" t="inlineStr">
        <is>
          <t>UK15-X05</t>
        </is>
      </c>
      <c r="B502" s="77" t="inlineStr">
        <is>
          <t>UK15</t>
        </is>
      </c>
      <c r="C502" s="77" t="inlineStr">
        <is>
          <t>Essex</t>
        </is>
      </c>
      <c r="D502" s="77" t="inlineStr">
        <is>
          <t>UK – additional</t>
        </is>
      </c>
      <c r="E502" s="77" t="inlineStr">
        <is>
          <t>BSc Business and Human Resource Management final-year capstone (consultancy-based option)</t>
        </is>
      </c>
      <c r="F502" s="77" t="inlineStr">
        <is>
          <t>No</t>
        </is>
      </c>
      <c r="G502" s="77" t="inlineStr"/>
      <c r="H502" s="77" t="inlineStr">
        <is>
          <t>Evidence gap</t>
        </is>
      </c>
      <c r="I502" s="77" t="inlineStr">
        <is>
          <t>Students choose a consultancy-based project or independent research study with a personal supervisor; no evidence of group working or external-client standard.</t>
        </is>
      </c>
      <c r="J502" s="77" t="inlineStr">
        <is>
          <t>https://www.essex.ac.uk/courses/UG01545/1/BSc-Business-and-Human-Resource-Management</t>
        </is>
      </c>
      <c r="K502" s="77" t="inlineStr"/>
    </row>
    <row r="503">
      <c r="A503" s="77" t="inlineStr">
        <is>
          <t>UK15-X06</t>
        </is>
      </c>
      <c r="B503" s="77" t="inlineStr">
        <is>
          <t>UK15</t>
        </is>
      </c>
      <c r="C503" s="77" t="inlineStr">
        <is>
          <t>Essex</t>
        </is>
      </c>
      <c r="D503" s="77" t="inlineStr">
        <is>
          <t>UK – additional</t>
        </is>
      </c>
      <c r="E503" s="77" t="inlineStr">
        <is>
          <t>Social Impact Hackathon (Nov 2022)</t>
        </is>
      </c>
      <c r="F503" s="77" t="inlineStr">
        <is>
          <t>No</t>
        </is>
      </c>
      <c r="G503" s="77" t="inlineStr"/>
      <c r="H503" s="77" t="inlineStr">
        <is>
          <t>Event/competition without live client</t>
        </is>
      </c>
      <c r="I503" s="77" t="inlineStr">
        <is>
          <t>Weekend event with local businesses; 2022 only, no current delivery evidenced.</t>
        </is>
      </c>
      <c r="J503" s="77" t="inlineStr">
        <is>
          <t>https://www.essex.ac.uk/events/2022/11/18/social-impact-hackathon</t>
        </is>
      </c>
      <c r="K503" s="77" t="inlineStr">
        <is>
          <t>Historical</t>
        </is>
      </c>
    </row>
    <row r="504">
      <c r="A504" s="77" t="inlineStr">
        <is>
          <t>UK15-X07</t>
        </is>
      </c>
      <c r="B504" s="77" t="inlineStr">
        <is>
          <t>UK15</t>
        </is>
      </c>
      <c r="C504" s="77" t="inlineStr">
        <is>
          <t>Essex</t>
        </is>
      </c>
      <c r="D504" s="77" t="inlineStr">
        <is>
          <t>UK – additional</t>
        </is>
      </c>
      <c r="E504" s="77" t="inlineStr">
        <is>
          <t>Knowledge Transfer Partnerships</t>
        </is>
      </c>
      <c r="F504" s="77" t="inlineStr">
        <is>
          <t>No</t>
        </is>
      </c>
      <c r="G504" s="77" t="inlineStr"/>
      <c r="H504" s="77" t="inlineStr">
        <is>
          <t>Other</t>
        </is>
      </c>
      <c r="I504" s="77" t="inlineStr">
        <is>
          <t>Funded academic-business projects, not student group projects.</t>
        </is>
      </c>
      <c r="J504" s="77" t="inlineStr">
        <is>
          <t>https://www.essex.ac.uk/business/services/knowledge-transfer-partnerships</t>
        </is>
      </c>
      <c r="K504" s="77" t="inlineStr"/>
    </row>
    <row r="505">
      <c r="A505" s="77" t="inlineStr">
        <is>
          <t>UK15-X08</t>
        </is>
      </c>
      <c r="B505" s="77" t="inlineStr">
        <is>
          <t>UK15</t>
        </is>
      </c>
      <c r="C505" s="77" t="inlineStr">
        <is>
          <t>Essex</t>
        </is>
      </c>
      <c r="D505" s="77" t="inlineStr">
        <is>
          <t>UK – additional</t>
        </is>
      </c>
      <c r="E505" s="77" t="inlineStr">
        <is>
          <t>BEng Robotic Engineering capstone (CE301) and Team Project Challenge</t>
        </is>
      </c>
      <c r="F505" s="77" t="inlineStr">
        <is>
          <t>No</t>
        </is>
      </c>
      <c r="G505" s="77" t="inlineStr"/>
      <c r="H505" s="77" t="inlineStr">
        <is>
          <t>Near-miss: not group</t>
        </is>
      </c>
      <c r="I505" s="77" t="inlineStr">
        <is>
          <t>Capstone is individual with optional company mentor; Team Project Challenge has no external client evidenced.</t>
        </is>
      </c>
      <c r="J505" s="77" t="inlineStr">
        <is>
          <t>https://www.essex.ac.uk/courses/UG01061/1/BEng-Robotic-Engineering</t>
        </is>
      </c>
      <c r="K505" s="77" t="inlineStr"/>
    </row>
    <row r="506">
      <c r="A506" s="77" t="inlineStr">
        <is>
          <t>UK15-X09</t>
        </is>
      </c>
      <c r="B506" s="77" t="inlineStr">
        <is>
          <t>UK15</t>
        </is>
      </c>
      <c r="C506" s="77" t="inlineStr">
        <is>
          <t>Essex</t>
        </is>
      </c>
      <c r="D506" s="77" t="inlineStr">
        <is>
          <t>UK – additional</t>
        </is>
      </c>
      <c r="E506" s="77" t="inlineStr">
        <is>
          <t>Essex Law Clinic casework projects</t>
        </is>
      </c>
      <c r="F506" s="77" t="inlineStr">
        <is>
          <t>No</t>
        </is>
      </c>
      <c r="G506" s="77" t="inlineStr"/>
      <c r="H506" s="77" t="inlineStr">
        <is>
          <t>Volunteering/service-learning</t>
        </is>
      </c>
      <c r="I506" s="77" t="inlineStr">
        <is>
          <t>Pro bono casework/outreach for clients; group and project structure not evidenced as a bounded team project.</t>
        </is>
      </c>
      <c r="J506" s="77" t="inlineStr">
        <is>
          <t>https://www.essex.ac.uk/departments/law/essex-law-clinic/volunteer-as-a-student</t>
        </is>
      </c>
      <c r="K506" s="77" t="inlineStr"/>
    </row>
    <row r="507">
      <c r="A507" s="77" t="inlineStr">
        <is>
          <t>UK16-X01</t>
        </is>
      </c>
      <c r="B507" s="77" t="inlineStr">
        <is>
          <t>UK16</t>
        </is>
      </c>
      <c r="C507" s="77" t="inlineStr">
        <is>
          <t>Kent</t>
        </is>
      </c>
      <c r="D507" s="77" t="inlineStr">
        <is>
          <t>UK – additional</t>
        </is>
      </c>
      <c r="E507" s="77" t="inlineStr">
        <is>
          <t>Employability Points</t>
        </is>
      </c>
      <c r="F507" s="77" t="inlineStr">
        <is>
          <t>Yes</t>
        </is>
      </c>
      <c r="G507" s="77" t="n">
        <v>69</v>
      </c>
      <c r="H507" s="77" t="inlineStr">
        <is>
          <t>Employability award</t>
        </is>
      </c>
      <c r="I507" s="77" t="inlineStr">
        <is>
          <t>Points scheme redeemed for employer rewards (e.g. virtual internships after 200 points); no group project. Page text: 'These points can then be cashed in for exclusive rewards offered by employers.'</t>
        </is>
      </c>
      <c r="J507" s="77" t="inlineStr">
        <is>
          <t>https://student.kent.ac.uk/careers/employability-points/ep-points-how-it-works</t>
        </is>
      </c>
      <c r="K507" s="77" t="inlineStr">
        <is>
          <t>Undated page</t>
        </is>
      </c>
    </row>
    <row r="508">
      <c r="A508" s="77" t="inlineStr">
        <is>
          <t>UK16-X02</t>
        </is>
      </c>
      <c r="B508" s="77" t="inlineStr">
        <is>
          <t>UK16</t>
        </is>
      </c>
      <c r="C508" s="77" t="inlineStr">
        <is>
          <t>Kent</t>
        </is>
      </c>
      <c r="D508" s="77" t="inlineStr">
        <is>
          <t>UK – additional</t>
        </is>
      </c>
      <c r="E508" s="77" t="inlineStr">
        <is>
          <t>Kent IT Consultancy modules (COMP8430, COMP6500, COMP6450)</t>
        </is>
      </c>
      <c r="F508" s="77" t="inlineStr">
        <is>
          <t>No</t>
        </is>
      </c>
      <c r="G508" s="77" t="inlineStr"/>
      <c r="H508" s="77" t="inlineStr">
        <is>
          <t>Near-miss: not group</t>
        </is>
      </c>
      <c r="I508" s="77" t="inlineStr">
        <is>
          <t>External client work via KITC with teamwork, but 'each student is assessed on an individual basis'; COMP8430 'not currently running in 2026 to 2027'; COMP6500/6450 reported not running 2024/25.</t>
        </is>
      </c>
      <c r="J508" s="77" t="inlineStr">
        <is>
          <t>https://www.kent.ac.uk/courses/modules/module/COMP8430</t>
        </is>
      </c>
      <c r="K508" s="77" t="inlineStr">
        <is>
          <t>Not running</t>
        </is>
      </c>
    </row>
    <row r="509">
      <c r="A509" s="77" t="inlineStr">
        <is>
          <t>UK16-X03</t>
        </is>
      </c>
      <c r="B509" s="77" t="inlineStr">
        <is>
          <t>UK16</t>
        </is>
      </c>
      <c r="C509" s="77" t="inlineStr">
        <is>
          <t>Kent</t>
        </is>
      </c>
      <c r="D509" s="77" t="inlineStr">
        <is>
          <t>UK – additional</t>
        </is>
      </c>
      <c r="E509" s="77" t="inlineStr">
        <is>
          <t>Physics Group Project (PHYS6030)</t>
        </is>
      </c>
      <c r="F509" s="77" t="inlineStr">
        <is>
          <t>No</t>
        </is>
      </c>
      <c r="G509" s="77" t="inlineStr"/>
      <c r="H509" s="77" t="inlineStr">
        <is>
          <t>Evidence gap</t>
        </is>
      </c>
      <c r="I509" s="77" t="inlineStr">
        <is>
          <t>Group research problems; 'project themes vary from industry linked projects to academic research and education/outreach' so external client only for some; page states not running 2024/25; compulsory status not stated.</t>
        </is>
      </c>
      <c r="J509" s="77" t="inlineStr">
        <is>
          <t>https://www.kent.ac.uk/courses/modules/module/PH603</t>
        </is>
      </c>
      <c r="K509" s="77" t="inlineStr">
        <is>
          <t>Current status unclear</t>
        </is>
      </c>
    </row>
    <row r="510">
      <c r="A510" s="77" t="inlineStr">
        <is>
          <t>UK16-X04</t>
        </is>
      </c>
      <c r="B510" s="77" t="inlineStr">
        <is>
          <t>UK16</t>
        </is>
      </c>
      <c r="C510" s="77" t="inlineStr">
        <is>
          <t>Kent</t>
        </is>
      </c>
      <c r="D510" s="77" t="inlineStr">
        <is>
          <t>UK – additional</t>
        </is>
      </c>
      <c r="E510" s="77" t="inlineStr">
        <is>
          <t>Engineering Group Project (EENG5620)</t>
        </is>
      </c>
      <c r="F510" s="77" t="inlineStr">
        <is>
          <t>No</t>
        </is>
      </c>
      <c r="G510" s="77" t="inlineStr"/>
      <c r="H510" s="77" t="inlineStr">
        <is>
          <t>Near-miss: no external org</t>
        </is>
      </c>
      <c r="I510" s="77" t="inlineStr">
        <is>
          <t>Practical group project (groups of typically five) but no external client mentioned on module page; 2024/25 listing. Older 2019 MEng pages mention industrial advisers (not fetched).</t>
        </is>
      </c>
      <c r="J510" s="77" t="inlineStr">
        <is>
          <t>https://www.kent.ac.uk/courses/modules/module/EL562</t>
        </is>
      </c>
      <c r="K510" s="77" t="inlineStr">
        <is>
          <t>2024/25</t>
        </is>
      </c>
    </row>
    <row r="511">
      <c r="A511" s="77" t="inlineStr">
        <is>
          <t>UK16-X05</t>
        </is>
      </c>
      <c r="B511" s="77" t="inlineStr">
        <is>
          <t>UK16</t>
        </is>
      </c>
      <c r="C511" s="77" t="inlineStr">
        <is>
          <t>Kent</t>
        </is>
      </c>
      <c r="D511" s="77" t="inlineStr">
        <is>
          <t>UK – additional</t>
        </is>
      </c>
      <c r="E511" s="77" t="inlineStr">
        <is>
          <t>Consultancy and Evaluation Skills in Practice (BUSN9125) and Consultancy Project (BUSX5104)</t>
        </is>
      </c>
      <c r="F511" s="77" t="inlineStr">
        <is>
          <t>No</t>
        </is>
      </c>
      <c r="G511" s="77" t="inlineStr"/>
      <c r="H511" s="77" t="inlineStr">
        <is>
          <t>Near-miss: not group</t>
        </is>
      </c>
      <c r="I511" s="77" t="inlineStr">
        <is>
          <t>BUSN9125 real client project but both assessments individual and page year 2024/25; BUSX5104 students choose own organisation, individual report.</t>
        </is>
      </c>
      <c r="J511" s="77" t="inlineStr">
        <is>
          <t>https://www.kent.ac.uk/courses/modules/module/BUSN9125</t>
        </is>
      </c>
      <c r="K511" s="77" t="inlineStr"/>
    </row>
    <row r="512">
      <c r="A512" s="77" t="inlineStr">
        <is>
          <t>UK16-X06</t>
        </is>
      </c>
      <c r="B512" s="77" t="inlineStr">
        <is>
          <t>UK16</t>
        </is>
      </c>
      <c r="C512" s="77" t="inlineStr">
        <is>
          <t>Kent</t>
        </is>
      </c>
      <c r="D512" s="77" t="inlineStr">
        <is>
          <t>UK – additional</t>
        </is>
      </c>
      <c r="E512" s="77" t="inlineStr">
        <is>
          <t>SOCI6015 Final Year Project (research for organisations option) / SOCI5470 Social Research Placement</t>
        </is>
      </c>
      <c r="F512" s="77" t="inlineStr">
        <is>
          <t>No</t>
        </is>
      </c>
      <c r="G512" s="77" t="inlineStr"/>
      <c r="H512" s="77" t="inlineStr">
        <is>
          <t>Near-miss: not group</t>
        </is>
      </c>
      <c r="I512" s="77" t="inlineStr">
        <is>
          <t>Opportunity to undertake research for organisations within an independent project; group basis not stated; SOCI5470 reported not running 2024/25.</t>
        </is>
      </c>
      <c r="J512" s="77" t="inlineStr">
        <is>
          <t>https://www.kent.ac.uk/courses/modules/module/SOCI6015</t>
        </is>
      </c>
      <c r="K512" s="77" t="inlineStr"/>
    </row>
    <row r="513">
      <c r="A513" s="77" t="inlineStr">
        <is>
          <t>UK16-X07</t>
        </is>
      </c>
      <c r="B513" s="77" t="inlineStr">
        <is>
          <t>UK16</t>
        </is>
      </c>
      <c r="C513" s="77" t="inlineStr">
        <is>
          <t>Kent</t>
        </is>
      </c>
      <c r="D513" s="77" t="inlineStr">
        <is>
          <t>UK – additional</t>
        </is>
      </c>
      <c r="E513" s="77" t="inlineStr">
        <is>
          <t>Kent Law Clinic / Clinical Option (LAWS5430)</t>
        </is>
      </c>
      <c r="F513" s="77" t="inlineStr">
        <is>
          <t>No</t>
        </is>
      </c>
      <c r="G513" s="77" t="inlineStr"/>
      <c r="H513" s="77" t="inlineStr">
        <is>
          <t>Placement/internship</t>
        </is>
      </c>
      <c r="I513" s="77" t="inlineStr">
        <is>
          <t>Live client casework under supervision, not a team project with a defined output.</t>
        </is>
      </c>
      <c r="J513" s="77" t="inlineStr">
        <is>
          <t>https://www.kent.ac.uk/kent-law-school/kent-law-clinic</t>
        </is>
      </c>
      <c r="K513" s="77" t="inlineStr"/>
    </row>
    <row r="514">
      <c r="A514" s="77" t="inlineStr">
        <is>
          <t>UK16-X08</t>
        </is>
      </c>
      <c r="B514" s="77" t="inlineStr">
        <is>
          <t>UK16</t>
        </is>
      </c>
      <c r="C514" s="77" t="inlineStr">
        <is>
          <t>Kent</t>
        </is>
      </c>
      <c r="D514" s="77" t="inlineStr">
        <is>
          <t>UK – additional</t>
        </is>
      </c>
      <c r="E514" s="77" t="inlineStr">
        <is>
          <t>Social Research Methods SOCI6020 group research project</t>
        </is>
      </c>
      <c r="F514" s="77" t="inlineStr">
        <is>
          <t>No</t>
        </is>
      </c>
      <c r="G514" s="77" t="inlineStr"/>
      <c r="H514" s="77" t="inlineStr">
        <is>
          <t>Near-miss: no external org</t>
        </is>
      </c>
      <c r="I514" s="77" t="inlineStr">
        <is>
          <t>Group research project in spring term; no external organisation evidenced.</t>
        </is>
      </c>
      <c r="J514" s="77" t="inlineStr">
        <is>
          <t>https://www.kent.ac.uk/courses/modules/module/SO602</t>
        </is>
      </c>
      <c r="K514" s="77" t="inlineStr"/>
    </row>
    <row r="515">
      <c r="A515" s="77" t="inlineStr">
        <is>
          <t>UK16-X09</t>
        </is>
      </c>
      <c r="B515" s="77" t="inlineStr">
        <is>
          <t>UK16</t>
        </is>
      </c>
      <c r="C515" s="77" t="inlineStr">
        <is>
          <t>Kent</t>
        </is>
      </c>
      <c r="D515" s="77" t="inlineStr">
        <is>
          <t>UK – additional</t>
        </is>
      </c>
      <c r="E515" s="77" t="inlineStr">
        <is>
          <t>MSc International Business and Management live consultancy option / MBA Challenge</t>
        </is>
      </c>
      <c r="F515" s="77" t="inlineStr">
        <is>
          <t>No</t>
        </is>
      </c>
      <c r="G515" s="77" t="inlineStr"/>
      <c r="H515" s="77" t="inlineStr">
        <is>
          <t>Evidence gap</t>
        </is>
      </c>
      <c r="I515" s="77" t="inlineStr">
        <is>
          <t>Programme page says options include live consultancy; group basis and partner role not evidenced; 2023 MBA challenge historical.</t>
        </is>
      </c>
      <c r="J515" s="77" t="inlineStr">
        <is>
          <t>https://www.kent.ac.uk/courses/postgraduate/299/international-business-management</t>
        </is>
      </c>
      <c r="K515" s="77" t="inlineStr">
        <is>
          <t>Not researched further</t>
        </is>
      </c>
    </row>
    <row r="516">
      <c r="A516" s="77" t="inlineStr">
        <is>
          <t>UK17-X01</t>
        </is>
      </c>
      <c r="B516" s="77" t="inlineStr">
        <is>
          <t>UK17</t>
        </is>
      </c>
      <c r="C516" s="77" t="inlineStr">
        <is>
          <t>Brunel</t>
        </is>
      </c>
      <c r="D516" s="77" t="inlineStr">
        <is>
          <t>UK – additional</t>
        </is>
      </c>
      <c r="E516" s="77" t="inlineStr">
        <is>
          <t>Professional work placements</t>
        </is>
      </c>
      <c r="F516" s="77" t="inlineStr">
        <is>
          <t>Yes</t>
        </is>
      </c>
      <c r="G516" s="77" t="n">
        <v>70</v>
      </c>
      <c r="H516" s="77" t="inlineStr">
        <is>
          <t>Placement/internship</t>
        </is>
      </c>
      <c r="I516" s="77" t="inlineStr">
        <is>
          <t>Individual placements; no project/group component evidenced; programme-dependent.</t>
        </is>
      </c>
      <c r="J516" s="77" t="inlineStr">
        <is>
          <t>https://www.brunel.ac.uk/student-professional-development/work-placements</t>
        </is>
      </c>
      <c r="K516" s="77" t="inlineStr">
        <is>
          <t>Legacy row 70; undated page</t>
        </is>
      </c>
    </row>
    <row r="517">
      <c r="A517" s="77" t="inlineStr">
        <is>
          <t>UK17-X02</t>
        </is>
      </c>
      <c r="B517" s="77" t="inlineStr">
        <is>
          <t>UK17</t>
        </is>
      </c>
      <c r="C517" s="77" t="inlineStr">
        <is>
          <t>Brunel</t>
        </is>
      </c>
      <c r="D517" s="77" t="inlineStr">
        <is>
          <t>UK – additional</t>
        </is>
      </c>
      <c r="E517" s="77" t="inlineStr">
        <is>
          <t>Brunel Business School Executive Education / corporate partnerships</t>
        </is>
      </c>
      <c r="F517" s="77" t="inlineStr">
        <is>
          <t>No</t>
        </is>
      </c>
      <c r="G517" s="77" t="inlineStr"/>
      <c r="H517" s="77" t="inlineStr">
        <is>
          <t>Other</t>
        </is>
      </c>
      <c r="I517" s="77" t="inlineStr">
        <is>
          <t>Institutional partnerships (guest lectures, curriculum input, placements), not student project routes.</t>
        </is>
      </c>
      <c r="J517" s="77" t="inlineStr">
        <is>
          <t>https://www.brunel.ac.uk/about/business-school/executive-education/Existing-clients</t>
        </is>
      </c>
      <c r="K517" s="77" t="inlineStr"/>
    </row>
    <row r="518">
      <c r="A518" s="77" t="inlineStr">
        <is>
          <t>UK17-X03</t>
        </is>
      </c>
      <c r="B518" s="77" t="inlineStr">
        <is>
          <t>UK17</t>
        </is>
      </c>
      <c r="C518" s="77" t="inlineStr">
        <is>
          <t>Brunel</t>
        </is>
      </c>
      <c r="D518" s="77" t="inlineStr">
        <is>
          <t>UK – additional</t>
        </is>
      </c>
      <c r="E518" s="77" t="inlineStr">
        <is>
          <t>Brunel Consultancy (academic consultancy services)</t>
        </is>
      </c>
      <c r="F518" s="77" t="inlineStr">
        <is>
          <t>No</t>
        </is>
      </c>
      <c r="G518" s="77" t="inlineStr"/>
      <c r="H518" s="77" t="inlineStr">
        <is>
          <t>Other</t>
        </is>
      </c>
      <c r="I518" s="77" t="inlineStr">
        <is>
          <t>Staff-delivered consultancy for external companies, not student projects.</t>
        </is>
      </c>
      <c r="J518" s="77" t="inlineStr">
        <is>
          <t>https://www.brunel.ac.uk/business/consultancy</t>
        </is>
      </c>
      <c r="K518" s="77" t="inlineStr"/>
    </row>
    <row r="519">
      <c r="A519" s="77" t="inlineStr">
        <is>
          <t>UK17-X04</t>
        </is>
      </c>
      <c r="B519" s="77" t="inlineStr">
        <is>
          <t>UK17</t>
        </is>
      </c>
      <c r="C519" s="77" t="inlineStr">
        <is>
          <t>Brunel</t>
        </is>
      </c>
      <c r="D519" s="77" t="inlineStr">
        <is>
          <t>UK – additional</t>
        </is>
      </c>
      <c r="E519" s="77" t="inlineStr">
        <is>
          <t>Contemporary Challenges (SC1603), Anthropology and Sociology BSc</t>
        </is>
      </c>
      <c r="F519" s="77" t="inlineStr">
        <is>
          <t>No</t>
        </is>
      </c>
      <c r="G519" s="77" t="inlineStr"/>
      <c r="H519" s="77" t="inlineStr">
        <is>
          <t>Evidence gap</t>
        </is>
      </c>
      <c r="I519" s="77" t="inlineStr">
        <is>
          <t>Compulsory 10-week small-group applied research, but search summary does not say any external organisation sets the brief.</t>
        </is>
      </c>
      <c r="J519" s="77" t="inlineStr">
        <is>
          <t>https://www.brunel.ac.uk/study/undergraduate/anthropology-and-sociology-bsc</t>
        </is>
      </c>
      <c r="K519" s="77" t="inlineStr">
        <is>
          <t>search summary only</t>
        </is>
      </c>
    </row>
    <row r="520">
      <c r="A520" s="77" t="inlineStr">
        <is>
          <t>UK17-X05</t>
        </is>
      </c>
      <c r="B520" s="77" t="inlineStr">
        <is>
          <t>UK17</t>
        </is>
      </c>
      <c r="C520" s="77" t="inlineStr">
        <is>
          <t>Brunel</t>
        </is>
      </c>
      <c r="D520" s="77" t="inlineStr">
        <is>
          <t>UK – additional</t>
        </is>
      </c>
      <c r="E520" s="77" t="inlineStr">
        <is>
          <t>Made in Brunel Software Innovation / Brunel Engineers+ showcases</t>
        </is>
      </c>
      <c r="F520" s="77" t="inlineStr">
        <is>
          <t>No</t>
        </is>
      </c>
      <c r="G520" s="77" t="inlineStr"/>
      <c r="H520" s="77" t="inlineStr">
        <is>
          <t>Event/competition without live client</t>
        </is>
      </c>
      <c r="I520" s="77" t="inlineStr">
        <is>
          <t>Industry visitors view and judge final-year work; no external brief or team project evidenced.</t>
        </is>
      </c>
      <c r="J520" s="77" t="inlineStr">
        <is>
          <t>https://www.brunel.ac.uk/computer-science/why-study-computer-science-at-brunel/skills-development/made-in-brunel-software-innovation</t>
        </is>
      </c>
      <c r="K520" s="77" t="inlineStr">
        <is>
          <t>events listed to 2023</t>
        </is>
      </c>
    </row>
    <row r="521">
      <c r="A521" s="77" t="inlineStr">
        <is>
          <t>UK17-X06</t>
        </is>
      </c>
      <c r="B521" s="77" t="inlineStr">
        <is>
          <t>UK17</t>
        </is>
      </c>
      <c r="C521" s="77" t="inlineStr">
        <is>
          <t>Brunel</t>
        </is>
      </c>
      <c r="D521" s="77" t="inlineStr">
        <is>
          <t>UK – additional</t>
        </is>
      </c>
      <c r="E521" s="77" t="inlineStr">
        <is>
          <t>EEE MEng major group project / engineering design group projects</t>
        </is>
      </c>
      <c r="F521" s="77" t="inlineStr">
        <is>
          <t>No</t>
        </is>
      </c>
      <c r="G521" s="77" t="inlineStr"/>
      <c r="H521" s="77" t="inlineStr">
        <is>
          <t>Near-miss: no external org</t>
        </is>
      </c>
      <c r="I521" s="77" t="inlineStr">
        <is>
          <t>Group projects exist but no external client evidenced; industry-based final-year projects are individual.</t>
        </is>
      </c>
      <c r="J521" s="77" t="inlineStr">
        <is>
          <t>https://www.brunel.ac.uk/study/courses/electronic-and-electrical-engineering-meng</t>
        </is>
      </c>
      <c r="K521" s="77" t="inlineStr">
        <is>
          <t>further departmental instances likely</t>
        </is>
      </c>
    </row>
    <row r="522">
      <c r="A522" s="77" t="inlineStr">
        <is>
          <t>UK17-X07</t>
        </is>
      </c>
      <c r="B522" s="77" t="inlineStr">
        <is>
          <t>UK17</t>
        </is>
      </c>
      <c r="C522" s="77" t="inlineStr">
        <is>
          <t>Brunel</t>
        </is>
      </c>
      <c r="D522" s="77" t="inlineStr">
        <is>
          <t>UK – additional</t>
        </is>
      </c>
      <c r="E522" s="77" t="inlineStr">
        <is>
          <t>Life Sciences / Mathematics final-year projects</t>
        </is>
      </c>
      <c r="F522" s="77" t="inlineStr">
        <is>
          <t>No</t>
        </is>
      </c>
      <c r="G522" s="77" t="inlineStr"/>
      <c r="H522" s="77" t="inlineStr">
        <is>
          <t>Dissertation/research</t>
        </is>
      </c>
      <c r="I522" s="77" t="inlineStr">
        <is>
          <t>Independent staff-supervised projects; no group or client.</t>
        </is>
      </c>
      <c r="J522" s="77" t="inlineStr">
        <is>
          <t>https://www.brunel.ac.uk/study/courses/life-sciences-bsc</t>
        </is>
      </c>
      <c r="K522" s="77" t="inlineStr"/>
    </row>
    <row r="523">
      <c r="A523" s="77" t="inlineStr">
        <is>
          <t>UK18-X01</t>
        </is>
      </c>
      <c r="B523" s="77" t="inlineStr">
        <is>
          <t>UK18</t>
        </is>
      </c>
      <c r="C523" s="77" t="inlineStr">
        <is>
          <t>Aston</t>
        </is>
      </c>
      <c r="D523" s="77" t="inlineStr">
        <is>
          <t>UK – additional</t>
        </is>
      </c>
      <c r="E523" s="77" t="inlineStr">
        <is>
          <t>Industry Clubs (Computer Science; Mechanical Engineering and Design; Chemical Engineering and Applied Chemistry)</t>
        </is>
      </c>
      <c r="F523" s="77" t="inlineStr">
        <is>
          <t>No</t>
        </is>
      </c>
      <c r="G523" s="77" t="inlineStr"/>
      <c r="H523" s="77" t="inlineStr">
        <is>
          <t>Evidence gap</t>
        </is>
      </c>
      <c r="I523" s="77" t="inlineStr">
        <is>
          <t>Strategic company-membership scheme (launched 2016); page does not describe team projects, credit or eligibility. Mechanical Engineering course pages mention live industrial projects but no module evidence found.</t>
        </is>
      </c>
      <c r="J523" s="77" t="inlineStr">
        <is>
          <t>https://www.aston.ac.uk/eps/business/industry-clubs</t>
        </is>
      </c>
      <c r="K523" s="77" t="inlineStr">
        <is>
          <t>undated</t>
        </is>
      </c>
    </row>
    <row r="524">
      <c r="A524" s="77" t="inlineStr">
        <is>
          <t>UK18-X02</t>
        </is>
      </c>
      <c r="B524" s="77" t="inlineStr">
        <is>
          <t>UK18</t>
        </is>
      </c>
      <c r="C524" s="77" t="inlineStr">
        <is>
          <t>Aston</t>
        </is>
      </c>
      <c r="D524" s="77" t="inlineStr">
        <is>
          <t>UK – additional</t>
        </is>
      </c>
      <c r="E524" s="77" t="inlineStr">
        <is>
          <t>Aston Business School postgraduate Business Projects (partnered modules)</t>
        </is>
      </c>
      <c r="F524" s="77" t="inlineStr">
        <is>
          <t>No</t>
        </is>
      </c>
      <c r="G524" s="77" t="inlineStr"/>
      <c r="H524" s="77" t="inlineStr">
        <is>
          <t>Evidence gap</t>
        </is>
      </c>
      <c r="I524" s="77" t="inlineStr">
        <is>
          <t>Local organisation presents a real issue in a module and returns to hear solutions; no named modules, group basis or output evidenced.</t>
        </is>
      </c>
      <c r="J524" s="77" t="inlineStr">
        <is>
          <t>https://www.aston.ac.uk/bss/aston-business-school/student-experience/do-business</t>
        </is>
      </c>
      <c r="K524" s="77" t="inlineStr">
        <is>
          <t>undated</t>
        </is>
      </c>
    </row>
    <row r="525">
      <c r="A525" s="77" t="inlineStr">
        <is>
          <t>UK18-X03</t>
        </is>
      </c>
      <c r="B525" s="77" t="inlineStr">
        <is>
          <t>UK18</t>
        </is>
      </c>
      <c r="C525" s="77" t="inlineStr">
        <is>
          <t>Aston</t>
        </is>
      </c>
      <c r="D525" s="77" t="inlineStr">
        <is>
          <t>UK – additional</t>
        </is>
      </c>
      <c r="E525" s="77" t="inlineStr">
        <is>
          <t>Full-time MBA Aston Startup Lab / consultancy for real life clients</t>
        </is>
      </c>
      <c r="F525" s="77" t="inlineStr">
        <is>
          <t>No</t>
        </is>
      </c>
      <c r="G525" s="77" t="inlineStr"/>
      <c r="H525" s="77" t="inlineStr">
        <is>
          <t>Evidence gap</t>
        </is>
      </c>
      <c r="I525" s="77" t="inlineStr">
        <is>
          <t>Course page says all students undertake consultancy for real clients and Startup Lab is 15 credits with teamwork, but the Consultancy Research Project is individual and client/team detail for the real-client element is not specified.</t>
        </is>
      </c>
      <c r="J525" s="77" t="inlineStr">
        <is>
          <t>https://www.aston.ac.uk/study/courses/mba-full-time-mba</t>
        </is>
      </c>
      <c r="K525" s="77" t="inlineStr">
        <is>
          <t>intakes Jan and Sep 2027</t>
        </is>
      </c>
    </row>
    <row r="526">
      <c r="A526" s="77" t="inlineStr">
        <is>
          <t>UK18-X04</t>
        </is>
      </c>
      <c r="B526" s="77" t="inlineStr">
        <is>
          <t>UK18</t>
        </is>
      </c>
      <c r="C526" s="77" t="inlineStr">
        <is>
          <t>Aston</t>
        </is>
      </c>
      <c r="D526" s="77" t="inlineStr">
        <is>
          <t>UK – additional</t>
        </is>
      </c>
      <c r="E526" s="77" t="inlineStr">
        <is>
          <t>Product Design and Innovation BSc (Design Factory, Design Live Challenges, team design projects)</t>
        </is>
      </c>
      <c r="F526" s="77" t="inlineStr">
        <is>
          <t>No</t>
        </is>
      </c>
      <c r="G526" s="77" t="inlineStr"/>
      <c r="H526" s="77" t="inlineStr">
        <is>
          <t>Evidence gap</t>
        </is>
      </c>
      <c r="I526" s="77" t="inlineStr">
        <is>
          <t>Projects 'set by real companies, tutors and yourself'; core team modules (Interdisciplinary Design Project, CDIO Team Project) not shown to use external clients; Design Factory/Live Challenges are optional extracurricular and it is a commercial enterprise of the university (internal).</t>
        </is>
      </c>
      <c r="J526" s="77" t="inlineStr">
        <is>
          <t>https://www.aston.ac.uk/study/courses/product-design-and-innovation-bsc</t>
        </is>
      </c>
      <c r="K526" s="77" t="inlineStr">
        <is>
          <t>undated</t>
        </is>
      </c>
    </row>
    <row r="527">
      <c r="A527" s="77" t="inlineStr">
        <is>
          <t>UK18-X05</t>
        </is>
      </c>
      <c r="B527" s="77" t="inlineStr">
        <is>
          <t>UK18</t>
        </is>
      </c>
      <c r="C527" s="77" t="inlineStr">
        <is>
          <t>Aston</t>
        </is>
      </c>
      <c r="D527" s="77" t="inlineStr">
        <is>
          <t>UK – additional</t>
        </is>
      </c>
      <c r="E527" s="77" t="inlineStr">
        <is>
          <t>Aston Business School Prince's Trust partnership</t>
        </is>
      </c>
      <c r="F527" s="77" t="inlineStr">
        <is>
          <t>No</t>
        </is>
      </c>
      <c r="G527" s="77" t="inlineStr"/>
      <c r="H527" s="77" t="inlineStr">
        <is>
          <t>Volunteering/service-learning</t>
        </is>
      </c>
      <c r="I527" s="77" t="inlineStr">
        <is>
          <t>Fundraising, e-mentoring and training activities rather than a client project; degrees not specified.</t>
        </is>
      </c>
      <c r="J527" s="77" t="inlineStr">
        <is>
          <t>https://www.aston.ac.uk/bss/aston-business-school/student-experience/do-business</t>
        </is>
      </c>
      <c r="K527" s="77" t="inlineStr">
        <is>
          <t>undated</t>
        </is>
      </c>
    </row>
    <row r="528">
      <c r="A528" s="77" t="inlineStr">
        <is>
          <t>UK18-X06</t>
        </is>
      </c>
      <c r="B528" s="77" t="inlineStr">
        <is>
          <t>UK18</t>
        </is>
      </c>
      <c r="C528" s="77" t="inlineStr">
        <is>
          <t>Aston</t>
        </is>
      </c>
      <c r="D528" s="77" t="inlineStr">
        <is>
          <t>UK – additional</t>
        </is>
      </c>
      <c r="E528" s="77" t="inlineStr">
        <is>
          <t>Aston Centre for Europe policy paper module</t>
        </is>
      </c>
      <c r="F528" s="77" t="inlineStr">
        <is>
          <t>No</t>
        </is>
      </c>
      <c r="G528" s="77" t="inlineStr"/>
      <c r="H528" s="77" t="inlineStr">
        <is>
          <t>Evidence gap</t>
        </is>
      </c>
      <c r="I528" s="77" t="inlineStr">
        <is>
          <t>Optional co-authored policy paper for a think tank mentioned only in a search summary; module not identified.</t>
        </is>
      </c>
      <c r="J528" s="77" t="inlineStr">
        <is>
          <t>https://www.aston.ac.uk/research/bss/research-centres/ace</t>
        </is>
      </c>
      <c r="K528" s="77" t="inlineStr">
        <is>
          <t>not opened</t>
        </is>
      </c>
    </row>
    <row r="529">
      <c r="A529" s="77" t="inlineStr">
        <is>
          <t>UK19-X01</t>
        </is>
      </c>
      <c r="B529" s="77" t="inlineStr">
        <is>
          <t>UK19</t>
        </is>
      </c>
      <c r="C529" s="77" t="inlineStr">
        <is>
          <t>Stirling</t>
        </is>
      </c>
      <c r="D529" s="77" t="inlineStr">
        <is>
          <t>UK – additional</t>
        </is>
      </c>
      <c r="E529" s="77" t="inlineStr">
        <is>
          <t>My Stirling Award</t>
        </is>
      </c>
      <c r="F529" s="77" t="inlineStr">
        <is>
          <t>Yes</t>
        </is>
      </c>
      <c r="G529" s="77" t="n">
        <v>72</v>
      </c>
      <c r="H529" s="77" t="inlineStr">
        <is>
          <t>Employability award</t>
        </is>
      </c>
      <c r="I529" s="77" t="inlineStr">
        <is>
          <t>Hours-based co-curricular recognition scheme (employment, volunteering, projects); not itself a group employer-linked project (fails A/B/C).</t>
        </is>
      </c>
      <c r="J529" s="77" t="inlineStr">
        <is>
          <t>https://www.stir.ac.uk/student-life/careers/get-career-experience/my-stirling-award/</t>
        </is>
      </c>
      <c r="K529" s="77" t="inlineStr">
        <is>
          <t>Legacy row; not re-fetched</t>
        </is>
      </c>
    </row>
    <row r="530">
      <c r="A530" s="77" t="inlineStr">
        <is>
          <t>UK19-X02</t>
        </is>
      </c>
      <c r="B530" s="77" t="inlineStr">
        <is>
          <t>UK19</t>
        </is>
      </c>
      <c r="C530" s="77" t="inlineStr">
        <is>
          <t>Stirling</t>
        </is>
      </c>
      <c r="D530" s="77" t="inlineStr">
        <is>
          <t>UK – additional</t>
        </is>
      </c>
      <c r="E530" s="77" t="inlineStr">
        <is>
          <t>Computing Science placements (6-12 weeks)</t>
        </is>
      </c>
      <c r="F530" s="77" t="inlineStr">
        <is>
          <t>No</t>
        </is>
      </c>
      <c r="G530" s="77" t="inlineStr"/>
      <c r="H530" s="77" t="inlineStr">
        <is>
          <t>Placement/internship</t>
        </is>
      </c>
      <c r="I530" s="77" t="inlineStr">
        <is>
          <t>Individual employer placements; 'hoped' students join an industrial team, which is working alongside colleagues, not a student team project; no credit stated.</t>
        </is>
      </c>
      <c r="J530" s="77" t="inlineStr">
        <is>
          <t>https://www.stir.ac.uk/student-life/careers/employers/recruiting-our-students/student-projects/computing-science-placements/</t>
        </is>
      </c>
      <c r="K530" s="77" t="inlineStr">
        <is>
          <t>Page text fetched, undated</t>
        </is>
      </c>
    </row>
    <row r="531">
      <c r="A531" s="77" t="inlineStr">
        <is>
          <t>UK19-X03</t>
        </is>
      </c>
      <c r="B531" s="77" t="inlineStr">
        <is>
          <t>UK19</t>
        </is>
      </c>
      <c r="C531" s="77" t="inlineStr">
        <is>
          <t>Stirling</t>
        </is>
      </c>
      <c r="D531" s="77" t="inlineStr">
        <is>
          <t>UK – additional</t>
        </is>
      </c>
      <c r="E531" s="77" t="inlineStr">
        <is>
          <t>Arts and Humanities placements (second-year UG, 30 hrs over 10 weeks)</t>
        </is>
      </c>
      <c r="F531" s="77" t="inlineStr">
        <is>
          <t>No</t>
        </is>
      </c>
      <c r="G531" s="77" t="inlineStr"/>
      <c r="H531" s="77" t="inlineStr">
        <is>
          <t>Evidence gap</t>
        </is>
      </c>
      <c r="I531" s="77" t="inlineStr">
        <is>
          <t>Real projects for Bannockburn House, BHF etc.; group working only evidenced for one example ('small team' for Scotland Shop); mostly placement-style; credit not stated; undated.</t>
        </is>
      </c>
      <c r="J531" s="77" t="inlineStr">
        <is>
          <t>https://www.stir.ac.uk/student-life/careers/employers/recruiting-our-students/student-projects/arts-and-humanities-placements/</t>
        </is>
      </c>
      <c r="K531" s="77" t="inlineStr">
        <is>
          <t>Page text fetched, undated</t>
        </is>
      </c>
    </row>
    <row r="532">
      <c r="A532" s="77" t="inlineStr">
        <is>
          <t>UK19-X04</t>
        </is>
      </c>
      <c r="B532" s="77" t="inlineStr">
        <is>
          <t>UK19</t>
        </is>
      </c>
      <c r="C532" s="77" t="inlineStr">
        <is>
          <t>Stirling</t>
        </is>
      </c>
      <c r="D532" s="77" t="inlineStr">
        <is>
          <t>UK – additional</t>
        </is>
      </c>
      <c r="E532" s="77" t="inlineStr">
        <is>
          <t>Other Careers 'Student projects' placements (21 listed: law, sport, life sciences, psychology, FinTech, AI, big data, environmental etc.)</t>
        </is>
      </c>
      <c r="F532" s="77" t="inlineStr">
        <is>
          <t>No</t>
        </is>
      </c>
      <c r="G532" s="77" t="inlineStr"/>
      <c r="H532" s="77" t="inlineStr">
        <is>
          <t>Evidence gap</t>
        </is>
      </c>
      <c r="I532" s="77" t="inlineStr">
        <is>
          <t>Index page lists schemes but gives no group/credit/year information; not researched under reduced-depth mode.</t>
        </is>
      </c>
      <c r="J532" s="77" t="inlineStr">
        <is>
          <t>https://www.stir.ac.uk/student-life/careers/employers/recruiting-our-students/student-projects/</t>
        </is>
      </c>
      <c r="K532" s="77" t="inlineStr">
        <is>
          <t>Index only</t>
        </is>
      </c>
    </row>
    <row r="533">
      <c r="A533" s="77" t="inlineStr">
        <is>
          <t>UK19-X05</t>
        </is>
      </c>
      <c r="B533" s="77" t="inlineStr">
        <is>
          <t>UK19</t>
        </is>
      </c>
      <c r="C533" s="77" t="inlineStr">
        <is>
          <t>Stirling</t>
        </is>
      </c>
      <c r="D533" s="77" t="inlineStr">
        <is>
          <t>UK – additional</t>
        </is>
      </c>
      <c r="E533" s="77" t="inlineStr">
        <is>
          <t>MSc Media Management live client group projects</t>
        </is>
      </c>
      <c r="F533" s="77" t="inlineStr">
        <is>
          <t>No</t>
        </is>
      </c>
      <c r="G533" s="77" t="inlineStr"/>
      <c r="H533" s="77" t="inlineStr">
        <is>
          <t>Paused/discontinued</t>
        </is>
      </c>
      <c r="I533" s="77" t="inlineStr">
        <is>
          <t>Search snippet reported live media clients and group projects, but the programme page fetched says the course is no longer available.</t>
        </is>
      </c>
      <c r="J533" s="77" t="inlineStr">
        <is>
          <t>https://www.stir.ac.uk/courses/pg-taught/media-management/</t>
        </is>
      </c>
      <c r="K533" s="77" t="inlineStr">
        <is>
          <t>Discontinued</t>
        </is>
      </c>
    </row>
    <row r="534">
      <c r="A534" s="77" t="inlineStr">
        <is>
          <t>UK19-X06</t>
        </is>
      </c>
      <c r="B534" s="77" t="inlineStr">
        <is>
          <t>UK19</t>
        </is>
      </c>
      <c r="C534" s="77" t="inlineStr">
        <is>
          <t>Stirling</t>
        </is>
      </c>
      <c r="D534" s="77" t="inlineStr">
        <is>
          <t>UK – additional</t>
        </is>
      </c>
      <c r="E534" s="77" t="inlineStr">
        <is>
          <t>Wicked Problems Sustainable Solutions (cross-faculty module)</t>
        </is>
      </c>
      <c r="F534" s="77" t="inlineStr">
        <is>
          <t>No</t>
        </is>
      </c>
      <c r="G534" s="77" t="inlineStr"/>
      <c r="H534" s="77" t="inlineStr">
        <is>
          <t>Evidence gap</t>
        </is>
      </c>
      <c r="I534" s="77" t="inlineStr">
        <is>
          <t>Search snippet only; no evidence of external organisations or group project.</t>
        </is>
      </c>
      <c r="J534" s="77" t="inlineStr"/>
      <c r="K534" s="77" t="inlineStr">
        <is>
          <t>Not opened</t>
        </is>
      </c>
    </row>
    <row r="535">
      <c r="A535" s="77" t="inlineStr">
        <is>
          <t>UK19-X07</t>
        </is>
      </c>
      <c r="B535" s="77" t="inlineStr">
        <is>
          <t>UK19</t>
        </is>
      </c>
      <c r="C535" s="77" t="inlineStr">
        <is>
          <t>Stirling</t>
        </is>
      </c>
      <c r="D535" s="77" t="inlineStr">
        <is>
          <t>UK – additional</t>
        </is>
      </c>
      <c r="E535" s="77" t="inlineStr">
        <is>
          <t>MLitt Genders and Sexualities Research Placement; MSc Heritage work-related dissertation; MSc Environmental Management project; MSc Project Management Applied Project</t>
        </is>
      </c>
      <c r="F535" s="77" t="inlineStr">
        <is>
          <t>No</t>
        </is>
      </c>
      <c r="G535" s="77" t="inlineStr"/>
      <c r="H535" s="77" t="inlineStr">
        <is>
          <t>Near-miss: not group</t>
        </is>
      </c>
      <c r="I535" s="77" t="inlineStr">
        <is>
          <t>Individual placements/dissertations with external organisations per search snippets; no group evidence.</t>
        </is>
      </c>
      <c r="J535" s="77" t="inlineStr">
        <is>
          <t>https://www.stir.ac.uk/courses/pg-taught/heritage/</t>
        </is>
      </c>
      <c r="K535" s="77" t="inlineStr">
        <is>
          <t>Snippet only</t>
        </is>
      </c>
    </row>
    <row r="536">
      <c r="A536" s="77" t="inlineStr">
        <is>
          <t>UK20-X01</t>
        </is>
      </c>
      <c r="B536" s="77" t="inlineStr">
        <is>
          <t>UK20</t>
        </is>
      </c>
      <c r="C536" s="77" t="inlineStr">
        <is>
          <t>SOAS</t>
        </is>
      </c>
      <c r="D536" s="77" t="inlineStr">
        <is>
          <t>UK – additional</t>
        </is>
      </c>
      <c r="E536" s="77" t="inlineStr">
        <is>
          <t>School of Finance and Management Virtual Industry Project (2022 event)</t>
        </is>
      </c>
      <c r="F536" s="77" t="inlineStr">
        <is>
          <t>No</t>
        </is>
      </c>
      <c r="G536" s="77" t="inlineStr"/>
      <c r="H536" s="77" t="inlineStr">
        <is>
          <t>Evidence gap</t>
        </is>
      </c>
      <c r="I536" s="77" t="inlineStr">
        <is>
          <t>Practera two-week team project for a client (startup/non-profit/SME), places reserved for SFM UG years 2/3; only dated 12-25 September 2022; BSc Management page says collaboration continues but no current-year evidence. Probably a department variant of S1.</t>
        </is>
      </c>
      <c r="J536" s="77" t="inlineStr">
        <is>
          <t>https://www.soas.ac.uk/about/event/school-finance-and-management-virtual-industry-project</t>
        </is>
      </c>
      <c r="K536" s="77" t="inlineStr">
        <is>
          <t>Historical delivery only (2022)</t>
        </is>
      </c>
    </row>
    <row r="537">
      <c r="A537" s="77" t="inlineStr">
        <is>
          <t>UK20-X02</t>
        </is>
      </c>
      <c r="B537" s="77" t="inlineStr">
        <is>
          <t>UK20</t>
        </is>
      </c>
      <c r="C537" s="77" t="inlineStr">
        <is>
          <t>SOAS</t>
        </is>
      </c>
      <c r="D537" s="77" t="inlineStr">
        <is>
          <t>UK – additional</t>
        </is>
      </c>
      <c r="E537" s="77" t="inlineStr">
        <is>
          <t>Law clinics (Detention Law Clinic with Wilsons Solicitors LLP; other clinics)</t>
        </is>
      </c>
      <c r="F537" s="77" t="inlineStr">
        <is>
          <t>No</t>
        </is>
      </c>
      <c r="G537" s="77" t="inlineStr"/>
      <c r="H537" s="77" t="inlineStr">
        <is>
          <t>Near-miss: not project</t>
        </is>
      </c>
      <c r="I537" s="77" t="inlineStr">
        <is>
          <t>Supervised legal advice to real clients/individual casework; no team project brief or group output evidenced; embedded in law modules or competitive application.</t>
        </is>
      </c>
      <c r="J537" s="77" t="inlineStr">
        <is>
          <t>https://www.soas.ac.uk/work-aligned-learning-soas</t>
        </is>
      </c>
      <c r="K537" s="77" t="inlineStr"/>
    </row>
    <row r="538">
      <c r="A538" s="77" t="inlineStr">
        <is>
          <t>UK20-X03</t>
        </is>
      </c>
      <c r="B538" s="77" t="inlineStr">
        <is>
          <t>UK20</t>
        </is>
      </c>
      <c r="C538" s="77" t="inlineStr">
        <is>
          <t>SOAS</t>
        </is>
      </c>
      <c r="D538" s="77" t="inlineStr">
        <is>
          <t>UK – additional</t>
        </is>
      </c>
      <c r="E538" s="77" t="inlineStr">
        <is>
          <t>Summer Internship, Co-Creator Internship, AES x Learning Connected Micro-Internship, placement modules, Year in Industry/PG Placement Year</t>
        </is>
      </c>
      <c r="F538" s="77" t="inlineStr">
        <is>
          <t>No</t>
        </is>
      </c>
      <c r="G538" s="77" t="inlineStr"/>
      <c r="H538" s="77" t="inlineStr">
        <is>
          <t>Placement/internship</t>
        </is>
      </c>
      <c r="I538" s="77" t="inlineStr">
        <is>
          <t>Individual paid placements/internships; no group project evidenced.</t>
        </is>
      </c>
      <c r="J538" s="77" t="inlineStr">
        <is>
          <t>https://www.soas.ac.uk/work-aligned-learning-soas</t>
        </is>
      </c>
      <c r="K538" s="77" t="inlineStr"/>
    </row>
    <row r="539">
      <c r="A539" s="77" t="inlineStr">
        <is>
          <t>UK20-X04</t>
        </is>
      </c>
      <c r="B539" s="77" t="inlineStr">
        <is>
          <t>UK20</t>
        </is>
      </c>
      <c r="C539" s="77" t="inlineStr">
        <is>
          <t>SOAS</t>
        </is>
      </c>
      <c r="D539" s="77" t="inlineStr">
        <is>
          <t>UK – additional</t>
        </is>
      </c>
      <c r="E539" s="77" t="inlineStr">
        <is>
          <t>MSc Data Science / Economics research projects</t>
        </is>
      </c>
      <c r="F539" s="77" t="inlineStr">
        <is>
          <t>No</t>
        </is>
      </c>
      <c r="G539" s="77" t="inlineStr"/>
      <c r="H539" s="77" t="inlineStr">
        <is>
          <t>Dissertation/research</t>
        </is>
      </c>
      <c r="I539" s="77" t="inlineStr">
        <is>
          <t>Data science MScs sit in Economics with a 60-credit research project; no external-partner group project found in one query.</t>
        </is>
      </c>
      <c r="J539" s="77" t="inlineStr">
        <is>
          <t>https://www.soas.ac.uk/study/find-course/msc-data-science</t>
        </is>
      </c>
      <c r="K539" s="77" t="inlineStr"/>
    </row>
    <row r="540">
      <c r="A540" s="77" t="inlineStr">
        <is>
          <t>UK21-X01</t>
        </is>
      </c>
      <c r="B540" s="77" t="inlineStr">
        <is>
          <t>UK21</t>
        </is>
      </c>
      <c r="C540" s="77" t="inlineStr">
        <is>
          <t>Birkbeck</t>
        </is>
      </c>
      <c r="D540" s="77" t="inlineStr">
        <is>
          <t>UK – additional</t>
        </is>
      </c>
      <c r="E540" s="77" t="inlineStr">
        <is>
          <t>Pioneer Programme</t>
        </is>
      </c>
      <c r="F540" s="77" t="inlineStr">
        <is>
          <t>Yes</t>
        </is>
      </c>
      <c r="G540" s="77" t="n">
        <v>75</v>
      </c>
      <c r="H540" s="77" t="inlineStr">
        <is>
          <t>Entrepreneurship/incubator</t>
        </is>
      </c>
      <c r="I540" s="77" t="inlineStr">
        <is>
          <t>Enterprise workshops and founder guidance with a live pitch final; no employer-set brief or group project evidenced. 2026/27 timetable (Nov-June, applications close 18 Oct 2026) confirms it is running.</t>
        </is>
      </c>
      <c r="J540" s="77" t="inlineStr">
        <is>
          <t>https://www.bbk.ac.uk/student-services/careers-and-enterprise/start-a-business</t>
        </is>
      </c>
      <c r="K540" s="77" t="inlineStr">
        <is>
          <t>Current delivery confirmed 2026/27</t>
        </is>
      </c>
    </row>
    <row r="541">
      <c r="A541" s="77" t="inlineStr">
        <is>
          <t>UK21-X02</t>
        </is>
      </c>
      <c r="B541" s="77" t="inlineStr">
        <is>
          <t>UK21</t>
        </is>
      </c>
      <c r="C541" s="77" t="inlineStr">
        <is>
          <t>Birkbeck</t>
        </is>
      </c>
      <c r="D541" s="77" t="inlineStr">
        <is>
          <t>UK – additional</t>
        </is>
      </c>
      <c r="E541" s="77" t="inlineStr">
        <is>
          <t>Applied Software Engineering group programming project (BUCI090S7)</t>
        </is>
      </c>
      <c r="F541" s="77" t="inlineStr">
        <is>
          <t>No</t>
        </is>
      </c>
      <c r="G541" s="77" t="inlineStr"/>
      <c r="H541" s="77" t="inlineStr">
        <is>
          <t>Near-miss: no external org</t>
        </is>
      </c>
      <c r="I541" s="77" t="inlineStr">
        <is>
          <t>Group programming project worth 60% but no client or external organisation mentioned on the module page.</t>
        </is>
      </c>
      <c r="J541" s="77" t="inlineStr">
        <is>
          <t>https://www.bbk.ac.uk/courses/modules/buci/BUCI090S7</t>
        </is>
      </c>
      <c r="K541" s="77" t="inlineStr">
        <is>
          <t>undated</t>
        </is>
      </c>
    </row>
    <row r="542">
      <c r="A542" s="77" t="inlineStr">
        <is>
          <t>UK21-X03</t>
        </is>
      </c>
      <c r="B542" s="77" t="inlineStr">
        <is>
          <t>UK21</t>
        </is>
      </c>
      <c r="C542" s="77" t="inlineStr">
        <is>
          <t>Birkbeck</t>
        </is>
      </c>
      <c r="D542" s="77" t="inlineStr">
        <is>
          <t>UK – additional</t>
        </is>
      </c>
      <c r="E542" s="77" t="inlineStr">
        <is>
          <t>Museum and Heritage Work Placement (ARVC054S7)</t>
        </is>
      </c>
      <c r="F542" s="77" t="inlineStr">
        <is>
          <t>No</t>
        </is>
      </c>
      <c r="G542" s="77" t="inlineStr"/>
      <c r="H542" s="77" t="inlineStr">
        <is>
          <t>Placement/internship</t>
        </is>
      </c>
      <c r="I542" s="77" t="inlineStr">
        <is>
          <t>Individual placement at host institution; essay assessed.</t>
        </is>
      </c>
      <c r="J542" s="77" t="inlineStr">
        <is>
          <t>https://www.bbk.ac.uk/courses/modules/arvc/ARVC054S7</t>
        </is>
      </c>
      <c r="K542" s="77" t="inlineStr"/>
    </row>
    <row r="543">
      <c r="A543" s="77" t="inlineStr">
        <is>
          <t>UK21-X04</t>
        </is>
      </c>
      <c r="B543" s="77" t="inlineStr">
        <is>
          <t>UK21</t>
        </is>
      </c>
      <c r="C543" s="77" t="inlineStr">
        <is>
          <t>Birkbeck</t>
        </is>
      </c>
      <c r="D543" s="77" t="inlineStr">
        <is>
          <t>UK – additional</t>
        </is>
      </c>
      <c r="E543" s="77" t="inlineStr">
        <is>
          <t>Law clinical opportunities</t>
        </is>
      </c>
      <c r="F543" s="77" t="inlineStr">
        <is>
          <t>No</t>
        </is>
      </c>
      <c r="G543" s="77" t="inlineStr"/>
      <c r="H543" s="77" t="inlineStr">
        <is>
          <t>Volunteering/service-learning</t>
        </is>
      </c>
      <c r="I543" s="77" t="inlineStr">
        <is>
          <t>Pro bono casework with partner organisations; no group project with defined output evidenced.</t>
        </is>
      </c>
      <c r="J543" s="77" t="inlineStr">
        <is>
          <t>https://www.bbk.ac.uk/school/law/clinical-opportunities-in-law</t>
        </is>
      </c>
      <c r="K543" s="77" t="inlineStr"/>
    </row>
    <row r="544">
      <c r="A544" s="77" t="inlineStr">
        <is>
          <t>UK21-X05</t>
        </is>
      </c>
      <c r="B544" s="77" t="inlineStr">
        <is>
          <t>UK21</t>
        </is>
      </c>
      <c r="C544" s="77" t="inlineStr">
        <is>
          <t>Birkbeck</t>
        </is>
      </c>
      <c r="D544" s="77" t="inlineStr">
        <is>
          <t>UK – additional</t>
        </is>
      </c>
      <c r="E544" s="77" t="inlineStr">
        <is>
          <t>Workplace Research Project (BUMN117D6)</t>
        </is>
      </c>
      <c r="F544" s="77" t="inlineStr">
        <is>
          <t>No</t>
        </is>
      </c>
      <c r="G544" s="77" t="inlineStr"/>
      <c r="H544" s="77" t="inlineStr">
        <is>
          <t>Near-miss: not group</t>
        </is>
      </c>
      <c r="I544" s="77" t="inlineStr">
        <is>
          <t>Individual practitioner research project/report.</t>
        </is>
      </c>
      <c r="J544" s="77" t="inlineStr">
        <is>
          <t>https://www.bbk.ac.uk/courses/modules/bumn/BUMN117D6</t>
        </is>
      </c>
      <c r="K544" s="77" t="inlineStr"/>
    </row>
    <row r="545">
      <c r="A545" s="77" t="inlineStr">
        <is>
          <t>UK22-X01</t>
        </is>
      </c>
      <c r="B545" s="77" t="inlineStr">
        <is>
          <t>UK22</t>
        </is>
      </c>
      <c r="C545" s="77" t="inlineStr">
        <is>
          <t>Royal Holloway</t>
        </is>
      </c>
      <c r="D545" s="77" t="inlineStr">
        <is>
          <t>UK – additional</t>
        </is>
      </c>
      <c r="E545" s="77" t="inlineStr">
        <is>
          <t>Royal Holloway Volunteer Awards</t>
        </is>
      </c>
      <c r="F545" s="77" t="inlineStr">
        <is>
          <t>Yes</t>
        </is>
      </c>
      <c r="G545" s="77" t="n">
        <v>76</v>
      </c>
      <c r="H545" s="77" t="inlineStr">
        <is>
          <t>Volunteering/service-learning</t>
        </is>
      </c>
      <c r="I545" s="77" t="inlineStr">
        <is>
          <t>Recognition of hours of individual community volunteering (30/50/100 hours) with 100+ partners; no bounded group project (A, B not met).</t>
        </is>
      </c>
      <c r="J545" s="77" t="inlineStr">
        <is>
          <t>https://intranet.royalholloway.ac.uk/students/campus-life/volunteering/the-royal-holloway-volunteer-awards-2026.aspx</t>
        </is>
      </c>
      <c r="K545" s="77" t="inlineStr">
        <is>
          <t>2025/26 awards per legacy row; not re-fetched</t>
        </is>
      </c>
    </row>
    <row r="546">
      <c r="A546" s="77" t="inlineStr">
        <is>
          <t>UK22-X02</t>
        </is>
      </c>
      <c r="B546" s="77" t="inlineStr">
        <is>
          <t>UK22</t>
        </is>
      </c>
      <c r="C546" s="77" t="inlineStr">
        <is>
          <t>Royal Holloway</t>
        </is>
      </c>
      <c r="D546" s="77" t="inlineStr">
        <is>
          <t>UK – additional</t>
        </is>
      </c>
      <c r="E546" s="77" t="inlineStr">
        <is>
          <t>Computer Science individual final-year projects proposed by companies</t>
        </is>
      </c>
      <c r="F546" s="77" t="inlineStr">
        <is>
          <t>No</t>
        </is>
      </c>
      <c r="G546" s="77" t="inlineStr"/>
      <c r="H546" s="77" t="inlineStr">
        <is>
          <t>Near-miss: not group</t>
        </is>
      </c>
      <c r="I546" s="77" t="inlineStr">
        <is>
          <t>Companies may propose projects but each student completes an individual project supervised by an academic.</t>
        </is>
      </c>
      <c r="J546" s="77" t="inlineStr">
        <is>
          <t>https://www.royalholloway.ac.uk/research-and-education/subjects/computer-science/working-with-companies/</t>
        </is>
      </c>
      <c r="K546" s="77" t="inlineStr"/>
    </row>
    <row r="547">
      <c r="A547" s="77" t="inlineStr">
        <is>
          <t>UK22-X03</t>
        </is>
      </c>
      <c r="B547" s="77" t="inlineStr">
        <is>
          <t>UK22</t>
        </is>
      </c>
      <c r="C547" s="77" t="inlineStr">
        <is>
          <t>Royal Holloway</t>
        </is>
      </c>
      <c r="D547" s="77" t="inlineStr">
        <is>
          <t>UK – additional</t>
        </is>
      </c>
      <c r="E547" s="77" t="inlineStr">
        <is>
          <t>Consulting Project, MSc AI for Business / Business Analytics (MN5821)</t>
        </is>
      </c>
      <c r="F547" s="77" t="inlineStr">
        <is>
          <t>No</t>
        </is>
      </c>
      <c r="G547" s="77" t="inlineStr"/>
      <c r="H547" s="77" t="inlineStr">
        <is>
          <t>Near-miss: not group</t>
        </is>
      </c>
      <c r="I547" s="77" t="inlineStr">
        <is>
          <t>Consulting project is 'work individually, guided by an academic supervisor' with access to industry professionals.</t>
        </is>
      </c>
      <c r="J547" s="77" t="inlineStr">
        <is>
          <t>https://www.royalholloway.ac.uk/studying-here/postgraduate/business-and-management/ai-for-business-msc/</t>
        </is>
      </c>
      <c r="K547" s="77" t="inlineStr"/>
    </row>
    <row r="548">
      <c r="A548" s="77" t="inlineStr">
        <is>
          <t>UK22-X04</t>
        </is>
      </c>
      <c r="B548" s="77" t="inlineStr">
        <is>
          <t>UK22</t>
        </is>
      </c>
      <c r="C548" s="77" t="inlineStr">
        <is>
          <t>Royal Holloway</t>
        </is>
      </c>
      <c r="D548" s="77" t="inlineStr">
        <is>
          <t>UK – additional</t>
        </is>
      </c>
      <c r="E548" s="77" t="inlineStr">
        <is>
          <t>Business and Management Impact Project I/II (MN3007/MN3008)</t>
        </is>
      </c>
      <c r="F548" s="77" t="inlineStr">
        <is>
          <t>No</t>
        </is>
      </c>
      <c r="G548" s="77" t="inlineStr"/>
      <c r="H548" s="77" t="inlineStr">
        <is>
          <t>Evidence gap</t>
        </is>
      </c>
      <c r="I548" s="77" t="inlineStr">
        <is>
          <t>Described as real-world business challenges but not always tied to an external client; no group or client evidence.</t>
        </is>
      </c>
      <c r="J548" s="77" t="inlineStr">
        <is>
          <t>https://www.royalholloway.ac.uk/studying-here/undergraduate/business-school/business-and-management/</t>
        </is>
      </c>
      <c r="K548" s="77" t="inlineStr"/>
    </row>
    <row r="549">
      <c r="A549" s="77" t="inlineStr">
        <is>
          <t>UK22-X05</t>
        </is>
      </c>
      <c r="B549" s="77" t="inlineStr">
        <is>
          <t>UK22</t>
        </is>
      </c>
      <c r="C549" s="77" t="inlineStr">
        <is>
          <t>Royal Holloway</t>
        </is>
      </c>
      <c r="D549" s="77" t="inlineStr">
        <is>
          <t>UK – additional</t>
        </is>
      </c>
      <c r="E549" s="77" t="inlineStr">
        <is>
          <t>Geography urban promotion plans for real cities / CIMA business game / Dragon's Den</t>
        </is>
      </c>
      <c r="F549" s="77" t="inlineStr">
        <is>
          <t>No</t>
        </is>
      </c>
      <c r="G549" s="77" t="inlineStr"/>
      <c r="H549" s="77" t="inlineStr">
        <is>
          <t>Evidence gap</t>
        </is>
      </c>
      <c r="I549" s="77" t="inlineStr">
        <is>
          <t>Mentioned on Embedding employability page (undated): industry assessors, CIMA-set challenges; no module, group basis or duration evidenced.</t>
        </is>
      </c>
      <c r="J549" s="77" t="inlineStr">
        <is>
          <t>https://www.royalholloway.ac.uk/research-and-education/education/embedding-employability/</t>
        </is>
      </c>
      <c r="K549" s="77" t="inlineStr"/>
    </row>
    <row r="550">
      <c r="A550" s="77" t="inlineStr">
        <is>
          <t>UK22-X06</t>
        </is>
      </c>
      <c r="B550" s="77" t="inlineStr">
        <is>
          <t>UK22</t>
        </is>
      </c>
      <c r="C550" s="77" t="inlineStr">
        <is>
          <t>Royal Holloway</t>
        </is>
      </c>
      <c r="D550" s="77" t="inlineStr">
        <is>
          <t>UK – additional</t>
        </is>
      </c>
      <c r="E550" s="77" t="inlineStr">
        <is>
          <t>Independent Placement-Linked Dissertation (Physical Geography, Year 3)</t>
        </is>
      </c>
      <c r="F550" s="77" t="inlineStr">
        <is>
          <t>No</t>
        </is>
      </c>
      <c r="G550" s="77" t="inlineStr"/>
      <c r="H550" s="77" t="inlineStr">
        <is>
          <t>Placement/internship</t>
        </is>
      </c>
      <c r="I550" s="77" t="inlineStr">
        <is>
          <t>Individual dissertation linked to a placement organisation; not group.</t>
        </is>
      </c>
      <c r="J550" s="77" t="inlineStr">
        <is>
          <t>https://www.royalholloway.ac.uk/studying-here/undergraduate/geography/physical-geography/</t>
        </is>
      </c>
      <c r="K550" s="77" t="inlineStr"/>
    </row>
    <row r="551">
      <c r="A551" s="77" t="inlineStr">
        <is>
          <t>UK22-X07</t>
        </is>
      </c>
      <c r="B551" s="77" t="inlineStr">
        <is>
          <t>UK22</t>
        </is>
      </c>
      <c r="C551" s="77" t="inlineStr">
        <is>
          <t>Royal Holloway</t>
        </is>
      </c>
      <c r="D551" s="77" t="inlineStr">
        <is>
          <t>UK – additional</t>
        </is>
      </c>
      <c r="E551" s="77" t="inlineStr">
        <is>
          <t>Royal Hackaway</t>
        </is>
      </c>
      <c r="F551" s="77" t="inlineStr">
        <is>
          <t>No</t>
        </is>
      </c>
      <c r="G551" s="77" t="inlineStr"/>
      <c r="H551" s="77" t="inlineStr">
        <is>
          <t>Event/competition without live client</t>
        </is>
      </c>
      <c r="I551" s="77" t="inlineStr">
        <is>
          <t>24-hour student hackathon; no employer-set brief evidenced in the search extract.</t>
        </is>
      </c>
      <c r="J551" s="77" t="inlineStr">
        <is>
          <t>https://www.royalholloway.ac.uk/research-and-education/subjects/computer-science/news/royal-hackaway-showcases-students-talent-and-teamwork/</t>
        </is>
      </c>
      <c r="K551" s="77" t="inlineStr"/>
    </row>
    <row r="552">
      <c r="A552" s="77" t="inlineStr">
        <is>
          <t>UK22-X08</t>
        </is>
      </c>
      <c r="B552" s="77" t="inlineStr">
        <is>
          <t>UK22</t>
        </is>
      </c>
      <c r="C552" s="77" t="inlineStr">
        <is>
          <t>Royal Holloway</t>
        </is>
      </c>
      <c r="D552" s="77" t="inlineStr">
        <is>
          <t>UK – additional</t>
        </is>
      </c>
      <c r="E552" s="77" t="inlineStr">
        <is>
          <t>CS2815 Small enterprise team project (Year 2)</t>
        </is>
      </c>
      <c r="F552" s="77" t="inlineStr">
        <is>
          <t>No</t>
        </is>
      </c>
      <c r="G552" s="77" t="inlineStr"/>
      <c r="H552" s="77" t="inlineStr">
        <is>
          <t>Evidence gap</t>
        </is>
      </c>
      <c r="I552" s="77" t="inlineStr">
        <is>
          <t>Mandatory team module seen in programme spec listing; external client involvement not evidenced; not researched under reduced depth.</t>
        </is>
      </c>
      <c r="J552" s="77" t="inlineStr">
        <is>
          <t>https://www.royalholloway.ac.uk/media/dmfhzdkk/computer-science-software-engineering-msci-g461.pdf</t>
        </is>
      </c>
      <c r="K552" s="77" t="inlineStr"/>
    </row>
    <row r="553">
      <c r="A553" s="77" t="inlineStr">
        <is>
          <t>UK23-X01</t>
        </is>
      </c>
      <c r="B553" s="77" t="inlineStr">
        <is>
          <t>UK23</t>
        </is>
      </c>
      <c r="C553" s="77" t="inlineStr">
        <is>
          <t>City St George’s</t>
        </is>
      </c>
      <c r="D553" s="77" t="inlineStr">
        <is>
          <t>UK – additional</t>
        </is>
      </c>
      <c r="E553" s="77" t="inlineStr">
        <is>
          <t>CitySpark</t>
        </is>
      </c>
      <c r="F553" s="77" t="inlineStr">
        <is>
          <t>Yes</t>
        </is>
      </c>
      <c r="G553" s="77" t="n">
        <v>77</v>
      </c>
      <c r="H553" s="77" t="inlineStr">
        <is>
          <t>Entrepreneurship/incubator</t>
        </is>
      </c>
      <c r="I553" s="77" t="inlineStr">
        <is>
          <t>Business-idea competition with workshops, mentoring and pitching (2024: GBP 3,000; 2023: GBP 25,000). No external organisation sets a brief, so criterion C fails, and no 2025 or 2026 round was found.</t>
        </is>
      </c>
      <c r="J553" s="77" t="inlineStr">
        <is>
          <t>https://studenthub.citystgeorges.ac.uk/news-and-events/news/2024/february/cityspark-2024</t>
        </is>
      </c>
      <c r="K553" s="77" t="inlineStr">
        <is>
          <t>No 2025/26 evidence</t>
        </is>
      </c>
    </row>
    <row r="554">
      <c r="A554" s="77" t="inlineStr">
        <is>
          <t>UK23-X02</t>
        </is>
      </c>
      <c r="B554" s="77" t="inlineStr">
        <is>
          <t>UK23</t>
        </is>
      </c>
      <c r="C554" s="77" t="inlineStr">
        <is>
          <t>City St George’s</t>
        </is>
      </c>
      <c r="D554" s="77" t="inlineStr">
        <is>
          <t>UK – additional</t>
        </is>
      </c>
      <c r="E554" s="77" t="inlineStr">
        <is>
          <t>MSc Industry Project (Bayes) / MSc Computing internship-linked client project</t>
        </is>
      </c>
      <c r="F554" s="77" t="inlineStr">
        <is>
          <t>No</t>
        </is>
      </c>
      <c r="G554" s="77" t="inlineStr"/>
      <c r="H554" s="77" t="inlineStr">
        <is>
          <t>Near-miss: not group</t>
        </is>
      </c>
      <c r="I554" s="77" t="inlineStr">
        <is>
          <t>Individual company projects; the group working criterion is not met.</t>
        </is>
      </c>
      <c r="J554" s="77" t="inlineStr">
        <is>
          <t>https://www.bayes.citystgeorges.ac.uk/for-businesses/recruit-our-students/business-projects-page</t>
        </is>
      </c>
      <c r="K554" s="77" t="inlineStr"/>
    </row>
    <row r="555">
      <c r="A555" s="77" t="inlineStr">
        <is>
          <t>UK23-X03</t>
        </is>
      </c>
      <c r="B555" s="77" t="inlineStr">
        <is>
          <t>UK23</t>
        </is>
      </c>
      <c r="C555" s="77" t="inlineStr">
        <is>
          <t>City St George’s</t>
        </is>
      </c>
      <c r="D555" s="77" t="inlineStr">
        <is>
          <t>UK – additional</t>
        </is>
      </c>
      <c r="E555" s="77" t="inlineStr">
        <is>
          <t>Career Transformation Programme (taught master's live employer project)</t>
        </is>
      </c>
      <c r="F555" s="77" t="inlineStr">
        <is>
          <t>No</t>
        </is>
      </c>
      <c r="G555" s="77" t="inlineStr"/>
      <c r="H555" s="77" t="inlineStr">
        <is>
          <t>Evidence gap</t>
        </is>
      </c>
      <c r="I555" s="77" t="inlineStr">
        <is>
          <t>Search summary says master's students can choose a live project with an employer (100+ partners); group basis, credit and delivery not evidenced.</t>
        </is>
      </c>
      <c r="J555" s="77" t="inlineStr">
        <is>
          <t>https://www.citystgeorges.ac.uk/business/access/meet</t>
        </is>
      </c>
      <c r="K555" s="77" t="inlineStr"/>
    </row>
    <row r="556">
      <c r="A556" s="77" t="inlineStr">
        <is>
          <t>UK23-X04</t>
        </is>
      </c>
      <c r="B556" s="77" t="inlineStr">
        <is>
          <t>UK23</t>
        </is>
      </c>
      <c r="C556" s="77" t="inlineStr">
        <is>
          <t>City St George’s</t>
        </is>
      </c>
      <c r="D556" s="77" t="inlineStr">
        <is>
          <t>UK – additional</t>
        </is>
      </c>
      <c r="E556" s="77" t="inlineStr">
        <is>
          <t>CityCLAC, Refugee Law Clinic, Innocence Project, Solicitors' Practice pro bono</t>
        </is>
      </c>
      <c r="F556" s="77" t="inlineStr">
        <is>
          <t>No</t>
        </is>
      </c>
      <c r="G556" s="77" t="inlineStr"/>
      <c r="H556" s="77" t="inlineStr">
        <is>
          <t>Volunteering/service-learning</t>
        </is>
      </c>
      <c r="I556" s="77" t="inlineStr">
        <is>
          <t>Client casework and advice rather than a team project for an organisation.</t>
        </is>
      </c>
      <c r="J556" s="77" t="inlineStr">
        <is>
          <t>https://www.citystgeorges.ac.uk/about/schools/law/law-in-real-life/volunteering-for-law-students</t>
        </is>
      </c>
      <c r="K556" s="77" t="inlineStr"/>
    </row>
    <row r="557">
      <c r="A557" s="77" t="inlineStr">
        <is>
          <t>UK23-X05</t>
        </is>
      </c>
      <c r="B557" s="77" t="inlineStr">
        <is>
          <t>UK23</t>
        </is>
      </c>
      <c r="C557" s="77" t="inlineStr">
        <is>
          <t>City St George’s</t>
        </is>
      </c>
      <c r="D557" s="77" t="inlineStr">
        <is>
          <t>UK – additional</t>
        </is>
      </c>
      <c r="E557" s="77" t="inlineStr">
        <is>
          <t>Environmental Law Pro Bono Policy Clinic</t>
        </is>
      </c>
      <c r="F557" s="77" t="inlineStr">
        <is>
          <t>No</t>
        </is>
      </c>
      <c r="G557" s="77" t="inlineStr"/>
      <c r="H557" s="77" t="inlineStr">
        <is>
          <t>Evidence gap</t>
        </is>
      </c>
      <c r="I557" s="77" t="inlineStr">
        <is>
          <t>Research with the Environmental Law Foundation seen only in a 2022 news item; no current status or team basis.</t>
        </is>
      </c>
      <c r="J557" s="77" t="inlineStr">
        <is>
          <t>https://www.citystgeorges.ac.uk/news-and-events/news/2022/03/the-city-law-schools-environmental-law-pro-bono-policy-clinic-gives-presentation-at-london-student-sustainability-conference-2022</t>
        </is>
      </c>
      <c r="K557" s="77" t="inlineStr"/>
    </row>
    <row r="558">
      <c r="A558" s="77" t="inlineStr">
        <is>
          <t>UK23-X06</t>
        </is>
      </c>
      <c r="B558" s="77" t="inlineStr">
        <is>
          <t>UK23</t>
        </is>
      </c>
      <c r="C558" s="77" t="inlineStr">
        <is>
          <t>City St George’s</t>
        </is>
      </c>
      <c r="D558" s="77" t="inlineStr">
        <is>
          <t>UK – additional</t>
        </is>
      </c>
      <c r="E558" s="77" t="inlineStr">
        <is>
          <t>Year 2 team software project (Computer Science)</t>
        </is>
      </c>
      <c r="F558" s="77" t="inlineStr">
        <is>
          <t>No</t>
        </is>
      </c>
      <c r="G558" s="77" t="inlineStr"/>
      <c r="H558" s="77" t="inlineStr">
        <is>
          <t>Near-miss: no external org</t>
        </is>
      </c>
      <c r="I558" s="77" t="inlineStr">
        <is>
          <t>Team builds a product to 'customer requirements'; no external organisation evidenced.</t>
        </is>
      </c>
      <c r="J558" s="77" t="inlineStr">
        <is>
          <t>https://www.citystgeorges.ac.uk/prospective-students/courses/undergraduate/computer-science</t>
        </is>
      </c>
      <c r="K558" s="77" t="inlineStr"/>
    </row>
    <row r="559">
      <c r="A559" s="77" t="inlineStr">
        <is>
          <t>UK23-X07</t>
        </is>
      </c>
      <c r="B559" s="77" t="inlineStr">
        <is>
          <t>UK23</t>
        </is>
      </c>
      <c r="C559" s="77" t="inlineStr">
        <is>
          <t>City St George’s</t>
        </is>
      </c>
      <c r="D559" s="77" t="inlineStr">
        <is>
          <t>UK – additional</t>
        </is>
      </c>
      <c r="E559" s="77" t="inlineStr">
        <is>
          <t>Final-year individual projects (CS, Data Science, Journalism) and Student-staff Partnership Projects</t>
        </is>
      </c>
      <c r="F559" s="77" t="inlineStr">
        <is>
          <t>No</t>
        </is>
      </c>
      <c r="G559" s="77" t="inlineStr"/>
      <c r="H559" s="77" t="inlineStr">
        <is>
          <t>Dissertation/research</t>
        </is>
      </c>
      <c r="I559" s="77" t="inlineStr">
        <is>
          <t>Individual projects or internal research collaborations.</t>
        </is>
      </c>
      <c r="J559" s="77" t="inlineStr">
        <is>
          <t>https://studenthub.citystgeorges.ac.uk/academic-resources/exams-and-assessments/student-staff-partnership-projects</t>
        </is>
      </c>
      <c r="K559" s="77" t="inlineStr"/>
    </row>
    <row r="560">
      <c r="A560" s="77" t="inlineStr">
        <is>
          <t>UK23-X08</t>
        </is>
      </c>
      <c r="B560" s="77" t="inlineStr">
        <is>
          <t>UK23</t>
        </is>
      </c>
      <c r="C560" s="77" t="inlineStr">
        <is>
          <t>City St George’s</t>
        </is>
      </c>
      <c r="D560" s="77" t="inlineStr">
        <is>
          <t>UK – additional</t>
        </is>
      </c>
      <c r="E560" s="77" t="inlineStr">
        <is>
          <t>Media Production / Communication PR and Advertising year-3 creative brief modules</t>
        </is>
      </c>
      <c r="F560" s="77" t="inlineStr">
        <is>
          <t>No</t>
        </is>
      </c>
      <c r="G560" s="77" t="inlineStr"/>
      <c r="H560" s="77" t="inlineStr">
        <is>
          <t>Evidence gap</t>
        </is>
      </c>
      <c r="I560" s="77" t="inlineStr">
        <is>
          <t>Brief-based, client-facing groupwork wording but no evidence the brief is set by a real external organisation.</t>
        </is>
      </c>
      <c r="J560" s="77" t="inlineStr">
        <is>
          <t>https://www.citystgeorges.ac.uk/prospective-students/courses/undergraduate/media-production</t>
        </is>
      </c>
      <c r="K560" s="77" t="inlineStr"/>
    </row>
    <row r="561">
      <c r="A561" s="77" t="inlineStr">
        <is>
          <t>UK24-X01</t>
        </is>
      </c>
      <c r="B561" s="77" t="inlineStr">
        <is>
          <t>UK24</t>
        </is>
      </c>
      <c r="C561" s="77" t="inlineStr">
        <is>
          <t>Oxford Brookes</t>
        </is>
      </c>
      <c r="D561" s="77" t="inlineStr">
        <is>
          <t>UK – additional</t>
        </is>
      </c>
      <c r="E561" s="77" t="inlineStr">
        <is>
          <t>Spark</t>
        </is>
      </c>
      <c r="F561" s="77" t="inlineStr">
        <is>
          <t>Yes</t>
        </is>
      </c>
      <c r="G561" s="77" t="n">
        <v>78</v>
      </c>
      <c r="H561" s="77" t="inlineStr">
        <is>
          <t>Entrepreneurship/incubator</t>
        </is>
      </c>
      <c r="I561" s="77" t="inlineStr">
        <is>
          <t>Co-curricular six-week start-up development programme for individuals' own ventures with mentor and pitch; no external-organisation brief (C not met); not assessed as team project.</t>
        </is>
      </c>
      <c r="J561" s="77" t="inlineStr">
        <is>
          <t>https://www.brookes.ac.uk/enterprise/start-up-support/spark</t>
        </is>
      </c>
      <c r="K561" s="77" t="inlineStr">
        <is>
          <t>Not re-fetched; legacy row states autumn 2026 applications.</t>
        </is>
      </c>
    </row>
    <row r="562">
      <c r="A562" s="77" t="inlineStr">
        <is>
          <t>UK24-X02</t>
        </is>
      </c>
      <c r="B562" s="77" t="inlineStr">
        <is>
          <t>UK24</t>
        </is>
      </c>
      <c r="C562" s="77" t="inlineStr">
        <is>
          <t>Oxford Brookes</t>
        </is>
      </c>
      <c r="D562" s="77" t="inlineStr">
        <is>
          <t>UK – additional</t>
        </is>
      </c>
      <c r="E562" s="77" t="inlineStr">
        <is>
          <t>MSc Advanced Computer Science: Group Software Project and industry dissertation</t>
        </is>
      </c>
      <c r="F562" s="77" t="inlineStr">
        <is>
          <t>No</t>
        </is>
      </c>
      <c r="G562" s="77" t="inlineStr"/>
      <c r="H562" s="77" t="inlineStr">
        <is>
          <t>Near-miss: no external org</t>
        </is>
      </c>
      <c r="I562" s="77" t="inlineStr">
        <is>
          <t>Compulsory 20-credit team software project but no external client evidenced; dissertation 'may be undertaken in close co-operation with' an organisation is optional and individual.</t>
        </is>
      </c>
      <c r="J562" s="77" t="inlineStr">
        <is>
          <t>https://www.brookes.ac.uk/courses/postgraduate/advanced-computer-science</t>
        </is>
      </c>
      <c r="K562" s="77" t="inlineStr">
        <is>
          <t>Start dates Sept 2026/Jan 2027.</t>
        </is>
      </c>
    </row>
    <row r="563">
      <c r="A563" s="77" t="inlineStr">
        <is>
          <t>UK24-X03</t>
        </is>
      </c>
      <c r="B563" s="77" t="inlineStr">
        <is>
          <t>UK24</t>
        </is>
      </c>
      <c r="C563" s="77" t="inlineStr">
        <is>
          <t>Oxford Brookes</t>
        </is>
      </c>
      <c r="D563" s="77" t="inlineStr">
        <is>
          <t>UK – additional</t>
        </is>
      </c>
      <c r="E563" s="77" t="inlineStr">
        <is>
          <t>MSc Project Management live projects and Applied Project</t>
        </is>
      </c>
      <c r="F563" s="77" t="inlineStr">
        <is>
          <t>No</t>
        </is>
      </c>
      <c r="G563" s="77" t="inlineStr"/>
      <c r="H563" s="77" t="inlineStr">
        <is>
          <t>Evidence gap</t>
        </is>
      </c>
      <c r="I563" s="77" t="inlineStr">
        <is>
          <t>Page says 'You will tackle live industry challenges' and assessments include live briefs and team projects, but no named module, client role or group evidence.</t>
        </is>
      </c>
      <c r="J563" s="77" t="inlineStr">
        <is>
          <t>https://www.brookes.ac.uk/courses/postgraduate/project-management</t>
        </is>
      </c>
      <c r="K563" s="77" t="inlineStr">
        <is>
          <t>Start Jan/Sept 2027.</t>
        </is>
      </c>
    </row>
    <row r="564">
      <c r="A564" s="77" t="inlineStr">
        <is>
          <t>UK24-X04</t>
        </is>
      </c>
      <c r="B564" s="77" t="inlineStr">
        <is>
          <t>UK24</t>
        </is>
      </c>
      <c r="C564" s="77" t="inlineStr">
        <is>
          <t>Oxford Brookes</t>
        </is>
      </c>
      <c r="D564" s="77" t="inlineStr">
        <is>
          <t>UK – additional</t>
        </is>
      </c>
      <c r="E564" s="77" t="inlineStr">
        <is>
          <t>MSc International Hotel and Tourism Management live client project</t>
        </is>
      </c>
      <c r="F564" s="77" t="inlineStr">
        <is>
          <t>No</t>
        </is>
      </c>
      <c r="G564" s="77" t="inlineStr"/>
      <c r="H564" s="77" t="inlineStr">
        <is>
          <t>Evidence gap</t>
        </is>
      </c>
      <c r="I564" s="77" t="inlineStr">
        <is>
          <t>Optional live client project as dissertation alternative (example: Pride organisation volunteer strategy); group vs individual not stated.</t>
        </is>
      </c>
      <c r="J564" s="77" t="inlineStr">
        <is>
          <t>https://www.brookes.ac.uk/courses/postgraduate/international-hotel-and-tourism-management</t>
        </is>
      </c>
      <c r="K564" s="77" t="inlineStr">
        <is>
          <t>Start Jan/Sept 2027.</t>
        </is>
      </c>
    </row>
    <row r="565">
      <c r="A565" s="77" t="inlineStr">
        <is>
          <t>UK24-X05</t>
        </is>
      </c>
      <c r="B565" s="77" t="inlineStr">
        <is>
          <t>UK24</t>
        </is>
      </c>
      <c r="C565" s="77" t="inlineStr">
        <is>
          <t>Oxford Brookes</t>
        </is>
      </c>
      <c r="D565" s="77" t="inlineStr">
        <is>
          <t>UK – additional</t>
        </is>
      </c>
      <c r="E565" s="77" t="inlineStr">
        <is>
          <t>ACES accountancy volunteering scheme</t>
        </is>
      </c>
      <c r="F565" s="77" t="inlineStr">
        <is>
          <t>No</t>
        </is>
      </c>
      <c r="G565" s="77" t="inlineStr"/>
      <c r="H565" s="77" t="inlineStr">
        <is>
          <t>Volunteering/service-learning</t>
        </is>
      </c>
      <c r="I565" s="77" t="inlineStr">
        <is>
          <t>Second/final-year accounting students provide book-keeping and examination support to community organisations; service volunteering rather than a bounded team project.</t>
        </is>
      </c>
      <c r="J565" s="77" t="inlineStr">
        <is>
          <t>https://www.brookes.ac.uk/about-brookes/structure-and-governance/faculties-and-schools/business/business-engagement/work-with-our-students/free-consultancy-and-support</t>
        </is>
      </c>
      <c r="K565" s="77" t="inlineStr"/>
    </row>
    <row r="566">
      <c r="A566" s="77" t="inlineStr">
        <is>
          <t>UK24-X06</t>
        </is>
      </c>
      <c r="B566" s="77" t="inlineStr">
        <is>
          <t>UK24</t>
        </is>
      </c>
      <c r="C566" s="77" t="inlineStr">
        <is>
          <t>Oxford Brookes</t>
        </is>
      </c>
      <c r="D566" s="77" t="inlineStr">
        <is>
          <t>UK – additional</t>
        </is>
      </c>
      <c r="E566" s="77" t="inlineStr">
        <is>
          <t>Politics: Professional Development in Practice; Social Science Extended Project</t>
        </is>
      </c>
      <c r="F566" s="77" t="inlineStr">
        <is>
          <t>No</t>
        </is>
      </c>
      <c r="G566" s="77" t="inlineStr"/>
      <c r="H566" s="77" t="inlineStr">
        <is>
          <t>Evidence gap</t>
        </is>
      </c>
      <c r="I566" s="77" t="inlineStr">
        <is>
          <t>Optional modules; PDP mentions projects with 'external partners' but group working and partner role not stated; Extended Project is community project or dissertation with no partner evidence.</t>
        </is>
      </c>
      <c r="J566" s="77" t="inlineStr">
        <is>
          <t>https://www.brookes.ac.uk/courses/undergraduate/politics</t>
        </is>
      </c>
      <c r="K566" s="77" t="inlineStr"/>
    </row>
    <row r="567">
      <c r="A567" s="77" t="inlineStr">
        <is>
          <t>UK24-X07</t>
        </is>
      </c>
      <c r="B567" s="77" t="inlineStr">
        <is>
          <t>UK24</t>
        </is>
      </c>
      <c r="C567" s="77" t="inlineStr">
        <is>
          <t>Oxford Brookes</t>
        </is>
      </c>
      <c r="D567" s="77" t="inlineStr">
        <is>
          <t>UK – additional</t>
        </is>
      </c>
      <c r="E567" s="77" t="inlineStr">
        <is>
          <t>Work-based learning in Sociology / Criminology, Social Work placements</t>
        </is>
      </c>
      <c r="F567" s="77" t="inlineStr">
        <is>
          <t>No</t>
        </is>
      </c>
      <c r="G567" s="77" t="inlineStr"/>
      <c r="H567" s="77" t="inlineStr">
        <is>
          <t>Placement/internship</t>
        </is>
      </c>
      <c r="I567" s="77" t="inlineStr">
        <is>
          <t>Individual placements or work-related projects.</t>
        </is>
      </c>
      <c r="J567" s="77" t="inlineStr">
        <is>
          <t>https://www.brookes.ac.uk/courses/undergraduate/criminology-and-sociology</t>
        </is>
      </c>
      <c r="K567" s="77" t="inlineStr"/>
    </row>
    <row r="568">
      <c r="A568" s="77" t="inlineStr">
        <is>
          <t>UK25-X01</t>
        </is>
      </c>
      <c r="B568" s="77" t="inlineStr">
        <is>
          <t>UK25</t>
        </is>
      </c>
      <c r="C568" s="77" t="inlineStr">
        <is>
          <t>Northumbria</t>
        </is>
      </c>
      <c r="D568" s="77" t="inlineStr">
        <is>
          <t>UK – additional</t>
        </is>
      </c>
      <c r="E568" s="77" t="inlineStr">
        <is>
          <t>Student and Graduate Enterprise / Innovation Northumbria Incubator</t>
        </is>
      </c>
      <c r="F568" s="77" t="inlineStr">
        <is>
          <t>Yes</t>
        </is>
      </c>
      <c r="G568" s="77" t="n">
        <v>81</v>
      </c>
      <c r="H568" s="77" t="inlineStr">
        <is>
          <t>Entrepreneurship/incubator</t>
        </is>
      </c>
      <c r="I568" s="77" t="inlineStr">
        <is>
          <t>Workshops, advisers and incubator space for students' own ventures; no evidenced external-client group project (A/B/C not shown). Not researched further in reduced-depth mode.</t>
        </is>
      </c>
      <c r="J568" s="77" t="inlineStr">
        <is>
          <t>https://www.northumbria.ac.uk/study-at-northumbria/student-graduate-enterprise/</t>
        </is>
      </c>
      <c r="K568" s="77" t="inlineStr">
        <is>
          <t>Undated page</t>
        </is>
      </c>
    </row>
    <row r="569">
      <c r="A569" s="77" t="inlineStr">
        <is>
          <t>UK25-X02</t>
        </is>
      </c>
      <c r="B569" s="77" t="inlineStr">
        <is>
          <t>UK25</t>
        </is>
      </c>
      <c r="C569" s="77" t="inlineStr">
        <is>
          <t>Northumbria</t>
        </is>
      </c>
      <c r="D569" s="77" t="inlineStr">
        <is>
          <t>UK – additional</t>
        </is>
      </c>
      <c r="E569" s="77" t="inlineStr">
        <is>
          <t>KB6031 Integrated Group Design Project (Civil Engineering)</t>
        </is>
      </c>
      <c r="F569" s="77" t="inlineStr">
        <is>
          <t>No</t>
        </is>
      </c>
      <c r="G569" s="77" t="inlineStr"/>
      <c r="H569" s="77" t="inlineStr">
        <is>
          <t>Near-miss: no external org</t>
        </is>
      </c>
      <c r="I569" s="77" t="inlineStr">
        <is>
          <t>Group project from 'a client brief' based on a real project, but communicated via 'role-play client meetings' (simulated client); no external organisation evidenced.</t>
        </is>
      </c>
      <c r="J569" s="77" t="inlineStr">
        <is>
          <t>https://www.northumbria.ac.uk/study-at-northumbria/courses/civil-engineering-beng-ft-uuscie1?moduleslug=kb6031-integrated-group-design-project&amp;alttemplate=%7Bdf847541-4f68-426a-8940-4c60ff4c5262%7D</t>
        </is>
      </c>
      <c r="K569" s="77" t="inlineStr"/>
    </row>
    <row r="570">
      <c r="A570" s="77" t="inlineStr">
        <is>
          <t>UK25-X03</t>
        </is>
      </c>
      <c r="B570" s="77" t="inlineStr">
        <is>
          <t>UK25</t>
        </is>
      </c>
      <c r="C570" s="77" t="inlineStr">
        <is>
          <t>Northumbria</t>
        </is>
      </c>
      <c r="D570" s="77" t="inlineStr">
        <is>
          <t>UK – additional</t>
        </is>
      </c>
      <c r="E570" s="77" t="inlineStr">
        <is>
          <t>Student Law Office</t>
        </is>
      </c>
      <c r="F570" s="77" t="inlineStr">
        <is>
          <t>No</t>
        </is>
      </c>
      <c r="G570" s="77" t="inlineStr"/>
      <c r="H570" s="77" t="inlineStr">
        <is>
          <t>Near-miss: not group</t>
        </is>
      </c>
      <c r="I570" s="77" t="inlineStr">
        <is>
          <t>Real-client legal casework clinic (public, businesses, community groups); students advise/represent clients on cases rather than team-delivering a bounded project brief; team structure only evidenced for Bar project (groups of 6-8, supervised) via search summary.</t>
        </is>
      </c>
      <c r="J570" s="77" t="inlineStr">
        <is>
          <t>https://www.northumbria.ac.uk/about-us/news-events/news/pioneering-law-clinic-wins-green-gown-award/</t>
        </is>
      </c>
      <c r="K570" s="77" t="inlineStr"/>
    </row>
    <row r="571">
      <c r="A571" s="77" t="inlineStr">
        <is>
          <t>UK25-X04</t>
        </is>
      </c>
      <c r="B571" s="77" t="inlineStr">
        <is>
          <t>UK25</t>
        </is>
      </c>
      <c r="C571" s="77" t="inlineStr">
        <is>
          <t>Northumbria</t>
        </is>
      </c>
      <c r="D571" s="77" t="inlineStr">
        <is>
          <t>UK – additional</t>
        </is>
      </c>
      <c r="E571" s="77" t="inlineStr">
        <is>
          <t>Film Live Briefs (Film Professional Placement module, 2nd year)</t>
        </is>
      </c>
      <c r="F571" s="77" t="inlineStr">
        <is>
          <t>No</t>
        </is>
      </c>
      <c r="G571" s="77" t="inlineStr"/>
      <c r="H571" s="77" t="inlineStr">
        <is>
          <t>Evidence gap</t>
        </is>
      </c>
      <c r="I571" s="77" t="inlineStr">
        <is>
          <t>'Projects are undertaken with external clients' (staff training, social media, promotional videos) but team/individual working, assessment and module code not evidenced.</t>
        </is>
      </c>
      <c r="J571" s="77" t="inlineStr">
        <is>
          <t>https://www.northumbria.ac.uk/study-at-northumbria/planning-your-career/services-for-employers/connect-with-our-students/projects/</t>
        </is>
      </c>
      <c r="K571" s="77" t="inlineStr">
        <is>
          <t>Undated</t>
        </is>
      </c>
    </row>
    <row r="572">
      <c r="A572" s="77" t="inlineStr">
        <is>
          <t>UK25-X05</t>
        </is>
      </c>
      <c r="B572" s="77" t="inlineStr">
        <is>
          <t>UK25</t>
        </is>
      </c>
      <c r="C572" s="77" t="inlineStr">
        <is>
          <t>Northumbria</t>
        </is>
      </c>
      <c r="D572" s="77" t="inlineStr">
        <is>
          <t>UK – additional</t>
        </is>
      </c>
      <c r="E572" s="77" t="inlineStr">
        <is>
          <t>Design live-brief modules (DE7042 Design for Behaviour Change; GD6014 Realisation: Industry Briefs, AOD Sri Lanka)</t>
        </is>
      </c>
      <c r="F572" s="77" t="inlineStr">
        <is>
          <t>No</t>
        </is>
      </c>
      <c r="G572" s="77" t="inlineStr"/>
      <c r="H572" s="77" t="inlineStr">
        <is>
          <t>Evidence gap</t>
        </is>
      </c>
      <c r="I572" s="77" t="inlineStr">
        <is>
          <t>External partner 'can' supply the brief (optional); GD6014 is at a Sri Lanka partner campus. Group basis and standard external participation unclear.</t>
        </is>
      </c>
      <c r="J572" s="77" t="inlineStr">
        <is>
          <t>https://corp.northumbria.ac.uk/study-at-northumbria/courses/mamsc-product-design-futures-dtppdf6?moduleslug=de7042-design-for-behaviour-change&amp;alttemplate=df847541-4f68-426a-8940-4c60ff4c5262&amp;y=2027</t>
        </is>
      </c>
      <c r="K572" s="77" t="inlineStr"/>
    </row>
    <row r="573">
      <c r="A573" s="77" t="inlineStr">
        <is>
          <t>UK25-X06</t>
        </is>
      </c>
      <c r="B573" s="77" t="inlineStr">
        <is>
          <t>UK25</t>
        </is>
      </c>
      <c r="C573" s="77" t="inlineStr">
        <is>
          <t>Northumbria</t>
        </is>
      </c>
      <c r="D573" s="77" t="inlineStr">
        <is>
          <t>UK – additional</t>
        </is>
      </c>
      <c r="E573" s="77" t="inlineStr">
        <is>
          <t>Sport Event Management live module / Sport Outreach</t>
        </is>
      </c>
      <c r="F573" s="77" t="inlineStr">
        <is>
          <t>No</t>
        </is>
      </c>
      <c r="G573" s="77" t="inlineStr"/>
      <c r="H573" s="77" t="inlineStr">
        <is>
          <t>Evidence gap</t>
        </is>
      </c>
      <c r="I573" s="77" t="inlineStr">
        <is>
          <t>Search summaries describe students planning and delivering a real sport event with a partner, and outreach projects with charities/schools; module page, group working and external role not opened.</t>
        </is>
      </c>
      <c r="J573" s="77" t="inlineStr">
        <is>
          <t>https://www.northumbria.ac.uk/study-at-northumbria/planning-your-career/services-for-employers/connect-with-our-students/projects/</t>
        </is>
      </c>
      <c r="K573" s="77" t="inlineStr"/>
    </row>
    <row r="574">
      <c r="A574" s="77" t="inlineStr">
        <is>
          <t>UK25-X07</t>
        </is>
      </c>
      <c r="B574" s="77" t="inlineStr">
        <is>
          <t>UK25</t>
        </is>
      </c>
      <c r="C574" s="77" t="inlineStr">
        <is>
          <t>Northumbria</t>
        </is>
      </c>
      <c r="D574" s="77" t="inlineStr">
        <is>
          <t>UK – additional</t>
        </is>
      </c>
      <c r="E574" s="77" t="inlineStr">
        <is>
          <t>Building Advice Centre (Building Surveying)</t>
        </is>
      </c>
      <c r="F574" s="77" t="inlineStr">
        <is>
          <t>No</t>
        </is>
      </c>
      <c r="G574" s="77" t="inlineStr"/>
      <c r="H574" s="77" t="inlineStr">
        <is>
          <t>Near-miss: not project</t>
        </is>
      </c>
      <c r="I574" s="77" t="inlineStr">
        <is>
          <t>Free public advice service supervised by staff; clients are members of the public; team structure and project output not evidenced.</t>
        </is>
      </c>
      <c r="J574" s="77" t="inlineStr">
        <is>
          <t>https://www.northumbria.ac.uk/study-at-northumbria/planning-your-career/services-for-employers/connect-with-our-students/projects/</t>
        </is>
      </c>
      <c r="K574" s="77" t="inlineStr"/>
    </row>
    <row r="575">
      <c r="A575" s="77" t="inlineStr">
        <is>
          <t>UK25-X08</t>
        </is>
      </c>
      <c r="B575" s="77" t="inlineStr">
        <is>
          <t>UK25</t>
        </is>
      </c>
      <c r="C575" s="77" t="inlineStr">
        <is>
          <t>Northumbria</t>
        </is>
      </c>
      <c r="D575" s="77" t="inlineStr">
        <is>
          <t>UK – additional</t>
        </is>
      </c>
      <c r="E575" s="77" t="inlineStr">
        <is>
          <t>London campus Consultancy Clinic / MSc Computing and Technology Advanced Practice (team of 3-5 for a real organisation)</t>
        </is>
      </c>
      <c r="F575" s="77" t="inlineStr">
        <is>
          <t>No</t>
        </is>
      </c>
      <c r="G575" s="77" t="inlineStr"/>
      <c r="H575" s="77" t="inlineStr">
        <is>
          <t>Evidence gap</t>
        </is>
      </c>
      <c r="I575" s="77" t="inlineStr">
        <is>
          <t>Search summaries indicate team consultancy for real organisations at Northumbria London campus; pages not opened.</t>
        </is>
      </c>
      <c r="J575" s="77" t="inlineStr">
        <is>
          <t>https://london.northumbria.ac.uk/consultancy-clinic/</t>
        </is>
      </c>
      <c r="K575" s="77" t="inlineStr"/>
    </row>
    <row r="576">
      <c r="A576" s="77" t="inlineStr">
        <is>
          <t>UK26-X01</t>
        </is>
      </c>
      <c r="B576" s="77" t="inlineStr">
        <is>
          <t>UK26</t>
        </is>
      </c>
      <c r="C576" s="77" t="inlineStr">
        <is>
          <t>Portsmouth</t>
        </is>
      </c>
      <c r="D576" s="77" t="inlineStr">
        <is>
          <t>UK – additional</t>
        </is>
      </c>
      <c r="E576" s="77" t="inlineStr">
        <is>
          <t>Student Startup / Entrepreneurial Collective</t>
        </is>
      </c>
      <c r="F576" s="77" t="inlineStr">
        <is>
          <t>Yes</t>
        </is>
      </c>
      <c r="G576" s="77" t="n">
        <v>83</v>
      </c>
      <c r="H576" s="77" t="inlineStr">
        <is>
          <t>Entrepreneurship/incubator</t>
        </is>
      </c>
      <c r="I576" s="77" t="inlineStr">
        <is>
          <t>Enterprise support and mentoring for founders; no employer-set group project evidenced (work-experience page: 'we'll support you to set up your own business').</t>
        </is>
      </c>
      <c r="J576" s="77" t="inlineStr">
        <is>
          <t>https://myport.port.ac.uk/my-course/careers-support/student-startup-support</t>
        </is>
      </c>
      <c r="K576" s="77" t="inlineStr">
        <is>
          <t>Undated</t>
        </is>
      </c>
    </row>
    <row r="577">
      <c r="A577" s="77" t="inlineStr">
        <is>
          <t>UK26-X02</t>
        </is>
      </c>
      <c r="B577" s="77" t="inlineStr">
        <is>
          <t>UK26</t>
        </is>
      </c>
      <c r="C577" s="77" t="inlineStr">
        <is>
          <t>Portsmouth</t>
        </is>
      </c>
      <c r="D577" s="77" t="inlineStr">
        <is>
          <t>UK – additional</t>
        </is>
      </c>
      <c r="E577" s="77" t="inlineStr">
        <is>
          <t>Architecture Project Office</t>
        </is>
      </c>
      <c r="F577" s="77" t="inlineStr">
        <is>
          <t>No</t>
        </is>
      </c>
      <c r="G577" s="77" t="inlineStr"/>
      <c r="H577" s="77" t="inlineStr">
        <is>
          <t>Evidence gap</t>
        </is>
      </c>
      <c r="I577" s="77" t="inlineStr">
        <is>
          <t>Optional extracurricular student-led consultancy open to UG and PG with charity, local authority and private clients (search summary, work-experience page); the dedicated page is an old www2 page and the fetch timed out, so group structure and current delivery are unverified.</t>
        </is>
      </c>
      <c r="J577" s="77" t="inlineStr">
        <is>
          <t>http://www2.port.ac.uk/faculty-of-creative-and-cultural-industries/employability/information-for-students/client-projects/the-project-office/</t>
        </is>
      </c>
      <c r="K577" s="77" t="inlineStr">
        <is>
          <t>Likely qualifying lead; status unclear</t>
        </is>
      </c>
    </row>
    <row r="578">
      <c r="A578" s="77" t="inlineStr">
        <is>
          <t>UK26-X03</t>
        </is>
      </c>
      <c r="B578" s="77" t="inlineStr">
        <is>
          <t>UK26</t>
        </is>
      </c>
      <c r="C578" s="77" t="inlineStr">
        <is>
          <t>Portsmouth</t>
        </is>
      </c>
      <c r="D578" s="77" t="inlineStr">
        <is>
          <t>UK – additional</t>
        </is>
      </c>
      <c r="E578" s="77" t="inlineStr">
        <is>
          <t>Creative Computing live briefs (Creative Computing Studio)</t>
        </is>
      </c>
      <c r="F578" s="77" t="inlineStr">
        <is>
          <t>No</t>
        </is>
      </c>
      <c r="G578" s="77" t="inlineStr"/>
      <c r="H578" s="77" t="inlineStr">
        <is>
          <t>Evidence gap</t>
        </is>
      </c>
      <c r="I578" s="77" t="inlineStr">
        <is>
          <t>Course highlight mentions 'working with real clients on live briefs' and a core group project, but no module is tied to client work and the client role is not described.</t>
        </is>
      </c>
      <c r="J578" s="77" t="inlineStr">
        <is>
          <t>https://www.port.ac.uk/study/courses/undergraduate/ba-bsc-hons-creative-computing</t>
        </is>
      </c>
      <c r="K578" s="77" t="inlineStr">
        <is>
          <t>Sept 2027 entry page</t>
        </is>
      </c>
    </row>
    <row r="579">
      <c r="A579" s="77" t="inlineStr">
        <is>
          <t>UK26-X04</t>
        </is>
      </c>
      <c r="B579" s="77" t="inlineStr">
        <is>
          <t>UK26</t>
        </is>
      </c>
      <c r="C579" s="77" t="inlineStr">
        <is>
          <t>Portsmouth</t>
        </is>
      </c>
      <c r="D579" s="77" t="inlineStr">
        <is>
          <t>UK – additional</t>
        </is>
      </c>
      <c r="E579" s="77" t="inlineStr">
        <is>
          <t>Marketing Consultancy Project (BA Marketing)</t>
        </is>
      </c>
      <c r="F579" s="77" t="inlineStr">
        <is>
          <t>No</t>
        </is>
      </c>
      <c r="G579" s="77" t="inlineStr"/>
      <c r="H579" s="77" t="inlineStr">
        <is>
          <t>Evidence gap</t>
        </is>
      </c>
      <c r="I579" s="77" t="inlineStr">
        <is>
          <t>Named on the work-experience page as an optional module; no team, client or credit detail retrieved.</t>
        </is>
      </c>
      <c r="J579" s="77" t="inlineStr">
        <is>
          <t>https://www.port.ac.uk/student-life/careers-and-employment/work-experience-opportunities</t>
        </is>
      </c>
      <c r="K579" s="77" t="inlineStr">
        <is>
          <t>Lead only</t>
        </is>
      </c>
    </row>
    <row r="580">
      <c r="A580" s="77" t="inlineStr">
        <is>
          <t>UK26-X05</t>
        </is>
      </c>
      <c r="B580" s="77" t="inlineStr">
        <is>
          <t>UK26</t>
        </is>
      </c>
      <c r="C580" s="77" t="inlineStr">
        <is>
          <t>Portsmouth</t>
        </is>
      </c>
      <c r="D580" s="77" t="inlineStr">
        <is>
          <t>UK – additional</t>
        </is>
      </c>
      <c r="E580" s="77" t="inlineStr">
        <is>
          <t>Accounting Clinic</t>
        </is>
      </c>
      <c r="F580" s="77" t="inlineStr">
        <is>
          <t>No</t>
        </is>
      </c>
      <c r="G580" s="77" t="inlineStr"/>
      <c r="H580" s="77" t="inlineStr">
        <is>
          <t>Evidence gap</t>
        </is>
      </c>
      <c r="I580" s="77" t="inlineStr">
        <is>
          <t>Second/final-year accounting and finance students work in the clinic; client type, team structure and output not retrieved.</t>
        </is>
      </c>
      <c r="J580" s="77" t="inlineStr">
        <is>
          <t>https://www.port.ac.uk/student-life/careers-and-employment/work-experience-opportunities</t>
        </is>
      </c>
      <c r="K580" s="77" t="inlineStr">
        <is>
          <t>Lead only</t>
        </is>
      </c>
    </row>
    <row r="581">
      <c r="A581" s="77" t="inlineStr">
        <is>
          <t>UK26-X06</t>
        </is>
      </c>
      <c r="B581" s="77" t="inlineStr">
        <is>
          <t>UK26</t>
        </is>
      </c>
      <c r="C581" s="77" t="inlineStr">
        <is>
          <t>Portsmouth</t>
        </is>
      </c>
      <c r="D581" s="77" t="inlineStr">
        <is>
          <t>UK – additional</t>
        </is>
      </c>
      <c r="E581" s="77" t="inlineStr">
        <is>
          <t>Law in the Community; Legal Advice Clinic; Cybercrime Clinic</t>
        </is>
      </c>
      <c r="F581" s="77" t="inlineStr">
        <is>
          <t>No</t>
        </is>
      </c>
      <c r="G581" s="77" t="inlineStr"/>
      <c r="H581" s="77" t="inlineStr">
        <is>
          <t>Placement/internship</t>
        </is>
      </c>
      <c r="I581" s="77" t="inlineStr">
        <is>
          <t>Weekly placements with external partners or casework with members of the public; no group project output evidenced.</t>
        </is>
      </c>
      <c r="J581" s="77" t="inlineStr">
        <is>
          <t>https://www.port.ac.uk/study/courses/undergraduate/llb-hons-law-with-criminology</t>
        </is>
      </c>
      <c r="K581" s="77" t="inlineStr"/>
    </row>
    <row r="582">
      <c r="A582" s="77" t="inlineStr">
        <is>
          <t>UK26-X07</t>
        </is>
      </c>
      <c r="B582" s="77" t="inlineStr">
        <is>
          <t>UK26</t>
        </is>
      </c>
      <c r="C582" s="77" t="inlineStr">
        <is>
          <t>Portsmouth</t>
        </is>
      </c>
      <c r="D582" s="77" t="inlineStr">
        <is>
          <t>UK – additional</t>
        </is>
      </c>
      <c r="E582" s="77" t="inlineStr">
        <is>
          <t>Sociology Major Project; Doing Sociological Research</t>
        </is>
      </c>
      <c r="F582" s="77" t="inlineStr">
        <is>
          <t>No</t>
        </is>
      </c>
      <c r="G582" s="77" t="inlineStr"/>
      <c r="H582" s="77" t="inlineStr">
        <is>
          <t>Evidence gap</t>
        </is>
      </c>
      <c r="I582" s="77" t="inlineStr">
        <is>
          <t>Search summary only: Major Project works with external partners but appears individual; Doing Sociological Research is a group class project without external organisation.</t>
        </is>
      </c>
      <c r="J582" s="77" t="inlineStr">
        <is>
          <t>https://port.ac.uk/study/courses/bsc-hons-sociology-with-criminology</t>
        </is>
      </c>
      <c r="K582" s="77" t="inlineStr">
        <is>
          <t>Not verified</t>
        </is>
      </c>
    </row>
    <row r="583">
      <c r="A583" s="77" t="inlineStr">
        <is>
          <t>UK26-X08</t>
        </is>
      </c>
      <c r="B583" s="77" t="inlineStr">
        <is>
          <t>UK26</t>
        </is>
      </c>
      <c r="C583" s="77" t="inlineStr">
        <is>
          <t>Portsmouth</t>
        </is>
      </c>
      <c r="D583" s="77" t="inlineStr">
        <is>
          <t>UK – additional</t>
        </is>
      </c>
      <c r="E583" s="77" t="inlineStr">
        <is>
          <t>Pharmacology research-based work experience; Environmental Science research project</t>
        </is>
      </c>
      <c r="F583" s="77" t="inlineStr">
        <is>
          <t>No</t>
        </is>
      </c>
      <c r="G583" s="77" t="inlineStr"/>
      <c r="H583" s="77" t="inlineStr">
        <is>
          <t>Near-miss: not group</t>
        </is>
      </c>
      <c r="I583" s="77" t="inlineStr">
        <is>
          <t>Individual project in industry/clinical setting or independent research project.</t>
        </is>
      </c>
      <c r="J583" s="77" t="inlineStr">
        <is>
          <t>https://www.port.ac.uk/study/courses/undergraduate/bsc-hons-pharmacology</t>
        </is>
      </c>
      <c r="K583" s="77" t="inlineStr"/>
    </row>
    <row r="584">
      <c r="A584" s="77" t="inlineStr">
        <is>
          <t>UK27-X01</t>
        </is>
      </c>
      <c r="B584" s="77" t="inlineStr">
        <is>
          <t>UK27</t>
        </is>
      </c>
      <c r="C584" s="77" t="inlineStr">
        <is>
          <t>Coventry</t>
        </is>
      </c>
      <c r="D584" s="77" t="inlineStr">
        <is>
          <t>UK – additional</t>
        </is>
      </c>
      <c r="E584" s="77" t="inlineStr">
        <is>
          <t>Postgraduate Consultancy Project (Coventry Business School/College of Business and Law)</t>
        </is>
      </c>
      <c r="F584" s="77" t="inlineStr">
        <is>
          <t>No</t>
        </is>
      </c>
      <c r="G584" s="77" t="inlineStr"/>
      <c r="H584" s="77" t="inlineStr">
        <is>
          <t>Near-miss: not group</t>
        </is>
      </c>
      <c r="I584" s="77" t="inlineStr">
        <is>
          <t>Page describes a single student 'undertaking a business project' for a company-derived real issue (8-12 weeks, management report, replaces dissertation); no team element.</t>
        </is>
      </c>
      <c r="J584" s="77" t="inlineStr">
        <is>
          <t>https://www.coventry.ac.uk/study-at-coventry/faculties-and-schools/coventry-business-school/employability/postgraduate-consultancy-projects/</t>
        </is>
      </c>
      <c r="K584" s="77" t="inlineStr">
        <is>
          <t>Intakes Sept/Jan/May; examples undated</t>
        </is>
      </c>
    </row>
    <row r="585">
      <c r="A585" s="77" t="inlineStr">
        <is>
          <t>UK27-X02</t>
        </is>
      </c>
      <c r="B585" s="77" t="inlineStr">
        <is>
          <t>UK27</t>
        </is>
      </c>
      <c r="C585" s="77" t="inlineStr">
        <is>
          <t>Coventry</t>
        </is>
      </c>
      <c r="D585" s="77" t="inlineStr">
        <is>
          <t>UK – additional</t>
        </is>
      </c>
      <c r="E585" s="77" t="inlineStr">
        <is>
          <t>Global Opportunities: work and short international experiences</t>
        </is>
      </c>
      <c r="F585" s="77" t="inlineStr">
        <is>
          <t>Yes</t>
        </is>
      </c>
      <c r="G585" s="77" t="n">
        <v>84</v>
      </c>
      <c r="H585" s="77" t="inlineStr">
        <is>
          <t>Placement/internship</t>
        </is>
      </c>
      <c r="I585" s="77" t="inlineStr">
        <is>
          <t>Fetched page: all registered students and recent graduates may study abroad, do work placements or volunteer; no project, team or employer-brief element named.</t>
        </is>
      </c>
      <c r="J585" s="77" t="inlineStr">
        <is>
          <t>https://www.coventry.ac.uk/study-at-coventry/student-support/enhance-your-employability/global-opportunities/go-abroad/</t>
        </is>
      </c>
      <c r="K585" s="77" t="inlineStr">
        <is>
          <t>Undated</t>
        </is>
      </c>
    </row>
    <row r="586">
      <c r="A586" s="77" t="inlineStr">
        <is>
          <t>UK27-X03</t>
        </is>
      </c>
      <c r="B586" s="77" t="inlineStr">
        <is>
          <t>UK27</t>
        </is>
      </c>
      <c r="C586" s="77" t="inlineStr">
        <is>
          <t>Coventry</t>
        </is>
      </c>
      <c r="D586" s="77" t="inlineStr">
        <is>
          <t>UK – additional</t>
        </is>
      </c>
      <c r="E586" s="77" t="inlineStr">
        <is>
          <t>Global Leaders Programme</t>
        </is>
      </c>
      <c r="F586" s="77" t="inlineStr">
        <is>
          <t>Yes</t>
        </is>
      </c>
      <c r="G586" s="77" t="n">
        <v>85</v>
      </c>
      <c r="H586" s="77" t="inlineStr">
        <is>
          <t>Employability award</t>
        </is>
      </c>
      <c r="I586" s="77" t="inlineStr">
        <is>
          <t>Only a 2021 student blog evidence; no project/group/employer evidence; not re-searched in reduced-depth mode.</t>
        </is>
      </c>
      <c r="J586" s="77" t="inlineStr">
        <is>
          <t>https://www.coventry.ac.uk/blog/five-ways-i-got-more-than-a-degree-from-coventry-university/</t>
        </is>
      </c>
      <c r="K586" s="77" t="inlineStr">
        <is>
          <t>Historical evidence only</t>
        </is>
      </c>
    </row>
    <row r="587">
      <c r="A587" s="77" t="inlineStr">
        <is>
          <t>UK27-X04</t>
        </is>
      </c>
      <c r="B587" s="77" t="inlineStr">
        <is>
          <t>UK27</t>
        </is>
      </c>
      <c r="C587" s="77" t="inlineStr">
        <is>
          <t>Coventry</t>
        </is>
      </c>
      <c r="D587" s="77" t="inlineStr">
        <is>
          <t>UK – additional</t>
        </is>
      </c>
      <c r="E587" s="77" t="inlineStr">
        <is>
          <t>BA Media Production, Content Creation (30 credits, Year 2 compulsory)</t>
        </is>
      </c>
      <c r="F587" s="77" t="inlineStr">
        <is>
          <t>No</t>
        </is>
      </c>
      <c r="G587" s="77" t="inlineStr"/>
      <c r="H587" s="77" t="inlineStr">
        <is>
          <t>Evidence gap</t>
        </is>
      </c>
      <c r="I587" s="77" t="inlineStr">
        <is>
          <t>Page says 'creating branded content for a real client'; group/individual not stated and client role not described.</t>
        </is>
      </c>
      <c r="J587" s="77" t="inlineStr">
        <is>
          <t>https://www.coventry.ac.uk/course-structure/ug/fah/media-production-ba-hons/</t>
        </is>
      </c>
      <c r="K587" s="77" t="inlineStr">
        <is>
          <t>2026-27 entry listing</t>
        </is>
      </c>
    </row>
    <row r="588">
      <c r="A588" s="77" t="inlineStr">
        <is>
          <t>UK27-X05</t>
        </is>
      </c>
      <c r="B588" s="77" t="inlineStr">
        <is>
          <t>UK27</t>
        </is>
      </c>
      <c r="C588" s="77" t="inlineStr">
        <is>
          <t>Coventry</t>
        </is>
      </c>
      <c r="D588" s="77" t="inlineStr">
        <is>
          <t>UK – additional</t>
        </is>
      </c>
      <c r="E588" s="77" t="inlineStr">
        <is>
          <t>MA Product Design Innovation / MA Film and Media Production / BSc Interactive Media and Web Technologies Integrative Project</t>
        </is>
      </c>
      <c r="F588" s="77" t="inlineStr">
        <is>
          <t>No</t>
        </is>
      </c>
      <c r="G588" s="77" t="inlineStr"/>
      <c r="H588" s="77" t="inlineStr">
        <is>
          <t>Evidence gap</t>
        </is>
      </c>
      <c r="I588" s="77" t="inlineStr">
        <is>
          <t>Search summaries only (not fetched): live briefs 'where possible', live brief possibly with external collaborators, team-based 'client-led' project; some pages 2021-23 versions. Optional/occasional external clients.</t>
        </is>
      </c>
      <c r="J588" s="77" t="inlineStr">
        <is>
          <t>https://www.coventry.ac.uk/course-structure/pg/cas/product-design-innovation-ma/</t>
        </is>
      </c>
      <c r="K588" s="77" t="inlineStr">
        <is>
          <t>Search-index paraphrase</t>
        </is>
      </c>
    </row>
    <row r="589">
      <c r="A589" s="77" t="inlineStr">
        <is>
          <t>UK27-X06</t>
        </is>
      </c>
      <c r="B589" s="77" t="inlineStr">
        <is>
          <t>UK27</t>
        </is>
      </c>
      <c r="C589" s="77" t="inlineStr">
        <is>
          <t>Coventry</t>
        </is>
      </c>
      <c r="D589" s="77" t="inlineStr">
        <is>
          <t>UK – additional</t>
        </is>
      </c>
      <c r="E589" s="77" t="inlineStr">
        <is>
          <t>Coventry Law School Legal Clinic</t>
        </is>
      </c>
      <c r="F589" s="77" t="inlineStr">
        <is>
          <t>No</t>
        </is>
      </c>
      <c r="G589" s="77" t="inlineStr"/>
      <c r="H589" s="77" t="inlineStr">
        <is>
          <t>Volunteering/service-learning</t>
        </is>
      </c>
      <c r="I589" s="77" t="inlineStr">
        <is>
          <t>Casework with real clients alongside solicitors at a law centre (search summary, not fetched); individual client casework, 12-15 students recruited; not a group project brief.</t>
        </is>
      </c>
      <c r="J589" s="77" t="inlineStr">
        <is>
          <t>https://www.coventry.ac.uk/study-at-coventry/colleges-and-schools/business-and-law/coventry-law-school/legal-clinic/</t>
        </is>
      </c>
      <c r="K589" s="77" t="inlineStr">
        <is>
          <t>Search summary</t>
        </is>
      </c>
    </row>
    <row r="590">
      <c r="A590" s="77" t="inlineStr">
        <is>
          <t>UK27-X07</t>
        </is>
      </c>
      <c r="B590" s="77" t="inlineStr">
        <is>
          <t>UK27</t>
        </is>
      </c>
      <c r="C590" s="77" t="inlineStr">
        <is>
          <t>Coventry</t>
        </is>
      </c>
      <c r="D590" s="77" t="inlineStr">
        <is>
          <t>UK – additional</t>
        </is>
      </c>
      <c r="E590" s="77" t="inlineStr">
        <is>
          <t>University Business Challenge / Business Simulation Suite; CIMA Business Games; Synergy Business Challenge</t>
        </is>
      </c>
      <c r="F590" s="77" t="inlineStr">
        <is>
          <t>No</t>
        </is>
      </c>
      <c r="G590" s="77" t="inlineStr"/>
      <c r="H590" s="77" t="inlineStr">
        <is>
          <t>Simulation/virtual</t>
        </is>
      </c>
      <c r="I590" s="77" t="inlineStr">
        <is>
          <t>Simulation or case-based competitions; no live client evidenced.</t>
        </is>
      </c>
      <c r="J590" s="77" t="inlineStr">
        <is>
          <t>https://www.coventry.ac.uk/study-at-coventry/colleges-and-schools/business-and-law/facilities/business-simulation-suite/</t>
        </is>
      </c>
      <c r="K590" s="77" t="inlineStr"/>
    </row>
    <row r="591">
      <c r="A591" s="77" t="inlineStr">
        <is>
          <t>UK27-X08</t>
        </is>
      </c>
      <c r="B591" s="77" t="inlineStr">
        <is>
          <t>UK27</t>
        </is>
      </c>
      <c r="C591" s="77" t="inlineStr">
        <is>
          <t>Coventry</t>
        </is>
      </c>
      <c r="D591" s="77" t="inlineStr">
        <is>
          <t>UK – additional</t>
        </is>
      </c>
      <c r="E591" s="77" t="inlineStr">
        <is>
          <t>MSc Business Analytics external consultancy projects; MSc International Marketing Management consultancy option; BA Business Management Applied Project</t>
        </is>
      </c>
      <c r="F591" s="77" t="inlineStr">
        <is>
          <t>No</t>
        </is>
      </c>
      <c r="G591" s="77" t="inlineStr"/>
      <c r="H591" s="77" t="inlineStr">
        <is>
          <t>Evidence gap</t>
        </is>
      </c>
      <c r="I591" s="77" t="inlineStr">
        <is>
          <t>Search summaries only: optional consultancy-style routes within choice of dissertation/business plan/simulation; group basis and external client standard-ness unverified.</t>
        </is>
      </c>
      <c r="J591" s="77" t="inlineStr">
        <is>
          <t>https://www.coventry.ac.uk/course-structure/pg/cbl/business-analytics-msc/?term=2025-26</t>
        </is>
      </c>
      <c r="K591" s="77" t="inlineStr"/>
    </row>
    <row r="592">
      <c r="A592" s="77" t="inlineStr">
        <is>
          <t>UK27-X09</t>
        </is>
      </c>
      <c r="B592" s="77" t="inlineStr">
        <is>
          <t>UK27</t>
        </is>
      </c>
      <c r="C592" s="77" t="inlineStr">
        <is>
          <t>Coventry</t>
        </is>
      </c>
      <c r="D592" s="77" t="inlineStr">
        <is>
          <t>UK – additional</t>
        </is>
      </c>
      <c r="E592" s="77" t="inlineStr">
        <is>
          <t>BSc Human Biosciences / Applied Biosciences / Psychology final projects</t>
        </is>
      </c>
      <c r="F592" s="77" t="inlineStr">
        <is>
          <t>No</t>
        </is>
      </c>
      <c r="G592" s="77" t="inlineStr"/>
      <c r="H592" s="77" t="inlineStr">
        <is>
          <t>Dissertation/research</t>
        </is>
      </c>
      <c r="I592" s="77" t="inlineStr">
        <is>
          <t>Individual research projects; no external-partner team project found.</t>
        </is>
      </c>
      <c r="J592" s="77" t="inlineStr">
        <is>
          <t>https://www.coventry.ac.uk/course-structure/ug/hls/human-biosciences-bsc/</t>
        </is>
      </c>
      <c r="K592" s="77" t="inlineStr">
        <is>
          <t>Search summary</t>
        </is>
      </c>
    </row>
    <row r="593">
      <c r="A593" s="77" t="inlineStr">
        <is>
          <t>UK28-X01</t>
        </is>
      </c>
      <c r="B593" s="77" t="inlineStr">
        <is>
          <t>UK28</t>
        </is>
      </c>
      <c r="C593" s="77" t="inlineStr">
        <is>
          <t>Nottingham Trent</t>
        </is>
      </c>
      <c r="D593" s="77" t="inlineStr">
        <is>
          <t>UK – additional</t>
        </is>
      </c>
      <c r="E593" s="77" t="inlineStr">
        <is>
          <t>Grads4Nottm (legacy row)</t>
        </is>
      </c>
      <c r="F593" s="77" t="inlineStr">
        <is>
          <t>Yes</t>
        </is>
      </c>
      <c r="G593" s="77" t="n">
        <v>86</v>
      </c>
      <c r="H593" s="77" t="inlineStr">
        <is>
          <t>Other</t>
        </is>
      </c>
      <c r="I593" s="77" t="inlineStr">
        <is>
          <t>Reassessed as S1 (A/B/C Yes, current status unclear: latest evidence 2024).</t>
        </is>
      </c>
      <c r="J593" s="77" t="inlineStr"/>
      <c r="K593" s="77" t="inlineStr">
        <is>
          <t>see S1</t>
        </is>
      </c>
    </row>
    <row r="594">
      <c r="A594" s="77" t="inlineStr">
        <is>
          <t>UK28-X02</t>
        </is>
      </c>
      <c r="B594" s="77" t="inlineStr">
        <is>
          <t>UK28</t>
        </is>
      </c>
      <c r="C594" s="77" t="inlineStr">
        <is>
          <t>Nottingham Trent</t>
        </is>
      </c>
      <c r="D594" s="77" t="inlineStr">
        <is>
          <t>UK – additional</t>
        </is>
      </c>
      <c r="E594" s="77" t="inlineStr">
        <is>
          <t>Graphic Design, Animation, Media Production, Fashion Communication live briefs</t>
        </is>
      </c>
      <c r="F594" s="77" t="inlineStr">
        <is>
          <t>No</t>
        </is>
      </c>
      <c r="G594" s="77" t="inlineStr"/>
      <c r="H594" s="77" t="inlineStr">
        <is>
          <t>Evidence gap</t>
        </is>
      </c>
      <c r="I594" s="77" t="inlineStr">
        <is>
          <t>Course pages mention live client briefs (agencies, NHS, Nottingham Playhouse, Andrew Logan 2024) but group vs individual working and per-brief client role not evidenced; further departmental instances likely.</t>
        </is>
      </c>
      <c r="J594" s="77" t="inlineStr">
        <is>
          <t>https://www.ntu.ac.uk/about-us/news/news-articles/2024/07/live-client-brief-2024-with-artist-andrew-logan-x-ntu-fcp!</t>
        </is>
      </c>
      <c r="K594" s="77" t="inlineStr"/>
    </row>
    <row r="595">
      <c r="A595" s="77" t="inlineStr">
        <is>
          <t>UK28-X03</t>
        </is>
      </c>
      <c r="B595" s="77" t="inlineStr">
        <is>
          <t>UK28</t>
        </is>
      </c>
      <c r="C595" s="77" t="inlineStr">
        <is>
          <t>Nottingham Trent</t>
        </is>
      </c>
      <c r="D595" s="77" t="inlineStr">
        <is>
          <t>UK – additional</t>
        </is>
      </c>
      <c r="E595" s="77" t="inlineStr">
        <is>
          <t>Design Matter research group / NTU consultancy and KTPs</t>
        </is>
      </c>
      <c r="F595" s="77" t="inlineStr">
        <is>
          <t>No</t>
        </is>
      </c>
      <c r="G595" s="77" t="inlineStr"/>
      <c r="H595" s="77" t="inlineStr">
        <is>
          <t>Other</t>
        </is>
      </c>
      <c r="I595" s="77" t="inlineStr">
        <is>
          <t>Staff/research consultancy for commercial clients; no student group project evidenced.</t>
        </is>
      </c>
      <c r="J595" s="77" t="inlineStr">
        <is>
          <t>https://www.ntu.ac.uk/research/groups-and-centres/groups/design-matter</t>
        </is>
      </c>
      <c r="K595" s="77" t="inlineStr"/>
    </row>
    <row r="596">
      <c r="A596" s="77" t="inlineStr">
        <is>
          <t>UK28-X04</t>
        </is>
      </c>
      <c r="B596" s="77" t="inlineStr">
        <is>
          <t>UK28</t>
        </is>
      </c>
      <c r="C596" s="77" t="inlineStr">
        <is>
          <t>Nottingham Trent</t>
        </is>
      </c>
      <c r="D596" s="77" t="inlineStr">
        <is>
          <t>UK – additional</t>
        </is>
      </c>
      <c r="E596" s="77" t="inlineStr">
        <is>
          <t>Computer Science / Computing final-year Project and 'live industry briefs'</t>
        </is>
      </c>
      <c r="F596" s="77" t="inlineStr">
        <is>
          <t>No</t>
        </is>
      </c>
      <c r="G596" s="77" t="inlineStr"/>
      <c r="H596" s="77" t="inlineStr">
        <is>
          <t>Evidence gap</t>
        </is>
      </c>
      <c r="I596" s="77" t="inlineStr">
        <is>
          <t>Course page mentions live industry briefs but no module with group working and external client evidenced; BSc Computing Project is individual-investigation wording.</t>
        </is>
      </c>
      <c r="J596" s="77" t="inlineStr">
        <is>
          <t>https://www.ntu.ac.uk/course/computer-science</t>
        </is>
      </c>
      <c r="K596" s="77" t="inlineStr"/>
    </row>
    <row r="597">
      <c r="A597" s="77" t="inlineStr">
        <is>
          <t>UK28-X05</t>
        </is>
      </c>
      <c r="B597" s="77" t="inlineStr">
        <is>
          <t>UK28</t>
        </is>
      </c>
      <c r="C597" s="77" t="inlineStr">
        <is>
          <t>Nottingham Trent</t>
        </is>
      </c>
      <c r="D597" s="77" t="inlineStr">
        <is>
          <t>UK – additional</t>
        </is>
      </c>
      <c r="E597" s="77" t="inlineStr">
        <is>
          <t>NTU Alumni and Industry Fellowship Programme</t>
        </is>
      </c>
      <c r="F597" s="77" t="inlineStr">
        <is>
          <t>No</t>
        </is>
      </c>
      <c r="G597" s="77" t="inlineStr"/>
      <c r="H597" s="77" t="inlineStr">
        <is>
          <t>Near-miss: no external org</t>
        </is>
      </c>
      <c r="I597" s="77" t="inlineStr">
        <is>
          <t>Listed in results; not tested (mentoring/fellowship, not shown to be a student group project).</t>
        </is>
      </c>
      <c r="J597" s="77" t="inlineStr">
        <is>
          <t>https://www.ntu.ac.uk/alumni/get-involved/alumni-and-industry-fellowship-programme/celebrating-10-years</t>
        </is>
      </c>
      <c r="K597" s="77" t="inlineStr"/>
    </row>
    <row r="598">
      <c r="A598" s="77" t="inlineStr">
        <is>
          <t>UK29-X01</t>
        </is>
      </c>
      <c r="B598" s="77" t="inlineStr">
        <is>
          <t>UK29</t>
        </is>
      </c>
      <c r="C598" s="77" t="inlineStr">
        <is>
          <t>Manchester Metropolitan</t>
        </is>
      </c>
      <c r="D598" s="77" t="inlineStr">
        <is>
          <t>UK – additional</t>
        </is>
      </c>
      <c r="E598" s="77" t="inlineStr">
        <is>
          <t>Rise (framework as a whole)</t>
        </is>
      </c>
      <c r="F598" s="77" t="inlineStr">
        <is>
          <t>Yes</t>
        </is>
      </c>
      <c r="G598" s="77" t="n">
        <v>87</v>
      </c>
      <c r="H598" s="77" t="inlineStr">
        <is>
          <t>Employability award</t>
        </is>
      </c>
      <c r="I598" s="77" t="inlineStr">
        <is>
          <t>Co-curricular award/points framework; not itself a project. Only the 'project challenges' strand is assessed (S2), and its A/B remain Unclear.</t>
        </is>
      </c>
      <c r="J598" s="77" t="inlineStr">
        <is>
          <t>https://rise.mmu.ac.uk/</t>
        </is>
      </c>
      <c r="K598" s="77" t="inlineStr">
        <is>
          <t>Legacy row 87</t>
        </is>
      </c>
    </row>
    <row r="599">
      <c r="A599" s="77" t="inlineStr">
        <is>
          <t>UK29-X02</t>
        </is>
      </c>
      <c r="B599" s="77" t="inlineStr">
        <is>
          <t>UK29</t>
        </is>
      </c>
      <c r="C599" s="77" t="inlineStr">
        <is>
          <t>Manchester Metropolitan</t>
        </is>
      </c>
      <c r="D599" s="77" t="inlineStr">
        <is>
          <t>UK – additional</t>
        </is>
      </c>
      <c r="E599" s="77" t="inlineStr">
        <is>
          <t>Team Project (BSc Computer Science / Software Engineering, Year 1)</t>
        </is>
      </c>
      <c r="F599" s="77" t="inlineStr">
        <is>
          <t>No</t>
        </is>
      </c>
      <c r="G599" s="77" t="inlineStr"/>
      <c r="H599" s="77" t="inlineStr">
        <is>
          <t>Near-miss: no external org</t>
        </is>
      </c>
      <c r="I599" s="77" t="inlineStr">
        <is>
          <t>Core group project but course page says nothing about external clients; page text states only 'working as part of a professional team ... via group projects'.</t>
        </is>
      </c>
      <c r="J599" s="77" t="inlineStr">
        <is>
          <t>https://www.mmu.ac.uk/study/undergraduate/course/bsc-computer-science</t>
        </is>
      </c>
      <c r="K599" s="77" t="inlineStr">
        <is>
          <t>No client evidence</t>
        </is>
      </c>
    </row>
    <row r="600">
      <c r="A600" s="77" t="inlineStr">
        <is>
          <t>UK29-X03</t>
        </is>
      </c>
      <c r="B600" s="77" t="inlineStr">
        <is>
          <t>UK29</t>
        </is>
      </c>
      <c r="C600" s="77" t="inlineStr">
        <is>
          <t>Manchester Metropolitan</t>
        </is>
      </c>
      <c r="D600" s="77" t="inlineStr">
        <is>
          <t>UK – additional</t>
        </is>
      </c>
      <c r="E600" s="77" t="inlineStr">
        <is>
          <t>MBA / MSc Management live cases and client projects</t>
        </is>
      </c>
      <c r="F600" s="77" t="inlineStr">
        <is>
          <t>No</t>
        </is>
      </c>
      <c r="G600" s="77" t="inlineStr"/>
      <c r="H600" s="77" t="inlineStr">
        <is>
          <t>Evidence gap</t>
        </is>
      </c>
      <c r="I600" s="77" t="inlineStr">
        <is>
          <t>Search extracts say 'live cases, consultancy-style projects' (MBA) and 'real clients' (MSc Management) but no module, team structure or client role found; pages not opened.</t>
        </is>
      </c>
      <c r="J600" s="77" t="inlineStr">
        <is>
          <t>https://www.mmu.ac.uk/study/postgraduate/course/mba-master-of-business-administration</t>
        </is>
      </c>
      <c r="K600" s="77" t="inlineStr">
        <is>
          <t>Lead</t>
        </is>
      </c>
    </row>
    <row r="601">
      <c r="A601" s="77" t="inlineStr">
        <is>
          <t>UK29-X04</t>
        </is>
      </c>
      <c r="B601" s="77" t="inlineStr">
        <is>
          <t>UK29</t>
        </is>
      </c>
      <c r="C601" s="77" t="inlineStr">
        <is>
          <t>Manchester Metropolitan</t>
        </is>
      </c>
      <c r="D601" s="77" t="inlineStr">
        <is>
          <t>UK – additional</t>
        </is>
      </c>
      <c r="E601" s="77" t="inlineStr">
        <is>
          <t>Business School live client brief in management courses</t>
        </is>
      </c>
      <c r="F601" s="77" t="inlineStr">
        <is>
          <t>No</t>
        </is>
      </c>
      <c r="G601" s="77" t="inlineStr"/>
      <c r="H601" s="77" t="inlineStr">
        <is>
          <t>Evidence gap</t>
        </is>
      </c>
      <c r="I601" s="77" t="inlineStr">
        <is>
          <t>Generic statement of responding to a brief set by an industry partner; no named unit or group structure.</t>
        </is>
      </c>
      <c r="J601" s="77" t="inlineStr">
        <is>
          <t>https://www.mmu.ac.uk/business-school/business/</t>
        </is>
      </c>
      <c r="K601" s="77" t="inlineStr">
        <is>
          <t>Lead</t>
        </is>
      </c>
    </row>
    <row r="602">
      <c r="A602" s="77" t="inlineStr">
        <is>
          <t>UK29-X05</t>
        </is>
      </c>
      <c r="B602" s="77" t="inlineStr">
        <is>
          <t>UK29</t>
        </is>
      </c>
      <c r="C602" s="77" t="inlineStr">
        <is>
          <t>Manchester Metropolitan</t>
        </is>
      </c>
      <c r="D602" s="77" t="inlineStr">
        <is>
          <t>UK – additional</t>
        </is>
      </c>
      <c r="E602" s="77" t="inlineStr">
        <is>
          <t>Formula Student / Engineering for People Design Challenge</t>
        </is>
      </c>
      <c r="F602" s="77" t="inlineStr">
        <is>
          <t>No</t>
        </is>
      </c>
      <c r="G602" s="77" t="inlineStr"/>
      <c r="H602" s="77" t="inlineStr">
        <is>
          <t>Event/competition without live client</t>
        </is>
      </c>
      <c r="I602" s="77" t="inlineStr">
        <is>
          <t>Extracurricular team build/competition; no external client commissioning evidenced.</t>
        </is>
      </c>
      <c r="J602" s="77" t="inlineStr">
        <is>
          <t>https://www.mmu.ac.uk/study/undergraduate/subject/engineering</t>
        </is>
      </c>
      <c r="K602" s="77" t="inlineStr">
        <is>
          <t>Lead</t>
        </is>
      </c>
    </row>
    <row r="603">
      <c r="A603" s="77" t="inlineStr">
        <is>
          <t>UK29-X06</t>
        </is>
      </c>
      <c r="B603" s="77" t="inlineStr">
        <is>
          <t>UK29</t>
        </is>
      </c>
      <c r="C603" s="77" t="inlineStr">
        <is>
          <t>Manchester Metropolitan</t>
        </is>
      </c>
      <c r="D603" s="77" t="inlineStr">
        <is>
          <t>UK – additional</t>
        </is>
      </c>
      <c r="E603" s="77" t="inlineStr">
        <is>
          <t>Knowledge Transfer Partnerships (Engineering)</t>
        </is>
      </c>
      <c r="F603" s="77" t="inlineStr">
        <is>
          <t>No</t>
        </is>
      </c>
      <c r="G603" s="77" t="inlineStr"/>
      <c r="H603" s="77" t="inlineStr">
        <is>
          <t>Near-miss: not group</t>
        </is>
      </c>
      <c r="I603" s="77" t="inlineStr">
        <is>
          <t>Graduate/staff-led company research partnerships, not student team projects.</t>
        </is>
      </c>
      <c r="J603" s="77" t="inlineStr">
        <is>
          <t>https://mmu.ac.uk/engineering/research/knowledge-transfer-partnerships</t>
        </is>
      </c>
      <c r="K603" s="77" t="inlineStr"/>
    </row>
    <row r="604">
      <c r="A604" s="77" t="inlineStr">
        <is>
          <t>UK29-X07</t>
        </is>
      </c>
      <c r="B604" s="77" t="inlineStr">
        <is>
          <t>UK29</t>
        </is>
      </c>
      <c r="C604" s="77" t="inlineStr">
        <is>
          <t>Manchester Metropolitan</t>
        </is>
      </c>
      <c r="D604" s="77" t="inlineStr">
        <is>
          <t>UK – additional</t>
        </is>
      </c>
      <c r="E604" s="77" t="inlineStr">
        <is>
          <t>Manchester School of Art live briefs</t>
        </is>
      </c>
      <c r="F604" s="77" t="inlineStr">
        <is>
          <t>No</t>
        </is>
      </c>
      <c r="G604" s="77" t="inlineStr"/>
      <c r="H604" s="77" t="inlineStr">
        <is>
          <t>Evidence gap</t>
        </is>
      </c>
      <c r="I604" s="77" t="inlineStr">
        <is>
          <t>Search extract mentions 'live projects'/'live briefs' generically; no unit, team or client detail.</t>
        </is>
      </c>
      <c r="J604" s="77" t="inlineStr">
        <is>
          <t>https://www.mmu.ac.uk/about-us/faculties/arts-humanities/schools/school-of-art</t>
        </is>
      </c>
      <c r="K604" s="77" t="inlineStr">
        <is>
          <t>Lead</t>
        </is>
      </c>
    </row>
    <row r="605">
      <c r="A605" s="77" t="inlineStr">
        <is>
          <t>UK29-X08</t>
        </is>
      </c>
      <c r="B605" s="77" t="inlineStr">
        <is>
          <t>UK29</t>
        </is>
      </c>
      <c r="C605" s="77" t="inlineStr">
        <is>
          <t>Manchester Metropolitan</t>
        </is>
      </c>
      <c r="D605" s="77" t="inlineStr">
        <is>
          <t>UK – additional</t>
        </is>
      </c>
      <c r="E605" s="77" t="inlineStr">
        <is>
          <t>Biology and Conservation partner projects (NHS, RSPB, Chester Zoo)</t>
        </is>
      </c>
      <c r="F605" s="77" t="inlineStr">
        <is>
          <t>No</t>
        </is>
      </c>
      <c r="G605" s="77" t="inlineStr"/>
      <c r="H605" s="77" t="inlineStr">
        <is>
          <t>Placement/internship</t>
        </is>
      </c>
      <c r="I605" s="77" t="inlineStr">
        <is>
          <t>Described as projects or work experience with partners; no group project evidenced.</t>
        </is>
      </c>
      <c r="J605" s="77" t="inlineStr">
        <is>
          <t>https://www.mmu.ac.uk/study/undergraduate/subject/biology-and-conservation</t>
        </is>
      </c>
      <c r="K605" s="77" t="inlineStr"/>
    </row>
    <row r="606">
      <c r="A606" s="77" t="inlineStr">
        <is>
          <t>UK29-X09</t>
        </is>
      </c>
      <c r="B606" s="77" t="inlineStr">
        <is>
          <t>UK29</t>
        </is>
      </c>
      <c r="C606" s="77" t="inlineStr">
        <is>
          <t>Manchester Metropolitan</t>
        </is>
      </c>
      <c r="D606" s="77" t="inlineStr">
        <is>
          <t>UK – additional</t>
        </is>
      </c>
      <c r="E606" s="77" t="inlineStr">
        <is>
          <t>Dissertations for Good; Freelance Exchange</t>
        </is>
      </c>
      <c r="F606" s="77" t="inlineStr">
        <is>
          <t>No</t>
        </is>
      </c>
      <c r="G606" s="77" t="inlineStr"/>
      <c r="H606" s="77" t="inlineStr">
        <is>
          <t>Dissertation/research</t>
        </is>
      </c>
      <c r="I606" s="77" t="inlineStr">
        <is>
          <t>Individual research / freelance work; not group.</t>
        </is>
      </c>
      <c r="J606" s="77" t="inlineStr">
        <is>
          <t>https://www.mmu.ac.uk/careers/graduates/enterprise</t>
        </is>
      </c>
      <c r="K606" s="77" t="inlineStr"/>
    </row>
    <row r="607">
      <c r="A607" s="77" t="inlineStr">
        <is>
          <t>UK30-X01</t>
        </is>
      </c>
      <c r="B607" s="77" t="inlineStr">
        <is>
          <t>UK30</t>
        </is>
      </c>
      <c r="C607" s="77" t="inlineStr">
        <is>
          <t>Plymouth</t>
        </is>
      </c>
      <c r="D607" s="77" t="inlineStr">
        <is>
          <t>UK – additional</t>
        </is>
      </c>
      <c r="E607" s="77" t="inlineStr">
        <is>
          <t>The Cube: student enterprise support</t>
        </is>
      </c>
      <c r="F607" s="77" t="inlineStr">
        <is>
          <t>Yes</t>
        </is>
      </c>
      <c r="G607" s="77" t="n">
        <v>89</v>
      </c>
      <c r="H607" s="77" t="inlineStr">
        <is>
          <t>Entrepreneurship/incubator</t>
        </is>
      </c>
      <c r="I607" s="77" t="inlineStr">
        <is>
          <t>Advice/funding for student ventures; no employer-set group project evidenced; not examined further.</t>
        </is>
      </c>
      <c r="J607" s="77" t="inlineStr">
        <is>
          <t>https://www.plymouth.ac.uk/about-us/university-structure/service-areas/research-and-innovation/the-cube</t>
        </is>
      </c>
      <c r="K607" s="77" t="inlineStr">
        <is>
          <t>Undated</t>
        </is>
      </c>
    </row>
    <row r="608">
      <c r="A608" s="77" t="inlineStr">
        <is>
          <t>UK30-X02</t>
        </is>
      </c>
      <c r="B608" s="77" t="inlineStr">
        <is>
          <t>UK30</t>
        </is>
      </c>
      <c r="C608" s="77" t="inlineStr">
        <is>
          <t>Plymouth</t>
        </is>
      </c>
      <c r="D608" s="77" t="inlineStr">
        <is>
          <t>UK – additional</t>
        </is>
      </c>
      <c r="E608" s="77" t="inlineStr">
        <is>
          <t>BOOST skills development challenge / Challenge Connect (Careers)</t>
        </is>
      </c>
      <c r="F608" s="77" t="inlineStr">
        <is>
          <t>No</t>
        </is>
      </c>
      <c r="G608" s="77" t="inlineStr"/>
      <c r="H608" s="77" t="inlineStr">
        <is>
          <t>Evidence gap</t>
        </is>
      </c>
      <c r="I608" s="77" t="inlineStr">
        <is>
          <t>Search summary describes employer-set small-group tasks (Babcock) and half-day challenge events; fetched pages did not confirm details, eligibility, output or dates.</t>
        </is>
      </c>
      <c r="J608" s="77" t="inlineStr">
        <is>
          <t>https://www.plymouth.ac.uk/services/careers/boost-skills-development-challenge</t>
        </is>
      </c>
      <c r="K608" s="77" t="inlineStr"/>
    </row>
    <row r="609">
      <c r="A609" s="77" t="inlineStr">
        <is>
          <t>UK30-X03</t>
        </is>
      </c>
      <c r="B609" s="77" t="inlineStr">
        <is>
          <t>UK30</t>
        </is>
      </c>
      <c r="C609" s="77" t="inlineStr">
        <is>
          <t>Plymouth</t>
        </is>
      </c>
      <c r="D609" s="77" t="inlineStr">
        <is>
          <t>UK – additional</t>
        </is>
      </c>
      <c r="E609" s="77" t="inlineStr">
        <is>
          <t>BSc Business Management Year 2 Business Challenge</t>
        </is>
      </c>
      <c r="F609" s="77" t="inlineStr">
        <is>
          <t>No</t>
        </is>
      </c>
      <c r="G609" s="77" t="inlineStr"/>
      <c r="H609" s="77" t="inlineStr">
        <is>
          <t>Evidence gap</t>
        </is>
      </c>
      <c r="I609" s="77" t="inlineStr">
        <is>
          <t>Search summary: students solve real challenges set by 3 local businesses with Careers; not opened; module, duration and output unknown.</t>
        </is>
      </c>
      <c r="J609" s="77" t="inlineStr">
        <is>
          <t>https://www.plymouth.ac.uk/courses/undergraduate/bsc-business-management</t>
        </is>
      </c>
      <c r="K609" s="77" t="inlineStr"/>
    </row>
    <row r="610">
      <c r="A610" s="77" t="inlineStr">
        <is>
          <t>UK30-X04</t>
        </is>
      </c>
      <c r="B610" s="77" t="inlineStr">
        <is>
          <t>UK30</t>
        </is>
      </c>
      <c r="C610" s="77" t="inlineStr">
        <is>
          <t>Plymouth</t>
        </is>
      </c>
      <c r="D610" s="77" t="inlineStr">
        <is>
          <t>UK – additional</t>
        </is>
      </c>
      <c r="E610" s="77" t="inlineStr">
        <is>
          <t>BSc Business Management Professional Project BUSM6000</t>
        </is>
      </c>
      <c r="F610" s="77" t="inlineStr">
        <is>
          <t>No</t>
        </is>
      </c>
      <c r="G610" s="77" t="inlineStr"/>
      <c r="H610" s="77" t="inlineStr">
        <is>
          <t>Near-miss: not group</t>
        </is>
      </c>
      <c r="I610" s="77" t="inlineStr">
        <is>
          <t>Consultancy/start-up/regeneration project; page does not say group or individual.</t>
        </is>
      </c>
      <c r="J610" s="77" t="inlineStr">
        <is>
          <t>https://www.plymouth.ac.uk/courses/undergraduate/bsc-business-management</t>
        </is>
      </c>
      <c r="K610" s="77" t="inlineStr"/>
    </row>
    <row r="611">
      <c r="A611" s="77" t="inlineStr">
        <is>
          <t>UK30-X05</t>
        </is>
      </c>
      <c r="B611" s="77" t="inlineStr">
        <is>
          <t>UK30</t>
        </is>
      </c>
      <c r="C611" s="77" t="inlineStr">
        <is>
          <t>Plymouth</t>
        </is>
      </c>
      <c r="D611" s="77" t="inlineStr">
        <is>
          <t>UK – additional</t>
        </is>
      </c>
      <c r="E611" s="77" t="inlineStr">
        <is>
          <t>COMP2003 Computing Group Project</t>
        </is>
      </c>
      <c r="F611" s="77" t="inlineStr">
        <is>
          <t>No</t>
        </is>
      </c>
      <c r="G611" s="77" t="inlineStr"/>
      <c r="H611" s="77" t="inlineStr">
        <is>
          <t>Near-miss: no external org</t>
        </is>
      </c>
      <c r="I611" s="77" t="inlineStr">
        <is>
          <t>Team software project; no client or external partner found in results.</t>
        </is>
      </c>
      <c r="J611" s="77" t="inlineStr">
        <is>
          <t>https://www.plymouth.ac.uk/courses/undergraduate/bsc-computer-science</t>
        </is>
      </c>
      <c r="K611" s="77" t="inlineStr"/>
    </row>
    <row r="612">
      <c r="A612" s="77" t="inlineStr">
        <is>
          <t>UK30-X06</t>
        </is>
      </c>
      <c r="B612" s="77" t="inlineStr">
        <is>
          <t>UK30</t>
        </is>
      </c>
      <c r="C612" s="77" t="inlineStr">
        <is>
          <t>Plymouth</t>
        </is>
      </c>
      <c r="D612" s="77" t="inlineStr">
        <is>
          <t>UK – additional</t>
        </is>
      </c>
      <c r="E612" s="77" t="inlineStr">
        <is>
          <t>BA Business STO312 live consultancy group project; Computing and Software Development partnership courses</t>
        </is>
      </c>
      <c r="F612" s="77" t="inlineStr">
        <is>
          <t>No</t>
        </is>
      </c>
      <c r="G612" s="77" t="inlineStr"/>
      <c r="H612" s="77" t="inlineStr">
        <is>
          <t>Evidence gap</t>
        </is>
      </c>
      <c r="I612" s="77" t="inlineStr">
        <is>
          <t>Academic-partnership (partner college) course pages; not opened; may be delivered by partner institutions.</t>
        </is>
      </c>
      <c r="J612" s="77" t="inlineStr">
        <is>
          <t>https://www.plymouth.ac.uk/business-partners/partnerships/academic-partnerships/ba-hons-business</t>
        </is>
      </c>
      <c r="K612" s="77" t="inlineStr"/>
    </row>
    <row r="613">
      <c r="A613" s="77" t="inlineStr">
        <is>
          <t>UK30-X07</t>
        </is>
      </c>
      <c r="B613" s="77" t="inlineStr">
        <is>
          <t>UK30</t>
        </is>
      </c>
      <c r="C613" s="77" t="inlineStr">
        <is>
          <t>Plymouth</t>
        </is>
      </c>
      <c r="D613" s="77" t="inlineStr">
        <is>
          <t>UK – additional</t>
        </is>
      </c>
      <c r="E613" s="77" t="inlineStr">
        <is>
          <t>MSc International Business Business Consultancy STO6005</t>
        </is>
      </c>
      <c r="F613" s="77" t="inlineStr">
        <is>
          <t>No</t>
        </is>
      </c>
      <c r="G613" s="77" t="inlineStr"/>
      <c r="H613" s="77" t="inlineStr">
        <is>
          <t>Evidence gap</t>
        </is>
      </c>
      <c r="I613" s="77" t="inlineStr">
        <is>
          <t>Optional 20-credit client consultancy module per search summary; group basis and delivery not verified.</t>
        </is>
      </c>
      <c r="J613" s="77" t="inlineStr">
        <is>
          <t>https://www.plymouth.ac.uk/courses/postgraduate/msc-international-business</t>
        </is>
      </c>
      <c r="K613" s="77" t="inlineStr"/>
    </row>
    <row r="614">
      <c r="A614" s="77" t="inlineStr">
        <is>
          <t>UK30-X08</t>
        </is>
      </c>
      <c r="B614" s="77" t="inlineStr">
        <is>
          <t>UK30</t>
        </is>
      </c>
      <c r="C614" s="77" t="inlineStr">
        <is>
          <t>Plymouth</t>
        </is>
      </c>
      <c r="D614" s="77" t="inlineStr">
        <is>
          <t>UK – additional</t>
        </is>
      </c>
      <c r="E614" s="77" t="inlineStr">
        <is>
          <t>Universities Business Challenge; FLUX; Enactus</t>
        </is>
      </c>
      <c r="F614" s="77" t="inlineStr">
        <is>
          <t>No</t>
        </is>
      </c>
      <c r="G614" s="77" t="inlineStr"/>
      <c r="H614" s="77" t="inlineStr">
        <is>
          <t>Simulation/virtual</t>
        </is>
      </c>
      <c r="I614" s="77" t="inlineStr">
        <is>
          <t>Simulated companies or older/extracurricular events; not verified as live-client group projects.</t>
        </is>
      </c>
      <c r="J614" s="77" t="inlineStr">
        <is>
          <t>https://www.plymouth.ac.uk/student-life/your-studies/academic-services/careers-and-employability/student-competitions</t>
        </is>
      </c>
      <c r="K614" s="77" t="inlineStr"/>
    </row>
    <row r="615">
      <c r="A615" s="77" t="inlineStr">
        <is>
          <t>UK30-X09</t>
        </is>
      </c>
      <c r="B615" s="77" t="inlineStr">
        <is>
          <t>UK30</t>
        </is>
      </c>
      <c r="C615" s="77" t="inlineStr">
        <is>
          <t>Plymouth</t>
        </is>
      </c>
      <c r="D615" s="77" t="inlineStr">
        <is>
          <t>UK – additional</t>
        </is>
      </c>
      <c r="E615" s="77" t="inlineStr">
        <is>
          <t>Medlaw Project (Law/Medicine)</t>
        </is>
      </c>
      <c r="F615" s="77" t="inlineStr">
        <is>
          <t>No</t>
        </is>
      </c>
      <c r="G615" s="77" t="inlineStr"/>
      <c r="H615" s="77" t="inlineStr">
        <is>
          <t>Near-miss: no external org</t>
        </is>
      </c>
      <c r="I615" s="77" t="inlineStr">
        <is>
          <t>Interdisciplinary student project with Peninsula School of Medicine; internal.</t>
        </is>
      </c>
      <c r="J615" s="77" t="inlineStr">
        <is>
          <t>https://www.plymouth.ac.uk/courses/undergraduate/llb-law/medical-law-and-ethics</t>
        </is>
      </c>
      <c r="K615" s="77" t="inlineStr"/>
    </row>
    <row r="616">
      <c r="A616" s="77" t="inlineStr">
        <is>
          <t>UK30-X10</t>
        </is>
      </c>
      <c r="B616" s="77" t="inlineStr">
        <is>
          <t>UK30</t>
        </is>
      </c>
      <c r="C616" s="77" t="inlineStr">
        <is>
          <t>Plymouth</t>
        </is>
      </c>
      <c r="D616" s="77" t="inlineStr">
        <is>
          <t>UK – additional</t>
        </is>
      </c>
      <c r="E616" s="77" t="inlineStr">
        <is>
          <t>Geography Sustainable Futures (Year 1)</t>
        </is>
      </c>
      <c r="F616" s="77" t="inlineStr">
        <is>
          <t>No</t>
        </is>
      </c>
      <c r="G616" s="77" t="inlineStr"/>
      <c r="H616" s="77" t="inlineStr">
        <is>
          <t>Near-miss: no external org</t>
        </is>
      </c>
      <c r="I616" s="77" t="inlineStr">
        <is>
          <t>Sector experts speak; group research project with no evidence experts act as clients.</t>
        </is>
      </c>
      <c r="J616" s="77" t="inlineStr">
        <is>
          <t>https://www.plymouth.ac.uk/courses/undergraduate/bsc-geography-with-gis-and-data-science</t>
        </is>
      </c>
      <c r="K616" s="77" t="inlineStr"/>
    </row>
    <row r="617">
      <c r="A617" s="77" t="inlineStr">
        <is>
          <t>UK30-X11</t>
        </is>
      </c>
      <c r="B617" s="77" t="inlineStr">
        <is>
          <t>UK30</t>
        </is>
      </c>
      <c r="C617" s="77" t="inlineStr">
        <is>
          <t>Plymouth</t>
        </is>
      </c>
      <c r="D617" s="77" t="inlineStr">
        <is>
          <t>UK – additional</t>
        </is>
      </c>
      <c r="E617" s="77" t="inlineStr">
        <is>
          <t>Careers Insight micro-internships</t>
        </is>
      </c>
      <c r="F617" s="77" t="inlineStr">
        <is>
          <t>No</t>
        </is>
      </c>
      <c r="G617" s="77" t="inlineStr"/>
      <c r="H617" s="77" t="inlineStr">
        <is>
          <t>Placement/internship</t>
        </is>
      </c>
      <c r="I617" s="77" t="inlineStr">
        <is>
          <t>100-hour individual projects with host organisations; not group.</t>
        </is>
      </c>
      <c r="J617" s="77" t="inlineStr">
        <is>
          <t>https://www.plymouth.ac.uk/careers-and-employment/employer-opportunities</t>
        </is>
      </c>
      <c r="K617" s="77" t="inlineStr"/>
    </row>
    <row r="618">
      <c r="A618" s="77" t="inlineStr">
        <is>
          <t>US01-X01</t>
        </is>
      </c>
      <c r="B618" s="77" t="inlineStr">
        <is>
          <t>US01</t>
        </is>
      </c>
      <c r="C618" s="77" t="inlineStr">
        <is>
          <t>Massachusetts Institute of Technology</t>
        </is>
      </c>
      <c r="D618" s="77" t="inlineStr">
        <is>
          <t>US</t>
        </is>
      </c>
      <c r="E618" s="77" t="inlineStr">
        <is>
          <t>Undergraduate Research Opportunities Program (UROP)</t>
        </is>
      </c>
      <c r="F618" s="77" t="inlineStr">
        <is>
          <t>Yes</t>
        </is>
      </c>
      <c r="G618" s="77" t="n">
        <v>90</v>
      </c>
      <c r="H618" s="77" t="inlineStr">
        <is>
          <t>Dissertation/research</t>
        </is>
      </c>
      <c r="I618" s="77" t="inlineStr">
        <is>
          <t>Faculty-supervised individual research; no external organisation or group project evidenced.</t>
        </is>
      </c>
      <c r="J618" s="77" t="inlineStr">
        <is>
          <t>https://urop.mit.edu/</t>
        </is>
      </c>
      <c r="K618" s="77" t="inlineStr">
        <is>
          <t>Legacy row 90; 2026/27 deadlines confirmed in legacy file, not rechecked</t>
        </is>
      </c>
    </row>
    <row r="619">
      <c r="A619" s="77" t="inlineStr">
        <is>
          <t>US01-X02</t>
        </is>
      </c>
      <c r="B619" s="77" t="inlineStr">
        <is>
          <t>US01</t>
        </is>
      </c>
      <c r="C619" s="77" t="inlineStr">
        <is>
          <t>Massachusetts Institute of Technology</t>
        </is>
      </c>
      <c r="D619" s="77" t="inlineStr">
        <is>
          <t>US</t>
        </is>
      </c>
      <c r="E619" s="77" t="inlineStr">
        <is>
          <t>NEET threads (Autonomous Machines, Climate + Sustainability Systems, Digital Cities, Living Machines)</t>
        </is>
      </c>
      <c r="F619" s="77" t="inlineStr">
        <is>
          <t>No</t>
        </is>
      </c>
      <c r="G619" s="77" t="inlineStr"/>
      <c r="H619" s="77" t="inlineStr">
        <is>
          <t>Evidence gap</t>
        </is>
      </c>
      <c r="I619" s="77" t="inlineStr">
        <is>
          <t>Project- and team-based with industry sponsors (Boeing sponsored Autonomous Machines, 2019) but no thread-specific employer-set group project, eligibility or credit evidenced.</t>
        </is>
      </c>
      <c r="J619" s="77" t="inlineStr">
        <is>
          <t>https://neet.mit.edu/</t>
        </is>
      </c>
      <c r="K619" s="77" t="inlineStr"/>
    </row>
    <row r="620">
      <c r="A620" s="77" t="inlineStr">
        <is>
          <t>US01-X03</t>
        </is>
      </c>
      <c r="B620" s="77" t="inlineStr">
        <is>
          <t>US01</t>
        </is>
      </c>
      <c r="C620" s="77" t="inlineStr">
        <is>
          <t>Massachusetts Institute of Technology</t>
        </is>
      </c>
      <c r="D620" s="77" t="inlineStr">
        <is>
          <t>US</t>
        </is>
      </c>
      <c r="E620" s="77" t="inlineStr">
        <is>
          <t>2.009 Product Engineering Processes</t>
        </is>
      </c>
      <c r="F620" s="77" t="inlineStr">
        <is>
          <t>No</t>
        </is>
      </c>
      <c r="G620" s="77" t="inlineStr"/>
      <c r="H620" s="77" t="inlineStr">
        <is>
          <t>Near-miss: no external org</t>
        </is>
      </c>
      <c r="I620" s="77" t="inlineStr">
        <is>
          <t>Large-team capstone producing prototypes around a broad theme; no external client or sponsor found.</t>
        </is>
      </c>
      <c r="J620" s="77" t="inlineStr">
        <is>
          <t>https://meche.mit.edu/featured-classes/product-engineering-process</t>
        </is>
      </c>
      <c r="K620" s="77" t="inlineStr"/>
    </row>
    <row r="621">
      <c r="A621" s="77" t="inlineStr">
        <is>
          <t>US01-X04</t>
        </is>
      </c>
      <c r="B621" s="77" t="inlineStr">
        <is>
          <t>US01</t>
        </is>
      </c>
      <c r="C621" s="77" t="inlineStr">
        <is>
          <t>Massachusetts Institute of Technology</t>
        </is>
      </c>
      <c r="D621" s="77" t="inlineStr">
        <is>
          <t>US</t>
        </is>
      </c>
      <c r="E621" s="77" t="inlineStr">
        <is>
          <t>Beaver Works Capstone</t>
        </is>
      </c>
      <c r="F621" s="77" t="inlineStr">
        <is>
          <t>No</t>
        </is>
      </c>
      <c r="G621" s="77" t="inlineStr"/>
      <c r="H621" s="77" t="inlineStr">
        <is>
          <t>Near-miss: no external org</t>
        </is>
      </c>
      <c r="I621" s="77" t="inlineStr">
        <is>
          <t>Two-semester team capstones, but projects come from Lincoln Laboratory (MIT-affiliated); treated as internal.</t>
        </is>
      </c>
      <c r="J621" s="77" t="inlineStr">
        <is>
          <t>https://beaverworks.ll.mit.edu/</t>
        </is>
      </c>
      <c r="K621" s="77" t="inlineStr"/>
    </row>
    <row r="622">
      <c r="A622" s="77" t="inlineStr">
        <is>
          <t>US01-X05</t>
        </is>
      </c>
      <c r="B622" s="77" t="inlineStr">
        <is>
          <t>US01</t>
        </is>
      </c>
      <c r="C622" s="77" t="inlineStr">
        <is>
          <t>Massachusetts Institute of Technology</t>
        </is>
      </c>
      <c r="D622" s="77" t="inlineStr">
        <is>
          <t>US</t>
        </is>
      </c>
      <c r="E622" s="77" t="inlineStr">
        <is>
          <t>EAPS 12.080 / 12.44 experiential subjects</t>
        </is>
      </c>
      <c r="F622" s="77" t="inlineStr">
        <is>
          <t>No</t>
        </is>
      </c>
      <c r="G622" s="77" t="inlineStr"/>
      <c r="H622" s="77" t="inlineStr">
        <is>
          <t>Placement/internship</t>
        </is>
      </c>
      <c r="I622" s="77" t="inlineStr">
        <is>
          <t>Individual off-campus experience; no group project.</t>
        </is>
      </c>
      <c r="J622" s="77" t="inlineStr">
        <is>
          <t>https://eaps.mit.edu/education/undergraduate-program/major-programs/</t>
        </is>
      </c>
      <c r="K622" s="77" t="inlineStr"/>
    </row>
    <row r="623">
      <c r="A623" s="77" t="inlineStr">
        <is>
          <t>US01-X06</t>
        </is>
      </c>
      <c r="B623" s="77" t="inlineStr">
        <is>
          <t>US01</t>
        </is>
      </c>
      <c r="C623" s="77" t="inlineStr">
        <is>
          <t>Massachusetts Institute of Technology</t>
        </is>
      </c>
      <c r="D623" s="77" t="inlineStr">
        <is>
          <t>US</t>
        </is>
      </c>
      <c r="E623" s="77" t="inlineStr">
        <is>
          <t>SHASS community-partner courses (21A.406[J], Resilient Urbanism, SP.256)</t>
        </is>
      </c>
      <c r="F623" s="77" t="inlineStr">
        <is>
          <t>No</t>
        </is>
      </c>
      <c r="G623" s="77" t="inlineStr"/>
      <c r="H623" s="77" t="inlineStr">
        <is>
          <t>Evidence gap</t>
        </is>
      </c>
      <c r="I623" s="77" t="inlineStr">
        <is>
          <t>Known only from funding announcements; group structure, client role and current delivery not verified.</t>
        </is>
      </c>
      <c r="J623" s="77" t="inlineStr">
        <is>
          <t>https://shass.mit.edu/human-insight-collaborative/shass-education-innovation-fund-projects/</t>
        </is>
      </c>
      <c r="K623" s="77" t="inlineStr"/>
    </row>
    <row r="624">
      <c r="A624" s="77" t="inlineStr">
        <is>
          <t>US01-X07</t>
        </is>
      </c>
      <c r="B624" s="77" t="inlineStr">
        <is>
          <t>US01</t>
        </is>
      </c>
      <c r="C624" s="77" t="inlineStr">
        <is>
          <t>Massachusetts Institute of Technology</t>
        </is>
      </c>
      <c r="D624" s="77" t="inlineStr">
        <is>
          <t>US</t>
        </is>
      </c>
      <c r="E624" s="77" t="inlineStr">
        <is>
          <t>Other D-Lab classes (Development, Gender &amp; Development, Design for Scale, energy classes)</t>
        </is>
      </c>
      <c r="F624" s="77" t="inlineStr">
        <is>
          <t>No</t>
        </is>
      </c>
      <c r="G624" s="77" t="inlineStr"/>
      <c r="H624" s="77" t="inlineStr">
        <is>
          <t>Evidence gap</t>
        </is>
      </c>
      <c r="I624" s="77" t="inlineStr">
        <is>
          <t>Similar partner-project model per search summary; not separately evidenced.</t>
        </is>
      </c>
      <c r="J624" s="77" t="inlineStr">
        <is>
          <t>https://d-lab.mit.edu/academics/student-projects-presentations</t>
        </is>
      </c>
      <c r="K624" s="77" t="inlineStr"/>
    </row>
    <row r="625">
      <c r="A625" s="77" t="inlineStr">
        <is>
          <t>US02-X01</t>
        </is>
      </c>
      <c r="B625" s="77" t="inlineStr">
        <is>
          <t>US02</t>
        </is>
      </c>
      <c r="C625" s="77" t="inlineStr">
        <is>
          <t>Harvard</t>
        </is>
      </c>
      <c r="D625" s="77" t="inlineStr">
        <is>
          <t>US</t>
        </is>
      </c>
      <c r="E625" s="77" t="inlineStr">
        <is>
          <t>Mindich Program in Engaged Scholarship</t>
        </is>
      </c>
      <c r="F625" s="77" t="inlineStr">
        <is>
          <t>Yes</t>
        </is>
      </c>
      <c r="G625" s="77" t="n">
        <v>91</v>
      </c>
      <c r="H625" s="77" t="inlineStr">
        <is>
          <t>Evidence gap</t>
        </is>
      </c>
      <c r="I625" s="77" t="inlineStr">
        <is>
          <t>About 60 community/civically engaged undergraduate courses a year across divisions (reach is university-wide for College undergraduates) but pages give no description of community-partner briefs, group projects or outputs; course-level testing (e.g. GOV 1022 Community-Based Survey Research Practicum, Fall 2026) was not done in reduced-depth mode. A curricular framework is not itself a qualifying scheme.</t>
        </is>
      </c>
      <c r="J625" s="77" t="inlineStr">
        <is>
          <t>https://engagedscholarship.fas.harvard.edu/student-resources/academics/</t>
        </is>
      </c>
      <c r="K625" s="77" t="inlineStr">
        <is>
          <t>2026/27 courses listed (Fall 2026, Spring 2027)</t>
        </is>
      </c>
    </row>
    <row r="626">
      <c r="A626" s="77" t="inlineStr">
        <is>
          <t>US02-X02</t>
        </is>
      </c>
      <c r="B626" s="77" t="inlineStr">
        <is>
          <t>US02</t>
        </is>
      </c>
      <c r="C626" s="77" t="inlineStr">
        <is>
          <t>Harvard</t>
        </is>
      </c>
      <c r="D626" s="77" t="inlineStr">
        <is>
          <t>US</t>
        </is>
      </c>
      <c r="E626" s="77" t="inlineStr">
        <is>
          <t>HKS Spring Exercise</t>
        </is>
      </c>
      <c r="F626" s="77" t="inlineStr">
        <is>
          <t>No</t>
        </is>
      </c>
      <c r="G626" s="77" t="inlineStr"/>
      <c r="H626" s="77" t="inlineStr">
        <is>
          <t>Simulation/virtual</t>
        </is>
      </c>
      <c r="I626" s="77" t="inlineStr">
        <is>
          <t>Required first-year two-week five-person team exercise described as a simulation of a policy issue; no external client named.</t>
        </is>
      </c>
      <c r="J626" s="77" t="inlineStr">
        <is>
          <t>https://www.hks.harvard.edu/educational-programs/masters-programs/master-public-policy/curriculum/spring-exercise</t>
        </is>
      </c>
      <c r="K626" s="77" t="inlineStr"/>
    </row>
    <row r="627">
      <c r="A627" s="77" t="inlineStr">
        <is>
          <t>US02-X03</t>
        </is>
      </c>
      <c r="B627" s="77" t="inlineStr">
        <is>
          <t>US02</t>
        </is>
      </c>
      <c r="C627" s="77" t="inlineStr">
        <is>
          <t>Harvard</t>
        </is>
      </c>
      <c r="D627" s="77" t="inlineStr">
        <is>
          <t>US</t>
        </is>
      </c>
      <c r="E627" s="77" t="inlineStr">
        <is>
          <t>ES 100 Engineering Design Projects (SEAS senior capstone)</t>
        </is>
      </c>
      <c r="F627" s="77" t="inlineStr">
        <is>
          <t>No</t>
        </is>
      </c>
      <c r="G627" s="77" t="inlineStr"/>
      <c r="H627" s="77" t="inlineStr">
        <is>
          <t>Near-miss: not group</t>
        </is>
      </c>
      <c r="I627" s="77" t="inlineStr">
        <is>
          <t>Year-long senior capstone reported as individual projects (one three-student team among 2025 award winners); no general external client or sponsor model evidenced, though SEAS invites sponsors.</t>
        </is>
      </c>
      <c r="J627" s="77" t="inlineStr">
        <is>
          <t>https://designfair.seas.harvard.edu/2020/engineering-sciences/engineering-design-projects-es100</t>
        </is>
      </c>
      <c r="K627" s="77" t="inlineStr">
        <is>
          <t>65 students completed in 2024-25 (search summary)</t>
        </is>
      </c>
    </row>
    <row r="628">
      <c r="A628" s="77" t="inlineStr">
        <is>
          <t>US02-X04</t>
        </is>
      </c>
      <c r="B628" s="77" t="inlineStr">
        <is>
          <t>US02</t>
        </is>
      </c>
      <c r="C628" s="77" t="inlineStr">
        <is>
          <t>Harvard</t>
        </is>
      </c>
      <c r="D628" s="77" t="inlineStr">
        <is>
          <t>US</t>
        </is>
      </c>
      <c r="E628" s="77" t="inlineStr">
        <is>
          <t>GSD Core Urban Planning Studio / Community Design and Learning Initiative</t>
        </is>
      </c>
      <c r="F628" s="77" t="inlineStr">
        <is>
          <t>No</t>
        </is>
      </c>
      <c r="G628" s="77" t="inlineStr"/>
      <c r="H628" s="77" t="inlineStr">
        <is>
          <t>Evidence gap</t>
        </is>
      </c>
      <c r="I628" s="77" t="inlineStr">
        <is>
          <t>Search summary says second-semester planning studio works with a real client in a real place and CDLI matches applied projects with community partners; team structure, requirement and current year not verified.</t>
        </is>
      </c>
      <c r="J628" s="77" t="inlineStr">
        <is>
          <t>https://www.gsd.harvard.edu/urban-planning-design/programs/master-in-urban-planning/community-outreach/</t>
        </is>
      </c>
      <c r="K628" s="77" t="inlineStr"/>
    </row>
    <row r="629">
      <c r="A629" s="77" t="inlineStr">
        <is>
          <t>US02-X05</t>
        </is>
      </c>
      <c r="B629" s="77" t="inlineStr">
        <is>
          <t>US02</t>
        </is>
      </c>
      <c r="C629" s="77" t="inlineStr">
        <is>
          <t>Harvard</t>
        </is>
      </c>
      <c r="D629" s="77" t="inlineStr">
        <is>
          <t>US</t>
        </is>
      </c>
      <c r="E629" s="77" t="inlineStr">
        <is>
          <t>Harvard Law Entrepreneurship Project (HLEP)</t>
        </is>
      </c>
      <c r="F629" s="77" t="inlineStr">
        <is>
          <t>No</t>
        </is>
      </c>
      <c r="G629" s="77" t="inlineStr"/>
      <c r="H629" s="77" t="inlineStr">
        <is>
          <t>Evidence gap</t>
        </is>
      </c>
      <c r="I629" s="77" t="inlineStr">
        <is>
          <t>Teams of 4-5 law students with attorneys serve entrepreneurs over 6-10 weeks producing a written report (search summary), but a student practice organisation with legal-advice character; curricular status and currency not verified.</t>
        </is>
      </c>
      <c r="J629" s="77" t="inlineStr">
        <is>
          <t>https://clinics.law.harvard.edu/hlep/</t>
        </is>
      </c>
      <c r="K629" s="77" t="inlineStr"/>
    </row>
    <row r="630">
      <c r="A630" s="77" t="inlineStr">
        <is>
          <t>US02-X06</t>
        </is>
      </c>
      <c r="B630" s="77" t="inlineStr">
        <is>
          <t>US02</t>
        </is>
      </c>
      <c r="C630" s="77" t="inlineStr">
        <is>
          <t>Harvard</t>
        </is>
      </c>
      <c r="D630" s="77" t="inlineStr">
        <is>
          <t>US</t>
        </is>
      </c>
      <c r="E630" s="77" t="inlineStr">
        <is>
          <t>HBS Immersive Field Courses (January term)</t>
        </is>
      </c>
      <c r="F630" s="77" t="inlineStr">
        <is>
          <t>No</t>
        </is>
      </c>
      <c r="G630" s="77" t="inlineStr"/>
      <c r="H630" s="77" t="inlineStr">
        <is>
          <t>Evidence gap</t>
        </is>
      </c>
      <c r="I630" s="77" t="inlineStr">
        <is>
          <t>Elective second-year courses that 'could include' team projects with companies; individual courses not identified.</t>
        </is>
      </c>
      <c r="J630" s="77" t="inlineStr">
        <is>
          <t>https://www.hbs.edu/mba/academic-experience/the-field-method</t>
        </is>
      </c>
      <c r="K630" s="77" t="inlineStr"/>
    </row>
    <row r="631">
      <c r="A631" s="77" t="inlineStr">
        <is>
          <t>US02-X07</t>
        </is>
      </c>
      <c r="B631" s="77" t="inlineStr">
        <is>
          <t>US02</t>
        </is>
      </c>
      <c r="C631" s="77" t="inlineStr">
        <is>
          <t>Harvard</t>
        </is>
      </c>
      <c r="D631" s="77" t="inlineStr">
        <is>
          <t>US</t>
        </is>
      </c>
      <c r="E631" s="77" t="inlineStr">
        <is>
          <t>Harvard Extension School Data Science Capstone</t>
        </is>
      </c>
      <c r="F631" s="77" t="inlineStr">
        <is>
          <t>No</t>
        </is>
      </c>
      <c r="G631" s="77" t="inlineStr"/>
      <c r="H631" s="77" t="inlineStr">
        <is>
          <t>Evidence gap</t>
        </is>
      </c>
      <c r="I631" s="77" t="inlineStr">
        <is>
          <t>Blog says teams pick topics with industry partners (NASA, NVIDIA, IBM); Extension School is a separate non-degree-college route and the page was only seen as a search summary.</t>
        </is>
      </c>
      <c r="J631" s="77" t="inlineStr">
        <is>
          <t>https://extension.harvard.edu/blog/harvard-extension-school-data-science-capstone-experience/</t>
        </is>
      </c>
      <c r="K631" s="77" t="inlineStr"/>
    </row>
    <row r="632">
      <c r="A632" s="77" t="inlineStr">
        <is>
          <t>US05-X01</t>
        </is>
      </c>
      <c r="B632" s="77" t="inlineStr">
        <is>
          <t>US05</t>
        </is>
      </c>
      <c r="C632" s="77" t="inlineStr">
        <is>
          <t>California Berkeley</t>
        </is>
      </c>
      <c r="D632" s="77" t="inlineStr">
        <is>
          <t>US</t>
        </is>
      </c>
      <c r="E632" s="77" t="inlineStr">
        <is>
          <t>Berkeley Discovery</t>
        </is>
      </c>
      <c r="F632" s="77" t="inlineStr">
        <is>
          <t>Yes</t>
        </is>
      </c>
      <c r="G632" s="77" t="n">
        <v>94</v>
      </c>
      <c r="H632" s="77" t="inlineStr">
        <is>
          <t>WIL framework</t>
        </is>
      </c>
      <c r="I632" s="77" t="inlineStr">
        <is>
          <t>Campus-wide initiative and opportunities platform; page fetched (discovery.berkeley.edu/students/overview) gives no specific project, team or employer detail. Underlying projects tested separately (S2 etc.).</t>
        </is>
      </c>
      <c r="J632" s="77" t="inlineStr">
        <is>
          <t>https://discovery.berkeley.edu/students/overview</t>
        </is>
      </c>
      <c r="K632" s="77" t="inlineStr">
        <is>
          <t>Platform live; no scheme-level evidence</t>
        </is>
      </c>
    </row>
    <row r="633">
      <c r="A633" s="77" t="inlineStr">
        <is>
          <t>US05-X02</t>
        </is>
      </c>
      <c r="B633" s="77" t="inlineStr">
        <is>
          <t>US05</t>
        </is>
      </c>
      <c r="C633" s="77" t="inlineStr">
        <is>
          <t>California Berkeley</t>
        </is>
      </c>
      <c r="D633" s="77" t="inlineStr">
        <is>
          <t>US</t>
        </is>
      </c>
      <c r="E633" s="77" t="inlineStr">
        <is>
          <t>GSPP Capstone Projects (MPP/MPA/MDP)</t>
        </is>
      </c>
      <c r="F633" s="77" t="inlineStr">
        <is>
          <t>No</t>
        </is>
      </c>
      <c r="G633" s="77" t="inlineStr"/>
      <c r="H633" s="77" t="inlineStr">
        <is>
          <t>Near-miss: not group</t>
        </is>
      </c>
      <c r="I633" s="77" t="inlineStr">
        <is>
          <t>One graduating student per project; clients public, private or nonprofit; graduation requirement; Spring 2027. Fails B.</t>
        </is>
      </c>
      <c r="J633" s="77" t="inlineStr">
        <is>
          <t>https://gspp.berkeley.edu/career-services/client-based-projects/capstone-projects</t>
        </is>
      </c>
      <c r="K633" s="77" t="inlineStr">
        <is>
          <t>Spring 2027 call</t>
        </is>
      </c>
    </row>
    <row r="634">
      <c r="A634" s="77" t="inlineStr">
        <is>
          <t>US05-X03</t>
        </is>
      </c>
      <c r="B634" s="77" t="inlineStr">
        <is>
          <t>US05</t>
        </is>
      </c>
      <c r="C634" s="77" t="inlineStr">
        <is>
          <t>California Berkeley</t>
        </is>
      </c>
      <c r="D634" s="77" t="inlineStr">
        <is>
          <t>US</t>
        </is>
      </c>
      <c r="E634" s="77" t="inlineStr">
        <is>
          <t>UC Berkeley Law clinics (Environmental Law Clinic, Policy Advocacy Clinic)</t>
        </is>
      </c>
      <c r="F634" s="77" t="inlineStr">
        <is>
          <t>No</t>
        </is>
      </c>
      <c r="G634" s="77" t="inlineStr"/>
      <c r="H634" s="77" t="inlineStr">
        <is>
          <t>Evidence gap</t>
        </is>
      </c>
      <c r="I634" s="77" t="inlineStr">
        <is>
          <t>Real-world clients and team work ('typically done in teams'; 2-4 students) but legal casework/campaign work; project output and bounded brief not evidenced; permission/credit enrolment.</t>
        </is>
      </c>
      <c r="J634" s="77" t="inlineStr">
        <is>
          <t>https://www.law.berkeley.edu/experiential/clinics/environmental-law-clinic/about-the-clinic/</t>
        </is>
      </c>
      <c r="K634" s="77" t="inlineStr">
        <is>
          <t>2026 page copyright only</t>
        </is>
      </c>
    </row>
    <row r="635">
      <c r="A635" s="77" t="inlineStr">
        <is>
          <t>US05-X04</t>
        </is>
      </c>
      <c r="B635" s="77" t="inlineStr">
        <is>
          <t>US05</t>
        </is>
      </c>
      <c r="C635" s="77" t="inlineStr">
        <is>
          <t>California Berkeley</t>
        </is>
      </c>
      <c r="D635" s="77" t="inlineStr">
        <is>
          <t>US</t>
        </is>
      </c>
      <c r="E635" s="77" t="inlineStr">
        <is>
          <t>Deep Tech Innovation Lab</t>
        </is>
      </c>
      <c r="F635" s="77" t="inlineStr">
        <is>
          <t>No</t>
        </is>
      </c>
      <c r="G635" s="77" t="inlineStr"/>
      <c r="H635" s="77" t="inlineStr">
        <is>
          <t>Evidence gap</t>
        </is>
      </c>
      <c r="I635" s="77" t="inlineStr">
        <is>
          <t>Search extract: interdisciplinary graduate teams matched to partner projects, slide deck presented to partner; not opened, status/eligibility unknown.</t>
        </is>
      </c>
      <c r="J635" s="77" t="inlineStr">
        <is>
          <t>https://deeptech.berkeley.edu/partners/</t>
        </is>
      </c>
      <c r="K635" s="77" t="inlineStr">
        <is>
          <t>Not opened</t>
        </is>
      </c>
    </row>
    <row r="636">
      <c r="A636" s="77" t="inlineStr">
        <is>
          <t>US05-X05</t>
        </is>
      </c>
      <c r="B636" s="77" t="inlineStr">
        <is>
          <t>US05</t>
        </is>
      </c>
      <c r="C636" s="77" t="inlineStr">
        <is>
          <t>California Berkeley</t>
        </is>
      </c>
      <c r="D636" s="77" t="inlineStr">
        <is>
          <t>US</t>
        </is>
      </c>
      <c r="E636" s="77" t="inlineStr">
        <is>
          <t>MSSE capstone (Master of Molecular Science and Software Engineering)</t>
        </is>
      </c>
      <c r="F636" s="77" t="inlineStr">
        <is>
          <t>No</t>
        </is>
      </c>
      <c r="G636" s="77" t="inlineStr"/>
      <c r="H636" s="77" t="inlineStr">
        <is>
          <t>Evidence gap</t>
        </is>
      </c>
      <c r="I636" s="77" t="inlineStr">
        <is>
          <t>Search extract only: outside partners and final report to stakeholders; team structure and dates not checked.</t>
        </is>
      </c>
      <c r="J636" s="77" t="inlineStr">
        <is>
          <t>https://msse.berkeley.edu/partner-with-us/</t>
        </is>
      </c>
      <c r="K636" s="77" t="inlineStr">
        <is>
          <t>Not opened</t>
        </is>
      </c>
    </row>
    <row r="637">
      <c r="A637" s="77" t="inlineStr">
        <is>
          <t>US05-X06</t>
        </is>
      </c>
      <c r="B637" s="77" t="inlineStr">
        <is>
          <t>US05</t>
        </is>
      </c>
      <c r="C637" s="77" t="inlineStr">
        <is>
          <t>California Berkeley</t>
        </is>
      </c>
      <c r="D637" s="77" t="inlineStr">
        <is>
          <t>US</t>
        </is>
      </c>
      <c r="E637" s="77" t="inlineStr">
        <is>
          <t>Haas International Business Development (IBD) and Fung Fellowship (12-week undergraduate)</t>
        </is>
      </c>
      <c r="F637" s="77" t="inlineStr">
        <is>
          <t>No</t>
        </is>
      </c>
      <c r="G637" s="77" t="inlineStr"/>
      <c r="H637" s="77" t="inlineStr">
        <is>
          <t>Evidence gap</t>
        </is>
      </c>
      <c r="I637" s="77" t="inlineStr">
        <is>
          <t>IBD described by search as team-based client consulting; fetched Haas page gave no team/client detail. Fung Fellowship team size and partners not stated.</t>
        </is>
      </c>
      <c r="J637" s="77" t="inlineStr">
        <is>
          <t>https://mba.haas.berkeley.edu/academics/experiential-learning</t>
        </is>
      </c>
      <c r="K637" s="77" t="inlineStr">
        <is>
          <t>Not researched further</t>
        </is>
      </c>
    </row>
    <row r="638">
      <c r="A638" s="77" t="inlineStr">
        <is>
          <t>US05-X07</t>
        </is>
      </c>
      <c r="B638" s="77" t="inlineStr">
        <is>
          <t>US05</t>
        </is>
      </c>
      <c r="C638" s="77" t="inlineStr">
        <is>
          <t>California Berkeley</t>
        </is>
      </c>
      <c r="D638" s="77" t="inlineStr">
        <is>
          <t>US</t>
        </is>
      </c>
      <c r="E638" s="77" t="inlineStr">
        <is>
          <t>MIDS Data Science capstone (School of Information, DATASCI 210A)</t>
        </is>
      </c>
      <c r="F638" s="77" t="inlineStr">
        <is>
          <t>No</t>
        </is>
      </c>
      <c r="G638" s="77" t="inlineStr"/>
      <c r="H638" s="77" t="inlineStr">
        <is>
          <t>Near-miss: no external org</t>
        </is>
      </c>
      <c r="I638" s="77" t="inlineStr">
        <is>
          <t>Group capstone (3-4) on open secondary data; no external client evidenced.</t>
        </is>
      </c>
      <c r="J638" s="77" t="inlineStr">
        <is>
          <t>https://www.ischool.berkeley.edu/courses/datasci/210a</t>
        </is>
      </c>
      <c r="K638" s="77" t="inlineStr">
        <is>
          <t>Search extract only</t>
        </is>
      </c>
    </row>
    <row r="639">
      <c r="A639" s="77" t="inlineStr">
        <is>
          <t>US05-X08</t>
        </is>
      </c>
      <c r="B639" s="77" t="inlineStr">
        <is>
          <t>US05</t>
        </is>
      </c>
      <c r="C639" s="77" t="inlineStr">
        <is>
          <t>California Berkeley</t>
        </is>
      </c>
      <c r="D639" s="77" t="inlineStr">
        <is>
          <t>US</t>
        </is>
      </c>
      <c r="E639" s="77" t="inlineStr">
        <is>
          <t>Public Health student impact grants</t>
        </is>
      </c>
      <c r="F639" s="77" t="inlineStr">
        <is>
          <t>No</t>
        </is>
      </c>
      <c r="G639" s="77" t="inlineStr"/>
      <c r="H639" s="77" t="inlineStr">
        <is>
          <t>Entrepreneurship/incubator</t>
        </is>
      </c>
      <c r="I639" s="77" t="inlineStr">
        <is>
          <t>Funded student-led projects with community partners, not a course-structured employer brief.</t>
        </is>
      </c>
      <c r="J639" s="77" t="inlineStr">
        <is>
          <t>https://publichealth.berkeley.edu/articles/news/social-impact/student-innovators-awarded-impact-funding</t>
        </is>
      </c>
      <c r="K639" s="7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2:L1188"/>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12" customWidth="1" min="3" max="3"/>
    <col width="30" customWidth="1" min="4" max="4"/>
    <col width="22" customWidth="1" min="5" max="5"/>
    <col width="50" customWidth="1" min="6" max="6"/>
    <col width="34" customWidth="1" min="7" max="7"/>
    <col width="24" customWidth="1" min="8" max="8"/>
    <col width="14" customWidth="1" min="9" max="9"/>
    <col width="11" customWidth="1" min="10" max="10"/>
    <col width="16" customWidth="1" min="11" max="11"/>
    <col width="80" customWidth="1" min="12" max="12"/>
  </cols>
  <sheetData>
    <row r="2">
      <c r="A2" s="78" t="inlineStr">
        <is>
          <t>Experiential learning: claim-level sources</t>
        </is>
      </c>
    </row>
    <row r="3">
      <c r="A3" s="71" t="inlineStr">
        <is>
          <t>Each row is one source supporting named claims for one scheme. 'Supports' lists the criteria/fields it evidences.</t>
        </is>
      </c>
    </row>
    <row r="4">
      <c r="A4" s="71" t="inlineStr">
        <is>
          <t>Retrieval method 'search-index extract': page text obtained through web-search extracts because direct page fetching was blocked by this environment's network policy. Re-open URLs to confirm before external publication.</t>
        </is>
      </c>
    </row>
    <row r="6">
      <c r="A6" s="75" t="inlineStr">
        <is>
          <t>Source ID</t>
        </is>
      </c>
      <c r="B6" s="75" t="inlineStr">
        <is>
          <t>Institution ID</t>
        </is>
      </c>
      <c r="C6" s="75" t="inlineStr">
        <is>
          <t>Scheme ID</t>
        </is>
      </c>
      <c r="D6" s="75" t="inlineStr">
        <is>
          <t>Scheme</t>
        </is>
      </c>
      <c r="E6" s="75" t="inlineStr">
        <is>
          <t>Supports (claim / criterion)</t>
        </is>
      </c>
      <c r="F6" s="75" t="inlineStr">
        <is>
          <t>URL</t>
        </is>
      </c>
      <c r="G6" s="75" t="inlineStr">
        <is>
          <t>Title</t>
        </is>
      </c>
      <c r="H6" s="75" t="inlineStr">
        <is>
          <t>Section / subpage / PDF page</t>
        </is>
      </c>
      <c r="I6" s="75" t="inlineStr">
        <is>
          <t>Publication / academic year</t>
        </is>
      </c>
      <c r="J6" s="75" t="inlineStr">
        <is>
          <t>Access date</t>
        </is>
      </c>
      <c r="K6" s="75" t="inlineStr">
        <is>
          <t>Retrieval method</t>
        </is>
      </c>
      <c r="L6" s="75" t="inlineStr">
        <is>
          <t>Supporting extract or precise paraphrase</t>
        </is>
      </c>
    </row>
    <row r="7">
      <c r="A7" s="77" t="inlineStr">
        <is>
          <t>RG01-S01-R1</t>
        </is>
      </c>
      <c r="B7" s="77" t="inlineStr">
        <is>
          <t>RG01</t>
        </is>
      </c>
      <c r="C7" s="77" t="inlineStr">
        <is>
          <t>RG01-S01</t>
        </is>
      </c>
      <c r="D7" s="77" t="inlineStr">
        <is>
          <t>The Birmingham Project</t>
        </is>
      </c>
      <c r="E7" s="77" t="inlineStr">
        <is>
          <t>project; group; employer; status; duration; credit</t>
        </is>
      </c>
      <c r="F7" s="77" t="inlineStr">
        <is>
          <t>https://intranet.birmingham.ac.uk/student/careers/skills-development/birmingham-project/index.aspx</t>
        </is>
      </c>
      <c r="G7" s="77" t="inlineStr">
        <is>
          <t>The Birmingham Project</t>
        </is>
      </c>
      <c r="H7" s="77" t="inlineStr">
        <is>
          <t>Main page (2026 run)</t>
        </is>
      </c>
      <c r="I7" s="77" t="inlineStr">
        <is>
          <t>2026</t>
        </is>
      </c>
      <c r="J7" s="77" t="inlineStr">
        <is>
          <t>2026-10-12</t>
        </is>
      </c>
      <c r="K7" s="77" t="inlineStr">
        <is>
          <t>search-summary paraphrase</t>
        </is>
      </c>
      <c r="L7" s="77" t="inlineStr">
        <is>
          <t>Runs 8-12 June 2026, in-person one-week event on campus for first-year undergraduates; students are matched to a theme and the challenge question is revealed on the first day; teams give their assessed presentation 'to your peers, industry professionals, and your academic support team' on the final day; group video presentation 50% and self-evaluation 50%.</t>
        </is>
      </c>
    </row>
    <row r="8">
      <c r="A8" s="77" t="inlineStr">
        <is>
          <t>RG01-S01-R2</t>
        </is>
      </c>
      <c r="B8" s="77" t="inlineStr">
        <is>
          <t>RG01</t>
        </is>
      </c>
      <c r="C8" s="77" t="inlineStr">
        <is>
          <t>RG01-S01</t>
        </is>
      </c>
      <c r="D8" s="77" t="inlineStr">
        <is>
          <t>The Birmingham Project</t>
        </is>
      </c>
      <c r="E8" s="77" t="inlineStr">
        <is>
          <t>credit</t>
        </is>
      </c>
      <c r="F8" s="77" t="inlineStr">
        <is>
          <t>https://intranet.birmingham.ac.uk/student/student-hub/solution.aspx?nodeId=4522</t>
        </is>
      </c>
      <c r="G8" s="77" t="inlineStr">
        <is>
          <t>How will my participation in The Birmingham Project be recognised?</t>
        </is>
      </c>
      <c r="H8" s="77" t="inlineStr">
        <is>
          <t>Student Hub FAQ</t>
        </is>
      </c>
      <c r="I8" s="77" t="inlineStr">
        <is>
          <t>undated</t>
        </is>
      </c>
      <c r="J8" s="77" t="inlineStr">
        <is>
          <t>2026-10-12</t>
        </is>
      </c>
      <c r="K8" s="77" t="inlineStr">
        <is>
          <t>search-index extract (quoted)</t>
        </is>
      </c>
      <c r="L8" s="77" t="inlineStr">
        <is>
          <t>'The Birmingham Project is formally recognised as a pass/fail module on your University transcript; however, the project is non-credit bearing.'</t>
        </is>
      </c>
    </row>
    <row r="9">
      <c r="A9" s="77" t="inlineStr">
        <is>
          <t>RG01-S01-R3</t>
        </is>
      </c>
      <c r="B9" s="77" t="inlineStr">
        <is>
          <t>RG01</t>
        </is>
      </c>
      <c r="C9" s="77" t="inlineStr">
        <is>
          <t>RG01-S01</t>
        </is>
      </c>
      <c r="D9" s="77" t="inlineStr">
        <is>
          <t>The Birmingham Project</t>
        </is>
      </c>
      <c r="E9" s="77" t="inlineStr">
        <is>
          <t>reach; eligibility; group; participation</t>
        </is>
      </c>
      <c r="F9" s="77" t="inlineStr">
        <is>
          <t>https://intranet.birmingham.ac.uk/student/student-hub/solution.aspx?nodeId=5442</t>
        </is>
      </c>
      <c r="G9" s="77" t="inlineStr">
        <is>
          <t>Who can take part in The Birmingham Project?</t>
        </is>
      </c>
      <c r="H9" s="77" t="inlineStr">
        <is>
          <t>Student Hub FAQ</t>
        </is>
      </c>
      <c r="I9" s="77" t="inlineStr">
        <is>
          <t>undated</t>
        </is>
      </c>
      <c r="J9" s="77" t="inlineStr">
        <is>
          <t>2026-10-12</t>
        </is>
      </c>
      <c r="K9" s="77" t="inlineStr">
        <is>
          <t>search-summary paraphrase</t>
        </is>
      </c>
      <c r="L9" s="77" t="inlineStr">
        <is>
          <t>Registered first-year undergraduates from any course, including Erasmus students, can take part; only Birmingham campus students; teams work on an innovative solution to social or environmental issues in small groups with students from across the university; must be available every day 09:00-17:00.</t>
        </is>
      </c>
    </row>
    <row r="10">
      <c r="A10" s="77" t="inlineStr">
        <is>
          <t>RG01-S01-R4</t>
        </is>
      </c>
      <c r="B10" s="77" t="inlineStr">
        <is>
          <t>RG01</t>
        </is>
      </c>
      <c r="C10" s="77" t="inlineStr">
        <is>
          <t>RG01-S01</t>
        </is>
      </c>
      <c r="D10" s="77" t="inlineStr">
        <is>
          <t>The Birmingham Project</t>
        </is>
      </c>
      <c r="E10" s="77" t="inlineStr">
        <is>
          <t>employer; project; group; participation; status</t>
        </is>
      </c>
      <c r="F10" s="77" t="inlineStr">
        <is>
          <t>https://www.birmingham.ac.uk/news/2026/university-of-birmingham-wins-student-employability-award</t>
        </is>
      </c>
      <c r="G10" s="77" t="inlineStr">
        <is>
          <t>University of Birmingham wins student employability award</t>
        </is>
      </c>
      <c r="H10" s="77" t="inlineStr">
        <is>
          <t>News 2026</t>
        </is>
      </c>
      <c r="I10" s="77" t="inlineStr">
        <is>
          <t>2026</t>
        </is>
      </c>
      <c r="J10" s="77" t="inlineStr">
        <is>
          <t>2026-10-12</t>
        </is>
      </c>
      <c r="K10" s="77" t="inlineStr">
        <is>
          <t>search-summary paraphrase</t>
        </is>
      </c>
      <c r="L10" s="77" t="inlineStr">
        <is>
          <t>Mixed-discipline teams of first-year students develop solutions to seven employer-set, sustainability-focused challenges; each challenge supported by an industry professional and a team of academics; partners Birmingham City FC, Conde Nast, Expedia Group, HSBC, Siemens, Transport for West Midlands and West Midlands Combined Authority; more than 2,000 students since 2013; won Employer and Community Partnerships Award (Academic Employability Awards).</t>
        </is>
      </c>
    </row>
    <row r="11">
      <c r="A11" s="77" t="inlineStr">
        <is>
          <t>RG01-S01-R5</t>
        </is>
      </c>
      <c r="B11" s="77" t="inlineStr">
        <is>
          <t>RG01</t>
        </is>
      </c>
      <c r="C11" s="77" t="inlineStr">
        <is>
          <t>RG01-S01</t>
        </is>
      </c>
      <c r="D11" s="77" t="inlineStr">
        <is>
          <t>The Birmingham Project</t>
        </is>
      </c>
      <c r="E11" s="77" t="inlineStr">
        <is>
          <t>employer; status</t>
        </is>
      </c>
      <c r="F11" s="77" t="inlineStr">
        <is>
          <t>https://intranet.birmingham.ac.uk/student/careers/skills-development/birmingham-project/employer-partners.aspx</t>
        </is>
      </c>
      <c r="G11" s="77" t="inlineStr">
        <is>
          <t>The Birmingham Project employer partners</t>
        </is>
      </c>
      <c r="H11" s="77" t="inlineStr">
        <is>
          <t>Employer partners</t>
        </is>
      </c>
      <c r="I11" s="77" t="inlineStr">
        <is>
          <t>2026</t>
        </is>
      </c>
      <c r="J11" s="77" t="inlineStr">
        <is>
          <t>2026-10-12</t>
        </is>
      </c>
      <c r="K11" s="77" t="inlineStr">
        <is>
          <t>search-summary paraphrase</t>
        </is>
      </c>
      <c r="L11" s="77" t="inlineStr">
        <is>
          <t>Lists 8 employer supporters for June 2026, including new addition BBC Studios Drama Productions.</t>
        </is>
      </c>
    </row>
    <row r="12">
      <c r="A12" s="77" t="inlineStr">
        <is>
          <t>RG01-S02-R1</t>
        </is>
      </c>
      <c r="B12" s="77" t="inlineStr">
        <is>
          <t>RG01</t>
        </is>
      </c>
      <c r="C12" s="77" t="inlineStr">
        <is>
          <t>RG01-S02</t>
        </is>
      </c>
      <c r="D12" s="77" t="inlineStr">
        <is>
          <t>Masters Consultancy Challenge (MCC)</t>
        </is>
      </c>
      <c r="E12" s="77" t="inlineStr">
        <is>
          <t>project; group; employer; eligibility; participation; status; duration</t>
        </is>
      </c>
      <c r="F12" s="77" t="inlineStr">
        <is>
          <t>https://intranet.birmingham.ac.uk/as/employability/careers/postgraduate/pgt/mcc.aspx</t>
        </is>
      </c>
      <c r="G12" s="77" t="inlineStr">
        <is>
          <t>Masters Consultancy Challenge</t>
        </is>
      </c>
      <c r="H12" s="77" t="inlineStr">
        <is>
          <t>Careers Network PGT page</t>
        </is>
      </c>
      <c r="I12" s="77" t="inlineStr">
        <is>
          <t>2026</t>
        </is>
      </c>
      <c r="J12" s="77" t="inlineStr">
        <is>
          <t>2026-10-12</t>
        </is>
      </c>
      <c r="K12" s="77" t="inlineStr">
        <is>
          <t>search-index extract (quoted)</t>
        </is>
      </c>
      <c r="L12" s="77" t="inlineStr">
        <is>
          <t>'an intensive 3-week programme, students will form interdisciplinary groups to solve a 'challenge' set by Turner &amp; Townsend'; challenge 'simulates real organisational challenges'; 'Teams will present their challenge solutions to a judging panel made up of industry and University representatives'; 2026 edition 8-26 June 2026; 'only open to Postgraduate Taught students registered to a degree programme based at the Edgbaston Campus'; places 'allocated on the quality of your application'.</t>
        </is>
      </c>
    </row>
    <row r="13">
      <c r="A13" s="77" t="inlineStr">
        <is>
          <t>RG01-S02-R2</t>
        </is>
      </c>
      <c r="B13" s="77" t="inlineStr">
        <is>
          <t>RG01</t>
        </is>
      </c>
      <c r="C13" s="77" t="inlineStr">
        <is>
          <t>RG01-S02</t>
        </is>
      </c>
      <c r="D13" s="77" t="inlineStr">
        <is>
          <t>Masters Consultancy Challenge (MCC)</t>
        </is>
      </c>
      <c r="E13" s="77" t="inlineStr">
        <is>
          <t>group; employer</t>
        </is>
      </c>
      <c r="F13" s="77" t="inlineStr">
        <is>
          <t>https://www.birmingham.ac.uk/about/college-of-social-sciences/birmingham-business-school/company-projects</t>
        </is>
      </c>
      <c r="G13" s="77" t="inlineStr">
        <is>
          <t>Company Projects in Birmingham Business School</t>
        </is>
      </c>
      <c r="H13" s="77" t="inlineStr">
        <is>
          <t>Masters Consultancy Challenge paragraph</t>
        </is>
      </c>
      <c r="I13" s="77" t="inlineStr">
        <is>
          <t>undated</t>
        </is>
      </c>
      <c r="J13" s="77" t="inlineStr">
        <is>
          <t>2026-10-12</t>
        </is>
      </c>
      <c r="K13" s="77" t="inlineStr">
        <is>
          <t>search-summary paraphrase</t>
        </is>
      </c>
      <c r="L13" s="77" t="inlineStr">
        <is>
          <t>The Masters Consultancy Challenge has students working in interdisciplinary teams on real organisational challenges for Turner &amp; Townsend.</t>
        </is>
      </c>
    </row>
    <row r="14">
      <c r="A14" s="77" t="inlineStr">
        <is>
          <t>RG01-S02-R3</t>
        </is>
      </c>
      <c r="B14" s="77" t="inlineStr">
        <is>
          <t>RG01</t>
        </is>
      </c>
      <c r="C14" s="77" t="inlineStr">
        <is>
          <t>RG01-S02</t>
        </is>
      </c>
      <c r="D14" s="77" t="inlineStr">
        <is>
          <t>Masters Consultancy Challenge (MCC)</t>
        </is>
      </c>
      <c r="E14" s="77" t="inlineStr">
        <is>
          <t>reach; eligibility</t>
        </is>
      </c>
      <c r="F14" s="77" t="inlineStr">
        <is>
          <t>https://www.intranet.birmingham.ac.uk/student/careers/postgraduate/pgt/mcc.aspx</t>
        </is>
      </c>
      <c r="G14" s="77" t="inlineStr">
        <is>
          <t>Masters Consultancy Challenge</t>
        </is>
      </c>
      <c r="H14" s="77" t="inlineStr">
        <is>
          <t>Careers Network PGT page (alternate URL)</t>
        </is>
      </c>
      <c r="I14" s="77" t="inlineStr">
        <is>
          <t>undated</t>
        </is>
      </c>
      <c r="J14" s="77" t="inlineStr">
        <is>
          <t>2026-10-12</t>
        </is>
      </c>
      <c r="K14" s="77" t="inlineStr">
        <is>
          <t>search-summary paraphrase</t>
        </is>
      </c>
      <c r="L14" s="77" t="inlineStr">
        <is>
          <t>Open to taught postgraduates from across the University's five Colleges.</t>
        </is>
      </c>
    </row>
    <row r="15">
      <c r="A15" s="77" t="inlineStr">
        <is>
          <t>RG01-S03-R1</t>
        </is>
      </c>
      <c r="B15" s="77" t="inlineStr">
        <is>
          <t>RG01</t>
        </is>
      </c>
      <c r="C15" s="77" t="inlineStr">
        <is>
          <t>RG01-S03</t>
        </is>
      </c>
      <c r="D15" s="77" t="inlineStr">
        <is>
          <t>Impact Challenge</t>
        </is>
      </c>
      <c r="E15" s="77" t="inlineStr">
        <is>
          <t>project; group; employer; eligibility; status; duration; participation</t>
        </is>
      </c>
      <c r="F15" s="77" t="inlineStr">
        <is>
          <t>https://intranet.birmingham.ac.uk/student/careers/equality-and-diversity/impact-challenge.aspx</t>
        </is>
      </c>
      <c r="G15" s="77" t="inlineStr">
        <is>
          <t>Impact Challenge</t>
        </is>
      </c>
      <c r="H15" s="77" t="inlineStr">
        <is>
          <t>Careers Network EDI page</t>
        </is>
      </c>
      <c r="I15" s="77" t="inlineStr">
        <is>
          <t>2026</t>
        </is>
      </c>
      <c r="J15" s="77" t="inlineStr">
        <is>
          <t>2026-10-12</t>
        </is>
      </c>
      <c r="K15" s="77" t="inlineStr">
        <is>
          <t>search-index extract (quoted)</t>
        </is>
      </c>
      <c r="L15" s="77" t="inlineStr">
        <is>
          <t>'The Impact Challenge (IC) is a week-long work experience opportunity, open to Undergraduate penultimate and final year Birmingham Scholars, those who have a home address in an IMD Quintile 1 and/or are registered at the University with a disability / in receipt of Disability Student Allowance'; groups work in small teams on a project set by an employer and present output(s) at the end of the week; 2026 week 15-19 June with compulsory follow-up 22 or 24 June; 'Receive £125 payment after completing the programme'; past briefs Grace Cares, The Patient Centre, CoachBright, Careers Network.</t>
        </is>
      </c>
    </row>
    <row r="16">
      <c r="A16" s="77" t="inlineStr">
        <is>
          <t>RG01-S04-R1</t>
        </is>
      </c>
      <c r="B16" s="77" t="inlineStr">
        <is>
          <t>RG01</t>
        </is>
      </c>
      <c r="C16" s="77" t="inlineStr">
        <is>
          <t>RG01-S04</t>
        </is>
      </c>
      <c r="D16" s="77" t="inlineStr">
        <is>
          <t>Capgemini Community Challenge</t>
        </is>
      </c>
      <c r="E16" s="77" t="inlineStr">
        <is>
          <t>project; group; employer; eligibility; status; duration</t>
        </is>
      </c>
      <c r="F16" s="77" t="inlineStr">
        <is>
          <t>https://intranet.birmingham.ac.uk/student/careers/skills-development/capgemini-community-challenge.aspx</t>
        </is>
      </c>
      <c r="G16" s="77" t="inlineStr">
        <is>
          <t>University of Birmingham and Capgemini Community Challenge</t>
        </is>
      </c>
      <c r="H16" s="77" t="inlineStr">
        <is>
          <t>Careers Network skills development</t>
        </is>
      </c>
      <c r="I16" s="77" t="inlineStr">
        <is>
          <t>2026</t>
        </is>
      </c>
      <c r="J16" s="77" t="inlineStr">
        <is>
          <t>2026-10-12</t>
        </is>
      </c>
      <c r="K16" s="77" t="inlineStr">
        <is>
          <t>search-summary paraphrase</t>
        </is>
      </c>
      <c r="L16" s="77" t="inlineStr">
        <is>
          <t>Next Community Challenge at Capgemini's Telford office 8-12 June 2026 with compulsory team-building session the week before; first, second and penultimate year undergraduates across business, computing, engineering, maths and sciences can apply; all-expenses paid; teams work on solutions-based projects for third-sector clients; past clients Ironbridge Gorge Museum Trust, Age Concern, Air Ambulance, Shropshire Wildlife Trust.</t>
        </is>
      </c>
    </row>
    <row r="17">
      <c r="A17" s="77" t="inlineStr">
        <is>
          <t>RG01-S04-R2</t>
        </is>
      </c>
      <c r="B17" s="77" t="inlineStr">
        <is>
          <t>RG01</t>
        </is>
      </c>
      <c r="C17" s="77" t="inlineStr">
        <is>
          <t>RG01-S04</t>
        </is>
      </c>
      <c r="D17" s="77" t="inlineStr">
        <is>
          <t>Capgemini Community Challenge</t>
        </is>
      </c>
      <c r="E17" s="77" t="inlineStr">
        <is>
          <t>project; reach; status</t>
        </is>
      </c>
      <c r="F17" s="77" t="inlineStr">
        <is>
          <t>https://www.birmingham.ac.uk/about/college-of-social-sciences/birmingham-business-school/capgemini-community-challenge</t>
        </is>
      </c>
      <c r="G17" s="77" t="inlineStr">
        <is>
          <t>Capgemini Community Challenge</t>
        </is>
      </c>
      <c r="H17" s="77" t="inlineStr">
        <is>
          <t>Birmingham Business School page</t>
        </is>
      </c>
      <c r="I17" s="77" t="inlineStr">
        <is>
          <t>undated</t>
        </is>
      </c>
      <c r="J17" s="77" t="inlineStr">
        <is>
          <t>2026-10-12</t>
        </is>
      </c>
      <c r="K17" s="77" t="inlineStr">
        <is>
          <t>search-summary paraphrase</t>
        </is>
      </c>
      <c r="L17" s="77" t="inlineStr">
        <is>
          <t>Immersive week-long consultancy programme exclusive to undergraduate students at Birmingham Business School, held at Capgemini's client-solutions facilities; applications reopen March 2026.</t>
        </is>
      </c>
    </row>
    <row r="18">
      <c r="A18" s="77" t="inlineStr">
        <is>
          <t>RG01-S04-R3</t>
        </is>
      </c>
      <c r="B18" s="77" t="inlineStr">
        <is>
          <t>RG01</t>
        </is>
      </c>
      <c r="C18" s="77" t="inlineStr">
        <is>
          <t>RG01-S04</t>
        </is>
      </c>
      <c r="D18" s="77" t="inlineStr">
        <is>
          <t>Capgemini Community Challenge</t>
        </is>
      </c>
      <c r="E18" s="77" t="inlineStr">
        <is>
          <t>group; employer; status</t>
        </is>
      </c>
      <c r="F18" s="77" t="inlineStr">
        <is>
          <t>https://www.intranet.birmingham.ac.uk/student/careers/transcripts/video/capgemini-community-challenge-2024-video-transcript.aspx</t>
        </is>
      </c>
      <c r="G18" s="77" t="inlineStr">
        <is>
          <t>Capgemini Community Challenge 2024 (Video transcript)</t>
        </is>
      </c>
      <c r="H18" s="77" t="inlineStr">
        <is>
          <t>Video transcript</t>
        </is>
      </c>
      <c r="I18" s="77" t="inlineStr">
        <is>
          <t>2024</t>
        </is>
      </c>
      <c r="J18" s="77" t="inlineStr">
        <is>
          <t>2026-10-12</t>
        </is>
      </c>
      <c r="K18" s="77" t="inlineStr">
        <is>
          <t>search-summary paraphrase</t>
        </is>
      </c>
      <c r="L18" s="77" t="inlineStr">
        <is>
          <t>A 2024 participant describes working in a team with a Telford charity as client.</t>
        </is>
      </c>
    </row>
    <row r="19">
      <c r="A19" s="77" t="inlineStr">
        <is>
          <t>RG01-S05-R1</t>
        </is>
      </c>
      <c r="B19" s="77" t="inlineStr">
        <is>
          <t>RG01</t>
        </is>
      </c>
      <c r="C19" s="77" t="inlineStr">
        <is>
          <t>RG01-S05</t>
        </is>
      </c>
      <c r="D19" s="77" t="inlineStr">
        <is>
          <t>MSc Strategic Marketing and Consulting: Consultancy Skills and Practice (group consultancy project)</t>
        </is>
      </c>
      <c r="E19" s="77" t="inlineStr">
        <is>
          <t>project; group; employer; credit</t>
        </is>
      </c>
      <c r="F19" s="77" t="inlineStr">
        <is>
          <t>https://www.birmingham.ac.uk/study/postgraduate/subjects/marketing-courses/strategic-marketing-and-consulting-msc</t>
        </is>
      </c>
      <c r="G19" s="77" t="inlineStr">
        <is>
          <t>Strategic Marketing and Consulting MSc</t>
        </is>
      </c>
      <c r="H19" s="77" t="inlineStr">
        <is>
          <t>Course content / modules</t>
        </is>
      </c>
      <c r="I19" s="77" t="inlineStr">
        <is>
          <t>undated</t>
        </is>
      </c>
      <c r="J19" s="77" t="inlineStr">
        <is>
          <t>2026-10-12</t>
        </is>
      </c>
      <c r="K19" s="77" t="inlineStr">
        <is>
          <t>search-summary paraphrase</t>
        </is>
      </c>
      <c r="L19" s="77" t="inlineStr">
        <is>
          <t>Includes Consultancy Skills and Practice (20 credits) in which students complete a group consultancy project for a real organisation - clients range from SMEs to corporates and public bodies - and present recommendations directly to the client; 180 credits of 20-credit modules plus a 60-credit Individual Project.</t>
        </is>
      </c>
    </row>
    <row r="20">
      <c r="A20" s="77" t="inlineStr">
        <is>
          <t>RG01-S05-R2</t>
        </is>
      </c>
      <c r="B20" s="77" t="inlineStr">
        <is>
          <t>RG01</t>
        </is>
      </c>
      <c r="C20" s="77" t="inlineStr">
        <is>
          <t>RG01-S05</t>
        </is>
      </c>
      <c r="D20" s="77" t="inlineStr">
        <is>
          <t>MSc Strategic Marketing and Consulting: Consultancy Skills and Practice (group consultancy project)</t>
        </is>
      </c>
      <c r="E20" s="77" t="inlineStr">
        <is>
          <t>employer</t>
        </is>
      </c>
      <c r="F20" s="77" t="inlineStr">
        <is>
          <t>https://www.birmingham.ac.uk/study/student-experience/stories/my-company-project-experience-harriet-cox</t>
        </is>
      </c>
      <c r="G20" s="77" t="inlineStr">
        <is>
          <t>My Company Project experience with Zest Marketing</t>
        </is>
      </c>
      <c r="H20" s="77" t="inlineStr">
        <is>
          <t>Student story</t>
        </is>
      </c>
      <c r="I20" s="77" t="inlineStr">
        <is>
          <t>undated</t>
        </is>
      </c>
      <c r="J20" s="77" t="inlineStr">
        <is>
          <t>2026-10-12</t>
        </is>
      </c>
      <c r="K20" s="77" t="inlineStr">
        <is>
          <t>search-summary paraphrase</t>
        </is>
      </c>
      <c r="L20" s="77" t="inlineStr">
        <is>
          <t>Student describes applying for live projects with CV and cover letter after project briefs were released.</t>
        </is>
      </c>
    </row>
    <row r="21">
      <c r="A21" s="77" t="inlineStr">
        <is>
          <t>RG01-S06-R1</t>
        </is>
      </c>
      <c r="B21" s="77" t="inlineStr">
        <is>
          <t>RG01</t>
        </is>
      </c>
      <c r="C21" s="77" t="inlineStr">
        <is>
          <t>RG01-S06</t>
        </is>
      </c>
      <c r="D21" s="77" t="inlineStr">
        <is>
          <t>Masters Company Projects (Birmingham Business School)</t>
        </is>
      </c>
      <c r="E21" s="77" t="inlineStr">
        <is>
          <t>project; employer; credit; reach</t>
        </is>
      </c>
      <c r="F21" s="77" t="inlineStr">
        <is>
          <t>https://www.birmingham.ac.uk/about/college-of-social-sciences/birmingham-business-school/company-projects</t>
        </is>
      </c>
      <c r="G21" s="77" t="inlineStr">
        <is>
          <t>Company Projects in Birmingham Business School</t>
        </is>
      </c>
      <c r="H21" s="77" t="inlineStr">
        <is>
          <t>Masters Company Projects; MBA projects</t>
        </is>
      </c>
      <c r="I21" s="77" t="inlineStr">
        <is>
          <t>undated</t>
        </is>
      </c>
      <c r="J21" s="77" t="inlineStr">
        <is>
          <t>2026-10-12</t>
        </is>
      </c>
      <c r="K21" s="77" t="inlineStr">
        <is>
          <t>search-summary paraphrase</t>
        </is>
      </c>
      <c r="L21" s="77" t="inlineStr">
        <is>
          <t>Masters Company Projects offered on selected MSc programmes incl. Business Analytics, Marketing and Supply Chain Management; they 'give students the chance to complete their degree with an organisation, contributing to solutions for a live business challenge'; MBA students choose a 40-credit MBA Company Project, Entrepreneurial Project or dissertation.</t>
        </is>
      </c>
    </row>
    <row r="22">
      <c r="A22" s="77" t="inlineStr">
        <is>
          <t>RG01-S07-R1</t>
        </is>
      </c>
      <c r="B22" s="77" t="inlineStr">
        <is>
          <t>RG01</t>
        </is>
      </c>
      <c r="C22" s="77" t="inlineStr">
        <is>
          <t>RG01-S07</t>
        </is>
      </c>
      <c r="D22" s="77" t="inlineStr">
        <is>
          <t>Chemical / Energy Engineering final-year industry-linked design project</t>
        </is>
      </c>
      <c r="E22" s="77" t="inlineStr">
        <is>
          <t>employer</t>
        </is>
      </c>
      <c r="F22" s="77" t="inlineStr">
        <is>
          <t>https://www.birmingham.ac.uk/study/undergraduate/subjects/chemical-engineering-courses/chemical-engineering-industrial-beng</t>
        </is>
      </c>
      <c r="G22" s="77" t="inlineStr">
        <is>
          <t>Chemical Engineering with Industrial Study BEng</t>
        </is>
      </c>
      <c r="H22" s="77" t="inlineStr">
        <is>
          <t>Final year</t>
        </is>
      </c>
      <c r="I22" s="77" t="inlineStr">
        <is>
          <t>undated</t>
        </is>
      </c>
      <c r="J22" s="77" t="inlineStr">
        <is>
          <t>2026-10-12</t>
        </is>
      </c>
      <c r="K22" s="77" t="inlineStr">
        <is>
          <t>search-index extract (quoted)</t>
        </is>
      </c>
      <c r="L22" s="77" t="inlineStr">
        <is>
          <t>'final year sees you working closely with industry figures, as you develop your design project'.</t>
        </is>
      </c>
    </row>
    <row r="23">
      <c r="A23" s="77" t="inlineStr">
        <is>
          <t>RG01-S07-R2</t>
        </is>
      </c>
      <c r="B23" s="77" t="inlineStr">
        <is>
          <t>RG01</t>
        </is>
      </c>
      <c r="C23" s="77" t="inlineStr">
        <is>
          <t>RG01-S07</t>
        </is>
      </c>
      <c r="D23" s="77" t="inlineStr">
        <is>
          <t>Chemical / Energy Engineering final-year industry-linked design project</t>
        </is>
      </c>
      <c r="E23" s="77" t="inlineStr">
        <is>
          <t>project; credit</t>
        </is>
      </c>
      <c r="F23" s="77" t="inlineStr">
        <is>
          <t>https://www.birmingham.ac.uk/study/undergraduate/subjects/chemical-engineering-courses/chemical-engineering-international-industrial-meng</t>
        </is>
      </c>
      <c r="G23" s="77" t="inlineStr">
        <is>
          <t>Chemical Engineering with International and Industrial Study MEng</t>
        </is>
      </c>
      <c r="H23" s="77" t="inlineStr">
        <is>
          <t>Final year</t>
        </is>
      </c>
      <c r="I23" s="77" t="inlineStr">
        <is>
          <t>undated</t>
        </is>
      </c>
      <c r="J23" s="77" t="inlineStr">
        <is>
          <t>2026-10-12</t>
        </is>
      </c>
      <c r="K23" s="77" t="inlineStr">
        <is>
          <t>search-index extract (quoted)</t>
        </is>
      </c>
      <c r="L23" s="77" t="inlineStr">
        <is>
          <t>'an industry relevant design project which enables you to put into practice all of the skills you have gained' (40 credits).</t>
        </is>
      </c>
    </row>
    <row r="24">
      <c r="A24" s="77" t="inlineStr">
        <is>
          <t>RG01-S07-R3</t>
        </is>
      </c>
      <c r="B24" s="77" t="inlineStr">
        <is>
          <t>RG01</t>
        </is>
      </c>
      <c r="C24" s="77" t="inlineStr">
        <is>
          <t>RG01-S07</t>
        </is>
      </c>
      <c r="D24" s="77" t="inlineStr">
        <is>
          <t>Chemical / Energy Engineering final-year industry-linked design project</t>
        </is>
      </c>
      <c r="E24" s="77" t="inlineStr">
        <is>
          <t>group; project</t>
        </is>
      </c>
      <c r="F24" s="77" t="inlineStr">
        <is>
          <t>https://www.birmingham.ac.uk/study/undergraduate/subjects/chemical-engineering-courses/chemical-engineering-beng</t>
        </is>
      </c>
      <c r="G24" s="77" t="inlineStr">
        <is>
          <t>Chemical Engineering BEng</t>
        </is>
      </c>
      <c r="H24" s="77" t="inlineStr">
        <is>
          <t>Overview</t>
        </is>
      </c>
      <c r="I24" s="77" t="inlineStr">
        <is>
          <t>undated</t>
        </is>
      </c>
      <c r="J24" s="77" t="inlineStr">
        <is>
          <t>2026-10-12</t>
        </is>
      </c>
      <c r="K24" s="77" t="inlineStr">
        <is>
          <t>search-index extract (quoted)</t>
        </is>
      </c>
      <c r="L24" s="77" t="inlineStr">
        <is>
          <t>'Thrive individually and collectively with an emphasis on team-based project work'; design project on a chemical process.</t>
        </is>
      </c>
    </row>
    <row r="25">
      <c r="A25" s="77" t="inlineStr">
        <is>
          <t>RG01-S08-R1</t>
        </is>
      </c>
      <c r="B25" s="77" t="inlineStr">
        <is>
          <t>RG01</t>
        </is>
      </c>
      <c r="C25" s="77" t="inlineStr">
        <is>
          <t>RG01-S08</t>
        </is>
      </c>
      <c r="D25" s="77" t="inlineStr">
        <is>
          <t>Mathematical Challenge: Problem Solving and Programming in Business and Industry</t>
        </is>
      </c>
      <c r="E25" s="77" t="inlineStr">
        <is>
          <t>project; participation; credit</t>
        </is>
      </c>
      <c r="F25" s="77" t="inlineStr">
        <is>
          <t>https://www.birmingham.ac.uk/study/undergraduate/subjects/mathematics-courses/mathematics-bsc</t>
        </is>
      </c>
      <c r="G25" s="77" t="inlineStr">
        <is>
          <t>Mathematics BSc</t>
        </is>
      </c>
      <c r="H25" s="77" t="inlineStr">
        <is>
          <t>Modules</t>
        </is>
      </c>
      <c r="I25" s="77" t="inlineStr">
        <is>
          <t>undated</t>
        </is>
      </c>
      <c r="J25" s="77" t="inlineStr">
        <is>
          <t>2026-10-13</t>
        </is>
      </c>
      <c r="K25" s="77" t="inlineStr">
        <is>
          <t>search-summary paraphrase</t>
        </is>
      </c>
      <c r="L25" s="77" t="inlineStr">
        <is>
          <t>Compulsory Year 2 20-credit module 'Mathematical Challenge: Problem Solving and Programming in Business and Industry' applying maths to real-world problems.</t>
        </is>
      </c>
    </row>
    <row r="26">
      <c r="A26" s="77" t="inlineStr">
        <is>
          <t>RG01-S09-R1</t>
        </is>
      </c>
      <c r="B26" s="77" t="inlineStr">
        <is>
          <t>RG01</t>
        </is>
      </c>
      <c r="C26" s="77" t="inlineStr">
        <is>
          <t>RG01-S09</t>
        </is>
      </c>
      <c r="D26" s="77" t="inlineStr">
        <is>
          <t>Law Pro Bono Group: Birmingham Free Legal Advice Group (FLAG) and clinics</t>
        </is>
      </c>
      <c r="E26" s="77" t="inlineStr">
        <is>
          <t>project; group; employer; status</t>
        </is>
      </c>
      <c r="F26" s="77" t="inlineStr">
        <is>
          <t>https://www.birmingham.ac.uk/about/college-of-arts-and-law/birmingham-law-school/birmingham-free-legal-advice-group</t>
        </is>
      </c>
      <c r="G26" s="77" t="inlineStr">
        <is>
          <t>Birmingham Free Legal Advice Group</t>
        </is>
      </c>
      <c r="H26" s="77" t="inlineStr">
        <is>
          <t>FLAG</t>
        </is>
      </c>
      <c r="I26" s="77" t="inlineStr">
        <is>
          <t>undated (2026 student testimonial elsewhere)</t>
        </is>
      </c>
      <c r="J26" s="77" t="inlineStr">
        <is>
          <t>2026-10-13</t>
        </is>
      </c>
      <c r="K26" s="77" t="inlineStr">
        <is>
          <t>search-summary paraphrase</t>
        </is>
      </c>
      <c r="L26" s="77" t="inlineStr">
        <is>
          <t>Students in pairs interview clients and spend two weeks researching and drafting a letter of advice; supervised by qualified lawyers; Fraud Clinic supervised by Tenet Law solicitors (2025 announcement).</t>
        </is>
      </c>
    </row>
    <row r="27">
      <c r="A27" s="77" t="inlineStr">
        <is>
          <t>RG02-S01-R1</t>
        </is>
      </c>
      <c r="B27" s="77" t="inlineStr">
        <is>
          <t>RG02</t>
        </is>
      </c>
      <c r="C27" s="77" t="inlineStr">
        <is>
          <t>RG02-S01</t>
        </is>
      </c>
      <c r="D27" s="77" t="inlineStr">
        <is>
          <t>Software Engineering Project (undergraduate Computer Science client projects)</t>
        </is>
      </c>
      <c r="E27" s="77" t="inlineStr">
        <is>
          <t>project; group; employer; duration</t>
        </is>
      </c>
      <c r="F27" s="77" t="inlineStr">
        <is>
          <t>https://www.bristol.ac.uk/science-engineering/ilo/industry/software-projects/undergraduate-software-engineering-projects/</t>
        </is>
      </c>
      <c r="G27" s="77" t="inlineStr">
        <is>
          <t>Undergraduate software engineering projects</t>
        </is>
      </c>
      <c r="H27" s="77" t="inlineStr">
        <is>
          <t>Industry software projects</t>
        </is>
      </c>
      <c r="I27" s="77" t="inlineStr">
        <is>
          <t>undated</t>
        </is>
      </c>
      <c r="J27" s="77" t="inlineStr">
        <is>
          <t>2026-10-12</t>
        </is>
      </c>
      <c r="K27" s="77" t="inlineStr">
        <is>
          <t>search-index extract (quoted)</t>
        </is>
      </c>
      <c r="L27" s="77" t="inlineStr">
        <is>
          <t>Teams work for 22 weeks from the beginning of October until May; ~6 hours per student per week; client meets teams every two to three weeks for about an hour.</t>
        </is>
      </c>
    </row>
    <row r="28">
      <c r="A28" s="77" t="inlineStr">
        <is>
          <t>RG02-S01-R2</t>
        </is>
      </c>
      <c r="B28" s="77" t="inlineStr">
        <is>
          <t>RG02</t>
        </is>
      </c>
      <c r="C28" s="77" t="inlineStr">
        <is>
          <t>RG02-S01</t>
        </is>
      </c>
      <c r="D28" s="77" t="inlineStr">
        <is>
          <t>Software Engineering Project (undergraduate Computer Science client projects)</t>
        </is>
      </c>
      <c r="E28" s="77" t="inlineStr">
        <is>
          <t>project; group; employer; reach</t>
        </is>
      </c>
      <c r="F28" s="77" t="inlineStr">
        <is>
          <t>https://www.bristol.ac.uk/engineering/departments/computerscience/student-projects/undergraduate-software-engineering-projects/</t>
        </is>
      </c>
      <c r="G28" s="77" t="inlineStr">
        <is>
          <t>Undergraduate software engineering projects (Computer Science)</t>
        </is>
      </c>
      <c r="H28" s="77" t="inlineStr">
        <is>
          <t>Student projects</t>
        </is>
      </c>
      <c r="I28" s="77" t="inlineStr">
        <is>
          <t>undated</t>
        </is>
      </c>
      <c r="J28" s="77" t="inlineStr">
        <is>
          <t>2026-10-12</t>
        </is>
      </c>
      <c r="K28" s="77" t="inlineStr">
        <is>
          <t>search-summary paraphrase</t>
        </is>
      </c>
      <c r="L28" s="77" t="inlineStr">
        <is>
          <t>'In the second year ... our students work as a group on a problem for a real-world client. The project is run as a software consultancy for real-world clients.' Milestones: MVP mid-December, beta end of February, final release and viva early May.</t>
        </is>
      </c>
    </row>
    <row r="29">
      <c r="A29" s="77" t="inlineStr">
        <is>
          <t>RG02-S01-R3</t>
        </is>
      </c>
      <c r="B29" s="77" t="inlineStr">
        <is>
          <t>RG02</t>
        </is>
      </c>
      <c r="C29" s="77" t="inlineStr">
        <is>
          <t>RG02-S01</t>
        </is>
      </c>
      <c r="D29" s="77" t="inlineStr">
        <is>
          <t>Software Engineering Project (undergraduate Computer Science client projects)</t>
        </is>
      </c>
      <c r="E29" s="77" t="inlineStr">
        <is>
          <t>credit; group</t>
        </is>
      </c>
      <c r="F29" s="77" t="inlineStr">
        <is>
          <t>https://upc.bristol.ac.uk/unit-programme-catalogue/UnitDetails.jsa?ayrCode=36/37&amp;unitCode=COMS20006</t>
        </is>
      </c>
      <c r="G29" s="77" t="inlineStr">
        <is>
          <t>Unit information: Software Engineering Project</t>
        </is>
      </c>
      <c r="H29" s="77" t="inlineStr">
        <is>
          <t>Unit catalogue (labelled 2036/37)</t>
        </is>
      </c>
      <c r="I29" s="77" t="inlineStr">
        <is>
          <t>labelled 2036/37 (unreliable)</t>
        </is>
      </c>
      <c r="J29" s="77" t="inlineStr">
        <is>
          <t>2026-10-12</t>
        </is>
      </c>
      <c r="K29" s="77" t="inlineStr">
        <is>
          <t>search-summary paraphrase</t>
        </is>
      </c>
      <c r="L29" s="77" t="inlineStr">
        <is>
          <t>20 credits; Teaching Block 4; 100% coursework completed in groups; aim to specify, design, implement and evaluate a large-scale software system.</t>
        </is>
      </c>
    </row>
    <row r="30">
      <c r="A30" s="77" t="inlineStr">
        <is>
          <t>RG02-S02-R1</t>
        </is>
      </c>
      <c r="B30" s="77" t="inlineStr">
        <is>
          <t>RG02</t>
        </is>
      </c>
      <c r="C30" s="77" t="inlineStr">
        <is>
          <t>RG02-S02</t>
        </is>
      </c>
      <c r="D30" s="77" t="inlineStr">
        <is>
          <t>MSc Summer Team Project (Computer Science)</t>
        </is>
      </c>
      <c r="E30" s="77" t="inlineStr">
        <is>
          <t>project; group; employer; participation; reach</t>
        </is>
      </c>
      <c r="F30" s="77" t="inlineStr">
        <is>
          <t>https://www.bristol.ac.uk/science-engineering/ilo/industry/software-projects/msc-summer-team-project/</t>
        </is>
      </c>
      <c r="G30" s="77" t="inlineStr">
        <is>
          <t>MSc Summer Team Project</t>
        </is>
      </c>
      <c r="H30" s="77" t="inlineStr">
        <is>
          <t>ILO software projects</t>
        </is>
      </c>
      <c r="I30" s="77" t="inlineStr">
        <is>
          <t>undated</t>
        </is>
      </c>
      <c r="J30" s="77" t="inlineStr">
        <is>
          <t>2026-10-12</t>
        </is>
      </c>
      <c r="K30" s="77" t="inlineStr">
        <is>
          <t>search-index extract (quoted)</t>
        </is>
      </c>
      <c r="L30" s="77" t="inlineStr">
        <is>
          <t>The expected summer project unit for all students taking the MSc in Computer Science; teams typically 4-6 students; client expected to meet teams frequently; proposals submitted between July and December.</t>
        </is>
      </c>
    </row>
    <row r="31">
      <c r="A31" s="77" t="inlineStr">
        <is>
          <t>RG02-S03-R1</t>
        </is>
      </c>
      <c r="B31" s="77" t="inlineStr">
        <is>
          <t>RG02</t>
        </is>
      </c>
      <c r="C31" s="77" t="inlineStr">
        <is>
          <t>RG02-S03</t>
        </is>
      </c>
      <c r="D31" s="77" t="inlineStr">
        <is>
          <t>Mathematical and Data Modelling 3</t>
        </is>
      </c>
      <c r="E31" s="77" t="inlineStr">
        <is>
          <t>project; group; employer; status</t>
        </is>
      </c>
      <c r="F31" s="77" t="inlineStr">
        <is>
          <t>https://upc.bristol.ac.uk/unit-programme-catalogue/UnitDetails.jsa?ayrCode=26/27&amp;unitCode=SEMT30005</t>
        </is>
      </c>
      <c r="G31" s="77" t="inlineStr">
        <is>
          <t>Unit information: Mathematical and Data Modelling 3</t>
        </is>
      </c>
      <c r="H31" s="77" t="inlineStr">
        <is>
          <t>Unit catalogue 2026/27</t>
        </is>
      </c>
      <c r="I31" s="77" t="inlineStr">
        <is>
          <t>2026/27</t>
        </is>
      </c>
      <c r="J31" s="77" t="inlineStr">
        <is>
          <t>2026-10-12</t>
        </is>
      </c>
      <c r="K31" s="77" t="inlineStr">
        <is>
          <t>search-index extract (quoted)</t>
        </is>
      </c>
      <c r="L31" s="77" t="inlineStr">
        <is>
          <t>Students will work in groups to solve three real-world problems, each of which lasts a total of 6 weeks. Two group projects will be supplied by industrial partners. Groups of 4-6.</t>
        </is>
      </c>
    </row>
    <row r="32">
      <c r="A32" s="77" t="inlineStr">
        <is>
          <t>RG02-S03-R2</t>
        </is>
      </c>
      <c r="B32" s="77" t="inlineStr">
        <is>
          <t>RG02</t>
        </is>
      </c>
      <c r="C32" s="77" t="inlineStr">
        <is>
          <t>RG02-S03</t>
        </is>
      </c>
      <c r="D32" s="77" t="inlineStr">
        <is>
          <t>Mathematical and Data Modelling 3</t>
        </is>
      </c>
      <c r="E32" s="77" t="inlineStr">
        <is>
          <t>project; group; employer</t>
        </is>
      </c>
      <c r="F32" s="77" t="inlineStr">
        <is>
          <t>https://www.bristol.ac.uk/science-engineering/ilo/industry/industry-projects/</t>
        </is>
      </c>
      <c r="G32" s="77" t="inlineStr">
        <is>
          <t>Industry Projects</t>
        </is>
      </c>
      <c r="H32" s="77" t="inlineStr">
        <is>
          <t>ILO industry projects</t>
        </is>
      </c>
      <c r="I32" s="77" t="inlineStr">
        <is>
          <t>undated</t>
        </is>
      </c>
      <c r="J32" s="77" t="inlineStr">
        <is>
          <t>2026-10-12</t>
        </is>
      </c>
      <c r="K32" s="77" t="inlineStr">
        <is>
          <t>search-index extract (quoted)</t>
        </is>
      </c>
      <c r="L32" s="77" t="inlineStr">
        <is>
          <t>Mathematical modelling unit: each project-problem has about 5 students working for about 6 weeks on problems proposed by industrial partners and research collaborators; working prototype or concept expected.</t>
        </is>
      </c>
    </row>
    <row r="33">
      <c r="A33" s="77" t="inlineStr">
        <is>
          <t>RG02-S04-R1</t>
        </is>
      </c>
      <c r="B33" s="77" t="inlineStr">
        <is>
          <t>RG02</t>
        </is>
      </c>
      <c r="C33" s="77" t="inlineStr">
        <is>
          <t>RG02-S04</t>
        </is>
      </c>
      <c r="D33" s="77" t="inlineStr">
        <is>
          <t>Design Project (Civil Engineering) / Civil Engineering Design Projects with external clients</t>
        </is>
      </c>
      <c r="E33" s="77" t="inlineStr">
        <is>
          <t>project; employer; credit; status</t>
        </is>
      </c>
      <c r="F33" s="77" t="inlineStr">
        <is>
          <t>https://upc.bristol.ac.uk/unit-programme-catalogue/UnitDetails.jsa?ayrCode=25/26&amp;unitCode=CENGM0062</t>
        </is>
      </c>
      <c r="G33" s="77" t="inlineStr">
        <is>
          <t>Unit information: Design Project</t>
        </is>
      </c>
      <c r="H33" s="77" t="inlineStr">
        <is>
          <t>Unit catalogue 2025/26</t>
        </is>
      </c>
      <c r="I33" s="77" t="inlineStr">
        <is>
          <t>2025/26</t>
        </is>
      </c>
      <c r="J33" s="77" t="inlineStr">
        <is>
          <t>2026-10-12</t>
        </is>
      </c>
      <c r="K33" s="77" t="inlineStr">
        <is>
          <t>search-index extract (quoted)</t>
        </is>
      </c>
      <c r="L33" s="77" t="inlineStr">
        <is>
          <t>40 credits, TB4; develop a RIBA stage 2 project from a basic brief supplied by industry or by an academic; some projects have industrial advisors who volunteer their time.</t>
        </is>
      </c>
    </row>
    <row r="34">
      <c r="A34" s="77" t="inlineStr">
        <is>
          <t>RG02-S04-R2</t>
        </is>
      </c>
      <c r="B34" s="77" t="inlineStr">
        <is>
          <t>RG02</t>
        </is>
      </c>
      <c r="C34" s="77" t="inlineStr">
        <is>
          <t>RG02-S04</t>
        </is>
      </c>
      <c r="D34" s="77" t="inlineStr">
        <is>
          <t>Design Project (Civil Engineering) / Civil Engineering Design Projects with external clients</t>
        </is>
      </c>
      <c r="E34" s="77" t="inlineStr">
        <is>
          <t>group; employer; project</t>
        </is>
      </c>
      <c r="F34" s="77" t="inlineStr">
        <is>
          <t>https://www.bristol.ac.uk/science-engineering/ilo/industry/industry-projects/civil-engineering-design-projects/</t>
        </is>
      </c>
      <c r="G34" s="77" t="inlineStr">
        <is>
          <t>Civil Engineering Design Projects</t>
        </is>
      </c>
      <c r="H34" s="77" t="inlineStr">
        <is>
          <t>ILO industry projects</t>
        </is>
      </c>
      <c r="I34" s="77" t="inlineStr">
        <is>
          <t>undated</t>
        </is>
      </c>
      <c r="J34" s="77" t="inlineStr">
        <is>
          <t>2026-10-12</t>
        </is>
      </c>
      <c r="K34" s="77" t="inlineStr">
        <is>
          <t>search-index extract (quoted)</t>
        </is>
      </c>
      <c r="L34" s="77" t="inlineStr">
        <is>
          <t>Master-level students work in groups on real design briefs from external clients, ideally RIBA stage 1 or 2; clients meet students at least twice a year; not involved in marking; briefs by mid-September, selection early October, December poster session.</t>
        </is>
      </c>
    </row>
    <row r="35">
      <c r="A35" s="77" t="inlineStr">
        <is>
          <t>RG02-S05-R1</t>
        </is>
      </c>
      <c r="B35" s="77" t="inlineStr">
        <is>
          <t>RG02</t>
        </is>
      </c>
      <c r="C35" s="77" t="inlineStr">
        <is>
          <t>RG02-S05</t>
        </is>
      </c>
      <c r="D35" s="77" t="inlineStr">
        <is>
          <t>Data Science Mini-Project</t>
        </is>
      </c>
      <c r="E35" s="77" t="inlineStr">
        <is>
          <t>project; group; employer; credit; status</t>
        </is>
      </c>
      <c r="F35" s="77" t="inlineStr">
        <is>
          <t>https://upc.bristol.ac.uk/unit-programme-catalogue/UnitDetails.jsa?ayrCode=25/26&amp;unitCode=EMATM0050</t>
        </is>
      </c>
      <c r="G35" s="77" t="inlineStr">
        <is>
          <t>Unit information: Data Science Mini-Project</t>
        </is>
      </c>
      <c r="H35" s="77" t="inlineStr">
        <is>
          <t>Unit catalogue 2025/26</t>
        </is>
      </c>
      <c r="I35" s="77" t="inlineStr">
        <is>
          <t>2025/26</t>
        </is>
      </c>
      <c r="J35" s="77" t="inlineStr">
        <is>
          <t>2026-10-12</t>
        </is>
      </c>
      <c r="K35" s="77" t="inlineStr">
        <is>
          <t>search-index extract (quoted)</t>
        </is>
      </c>
      <c r="L35" s="77" t="inlineStr">
        <is>
          <t>Students work in small teams ... Whenever possible, the application will be created to meet the needs of an external client, e.g. in an industrial partner, or problem-owners elsewhere in the University. Group presentation 20%, group report 60%, individual reflection 20%.</t>
        </is>
      </c>
    </row>
    <row r="36">
      <c r="A36" s="77" t="inlineStr">
        <is>
          <t>RG02-S05-R2</t>
        </is>
      </c>
      <c r="B36" s="77" t="inlineStr">
        <is>
          <t>RG02</t>
        </is>
      </c>
      <c r="C36" s="77" t="inlineStr">
        <is>
          <t>RG02-S05</t>
        </is>
      </c>
      <c r="D36" s="77" t="inlineStr">
        <is>
          <t>Data Science Mini-Project</t>
        </is>
      </c>
      <c r="E36" s="77" t="inlineStr">
        <is>
          <t>status; group</t>
        </is>
      </c>
      <c r="F36" s="77" t="inlineStr">
        <is>
          <t>https://www.bristol.ac.uk/unit-programme-catalogue/UnitDetails.jsa?ayrCode=26/27&amp;unitCode=EMATM0050</t>
        </is>
      </c>
      <c r="G36" s="77" t="inlineStr">
        <is>
          <t>Unit information: Data Science Mini-Project</t>
        </is>
      </c>
      <c r="H36" s="77" t="inlineStr">
        <is>
          <t>Unit catalogue 2026/27</t>
        </is>
      </c>
      <c r="I36" s="77" t="inlineStr">
        <is>
          <t>2026/27</t>
        </is>
      </c>
      <c r="J36" s="77" t="inlineStr">
        <is>
          <t>2026-10-12</t>
        </is>
      </c>
      <c r="K36" s="77" t="inlineStr">
        <is>
          <t>search-summary paraphrase</t>
        </is>
      </c>
      <c r="L36" s="77" t="inlineStr">
        <is>
          <t>Students work in a team to jointly produce team deliverables; external client wording repeated.</t>
        </is>
      </c>
    </row>
    <row r="37">
      <c r="A37" s="77" t="inlineStr">
        <is>
          <t>RG02-S06-R1</t>
        </is>
      </c>
      <c r="B37" s="77" t="inlineStr">
        <is>
          <t>RG02</t>
        </is>
      </c>
      <c r="C37" s="77" t="inlineStr">
        <is>
          <t>RG02-S06</t>
        </is>
      </c>
      <c r="D37" s="77" t="inlineStr">
        <is>
          <t>Management Consultancy</t>
        </is>
      </c>
      <c r="E37" s="77" t="inlineStr">
        <is>
          <t>project; group; employer; credit; status; eligibility</t>
        </is>
      </c>
      <c r="F37" s="77" t="inlineStr">
        <is>
          <t>https://upc.bristol.ac.uk/unit-programme-catalogue/UnitDetails.jsa?unitCode=EFIM30064&amp;ayrCode=25/26&amp;orgCode=BUSI</t>
        </is>
      </c>
      <c r="G37" s="77" t="inlineStr">
        <is>
          <t>Unit and programme catalogues: Management Consultancy</t>
        </is>
      </c>
      <c r="H37" s="77" t="inlineStr">
        <is>
          <t>Unit catalogue 2025/26</t>
        </is>
      </c>
      <c r="I37" s="77" t="inlineStr">
        <is>
          <t>2025/26</t>
        </is>
      </c>
      <c r="J37" s="77" t="inlineStr">
        <is>
          <t>2026-10-12</t>
        </is>
      </c>
      <c r="K37" s="77" t="inlineStr">
        <is>
          <t>search-index extract (quoted)</t>
        </is>
      </c>
      <c r="L37" s="77" t="inlineStr">
        <is>
          <t>20 credit points, Teaching Block 2; small group consultancy project based on briefs from outside organisations/clients in the not-for-profit sectors; groups normally 4 to 6; group report 7,000 words (50%).</t>
        </is>
      </c>
    </row>
    <row r="38">
      <c r="A38" s="77" t="inlineStr">
        <is>
          <t>RG02-S06-R2</t>
        </is>
      </c>
      <c r="B38" s="77" t="inlineStr">
        <is>
          <t>RG02</t>
        </is>
      </c>
      <c r="C38" s="77" t="inlineStr">
        <is>
          <t>RG02-S06</t>
        </is>
      </c>
      <c r="D38" s="77" t="inlineStr">
        <is>
          <t>Management Consultancy</t>
        </is>
      </c>
      <c r="E38" s="77" t="inlineStr">
        <is>
          <t>participation; reach</t>
        </is>
      </c>
      <c r="F38" s="77" t="inlineStr">
        <is>
          <t>https://www.bristol.ac.uk/fssl/professional-liaison-network/undergraduate-students/student-placements-and-projects/</t>
        </is>
      </c>
      <c r="G38" s="77" t="inlineStr">
        <is>
          <t>Student Placements and Projects</t>
        </is>
      </c>
      <c r="H38" s="77" t="inlineStr">
        <is>
          <t>PLN</t>
        </is>
      </c>
      <c r="I38" s="77" t="inlineStr">
        <is>
          <t>2020/21 (older)</t>
        </is>
      </c>
      <c r="J38" s="77" t="inlineStr">
        <is>
          <t>2026-10-12</t>
        </is>
      </c>
      <c r="K38" s="77" t="inlineStr">
        <is>
          <t>search-summary paraphrase</t>
        </is>
      </c>
      <c r="L38" s="77" t="inlineStr">
        <is>
          <t>Management Consultancy is an optional unit open to third-year students; groups are allocated a consultancy research brief, mostly from outside organisations such as local charities.</t>
        </is>
      </c>
    </row>
    <row r="39">
      <c r="A39" s="77" t="inlineStr">
        <is>
          <t>RG02-S07-R1</t>
        </is>
      </c>
      <c r="B39" s="77" t="inlineStr">
        <is>
          <t>RG02</t>
        </is>
      </c>
      <c r="C39" s="77" t="inlineStr">
        <is>
          <t>RG02-S07</t>
        </is>
      </c>
      <c r="D39" s="77" t="inlineStr">
        <is>
          <t>Business School Micro-Internship programme</t>
        </is>
      </c>
      <c r="E39" s="77" t="inlineStr">
        <is>
          <t>project; group; employer; eligibility; participation</t>
        </is>
      </c>
      <c r="F39" s="77" t="inlineStr">
        <is>
          <t>https://www.bristol.ac.uk/business-school/careers-and-employability/micro-internship-programme/</t>
        </is>
      </c>
      <c r="G39" s="77" t="inlineStr">
        <is>
          <t>Micro-internship programme</t>
        </is>
      </c>
      <c r="H39" s="77" t="inlineStr">
        <is>
          <t>Business School careers</t>
        </is>
      </c>
      <c r="I39" s="77" t="inlineStr">
        <is>
          <t>undated</t>
        </is>
      </c>
      <c r="J39" s="77" t="inlineStr">
        <is>
          <t>2026-10-12</t>
        </is>
      </c>
      <c r="K39" s="77" t="inlineStr">
        <is>
          <t>search-index extract (quoted)</t>
        </is>
      </c>
      <c r="L39" s="77" t="inlineStr">
        <is>
          <t>Three-week, 50-hour project; Masters students join a virtual consultant team and work for an industry client; report and final presentation; priority to students not completing an in-curriculum employer project.</t>
        </is>
      </c>
    </row>
    <row r="40">
      <c r="A40" s="77" t="inlineStr">
        <is>
          <t>RG02-S07-R2</t>
        </is>
      </c>
      <c r="B40" s="77" t="inlineStr">
        <is>
          <t>RG02</t>
        </is>
      </c>
      <c r="C40" s="77" t="inlineStr">
        <is>
          <t>RG02-S07</t>
        </is>
      </c>
      <c r="D40" s="77" t="inlineStr">
        <is>
          <t>Business School Micro-Internship programme</t>
        </is>
      </c>
      <c r="E40" s="77" t="inlineStr">
        <is>
          <t>group; participation</t>
        </is>
      </c>
      <c r="F40" s="77" t="inlineStr">
        <is>
          <t>https://www.bristol.ac.uk/media-library/sites/business-school/documents/business-school-micro-internship-2025.pdf</t>
        </is>
      </c>
      <c r="G40" s="77" t="inlineStr">
        <is>
          <t>University of Bristol Business School Micro Internship</t>
        </is>
      </c>
      <c r="H40" s="77" t="inlineStr">
        <is>
          <t>Programme PDF</t>
        </is>
      </c>
      <c r="I40" s="77" t="inlineStr">
        <is>
          <t>2025</t>
        </is>
      </c>
      <c r="J40" s="77" t="inlineStr">
        <is>
          <t>2026-10-12</t>
        </is>
      </c>
      <c r="K40" s="77" t="inlineStr">
        <is>
          <t>search-index extract (quoted)</t>
        </is>
      </c>
      <c r="L40" s="77" t="inlineStr">
        <is>
          <t>Offering 200 Masters students a 3-week authentic industry project as a virtual consultant team; teams assigned at random; 50 hours.</t>
        </is>
      </c>
    </row>
    <row r="41">
      <c r="A41" s="77" t="inlineStr">
        <is>
          <t>RG02-S07-R3</t>
        </is>
      </c>
      <c r="B41" s="77" t="inlineStr">
        <is>
          <t>RG02</t>
        </is>
      </c>
      <c r="C41" s="77" t="inlineStr">
        <is>
          <t>RG02-S07</t>
        </is>
      </c>
      <c r="D41" s="77" t="inlineStr">
        <is>
          <t>Business School Micro-Internship programme</t>
        </is>
      </c>
      <c r="E41" s="77" t="inlineStr">
        <is>
          <t>status</t>
        </is>
      </c>
      <c r="F41" s="77" t="inlineStr">
        <is>
          <t>https://universityofbristolcareers.blogs.bristol.ac.uk/2025/11/11/from-strategy-to-sustainability-my-experience-with-the-business-school-micro-internship/</t>
        </is>
      </c>
      <c r="G41" s="77" t="inlineStr">
        <is>
          <t>From Strategy to Sustainability: My Experience with the Business School Micro-Internship</t>
        </is>
      </c>
      <c r="H41" s="77" t="inlineStr">
        <is>
          <t>Careers blog</t>
        </is>
      </c>
      <c r="I41" s="77" t="inlineStr">
        <is>
          <t>2025-11-11</t>
        </is>
      </c>
      <c r="J41" s="77" t="inlineStr">
        <is>
          <t>2026-10-12</t>
        </is>
      </c>
      <c r="K41" s="77" t="inlineStr">
        <is>
          <t>search-summary paraphrase</t>
        </is>
      </c>
      <c r="L41" s="77" t="inlineStr">
        <is>
          <t>Student account stating the 2025/6 programme runs in February and March.</t>
        </is>
      </c>
    </row>
    <row r="42">
      <c r="A42" s="77" t="inlineStr">
        <is>
          <t>RG02-S08-R1</t>
        </is>
      </c>
      <c r="B42" s="77" t="inlineStr">
        <is>
          <t>RG02</t>
        </is>
      </c>
      <c r="C42" s="77" t="inlineStr">
        <is>
          <t>RG02-S08</t>
        </is>
      </c>
      <c r="D42" s="77" t="inlineStr">
        <is>
          <t>Business Analytics Consulting Project (MSc Business Analytics)</t>
        </is>
      </c>
      <c r="E42" s="77" t="inlineStr">
        <is>
          <t>project; group; employer; participation</t>
        </is>
      </c>
      <c r="F42" s="77" t="inlineStr">
        <is>
          <t>https://www.bristol.ac.uk/study/postgraduate/taught/msc-business-analytics/</t>
        </is>
      </c>
      <c r="G42" s="77" t="inlineStr">
        <is>
          <t>MSc Business Analytics</t>
        </is>
      </c>
      <c r="H42" s="77" t="inlineStr">
        <is>
          <t>Programme page</t>
        </is>
      </c>
      <c r="I42" s="77" t="inlineStr">
        <is>
          <t>undated</t>
        </is>
      </c>
      <c r="J42" s="77" t="inlineStr">
        <is>
          <t>2026-10-12</t>
        </is>
      </c>
      <c r="K42" s="77" t="inlineStr">
        <is>
          <t>search-summary paraphrase</t>
        </is>
      </c>
      <c r="L42" s="77" t="inlineStr">
        <is>
          <t>The Business Analytics Consulting Project has students work with real organisations, ending in a consultancy report and boardroom presentation; a team project solving a real-world organisational problem.</t>
        </is>
      </c>
    </row>
    <row r="43">
      <c r="A43" s="77" t="inlineStr">
        <is>
          <t>RG02-S08-R2</t>
        </is>
      </c>
      <c r="B43" s="77" t="inlineStr">
        <is>
          <t>RG02</t>
        </is>
      </c>
      <c r="C43" s="77" t="inlineStr">
        <is>
          <t>RG02-S08</t>
        </is>
      </c>
      <c r="D43" s="77" t="inlineStr">
        <is>
          <t>Business Analytics Consulting Project (MSc Business Analytics)</t>
        </is>
      </c>
      <c r="E43" s="77" t="inlineStr">
        <is>
          <t>employer</t>
        </is>
      </c>
      <c r="F43" s="77" t="inlineStr">
        <is>
          <t>https://businessschool.blogs.bristol.ac.uk/2022/11/24/why-study-a-masters-degree-in-business-analytics/</t>
        </is>
      </c>
      <c r="G43" s="77" t="inlineStr">
        <is>
          <t>Why study a master's degree in Business Analytics?</t>
        </is>
      </c>
      <c r="H43" s="77" t="inlineStr">
        <is>
          <t>Business School blog</t>
        </is>
      </c>
      <c r="I43" s="77" t="inlineStr">
        <is>
          <t>2022</t>
        </is>
      </c>
      <c r="J43" s="77" t="inlineStr">
        <is>
          <t>2026-10-12</t>
        </is>
      </c>
      <c r="K43" s="77" t="inlineStr">
        <is>
          <t>search-summary paraphrase</t>
        </is>
      </c>
      <c r="L43" s="77" t="inlineStr">
        <is>
          <t>Students can consult on real projects, where possible, in partnership with private, charity and public sector organisations; programme created with IBM, LV and UCL/IBM Industry Exchange Network.</t>
        </is>
      </c>
    </row>
    <row r="44">
      <c r="A44" s="77" t="inlineStr">
        <is>
          <t>RG02-S09-R1</t>
        </is>
      </c>
      <c r="B44" s="77" t="inlineStr">
        <is>
          <t>RG02</t>
        </is>
      </c>
      <c r="C44" s="77" t="inlineStr">
        <is>
          <t>RG02-S09</t>
        </is>
      </c>
      <c r="D44" s="77" t="inlineStr">
        <is>
          <t>MSc Business Innovation and Entrepreneurship - Term 2 management-consultant live brief option</t>
        </is>
      </c>
      <c r="E44" s="77" t="inlineStr">
        <is>
          <t>project; employer; group</t>
        </is>
      </c>
      <c r="F44" s="77" t="inlineStr">
        <is>
          <t>https://www.bristol.ac.uk/study/postgraduate/taught/msc-business-innovation-and-entrepreneurship/</t>
        </is>
      </c>
      <c r="G44" s="77" t="inlineStr">
        <is>
          <t>MSc Business Innovation and Entrepreneurship</t>
        </is>
      </c>
      <c r="H44" s="77" t="inlineStr">
        <is>
          <t>Programme page</t>
        </is>
      </c>
      <c r="I44" s="77" t="inlineStr">
        <is>
          <t>undated</t>
        </is>
      </c>
      <c r="J44" s="77" t="inlineStr">
        <is>
          <t>2026-10-12</t>
        </is>
      </c>
      <c r="K44" s="77" t="inlineStr">
        <is>
          <t>search-summary paraphrase</t>
        </is>
      </c>
      <c r="L44" s="77" t="inlineStr">
        <is>
          <t>In the second teaching block ... act as a management consultant, working for a real-world industry partner to solve a live commercial brief; or build a proposal for a new internal venture or spin-out with your team.</t>
        </is>
      </c>
    </row>
    <row r="45">
      <c r="A45" s="77" t="inlineStr">
        <is>
          <t>RG02-S09-R2</t>
        </is>
      </c>
      <c r="B45" s="77" t="inlineStr">
        <is>
          <t>RG02</t>
        </is>
      </c>
      <c r="C45" s="77" t="inlineStr">
        <is>
          <t>RG02-S09</t>
        </is>
      </c>
      <c r="D45" s="77" t="inlineStr">
        <is>
          <t>MSc Business Innovation and Entrepreneurship - Term 2 management-consultant live brief option</t>
        </is>
      </c>
      <c r="E45" s="77" t="inlineStr">
        <is>
          <t>employer</t>
        </is>
      </c>
      <c r="F45" s="77" t="inlineStr">
        <is>
          <t>https://www.bristol.ac.uk/innovation/postgrad-masters/</t>
        </is>
      </c>
      <c r="G45" s="77" t="inlineStr">
        <is>
          <t>Postgraduate Masters</t>
        </is>
      </c>
      <c r="H45" s="77" t="inlineStr">
        <is>
          <t>Centre for Innovation and Entrepreneurship</t>
        </is>
      </c>
      <c r="I45" s="77" t="inlineStr">
        <is>
          <t>undated</t>
        </is>
      </c>
      <c r="J45" s="77" t="inlineStr">
        <is>
          <t>2026-10-12</t>
        </is>
      </c>
      <c r="K45" s="77" t="inlineStr">
        <is>
          <t>search-summary paraphrase</t>
        </is>
      </c>
      <c r="L45" s="77" t="inlineStr">
        <is>
          <t>Throughout the programme students work in collaboration with a wide range of industry partners who set live challenges.</t>
        </is>
      </c>
    </row>
    <row r="46">
      <c r="A46" s="77" t="inlineStr">
        <is>
          <t>RG02-S10-R1</t>
        </is>
      </c>
      <c r="B46" s="77" t="inlineStr">
        <is>
          <t>RG02</t>
        </is>
      </c>
      <c r="C46" s="77" t="inlineStr">
        <is>
          <t>RG02-S10</t>
        </is>
      </c>
      <c r="D46" s="77" t="inlineStr">
        <is>
          <t>The Marketing Applied Extended Project (AEP) - applied group route (MSc Marketing)</t>
        </is>
      </c>
      <c r="E46" s="77" t="inlineStr">
        <is>
          <t>project; group; employer; credit</t>
        </is>
      </c>
      <c r="F46" s="77" t="inlineStr">
        <is>
          <t>https://upc.bristol.ac.uk/unit-programme-catalogue/UnitDetails.jsa?ayrCode=33/34&amp;unitCode=MGRCM0040</t>
        </is>
      </c>
      <c r="G46" s="77" t="inlineStr">
        <is>
          <t>The Marketing Applied Extended Project (AEP)</t>
        </is>
      </c>
      <c r="H46" s="77" t="inlineStr">
        <is>
          <t>Unit catalogue (labelled 2033/34)</t>
        </is>
      </c>
      <c r="I46" s="77" t="inlineStr">
        <is>
          <t>labelled 2033/34 (unreliable)</t>
        </is>
      </c>
      <c r="J46" s="77" t="inlineStr">
        <is>
          <t>2026-10-12</t>
        </is>
      </c>
      <c r="K46" s="77" t="inlineStr">
        <is>
          <t>search-summary paraphrase</t>
        </is>
      </c>
      <c r="L46" s="77" t="inlineStr">
        <is>
          <t>60 credits, Level M; unit team identifies project briefs with external partners (commercial, third-sector, social); students apply; proposal 10%, group report and presentation 50%, reflective account 40%.</t>
        </is>
      </c>
    </row>
    <row r="47">
      <c r="A47" s="77" t="inlineStr">
        <is>
          <t>RG02-S10-R2</t>
        </is>
      </c>
      <c r="B47" s="77" t="inlineStr">
        <is>
          <t>RG02</t>
        </is>
      </c>
      <c r="C47" s="77" t="inlineStr">
        <is>
          <t>RG02-S10</t>
        </is>
      </c>
      <c r="D47" s="77" t="inlineStr">
        <is>
          <t>The Marketing Applied Extended Project (AEP) - applied group route (MSc Marketing)</t>
        </is>
      </c>
      <c r="E47" s="77" t="inlineStr">
        <is>
          <t>group; status; employer</t>
        </is>
      </c>
      <c r="F47" s="77" t="inlineStr">
        <is>
          <t>https://www.bristol.ac.uk/study/postgraduate/taught/msc-marketing/</t>
        </is>
      </c>
      <c r="G47" s="77" t="inlineStr">
        <is>
          <t>MSc Marketing</t>
        </is>
      </c>
      <c r="H47" s="77" t="inlineStr">
        <is>
          <t>Programme page, September 2026 entry</t>
        </is>
      </c>
      <c r="I47" s="77" t="inlineStr">
        <is>
          <t>2026</t>
        </is>
      </c>
      <c r="J47" s="77" t="inlineStr">
        <is>
          <t>2026-10-12</t>
        </is>
      </c>
      <c r="K47" s="77" t="inlineStr">
        <is>
          <t>search-summary paraphrase</t>
        </is>
      </c>
      <c r="L47" s="77" t="inlineStr">
        <is>
          <t>Final project: theoretical issue or, if applicable, working in a small group on a real organisational challenge via an applied industry project; start September 2026.</t>
        </is>
      </c>
    </row>
    <row r="48">
      <c r="A48" s="77" t="inlineStr">
        <is>
          <t>RG02-S11-R1</t>
        </is>
      </c>
      <c r="B48" s="77" t="inlineStr">
        <is>
          <t>RG02</t>
        </is>
      </c>
      <c r="C48" s="77" t="inlineStr">
        <is>
          <t>RG02-S11</t>
        </is>
      </c>
      <c r="D48" s="77" t="inlineStr">
        <is>
          <t>MSc Data Science for Business - live consulting projects / Applied Research Project</t>
        </is>
      </c>
      <c r="E48" s="77" t="inlineStr">
        <is>
          <t>project; group; employer</t>
        </is>
      </c>
      <c r="F48" s="77" t="inlineStr">
        <is>
          <t>https://www.bristol.ac.uk/study/postgraduate/taught/msc-data-science-for-business/</t>
        </is>
      </c>
      <c r="G48" s="77" t="inlineStr">
        <is>
          <t>MSc Data Science for Business</t>
        </is>
      </c>
      <c r="H48" s="77" t="inlineStr">
        <is>
          <t>Programme page</t>
        </is>
      </c>
      <c r="I48" s="77" t="inlineStr">
        <is>
          <t>undated</t>
        </is>
      </c>
      <c r="J48" s="77" t="inlineStr">
        <is>
          <t>2026-10-12</t>
        </is>
      </c>
      <c r="K48" s="77" t="inlineStr">
        <is>
          <t>search-summary paraphrase</t>
        </is>
      </c>
      <c r="L48" s="77" t="inlineStr">
        <is>
          <t>Live consulting projects; applied research project supervised across both schools; completed individually or as part of a team; industry projects integrated in the Applied Research Project.</t>
        </is>
      </c>
    </row>
    <row r="49">
      <c r="A49" s="77" t="inlineStr">
        <is>
          <t>RG02-S12-R1</t>
        </is>
      </c>
      <c r="B49" s="77" t="inlineStr">
        <is>
          <t>RG02</t>
        </is>
      </c>
      <c r="C49" s="77" t="inlineStr">
        <is>
          <t>RG02-S12</t>
        </is>
      </c>
      <c r="D49" s="77" t="inlineStr">
        <is>
          <t>Consultancy Project (Geographical Sciences)</t>
        </is>
      </c>
      <c r="E49" s="77" t="inlineStr">
        <is>
          <t>project; group; employer</t>
        </is>
      </c>
      <c r="F49" s="77" t="inlineStr">
        <is>
          <t>https://www.bristol.ac.uk/unit-programme-catalogue/UnitDetails.jsa;jsessionid=E18CC10B387E8540EAE6E4B6C6AF33A8?ayrCode=37/38&amp;unitCode=GEOGM0029</t>
        </is>
      </c>
      <c r="G49" s="77" t="inlineStr">
        <is>
          <t>Unit and programme catalogues: Consultancy Project</t>
        </is>
      </c>
      <c r="H49" s="77" t="inlineStr">
        <is>
          <t>Unit catalogue (labelled 2037/38)</t>
        </is>
      </c>
      <c r="I49" s="77" t="inlineStr">
        <is>
          <t>labelled 2037/38 (unreliable)</t>
        </is>
      </c>
      <c r="J49" s="77" t="inlineStr">
        <is>
          <t>2026-10-12</t>
        </is>
      </c>
      <c r="K49" s="77" t="inlineStr">
        <is>
          <t>search-summary paraphrase</t>
        </is>
      </c>
      <c r="L49" s="77" t="inlineStr">
        <is>
          <t>Projects ... allocated to small teams of 3-5 students based upon student preferences; unit director collects proposals from external clients; final presentation to clients.</t>
        </is>
      </c>
    </row>
    <row r="50">
      <c r="A50" s="77" t="inlineStr">
        <is>
          <t>RG02-S13-R1</t>
        </is>
      </c>
      <c r="B50" s="77" t="inlineStr">
        <is>
          <t>RG02</t>
        </is>
      </c>
      <c r="C50" s="77" t="inlineStr">
        <is>
          <t>RG02-S13</t>
        </is>
      </c>
      <c r="D50" s="77" t="inlineStr">
        <is>
          <t>Policy and Management Consultancy</t>
        </is>
      </c>
      <c r="E50" s="77" t="inlineStr">
        <is>
          <t>project</t>
        </is>
      </c>
      <c r="F50" s="77" t="inlineStr">
        <is>
          <t>https://www.bristol.ac.uk/unit-programme-catalogue/UnitDetails.jsa;jsessionid=49E128739070920F652D8E9095FF43F9?ayrCode=37/38&amp;unitCode=GEOGM0072</t>
        </is>
      </c>
      <c r="G50" s="77" t="inlineStr">
        <is>
          <t>Unit information: Policy and Management Consultancy</t>
        </is>
      </c>
      <c r="H50" s="77" t="inlineStr">
        <is>
          <t>Unit catalogue (labelled 2037/38)</t>
        </is>
      </c>
      <c r="I50" s="77" t="inlineStr">
        <is>
          <t>labelled 2037/38 (unreliable)</t>
        </is>
      </c>
      <c r="J50" s="77" t="inlineStr">
        <is>
          <t>2026-10-12</t>
        </is>
      </c>
      <c r="K50" s="77" t="inlineStr">
        <is>
          <t>search-summary paraphrase</t>
        </is>
      </c>
      <c r="L50" s="77" t="inlineStr">
        <is>
          <t>Objectives include developing tools for problem framing and analysis in response to a client brief.</t>
        </is>
      </c>
    </row>
    <row r="51">
      <c r="A51" s="77" t="inlineStr">
        <is>
          <t>RG02-S13-R2</t>
        </is>
      </c>
      <c r="B51" s="77" t="inlineStr">
        <is>
          <t>RG02</t>
        </is>
      </c>
      <c r="C51" s="77" t="inlineStr">
        <is>
          <t>RG02-S13</t>
        </is>
      </c>
      <c r="D51" s="77" t="inlineStr">
        <is>
          <t>Policy and Management Consultancy</t>
        </is>
      </c>
      <c r="E51" s="77" t="inlineStr">
        <is>
          <t>status; participation; credit</t>
        </is>
      </c>
      <c r="F51" s="77" t="inlineStr">
        <is>
          <t>https://upc.bristol.ac.uk/unit-programme-catalogue/RouteStructure.jsa?ayrCode=25/26&amp;byCohort=N&amp;programmeCode=9GEOG005T</t>
        </is>
      </c>
      <c r="G51" s="77" t="inlineStr">
        <is>
          <t>Human Geography: Society and Space (MSc) - structure 2025/26</t>
        </is>
      </c>
      <c r="H51" s="77" t="inlineStr">
        <is>
          <t>Programme structure</t>
        </is>
      </c>
      <c r="I51" s="77" t="inlineStr">
        <is>
          <t>2025/26</t>
        </is>
      </c>
      <c r="J51" s="77" t="inlineStr">
        <is>
          <t>2026-10-12</t>
        </is>
      </c>
      <c r="K51" s="77" t="inlineStr">
        <is>
          <t>search-summary paraphrase</t>
        </is>
      </c>
      <c r="L51" s="77" t="inlineStr">
        <is>
          <t>GEOGM0072 listed: 20 credit points, Optional, TB-2.</t>
        </is>
      </c>
    </row>
    <row r="52">
      <c r="A52" s="77" t="inlineStr">
        <is>
          <t>RG02-S14-R1</t>
        </is>
      </c>
      <c r="B52" s="77" t="inlineStr">
        <is>
          <t>RG02</t>
        </is>
      </c>
      <c r="C52" s="77" t="inlineStr">
        <is>
          <t>RG02-S14</t>
        </is>
      </c>
      <c r="D52" s="77" t="inlineStr">
        <is>
          <t>Professional Liaison Network - live briefs and group consultancy</t>
        </is>
      </c>
      <c r="E52" s="77" t="inlineStr">
        <is>
          <t>group; employer; reach</t>
        </is>
      </c>
      <c r="F52" s="77" t="inlineStr">
        <is>
          <t>https://www.bristol.ac.uk/arts-law-social-sciences/partnerships/professional-liaison-network/</t>
        </is>
      </c>
      <c r="G52" s="77" t="inlineStr">
        <is>
          <t>Professional Liaison Network</t>
        </is>
      </c>
      <c r="H52" s="77" t="inlineStr">
        <is>
          <t>PLN overview</t>
        </is>
      </c>
      <c r="I52" s="77" t="inlineStr">
        <is>
          <t>undated</t>
        </is>
      </c>
      <c r="J52" s="77" t="inlineStr">
        <is>
          <t>2026-10-12</t>
        </is>
      </c>
      <c r="K52" s="77" t="inlineStr">
        <is>
          <t>search-index extract (quoted)</t>
        </is>
      </c>
      <c r="L52" s="77" t="inlineStr">
        <is>
          <t>Live briefs: get access to a large group of students to work on a challenge your organisation is facing. Group consultancy: a small team of students consults with you on an organisational challenge.</t>
        </is>
      </c>
    </row>
    <row r="53">
      <c r="A53" s="77" t="inlineStr">
        <is>
          <t>RG02-S14-R2</t>
        </is>
      </c>
      <c r="B53" s="77" t="inlineStr">
        <is>
          <t>RG02</t>
        </is>
      </c>
      <c r="C53" s="77" t="inlineStr">
        <is>
          <t>RG02-S14</t>
        </is>
      </c>
      <c r="D53" s="77" t="inlineStr">
        <is>
          <t>Professional Liaison Network - live briefs and group consultancy</t>
        </is>
      </c>
      <c r="E53" s="77" t="inlineStr">
        <is>
          <t>employer; status</t>
        </is>
      </c>
      <c r="F53" s="77" t="inlineStr">
        <is>
          <t>https://businessschool.blogs.bristol.ac.uk/2024/02/23/empowering-communities-the-professional-liaison-network-collaborates-with-bristol-energy-network/</t>
        </is>
      </c>
      <c r="G53" s="77" t="inlineStr">
        <is>
          <t>Empowering Communities: The PLN Collaborates with Bristol Energy Network</t>
        </is>
      </c>
      <c r="H53" s="77" t="inlineStr">
        <is>
          <t>Business School blog</t>
        </is>
      </c>
      <c r="I53" s="77" t="inlineStr">
        <is>
          <t>2024-02-23</t>
        </is>
      </c>
      <c r="J53" s="77" t="inlineStr">
        <is>
          <t>2026-10-12</t>
        </is>
      </c>
      <c r="K53" s="77" t="inlineStr">
        <is>
          <t>search-summary paraphrase</t>
        </is>
      </c>
      <c r="L53" s="77" t="inlineStr">
        <is>
          <t>PLN collaboration with Bristol Energy Network (and a Transform Drug Policy Foundation project in a related post).</t>
        </is>
      </c>
    </row>
    <row r="54">
      <c r="A54" s="77" t="inlineStr">
        <is>
          <t>RG02-S15-R1</t>
        </is>
      </c>
      <c r="B54" s="77" t="inlineStr">
        <is>
          <t>RG02</t>
        </is>
      </c>
      <c r="C54" s="77" t="inlineStr">
        <is>
          <t>RG02-S15</t>
        </is>
      </c>
      <c r="D54" s="77" t="inlineStr">
        <is>
          <t>City Challenges (Careers Service)</t>
        </is>
      </c>
      <c r="E54" s="77" t="inlineStr">
        <is>
          <t>project; group; employer; duration; status</t>
        </is>
      </c>
      <c r="F54" s="77" t="inlineStr">
        <is>
          <t>https://universityofbristolcareers.blogs.bristol.ac.uk/2025/02/05/city-challenge-with-not-impossible/</t>
        </is>
      </c>
      <c r="G54" s="77" t="inlineStr">
        <is>
          <t>City Challenge with Not Impossible</t>
        </is>
      </c>
      <c r="H54" s="77" t="inlineStr">
        <is>
          <t>Careers blog</t>
        </is>
      </c>
      <c r="I54" s="77" t="inlineStr">
        <is>
          <t>2025-02-05</t>
        </is>
      </c>
      <c r="J54" s="77" t="inlineStr">
        <is>
          <t>2026-10-12</t>
        </is>
      </c>
      <c r="K54" s="77" t="inlineStr">
        <is>
          <t>search-summary paraphrase</t>
        </is>
      </c>
      <c r="L54" s="77" t="inlineStr">
        <is>
          <t>Teams tackle a real problem for a local charity or social enterprise in one afternoon and present ideas to the host; counts 3.5 hours towards Bristol PLUS Award.</t>
        </is>
      </c>
    </row>
    <row r="55">
      <c r="A55" s="77" t="inlineStr">
        <is>
          <t>RG02-S16-R1</t>
        </is>
      </c>
      <c r="B55" s="77" t="inlineStr">
        <is>
          <t>RG02</t>
        </is>
      </c>
      <c r="C55" s="77" t="inlineStr">
        <is>
          <t>RG02-S16</t>
        </is>
      </c>
      <c r="D55" s="77" t="inlineStr">
        <is>
          <t>Human Rights Law Clinic (Human Rights Implementation Centre)</t>
        </is>
      </c>
      <c r="E55" s="77" t="inlineStr">
        <is>
          <t>project; group; employer; eligibility; participation; status</t>
        </is>
      </c>
      <c r="F55" s="77" t="inlineStr">
        <is>
          <t>https://www.bristol.ac.uk/law/careers-and-employability/human-rights-law-clinic/</t>
        </is>
      </c>
      <c r="G55" s="77" t="inlineStr">
        <is>
          <t>Human Rights Law Clinic</t>
        </is>
      </c>
      <c r="H55" s="77" t="inlineStr">
        <is>
          <t>Law Careers and Employability</t>
        </is>
      </c>
      <c r="I55" s="77" t="inlineStr">
        <is>
          <t>applications for 2025/26</t>
        </is>
      </c>
      <c r="J55" s="77" t="inlineStr">
        <is>
          <t>2026-10-12</t>
        </is>
      </c>
      <c r="K55" s="77" t="inlineStr">
        <is>
          <t>search-index extract (quoted)</t>
        </is>
      </c>
      <c r="L55" s="77" t="inlineStr">
        <is>
          <t>Teams conduct research that meets the requirements set out by the partners in their initial project briefs; team leader liaises with partners; ~70 members appointed per year; Undergraduate (Year 2+) or Postgraduate Law students; applications by 5pm 15 November 2025.</t>
        </is>
      </c>
    </row>
    <row r="56">
      <c r="A56" s="77" t="inlineStr">
        <is>
          <t>RG02-S17-R1</t>
        </is>
      </c>
      <c r="B56" s="77" t="inlineStr">
        <is>
          <t>RG02</t>
        </is>
      </c>
      <c r="C56" s="77" t="inlineStr">
        <is>
          <t>RG02-S17</t>
        </is>
      </c>
      <c r="D56" s="77" t="inlineStr">
        <is>
          <t>Design Engineering / Engineering Design - industry group design projects</t>
        </is>
      </c>
      <c r="E56" s="77" t="inlineStr">
        <is>
          <t>project; group; employer</t>
        </is>
      </c>
      <c r="F56" s="77" t="inlineStr">
        <is>
          <t>https://www.bristol.ac.uk/study/undergraduate/2027/design-engineering/beng-design-engineering-with-a-year-in-industry/</t>
        </is>
      </c>
      <c r="G56" s="77" t="inlineStr">
        <is>
          <t>BEng Design Engineering with a Year in Industry</t>
        </is>
      </c>
      <c r="H56" s="77" t="inlineStr">
        <is>
          <t>Course page, 2027 entry</t>
        </is>
      </c>
      <c r="I56" s="77" t="inlineStr">
        <is>
          <t>2027 entry</t>
        </is>
      </c>
      <c r="J56" s="77" t="inlineStr">
        <is>
          <t>2026-10-12</t>
        </is>
      </c>
      <c r="K56" s="77" t="inlineStr">
        <is>
          <t>search-summary paraphrase</t>
        </is>
      </c>
      <c r="L56" s="77" t="inlineStr">
        <is>
          <t>A group-based design project done in partnership with industry forms a major component of the penultimate year.</t>
        </is>
      </c>
    </row>
    <row r="57">
      <c r="A57" s="77" t="inlineStr">
        <is>
          <t>RG02-S17-R2</t>
        </is>
      </c>
      <c r="B57" s="77" t="inlineStr">
        <is>
          <t>RG02</t>
        </is>
      </c>
      <c r="C57" s="77" t="inlineStr">
        <is>
          <t>RG02-S17</t>
        </is>
      </c>
      <c r="D57" s="77" t="inlineStr">
        <is>
          <t>Design Engineering / Engineering Design - industry group design projects</t>
        </is>
      </c>
      <c r="E57" s="77" t="inlineStr">
        <is>
          <t>project; group; employer</t>
        </is>
      </c>
      <c r="F57" s="77" t="inlineStr">
        <is>
          <t>https://www.bristol.ac.uk/study/undergraduate/2024/engineering-design/meng-engineering-design-with-study-in-industry/</t>
        </is>
      </c>
      <c r="G57" s="77" t="inlineStr">
        <is>
          <t>MEng Engineering Design with Study in Industry</t>
        </is>
      </c>
      <c r="H57" s="77" t="inlineStr">
        <is>
          <t>Course page, 2024 entry</t>
        </is>
      </c>
      <c r="I57" s="77" t="inlineStr">
        <is>
          <t>2024 entry</t>
        </is>
      </c>
      <c r="J57" s="77" t="inlineStr">
        <is>
          <t>2026-10-12</t>
        </is>
      </c>
      <c r="K57" s="77" t="inlineStr">
        <is>
          <t>search-summary paraphrase</t>
        </is>
      </c>
      <c r="L57" s="77" t="inlineStr">
        <is>
          <t>Group research and design project forms a major component of the final two years; the project is conducted with one of our industrial partners; topics include robotics, manufacturing, renewable energy, future cities.</t>
        </is>
      </c>
    </row>
    <row r="58">
      <c r="A58" s="77" t="inlineStr">
        <is>
          <t>RG03-S01-R1</t>
        </is>
      </c>
      <c r="B58" s="77" t="inlineStr">
        <is>
          <t>RG03</t>
        </is>
      </c>
      <c r="C58" s="77" t="inlineStr">
        <is>
          <t>RG03-S01</t>
        </is>
      </c>
      <c r="D58" s="77" t="inlineStr">
        <is>
          <t>MBA Global Consulting Project (GCP)</t>
        </is>
      </c>
      <c r="E58" s="77" t="inlineStr">
        <is>
          <t>project; group; employer; status; duration</t>
        </is>
      </c>
      <c r="F58" s="77" t="inlineStr">
        <is>
          <t>https://www.jbs.cam.ac.uk/recruiters-organisations/student-projects/mba-global-consulting-project/</t>
        </is>
      </c>
      <c r="G58" s="77" t="inlineStr">
        <is>
          <t>MBA Global Consulting Project (GCP) - Student consultancy projects</t>
        </is>
      </c>
      <c r="H58" s="77" t="inlineStr">
        <is>
          <t>Project overview / key dates</t>
        </is>
      </c>
      <c r="I58" s="77" t="inlineStr">
        <is>
          <t>undated (2026 dates shown)</t>
        </is>
      </c>
      <c r="J58" s="77" t="inlineStr">
        <is>
          <t>2026-10-12</t>
        </is>
      </c>
      <c r="K58" s="77" t="inlineStr">
        <is>
          <t>search-summary paraphrase</t>
        </is>
      </c>
      <c r="L58" s="77" t="inlineStr">
        <is>
          <t>Host organisation identifies a management issue; team of 4-5 MBAs for about four weeks; proposal deadline 8 January 2027, project mid-March to mid-April 2027; clients must name a sponsor and second contact; no fees but host covers expenses; each team has a supervisor.</t>
        </is>
      </c>
    </row>
    <row r="59">
      <c r="A59" s="77" t="inlineStr">
        <is>
          <t>RG03-S01-R2</t>
        </is>
      </c>
      <c r="B59" s="77" t="inlineStr">
        <is>
          <t>RG03</t>
        </is>
      </c>
      <c r="C59" s="77" t="inlineStr">
        <is>
          <t>RG03-S01</t>
        </is>
      </c>
      <c r="D59" s="77" t="inlineStr">
        <is>
          <t>MBA Global Consulting Project (GCP)</t>
        </is>
      </c>
      <c r="E59" s="77" t="inlineStr">
        <is>
          <t>project; group; participation; status</t>
        </is>
      </c>
      <c r="F59" s="77" t="inlineStr">
        <is>
          <t>https://www.jbs.cam.ac.uk/masters-degrees/mba/curriculum/projects/</t>
        </is>
      </c>
      <c r="G59" s="77" t="inlineStr">
        <is>
          <t>Projects - The Cambridge MBA</t>
        </is>
      </c>
      <c r="H59" s="77" t="inlineStr">
        <is>
          <t>Curriculum / projects</t>
        </is>
      </c>
      <c r="I59" s="77" t="inlineStr">
        <is>
          <t>undated</t>
        </is>
      </c>
      <c r="J59" s="77" t="inlineStr">
        <is>
          <t>2026-10-12</t>
        </is>
      </c>
      <c r="K59" s="77" t="inlineStr">
        <is>
          <t>search-summary paraphrase</t>
        </is>
      </c>
      <c r="L59" s="77" t="inlineStr">
        <is>
          <t>GCP takes place during the Easter break, full time for four weeks in teams of four or five, based anywhere; students rank top three client choices or source their own; GCP ends the Management Praxis II core course.</t>
        </is>
      </c>
    </row>
    <row r="60">
      <c r="A60" s="77" t="inlineStr">
        <is>
          <t>RG03-S01-R3</t>
        </is>
      </c>
      <c r="B60" s="77" t="inlineStr">
        <is>
          <t>RG03</t>
        </is>
      </c>
      <c r="C60" s="77" t="inlineStr">
        <is>
          <t>RG03-S01</t>
        </is>
      </c>
      <c r="D60" s="77" t="inlineStr">
        <is>
          <t>MBA Global Consulting Project (GCP)</t>
        </is>
      </c>
      <c r="E60" s="77" t="inlineStr">
        <is>
          <t>employer</t>
        </is>
      </c>
      <c r="F60" s="77" t="inlineStr">
        <is>
          <t>https://www.jbs.cam.ac.uk/2024/our-cambridge-mba-consulting-projects-making-a-global-impact/</t>
        </is>
      </c>
      <c r="G60" s="77" t="inlineStr">
        <is>
          <t>Our Cambridge MBA consulting projects making a global impact</t>
        </is>
      </c>
      <c r="H60" s="77" t="inlineStr">
        <is>
          <t>News</t>
        </is>
      </c>
      <c r="I60" s="77" t="inlineStr">
        <is>
          <t>2024</t>
        </is>
      </c>
      <c r="J60" s="77" t="inlineStr">
        <is>
          <t>2026-10-12</t>
        </is>
      </c>
      <c r="K60" s="77" t="inlineStr">
        <is>
          <t>search-summary paraphrase</t>
        </is>
      </c>
      <c r="L60" s="77" t="inlineStr">
        <is>
          <t>4-week consulting project with an international organisation; clients named include Uber, World Bank Group, WHO.</t>
        </is>
      </c>
    </row>
    <row r="61">
      <c r="A61" s="77" t="inlineStr">
        <is>
          <t>RG03-S01-R4</t>
        </is>
      </c>
      <c r="B61" s="77" t="inlineStr">
        <is>
          <t>RG03</t>
        </is>
      </c>
      <c r="C61" s="77" t="inlineStr">
        <is>
          <t>RG03-S01</t>
        </is>
      </c>
      <c r="D61" s="77" t="inlineStr">
        <is>
          <t>MBA Global Consulting Project (GCP)</t>
        </is>
      </c>
      <c r="E61" s="77" t="inlineStr">
        <is>
          <t>employer; group</t>
        </is>
      </c>
      <c r="F61" s="77" t="inlineStr">
        <is>
          <t>https://www.jbs.cam.ac.uk/wp-content/uploads/2025/01/briefing-notes-mba-gcp-2024-25.pdf</t>
        </is>
      </c>
      <c r="G61" s="77" t="inlineStr">
        <is>
          <t>Briefing notes MBA GCP 2024-25</t>
        </is>
      </c>
      <c r="H61" s="77" t="inlineStr">
        <is>
          <t>Client briefing notes</t>
        </is>
      </c>
      <c r="I61" s="77" t="inlineStr">
        <is>
          <t>2025</t>
        </is>
      </c>
      <c r="J61" s="77" t="inlineStr">
        <is>
          <t>2026-10-12</t>
        </is>
      </c>
      <c r="K61" s="77" t="inlineStr">
        <is>
          <t>search-summary paraphrase</t>
        </is>
      </c>
      <c r="L61" s="77" t="inlineStr">
        <is>
          <t>GCP supervisor works with the student group on scoping the project initiation document, advises on methodology and research.</t>
        </is>
      </c>
    </row>
    <row r="62">
      <c r="A62" s="77" t="inlineStr">
        <is>
          <t>RG03-S02-R1</t>
        </is>
      </c>
      <c r="B62" s="77" t="inlineStr">
        <is>
          <t>RG03</t>
        </is>
      </c>
      <c r="C62" s="77" t="inlineStr">
        <is>
          <t>RG03-S02</t>
        </is>
      </c>
      <c r="D62" s="77" t="inlineStr">
        <is>
          <t>MBA Cambridge Venture Project (CVP)</t>
        </is>
      </c>
      <c r="E62" s="77" t="inlineStr">
        <is>
          <t>project; group; employer; status; duration</t>
        </is>
      </c>
      <c r="F62" s="77" t="inlineStr">
        <is>
          <t>https://www.jbs.cam.ac.uk/recruiters-organisations/student-projects/mba-cambridge-venture-project/</t>
        </is>
      </c>
      <c r="G62" s="77" t="inlineStr">
        <is>
          <t>MBA Cambridge Venture Project (CVP) - Student consultancy projects</t>
        </is>
      </c>
      <c r="H62" s="77" t="inlineStr">
        <is>
          <t>Project overview / key dates</t>
        </is>
      </c>
      <c r="I62" s="77" t="inlineStr">
        <is>
          <t>undated (2026 dates shown)</t>
        </is>
      </c>
      <c r="J62" s="77" t="inlineStr">
        <is>
          <t>2026-10-12</t>
        </is>
      </c>
      <c r="K62" s="77" t="inlineStr">
        <is>
          <t>search-summary paraphrase</t>
        </is>
      </c>
      <c r="L62" s="77" t="inlineStr">
        <is>
          <t>Teams of 4-6 MBA students work part-time over six weeks; proposals due 4 September 2026; project 1 October to w/c 30 November 2026; teams present to the client at the Business School in first week of December; previous partners British Antarctic Survey, Riverlane, Legatics.</t>
        </is>
      </c>
    </row>
    <row r="63">
      <c r="A63" s="77" t="inlineStr">
        <is>
          <t>RG03-S02-R2</t>
        </is>
      </c>
      <c r="B63" s="77" t="inlineStr">
        <is>
          <t>RG03</t>
        </is>
      </c>
      <c r="C63" s="77" t="inlineStr">
        <is>
          <t>RG03-S02</t>
        </is>
      </c>
      <c r="D63" s="77" t="inlineStr">
        <is>
          <t>MBA Cambridge Venture Project (CVP)</t>
        </is>
      </c>
      <c r="E63" s="77" t="inlineStr">
        <is>
          <t>project; group; participation</t>
        </is>
      </c>
      <c r="F63" s="77" t="inlineStr">
        <is>
          <t>https://www.jbs.cam.ac.uk/masters-degrees/mba/curriculum/projects/</t>
        </is>
      </c>
      <c r="G63" s="77" t="inlineStr">
        <is>
          <t>Projects - The Cambridge MBA</t>
        </is>
      </c>
      <c r="H63" s="77" t="inlineStr">
        <is>
          <t>Curriculum / projects</t>
        </is>
      </c>
      <c r="I63" s="77" t="inlineStr">
        <is>
          <t>undated</t>
        </is>
      </c>
      <c r="J63" s="77" t="inlineStr">
        <is>
          <t>2026-10-12</t>
        </is>
      </c>
      <c r="K63" s="77" t="inlineStr">
        <is>
          <t>search-summary paraphrase</t>
        </is>
      </c>
      <c r="L63" s="77" t="inlineStr">
        <is>
          <t>CVP is the first team project in the first term; teams of about five or six work with a local or UK client on a market analysis with a mentor; runs alongside Management Praxis core course.</t>
        </is>
      </c>
    </row>
    <row r="64">
      <c r="A64" s="77" t="inlineStr">
        <is>
          <t>RG03-S02-R3</t>
        </is>
      </c>
      <c r="B64" s="77" t="inlineStr">
        <is>
          <t>RG03</t>
        </is>
      </c>
      <c r="C64" s="77" t="inlineStr">
        <is>
          <t>RG03-S02</t>
        </is>
      </c>
      <c r="D64" s="77" t="inlineStr">
        <is>
          <t>MBA Cambridge Venture Project (CVP)</t>
        </is>
      </c>
      <c r="E64" s="77" t="inlineStr">
        <is>
          <t>employer</t>
        </is>
      </c>
      <c r="F64" s="77" t="inlineStr">
        <is>
          <t>https://www.jbs.cam.ac.uk/wp-content/uploads/2024/07/briefing-notes-mba-cvp-2024-25.pdf</t>
        </is>
      </c>
      <c r="G64" s="77" t="inlineStr">
        <is>
          <t>Briefing notes MBA CVP 2024-25</t>
        </is>
      </c>
      <c r="H64" s="77" t="inlineStr">
        <is>
          <t>Client briefing notes</t>
        </is>
      </c>
      <c r="I64" s="77" t="inlineStr">
        <is>
          <t>2024</t>
        </is>
      </c>
      <c r="J64" s="77" t="inlineStr">
        <is>
          <t>2026-10-12</t>
        </is>
      </c>
      <c r="K64" s="77" t="inlineStr">
        <is>
          <t>search-summary paraphrase</t>
        </is>
      </c>
      <c r="L64" s="77" t="inlineStr">
        <is>
          <t>No fee; clients cover project expenses; name a sponsor and second contact; attend final presentation; IP rests with client; project is over-subscribed.</t>
        </is>
      </c>
    </row>
    <row r="65">
      <c r="A65" s="77" t="inlineStr">
        <is>
          <t>RG03-S03-R1</t>
        </is>
      </c>
      <c r="B65" s="77" t="inlineStr">
        <is>
          <t>RG03</t>
        </is>
      </c>
      <c r="C65" s="77" t="inlineStr">
        <is>
          <t>RG03-S03</t>
        </is>
      </c>
      <c r="D65" s="77" t="inlineStr">
        <is>
          <t>MFin Group Consulting Project (GCP)</t>
        </is>
      </c>
      <c r="E65" s="77" t="inlineStr">
        <is>
          <t>project; group; employer; status; duration</t>
        </is>
      </c>
      <c r="F65" s="77" t="inlineStr">
        <is>
          <t>https://www.jbs.cam.ac.uk/recruiters-organisations/student-projects/mfin-group-consulting-project/</t>
        </is>
      </c>
      <c r="G65" s="77" t="inlineStr">
        <is>
          <t>MFin Group Consulting Project (GCP) - Student consultancy projects</t>
        </is>
      </c>
      <c r="H65" s="77" t="inlineStr">
        <is>
          <t>Project overview</t>
        </is>
      </c>
      <c r="I65" s="77" t="inlineStr">
        <is>
          <t>undated (2027 cycle)</t>
        </is>
      </c>
      <c r="J65" s="77" t="inlineStr">
        <is>
          <t>2026-10-12</t>
        </is>
      </c>
      <c r="K65" s="77" t="inlineStr">
        <is>
          <t>search-summary paraphrase</t>
        </is>
      </c>
      <c r="L65" s="77" t="inlineStr">
        <is>
          <t>4 weeks full-time mid-March to mid-April in teams of 5 to 6; each group assigned a faculty supervisor and a host company manager; ends with presentation to client; proposals due January 2027.</t>
        </is>
      </c>
    </row>
    <row r="66">
      <c r="A66" s="77" t="inlineStr">
        <is>
          <t>RG03-S03-R2</t>
        </is>
      </c>
      <c r="B66" s="77" t="inlineStr">
        <is>
          <t>RG03</t>
        </is>
      </c>
      <c r="C66" s="77" t="inlineStr">
        <is>
          <t>RG03-S03</t>
        </is>
      </c>
      <c r="D66" s="77" t="inlineStr">
        <is>
          <t>MFin Group Consulting Project (GCP)</t>
        </is>
      </c>
      <c r="E66" s="77" t="inlineStr">
        <is>
          <t>employer; status; credit</t>
        </is>
      </c>
      <c r="F66" s="77" t="inlineStr">
        <is>
          <t>https://www.jbs.cam.ac.uk/2026/students-tackle-real-world-finance-in-group-consulting-projects/</t>
        </is>
      </c>
      <c r="G66" s="77" t="inlineStr">
        <is>
          <t>Students tackle real-world finance in Group Consulting Projects</t>
        </is>
      </c>
      <c r="H66" s="77" t="inlineStr">
        <is>
          <t>News</t>
        </is>
      </c>
      <c r="I66" s="77" t="inlineStr">
        <is>
          <t>2026</t>
        </is>
      </c>
      <c r="J66" s="77" t="inlineStr">
        <is>
          <t>2026-10-12</t>
        </is>
      </c>
      <c r="K66" s="77" t="inlineStr">
        <is>
          <t>search-summary paraphrase</t>
        </is>
      </c>
      <c r="L66" s="77" t="inlineStr">
        <is>
          <t>Assessed by presentation to the client; 2026 teams worked with multilateral development banks, UNEP Finance Initiative, a specialist investment manager and a development finance institution.</t>
        </is>
      </c>
    </row>
    <row r="67">
      <c r="A67" s="77" t="inlineStr">
        <is>
          <t>RG03-S03-R3</t>
        </is>
      </c>
      <c r="B67" s="77" t="inlineStr">
        <is>
          <t>RG03</t>
        </is>
      </c>
      <c r="C67" s="77" t="inlineStr">
        <is>
          <t>RG03-S03</t>
        </is>
      </c>
      <c r="D67" s="77" t="inlineStr">
        <is>
          <t>MFin Group Consulting Project (GCP)</t>
        </is>
      </c>
      <c r="E67" s="77" t="inlineStr">
        <is>
          <t>participation</t>
        </is>
      </c>
      <c r="F67" s="77" t="inlineStr">
        <is>
          <t>https://www.jbs.cam.ac.uk/masters-degrees/master-of-finance/curriculum/projects/</t>
        </is>
      </c>
      <c r="G67" s="77" t="inlineStr">
        <is>
          <t>Projects - Master of Finance</t>
        </is>
      </c>
      <c r="H67" s="77" t="inlineStr">
        <is>
          <t>Curriculum</t>
        </is>
      </c>
      <c r="I67" s="77" t="inlineStr">
        <is>
          <t>undated</t>
        </is>
      </c>
      <c r="J67" s="77" t="inlineStr">
        <is>
          <t>2026-10-12</t>
        </is>
      </c>
      <c r="K67" s="77" t="inlineStr">
        <is>
          <t>search-summary paraphrase</t>
        </is>
      </c>
      <c r="L67" s="77" t="inlineStr">
        <is>
          <t>MFin projects page lists the Group Consulting Project as part of the curriculum.</t>
        </is>
      </c>
    </row>
    <row r="68">
      <c r="A68" s="77" t="inlineStr">
        <is>
          <t>RG03-S04-R1</t>
        </is>
      </c>
      <c r="B68" s="77" t="inlineStr">
        <is>
          <t>RG03</t>
        </is>
      </c>
      <c r="C68" s="77" t="inlineStr">
        <is>
          <t>RG03-S04</t>
        </is>
      </c>
      <c r="D68" s="77" t="inlineStr">
        <is>
          <t>MPhil in Management: Management Consulting Project</t>
        </is>
      </c>
      <c r="E68" s="77" t="inlineStr">
        <is>
          <t>project; group; employer; status; duration</t>
        </is>
      </c>
      <c r="F68" s="77" t="inlineStr">
        <is>
          <t>https://www.jbs.cam.ac.uk/recruiters-organisations/student-projects/mphil-in-management-consulting-project/</t>
        </is>
      </c>
      <c r="G68" s="77" t="inlineStr">
        <is>
          <t>MPhil in Management Consulting Project - Student consultancy projects</t>
        </is>
      </c>
      <c r="H68" s="77" t="inlineStr">
        <is>
          <t>Project overview</t>
        </is>
      </c>
      <c r="I68" s="77" t="inlineStr">
        <is>
          <t>undated (2027 dates)</t>
        </is>
      </c>
      <c r="J68" s="77" t="inlineStr">
        <is>
          <t>2026-10-12</t>
        </is>
      </c>
      <c r="K68" s="77" t="inlineStr">
        <is>
          <t>search-summary paraphrase</t>
        </is>
      </c>
      <c r="L68" s="77" t="inlineStr">
        <is>
          <t>Students work with their client company in teams of 4-5 for six weeks, about three weeks full-time; project 29 April-7 June 2027; proposal deadline 11 February 2027.</t>
        </is>
      </c>
    </row>
    <row r="69">
      <c r="A69" s="77" t="inlineStr">
        <is>
          <t>RG03-S04-R2</t>
        </is>
      </c>
      <c r="B69" s="77" t="inlineStr">
        <is>
          <t>RG03</t>
        </is>
      </c>
      <c r="C69" s="77" t="inlineStr">
        <is>
          <t>RG03-S04</t>
        </is>
      </c>
      <c r="D69" s="77" t="inlineStr">
        <is>
          <t>MPhil in Management: Management Consulting Project</t>
        </is>
      </c>
      <c r="E69" s="77" t="inlineStr">
        <is>
          <t>project; participation</t>
        </is>
      </c>
      <c r="F69" s="77" t="inlineStr">
        <is>
          <t>https://www.jbs.cam.ac.uk/masters-degrees/mphil-management/curriculum/management-consulting-project/</t>
        </is>
      </c>
      <c r="G69" s="77" t="inlineStr">
        <is>
          <t>Management Consulting Project - MPhil in Management</t>
        </is>
      </c>
      <c r="H69" s="77" t="inlineStr">
        <is>
          <t>Curriculum</t>
        </is>
      </c>
      <c r="I69" s="77" t="inlineStr">
        <is>
          <t>undated</t>
        </is>
      </c>
      <c r="J69" s="77" t="inlineStr">
        <is>
          <t>2026-10-12</t>
        </is>
      </c>
      <c r="K69" s="77" t="inlineStr">
        <is>
          <t>search-summary paraphrase</t>
        </is>
      </c>
      <c r="L69" s="77" t="inlineStr">
        <is>
          <t>Team of students works on a company's real-world challenges; written report and oral presentation to the client.</t>
        </is>
      </c>
    </row>
    <row r="70">
      <c r="A70" s="77" t="inlineStr">
        <is>
          <t>RG03-S05-R1</t>
        </is>
      </c>
      <c r="B70" s="77" t="inlineStr">
        <is>
          <t>RG03</t>
        </is>
      </c>
      <c r="C70" s="77" t="inlineStr">
        <is>
          <t>RG03-S05</t>
        </is>
      </c>
      <c r="D70" s="77" t="inlineStr">
        <is>
          <t>Management Studies Tripos (MST) consulting project</t>
        </is>
      </c>
      <c r="E70" s="77" t="inlineStr">
        <is>
          <t>project; group; employer; status; duration</t>
        </is>
      </c>
      <c r="F70" s="77" t="inlineStr">
        <is>
          <t>https://www.jbs.cam.ac.uk/recruiters-organisations/student-projects/mst-project/</t>
        </is>
      </c>
      <c r="G70" s="77" t="inlineStr">
        <is>
          <t>Management Studies Tripos (MST) Project - Student consultancy projects</t>
        </is>
      </c>
      <c r="H70" s="77" t="inlineStr">
        <is>
          <t>Project overview / key dates</t>
        </is>
      </c>
      <c r="I70" s="77" t="inlineStr">
        <is>
          <t>undated (2027 dates)</t>
        </is>
      </c>
      <c r="J70" s="77" t="inlineStr">
        <is>
          <t>2026-10-12</t>
        </is>
      </c>
      <c r="K70" s="77" t="inlineStr">
        <is>
          <t>search-summary paraphrase</t>
        </is>
      </c>
      <c r="L70" s="77" t="inlineStr">
        <is>
          <t>Teams of 3-4 work full-time mid-May to early June 2027; proposal deadline 18 January 2027; organisations of any kind may propose within commuting distance of Cambridge.</t>
        </is>
      </c>
    </row>
    <row r="71">
      <c r="A71" s="77" t="inlineStr">
        <is>
          <t>RG03-S05-R2</t>
        </is>
      </c>
      <c r="B71" s="77" t="inlineStr">
        <is>
          <t>RG03</t>
        </is>
      </c>
      <c r="C71" s="77" t="inlineStr">
        <is>
          <t>RG03-S05</t>
        </is>
      </c>
      <c r="D71" s="77" t="inlineStr">
        <is>
          <t>Management Studies Tripos (MST) consulting project</t>
        </is>
      </c>
      <c r="E71" s="77" t="inlineStr">
        <is>
          <t>project; group; employer; participation</t>
        </is>
      </c>
      <c r="F71" s="77" t="inlineStr">
        <is>
          <t>https://www.jbs.cam.ac.uk/programmes/undergraduate/consulting-project/</t>
        </is>
      </c>
      <c r="G71" s="77" t="inlineStr">
        <is>
          <t>MST consulting project - Curriculum</t>
        </is>
      </c>
      <c r="H71" s="77" t="inlineStr">
        <is>
          <t>Curriculum</t>
        </is>
      </c>
      <c r="I71" s="77" t="inlineStr">
        <is>
          <t>undated</t>
        </is>
      </c>
      <c r="J71" s="77" t="inlineStr">
        <is>
          <t>2026-10-12</t>
        </is>
      </c>
      <c r="K71" s="77" t="inlineStr">
        <is>
          <t>search-summary paraphrase</t>
        </is>
      </c>
      <c r="L71" s="77" t="inlineStr">
        <is>
          <t>Teams of 3-4 work with an organisation on a real management problem identified by the client; 4-week project in Easter Term; terms of reference, presentation and academic report.</t>
        </is>
      </c>
    </row>
    <row r="72">
      <c r="A72" s="77" t="inlineStr">
        <is>
          <t>RG03-S05-R3</t>
        </is>
      </c>
      <c r="B72" s="77" t="inlineStr">
        <is>
          <t>RG03</t>
        </is>
      </c>
      <c r="C72" s="77" t="inlineStr">
        <is>
          <t>RG03-S05</t>
        </is>
      </c>
      <c r="D72" s="77" t="inlineStr">
        <is>
          <t>Management Studies Tripos (MST) consulting project</t>
        </is>
      </c>
      <c r="E72" s="77" t="inlineStr">
        <is>
          <t>employer</t>
        </is>
      </c>
      <c r="F72" s="77" t="inlineStr">
        <is>
          <t>https://www.jbs.cam.ac.uk/aboutus/opportunities/student-projects/mst-project/project-partners</t>
        </is>
      </c>
      <c r="G72" s="77" t="inlineStr">
        <is>
          <t>Management Studies Tripos Project partners</t>
        </is>
      </c>
      <c r="H72" s="77" t="inlineStr">
        <is>
          <t>Partners list</t>
        </is>
      </c>
      <c r="I72" s="77" t="inlineStr">
        <is>
          <t>undated</t>
        </is>
      </c>
      <c r="J72" s="77" t="inlineStr">
        <is>
          <t>2026-10-12</t>
        </is>
      </c>
      <c r="K72" s="77" t="inlineStr">
        <is>
          <t>search-summary paraphrase</t>
        </is>
      </c>
      <c r="L72" s="77" t="inlineStr">
        <is>
          <t>Partners include Cambridge City Council, BT, Procter and Gamble, Department for Education.</t>
        </is>
      </c>
    </row>
    <row r="73">
      <c r="A73" s="77" t="inlineStr">
        <is>
          <t>RG03-S06-R1</t>
        </is>
      </c>
      <c r="B73" s="77" t="inlineStr">
        <is>
          <t>RG03</t>
        </is>
      </c>
      <c r="C73" s="77" t="inlineStr">
        <is>
          <t>RG03-S06</t>
        </is>
      </c>
      <c r="D73" s="77" t="inlineStr">
        <is>
          <t>MPhil in Technology Policy: Final Group Project</t>
        </is>
      </c>
      <c r="E73" s="77" t="inlineStr">
        <is>
          <t>project; group; employer; credit</t>
        </is>
      </c>
      <c r="F73" s="77" t="inlineStr">
        <is>
          <t>https://www.jbs.cam.ac.uk/masters-degrees/mphil-technology-policy/curriculum/projects/</t>
        </is>
      </c>
      <c r="G73" s="77" t="inlineStr">
        <is>
          <t>Final Group Project - MPhil in Technology Policy</t>
        </is>
      </c>
      <c r="H73" s="77" t="inlineStr">
        <is>
          <t>Curriculum / projects</t>
        </is>
      </c>
      <c r="I73" s="77" t="inlineStr">
        <is>
          <t>undated</t>
        </is>
      </c>
      <c r="J73" s="77" t="inlineStr">
        <is>
          <t>2026-10-12</t>
        </is>
      </c>
      <c r="K73" s="77" t="inlineStr">
        <is>
          <t>search-summary paraphrase</t>
        </is>
      </c>
      <c r="L73" s="77" t="inlineStr">
        <is>
          <t>During Lent and Easter terms students undertake a final capstone project in groups of 3 or more for a technology-intensive client; assessment is delivery of a final presentation to the client organisation and a 12,000-word final report; double-weighted.</t>
        </is>
      </c>
    </row>
    <row r="74">
      <c r="A74" s="77" t="inlineStr">
        <is>
          <t>RG03-S06-R2</t>
        </is>
      </c>
      <c r="B74" s="77" t="inlineStr">
        <is>
          <t>RG03</t>
        </is>
      </c>
      <c r="C74" s="77" t="inlineStr">
        <is>
          <t>RG03-S06</t>
        </is>
      </c>
      <c r="D74" s="77" t="inlineStr">
        <is>
          <t>MPhil in Technology Policy: Final Group Project</t>
        </is>
      </c>
      <c r="E74" s="77" t="inlineStr">
        <is>
          <t>employer; status; duration</t>
        </is>
      </c>
      <c r="F74" s="77" t="inlineStr">
        <is>
          <t>https://www.jbs.cam.ac.uk/recruiters-organisations/student-projects/mphil-in-technology-policy-final-group-project/</t>
        </is>
      </c>
      <c r="G74" s="77" t="inlineStr">
        <is>
          <t>MPhil in Technology Policy Final Group Project - Student consultancy projects</t>
        </is>
      </c>
      <c r="H74" s="77" t="inlineStr">
        <is>
          <t>Project overview</t>
        </is>
      </c>
      <c r="I74" s="77" t="inlineStr">
        <is>
          <t>undated (2027 dates)</t>
        </is>
      </c>
      <c r="J74" s="77" t="inlineStr">
        <is>
          <t>2026-10-12</t>
        </is>
      </c>
      <c r="K74" s="77" t="inlineStr">
        <is>
          <t>search-summary paraphrase</t>
        </is>
      </c>
      <c r="L74" s="77" t="inlineStr">
        <is>
          <t>Teams of 3-5; project 19 March-4 June 2027; proposal deadline 11 January 2027; past clients include Cabinet Office, Ofcom, IBM, Microsoft, AstraZeneca, Rolls-Royce, Arm, Morgan Stanley, European Commission.</t>
        </is>
      </c>
    </row>
    <row r="75">
      <c r="A75" s="77" t="inlineStr">
        <is>
          <t>RG03-S07-R1</t>
        </is>
      </c>
      <c r="B75" s="77" t="inlineStr">
        <is>
          <t>RG03</t>
        </is>
      </c>
      <c r="C75" s="77" t="inlineStr">
        <is>
          <t>RG03-S07</t>
        </is>
      </c>
      <c r="D75" s="77" t="inlineStr">
        <is>
          <t>Executive MBA: Team Consulting Project</t>
        </is>
      </c>
      <c r="E75" s="77" t="inlineStr">
        <is>
          <t>project; group; employer</t>
        </is>
      </c>
      <c r="F75" s="77" t="inlineStr">
        <is>
          <t>https://www.jbs.cam.ac.uk/masters-degrees/executive-mba/curriculum/projects/</t>
        </is>
      </c>
      <c r="G75" s="77" t="inlineStr">
        <is>
          <t>Practical Projects - Executive MBA</t>
        </is>
      </c>
      <c r="H75" s="77" t="inlineStr">
        <is>
          <t>Curriculum / projects</t>
        </is>
      </c>
      <c r="I75" s="77" t="inlineStr">
        <is>
          <t>undated</t>
        </is>
      </c>
      <c r="J75" s="77" t="inlineStr">
        <is>
          <t>2026-10-12</t>
        </is>
      </c>
      <c r="K75" s="77" t="inlineStr">
        <is>
          <t>search-summary paraphrase</t>
        </is>
      </c>
      <c r="L75" s="77" t="inlineStr">
        <is>
          <t>Team Consulting Project as core module; participants may choose any company, not-for-profit or public sector body; choose own teams; 2019 team worked with Made in Britain.</t>
        </is>
      </c>
    </row>
    <row r="76">
      <c r="A76" s="77" t="inlineStr">
        <is>
          <t>RG03-S08-R1</t>
        </is>
      </c>
      <c r="B76" s="77" t="inlineStr">
        <is>
          <t>RG03</t>
        </is>
      </c>
      <c r="C76" s="77" t="inlineStr">
        <is>
          <t>RG03-S08</t>
        </is>
      </c>
      <c r="D76" s="77" t="inlineStr">
        <is>
          <t>Computer Science Tripos Part IB Group Project</t>
        </is>
      </c>
      <c r="E76" s="77" t="inlineStr">
        <is>
          <t>project; group; employer; credit; duration</t>
        </is>
      </c>
      <c r="F76" s="77" t="inlineStr">
        <is>
          <t>https://www.cst.cam.ac.uk/teaching/part-ib/group-projects/objectives-and-assessment</t>
        </is>
      </c>
      <c r="G76" s="77" t="inlineStr">
        <is>
          <t>Learning objectives and assessment</t>
        </is>
      </c>
      <c r="H76" s="77" t="inlineStr">
        <is>
          <t>Objectives/assessment</t>
        </is>
      </c>
      <c r="I76" s="77" t="inlineStr">
        <is>
          <t>undated</t>
        </is>
      </c>
      <c r="J76" s="77" t="inlineStr">
        <is>
          <t>2026-10-12</t>
        </is>
      </c>
      <c r="K76" s="77" t="inlineStr">
        <is>
          <t>search-summary paraphrase</t>
        </is>
      </c>
      <c r="L76" s="77" t="inlineStr">
        <is>
          <t>Course aims: teamwork, working with a professional client, systematic management; credit for effective teamwork, professional client relationship, substantial technical contribution; one shared group-success tick; 30-60 hours over seven weeks; review meetings with client in weeks 1, 2, 4, 6.</t>
        </is>
      </c>
    </row>
    <row r="77">
      <c r="A77" s="77" t="inlineStr">
        <is>
          <t>RG03-S08-R2</t>
        </is>
      </c>
      <c r="B77" s="77" t="inlineStr">
        <is>
          <t>RG03</t>
        </is>
      </c>
      <c r="C77" s="77" t="inlineStr">
        <is>
          <t>RG03-S08</t>
        </is>
      </c>
      <c r="D77" s="77" t="inlineStr">
        <is>
          <t>Computer Science Tripos Part IB Group Project</t>
        </is>
      </c>
      <c r="E77" s="77" t="inlineStr">
        <is>
          <t>group; participation; employer</t>
        </is>
      </c>
      <c r="F77" s="77" t="inlineStr">
        <is>
          <t>https://www.cst.cam.ac.uk/teaching/part-ib/group-projects/course-structure</t>
        </is>
      </c>
      <c r="G77" s="77" t="inlineStr">
        <is>
          <t>Course structure</t>
        </is>
      </c>
      <c r="H77" s="77" t="inlineStr">
        <is>
          <t>Course structure</t>
        </is>
      </c>
      <c r="I77" s="77" t="inlineStr">
        <is>
          <t>undated</t>
        </is>
      </c>
      <c r="J77" s="77" t="inlineStr">
        <is>
          <t>2026-10-12</t>
        </is>
      </c>
      <c r="K77" s="77" t="inlineStr">
        <is>
          <t>search-summary paraphrase</t>
        </is>
      </c>
      <c r="L77" s="77" t="inlineStr">
        <is>
          <t>Candidates for Part IB are required to undertake a group design project in Lent term; groups are assigned a client; project developed over last seven weeks of term; attendance at client meetings compulsory.</t>
        </is>
      </c>
    </row>
    <row r="78">
      <c r="A78" s="77" t="inlineStr">
        <is>
          <t>RG03-S08-R3</t>
        </is>
      </c>
      <c r="B78" s="77" t="inlineStr">
        <is>
          <t>RG03</t>
        </is>
      </c>
      <c r="C78" s="77" t="inlineStr">
        <is>
          <t>RG03-S08</t>
        </is>
      </c>
      <c r="D78" s="77" t="inlineStr">
        <is>
          <t>Computer Science Tripos Part IB Group Project</t>
        </is>
      </c>
      <c r="E78" s="77" t="inlineStr">
        <is>
          <t>employer; status</t>
        </is>
      </c>
      <c r="F78" s="77" t="inlineStr">
        <is>
          <t>https://www.cst.cam.ac.uk/teaching/part-ib/group-projects/ib-project-playlist-2026</t>
        </is>
      </c>
      <c r="G78" s="77" t="inlineStr">
        <is>
          <t>Part IB Group Project Presentations</t>
        </is>
      </c>
      <c r="H78" s="77" t="inlineStr">
        <is>
          <t>2026 presentations</t>
        </is>
      </c>
      <c r="I78" s="77" t="inlineStr">
        <is>
          <t>2026</t>
        </is>
      </c>
      <c r="J78" s="77" t="inlineStr">
        <is>
          <t>2026-10-12</t>
        </is>
      </c>
      <c r="K78" s="77" t="inlineStr">
        <is>
          <t>search-summary paraphrase</t>
        </is>
      </c>
      <c r="L78" s="77" t="inlineStr">
        <is>
          <t>Each group has been working with a client from the group of industry supporters over the last seven weeks; 2026 clients include Nokia Bell Labs, Bending Spoons, Evinova, Cambridge University Library, INRIA Grenoble, Calero, Alitheia Capital.</t>
        </is>
      </c>
    </row>
    <row r="79">
      <c r="A79" s="77" t="inlineStr">
        <is>
          <t>RG03-S08-R4</t>
        </is>
      </c>
      <c r="B79" s="77" t="inlineStr">
        <is>
          <t>RG03</t>
        </is>
      </c>
      <c r="C79" s="77" t="inlineStr">
        <is>
          <t>RG03-S08</t>
        </is>
      </c>
      <c r="D79" s="77" t="inlineStr">
        <is>
          <t>Computer Science Tripos Part IB Group Project</t>
        </is>
      </c>
      <c r="E79" s="77" t="inlineStr">
        <is>
          <t>project; employer</t>
        </is>
      </c>
      <c r="F79" s="77" t="inlineStr">
        <is>
          <t>https://www.cst.cam.ac.uk/teaching/part-ib/group-projects/design-briefs</t>
        </is>
      </c>
      <c r="G79" s="77" t="inlineStr">
        <is>
          <t>Part IB Project Design Briefs</t>
        </is>
      </c>
      <c r="H79" s="77" t="inlineStr">
        <is>
          <t>Design briefs</t>
        </is>
      </c>
      <c r="I79" s="77" t="inlineStr">
        <is>
          <t>undated</t>
        </is>
      </c>
      <c r="J79" s="77" t="inlineStr">
        <is>
          <t>2026-10-12</t>
        </is>
      </c>
      <c r="K79" s="77" t="inlineStr">
        <is>
          <t>search-summary paraphrase</t>
        </is>
      </c>
      <c r="L79" s="77" t="inlineStr">
        <is>
          <t>Design briefs each tied to a named client.</t>
        </is>
      </c>
    </row>
    <row r="80">
      <c r="A80" s="77" t="inlineStr">
        <is>
          <t>RG03-S09-R1</t>
        </is>
      </c>
      <c r="B80" s="77" t="inlineStr">
        <is>
          <t>RG03</t>
        </is>
      </c>
      <c r="C80" s="77" t="inlineStr">
        <is>
          <t>RG03-S09</t>
        </is>
      </c>
      <c r="D80" s="77" t="inlineStr">
        <is>
          <t>MET IIB Industrial Projects (Manufacturing Engineering Tripos)</t>
        </is>
      </c>
      <c r="E80" s="77" t="inlineStr">
        <is>
          <t>project; group; employer; credit; duration</t>
        </is>
      </c>
      <c r="F80" s="77" t="inlineStr">
        <is>
          <t>https://www.ifm.eng.cam.ac.uk/education/met/b/projects/</t>
        </is>
      </c>
      <c r="G80" s="77" t="inlineStr">
        <is>
          <t>MET IIB: Industrial Projects</t>
        </is>
      </c>
      <c r="H80" s="77" t="inlineStr">
        <is>
          <t>Project descriptions</t>
        </is>
      </c>
      <c r="I80" s="77" t="inlineStr">
        <is>
          <t>undated</t>
        </is>
      </c>
      <c r="J80" s="77" t="inlineStr">
        <is>
          <t>2026-10-12</t>
        </is>
      </c>
      <c r="K80" s="77" t="inlineStr">
        <is>
          <t>search-summary paraphrase</t>
        </is>
      </c>
      <c r="L80" s="77" t="inlineStr">
        <is>
          <t>In Michaelmas and Lent terms students in groups of between two and four work in a company for periods of two weeks to solve a real problem; a staff member oversees and there is a supervisor in the company; examples MK Electric automation feasibility, Rolls-Royce Bristol digital maintenance instructions; two-week project worth 45 marks, four-week project 80 marks.</t>
        </is>
      </c>
    </row>
    <row r="81">
      <c r="A81" s="77" t="inlineStr">
        <is>
          <t>RG03-S09-R2</t>
        </is>
      </c>
      <c r="B81" s="77" t="inlineStr">
        <is>
          <t>RG03</t>
        </is>
      </c>
      <c r="C81" s="77" t="inlineStr">
        <is>
          <t>RG03-S09</t>
        </is>
      </c>
      <c r="D81" s="77" t="inlineStr">
        <is>
          <t>MET IIB Industrial Projects (Manufacturing Engineering Tripos)</t>
        </is>
      </c>
      <c r="E81" s="77" t="inlineStr">
        <is>
          <t>employer; project</t>
        </is>
      </c>
      <c r="F81" s="77" t="inlineStr">
        <is>
          <t>https://www.ifm.eng.cam.ac.uk/education/studentprojects/</t>
        </is>
      </c>
      <c r="G81" s="77" t="inlineStr">
        <is>
          <t>IfM student projects for companies</t>
        </is>
      </c>
      <c r="H81" s="77" t="inlineStr">
        <is>
          <t>Overview</t>
        </is>
      </c>
      <c r="I81" s="77" t="inlineStr">
        <is>
          <t>undated</t>
        </is>
      </c>
      <c r="J81" s="77" t="inlineStr">
        <is>
          <t>2026-10-12</t>
        </is>
      </c>
      <c r="K81" s="77" t="inlineStr">
        <is>
          <t>search-summary paraphrase</t>
        </is>
      </c>
      <c r="L81" s="77" t="inlineStr">
        <is>
          <t>Host companies write a brief with IfM staff; students individually or in teams address a significant organisational challenge and present a full report to the management team.</t>
        </is>
      </c>
    </row>
    <row r="82">
      <c r="A82" s="77" t="inlineStr">
        <is>
          <t>RG03-S09-R3</t>
        </is>
      </c>
      <c r="B82" s="77" t="inlineStr">
        <is>
          <t>RG03</t>
        </is>
      </c>
      <c r="C82" s="77" t="inlineStr">
        <is>
          <t>RG03-S09</t>
        </is>
      </c>
      <c r="D82" s="77" t="inlineStr">
        <is>
          <t>MET IIB Industrial Projects (Manufacturing Engineering Tripos)</t>
        </is>
      </c>
      <c r="E82" s="77" t="inlineStr">
        <is>
          <t>status</t>
        </is>
      </c>
      <c r="F82" s="77" t="inlineStr">
        <is>
          <t>https://www.ifm.eng.cam.ac.uk/uploads/Education/MET/METIIB_Full_Handbook_2025.pdf</t>
        </is>
      </c>
      <c r="G82" s="77" t="inlineStr">
        <is>
          <t>MET IIB Full Handbook 2025</t>
        </is>
      </c>
      <c r="H82" s="77" t="inlineStr">
        <is>
          <t>Handbook</t>
        </is>
      </c>
      <c r="I82" s="77" t="inlineStr">
        <is>
          <t>2025</t>
        </is>
      </c>
      <c r="J82" s="77" t="inlineStr">
        <is>
          <t>2026-10-12</t>
        </is>
      </c>
      <c r="K82" s="77" t="inlineStr">
        <is>
          <t>search-summary paraphrase</t>
        </is>
      </c>
      <c r="L82" s="77" t="inlineStr">
        <is>
          <t>Handbook file titled 2025 listed in search results (content not retrieved).</t>
        </is>
      </c>
    </row>
    <row r="83">
      <c r="A83" s="77" t="inlineStr">
        <is>
          <t>RG03-S10-R1</t>
        </is>
      </c>
      <c r="B83" s="77" t="inlineStr">
        <is>
          <t>RG03</t>
        </is>
      </c>
      <c r="C83" s="77" t="inlineStr">
        <is>
          <t>RG03-S10</t>
        </is>
      </c>
      <c r="D83" s="77" t="inlineStr">
        <is>
          <t>ISMM MPhil Industrial Projects (IfM)</t>
        </is>
      </c>
      <c r="E83" s="77" t="inlineStr">
        <is>
          <t>project; group; employer</t>
        </is>
      </c>
      <c r="F83" s="77" t="inlineStr">
        <is>
          <t>https://www.ifm.eng.cam.ac.uk/education/studentprojects/</t>
        </is>
      </c>
      <c r="G83" s="77" t="inlineStr">
        <is>
          <t>IfM student projects for companies</t>
        </is>
      </c>
      <c r="H83" s="77" t="inlineStr">
        <is>
          <t>Overview</t>
        </is>
      </c>
      <c r="I83" s="77" t="inlineStr">
        <is>
          <t>undated</t>
        </is>
      </c>
      <c r="J83" s="77" t="inlineStr">
        <is>
          <t>2026-10-12</t>
        </is>
      </c>
      <c r="K83" s="77" t="inlineStr">
        <is>
          <t>search-summary paraphrase</t>
        </is>
      </c>
      <c r="L83" s="77" t="inlineStr">
        <is>
          <t>Companies of all sizes take part; students individually or in teams address a significant organisational challenge and present a full report to the management team; ISMM students take four industry projects; P1/P2 two students per project; around 80 projects in a typical year.</t>
        </is>
      </c>
    </row>
    <row r="84">
      <c r="A84" s="77" t="inlineStr">
        <is>
          <t>RG03-S10-R2</t>
        </is>
      </c>
      <c r="B84" s="77" t="inlineStr">
        <is>
          <t>RG03</t>
        </is>
      </c>
      <c r="C84" s="77" t="inlineStr">
        <is>
          <t>RG03-S10</t>
        </is>
      </c>
      <c r="D84" s="77" t="inlineStr">
        <is>
          <t>ISMM MPhil Industrial Projects (IfM)</t>
        </is>
      </c>
      <c r="E84" s="77" t="inlineStr">
        <is>
          <t>project</t>
        </is>
      </c>
      <c r="F84" s="77" t="inlineStr">
        <is>
          <t>https://www.ifm.eng.cam.ac.uk/education/ismm/course/projects/</t>
        </is>
      </c>
      <c r="G84" s="77" t="inlineStr">
        <is>
          <t>Projects - Industrial Systems, Manufacture and Management</t>
        </is>
      </c>
      <c r="H84" s="77" t="inlineStr">
        <is>
          <t>Course projects</t>
        </is>
      </c>
      <c r="I84" s="77" t="inlineStr">
        <is>
          <t>undated</t>
        </is>
      </c>
      <c r="J84" s="77" t="inlineStr">
        <is>
          <t>2026-10-12</t>
        </is>
      </c>
      <c r="K84" s="77" t="inlineStr">
        <is>
          <t>search-summary paraphrase</t>
        </is>
      </c>
      <c r="L84" s="77" t="inlineStr">
        <is>
          <t>ISMM projects page (content summarised via search).</t>
        </is>
      </c>
    </row>
    <row r="85">
      <c r="A85" s="77" t="inlineStr">
        <is>
          <t>RG03-S11-R1</t>
        </is>
      </c>
      <c r="B85" s="77" t="inlineStr">
        <is>
          <t>RG03</t>
        </is>
      </c>
      <c r="C85" s="77" t="inlineStr">
        <is>
          <t>RG03-S11</t>
        </is>
      </c>
      <c r="D85" s="77" t="inlineStr">
        <is>
          <t>MPhil in Engineering for Sustainable Development: Client Project (ESD-CP)</t>
        </is>
      </c>
      <c r="E85" s="77" t="inlineStr">
        <is>
          <t>project; group; employer; credit</t>
        </is>
      </c>
      <c r="F85" s="77" t="inlineStr">
        <is>
          <t>https://www-esdmphil.eng.cam.ac.uk/about-the-programme/prog-structure/electives-and-management/client-consultancy-project</t>
        </is>
      </c>
      <c r="G85" s="77" t="inlineStr">
        <is>
          <t>Client Project</t>
        </is>
      </c>
      <c r="H85" s="77" t="inlineStr">
        <is>
          <t>Programme structure</t>
        </is>
      </c>
      <c r="I85" s="77" t="inlineStr">
        <is>
          <t>undated</t>
        </is>
      </c>
      <c r="J85" s="77" t="inlineStr">
        <is>
          <t>2026-10-12</t>
        </is>
      </c>
      <c r="K85" s="77" t="inlineStr">
        <is>
          <t>search-summary paraphrase</t>
        </is>
      </c>
      <c r="L85" s="77" t="inlineStr">
        <is>
          <t>Management component comprises taught module ESD-SP and a team-based Client Project (ESD-CP) in Lent term, one module's credit; real-world problem identified by an external client; clients have included consultancies, charities, asset owners, international government bodies and start-ups; report and formal presentation.</t>
        </is>
      </c>
    </row>
    <row r="86">
      <c r="A86" s="77" t="inlineStr">
        <is>
          <t>RG03-S11-R2</t>
        </is>
      </c>
      <c r="B86" s="77" t="inlineStr">
        <is>
          <t>RG03</t>
        </is>
      </c>
      <c r="C86" s="77" t="inlineStr">
        <is>
          <t>RG03-S11</t>
        </is>
      </c>
      <c r="D86" s="77" t="inlineStr">
        <is>
          <t>MPhil in Engineering for Sustainable Development: Client Project (ESD-CP)</t>
        </is>
      </c>
      <c r="E86" s="77" t="inlineStr">
        <is>
          <t>credit</t>
        </is>
      </c>
      <c r="F86" s="77" t="inlineStr">
        <is>
          <t>https://www.postgraduate.study.cam.ac.uk/courses/directory/egegmpesd/study</t>
        </is>
      </c>
      <c r="G86" s="77" t="inlineStr">
        <is>
          <t>MPhil in Engineering for Sustainable Development</t>
        </is>
      </c>
      <c r="H86" s="77" t="inlineStr">
        <is>
          <t>Course study page</t>
        </is>
      </c>
      <c r="I86" s="77" t="inlineStr">
        <is>
          <t>undated</t>
        </is>
      </c>
      <c r="J86" s="77" t="inlineStr">
        <is>
          <t>2026-10-12</t>
        </is>
      </c>
      <c r="K86" s="77" t="inlineStr">
        <is>
          <t>search-summary paraphrase</t>
        </is>
      </c>
      <c r="L86" s="77" t="inlineStr">
        <is>
          <t>Client Project assessed on written work and a group presentation to the client.</t>
        </is>
      </c>
    </row>
    <row r="87">
      <c r="A87" s="77" t="inlineStr">
        <is>
          <t>RG03-S12-R1</t>
        </is>
      </c>
      <c r="B87" s="77" t="inlineStr">
        <is>
          <t>RG03</t>
        </is>
      </c>
      <c r="C87" s="77" t="inlineStr">
        <is>
          <t>RG03-S12</t>
        </is>
      </c>
      <c r="D87" s="77" t="inlineStr">
        <is>
          <t>MPhil in Bioscience Enterprise: team consulting project</t>
        </is>
      </c>
      <c r="E87" s="77" t="inlineStr">
        <is>
          <t>project; group; employer</t>
        </is>
      </c>
      <c r="F87" s="77" t="inlineStr">
        <is>
          <t>https://www.ceb.cam.ac.uk/study/grad/mphil/bioent</t>
        </is>
      </c>
      <c r="G87" s="77" t="inlineStr">
        <is>
          <t>CEB-MPhil in Bioscience Enterprise</t>
        </is>
      </c>
      <c r="H87" s="77" t="inlineStr">
        <is>
          <t>Programme information</t>
        </is>
      </c>
      <c r="I87" s="77" t="inlineStr">
        <is>
          <t>undated</t>
        </is>
      </c>
      <c r="J87" s="77" t="inlineStr">
        <is>
          <t>2026-10-12</t>
        </is>
      </c>
      <c r="K87" s="77" t="inlineStr">
        <is>
          <t>search-summary paraphrase</t>
        </is>
      </c>
      <c r="L87" s="77" t="inlineStr">
        <is>
          <t>In the first of two major industry projects, students work in teams acting as a consultancy venture on a real commercial question; deliverables to the Company are an oral presentation with slides and a written report, presented to the Company and the Department; proposals invited from start-ups, SMEs and global companies.</t>
        </is>
      </c>
    </row>
    <row r="88">
      <c r="A88" s="77" t="inlineStr">
        <is>
          <t>RG03-S12-R2</t>
        </is>
      </c>
      <c r="B88" s="77" t="inlineStr">
        <is>
          <t>RG03</t>
        </is>
      </c>
      <c r="C88" s="77" t="inlineStr">
        <is>
          <t>RG03-S12</t>
        </is>
      </c>
      <c r="D88" s="77" t="inlineStr">
        <is>
          <t>MPhil in Bioscience Enterprise: team consulting project</t>
        </is>
      </c>
      <c r="E88" s="77" t="inlineStr">
        <is>
          <t>status</t>
        </is>
      </c>
      <c r="F88" s="77" t="inlineStr">
        <is>
          <t>https://www.med.cam.ac.uk/study/mphil-bioscience-enterprise-mbe</t>
        </is>
      </c>
      <c r="G88" s="77" t="inlineStr">
        <is>
          <t>MPhil in Bioscience Enterprise (MBE) - Department of Medicine</t>
        </is>
      </c>
      <c r="H88" s="77" t="inlineStr">
        <is>
          <t>Course listing</t>
        </is>
      </c>
      <c r="I88" s="77" t="inlineStr">
        <is>
          <t>undated</t>
        </is>
      </c>
      <c r="J88" s="77" t="inlineStr">
        <is>
          <t>2026-10-12</t>
        </is>
      </c>
      <c r="K88" s="77" t="inlineStr">
        <is>
          <t>search-summary paraphrase</t>
        </is>
      </c>
      <c r="L88" s="77" t="inlineStr">
        <is>
          <t>Duration 9 months (including an 8-week business-oriented research project); October 2027 start listed.</t>
        </is>
      </c>
    </row>
    <row r="89">
      <c r="A89" s="77" t="inlineStr">
        <is>
          <t>RG03-S13-R1</t>
        </is>
      </c>
      <c r="B89" s="77" t="inlineStr">
        <is>
          <t>RG03</t>
        </is>
      </c>
      <c r="C89" s="77" t="inlineStr">
        <is>
          <t>RG03-S13</t>
        </is>
      </c>
      <c r="D89" s="77" t="inlineStr">
        <is>
          <t>MPhil in Public Policy: Policy Analysis Exercise (PAE)</t>
        </is>
      </c>
      <c r="E89" s="77" t="inlineStr">
        <is>
          <t>project; group; employer; duration; credit</t>
        </is>
      </c>
      <c r="F89" s="77" t="inlineStr">
        <is>
          <t>https://www.bennettschool.cam.ac.uk/study/mphil-in-public-policy/mpp-curriculum/</t>
        </is>
      </c>
      <c r="G89" s="77" t="inlineStr">
        <is>
          <t>Curriculum - Bennett School of Public Policy</t>
        </is>
      </c>
      <c r="H89" s="77" t="inlineStr">
        <is>
          <t>MPP curriculum</t>
        </is>
      </c>
      <c r="I89" s="77" t="inlineStr">
        <is>
          <t>undated</t>
        </is>
      </c>
      <c r="J89" s="77" t="inlineStr">
        <is>
          <t>2026-10-12</t>
        </is>
      </c>
      <c r="K89" s="77" t="inlineStr">
        <is>
          <t>search-summary paraphrase</t>
        </is>
      </c>
      <c r="L89" s="77" t="inlineStr">
        <is>
          <t>PAE is a 5 day group simulation exercise held later in Easter term, not assessed, delivered in partnership with a government department or international organisation on a live topic; teams give a presentation to the client and a 12-page report; past partners UNDP, OECD, World Bank.</t>
        </is>
      </c>
    </row>
    <row r="90">
      <c r="A90" s="77" t="inlineStr">
        <is>
          <t>RG03-S14-R1</t>
        </is>
      </c>
      <c r="B90" s="77" t="inlineStr">
        <is>
          <t>RG03</t>
        </is>
      </c>
      <c r="C90" s="77" t="inlineStr">
        <is>
          <t>RG03-S14</t>
        </is>
      </c>
      <c r="D90" s="77" t="inlineStr">
        <is>
          <t>MPhil in Conservation Leadership: group consultancy project</t>
        </is>
      </c>
      <c r="E90" s="77" t="inlineStr">
        <is>
          <t>project; group; employer</t>
        </is>
      </c>
      <c r="F90" s="77" t="inlineStr">
        <is>
          <t>https://www.geog.cam.ac.uk/postgraduate/mphil/conservation/</t>
        </is>
      </c>
      <c r="G90" s="77" t="inlineStr">
        <is>
          <t>MPhil in Conservation Leadership</t>
        </is>
      </c>
      <c r="H90" s="77" t="inlineStr">
        <is>
          <t>Programme page</t>
        </is>
      </c>
      <c r="I90" s="77" t="inlineStr">
        <is>
          <t>undated</t>
        </is>
      </c>
      <c r="J90" s="77" t="inlineStr">
        <is>
          <t>2026-10-12</t>
        </is>
      </c>
      <c r="K90" s="77" t="inlineStr">
        <is>
          <t>search-summary paraphrase</t>
        </is>
      </c>
      <c r="L90" s="77" t="inlineStr">
        <is>
          <t>Programme combines taught modules with hands-on experiential learning through a group consultancy and an individual professional placement; includes an intensive group consultancy project undertaken with one of the CCI partner organisations.</t>
        </is>
      </c>
    </row>
    <row r="91">
      <c r="A91" s="77" t="inlineStr">
        <is>
          <t>RG03-S14-R2</t>
        </is>
      </c>
      <c r="B91" s="77" t="inlineStr">
        <is>
          <t>RG03</t>
        </is>
      </c>
      <c r="C91" s="77" t="inlineStr">
        <is>
          <t>RG03-S14</t>
        </is>
      </c>
      <c r="D91" s="77" t="inlineStr">
        <is>
          <t>MPhil in Conservation Leadership: group consultancy project</t>
        </is>
      </c>
      <c r="E91" s="77" t="inlineStr">
        <is>
          <t>employer</t>
        </is>
      </c>
      <c r="F91" s="77" t="inlineStr">
        <is>
          <t>https://www.cl.geog.cam.ac.uk/news/conservation-leadership-students-visit-british-trust-ornithology</t>
        </is>
      </c>
      <c r="G91" s="77" t="inlineStr">
        <is>
          <t>Conservation Leadership Students Visit the British Trust for Ornithology</t>
        </is>
      </c>
      <c r="H91" s="77" t="inlineStr">
        <is>
          <t>News</t>
        </is>
      </c>
      <c r="I91" s="77" t="inlineStr">
        <is>
          <t>undated</t>
        </is>
      </c>
      <c r="J91" s="77" t="inlineStr">
        <is>
          <t>2026-10-12</t>
        </is>
      </c>
      <c r="K91" s="77" t="inlineStr">
        <is>
          <t>search-summary paraphrase</t>
        </is>
      </c>
      <c r="L91" s="77" t="inlineStr">
        <is>
          <t>BTO regularly hosts consultancy projects for the programme.</t>
        </is>
      </c>
    </row>
    <row r="92">
      <c r="A92" s="77" t="inlineStr">
        <is>
          <t>RG03-S15-R1</t>
        </is>
      </c>
      <c r="B92" s="77" t="inlineStr">
        <is>
          <t>RG03</t>
        </is>
      </c>
      <c r="C92" s="77" t="inlineStr">
        <is>
          <t>RG03-S15</t>
        </is>
      </c>
      <c r="D92" s="77" t="inlineStr">
        <is>
          <t>Innovation / Climate i-Teams</t>
        </is>
      </c>
      <c r="E92" s="77" t="inlineStr">
        <is>
          <t>project; group; status; eligibility; duration</t>
        </is>
      </c>
      <c r="F92" s="77" t="inlineStr">
        <is>
          <t>https://www.cam.ac.uk/stories/climate-iteams-innovation</t>
        </is>
      </c>
      <c r="G92" s="77" t="inlineStr">
        <is>
          <t>Cambridge launches Climate i-Teams</t>
        </is>
      </c>
      <c r="H92" s="77" t="inlineStr">
        <is>
          <t>News</t>
        </is>
      </c>
      <c r="I92" s="77" t="inlineStr">
        <is>
          <t>2026</t>
        </is>
      </c>
      <c r="J92" s="77" t="inlineStr">
        <is>
          <t>2026-10-12</t>
        </is>
      </c>
      <c r="K92" s="77" t="inlineStr">
        <is>
          <t>search-summary paraphrase</t>
        </is>
      </c>
      <c r="L92" s="77" t="inlineStr">
        <is>
          <t>Climate i-Teams starts 5 October; multidisciplinary teams assess commercial potential of real Cambridge inventions; workshops every Monday evening in Michaelmas term; final findings presented 10 December; open to postgraduate students and early-career researchers.</t>
        </is>
      </c>
    </row>
    <row r="93">
      <c r="A93" s="77" t="inlineStr">
        <is>
          <t>RG03-S15-R2</t>
        </is>
      </c>
      <c r="B93" s="77" t="inlineStr">
        <is>
          <t>RG03</t>
        </is>
      </c>
      <c r="C93" s="77" t="inlineStr">
        <is>
          <t>RG03-S15</t>
        </is>
      </c>
      <c r="D93" s="77" t="inlineStr">
        <is>
          <t>Innovation / Climate i-Teams</t>
        </is>
      </c>
      <c r="E93" s="77" t="inlineStr">
        <is>
          <t>project; group; employer; eligibility</t>
        </is>
      </c>
      <c r="F93" s="77" t="inlineStr">
        <is>
          <t>https://ie.cam.ac.uk/support_article/i-teams/</t>
        </is>
      </c>
      <c r="G93" s="77" t="inlineStr">
        <is>
          <t>i-Teams Cambridge - IE Cambridge</t>
        </is>
      </c>
      <c r="H93" s="77" t="inlineStr">
        <is>
          <t>Programme description</t>
        </is>
      </c>
      <c r="I93" s="77" t="inlineStr">
        <is>
          <t>undated</t>
        </is>
      </c>
      <c r="J93" s="77" t="inlineStr">
        <is>
          <t>2026-10-12</t>
        </is>
      </c>
      <c r="K93" s="77" t="inlineStr">
        <is>
          <t>search-summary paraphrase</t>
        </is>
      </c>
      <c r="L93" s="77" t="inlineStr">
        <is>
          <t>Teams of up to about seven look at commercial potential of a real Cambridge invention, contact relevant industry experts for feedback; guided by PIs, programme director and local business mentors.</t>
        </is>
      </c>
    </row>
    <row r="94">
      <c r="A94" s="77" t="inlineStr">
        <is>
          <t>RG03-S15-R3</t>
        </is>
      </c>
      <c r="B94" s="77" t="inlineStr">
        <is>
          <t>RG03</t>
        </is>
      </c>
      <c r="C94" s="77" t="inlineStr">
        <is>
          <t>RG03-S15</t>
        </is>
      </c>
      <c r="D94" s="77" t="inlineStr">
        <is>
          <t>Innovation / Climate i-Teams</t>
        </is>
      </c>
      <c r="E94" s="77" t="inlineStr">
        <is>
          <t>reach; eligibility</t>
        </is>
      </c>
      <c r="F94" s="77" t="inlineStr">
        <is>
          <t>https://www.c2d3.cam.ac.uk/opportunities/join-i-teams-michaelmas-term</t>
        </is>
      </c>
      <c r="G94" s="77" t="inlineStr">
        <is>
          <t>Join i-Teams for the Michaelmas Term</t>
        </is>
      </c>
      <c r="H94" s="77" t="inlineStr">
        <is>
          <t>Call</t>
        </is>
      </c>
      <c r="I94" s="77" t="inlineStr">
        <is>
          <t>undated</t>
        </is>
      </c>
      <c r="J94" s="77" t="inlineStr">
        <is>
          <t>2026-10-12</t>
        </is>
      </c>
      <c r="K94" s="77" t="inlineStr">
        <is>
          <t>search-summary paraphrase</t>
        </is>
      </c>
      <c r="L94" s="77" t="inlineStr">
        <is>
          <t>Calls welcome participants from any department; Development i-Teams welcomed undergraduates, postgraduates, postdocs and staff.</t>
        </is>
      </c>
    </row>
    <row r="95">
      <c r="A95" s="77" t="inlineStr">
        <is>
          <t>RG04-S01-R1</t>
        </is>
      </c>
      <c r="B95" s="77" t="inlineStr">
        <is>
          <t>RG04</t>
        </is>
      </c>
      <c r="C95" s="77" t="inlineStr">
        <is>
          <t>RG04-S01</t>
        </is>
      </c>
      <c r="D95" s="77" t="inlineStr">
        <is>
          <t>BSc Applied Software Engineering: client-based team projects (National Software Academy)</t>
        </is>
      </c>
      <c r="E95" s="77" t="inlineStr">
        <is>
          <t>project; group; employer; duration; participation</t>
        </is>
      </c>
      <c r="F95" s="77" t="inlineStr">
        <is>
          <t>https://www.cardiff.ac.uk/study/undergraduate/courses/course/applied-software-engineering-bsc</t>
        </is>
      </c>
      <c r="G95" s="77" t="inlineStr">
        <is>
          <t>Applied Software Engineering (BSc) - Study - Cardiff University</t>
        </is>
      </c>
      <c r="H95" s="77" t="inlineStr">
        <is>
          <t>Course overview / how you'll learn</t>
        </is>
      </c>
      <c r="I95" s="77" t="inlineStr">
        <is>
          <t>undated</t>
        </is>
      </c>
      <c r="J95" s="77" t="inlineStr">
        <is>
          <t>2026-10-12</t>
        </is>
      </c>
      <c r="K95" s="77" t="inlineStr">
        <is>
          <t>search-index extract (quoted)</t>
        </is>
      </c>
      <c r="L95" s="77" t="inlineStr">
        <is>
          <t>'work on the development of software projects for real clients drawn from the private, public and third sectors'; 'Most client-based projects span four weeks and your team will meet with your clients every two weeks during this period.'</t>
        </is>
      </c>
    </row>
    <row r="96">
      <c r="A96" s="77" t="inlineStr">
        <is>
          <t>RG04-S01-R2</t>
        </is>
      </c>
      <c r="B96" s="77" t="inlineStr">
        <is>
          <t>RG04</t>
        </is>
      </c>
      <c r="C96" s="77" t="inlineStr">
        <is>
          <t>RG04-S01</t>
        </is>
      </c>
      <c r="D96" s="77" t="inlineStr">
        <is>
          <t>BSc Applied Software Engineering: client-based team projects (National Software Academy)</t>
        </is>
      </c>
      <c r="E96" s="77" t="inlineStr">
        <is>
          <t>project; employer</t>
        </is>
      </c>
      <c r="F96" s="77" t="inlineStr">
        <is>
          <t>https://www.cardiff.ac.uk/software-academy/working-with-industry</t>
        </is>
      </c>
      <c r="G96" s="77" t="inlineStr">
        <is>
          <t>Working with industry - National Software Academy - Cardiff University</t>
        </is>
      </c>
      <c r="H96" s="77" t="inlineStr">
        <is>
          <t>Partner options</t>
        </is>
      </c>
      <c r="I96" s="77" t="inlineStr">
        <is>
          <t>undated</t>
        </is>
      </c>
      <c r="J96" s="77" t="inlineStr">
        <is>
          <t>2026-10-12</t>
        </is>
      </c>
      <c r="K96" s="77" t="inlineStr">
        <is>
          <t>search-index extract (quoted)</t>
        </is>
      </c>
      <c r="L96" s="77" t="inlineStr">
        <is>
          <t>Partners 'can provide live client projects for students to develop and acquire skills'; projects 'are conceived from a fundamental business problem', and students build a minimum viable product; partners can also mentor and offer sponsorship or bursaries.</t>
        </is>
      </c>
    </row>
    <row r="97">
      <c r="A97" s="77" t="inlineStr">
        <is>
          <t>RG04-S01-R3</t>
        </is>
      </c>
      <c r="B97" s="77" t="inlineStr">
        <is>
          <t>RG04</t>
        </is>
      </c>
      <c r="C97" s="77" t="inlineStr">
        <is>
          <t>RG04-S01</t>
        </is>
      </c>
      <c r="D97" s="77" t="inlineStr">
        <is>
          <t>BSc Applied Software Engineering: client-based team projects (National Software Academy)</t>
        </is>
      </c>
      <c r="E97" s="77" t="inlineStr">
        <is>
          <t>status</t>
        </is>
      </c>
      <c r="F97" s="77" t="inlineStr">
        <is>
          <t>https://www.cardiff.ac.uk/study/undergraduate/courses/2026/applied-software-engineering-bsc</t>
        </is>
      </c>
      <c r="G97" s="77" t="inlineStr">
        <is>
          <t>Applied Software Engineering (BSc) - 2026 entry</t>
        </is>
      </c>
      <c r="H97" s="77" t="inlineStr">
        <is>
          <t>2026 entry course page</t>
        </is>
      </c>
      <c r="I97" s="77" t="inlineStr">
        <is>
          <t>2026</t>
        </is>
      </c>
      <c r="J97" s="77" t="inlineStr">
        <is>
          <t>2026-10-12</t>
        </is>
      </c>
      <c r="K97" s="77" t="inlineStr">
        <is>
          <t>search-summary paraphrase</t>
        </is>
      </c>
      <c r="L97" s="77" t="inlineStr">
        <is>
          <t>A 2026-entry course page for the programme was returned by search (it is listed with the NSA client-project results). It is cited only as dated corroboration that the programme is offered for 2026/27.</t>
        </is>
      </c>
    </row>
    <row r="98">
      <c r="A98" s="77" t="inlineStr">
        <is>
          <t>RG04-S02-R1</t>
        </is>
      </c>
      <c r="B98" s="77" t="inlineStr">
        <is>
          <t>RG04</t>
        </is>
      </c>
      <c r="C98" s="77" t="inlineStr">
        <is>
          <t>RG04-S02</t>
        </is>
      </c>
      <c r="D98" s="77" t="inlineStr">
        <is>
          <t>The New Venture Plan</t>
        </is>
      </c>
      <c r="E98" s="77" t="inlineStr">
        <is>
          <t>project; group; employer; credit; participation</t>
        </is>
      </c>
      <c r="F98" s="77" t="inlineStr">
        <is>
          <t>https://www.cardiff.ac.uk/study/postgraduate/taught/courses/course/strategic-entrepreneurship-and-innovation-msc</t>
        </is>
      </c>
      <c r="G98" s="77" t="inlineStr">
        <is>
          <t>Strategic Entrepreneurship and Innovation (MSc) - Study - Cardiff University</t>
        </is>
      </c>
      <c r="H98" s="77" t="inlineStr">
        <is>
          <t>Course structure</t>
        </is>
      </c>
      <c r="I98" s="77" t="inlineStr">
        <is>
          <t>undated</t>
        </is>
      </c>
      <c r="J98" s="77" t="inlineStr">
        <is>
          <t>2026-10-12</t>
        </is>
      </c>
      <c r="K98" s="77" t="inlineStr">
        <is>
          <t>search-index extract (quoted)</t>
        </is>
      </c>
      <c r="L98" s="77" t="inlineStr">
        <is>
          <t>'On successful completion of the taught stage you'll move either onto The New Venture Plan - a group-based project in collaboration with a real company - or undertake a dissertation.' 'you'll be assigned a client, who'll provide a brief outlining specific objectives and expectations.' 'present strategic plans to both academic staff and, in some cases, industry professionals.' Module BST413, 40 credits.</t>
        </is>
      </c>
    </row>
    <row r="99">
      <c r="A99" s="77" t="inlineStr">
        <is>
          <t>RG04-S03-R1</t>
        </is>
      </c>
      <c r="B99" s="77" t="inlineStr">
        <is>
          <t>RG04</t>
        </is>
      </c>
      <c r="C99" s="77" t="inlineStr">
        <is>
          <t>RG04-S03</t>
        </is>
      </c>
      <c r="D99" s="77" t="inlineStr">
        <is>
          <t>Cardiff MBA Management Consultancy elective (charity consultancy with PA Consulting)</t>
        </is>
      </c>
      <c r="E99" s="77" t="inlineStr">
        <is>
          <t>project; group; employer</t>
        </is>
      </c>
      <c r="F99" s="77" t="inlineStr">
        <is>
          <t>https://www.cardiff.ac.uk/news/view/790309-student-skills-boost-charity-success</t>
        </is>
      </c>
      <c r="G99" s="77" t="inlineStr">
        <is>
          <t>Student skills boost charity success - News - Cardiff University</t>
        </is>
      </c>
      <c r="H99" s="77" t="inlineStr">
        <is>
          <t>News item</t>
        </is>
      </c>
      <c r="I99" s="77" t="inlineStr">
        <is>
          <t>undated</t>
        </is>
      </c>
      <c r="J99" s="77" t="inlineStr">
        <is>
          <t>2026-10-12</t>
        </is>
      </c>
      <c r="K99" s="77" t="inlineStr">
        <is>
          <t>search-summary paraphrase</t>
        </is>
      </c>
      <c r="L99" s="77" t="inlineStr">
        <is>
          <t>MBA students in the Management Consultancy elective worked with local charities to 'generate and develop new business ideas that can be implemented and executed by the charities' management teams'; PA Consulting coached students on engaging with third sector clients; charities included Tenovus Cancer Care, Cardiff City Foundation and WCVA.</t>
        </is>
      </c>
    </row>
    <row r="100">
      <c r="A100" s="77" t="inlineStr">
        <is>
          <t>RG04-S03-R2</t>
        </is>
      </c>
      <c r="B100" s="77" t="inlineStr">
        <is>
          <t>RG04</t>
        </is>
      </c>
      <c r="C100" s="77" t="inlineStr">
        <is>
          <t>RG04-S03</t>
        </is>
      </c>
      <c r="D100" s="77" t="inlineStr">
        <is>
          <t>Cardiff MBA Management Consultancy elective (charity consultancy with PA Consulting)</t>
        </is>
      </c>
      <c r="E100" s="77" t="inlineStr">
        <is>
          <t>project; group; employer; duration</t>
        </is>
      </c>
      <c r="F100" s="77" t="inlineStr">
        <is>
          <t>https://www.cardiff.ac.uk/news/view/1534556-welsh-charity-performance-boost</t>
        </is>
      </c>
      <c r="G100" s="77" t="inlineStr">
        <is>
          <t>Welsh charity performance boost - News - Cardiff University</t>
        </is>
      </c>
      <c r="H100" s="77" t="inlineStr">
        <is>
          <t>News item</t>
        </is>
      </c>
      <c r="I100" s="77" t="inlineStr">
        <is>
          <t>undated</t>
        </is>
      </c>
      <c r="J100" s="77" t="inlineStr">
        <is>
          <t>2026-10-12</t>
        </is>
      </c>
      <c r="K100" s="77" t="inlineStr">
        <is>
          <t>search-summary paraphrase</t>
        </is>
      </c>
      <c r="L100" s="77" t="inlineStr">
        <is>
          <t>Search summary (not clearly tied to one of the two news pages): teams interview charity representatives, agree a project, and deliver a report and presentation to the charity plus a reflexive ethics essay; over four weeks teams worked with assigned charities on strategic and management challenges.</t>
        </is>
      </c>
    </row>
    <row r="101">
      <c r="A101" s="77" t="inlineStr">
        <is>
          <t>RG04-S04-R1</t>
        </is>
      </c>
      <c r="B101" s="77" t="inlineStr">
        <is>
          <t>RG04</t>
        </is>
      </c>
      <c r="C101" s="77" t="inlineStr">
        <is>
          <t>RG04-S04</t>
        </is>
      </c>
      <c r="D101" s="77" t="inlineStr">
        <is>
          <t>Cardiff MBA live project / Accelerator Project</t>
        </is>
      </c>
      <c r="E101" s="77" t="inlineStr">
        <is>
          <t>project; employer</t>
        </is>
      </c>
      <c r="F101" s="77" t="inlineStr">
        <is>
          <t>https://www.cardiff.ac.uk/business-school/news/features/become-a-future-leader-with-the-cardiff-mba-part-time-programme</t>
        </is>
      </c>
      <c r="G101" s="77" t="inlineStr">
        <is>
          <t>Become a future leader with The Cardiff MBA part-time programme</t>
        </is>
      </c>
      <c r="H101" s="77" t="inlineStr">
        <is>
          <t>Feature</t>
        </is>
      </c>
      <c r="I101" s="77" t="inlineStr">
        <is>
          <t>undated</t>
        </is>
      </c>
      <c r="J101" s="77" t="inlineStr">
        <is>
          <t>2026-10-12</t>
        </is>
      </c>
      <c r="K101" s="77" t="inlineStr">
        <is>
          <t>search-index extract (quoted)</t>
        </is>
      </c>
      <c r="L101" s="77" t="inlineStr">
        <is>
          <t>'Upon completing the MBA programme, each student participates in a real-world live project'; students act as consultants, 'delivering a report addressing a specific challenge identified by the partnering company'.</t>
        </is>
      </c>
    </row>
    <row r="102">
      <c r="A102" s="77" t="inlineStr">
        <is>
          <t>RG04-S04-R2</t>
        </is>
      </c>
      <c r="B102" s="77" t="inlineStr">
        <is>
          <t>RG04</t>
        </is>
      </c>
      <c r="C102" s="77" t="inlineStr">
        <is>
          <t>RG04-S04</t>
        </is>
      </c>
      <c r="D102" s="77" t="inlineStr">
        <is>
          <t>Cardiff MBA live project / Accelerator Project</t>
        </is>
      </c>
      <c r="E102" s="77" t="inlineStr">
        <is>
          <t>project; employer</t>
        </is>
      </c>
      <c r="F102" s="77" t="inlineStr">
        <is>
          <t>https://www.cardiff.ac.uk/business-school/courses/the-cardiff-mba</t>
        </is>
      </c>
      <c r="G102" s="77" t="inlineStr">
        <is>
          <t>The Cardiff MBA - Cardiff Business School</t>
        </is>
      </c>
      <c r="H102" s="77" t="inlineStr">
        <is>
          <t>Accelerator Project</t>
        </is>
      </c>
      <c r="I102" s="77" t="inlineStr">
        <is>
          <t>undated</t>
        </is>
      </c>
      <c r="J102" s="77" t="inlineStr">
        <is>
          <t>2026-10-12</t>
        </is>
      </c>
      <c r="K102" s="77" t="inlineStr">
        <is>
          <t>search-summary paraphrase</t>
        </is>
      </c>
      <c r="L102" s="77" t="inlineStr">
        <is>
          <t>Real-world project carried out in partnership with a corporate client to develop solutions to a significant strategic issue; past clients included airline, healthcare, start-up, government and banking clients.</t>
        </is>
      </c>
    </row>
    <row r="103">
      <c r="A103" s="77" t="inlineStr">
        <is>
          <t>RG04-S05-R1</t>
        </is>
      </c>
      <c r="B103" s="77" t="inlineStr">
        <is>
          <t>RG04</t>
        </is>
      </c>
      <c r="C103" s="77" t="inlineStr">
        <is>
          <t>RG04-S05</t>
        </is>
      </c>
      <c r="D103" s="77" t="inlineStr">
        <is>
          <t>Consultancy Challenge (MSc Business Management)</t>
        </is>
      </c>
      <c r="E103" s="77" t="inlineStr">
        <is>
          <t>project; group; employer; credit</t>
        </is>
      </c>
      <c r="F103" s="77" t="inlineStr">
        <is>
          <t>https://www.cardiff.ac.uk/study/postgraduate/taught/courses/course/business-management-msc-full-time-september-start</t>
        </is>
      </c>
      <c r="G103" s="77" t="inlineStr">
        <is>
          <t>Business Management (MSc) (full time - September start)</t>
        </is>
      </c>
      <c r="H103" s="77" t="inlineStr">
        <is>
          <t>Course structure</t>
        </is>
      </c>
      <c r="I103" s="77" t="inlineStr">
        <is>
          <t>undated</t>
        </is>
      </c>
      <c r="J103" s="77" t="inlineStr">
        <is>
          <t>2026-10-12</t>
        </is>
      </c>
      <c r="K103" s="77" t="inlineStr">
        <is>
          <t>search-summary paraphrase</t>
        </is>
      </c>
      <c r="L103" s="77" t="inlineStr">
        <is>
          <t>Consultancy Challenge BST720 (60 credits): students work in groups to analyse, diagnose and recommend practical solutions to a business problem, which may include charities and not-for-profit enterprises; final block focuses on 'multi-functional working and multi-faceted problems'.</t>
        </is>
      </c>
    </row>
    <row r="104">
      <c r="A104" s="77" t="inlineStr">
        <is>
          <t>RG04-S05-R2</t>
        </is>
      </c>
      <c r="B104" s="77" t="inlineStr">
        <is>
          <t>RG04</t>
        </is>
      </c>
      <c r="C104" s="77" t="inlineStr">
        <is>
          <t>RG04-S05</t>
        </is>
      </c>
      <c r="D104" s="77" t="inlineStr">
        <is>
          <t>Consultancy Challenge (MSc Business Management)</t>
        </is>
      </c>
      <c r="E104" s="77" t="inlineStr">
        <is>
          <t>credit</t>
        </is>
      </c>
      <c r="F104" s="77" t="inlineStr">
        <is>
          <t>https://www.cardiff.ac.uk/study/postgraduate/taught/courses/course/business-management-msc-full-time-january-start</t>
        </is>
      </c>
      <c r="G104" s="77" t="inlineStr">
        <is>
          <t>Business Management (MSc) (full time - January start)</t>
        </is>
      </c>
      <c r="H104" s="77" t="inlineStr">
        <is>
          <t>Course structure</t>
        </is>
      </c>
      <c r="I104" s="77" t="inlineStr">
        <is>
          <t>undated</t>
        </is>
      </c>
      <c r="J104" s="77" t="inlineStr">
        <is>
          <t>2026-10-12</t>
        </is>
      </c>
      <c r="K104" s="77" t="inlineStr">
        <is>
          <t>search-index extract (quoted)</t>
        </is>
      </c>
      <c r="L104" s="77" t="inlineStr">
        <is>
          <t>'BST740 | 60 credits' Consultancy Challenge.</t>
        </is>
      </c>
    </row>
    <row r="105">
      <c r="A105" s="77" t="inlineStr">
        <is>
          <t>RG04-S06-R1</t>
        </is>
      </c>
      <c r="B105" s="77" t="inlineStr">
        <is>
          <t>RG04</t>
        </is>
      </c>
      <c r="C105" s="77" t="inlineStr">
        <is>
          <t>RG04-S06</t>
        </is>
      </c>
      <c r="D105" s="77" t="inlineStr">
        <is>
          <t>Computer Science second-year group project</t>
        </is>
      </c>
      <c r="E105" s="77" t="inlineStr">
        <is>
          <t>project; group; employer; status</t>
        </is>
      </c>
      <c r="F105" s="77" t="inlineStr">
        <is>
          <t>https://www.cardiff.ac.uk/study/undergraduate/courses/2026/computer-science-with-a-foundation-year-bsc</t>
        </is>
      </c>
      <c r="G105" s="77" t="inlineStr">
        <is>
          <t>Computer Science with a Foundation Year (BSc) - 2026</t>
        </is>
      </c>
      <c r="H105" s="77" t="inlineStr">
        <is>
          <t>Course structure</t>
        </is>
      </c>
      <c r="I105" s="77" t="inlineStr">
        <is>
          <t>2026</t>
        </is>
      </c>
      <c r="J105" s="77" t="inlineStr">
        <is>
          <t>2026-10-12</t>
        </is>
      </c>
      <c r="K105" s="77" t="inlineStr">
        <is>
          <t>search-summary paraphrase</t>
        </is>
      </c>
      <c r="L105" s="77" t="inlineStr">
        <is>
          <t>Second-year group project 'may involve working with clients (either external or internal)', linked to sustainability goals.</t>
        </is>
      </c>
    </row>
    <row r="106">
      <c r="A106" s="77" t="inlineStr">
        <is>
          <t>RG04-S06-R2</t>
        </is>
      </c>
      <c r="B106" s="77" t="inlineStr">
        <is>
          <t>RG04</t>
        </is>
      </c>
      <c r="C106" s="77" t="inlineStr">
        <is>
          <t>RG04-S06</t>
        </is>
      </c>
      <c r="D106" s="77" t="inlineStr">
        <is>
          <t>Computer Science second-year group project</t>
        </is>
      </c>
      <c r="E106" s="77" t="inlineStr">
        <is>
          <t>project; group; status</t>
        </is>
      </c>
      <c r="F106" s="77" t="inlineStr">
        <is>
          <t>https://www.cardiff.ac.uk/study/undergraduate/courses/2026/computer-science-with-cyber-security-with-a-year-in-industry-bsc</t>
        </is>
      </c>
      <c r="G106" s="77" t="inlineStr">
        <is>
          <t>Computer Science with Cyber Security with a Year in Industry (BSc) - 2026</t>
        </is>
      </c>
      <c r="H106" s="77" t="inlineStr">
        <is>
          <t>Year two</t>
        </is>
      </c>
      <c r="I106" s="77" t="inlineStr">
        <is>
          <t>2026</t>
        </is>
      </c>
      <c r="J106" s="77" t="inlineStr">
        <is>
          <t>2026-10-12</t>
        </is>
      </c>
      <c r="K106" s="77" t="inlineStr">
        <is>
          <t>search-index extract (quoted)</t>
        </is>
      </c>
      <c r="L106" s="77" t="inlineStr">
        <is>
          <t>Team project in Year Two where 'you use new skills and knowledge to design and implement a solution to a real-world problem'.</t>
        </is>
      </c>
    </row>
    <row r="107">
      <c r="A107" s="77" t="inlineStr">
        <is>
          <t>RG04-S07-R1</t>
        </is>
      </c>
      <c r="B107" s="77" t="inlineStr">
        <is>
          <t>RG04</t>
        </is>
      </c>
      <c r="C107" s="77" t="inlineStr">
        <is>
          <t>RG04-S07</t>
        </is>
      </c>
      <c r="D107" s="77" t="inlineStr">
        <is>
          <t>Live Project (MSc Spatial Planning and Development)</t>
        </is>
      </c>
      <c r="E107" s="77" t="inlineStr">
        <is>
          <t>project; employer; credit; status</t>
        </is>
      </c>
      <c r="F107" s="77" t="inlineStr">
        <is>
          <t>https://www.cardiff.ac.uk/study/postgraduate/taught/courses/course/spatial-planning-and-development-msc</t>
        </is>
      </c>
      <c r="G107" s="77" t="inlineStr">
        <is>
          <t>Spatial Planning and Development (MSc) - Study - Cardiff University</t>
        </is>
      </c>
      <c r="H107" s="77" t="inlineStr">
        <is>
          <t>Course structure / overview</t>
        </is>
      </c>
      <c r="I107" s="77" t="inlineStr">
        <is>
          <t>2026 (start date 28 September 2026 shown)</t>
        </is>
      </c>
      <c r="J107" s="77" t="inlineStr">
        <is>
          <t>2026-10-12</t>
        </is>
      </c>
      <c r="K107" s="77" t="inlineStr">
        <is>
          <t>search-summary paraphrase</t>
        </is>
      </c>
      <c r="L107" s="77" t="inlineStr">
        <is>
          <t>Course structure lists 'Live Project | CPT831 | 20 credits'; students work on live projects with real clients such as a planning authority or agency; start date 28 September 2026.</t>
        </is>
      </c>
    </row>
    <row r="108">
      <c r="A108" s="77" t="inlineStr">
        <is>
          <t>RG04-S08-R1</t>
        </is>
      </c>
      <c r="B108" s="77" t="inlineStr">
        <is>
          <t>RG04</t>
        </is>
      </c>
      <c r="C108" s="77" t="inlineStr">
        <is>
          <t>RG04-S08</t>
        </is>
      </c>
      <c r="D108" s="77" t="inlineStr">
        <is>
          <t>Planning, Markets and Land (group consultancy project)</t>
        </is>
      </c>
      <c r="E108" s="77" t="inlineStr">
        <is>
          <t>project; group; employer; status</t>
        </is>
      </c>
      <c r="F108" s="77" t="inlineStr">
        <is>
          <t>https://data.cardiff.ac.uk/legacy/grails/module/CP0210/16A.html</t>
        </is>
      </c>
      <c r="G108" s="77" t="inlineStr">
        <is>
          <t>CP0210: Planning, Markets and Land</t>
        </is>
      </c>
      <c r="H108" s="77" t="inlineStr">
        <is>
          <t>Legacy module catalogue (16A)</t>
        </is>
      </c>
      <c r="I108" s="77" t="inlineStr">
        <is>
          <t>2016/17</t>
        </is>
      </c>
      <c r="J108" s="77" t="inlineStr">
        <is>
          <t>2026-10-12</t>
        </is>
      </c>
      <c r="K108" s="77" t="inlineStr">
        <is>
          <t>search-summary paraphrase</t>
        </is>
      </c>
      <c r="L108" s="77" t="inlineStr">
        <is>
          <t>Group consultancy project; students interact with real policy makers and practitioners in a live project and work in a multi-disciplinary team to solve a real planning problem.</t>
        </is>
      </c>
    </row>
    <row r="109">
      <c r="A109" s="77" t="inlineStr">
        <is>
          <t>RG04-S09-R1</t>
        </is>
      </c>
      <c r="B109" s="77" t="inlineStr">
        <is>
          <t>RG04</t>
        </is>
      </c>
      <c r="C109" s="77" t="inlineStr">
        <is>
          <t>RG04-S09</t>
        </is>
      </c>
      <c r="D109" s="77" t="inlineStr">
        <is>
          <t>School of Engineering postgraduate group projects (industry)</t>
        </is>
      </c>
      <c r="E109" s="77" t="inlineStr">
        <is>
          <t>project; group; employer</t>
        </is>
      </c>
      <c r="F109" s="77" t="inlineStr">
        <is>
          <t>https://www.cardiff.ac.uk/engineering/industrial-collaboration/work-with-our-students</t>
        </is>
      </c>
      <c r="G109" s="77" t="inlineStr">
        <is>
          <t>Work with our students - School of Engineering - Cardiff University</t>
        </is>
      </c>
      <c r="H109" s="77" t="inlineStr">
        <is>
          <t>Postgraduate group projects</t>
        </is>
      </c>
      <c r="I109" s="77" t="inlineStr">
        <is>
          <t>undated</t>
        </is>
      </c>
      <c r="J109" s="77" t="inlineStr">
        <is>
          <t>2026-10-12</t>
        </is>
      </c>
      <c r="K109" s="77" t="inlineStr">
        <is>
          <t>search-summary paraphrase</t>
        </is>
      </c>
      <c r="L109" s="77" t="inlineStr">
        <is>
          <t>'Postgraduate group projects give a group of Masters students an intensive piece of work on more challenging topics'; presented as a way for a company to raise its profile with high-achieving students; costs and durations vary.</t>
        </is>
      </c>
    </row>
    <row r="110">
      <c r="A110" s="77" t="inlineStr">
        <is>
          <t>RG04-S09-R2</t>
        </is>
      </c>
      <c r="B110" s="77" t="inlineStr">
        <is>
          <t>RG04</t>
        </is>
      </c>
      <c r="C110" s="77" t="inlineStr">
        <is>
          <t>RG04-S09</t>
        </is>
      </c>
      <c r="D110" s="77" t="inlineStr">
        <is>
          <t>School of Engineering postgraduate group projects (industry)</t>
        </is>
      </c>
      <c r="E110" s="77" t="inlineStr">
        <is>
          <t>project; group</t>
        </is>
      </c>
      <c r="F110" s="77" t="inlineStr">
        <is>
          <t>https://www.cardiff.ac.uk/study/undergraduate/courses/course/electrical-and-electronic-engineering-with-a-year-of-study-abroad-meng</t>
        </is>
      </c>
      <c r="G110" s="77" t="inlineStr">
        <is>
          <t>Electrical and Electronic Engineering with a Year of Study Abroad (MEng)</t>
        </is>
      </c>
      <c r="H110" s="77" t="inlineStr">
        <is>
          <t>Year five</t>
        </is>
      </c>
      <c r="I110" s="77" t="inlineStr">
        <is>
          <t>undated</t>
        </is>
      </c>
      <c r="J110" s="77" t="inlineStr">
        <is>
          <t>2026-10-12</t>
        </is>
      </c>
      <c r="K110" s="77" t="inlineStr">
        <is>
          <t>search-summary paraphrase</t>
        </is>
      </c>
      <c r="L110" s="77" t="inlineStr">
        <is>
          <t>In year five students choose two large group design projects linked to topical research; examples include electric scooters with fast charging, rapid diagnostic assays, and net-zero research stations with the British Antarctic Survey. EN2710 Group Design Project (20 credits) in year two.</t>
        </is>
      </c>
    </row>
    <row r="111">
      <c r="A111" s="77" t="inlineStr">
        <is>
          <t>RG04-S10-R1</t>
        </is>
      </c>
      <c r="B111" s="77" t="inlineStr">
        <is>
          <t>RG04</t>
        </is>
      </c>
      <c r="C111" s="77" t="inlineStr">
        <is>
          <t>RG04-S10</t>
        </is>
      </c>
      <c r="D111" s="77" t="inlineStr">
        <is>
          <t>Welsh School of Architecture live projects (MArch 'Design in Practice'; Grangetown/Community Gateway)</t>
        </is>
      </c>
      <c r="E111" s="77" t="inlineStr">
        <is>
          <t>project; group; employer</t>
        </is>
      </c>
      <c r="F111" s="77" t="inlineStr">
        <is>
          <t>https://www.cardiff.ac.uk/architecture/engagement/external-practitioner-call</t>
        </is>
      </c>
      <c r="G111" s="77" t="inlineStr">
        <is>
          <t>External practitioner call - Welsh School of Architecture</t>
        </is>
      </c>
      <c r="H111" s="77" t="inlineStr">
        <is>
          <t>Design in Practice</t>
        </is>
      </c>
      <c r="I111" s="77" t="inlineStr">
        <is>
          <t>undated</t>
        </is>
      </c>
      <c r="J111" s="77" t="inlineStr">
        <is>
          <t>2026-10-12</t>
        </is>
      </c>
      <c r="K111" s="77" t="inlineStr">
        <is>
          <t>search-index extract (quoted)</t>
        </is>
      </c>
      <c r="L111" s="77" t="inlineStr">
        <is>
          <t>'A key aim of this module is to address real-world design challenges through live project teaching'; interests in adaptive reuse, environmental design and community engagement 'would be a good fit to support our live project briefs'; Practice Links Tutors mentor a small group of students.</t>
        </is>
      </c>
    </row>
    <row r="112">
      <c r="A112" s="77" t="inlineStr">
        <is>
          <t>RG04-S10-R2</t>
        </is>
      </c>
      <c r="B112" s="77" t="inlineStr">
        <is>
          <t>RG04</t>
        </is>
      </c>
      <c r="C112" s="77" t="inlineStr">
        <is>
          <t>RG04-S10</t>
        </is>
      </c>
      <c r="D112" s="77" t="inlineStr">
        <is>
          <t>Welsh School of Architecture live projects (MArch 'Design in Practice'; Grangetown/Community Gateway)</t>
        </is>
      </c>
      <c r="E112" s="77" t="inlineStr">
        <is>
          <t>project; employer; status</t>
        </is>
      </c>
      <c r="F112" s="77" t="inlineStr">
        <is>
          <t>https://www.cardiff.ac.uk/news/view/1758744-impressive-work-and-ideas-developed-during-vertical-studio-2020</t>
        </is>
      </c>
      <c r="G112" s="77" t="inlineStr">
        <is>
          <t>Impressive work and ideas developed during Vertical Studio 2020</t>
        </is>
      </c>
      <c r="H112" s="77" t="inlineStr">
        <is>
          <t>News</t>
        </is>
      </c>
      <c r="I112" s="77" t="inlineStr">
        <is>
          <t>2020</t>
        </is>
      </c>
      <c r="J112" s="77" t="inlineStr">
        <is>
          <t>2026-10-12</t>
        </is>
      </c>
      <c r="K112" s="77" t="inlineStr">
        <is>
          <t>search-summary paraphrase</t>
        </is>
      </c>
      <c r="L112" s="77" t="inlineStr">
        <is>
          <t>A Vertical Studio unit prototyped furniture for the new pavilion; the unit leader described the opportunity 'to work with a live project at the Grangetown Pavilion and receive feedback from clients and users'.</t>
        </is>
      </c>
    </row>
    <row r="113">
      <c r="A113" s="77" t="inlineStr">
        <is>
          <t>RG04-S10-R3</t>
        </is>
      </c>
      <c r="B113" s="77" t="inlineStr">
        <is>
          <t>RG04</t>
        </is>
      </c>
      <c r="C113" s="77" t="inlineStr">
        <is>
          <t>RG04-S10</t>
        </is>
      </c>
      <c r="D113" s="77" t="inlineStr">
        <is>
          <t>Welsh School of Architecture live projects (MArch 'Design in Practice'; Grangetown/Community Gateway)</t>
        </is>
      </c>
      <c r="E113" s="77" t="inlineStr">
        <is>
          <t>participation</t>
        </is>
      </c>
      <c r="F113" s="77" t="inlineStr">
        <is>
          <t>https://www.cardiff.ac.uk/news/view/2625221-double-award-success-for-grange-pavilion</t>
        </is>
      </c>
      <c r="G113" s="77" t="inlineStr">
        <is>
          <t>Double award success for Grange Pavilion</t>
        </is>
      </c>
      <c r="H113" s="77" t="inlineStr">
        <is>
          <t>News</t>
        </is>
      </c>
      <c r="I113" s="77" t="inlineStr">
        <is>
          <t>2022</t>
        </is>
      </c>
      <c r="J113" s="77" t="inlineStr">
        <is>
          <t>2026-10-12</t>
        </is>
      </c>
      <c r="K113" s="77" t="inlineStr">
        <is>
          <t>search-summary paraphrase</t>
        </is>
      </c>
      <c r="L113" s="77" t="inlineStr">
        <is>
          <t>More than 400 students in the Welsh School of Architecture and Cardiff Business School supported the Grange Pavilion through live projects, design projects, vertical studios, dissertations and research placements.</t>
        </is>
      </c>
    </row>
    <row r="114">
      <c r="A114" s="77" t="inlineStr">
        <is>
          <t>RG04-S11-R1</t>
        </is>
      </c>
      <c r="B114" s="77" t="inlineStr">
        <is>
          <t>RG04</t>
        </is>
      </c>
      <c r="C114" s="77" t="inlineStr">
        <is>
          <t>RG04-S11</t>
        </is>
      </c>
      <c r="D114" s="77" t="inlineStr">
        <is>
          <t>Bremen-Cardiff Initiative on Sustainability and Entrepreneurship</t>
        </is>
      </c>
      <c r="E114" s="77" t="inlineStr">
        <is>
          <t>project; group; duration</t>
        </is>
      </c>
      <c r="F114" s="77" t="inlineStr">
        <is>
          <t>https://www.cardiff.ac.uk/global/global-partnerships/university-of-bremen</t>
        </is>
      </c>
      <c r="G114" s="77" t="inlineStr">
        <is>
          <t>University of Bremen - Global - Cardiff University</t>
        </is>
      </c>
      <c r="H114" s="77" t="inlineStr">
        <is>
          <t>Partnership page</t>
        </is>
      </c>
      <c r="I114" s="77" t="inlineStr">
        <is>
          <t>undated</t>
        </is>
      </c>
      <c r="J114" s="77" t="inlineStr">
        <is>
          <t>2026-10-12</t>
        </is>
      </c>
      <c r="K114" s="77" t="inlineStr">
        <is>
          <t>search-summary paraphrase</t>
        </is>
      </c>
      <c r="L114" s="77" t="inlineStr">
        <is>
          <t>Bremen-Cardiff Initiative on Sustainability and Entrepreneurship: 2-week blended programme bringing Bremen and Cardiff students together to work on a real-world problem; 'Week 1 takes place online, with week 2 taking place in person, in Cardiff'; separately, Cardiff Business School students at a Bremen summer camp 'participated in real-world projects in cooperation with German and UK companies'.</t>
        </is>
      </c>
    </row>
    <row r="115">
      <c r="A115" s="77" t="inlineStr">
        <is>
          <t>RG04-S11-R2</t>
        </is>
      </c>
      <c r="B115" s="77" t="inlineStr">
        <is>
          <t>RG04</t>
        </is>
      </c>
      <c r="C115" s="77" t="inlineStr">
        <is>
          <t>RG04-S11</t>
        </is>
      </c>
      <c r="D115" s="77" t="inlineStr">
        <is>
          <t>Bremen-Cardiff Initiative on Sustainability and Entrepreneurship</t>
        </is>
      </c>
      <c r="E115" s="77" t="inlineStr">
        <is>
          <t>participation</t>
        </is>
      </c>
      <c r="F115" s="77" t="inlineStr">
        <is>
          <t>https://www.cardiff.ac.uk/news/view/2524664-university-partnership-success</t>
        </is>
      </c>
      <c r="G115" s="77" t="inlineStr">
        <is>
          <t>University partnership success - News</t>
        </is>
      </c>
      <c r="H115" s="77" t="inlineStr">
        <is>
          <t>News</t>
        </is>
      </c>
      <c r="I115" s="77" t="inlineStr">
        <is>
          <t>undated</t>
        </is>
      </c>
      <c r="J115" s="77" t="inlineStr">
        <is>
          <t>2026-10-12</t>
        </is>
      </c>
      <c r="K115" s="77" t="inlineStr">
        <is>
          <t>search-summary paraphrase</t>
        </is>
      </c>
      <c r="L115" s="77" t="inlineStr">
        <is>
          <t>30 students from Cardiff University and the University of Bremen took part in an online project on social entrepreneurship, practising creativity, problem solving and pitching to investors.</t>
        </is>
      </c>
    </row>
    <row r="116">
      <c r="A116" s="77" t="inlineStr">
        <is>
          <t>RG04-S11-R3</t>
        </is>
      </c>
      <c r="B116" s="77" t="inlineStr">
        <is>
          <t>RG04</t>
        </is>
      </c>
      <c r="C116" s="77" t="inlineStr">
        <is>
          <t>RG04-S11</t>
        </is>
      </c>
      <c r="D116" s="77" t="inlineStr">
        <is>
          <t>Bremen-Cardiff Initiative on Sustainability and Entrepreneurship</t>
        </is>
      </c>
      <c r="E116" s="77" t="inlineStr">
        <is>
          <t>status</t>
        </is>
      </c>
      <c r="F116" s="77" t="inlineStr">
        <is>
          <t>https://www.cardiff.ac.uk/__data/assets/pdf_file/0012/2899470/202526-Student-Enterprise-Annual-Report.pdf</t>
        </is>
      </c>
      <c r="G116" s="77" t="inlineStr">
        <is>
          <t>24/25 Student Enterprise Annual Report</t>
        </is>
      </c>
      <c r="H116" s="77" t="inlineStr">
        <is>
          <t>Programme list</t>
        </is>
      </c>
      <c r="I116" s="77" t="inlineStr">
        <is>
          <t>2024/25</t>
        </is>
      </c>
      <c r="J116" s="77" t="inlineStr">
        <is>
          <t>2026-10-12</t>
        </is>
      </c>
      <c r="K116" s="77" t="inlineStr">
        <is>
          <t>search-summary paraphrase</t>
        </is>
      </c>
      <c r="L116" s="77" t="inlineStr">
        <is>
          <t>Annual report lists 'Bremen and Cardiff Sustainability and' among 2024/25 activity (extract truncated).</t>
        </is>
      </c>
    </row>
    <row r="117">
      <c r="A117" s="77" t="inlineStr">
        <is>
          <t>RG05-S01-R1</t>
        </is>
      </c>
      <c r="B117" s="77" t="inlineStr">
        <is>
          <t>RG05</t>
        </is>
      </c>
      <c r="C117" s="77" t="inlineStr">
        <is>
          <t>RG05-S01</t>
        </is>
      </c>
      <c r="D117" s="77" t="inlineStr">
        <is>
          <t>PHYS3581 Team Project (Level 3 Physics)</t>
        </is>
      </c>
      <c r="E117" s="77" t="inlineStr">
        <is>
          <t>project; group; employer; credit; eligibility; status</t>
        </is>
      </c>
      <c r="F117" s="77" t="inlineStr">
        <is>
          <t>https://www.durham.ac.uk/study/modules/undergraduate/phys3581.php</t>
        </is>
      </c>
      <c r="G117" s="77" t="inlineStr">
        <is>
          <t>PHYS3581 Team Project (module page)</t>
        </is>
      </c>
      <c r="H117" s="77" t="inlineStr">
        <is>
          <t>module description</t>
        </is>
      </c>
      <c r="I117" s="77" t="inlineStr">
        <is>
          <t>2024/25-2025/26 (availability reported inconsistently)</t>
        </is>
      </c>
      <c r="J117" s="77" t="inlineStr">
        <is>
          <t>2026-10-12</t>
        </is>
      </c>
      <c r="K117" s="77" t="inlineStr">
        <is>
          <t>search-index extract (quoted)</t>
        </is>
      </c>
      <c r="L117" s="77" t="inlineStr">
        <is>
          <t>Level 3, 20 credits, cap 84; 'a group of up to six students working on a physics-related problem set by either members of staff from the Department or by local industry'; assessed by short written report and oral presentation.</t>
        </is>
      </c>
    </row>
    <row r="118">
      <c r="A118" s="77" t="inlineStr">
        <is>
          <t>RG05-S01-R2</t>
        </is>
      </c>
      <c r="B118" s="77" t="inlineStr">
        <is>
          <t>RG05</t>
        </is>
      </c>
      <c r="C118" s="77" t="inlineStr">
        <is>
          <t>RG05-S01</t>
        </is>
      </c>
      <c r="D118" s="77" t="inlineStr">
        <is>
          <t>PHYS3581 Team Project (Level 3 Physics)</t>
        </is>
      </c>
      <c r="E118" s="77" t="inlineStr">
        <is>
          <t>group; employer; duration; project</t>
        </is>
      </c>
      <c r="F118" s="77" t="inlineStr">
        <is>
          <t>https://www.durham.ac.uk/departments/academic/physics/labs/level-3/team-project/for-clients/</t>
        </is>
      </c>
      <c r="G118" s="77" t="inlineStr">
        <is>
          <t>Team Project: For clients</t>
        </is>
      </c>
      <c r="H118" s="77" t="inlineStr">
        <is>
          <t>for clients</t>
        </is>
      </c>
      <c r="I118" s="77" t="inlineStr">
        <is>
          <t>undated</t>
        </is>
      </c>
      <c r="J118" s="77" t="inlineStr">
        <is>
          <t>2026-10-12</t>
        </is>
      </c>
      <c r="K118" s="77" t="inlineStr">
        <is>
          <t>search-summary paraphrase</t>
        </is>
      </c>
      <c r="L118" s="77" t="inlineStr">
        <is>
          <t>Teams of 4-6 formed by the course organiser; clients supply a short brief, meet students at start, answer queries, may undertake mid-project review and are invited to the final presentations; 9 hours/week for 8 weeks; Michaelmas or Epiphany term.</t>
        </is>
      </c>
    </row>
    <row r="119">
      <c r="A119" s="77" t="inlineStr">
        <is>
          <t>RG05-S01-R3</t>
        </is>
      </c>
      <c r="B119" s="77" t="inlineStr">
        <is>
          <t>RG05</t>
        </is>
      </c>
      <c r="C119" s="77" t="inlineStr">
        <is>
          <t>RG05-S01</t>
        </is>
      </c>
      <c r="D119" s="77" t="inlineStr">
        <is>
          <t>PHYS3581 Team Project (Level 3 Physics)</t>
        </is>
      </c>
      <c r="E119" s="77" t="inlineStr">
        <is>
          <t>employer; project</t>
        </is>
      </c>
      <c r="F119" s="77" t="inlineStr">
        <is>
          <t>https://www.durham.ac.uk/departments/academic/physics/labs/level-3/team-project/previous-projects/</t>
        </is>
      </c>
      <c r="G119" s="77" t="inlineStr">
        <is>
          <t>Team Project: Previous projects</t>
        </is>
      </c>
      <c r="H119" s="77" t="inlineStr">
        <is>
          <t>previous projects</t>
        </is>
      </c>
      <c r="I119" s="77" t="inlineStr">
        <is>
          <t>undated</t>
        </is>
      </c>
      <c r="J119" s="77" t="inlineStr">
        <is>
          <t>2026-10-12</t>
        </is>
      </c>
      <c r="K119" s="77" t="inlineStr">
        <is>
          <t>search-summary paraphrase</t>
        </is>
      </c>
      <c r="L119" s="77" t="inlineStr">
        <is>
          <t>Case studies: Procter &amp; Gamble (dishwasher camera system), Cottam Brush (material properties for pipeline inspection), Neue Schule (forces on a horse bridle), Mantis Vacuum Systems (UHV design calculator).</t>
        </is>
      </c>
    </row>
    <row r="120">
      <c r="A120" s="77" t="inlineStr">
        <is>
          <t>RG05-S01-R4</t>
        </is>
      </c>
      <c r="B120" s="77" t="inlineStr">
        <is>
          <t>RG05</t>
        </is>
      </c>
      <c r="C120" s="77" t="inlineStr">
        <is>
          <t>RG05-S01</t>
        </is>
      </c>
      <c r="D120" s="77" t="inlineStr">
        <is>
          <t>PHYS3581 Team Project (Level 3 Physics)</t>
        </is>
      </c>
      <c r="E120" s="77" t="inlineStr">
        <is>
          <t>employer; reach; participation</t>
        </is>
      </c>
      <c r="F120" s="77" t="inlineStr">
        <is>
          <t>https://www.durham.ac.uk/study/courses/physics-f300/</t>
        </is>
      </c>
      <c r="G120" s="77" t="inlineStr">
        <is>
          <t>Physics F300</t>
        </is>
      </c>
      <c r="H120" s="77" t="inlineStr">
        <is>
          <t>practical modules</t>
        </is>
      </c>
      <c r="I120" s="77" t="inlineStr">
        <is>
          <t>undated</t>
        </is>
      </c>
      <c r="J120" s="77" t="inlineStr">
        <is>
          <t>2026-10-12</t>
        </is>
      </c>
      <c r="K120" s="77" t="inlineStr">
        <is>
          <t>search-index extract (quoted)</t>
        </is>
      </c>
      <c r="L120" s="77" t="inlineStr">
        <is>
          <t>Team Project described as placing students in a 'real-world' scenario, solving a scientific problem presented by an external organisation such as a public body or a company.</t>
        </is>
      </c>
    </row>
    <row r="121">
      <c r="A121" s="77" t="inlineStr">
        <is>
          <t>RG05-S01-R5</t>
        </is>
      </c>
      <c r="B121" s="77" t="inlineStr">
        <is>
          <t>RG05</t>
        </is>
      </c>
      <c r="C121" s="77" t="inlineStr">
        <is>
          <t>RG05-S01</t>
        </is>
      </c>
      <c r="D121" s="77" t="inlineStr">
        <is>
          <t>PHYS3581 Team Project (Level 3 Physics)</t>
        </is>
      </c>
      <c r="E121" s="77" t="inlineStr">
        <is>
          <t>status; credit</t>
        </is>
      </c>
      <c r="F121" s="77" t="inlineStr">
        <is>
          <t>https://www.durham.ac.uk/media/durham-university/global/global-opportunities/incoming/Physics.pdf</t>
        </is>
      </c>
      <c r="G121" s="77" t="inlineStr">
        <is>
          <t>Incoming Students Academic year 2026/2027 Physics</t>
        </is>
      </c>
      <c r="H121" s="77" t="inlineStr">
        <is>
          <t>module list</t>
        </is>
      </c>
      <c r="I121" s="77" t="inlineStr">
        <is>
          <t>2026/27</t>
        </is>
      </c>
      <c r="J121" s="77" t="inlineStr">
        <is>
          <t>2026-10-12</t>
        </is>
      </c>
      <c r="K121" s="77" t="inlineStr">
        <is>
          <t>search-summary paraphrase</t>
        </is>
      </c>
      <c r="L121" s="77" t="inlineStr">
        <is>
          <t>Lists PHYS3581 Team Project (10 ECTS) among modules for 2026/27.</t>
        </is>
      </c>
    </row>
    <row r="122">
      <c r="A122" s="77" t="inlineStr">
        <is>
          <t>RG05-S01-R6</t>
        </is>
      </c>
      <c r="B122" s="77" t="inlineStr">
        <is>
          <t>RG05</t>
        </is>
      </c>
      <c r="C122" s="77" t="inlineStr">
        <is>
          <t>RG05-S01</t>
        </is>
      </c>
      <c r="D122" s="77" t="inlineStr">
        <is>
          <t>PHYS3581 Team Project (Level 3 Physics)</t>
        </is>
      </c>
      <c r="E122" s="77" t="inlineStr">
        <is>
          <t>employer; group; project</t>
        </is>
      </c>
      <c r="F122" s="77" t="inlineStr">
        <is>
          <t>https://www.durham.ac.uk/departments/academic/physics/labs/level-3/team-project/for-clients/</t>
        </is>
      </c>
      <c r="G122" s="77" t="inlineStr">
        <is>
          <t>Team Project: For clients - Durham University Physics</t>
        </is>
      </c>
      <c r="H122" s="77" t="inlineStr">
        <is>
          <t>For clients</t>
        </is>
      </c>
      <c r="I122" s="77" t="inlineStr">
        <is>
          <t>undated</t>
        </is>
      </c>
      <c r="J122" s="77" t="inlineStr">
        <is>
          <t>2026-10-13</t>
        </is>
      </c>
      <c r="K122" s="77" t="inlineStr">
        <is>
          <t>search-summary paraphrase</t>
        </is>
      </c>
      <c r="L122" s="77" t="inlineStr">
        <is>
          <t>Projects are set either by Physics staff or by local industry; teams of 4-6 students; clients provide ~1 page brief, meet students at start, may attend final presentations. Past partners named: EDF, Procter &amp; Gamble, Coltraco Ultrasonics, Magnitude Biosciences, Kromek.</t>
        </is>
      </c>
    </row>
    <row r="123">
      <c r="A123" s="77" t="inlineStr">
        <is>
          <t>RG05-S02-R1</t>
        </is>
      </c>
      <c r="B123" s="77" t="inlineStr">
        <is>
          <t>RG05</t>
        </is>
      </c>
      <c r="C123" s="77" t="inlineStr">
        <is>
          <t>RG05-S02</t>
        </is>
      </c>
      <c r="D123" s="77" t="inlineStr">
        <is>
          <t>COMP2281 Software Engineering (Year 2 team project with external organisation)</t>
        </is>
      </c>
      <c r="E123" s="77" t="inlineStr">
        <is>
          <t>project; group; credit; status</t>
        </is>
      </c>
      <c r="F123" s="77" t="inlineStr">
        <is>
          <t>https://www.durham.ac.uk/study/modules/undergraduate/comp2281.php</t>
        </is>
      </c>
      <c r="G123" s="77" t="inlineStr">
        <is>
          <t>COMP2281 Software Engineering (module page)</t>
        </is>
      </c>
      <c r="H123" s="77" t="inlineStr">
        <is>
          <t>module description</t>
        </is>
      </c>
      <c r="I123" s="77" t="inlineStr">
        <is>
          <t>2025/26</t>
        </is>
      </c>
      <c r="J123" s="77" t="inlineStr">
        <is>
          <t>2026-10-12</t>
        </is>
      </c>
      <c r="K123" s="77" t="inlineStr">
        <is>
          <t>search-summary paraphrase</t>
        </is>
      </c>
      <c r="L123" s="77" t="inlineStr">
        <is>
          <t>Level 2, 20 credits, listed as available in 2025/2026; aims include understanding project management needed to develop a significant piece of software within a team environment.</t>
        </is>
      </c>
    </row>
    <row r="124">
      <c r="A124" s="77" t="inlineStr">
        <is>
          <t>RG05-S02-R2</t>
        </is>
      </c>
      <c r="B124" s="77" t="inlineStr">
        <is>
          <t>RG05</t>
        </is>
      </c>
      <c r="C124" s="77" t="inlineStr">
        <is>
          <t>RG05-S02</t>
        </is>
      </c>
      <c r="D124" s="77" t="inlineStr">
        <is>
          <t>COMP2281 Software Engineering (Year 2 team project with external organisation)</t>
        </is>
      </c>
      <c r="E124" s="77" t="inlineStr">
        <is>
          <t>project; group; employer; participation</t>
        </is>
      </c>
      <c r="F124" s="77" t="inlineStr">
        <is>
          <t>https://www.durham.ac.uk/study/courses/computer-science-g400/</t>
        </is>
      </c>
      <c r="G124" s="77" t="inlineStr">
        <is>
          <t>Computer Science G400</t>
        </is>
      </c>
      <c r="H124" s="77" t="inlineStr">
        <is>
          <t>course structure</t>
        </is>
      </c>
      <c r="I124" s="77" t="inlineStr">
        <is>
          <t>undated</t>
        </is>
      </c>
      <c r="J124" s="77" t="inlineStr">
        <is>
          <t>2026-10-12</t>
        </is>
      </c>
      <c r="K124" s="77" t="inlineStr">
        <is>
          <t>search-summary paraphrase</t>
        </is>
      </c>
      <c r="L124" s="77" t="inlineStr">
        <is>
          <t>Compulsory software development module includes a substantial team-based software project developed in partnership with an external organisation.</t>
        </is>
      </c>
    </row>
    <row r="125">
      <c r="A125" s="77" t="inlineStr">
        <is>
          <t>RG05-S02-R3</t>
        </is>
      </c>
      <c r="B125" s="77" t="inlineStr">
        <is>
          <t>RG05</t>
        </is>
      </c>
      <c r="C125" s="77" t="inlineStr">
        <is>
          <t>RG05-S02</t>
        </is>
      </c>
      <c r="D125" s="77" t="inlineStr">
        <is>
          <t>COMP2281 Software Engineering (Year 2 team project with external organisation)</t>
        </is>
      </c>
      <c r="E125" s="77" t="inlineStr">
        <is>
          <t>employer; reach</t>
        </is>
      </c>
      <c r="F125" s="77" t="inlineStr">
        <is>
          <t>https://www.durham.ac.uk/study/courses/computer-science-g406/</t>
        </is>
      </c>
      <c r="G125" s="77" t="inlineStr">
        <is>
          <t>Computer Science G406 (MEng)</t>
        </is>
      </c>
      <c r="H125" s="77" t="inlineStr">
        <is>
          <t>course structure</t>
        </is>
      </c>
      <c r="I125" s="77" t="inlineStr">
        <is>
          <t>undated</t>
        </is>
      </c>
      <c r="J125" s="77" t="inlineStr">
        <is>
          <t>2026-10-12</t>
        </is>
      </c>
      <c r="K125" s="77" t="inlineStr">
        <is>
          <t>search-summary paraphrase</t>
        </is>
      </c>
      <c r="L125" s="77" t="inlineStr">
        <is>
          <t>Year 2 Software Engineering module includes a team project in which you gain practical software development experience working with an external organisation.</t>
        </is>
      </c>
    </row>
    <row r="126">
      <c r="A126" s="77" t="inlineStr">
        <is>
          <t>RG05-S03-R1</t>
        </is>
      </c>
      <c r="B126" s="77" t="inlineStr">
        <is>
          <t>RG05</t>
        </is>
      </c>
      <c r="C126" s="77" t="inlineStr">
        <is>
          <t>RG05-S03</t>
        </is>
      </c>
      <c r="D126" s="77" t="inlineStr">
        <is>
          <t>GEOL4091 Earth Sciences into Industry</t>
        </is>
      </c>
      <c r="E126" s="77" t="inlineStr">
        <is>
          <t>project; group; employer; credit; status</t>
        </is>
      </c>
      <c r="F126" s="77" t="inlineStr">
        <is>
          <t>https://www.durham.ac.uk/study/modules/undergraduate/geol4091.php</t>
        </is>
      </c>
      <c r="G126" s="77" t="inlineStr">
        <is>
          <t>GEOL4091 Earth Sciences into Industry (module page)</t>
        </is>
      </c>
      <c r="H126" s="77" t="inlineStr">
        <is>
          <t>module description and assessment</t>
        </is>
      </c>
      <c r="I126" s="77" t="inlineStr">
        <is>
          <t>2025/26</t>
        </is>
      </c>
      <c r="J126" s="77" t="inlineStr">
        <is>
          <t>2026-10-12</t>
        </is>
      </c>
      <c r="K126" s="77" t="inlineStr">
        <is>
          <t>search-index extract (quoted)</t>
        </is>
      </c>
      <c r="L126" s="77" t="inlineStr">
        <is>
          <t>'A multi-disciplinary student group will work on a project specified by a "client", typically an external organisation. The client identifies the problem to be addressed and the project deliverables. The groups will develop the project brief, workflow strategy and prepare and present a solution to their client and internal mentor.' Level 4, 20 credits, available 2025/2026; assessment 20/60/20.</t>
        </is>
      </c>
    </row>
    <row r="127">
      <c r="A127" s="77" t="inlineStr">
        <is>
          <t>RG05-S03-R2</t>
        </is>
      </c>
      <c r="B127" s="77" t="inlineStr">
        <is>
          <t>RG05</t>
        </is>
      </c>
      <c r="C127" s="77" t="inlineStr">
        <is>
          <t>RG05-S03</t>
        </is>
      </c>
      <c r="D127" s="77" t="inlineStr">
        <is>
          <t>GEOL4091 Earth Sciences into Industry</t>
        </is>
      </c>
      <c r="E127" s="77" t="inlineStr">
        <is>
          <t>eligibility; reach</t>
        </is>
      </c>
      <c r="F127" s="77" t="inlineStr">
        <is>
          <t>https://maths.durham.ac.uk/php/natural.sciences.php?dept=geol</t>
        </is>
      </c>
      <c r="G127" s="77" t="inlineStr">
        <is>
          <t>Natural Sciences: Earth Sciences 2023-2024</t>
        </is>
      </c>
      <c r="H127" s="77" t="inlineStr">
        <is>
          <t>module list</t>
        </is>
      </c>
      <c r="I127" s="77" t="inlineStr">
        <is>
          <t>2023/24</t>
        </is>
      </c>
      <c r="J127" s="77" t="inlineStr">
        <is>
          <t>2026-10-12</t>
        </is>
      </c>
      <c r="K127" s="77" t="inlineStr">
        <is>
          <t>search-summary paraphrase</t>
        </is>
      </c>
      <c r="L127" s="77" t="inlineStr">
        <is>
          <t>Module listed among Level 4 Earth Sciences options for Natural Sciences students (title only; offerings vary by year).</t>
        </is>
      </c>
    </row>
    <row r="128">
      <c r="A128" s="77" t="inlineStr">
        <is>
          <t>RG05-S04-R1</t>
        </is>
      </c>
      <c r="B128" s="77" t="inlineStr">
        <is>
          <t>RG05</t>
        </is>
      </c>
      <c r="C128" s="77" t="inlineStr">
        <is>
          <t>RG05-S04</t>
        </is>
      </c>
      <c r="D128" s="77" t="inlineStr">
        <is>
          <t>Mini Consultancy Competition</t>
        </is>
      </c>
      <c r="E128" s="77" t="inlineStr">
        <is>
          <t>project; group; employer; duration; participation</t>
        </is>
      </c>
      <c r="F128" s="77" t="inlineStr">
        <is>
          <t>https://dur.ac.uk/study/careers-employability-enterprise/information-for-employers/work-based-learning-programmes-for-employers/</t>
        </is>
      </c>
      <c r="G128" s="77" t="inlineStr">
        <is>
          <t>Work Based Learning Programmes for Employers</t>
        </is>
      </c>
      <c r="H128" s="77" t="inlineStr">
        <is>
          <t>Mini Consultancy Competition</t>
        </is>
      </c>
      <c r="I128" s="77" t="inlineStr">
        <is>
          <t>undated</t>
        </is>
      </c>
      <c r="J128" s="77" t="inlineStr">
        <is>
          <t>2026-10-12</t>
        </is>
      </c>
      <c r="K128" s="77" t="inlineStr">
        <is>
          <t>search-index extract (quoted)</t>
        </is>
      </c>
      <c r="L128" s="77" t="inlineStr">
        <is>
          <t>'over the course of just three weeks, your organisation will work with high-achieving Durham students as they apply their knowledge to develop innovative, practical solutions to a real business issue you provide'; employers receive three distinct solutions from three diverse student consultancy teams plus a final presentation from each team.</t>
        </is>
      </c>
    </row>
    <row r="129">
      <c r="A129" s="77" t="inlineStr">
        <is>
          <t>RG05-S05-R1</t>
        </is>
      </c>
      <c r="B129" s="77" t="inlineStr">
        <is>
          <t>RG05</t>
        </is>
      </c>
      <c r="C129" s="77" t="inlineStr">
        <is>
          <t>RG05-S05</t>
        </is>
      </c>
      <c r="D129" s="77" t="inlineStr">
        <is>
          <t>MSc Business Analytics Project (client-based)</t>
        </is>
      </c>
      <c r="E129" s="77" t="inlineStr">
        <is>
          <t>project; employer; group; duration</t>
        </is>
      </c>
      <c r="F129" s="77" t="inlineStr">
        <is>
          <t>https://www.durham.ac.uk/business/programmes/masters/business-analytics-projects/</t>
        </is>
      </c>
      <c r="G129" s="77" t="inlineStr">
        <is>
          <t>Business Analytics Projects</t>
        </is>
      </c>
      <c r="H129" s="77" t="inlineStr">
        <is>
          <t>programme page</t>
        </is>
      </c>
      <c r="I129" s="77" t="inlineStr">
        <is>
          <t>undated (c. 2024)</t>
        </is>
      </c>
      <c r="J129" s="77" t="inlineStr">
        <is>
          <t>2026-10-12</t>
        </is>
      </c>
      <c r="K129" s="77" t="inlineStr">
        <is>
          <t>search-summary paraphrase</t>
        </is>
      </c>
      <c r="L129" s="77" t="inlineStr">
        <is>
          <t>Live business issue using real datasets provided by a client company; collaboration with fellow students; client representatives supply brief, data and context; project report assessed by academic team and executive summary reviewed by companies; projects typically Term 3.</t>
        </is>
      </c>
    </row>
    <row r="130">
      <c r="A130" s="77" t="inlineStr">
        <is>
          <t>RG05-S05-R2</t>
        </is>
      </c>
      <c r="B130" s="77" t="inlineStr">
        <is>
          <t>RG05</t>
        </is>
      </c>
      <c r="C130" s="77" t="inlineStr">
        <is>
          <t>RG05-S05</t>
        </is>
      </c>
      <c r="D130" s="77" t="inlineStr">
        <is>
          <t>MSc Business Analytics Project (client-based)</t>
        </is>
      </c>
      <c r="E130" s="77" t="inlineStr">
        <is>
          <t>employer; duration</t>
        </is>
      </c>
      <c r="F130" s="77" t="inlineStr">
        <is>
          <t>https://www.durham.ac.uk/business/for-business/business-projects/</t>
        </is>
      </c>
      <c r="G130" s="77" t="inlineStr">
        <is>
          <t>Business Projects</t>
        </is>
      </c>
      <c r="H130" s="77" t="inlineStr">
        <is>
          <t>for business</t>
        </is>
      </c>
      <c r="I130" s="77" t="inlineStr">
        <is>
          <t>undated</t>
        </is>
      </c>
      <c r="J130" s="77" t="inlineStr">
        <is>
          <t>2026-10-12</t>
        </is>
      </c>
      <c r="K130" s="77" t="inlineStr">
        <is>
          <t>search-summary paraphrase</t>
        </is>
      </c>
      <c r="L130" s="77" t="inlineStr">
        <is>
          <t>Consultancy-style: academic supervisor from the School plus a company supervisor; MSc student business projects over about three months.</t>
        </is>
      </c>
    </row>
    <row r="131">
      <c r="A131" s="77" t="inlineStr">
        <is>
          <t>RG05-S05-R3</t>
        </is>
      </c>
      <c r="B131" s="77" t="inlineStr">
        <is>
          <t>RG05</t>
        </is>
      </c>
      <c r="C131" s="77" t="inlineStr">
        <is>
          <t>RG05-S05</t>
        </is>
      </c>
      <c r="D131" s="77" t="inlineStr">
        <is>
          <t>MSc Business Analytics Project (client-based)</t>
        </is>
      </c>
      <c r="E131" s="77" t="inlineStr">
        <is>
          <t>group; employer</t>
        </is>
      </c>
      <c r="F131" s="77" t="inlineStr">
        <is>
          <t>https://www.durham.ac.uk/business/for-business/business-projects/business-analytics-projects/business-analytics-projects-case-studies/</t>
        </is>
      </c>
      <c r="G131" s="77" t="inlineStr">
        <is>
          <t>Business Analytics Projects Case Studies</t>
        </is>
      </c>
      <c r="H131" s="77" t="inlineStr">
        <is>
          <t>case studies</t>
        </is>
      </c>
      <c r="I131" s="77" t="inlineStr">
        <is>
          <t>undated</t>
        </is>
      </c>
      <c r="J131" s="77" t="inlineStr">
        <is>
          <t>2026-10-12</t>
        </is>
      </c>
      <c r="K131" s="77" t="inlineStr">
        <is>
          <t>search-summary paraphrase</t>
        </is>
      </c>
      <c r="L131" s="77" t="inlineStr">
        <is>
          <t>Case study of a single MSc student project with a lifestyle brand (WoolOvers) on warehouse/distribution decisions.</t>
        </is>
      </c>
    </row>
    <row r="132">
      <c r="A132" s="77" t="inlineStr">
        <is>
          <t>RG05-S05-R4</t>
        </is>
      </c>
      <c r="B132" s="77" t="inlineStr">
        <is>
          <t>RG05</t>
        </is>
      </c>
      <c r="C132" s="77" t="inlineStr">
        <is>
          <t>RG05-S05</t>
        </is>
      </c>
      <c r="D132" s="77" t="inlineStr">
        <is>
          <t>MSc Business Analytics Project (client-based)</t>
        </is>
      </c>
      <c r="E132" s="77" t="inlineStr">
        <is>
          <t>credit; status; eligibility</t>
        </is>
      </c>
      <c r="F132" s="77" t="inlineStr">
        <is>
          <t>https://www.durham.ac.uk/business/courses/business-analytics-g5k709/</t>
        </is>
      </c>
      <c r="G132" s="77" t="inlineStr">
        <is>
          <t>Business Analytics G5K709</t>
        </is>
      </c>
      <c r="H132" s="77" t="inlineStr">
        <is>
          <t>course page</t>
        </is>
      </c>
      <c r="I132" s="77" t="inlineStr">
        <is>
          <t>2026/27</t>
        </is>
      </c>
      <c r="J132" s="77" t="inlineStr">
        <is>
          <t>2026-10-12</t>
        </is>
      </c>
      <c r="K132" s="77" t="inlineStr">
        <is>
          <t>search-summary paraphrase</t>
        </is>
      </c>
      <c r="L132" s="77" t="inlineStr">
        <is>
          <t>One-year MSc with September 2026 and September 2027 starts; project worth one-third of marks.</t>
        </is>
      </c>
    </row>
    <row r="133">
      <c r="A133" s="77" t="inlineStr">
        <is>
          <t>RG05-S06-R1</t>
        </is>
      </c>
      <c r="B133" s="77" t="inlineStr">
        <is>
          <t>RG05</t>
        </is>
      </c>
      <c r="C133" s="77" t="inlineStr">
        <is>
          <t>RG05-S06</t>
        </is>
      </c>
      <c r="D133" s="77" t="inlineStr">
        <is>
          <t>Industrial Problem Solving (IPS)</t>
        </is>
      </c>
      <c r="E133" s="77" t="inlineStr">
        <is>
          <t>project; group; employer; duration</t>
        </is>
      </c>
      <c r="F133" s="77" t="inlineStr">
        <is>
          <t>https://sites.durham.ac.uk/eng-ipc/</t>
        </is>
      </c>
      <c r="G133" s="77" t="inlineStr">
        <is>
          <t>Industrial Partnership Committee (Industrial Problem Solving)</t>
        </is>
      </c>
      <c r="H133" s="77" t="inlineStr">
        <is>
          <t>IPS description</t>
        </is>
      </c>
      <c r="I133" s="77" t="inlineStr">
        <is>
          <t>c. 2019</t>
        </is>
      </c>
      <c r="J133" s="77" t="inlineStr">
        <is>
          <t>2026-10-12</t>
        </is>
      </c>
      <c r="K133" s="77" t="inlineStr">
        <is>
          <t>search-index extract (quoted)</t>
        </is>
      </c>
      <c r="L133" s="77" t="inlineStr">
        <is>
          <t>Two-week course for third-year Engineering students; second week students work on a 'live' project with a local North East company; projects carried out on company premises by a pair of students; present to host company and write a university report.</t>
        </is>
      </c>
    </row>
    <row r="134">
      <c r="A134" s="77" t="inlineStr">
        <is>
          <t>RG05-S06-R2</t>
        </is>
      </c>
      <c r="B134" s="77" t="inlineStr">
        <is>
          <t>RG05</t>
        </is>
      </c>
      <c r="C134" s="77" t="inlineStr">
        <is>
          <t>RG05-S06</t>
        </is>
      </c>
      <c r="D134" s="77" t="inlineStr">
        <is>
          <t>Industrial Problem Solving (IPS)</t>
        </is>
      </c>
      <c r="E134" s="77" t="inlineStr">
        <is>
          <t>employer; status</t>
        </is>
      </c>
      <c r="F134" s="77" t="inlineStr">
        <is>
          <t>https://sites.durham.ac.uk/eng-ipc/category/ipc-news/</t>
        </is>
      </c>
      <c r="G134" s="77" t="inlineStr">
        <is>
          <t>IPC News</t>
        </is>
      </c>
      <c r="H134" s="77" t="inlineStr">
        <is>
          <t>IPS session news</t>
        </is>
      </c>
      <c r="I134" s="77" t="inlineStr">
        <is>
          <t>2013-2019</t>
        </is>
      </c>
      <c r="J134" s="77" t="inlineStr">
        <is>
          <t>2026-10-12</t>
        </is>
      </c>
      <c r="K134" s="77" t="inlineStr">
        <is>
          <t>search-summary paraphrase</t>
        </is>
      </c>
      <c r="L134" s="77" t="inlineStr">
        <is>
          <t>Lists IPS sessions 2013-2019 with companies including Technip, Tracerco and Open Works Engineering.</t>
        </is>
      </c>
    </row>
    <row r="135">
      <c r="A135" s="77" t="inlineStr">
        <is>
          <t>RG05-S07-R1</t>
        </is>
      </c>
      <c r="B135" s="77" t="inlineStr">
        <is>
          <t>RG05</t>
        </is>
      </c>
      <c r="C135" s="77" t="inlineStr">
        <is>
          <t>RG05-S07</t>
        </is>
      </c>
      <c r="D135" s="77" t="inlineStr">
        <is>
          <t>Engineering Design (year-long team project, Years 2-3)</t>
        </is>
      </c>
      <c r="E135" s="77" t="inlineStr">
        <is>
          <t>project; group; employer; duration</t>
        </is>
      </c>
      <c r="F135" s="77" t="inlineStr">
        <is>
          <t>https://www.durham.ac.uk/departments/academic/engineering/undergraduate-study/courses/2nd-year-engineering/</t>
        </is>
      </c>
      <c r="G135" s="77" t="inlineStr">
        <is>
          <t>2nd Year Engineering</t>
        </is>
      </c>
      <c r="H135" s="77" t="inlineStr">
        <is>
          <t>Engineering Design</t>
        </is>
      </c>
      <c r="I135" s="77" t="inlineStr">
        <is>
          <t>undated</t>
        </is>
      </c>
      <c r="J135" s="77" t="inlineStr">
        <is>
          <t>2026-10-12</t>
        </is>
      </c>
      <c r="K135" s="77" t="inlineStr">
        <is>
          <t>search-summary paraphrase</t>
        </is>
      </c>
      <c r="L135" s="77" t="inlineStr">
        <is>
          <t>Engineering Design lasts the whole year; students work in teams to solve challenging engineering problems alongside industry professionals and academics; Scalextric land speed record example.</t>
        </is>
      </c>
    </row>
    <row r="136">
      <c r="A136" s="77" t="inlineStr">
        <is>
          <t>RG05-S07-R2</t>
        </is>
      </c>
      <c r="B136" s="77" t="inlineStr">
        <is>
          <t>RG05</t>
        </is>
      </c>
      <c r="C136" s="77" t="inlineStr">
        <is>
          <t>RG05-S07</t>
        </is>
      </c>
      <c r="D136" s="77" t="inlineStr">
        <is>
          <t>Engineering Design (year-long team project, Years 2-3)</t>
        </is>
      </c>
      <c r="E136" s="77" t="inlineStr">
        <is>
          <t>employer</t>
        </is>
      </c>
      <c r="F136" s="77" t="inlineStr">
        <is>
          <t>https://www.durham.ac.uk/study/courses/engineering-mechanical-h314/</t>
        </is>
      </c>
      <c r="G136" s="77" t="inlineStr">
        <is>
          <t>Engineering (Mechanical) H314</t>
        </is>
      </c>
      <c r="H136" s="77" t="inlineStr">
        <is>
          <t>course structure</t>
        </is>
      </c>
      <c r="I136" s="77" t="inlineStr">
        <is>
          <t>undated</t>
        </is>
      </c>
      <c r="J136" s="77" t="inlineStr">
        <is>
          <t>2026-10-12</t>
        </is>
      </c>
      <c r="K136" s="77" t="inlineStr">
        <is>
          <t>search-index extract (quoted)</t>
        </is>
      </c>
      <c r="L136" s="77" t="inlineStr">
        <is>
          <t>Major design project with guidance from an academic supervisor and an external (industrial) engineer.</t>
        </is>
      </c>
    </row>
    <row r="137">
      <c r="A137" s="77" t="inlineStr">
        <is>
          <t>RG06-S01-R1</t>
        </is>
      </c>
      <c r="B137" s="77" t="inlineStr">
        <is>
          <t>RG06</t>
        </is>
      </c>
      <c r="C137" s="77" t="inlineStr">
        <is>
          <t>RG06-S01</t>
        </is>
      </c>
      <c r="D137" s="77" t="inlineStr">
        <is>
          <t>Students as Change Agents (EFIE08003) / EFI Change Agents (EFIE08006)</t>
        </is>
      </c>
      <c r="E137" s="77" t="inlineStr">
        <is>
          <t>project; group; employer; eligibility; status</t>
        </is>
      </c>
      <c r="F137" s="77" t="inlineStr">
        <is>
          <t>https://careers.ed.ac.uk/build-experience/students-as-change-agents</t>
        </is>
      </c>
      <c r="G137" s="77" t="inlineStr">
        <is>
          <t>Students as Change Agents (Careers Service)</t>
        </is>
      </c>
      <c r="H137" s="77" t="inlineStr">
        <is>
          <t>main page</t>
        </is>
      </c>
      <c r="I137" s="77" t="inlineStr">
        <is>
          <t>undated</t>
        </is>
      </c>
      <c r="J137" s="77" t="inlineStr">
        <is>
          <t>2026-10-12</t>
        </is>
      </c>
      <c r="K137" s="77" t="inlineStr">
        <is>
          <t>search-index extract</t>
        </is>
      </c>
      <c r="L137" s="77" t="inlineStr">
        <is>
          <t>SACHA participants 'worked in interdisciplinary groups to tackle real-world challenges posed by organisations from the non-profit, public and private sectors'; page states the Careers co-curricular programme has paused and a SACHA elective for 1st and 2nd year students is available via EFI.</t>
        </is>
      </c>
    </row>
    <row r="138">
      <c r="A138" s="77" t="inlineStr">
        <is>
          <t>RG06-S01-R2</t>
        </is>
      </c>
      <c r="B138" s="77" t="inlineStr">
        <is>
          <t>RG06</t>
        </is>
      </c>
      <c r="C138" s="77" t="inlineStr">
        <is>
          <t>RG06-S01</t>
        </is>
      </c>
      <c r="D138" s="77" t="inlineStr">
        <is>
          <t>Students as Change Agents (EFIE08003) / EFI Change Agents (EFIE08006)</t>
        </is>
      </c>
      <c r="E138" s="77" t="inlineStr">
        <is>
          <t>project; group; employer; eligibility; credit</t>
        </is>
      </c>
      <c r="F138" s="77" t="inlineStr">
        <is>
          <t>https://www.drps.ed.ac.uk/24-25/dpt/cxefie08006.htm</t>
        </is>
      </c>
      <c r="G138" s="77" t="inlineStr">
        <is>
          <t>Course Catalogue - EFI Change Agents (EFIE08006)</t>
        </is>
      </c>
      <c r="H138" s="77" t="inlineStr">
        <is>
          <t>course description/assessment</t>
        </is>
      </c>
      <c r="I138" s="77" t="inlineStr">
        <is>
          <t>2024/25</t>
        </is>
      </c>
      <c r="J138" s="77" t="inlineStr">
        <is>
          <t>2026-10-12</t>
        </is>
      </c>
      <c r="K138" s="77" t="inlineStr">
        <is>
          <t>search-index extract</t>
        </is>
      </c>
      <c r="L138" s="77" t="inlineStr">
        <is>
          <t>Students work in a small team to explore a challenge proposed by an external partner and produce outputs and recommendations; group output presented to the partner; group coaches meet fortnightly; coursework only; entry lists availability to EFI Interdisciplinary Futures (MA) students.</t>
        </is>
      </c>
    </row>
    <row r="139">
      <c r="A139" s="77" t="inlineStr">
        <is>
          <t>RG06-S01-R3</t>
        </is>
      </c>
      <c r="B139" s="77" t="inlineStr">
        <is>
          <t>RG06</t>
        </is>
      </c>
      <c r="C139" s="77" t="inlineStr">
        <is>
          <t>RG06-S01</t>
        </is>
      </c>
      <c r="D139" s="77" t="inlineStr">
        <is>
          <t>Students as Change Agents (EFIE08003) / EFI Change Agents (EFIE08006)</t>
        </is>
      </c>
      <c r="E139" s="77" t="inlineStr">
        <is>
          <t>group; credit; status</t>
        </is>
      </c>
      <c r="F139" s="77" t="inlineStr">
        <is>
          <t>https://www.drps.ed.ac.uk/25-26/dpt/cxefie08006.htm</t>
        </is>
      </c>
      <c r="G139" s="77" t="inlineStr">
        <is>
          <t>Course Catalogue - EFI Change Agents (EFIE08006) - DRPS</t>
        </is>
      </c>
      <c r="H139" s="77" t="inlineStr">
        <is>
          <t>2025/26 entry</t>
        </is>
      </c>
      <c r="I139" s="77" t="inlineStr">
        <is>
          <t>2025/26</t>
        </is>
      </c>
      <c r="J139" s="77" t="inlineStr">
        <is>
          <t>2026-10-12</t>
        </is>
      </c>
      <c r="K139" s="77" t="inlineStr">
        <is>
          <t>search-index extract</t>
        </is>
      </c>
      <c r="L139" s="77" t="inlineStr">
        <is>
          <t>20-credit pass/fail; one student submits for the whole group with the same result for all; teams choose output format; 1000-word individual reflection; example 2025/26 challenge on attainment gap for under-12s.</t>
        </is>
      </c>
    </row>
    <row r="140">
      <c r="A140" s="77" t="inlineStr">
        <is>
          <t>RG06-S01-R4</t>
        </is>
      </c>
      <c r="B140" s="77" t="inlineStr">
        <is>
          <t>RG06</t>
        </is>
      </c>
      <c r="C140" s="77" t="inlineStr">
        <is>
          <t>RG06-S01</t>
        </is>
      </c>
      <c r="D140" s="77" t="inlineStr">
        <is>
          <t>Students as Change Agents (EFIE08003) / EFI Change Agents (EFIE08006)</t>
        </is>
      </c>
      <c r="E140" s="77" t="inlineStr">
        <is>
          <t>reach; status; credit</t>
        </is>
      </c>
      <c r="F140" s="77" t="inlineStr">
        <is>
          <t>https://www.drps.ed.ac.uk/25-26/dpt/cx_sb_efie.htm</t>
        </is>
      </c>
      <c r="G140" s="77" t="inlineStr">
        <is>
          <t>Course Catalogue - Edinburgh Futures Institute - DRPS</t>
        </is>
      </c>
      <c r="H140" s="77" t="inlineStr">
        <is>
          <t>course list</t>
        </is>
      </c>
      <c r="I140" s="77" t="inlineStr">
        <is>
          <t>2025/26</t>
        </is>
      </c>
      <c r="J140" s="77" t="inlineStr">
        <is>
          <t>2026-10-12</t>
        </is>
      </c>
      <c r="K140" s="77" t="inlineStr">
        <is>
          <t>search-summary paraphrase</t>
        </is>
      </c>
      <c r="L140" s="77" t="inlineStr">
        <is>
          <t>EFIE08003 Students as Change Agents listed Semester 2, 20 credits, availability SV1 (as relayed in search summary).</t>
        </is>
      </c>
    </row>
    <row r="141">
      <c r="A141" s="77" t="inlineStr">
        <is>
          <t>RG06-S01-R5</t>
        </is>
      </c>
      <c r="B141" s="77" t="inlineStr">
        <is>
          <t>RG06</t>
        </is>
      </c>
      <c r="C141" s="77" t="inlineStr">
        <is>
          <t>RG06-S01</t>
        </is>
      </c>
      <c r="D141" s="77" t="inlineStr">
        <is>
          <t>Students as Change Agents (EFIE08003) / EFI Change Agents (EFIE08006)</t>
        </is>
      </c>
      <c r="E141" s="77" t="inlineStr">
        <is>
          <t>project; employer; eligibility</t>
        </is>
      </c>
      <c r="F141" s="77" t="inlineStr">
        <is>
          <t>https://www.drps.ed.ac.uk/21-22/dpt/cxefie08003.htm</t>
        </is>
      </c>
      <c r="G141" s="77" t="inlineStr">
        <is>
          <t>Course Catalogue - Students as Change Agents (EFIE08003)</t>
        </is>
      </c>
      <c r="H141" s="77" t="inlineStr">
        <is>
          <t>course description</t>
        </is>
      </c>
      <c r="I141" s="77" t="inlineStr">
        <is>
          <t>2021/22</t>
        </is>
      </c>
      <c r="J141" s="77" t="inlineStr">
        <is>
          <t>2026-10-12</t>
        </is>
      </c>
      <c r="K141" s="77" t="inlineStr">
        <is>
          <t>search-index extract</t>
        </is>
      </c>
      <c r="L141" s="77" t="inlineStr">
        <is>
          <t>External partner's live project; teams propose solutions; final output a short video and business-style report; SCQF level 8; pre-requisites none.</t>
        </is>
      </c>
    </row>
    <row r="142">
      <c r="A142" s="77" t="inlineStr">
        <is>
          <t>RG06-S02-R1</t>
        </is>
      </c>
      <c r="B142" s="77" t="inlineStr">
        <is>
          <t>RG06</t>
        </is>
      </c>
      <c r="C142" s="77" t="inlineStr">
        <is>
          <t>RG06-S02</t>
        </is>
      </c>
      <c r="D142" s="77" t="inlineStr">
        <is>
          <t>Students as Change Agents: Careers Service co-curricular route</t>
        </is>
      </c>
      <c r="E142" s="77" t="inlineStr">
        <is>
          <t>project; group; employer; status</t>
        </is>
      </c>
      <c r="F142" s="77" t="inlineStr">
        <is>
          <t>https://careers.ed.ac.uk/build-experience/students-as-change-agents</t>
        </is>
      </c>
      <c r="G142" s="77" t="inlineStr">
        <is>
          <t>Students as Change Agents (Careers Service)</t>
        </is>
      </c>
      <c r="H142" s="77" t="inlineStr">
        <is>
          <t>main page</t>
        </is>
      </c>
      <c r="I142" s="77" t="inlineStr">
        <is>
          <t>undated</t>
        </is>
      </c>
      <c r="J142" s="77" t="inlineStr">
        <is>
          <t>2026-10-12</t>
        </is>
      </c>
      <c r="K142" s="77" t="inlineStr">
        <is>
          <t>search-index extract</t>
        </is>
      </c>
      <c r="L142" s="77" t="inlineStr">
        <is>
          <t>Past-tense description: 'worked in interdisciplinary groups to tackle real-world challenges posed by organisations from the non-profit, public and private sectors'; 'living lab'; Careers co-curricular programme paused.</t>
        </is>
      </c>
    </row>
    <row r="143">
      <c r="A143" s="77" t="inlineStr">
        <is>
          <t>RG06-S03-R1</t>
        </is>
      </c>
      <c r="B143" s="77" t="inlineStr">
        <is>
          <t>RG06</t>
        </is>
      </c>
      <c r="C143" s="77" t="inlineStr">
        <is>
          <t>RG06-S03</t>
        </is>
      </c>
      <c r="D143" s="77" t="inlineStr">
        <is>
          <t>Management Consultancy in Practice: Innovation and Entrepreneurship (MSc Entrepreneurship and Innovation)</t>
        </is>
      </c>
      <c r="E143" s="77" t="inlineStr">
        <is>
          <t>project; group; employer; duration; status</t>
        </is>
      </c>
      <c r="F143" s="77" t="inlineStr">
        <is>
          <t>https://www.business-school.ed.ac.uk/collaborate/student-projects/management-consultancy-practice</t>
        </is>
      </c>
      <c r="G143" s="77" t="inlineStr">
        <is>
          <t>Management Consultancy in Practice project</t>
        </is>
      </c>
      <c r="H143" s="77" t="inlineStr">
        <is>
          <t>main page</t>
        </is>
      </c>
      <c r="I143" s="77" t="inlineStr">
        <is>
          <t>undated</t>
        </is>
      </c>
      <c r="J143" s="77" t="inlineStr">
        <is>
          <t>2026-10-12</t>
        </is>
      </c>
      <c r="K143" s="77" t="inlineStr">
        <is>
          <t>search-index extract</t>
        </is>
      </c>
      <c r="L143" s="77" t="inlineStr">
        <is>
          <t>Projects January to March; student consultancy teams normally four; no charge; proposal deadline 1 October; clients name contact, attend scoping meeting and final presentation; deliverables consultancy report, strategic options, recommendations, presentation.</t>
        </is>
      </c>
    </row>
    <row r="144">
      <c r="A144" s="77" t="inlineStr">
        <is>
          <t>RG06-S03-R2</t>
        </is>
      </c>
      <c r="B144" s="77" t="inlineStr">
        <is>
          <t>RG06</t>
        </is>
      </c>
      <c r="C144" s="77" t="inlineStr">
        <is>
          <t>RG06-S03</t>
        </is>
      </c>
      <c r="D144" s="77" t="inlineStr">
        <is>
          <t>Management Consultancy in Practice: Innovation and Entrepreneurship (MSc Entrepreneurship and Innovation)</t>
        </is>
      </c>
      <c r="E144" s="77" t="inlineStr">
        <is>
          <t>project; group; employer; credit</t>
        </is>
      </c>
      <c r="F144" s="77" t="inlineStr">
        <is>
          <t>https://www.drps.ed.ac.uk/21-22/dpt/cxcmse11519.htm</t>
        </is>
      </c>
      <c r="G144" s="77" t="inlineStr">
        <is>
          <t>Course Catalogue - Management Consultancy in Practice: Innovation and Entrepreneurship (CMSE11519)</t>
        </is>
      </c>
      <c r="H144" s="77" t="inlineStr">
        <is>
          <t>description/assessment</t>
        </is>
      </c>
      <c r="I144" s="77" t="inlineStr">
        <is>
          <t>2021/22</t>
        </is>
      </c>
      <c r="J144" s="77" t="inlineStr">
        <is>
          <t>2026-10-12</t>
        </is>
      </c>
      <c r="K144" s="77" t="inlineStr">
        <is>
          <t>search-index extract</t>
        </is>
      </c>
      <c r="L144" s="77" t="inlineStr">
        <is>
          <t>Students engage with real business clients; projects defined around an innovation/venture growth problem with private, public and non-profit clients; 30% individual, 70% group coursework.</t>
        </is>
      </c>
    </row>
    <row r="145">
      <c r="A145" s="77" t="inlineStr">
        <is>
          <t>RG06-S03-R3</t>
        </is>
      </c>
      <c r="B145" s="77" t="inlineStr">
        <is>
          <t>RG06</t>
        </is>
      </c>
      <c r="C145" s="77" t="inlineStr">
        <is>
          <t>RG06-S03</t>
        </is>
      </c>
      <c r="D145" s="77" t="inlineStr">
        <is>
          <t>Management Consultancy in Practice: Innovation and Entrepreneurship (MSc Entrepreneurship and Innovation)</t>
        </is>
      </c>
      <c r="E145" s="77" t="inlineStr">
        <is>
          <t>participation; credit</t>
        </is>
      </c>
      <c r="F145" s="77" t="inlineStr">
        <is>
          <t>https://www.drps.ed.ac.uk/22-23/dpt/ptmscentin1f.htm</t>
        </is>
      </c>
      <c r="G145" s="77" t="inlineStr">
        <is>
          <t>DPT: Entrepreneurship and Innovation (MSc)</t>
        </is>
      </c>
      <c r="H145" s="77" t="inlineStr">
        <is>
          <t>programme table</t>
        </is>
      </c>
      <c r="I145" s="77" t="inlineStr">
        <is>
          <t>2022/23</t>
        </is>
      </c>
      <c r="J145" s="77" t="inlineStr">
        <is>
          <t>2026-10-12</t>
        </is>
      </c>
      <c r="K145" s="77" t="inlineStr">
        <is>
          <t>search-index extract</t>
        </is>
      </c>
      <c r="L145" s="77" t="inlineStr">
        <is>
          <t>Management Consultancy in Practice: Innovation and Entrepreneurship, CMSE11547, 20 credits, compulsory, Semester 2.</t>
        </is>
      </c>
    </row>
    <row r="146">
      <c r="A146" s="77" t="inlineStr">
        <is>
          <t>RG06-S04-R1</t>
        </is>
      </c>
      <c r="B146" s="77" t="inlineStr">
        <is>
          <t>RG06</t>
        </is>
      </c>
      <c r="C146" s="77" t="inlineStr">
        <is>
          <t>RG06-S04</t>
        </is>
      </c>
      <c r="D146" s="77" t="inlineStr">
        <is>
          <t>Sustainable Business Consultancy Projects (MSc Global Strategy and Sustainability)</t>
        </is>
      </c>
      <c r="E146" s="77" t="inlineStr">
        <is>
          <t>project; group; employer; duration</t>
        </is>
      </c>
      <c r="F146" s="77" t="inlineStr">
        <is>
          <t>https://www.business-school.ed.ac.uk/collaborate/student-projects/sustainable-business-consultancy</t>
        </is>
      </c>
      <c r="G146" s="77" t="inlineStr">
        <is>
          <t>Sustainable Business Consultancy Project</t>
        </is>
      </c>
      <c r="H146" s="77" t="inlineStr">
        <is>
          <t>main page</t>
        </is>
      </c>
      <c r="I146" s="77" t="inlineStr">
        <is>
          <t>undated</t>
        </is>
      </c>
      <c r="J146" s="77" t="inlineStr">
        <is>
          <t>2026-10-12</t>
        </is>
      </c>
      <c r="K146" s="77" t="inlineStr">
        <is>
          <t>search-summary paraphrase</t>
        </is>
      </c>
      <c r="L146" s="77" t="inlineStr">
        <is>
          <t>Teams of 5-6 students; real challenge from private or public organisation; ten-week period; written report and oral presentation; no financial payment.</t>
        </is>
      </c>
    </row>
    <row r="147">
      <c r="A147" s="77" t="inlineStr">
        <is>
          <t>RG06-S04-R2</t>
        </is>
      </c>
      <c r="B147" s="77" t="inlineStr">
        <is>
          <t>RG06</t>
        </is>
      </c>
      <c r="C147" s="77" t="inlineStr">
        <is>
          <t>RG06-S04</t>
        </is>
      </c>
      <c r="D147" s="77" t="inlineStr">
        <is>
          <t>Sustainable Business Consultancy Projects (MSc Global Strategy and Sustainability)</t>
        </is>
      </c>
      <c r="E147" s="77" t="inlineStr">
        <is>
          <t>status; group</t>
        </is>
      </c>
      <c r="F147" s="77" t="inlineStr">
        <is>
          <t>https://www.drps.ed.ac.uk/26-27/dpt/cxcmse11573.htm</t>
        </is>
      </c>
      <c r="G147" s="77" t="inlineStr">
        <is>
          <t>Course Catalogue - Sustainable Business Consultancy Projects (CMSE11573)</t>
        </is>
      </c>
      <c r="H147" s="77" t="inlineStr">
        <is>
          <t>catalogue entry</t>
        </is>
      </c>
      <c r="I147" s="77" t="inlineStr">
        <is>
          <t>2026/27</t>
        </is>
      </c>
      <c r="J147" s="77" t="inlineStr">
        <is>
          <t>2026-10-12</t>
        </is>
      </c>
      <c r="K147" s="77" t="inlineStr">
        <is>
          <t>search-summary paraphrase</t>
        </is>
      </c>
      <c r="L147" s="77" t="inlineStr">
        <is>
          <t>2026/27 catalogue entry exists; course described as group consultancy for private/public clients, no fee.</t>
        </is>
      </c>
    </row>
    <row r="148">
      <c r="A148" s="77" t="inlineStr">
        <is>
          <t>RG06-S05-R1</t>
        </is>
      </c>
      <c r="B148" s="77" t="inlineStr">
        <is>
          <t>RG06</t>
        </is>
      </c>
      <c r="C148" s="77" t="inlineStr">
        <is>
          <t>RG06-S05</t>
        </is>
      </c>
      <c r="D148" s="77" t="inlineStr">
        <is>
          <t>Climate Change Consulting Project (MSc Climate Change Finance and Investment)</t>
        </is>
      </c>
      <c r="E148" s="77" t="inlineStr">
        <is>
          <t>project; group; employer</t>
        </is>
      </c>
      <c r="F148" s="77" t="inlineStr">
        <is>
          <t>https://www.business-school.ed.ac.uk/collaborate/student-projects/carbon-finance</t>
        </is>
      </c>
      <c r="G148" s="77" t="inlineStr">
        <is>
          <t>Climate Change Consulting Project</t>
        </is>
      </c>
      <c r="H148" s="77" t="inlineStr">
        <is>
          <t>main page</t>
        </is>
      </c>
      <c r="I148" s="77" t="inlineStr">
        <is>
          <t>undated</t>
        </is>
      </c>
      <c r="J148" s="77" t="inlineStr">
        <is>
          <t>2026-10-12</t>
        </is>
      </c>
      <c r="K148" s="77" t="inlineStr">
        <is>
          <t>search-summary paraphrase</t>
        </is>
      </c>
      <c r="L148" s="77" t="inlineStr">
        <is>
          <t>Students matched in groups of five to six to a client's climate challenge; clients private or public-sector, receive report and presentation; no payment.</t>
        </is>
      </c>
    </row>
    <row r="149">
      <c r="A149" s="77" t="inlineStr">
        <is>
          <t>RG06-S05-R2</t>
        </is>
      </c>
      <c r="B149" s="77" t="inlineStr">
        <is>
          <t>RG06</t>
        </is>
      </c>
      <c r="C149" s="77" t="inlineStr">
        <is>
          <t>RG06-S05</t>
        </is>
      </c>
      <c r="D149" s="77" t="inlineStr">
        <is>
          <t>Climate Change Consulting Project (MSc Climate Change Finance and Investment)</t>
        </is>
      </c>
      <c r="E149" s="77" t="inlineStr">
        <is>
          <t>participation; credit; status</t>
        </is>
      </c>
      <c r="F149" s="77" t="inlineStr">
        <is>
          <t>https://www.drps.ed.ac.uk/23-24/dpt/ptmscclcfi1f.htm</t>
        </is>
      </c>
      <c r="G149" s="77" t="inlineStr">
        <is>
          <t>DPT: Climate Change Finance &amp; Investment (MSc)</t>
        </is>
      </c>
      <c r="H149" s="77" t="inlineStr">
        <is>
          <t>programme table</t>
        </is>
      </c>
      <c r="I149" s="77" t="inlineStr">
        <is>
          <t>2023/24</t>
        </is>
      </c>
      <c r="J149" s="77" t="inlineStr">
        <is>
          <t>2026-10-12</t>
        </is>
      </c>
      <c r="K149" s="77" t="inlineStr">
        <is>
          <t>search-summary paraphrase</t>
        </is>
      </c>
      <c r="L149" s="77" t="inlineStr">
        <is>
          <t>Course compulsory, 20 credits, Semester 2 (as relayed in search summary).</t>
        </is>
      </c>
    </row>
    <row r="150">
      <c r="A150" s="77" t="inlineStr">
        <is>
          <t>RG06-S06-R1</t>
        </is>
      </c>
      <c r="B150" s="77" t="inlineStr">
        <is>
          <t>RG06</t>
        </is>
      </c>
      <c r="C150" s="77" t="inlineStr">
        <is>
          <t>RG06-S06</t>
        </is>
      </c>
      <c r="D150" s="77" t="inlineStr">
        <is>
          <t>Project Management in Business Analysis (MSc Management) consultancy project</t>
        </is>
      </c>
      <c r="E150" s="77" t="inlineStr">
        <is>
          <t>project; group; employer</t>
        </is>
      </c>
      <c r="F150" s="77" t="inlineStr">
        <is>
          <t>https://www.business-school.ed.ac.uk/collaborate/student-projects/project-management-in-business-analysis</t>
        </is>
      </c>
      <c r="G150" s="77" t="inlineStr">
        <is>
          <t>Project Management in Business Analysis Consultancy Project</t>
        </is>
      </c>
      <c r="H150" s="77" t="inlineStr">
        <is>
          <t>main page</t>
        </is>
      </c>
      <c r="I150" s="77" t="inlineStr">
        <is>
          <t>undated</t>
        </is>
      </c>
      <c r="J150" s="77" t="inlineStr">
        <is>
          <t>2026-10-12</t>
        </is>
      </c>
      <c r="K150" s="77" t="inlineStr">
        <is>
          <t>search-summary paraphrase</t>
        </is>
      </c>
      <c r="L150" s="77" t="inlineStr">
        <is>
          <t>10-week project for a private or public sector organisation; groups of four to five; up to 72 hours each; written report and oral presentation to client.</t>
        </is>
      </c>
    </row>
    <row r="151">
      <c r="A151" s="77" t="inlineStr">
        <is>
          <t>RG06-S06-R2</t>
        </is>
      </c>
      <c r="B151" s="77" t="inlineStr">
        <is>
          <t>RG06</t>
        </is>
      </c>
      <c r="C151" s="77" t="inlineStr">
        <is>
          <t>RG06-S06</t>
        </is>
      </c>
      <c r="D151" s="77" t="inlineStr">
        <is>
          <t>Project Management in Business Analysis (MSc Management) consultancy project</t>
        </is>
      </c>
      <c r="E151" s="77" t="inlineStr">
        <is>
          <t>project; group; credit; status</t>
        </is>
      </c>
      <c r="F151" s="77" t="inlineStr">
        <is>
          <t>https://www.drps.ed.ac.uk/25-26/dpt/cxcmse11452.htm</t>
        </is>
      </c>
      <c r="G151" s="77" t="inlineStr">
        <is>
          <t>Course Catalogue - Project Management in Business Analysis (CMSE11452)</t>
        </is>
      </c>
      <c r="H151" s="77" t="inlineStr">
        <is>
          <t>description/assessment</t>
        </is>
      </c>
      <c r="I151" s="77" t="inlineStr">
        <is>
          <t>2025/26</t>
        </is>
      </c>
      <c r="J151" s="77" t="inlineStr">
        <is>
          <t>2026-10-12</t>
        </is>
      </c>
      <c r="K151" s="77" t="inlineStr">
        <is>
          <t>search-summary paraphrase</t>
        </is>
      </c>
      <c r="L151" s="77" t="inlineStr">
        <is>
          <t>Teams of 4 to 5; topic open and agreed at start; lecturers provide a portfolio but students may develop their own; ~97 hours; 50% group coursework, 50% exam.</t>
        </is>
      </c>
    </row>
    <row r="152">
      <c r="A152" s="77" t="inlineStr">
        <is>
          <t>RG06-S07-R1</t>
        </is>
      </c>
      <c r="B152" s="77" t="inlineStr">
        <is>
          <t>RG06</t>
        </is>
      </c>
      <c r="C152" s="77" t="inlineStr">
        <is>
          <t>RG06-S07</t>
        </is>
      </c>
      <c r="D152" s="77" t="inlineStr">
        <is>
          <t>Enterprise Consultancy Project (BUST10120), Undergraduate Enterprise Consultancy</t>
        </is>
      </c>
      <c r="E152" s="77" t="inlineStr">
        <is>
          <t>project; group; employer; credit; status</t>
        </is>
      </c>
      <c r="F152" s="77" t="inlineStr">
        <is>
          <t>https://www.drps.ed.ac.uk/25-26/dpt/cxbust10120.htm</t>
        </is>
      </c>
      <c r="G152" s="77" t="inlineStr">
        <is>
          <t>Course Catalogue - Enterprise Consultancy Project (BUST10120)</t>
        </is>
      </c>
      <c r="H152" s="77" t="inlineStr">
        <is>
          <t>description/assessment</t>
        </is>
      </c>
      <c r="I152" s="77" t="inlineStr">
        <is>
          <t>2025/26</t>
        </is>
      </c>
      <c r="J152" s="77" t="inlineStr">
        <is>
          <t>2026-10-12</t>
        </is>
      </c>
      <c r="K152" s="77" t="inlineStr">
        <is>
          <t>search-summary paraphrase</t>
        </is>
      </c>
      <c r="L152" s="77" t="inlineStr">
        <is>
          <t>Consultancy assignment for owner-manager of a new local business; client recruited before course; teams of 3-6; 45% group report to the company, 15% presentation to company; 20 credits; Semester 2.</t>
        </is>
      </c>
    </row>
    <row r="153">
      <c r="A153" s="77" t="inlineStr">
        <is>
          <t>RG06-S07-R2</t>
        </is>
      </c>
      <c r="B153" s="77" t="inlineStr">
        <is>
          <t>RG06</t>
        </is>
      </c>
      <c r="C153" s="77" t="inlineStr">
        <is>
          <t>RG06-S07</t>
        </is>
      </c>
      <c r="D153" s="77" t="inlineStr">
        <is>
          <t>Enterprise Consultancy Project (BUST10120), Undergraduate Enterprise Consultancy</t>
        </is>
      </c>
      <c r="E153" s="77" t="inlineStr">
        <is>
          <t>project; duration</t>
        </is>
      </c>
      <c r="F153" s="77" t="inlineStr">
        <is>
          <t>https://www.business-school.ed.ac.uk/collaborate/student-projects/undergraduate-enterprise</t>
        </is>
      </c>
      <c r="G153" s="77" t="inlineStr">
        <is>
          <t>Undergraduate Enterprise Consultancy Project</t>
        </is>
      </c>
      <c r="H153" s="77" t="inlineStr">
        <is>
          <t>main page</t>
        </is>
      </c>
      <c r="I153" s="77" t="inlineStr">
        <is>
          <t>undated</t>
        </is>
      </c>
      <c r="J153" s="77" t="inlineStr">
        <is>
          <t>2026-10-12</t>
        </is>
      </c>
      <c r="K153" s="77" t="inlineStr">
        <is>
          <t>search-summary paraphrase</t>
        </is>
      </c>
      <c r="L153" s="77" t="inlineStr">
        <is>
          <t>Final-year students; 12-week project; consultancy report and client presentation.</t>
        </is>
      </c>
    </row>
    <row r="154">
      <c r="A154" s="77" t="inlineStr">
        <is>
          <t>RG06-S08-R1</t>
        </is>
      </c>
      <c r="B154" s="77" t="inlineStr">
        <is>
          <t>RG06</t>
        </is>
      </c>
      <c r="C154" s="77" t="inlineStr">
        <is>
          <t>RG06-S08</t>
        </is>
      </c>
      <c r="D154" s="77" t="inlineStr">
        <is>
          <t>MBA Consultancy Project (Consultancy Project (MBA), CMSE11224)</t>
        </is>
      </c>
      <c r="E154" s="77" t="inlineStr">
        <is>
          <t>project; group; employer; duration</t>
        </is>
      </c>
      <c r="F154" s="77" t="inlineStr">
        <is>
          <t>https://www.business-school.ed.ac.uk/collaborate/student-projects/mba-consultancy</t>
        </is>
      </c>
      <c r="G154" s="77" t="inlineStr">
        <is>
          <t>MBA Consultancy Project</t>
        </is>
      </c>
      <c r="H154" s="77" t="inlineStr">
        <is>
          <t>main page</t>
        </is>
      </c>
      <c r="I154" s="77" t="inlineStr">
        <is>
          <t>undated</t>
        </is>
      </c>
      <c r="J154" s="77" t="inlineStr">
        <is>
          <t>2026-10-12</t>
        </is>
      </c>
      <c r="K154" s="77" t="inlineStr">
        <is>
          <t>search-summary paraphrase</t>
        </is>
      </c>
      <c r="L154" s="77" t="inlineStr">
        <is>
          <t>Small teams deliver expert consultancy on a strategic business issue; proposals due 31 January; work April-June; report and presentation mid-June.</t>
        </is>
      </c>
    </row>
    <row r="155">
      <c r="A155" s="77" t="inlineStr">
        <is>
          <t>RG06-S08-R2</t>
        </is>
      </c>
      <c r="B155" s="77" t="inlineStr">
        <is>
          <t>RG06</t>
        </is>
      </c>
      <c r="C155" s="77" t="inlineStr">
        <is>
          <t>RG06-S08</t>
        </is>
      </c>
      <c r="D155" s="77" t="inlineStr">
        <is>
          <t>MBA Consultancy Project (Consultancy Project (MBA), CMSE11224)</t>
        </is>
      </c>
      <c r="E155" s="77" t="inlineStr">
        <is>
          <t>project; group; employer</t>
        </is>
      </c>
      <c r="F155" s="77" t="inlineStr">
        <is>
          <t>https://www-test.drps.ed.ac.uk/16-17/dpt/cxcmse11224.htm</t>
        </is>
      </c>
      <c r="G155" s="77" t="inlineStr">
        <is>
          <t>Postgraduate Course: Consultancy Project (MBA) (CMSE11224)</t>
        </is>
      </c>
      <c r="H155" s="77" t="inlineStr">
        <is>
          <t>description</t>
        </is>
      </c>
      <c r="I155" s="77" t="inlineStr">
        <is>
          <t>2016/17</t>
        </is>
      </c>
      <c r="J155" s="77" t="inlineStr">
        <is>
          <t>2026-10-12</t>
        </is>
      </c>
      <c r="K155" s="77" t="inlineStr">
        <is>
          <t>search-summary paraphrase</t>
        </is>
      </c>
      <c r="L155" s="77" t="inlineStr">
        <is>
          <t>Consultancy assignment in multi-cultural teams; report and presentation delivered to clients; group report 50%, group presentation.</t>
        </is>
      </c>
    </row>
    <row r="156">
      <c r="A156" s="77" t="inlineStr">
        <is>
          <t>RG06-S09-R1</t>
        </is>
      </c>
      <c r="B156" s="77" t="inlineStr">
        <is>
          <t>RG06</t>
        </is>
      </c>
      <c r="C156" s="77" t="inlineStr">
        <is>
          <t>RG06-S09</t>
        </is>
      </c>
      <c r="D156" s="77" t="inlineStr">
        <is>
          <t>MBA Charity Consultancy Week</t>
        </is>
      </c>
      <c r="E156" s="77" t="inlineStr">
        <is>
          <t>project; group; employer; duration</t>
        </is>
      </c>
      <c r="F156" s="77" t="inlineStr">
        <is>
          <t>https://www.business-school.ed.ac.uk/collaborate/student-projects/mba-charity-consultancy-week</t>
        </is>
      </c>
      <c r="G156" s="77" t="inlineStr">
        <is>
          <t>MBA Charity Consultancy Week</t>
        </is>
      </c>
      <c r="H156" s="77" t="inlineStr">
        <is>
          <t>main page</t>
        </is>
      </c>
      <c r="I156" s="77" t="inlineStr">
        <is>
          <t>undated</t>
        </is>
      </c>
      <c r="J156" s="77" t="inlineStr">
        <is>
          <t>2026-10-12</t>
        </is>
      </c>
      <c r="K156" s="77" t="inlineStr">
        <is>
          <t>search-summary paraphrase</t>
        </is>
      </c>
      <c r="L156" s="77" t="inlineStr">
        <is>
          <t>Consultancy Week at end of October; small groups on an issue facing a specific charity; charity proposals by mid-August; teams assigned early October.</t>
        </is>
      </c>
    </row>
    <row r="157">
      <c r="A157" s="77" t="inlineStr">
        <is>
          <t>RG06-S10-R1</t>
        </is>
      </c>
      <c r="B157" s="77" t="inlineStr">
        <is>
          <t>RG06</t>
        </is>
      </c>
      <c r="C157" s="77" t="inlineStr">
        <is>
          <t>RG06-S10</t>
        </is>
      </c>
      <c r="D157" s="77" t="inlineStr">
        <is>
          <t>Client Consulting Project (EFIE11118), MSc Creative Industries</t>
        </is>
      </c>
      <c r="E157" s="77" t="inlineStr">
        <is>
          <t>project; group; employer; eligibility; credit; status</t>
        </is>
      </c>
      <c r="F157" s="77" t="inlineStr">
        <is>
          <t>https://www.drps.ed.ac.uk/25-26/dpt/cxefie11118.htm</t>
        </is>
      </c>
      <c r="G157" s="77" t="inlineStr">
        <is>
          <t>Postgraduate Course: Client Consulting Project (EFIE11118)</t>
        </is>
      </c>
      <c r="H157" s="77" t="inlineStr">
        <is>
          <t>description/assessment</t>
        </is>
      </c>
      <c r="I157" s="77" t="inlineStr">
        <is>
          <t>2025/26</t>
        </is>
      </c>
      <c r="J157" s="77" t="inlineStr">
        <is>
          <t>2026-10-12</t>
        </is>
      </c>
      <c r="K157" s="77" t="inlineStr">
        <is>
          <t>search-index extract</t>
        </is>
      </c>
      <c r="L157" s="77" t="inlineStr">
        <is>
          <t>Student teams apply strategy, law and data literacy to a challenge from a cultural organisation; Team Client Report 85% (max 7000 words); Individual Peer Review 15%; summative feedback from instructors and client; compulsory in MSc Creative Industries.</t>
        </is>
      </c>
    </row>
    <row r="158">
      <c r="A158" s="77" t="inlineStr">
        <is>
          <t>RG06-S11-R1</t>
        </is>
      </c>
      <c r="B158" s="77" t="inlineStr">
        <is>
          <t>RG06</t>
        </is>
      </c>
      <c r="C158" s="77" t="inlineStr">
        <is>
          <t>RG06-S11</t>
        </is>
      </c>
      <c r="D158" s="77" t="inlineStr">
        <is>
          <t>Creative Industries Team Project (EFIE11120)</t>
        </is>
      </c>
      <c r="E158" s="77" t="inlineStr">
        <is>
          <t>project; group; employer; credit</t>
        </is>
      </c>
      <c r="F158" s="77" t="inlineStr">
        <is>
          <t>https://www-test.drps.ed.ac.uk/24-25/dpt/cxefie11120.htm</t>
        </is>
      </c>
      <c r="G158" s="77" t="inlineStr">
        <is>
          <t>Course Catalogue - Creative Industries Team Project (EFIE11120)</t>
        </is>
      </c>
      <c r="H158" s="77" t="inlineStr">
        <is>
          <t>description/assessment</t>
        </is>
      </c>
      <c r="I158" s="77" t="inlineStr">
        <is>
          <t>2024/25</t>
        </is>
      </c>
      <c r="J158" s="77" t="inlineStr">
        <is>
          <t>2026-10-12</t>
        </is>
      </c>
      <c r="K158" s="77" t="inlineStr">
        <is>
          <t>search-summary paraphrase</t>
        </is>
      </c>
      <c r="L158" s="77" t="inlineStr">
        <is>
          <t>Interdisciplinary teams on a client problem or new product, service or event; clients submit one-page briefs in May; teams matched; report 60%, peer review 15%.</t>
        </is>
      </c>
    </row>
    <row r="159">
      <c r="A159" s="77" t="inlineStr">
        <is>
          <t>RG06-S11-R2</t>
        </is>
      </c>
      <c r="B159" s="77" t="inlineStr">
        <is>
          <t>RG06</t>
        </is>
      </c>
      <c r="C159" s="77" t="inlineStr">
        <is>
          <t>RG06-S11</t>
        </is>
      </c>
      <c r="D159" s="77" t="inlineStr">
        <is>
          <t>Creative Industries Team Project (EFIE11120)</t>
        </is>
      </c>
      <c r="E159" s="77" t="inlineStr">
        <is>
          <t>participation; status; credit</t>
        </is>
      </c>
      <c r="F159" s="77" t="inlineStr">
        <is>
          <t>https://www.drps.ed.ac.uk/26-27/dpt/ptmsccrind1f.htm</t>
        </is>
      </c>
      <c r="G159" s="77" t="inlineStr">
        <is>
          <t>DPT: Creative Industries (MSc)</t>
        </is>
      </c>
      <c r="H159" s="77" t="inlineStr">
        <is>
          <t>programme table</t>
        </is>
      </c>
      <c r="I159" s="77" t="inlineStr">
        <is>
          <t>2026/27</t>
        </is>
      </c>
      <c r="J159" s="77" t="inlineStr">
        <is>
          <t>2026-10-12</t>
        </is>
      </c>
      <c r="K159" s="77" t="inlineStr">
        <is>
          <t>search-summary paraphrase</t>
        </is>
      </c>
      <c r="L159" s="77" t="inlineStr">
        <is>
          <t>Creative Industries Team Project listed as compulsory 40-credit course.</t>
        </is>
      </c>
    </row>
    <row r="160">
      <c r="A160" s="77" t="inlineStr">
        <is>
          <t>RG06-S12-R1</t>
        </is>
      </c>
      <c r="B160" s="77" t="inlineStr">
        <is>
          <t>RG06</t>
        </is>
      </c>
      <c r="C160" s="77" t="inlineStr">
        <is>
          <t>RG06-S12</t>
        </is>
      </c>
      <c r="D160" s="77" t="inlineStr">
        <is>
          <t>Design with Data (MSc Design Informatics)</t>
        </is>
      </c>
      <c r="E160" s="77" t="inlineStr">
        <is>
          <t>project; group; employer; status</t>
        </is>
      </c>
      <c r="F160" s="77" t="inlineStr">
        <is>
          <t>https://informatics.ed.ac.uk/taught-students/msc-students/taught-msc-handbook-202526/degree-programmes-and-courses/design</t>
        </is>
      </c>
      <c r="G160" s="77" t="inlineStr">
        <is>
          <t>Design Informatics MSc (taught MSc handbook 2025/26)</t>
        </is>
      </c>
      <c r="H160" s="77" t="inlineStr">
        <is>
          <t>degree programmes and courses</t>
        </is>
      </c>
      <c r="I160" s="77" t="inlineStr">
        <is>
          <t>2025/26</t>
        </is>
      </c>
      <c r="J160" s="77" t="inlineStr">
        <is>
          <t>2026-10-12</t>
        </is>
      </c>
      <c r="K160" s="77" t="inlineStr">
        <is>
          <t>search-summary paraphrase</t>
        </is>
      </c>
      <c r="L160" s="77" t="inlineStr">
        <is>
          <t>Design with Data: creating interactive prototypes in small groups, working with an external organisation's data.</t>
        </is>
      </c>
    </row>
    <row r="161">
      <c r="A161" s="77" t="inlineStr">
        <is>
          <t>RG06-S12-R2</t>
        </is>
      </c>
      <c r="B161" s="77" t="inlineStr">
        <is>
          <t>RG06</t>
        </is>
      </c>
      <c r="C161" s="77" t="inlineStr">
        <is>
          <t>RG06-S12</t>
        </is>
      </c>
      <c r="D161" s="77" t="inlineStr">
        <is>
          <t>Design with Data (MSc Design Informatics)</t>
        </is>
      </c>
      <c r="E161" s="77" t="inlineStr">
        <is>
          <t>project; group; credit; status</t>
        </is>
      </c>
      <c r="F161" s="77" t="inlineStr">
        <is>
          <t>http://www.drps.ed.ac.uk/25-26/dpt/cxdesi11025.htm</t>
        </is>
      </c>
      <c r="G161" s="77" t="inlineStr">
        <is>
          <t>Postgraduate Course: Design with Data (DESI11025)</t>
        </is>
      </c>
      <c r="H161" s="77" t="inlineStr">
        <is>
          <t>description/assessment</t>
        </is>
      </c>
      <c r="I161" s="77" t="inlineStr">
        <is>
          <t>2025/26</t>
        </is>
      </c>
      <c r="J161" s="77" t="inlineStr">
        <is>
          <t>2026-10-12</t>
        </is>
      </c>
      <c r="K161" s="77" t="inlineStr">
        <is>
          <t>search-summary paraphrase</t>
        </is>
      </c>
      <c r="L161" s="77" t="inlineStr">
        <is>
          <t>Challenge-led; experimental construction in digital and physical media; assessment through group work; no external partner mentioned.</t>
        </is>
      </c>
    </row>
    <row r="162">
      <c r="A162" s="77" t="inlineStr">
        <is>
          <t>RG06-S13-R1</t>
        </is>
      </c>
      <c r="B162" s="77" t="inlineStr">
        <is>
          <t>RG06</t>
        </is>
      </c>
      <c r="C162" s="77" t="inlineStr">
        <is>
          <t>RG06-S13</t>
        </is>
      </c>
      <c r="D162" s="77" t="inlineStr">
        <is>
          <t>National HVDC Centre MSc industry challenge week (Edinburgh Innovations / School of Mathematics)</t>
        </is>
      </c>
      <c r="E162" s="77" t="inlineStr">
        <is>
          <t>project; group; employer; duration</t>
        </is>
      </c>
      <c r="F162" s="77" t="inlineStr">
        <is>
          <t>https://edinburgh-innovations.ed.ac.uk/news/hvdc-challenges-msc-students</t>
        </is>
      </c>
      <c r="G162" s="77" t="inlineStr">
        <is>
          <t>MSc students have the energy to solve industry challenges</t>
        </is>
      </c>
      <c r="H162" s="77" t="inlineStr">
        <is>
          <t>news article</t>
        </is>
      </c>
      <c r="I162" s="77" t="inlineStr">
        <is>
          <t>undated</t>
        </is>
      </c>
      <c r="J162" s="77" t="inlineStr">
        <is>
          <t>2026-10-12</t>
        </is>
      </c>
      <c r="K162" s="77" t="inlineStr">
        <is>
          <t>search-index extract</t>
        </is>
      </c>
      <c r="L162" s="77" t="inlineStr">
        <is>
          <t>Week-long challenge for MSc students, set by the National HVDC Centre; 50+ students in six interdisciplinary teams; Centre technology manager provided data and sat on judging panel.</t>
        </is>
      </c>
    </row>
    <row r="163">
      <c r="A163" s="77" t="inlineStr">
        <is>
          <t>RG06-S14-R1</t>
        </is>
      </c>
      <c r="B163" s="77" t="inlineStr">
        <is>
          <t>RG06</t>
        </is>
      </c>
      <c r="C163" s="77" t="inlineStr">
        <is>
          <t>RG06-S14</t>
        </is>
      </c>
      <c r="D163" s="77" t="inlineStr">
        <is>
          <t>LLM Human Rights Clinic (LLM in Human Rights)</t>
        </is>
      </c>
      <c r="E163" s="77" t="inlineStr">
        <is>
          <t>project; group; employer</t>
        </is>
      </c>
      <c r="F163" s="77" t="inlineStr">
        <is>
          <t>https://www.law.ed.ac.uk/news-events/news/llm-human-rights-clinic-students-present-research-findings-scottish-government</t>
        </is>
      </c>
      <c r="G163" s="77" t="inlineStr">
        <is>
          <t>LLM Human Rights Clinic students present research findings to Scottish Government</t>
        </is>
      </c>
      <c r="H163" s="77" t="inlineStr">
        <is>
          <t>news</t>
        </is>
      </c>
      <c r="I163" s="77" t="inlineStr">
        <is>
          <t>2020</t>
        </is>
      </c>
      <c r="J163" s="77" t="inlineStr">
        <is>
          <t>2026-10-12</t>
        </is>
      </c>
      <c r="K163" s="77" t="inlineStr">
        <is>
          <t>search-summary paraphrase</t>
        </is>
      </c>
      <c r="L163" s="77" t="inlineStr">
        <is>
          <t>Four students presented UNCRC research to Scottish Government, working with Together to support its advocacy.</t>
        </is>
      </c>
    </row>
    <row r="164">
      <c r="A164" s="77" t="inlineStr">
        <is>
          <t>RG06-S14-R2</t>
        </is>
      </c>
      <c r="B164" s="77" t="inlineStr">
        <is>
          <t>RG06</t>
        </is>
      </c>
      <c r="C164" s="77" t="inlineStr">
        <is>
          <t>RG06-S14</t>
        </is>
      </c>
      <c r="D164" s="77" t="inlineStr">
        <is>
          <t>LLM Human Rights Clinic (LLM in Human Rights)</t>
        </is>
      </c>
      <c r="E164" s="77" t="inlineStr">
        <is>
          <t>employer; status</t>
        </is>
      </c>
      <c r="F164" s="77" t="inlineStr">
        <is>
          <t>https://www.law.ed.ac.uk/news-events/news/human-rights-clinic-presents-new-research-scottish-government-and-range-childrens</t>
        </is>
      </c>
      <c r="G164" s="77" t="inlineStr">
        <is>
          <t>Human Rights Clinic presents new research to Scottish Government and children's rights organisations</t>
        </is>
      </c>
      <c r="H164" s="77" t="inlineStr">
        <is>
          <t>news</t>
        </is>
      </c>
      <c r="I164" s="77" t="inlineStr">
        <is>
          <t>2025</t>
        </is>
      </c>
      <c r="J164" s="77" t="inlineStr">
        <is>
          <t>2026-10-12</t>
        </is>
      </c>
      <c r="K164" s="77" t="inlineStr">
        <is>
          <t>search-summary paraphrase</t>
        </is>
      </c>
      <c r="L164" s="77" t="inlineStr">
        <is>
          <t>Clinic working with Together presented on how babies and young children access justice; findings used in Together's UN consultation response.</t>
        </is>
      </c>
    </row>
    <row r="165">
      <c r="A165" s="77" t="inlineStr">
        <is>
          <t>RG06-S14-R3</t>
        </is>
      </c>
      <c r="B165" s="77" t="inlineStr">
        <is>
          <t>RG06</t>
        </is>
      </c>
      <c r="C165" s="77" t="inlineStr">
        <is>
          <t>RG06-S14</t>
        </is>
      </c>
      <c r="D165" s="77" t="inlineStr">
        <is>
          <t>LLM Human Rights Clinic (LLM in Human Rights)</t>
        </is>
      </c>
      <c r="E165" s="77" t="inlineStr">
        <is>
          <t>credit; reach</t>
        </is>
      </c>
      <c r="F165" s="77" t="inlineStr">
        <is>
          <t>https://www.law.ed.ac.uk/study/masters-degrees/llm-human-rights</t>
        </is>
      </c>
      <c r="G165" s="77" t="inlineStr">
        <is>
          <t>LLM in Human Rights</t>
        </is>
      </c>
      <c r="H165" s="77" t="inlineStr">
        <is>
          <t>programme page</t>
        </is>
      </c>
      <c r="I165" s="77" t="inlineStr">
        <is>
          <t>undated</t>
        </is>
      </c>
      <c r="J165" s="77" t="inlineStr">
        <is>
          <t>2026-10-12</t>
        </is>
      </c>
      <c r="K165" s="77" t="inlineStr">
        <is>
          <t>search-summary paraphrase</t>
        </is>
      </c>
      <c r="L165" s="77" t="inlineStr">
        <is>
          <t>Clinic is a 20-credit element of the LLM; research, discussion, writing and presentation in a practical setting.</t>
        </is>
      </c>
    </row>
    <row r="166">
      <c r="A166" s="77" t="inlineStr">
        <is>
          <t>RG06-S15-R1</t>
        </is>
      </c>
      <c r="B166" s="77" t="inlineStr">
        <is>
          <t>RG06</t>
        </is>
      </c>
      <c r="C166" s="77" t="inlineStr">
        <is>
          <t>RG06-S15</t>
        </is>
      </c>
      <c r="D166" s="77" t="inlineStr">
        <is>
          <t>Freedom of Expression Law Clinic (LAWS10190)</t>
        </is>
      </c>
      <c r="E166" s="77" t="inlineStr">
        <is>
          <t>project; employer; credit</t>
        </is>
      </c>
      <c r="F166" s="77" t="inlineStr">
        <is>
          <t>https://www.drps.ed.ac.uk/15-16/dpt/cxlaws10190.htm</t>
        </is>
      </c>
      <c r="G166" s="77" t="inlineStr">
        <is>
          <t>Course Catalogue - Freedom of Expression Law Clinic (LAWS10190)</t>
        </is>
      </c>
      <c r="H166" s="77" t="inlineStr">
        <is>
          <t>description</t>
        </is>
      </c>
      <c r="I166" s="77" t="inlineStr">
        <is>
          <t>2015/16</t>
        </is>
      </c>
      <c r="J166" s="77" t="inlineStr">
        <is>
          <t>2026-10-12</t>
        </is>
      </c>
      <c r="K166" s="77" t="inlineStr">
        <is>
          <t>search-summary paraphrase</t>
        </is>
      </c>
      <c r="L166" s="77" t="inlineStr">
        <is>
          <t>Collaboration with Oxford PCMLP, Media Legal Defence Initiative and Garden Court Chambers; draft submissions to UN Special Procedures; clinical supervision by practitioners; 40 credits.</t>
        </is>
      </c>
    </row>
    <row r="167">
      <c r="A167" s="77" t="inlineStr">
        <is>
          <t>RG06-S15-R2</t>
        </is>
      </c>
      <c r="B167" s="77" t="inlineStr">
        <is>
          <t>RG06</t>
        </is>
      </c>
      <c r="C167" s="77" t="inlineStr">
        <is>
          <t>RG06-S15</t>
        </is>
      </c>
      <c r="D167" s="77" t="inlineStr">
        <is>
          <t>Freedom of Expression Law Clinic (LAWS10190)</t>
        </is>
      </c>
      <c r="E167" s="77" t="inlineStr">
        <is>
          <t>project; group; employer</t>
        </is>
      </c>
      <c r="F167" s="77" t="inlineStr">
        <is>
          <t>https://www.law.ed.ac.uk/news-events/news/two-petitions-prepared-freedom-expression-law-clinic-students-submitted-un</t>
        </is>
      </c>
      <c r="G167" s="77" t="inlineStr">
        <is>
          <t>Two petitions prepared by Freedom of Expression Law Clinic students submitted to the UN</t>
        </is>
      </c>
      <c r="H167" s="77" t="inlineStr">
        <is>
          <t>news</t>
        </is>
      </c>
      <c r="I167" s="77" t="inlineStr">
        <is>
          <t>c.2015</t>
        </is>
      </c>
      <c r="J167" s="77" t="inlineStr">
        <is>
          <t>2026-10-12</t>
        </is>
      </c>
      <c r="K167" s="77" t="inlineStr">
        <is>
          <t>search-summary paraphrase</t>
        </is>
      </c>
      <c r="L167" s="77" t="inlineStr">
        <is>
          <t>Final year LLB students worked together in the clinic; petitions filed by MLDI.</t>
        </is>
      </c>
    </row>
    <row r="168">
      <c r="A168" s="77" t="inlineStr">
        <is>
          <t>RG06-S15-R3</t>
        </is>
      </c>
      <c r="B168" s="77" t="inlineStr">
        <is>
          <t>RG06</t>
        </is>
      </c>
      <c r="C168" s="77" t="inlineStr">
        <is>
          <t>RG06-S15</t>
        </is>
      </c>
      <c r="D168" s="77" t="inlineStr">
        <is>
          <t>Freedom of Expression Law Clinic (LAWS10190)</t>
        </is>
      </c>
      <c r="E168" s="77" t="inlineStr">
        <is>
          <t>status</t>
        </is>
      </c>
      <c r="F168" s="77" t="inlineStr">
        <is>
          <t>https://www.drps.ed.ac.uk/26-27/dpt/cxlaws10302.htm</t>
        </is>
      </c>
      <c r="G168" s="77" t="inlineStr">
        <is>
          <t>Course Catalogue - International Protection of Freedom of Expression (LAWS10302)</t>
        </is>
      </c>
      <c r="H168" s="77" t="inlineStr">
        <is>
          <t>restrictions</t>
        </is>
      </c>
      <c r="I168" s="77" t="inlineStr">
        <is>
          <t>2026/27</t>
        </is>
      </c>
      <c r="J168" s="77" t="inlineStr">
        <is>
          <t>2026-10-12</t>
        </is>
      </c>
      <c r="K168" s="77" t="inlineStr">
        <is>
          <t>search-summary paraphrase</t>
        </is>
      </c>
      <c r="L168" s="77" t="inlineStr">
        <is>
          <t>Cannot be taken with the 40-credit variant Freedom of Expression Law Clinic LAWS10190.</t>
        </is>
      </c>
    </row>
    <row r="169">
      <c r="A169" s="77" t="inlineStr">
        <is>
          <t>RG06-S16-R1</t>
        </is>
      </c>
      <c r="B169" s="77" t="inlineStr">
        <is>
          <t>RG06</t>
        </is>
      </c>
      <c r="C169" s="77" t="inlineStr">
        <is>
          <t>RG06-S16</t>
        </is>
      </c>
      <c r="D169" s="77" t="inlineStr">
        <is>
          <t>Geoscience Outreach and Engagement (EASC10087)</t>
        </is>
      </c>
      <c r="E169" s="77" t="inlineStr">
        <is>
          <t>project; employer; credit</t>
        </is>
      </c>
      <c r="F169" s="77" t="inlineStr">
        <is>
          <t>https://www.drps.ed.ac.uk/21-22/dpt/cxeasc10087.htm</t>
        </is>
      </c>
      <c r="G169" s="77" t="inlineStr">
        <is>
          <t>Course Catalogue - Geoscience Outreach and Engagement (EASC10087)</t>
        </is>
      </c>
      <c r="H169" s="77" t="inlineStr">
        <is>
          <t>description</t>
        </is>
      </c>
      <c r="I169" s="77" t="inlineStr">
        <is>
          <t>2021/22</t>
        </is>
      </c>
      <c r="J169" s="77" t="inlineStr">
        <is>
          <t>2026-10-12</t>
        </is>
      </c>
      <c r="K169" s="77" t="inlineStr">
        <is>
          <t>search-summary paraphrase</t>
        </is>
      </c>
      <c r="L169" s="77" t="inlineStr">
        <is>
          <t>Students design and carry out outreach projects; partners include schools, community centres, museums, visitor centres, community groups.</t>
        </is>
      </c>
    </row>
    <row r="170">
      <c r="A170" s="77" t="inlineStr">
        <is>
          <t>RG06-S16-R2</t>
        </is>
      </c>
      <c r="B170" s="77" t="inlineStr">
        <is>
          <t>RG06</t>
        </is>
      </c>
      <c r="C170" s="77" t="inlineStr">
        <is>
          <t>RG06-S16</t>
        </is>
      </c>
      <c r="D170" s="77" t="inlineStr">
        <is>
          <t>Geoscience Outreach and Engagement (EASC10087)</t>
        </is>
      </c>
      <c r="E170" s="77" t="inlineStr">
        <is>
          <t>project; employer</t>
        </is>
      </c>
      <c r="F170" s="77" t="inlineStr">
        <is>
          <t>https://blogs.ed.ac.uk/teaching-matters/geoscience-outreach-course-assessment-through-impactful-student-projects/</t>
        </is>
      </c>
      <c r="G170" s="77" t="inlineStr">
        <is>
          <t>GeoScience Outreach Course: Assessment through impactful student projects</t>
        </is>
      </c>
      <c r="H170" s="77" t="inlineStr">
        <is>
          <t>blog</t>
        </is>
      </c>
      <c r="I170" s="77" t="inlineStr">
        <is>
          <t>undated</t>
        </is>
      </c>
      <c r="J170" s="77" t="inlineStr">
        <is>
          <t>2026-10-12</t>
        </is>
      </c>
      <c r="K170" s="77" t="inlineStr">
        <is>
          <t>search-summary paraphrase</t>
        </is>
      </c>
      <c r="L170" s="77" t="inlineStr">
        <is>
          <t>Students develop a bespoke project for the external client with legacy value; City of Edinburgh Council has asked students for projects.</t>
        </is>
      </c>
    </row>
    <row r="171">
      <c r="A171" s="77" t="inlineStr">
        <is>
          <t>RG07-S01-R1</t>
        </is>
      </c>
      <c r="B171" s="77" t="inlineStr">
        <is>
          <t>RG07</t>
        </is>
      </c>
      <c r="C171" s="77" t="inlineStr">
        <is>
          <t>RG07-S01</t>
        </is>
      </c>
      <c r="D171" s="77" t="inlineStr">
        <is>
          <t>Grand Challenges</t>
        </is>
      </c>
      <c r="E171" s="77" t="inlineStr">
        <is>
          <t>group; eligibility; duration; reach</t>
        </is>
      </c>
      <c r="F171" s="77" t="inlineStr">
        <is>
          <t>https://www.exeter.ac.uk/students/grandchallenges/moreinfo/faqs/</t>
        </is>
      </c>
      <c r="G171" s="77" t="inlineStr">
        <is>
          <t>FAQs</t>
        </is>
      </c>
      <c r="H171" s="77" t="inlineStr">
        <is>
          <t>FAQs</t>
        </is>
      </c>
      <c r="I171" s="77" t="inlineStr">
        <is>
          <t>undated</t>
        </is>
      </c>
      <c r="J171" s="77" t="inlineStr">
        <is>
          <t>2026-10-12</t>
        </is>
      </c>
      <c r="K171" s="77" t="inlineStr">
        <is>
          <t>search-index extract (quoted)</t>
        </is>
      </c>
      <c r="L171" s="77" t="inlineStr">
        <is>
          <t>'undergraduate students enrolled at the University of Exeter can access our Grand Challenges Week for free as a part of your tuition. Each Challenge is a week-long experience so you can only sign up for one Challenge.' 'Groups vary in size, and normally contain 4 to 8 people.'</t>
        </is>
      </c>
    </row>
    <row r="172">
      <c r="A172" s="77" t="inlineStr">
        <is>
          <t>RG07-S01-R2</t>
        </is>
      </c>
      <c r="B172" s="77" t="inlineStr">
        <is>
          <t>RG07</t>
        </is>
      </c>
      <c r="C172" s="77" t="inlineStr">
        <is>
          <t>RG07-S01</t>
        </is>
      </c>
      <c r="D172" s="77" t="inlineStr">
        <is>
          <t>Grand Challenges</t>
        </is>
      </c>
      <c r="E172" s="77" t="inlineStr">
        <is>
          <t>project; group; employer</t>
        </is>
      </c>
      <c r="F172" s="77" t="inlineStr">
        <is>
          <t>https://www.exeter.ac.uk/students/grandchallenges/whatisgrandchallenges/</t>
        </is>
      </c>
      <c r="G172" s="77" t="inlineStr">
        <is>
          <t>What is Grand Challenges?</t>
        </is>
      </c>
      <c r="H172" s="77" t="inlineStr">
        <is>
          <t>Overview</t>
        </is>
      </c>
      <c r="I172" s="77" t="inlineStr">
        <is>
          <t>undated</t>
        </is>
      </c>
      <c r="J172" s="77" t="inlineStr">
        <is>
          <t>2026-10-12</t>
        </is>
      </c>
      <c r="K172" s="77" t="inlineStr">
        <is>
          <t>search-summary paraphrase</t>
        </is>
      </c>
      <c r="L172" s="77" t="inlineStr">
        <is>
          <t>Students 'work in interdisciplinary groups with other like-minded students to design innovative solutions to real world challenges'; lectures 'led by academics and external experts'; on the final Friday students deliver a presentation to academic experts; for some challenges there will also be industry experts in the audience (latter attribution within Grand Challenges pages not fully explicit).</t>
        </is>
      </c>
    </row>
    <row r="173">
      <c r="A173" s="77" t="inlineStr">
        <is>
          <t>RG07-S01-R3</t>
        </is>
      </c>
      <c r="B173" s="77" t="inlineStr">
        <is>
          <t>RG07</t>
        </is>
      </c>
      <c r="C173" s="77" t="inlineStr">
        <is>
          <t>RG07-S01</t>
        </is>
      </c>
      <c r="D173" s="77" t="inlineStr">
        <is>
          <t>Grand Challenges</t>
        </is>
      </c>
      <c r="E173" s="77" t="inlineStr">
        <is>
          <t>project; status</t>
        </is>
      </c>
      <c r="F173" s="77" t="inlineStr">
        <is>
          <t>https://www.exeter.ac.uk/students/grandchallenges/challenges2026/tomorrowsworld/</t>
        </is>
      </c>
      <c r="G173" s="77" t="inlineStr">
        <is>
          <t>Grand Challenges Penryn</t>
        </is>
      </c>
      <c r="H173" s="77" t="inlineStr">
        <is>
          <t>2026 challenge page</t>
        </is>
      </c>
      <c r="I173" s="77" t="inlineStr">
        <is>
          <t>2026</t>
        </is>
      </c>
      <c r="J173" s="77" t="inlineStr">
        <is>
          <t>2026-10-12</t>
        </is>
      </c>
      <c r="K173" s="77" t="inlineStr">
        <is>
          <t>search-summary paraphrase</t>
        </is>
      </c>
      <c r="L173" s="77" t="inlineStr">
        <is>
          <t>Penryn-only challenge taking a planetary health approach; students present their ideas to a panel of independent experts at the end of the week.</t>
        </is>
      </c>
    </row>
    <row r="174">
      <c r="A174" s="77" t="inlineStr">
        <is>
          <t>RG07-S02-R1</t>
        </is>
      </c>
      <c r="B174" s="77" t="inlineStr">
        <is>
          <t>RG07</t>
        </is>
      </c>
      <c r="C174" s="77" t="inlineStr">
        <is>
          <t>RG07-S02</t>
        </is>
      </c>
      <c r="D174" s="77" t="inlineStr">
        <is>
          <t>Grand Challenges - Education Innovation: Industry-led Enquiry Group with Amazon Web Services</t>
        </is>
      </c>
      <c r="E174" s="77" t="inlineStr">
        <is>
          <t>project; employer; status</t>
        </is>
      </c>
      <c r="F174" s="77" t="inlineStr">
        <is>
          <t>https://www.exeter.ac.uk/students/grandchallenges/challenges2026/educationinnovation/</t>
        </is>
      </c>
      <c r="G174" s="77" t="inlineStr">
        <is>
          <t>Education Innovation</t>
        </is>
      </c>
      <c r="H174" s="77" t="inlineStr">
        <is>
          <t>2026 challenge page, enquiry groups</t>
        </is>
      </c>
      <c r="I174" s="77" t="inlineStr">
        <is>
          <t>2026</t>
        </is>
      </c>
      <c r="J174" s="77" t="inlineStr">
        <is>
          <t>2026-10-12</t>
        </is>
      </c>
      <c r="K174" s="77" t="inlineStr">
        <is>
          <t>search-summary paraphrase</t>
        </is>
      </c>
      <c r="L174" s="77" t="inlineStr">
        <is>
          <t>Industry-led Enquiry Group with Amazon Web Services: students work on solutions to real-world problems that organisations like AWS face, using emerging technologies such as generative AI, without needing coding experience; one of five enquiry groups.</t>
        </is>
      </c>
    </row>
    <row r="175">
      <c r="A175" s="77" t="inlineStr">
        <is>
          <t>RG07-S02-R2</t>
        </is>
      </c>
      <c r="B175" s="77" t="inlineStr">
        <is>
          <t>RG07</t>
        </is>
      </c>
      <c r="C175" s="77" t="inlineStr">
        <is>
          <t>RG07-S02</t>
        </is>
      </c>
      <c r="D175" s="77" t="inlineStr">
        <is>
          <t>Grand Challenges - Education Innovation: Industry-led Enquiry Group with Amazon Web Services</t>
        </is>
      </c>
      <c r="E175" s="77" t="inlineStr">
        <is>
          <t>group</t>
        </is>
      </c>
      <c r="F175" s="77" t="inlineStr">
        <is>
          <t>https://www.exeter.ac.uk/students/grandchallenges/moreinfo/faqs/</t>
        </is>
      </c>
      <c r="G175" s="77" t="inlineStr">
        <is>
          <t>FAQs</t>
        </is>
      </c>
      <c r="H175" s="77" t="inlineStr">
        <is>
          <t>FAQs</t>
        </is>
      </c>
      <c r="I175" s="77" t="inlineStr">
        <is>
          <t>undated</t>
        </is>
      </c>
      <c r="J175" s="77" t="inlineStr">
        <is>
          <t>2026-10-12</t>
        </is>
      </c>
      <c r="K175" s="77" t="inlineStr">
        <is>
          <t>search-index extract (quoted)</t>
        </is>
      </c>
      <c r="L175" s="77" t="inlineStr">
        <is>
          <t>'Groups vary in size, and normally contain 4 to 8 people.'</t>
        </is>
      </c>
    </row>
    <row r="176">
      <c r="A176" s="77" t="inlineStr">
        <is>
          <t>RG07-S02-R3</t>
        </is>
      </c>
      <c r="B176" s="77" t="inlineStr">
        <is>
          <t>RG07</t>
        </is>
      </c>
      <c r="C176" s="77" t="inlineStr">
        <is>
          <t>RG07-S02</t>
        </is>
      </c>
      <c r="D176" s="77" t="inlineStr">
        <is>
          <t>Grand Challenges - Education Innovation: Industry-led Enquiry Group with Amazon Web Services</t>
        </is>
      </c>
      <c r="E176" s="77" t="inlineStr">
        <is>
          <t>project</t>
        </is>
      </c>
      <c r="F176" s="77" t="inlineStr">
        <is>
          <t>https://www.exeter.ac.uk/students/grandchallenges/whatisgrandchallenges/</t>
        </is>
      </c>
      <c r="G176" s="77" t="inlineStr">
        <is>
          <t>What is Grand Challenges?</t>
        </is>
      </c>
      <c r="H176" s="77" t="inlineStr">
        <is>
          <t>Overview</t>
        </is>
      </c>
      <c r="I176" s="77" t="inlineStr">
        <is>
          <t>undated</t>
        </is>
      </c>
      <c r="J176" s="77" t="inlineStr">
        <is>
          <t>2026-10-12</t>
        </is>
      </c>
      <c r="K176" s="77" t="inlineStr">
        <is>
          <t>search-summary paraphrase</t>
        </is>
      </c>
      <c r="L176" s="77" t="inlineStr">
        <is>
          <t>Students work in interdisciplinary groups to design innovative solutions to real world challenges and present at the end of the week.</t>
        </is>
      </c>
    </row>
    <row r="177">
      <c r="A177" s="77" t="inlineStr">
        <is>
          <t>RG07-S02-R4</t>
        </is>
      </c>
      <c r="B177" s="77" t="inlineStr">
        <is>
          <t>RG07</t>
        </is>
      </c>
      <c r="C177" s="77" t="inlineStr">
        <is>
          <t>RG07-S02</t>
        </is>
      </c>
      <c r="D177" s="77" t="inlineStr">
        <is>
          <t>Grand Challenges - Education Innovation: Industry-led Enquiry Group with Amazon Web Services</t>
        </is>
      </c>
      <c r="E177" s="77" t="inlineStr">
        <is>
          <t>employer</t>
        </is>
      </c>
      <c r="F177" s="77" t="inlineStr">
        <is>
          <t>https://news.exeter.ac.uk/staff-news/exeter-and-aws-seal-collaboration-to-boost-digital-innovation-and-sustainability/</t>
        </is>
      </c>
      <c r="G177" s="77" t="inlineStr">
        <is>
          <t>Exeter and AWS seal collaboration to boost digital innovation and sustainability</t>
        </is>
      </c>
      <c r="H177" s="77" t="inlineStr">
        <is>
          <t>News</t>
        </is>
      </c>
      <c r="I177" s="77" t="inlineStr">
        <is>
          <t>2025</t>
        </is>
      </c>
      <c r="J177" s="77" t="inlineStr">
        <is>
          <t>2026-10-12</t>
        </is>
      </c>
      <c r="K177" s="77" t="inlineStr">
        <is>
          <t>search-summary paraphrase</t>
        </is>
      </c>
      <c r="L177" s="77" t="inlineStr">
        <is>
          <t>Strategic collaboration agreement with AWS signed 30 July 2025 at the AWS Executive Education Summit; will equip students and staff with digital skills.</t>
        </is>
      </c>
    </row>
    <row r="178">
      <c r="A178" s="77" t="inlineStr">
        <is>
          <t>RG07-S03-R1</t>
        </is>
      </c>
      <c r="B178" s="77" t="inlineStr">
        <is>
          <t>RG07</t>
        </is>
      </c>
      <c r="C178" s="77" t="inlineStr">
        <is>
          <t>RG07-S03</t>
        </is>
      </c>
      <c r="D178" s="77" t="inlineStr">
        <is>
          <t>Future17</t>
        </is>
      </c>
      <c r="E178" s="77" t="inlineStr">
        <is>
          <t>eligibility; reach; group; employer; project; credit</t>
        </is>
      </c>
      <c r="F178" s="77" t="inlineStr">
        <is>
          <t>https://www.exeter.ac.uk/study/future17/students/</t>
        </is>
      </c>
      <c r="G178" s="77" t="inlineStr">
        <is>
          <t>Future17: Information for students</t>
        </is>
      </c>
      <c r="H178" s="77" t="inlineStr">
        <is>
          <t>Eligibility, structure, assessment</t>
        </is>
      </c>
      <c r="I178" s="77" t="inlineStr">
        <is>
          <t>undated</t>
        </is>
      </c>
      <c r="J178" s="77" t="inlineStr">
        <is>
          <t>2026-10-12</t>
        </is>
      </c>
      <c r="K178" s="77" t="inlineStr">
        <is>
          <t>search-summary paraphrase</t>
        </is>
      </c>
      <c r="L178" s="77" t="inlineStr">
        <is>
          <t>Available to 'undergraduate students (except first years) and postgraduate taught students on all campuses'; optional 15-credit route via APEL or non-credit QS certificate; teams 'typically 6-8 students'; a Challenge Partner 'outlines the sustainability challenge, provides context (and potentially data)'; assessed on 'a group project output (a report or equivalent) and an online group presentation to an expert panel, which includes a representative of the partner that set the challenge' (partner/assessment text returned across Future17 pages; attribution to this page probable).</t>
        </is>
      </c>
    </row>
    <row r="179">
      <c r="A179" s="77" t="inlineStr">
        <is>
          <t>RG07-S03-R2</t>
        </is>
      </c>
      <c r="B179" s="77" t="inlineStr">
        <is>
          <t>RG07</t>
        </is>
      </c>
      <c r="C179" s="77" t="inlineStr">
        <is>
          <t>RG07-S03</t>
        </is>
      </c>
      <c r="D179" s="77" t="inlineStr">
        <is>
          <t>Future17</t>
        </is>
      </c>
      <c r="E179" s="77" t="inlineStr">
        <is>
          <t>employer; participation; status; duration</t>
        </is>
      </c>
      <c r="F179" s="77" t="inlineStr">
        <is>
          <t>https://news.exeter.ac.uk/student/students-graduate-from-global-learning-programme-focused-on-real-world-sustainability-challenges/</t>
        </is>
      </c>
      <c r="G179" s="77" t="inlineStr">
        <is>
          <t>Students graduate from global learning programme focused on real-world sustainability challenges</t>
        </is>
      </c>
      <c r="H179" s="77" t="inlineStr">
        <is>
          <t>News</t>
        </is>
      </c>
      <c r="I179" s="77" t="inlineStr">
        <is>
          <t>c.2025 (undated in extract)</t>
        </is>
      </c>
      <c r="J179" s="77" t="inlineStr">
        <is>
          <t>2026-10-12</t>
        </is>
      </c>
      <c r="K179" s="77" t="inlineStr">
        <is>
          <t>search-summary paraphrase</t>
        </is>
      </c>
      <c r="L179" s="77" t="inlineStr">
        <is>
          <t>Around 50 Exeter students graduating; c.300 worldwide; '31 organisations provided a choice of 44 challenges', including CapGemini and T-Hues; 12-week programme, 4-week induction then 8 weeks group work.</t>
        </is>
      </c>
    </row>
    <row r="180">
      <c r="A180" s="77" t="inlineStr">
        <is>
          <t>RG07-S03-R3</t>
        </is>
      </c>
      <c r="B180" s="77" t="inlineStr">
        <is>
          <t>RG07</t>
        </is>
      </c>
      <c r="C180" s="77" t="inlineStr">
        <is>
          <t>RG07-S03</t>
        </is>
      </c>
      <c r="D180" s="77" t="inlineStr">
        <is>
          <t>Future17</t>
        </is>
      </c>
      <c r="E180" s="77" t="inlineStr">
        <is>
          <t>credit</t>
        </is>
      </c>
      <c r="F180" s="77" t="inlineStr">
        <is>
          <t>https://www.exeter.ac.uk/study/studyinformation/modules/info/?sys=0&amp;moduleCode=BEP3172</t>
        </is>
      </c>
      <c r="G180" s="77" t="inlineStr">
        <is>
          <t>BEP3172</t>
        </is>
      </c>
      <c r="H180" s="77" t="inlineStr">
        <is>
          <t>Module catalogue</t>
        </is>
      </c>
      <c r="I180" s="77" t="inlineStr">
        <is>
          <t>2024/5</t>
        </is>
      </c>
      <c r="J180" s="77" t="inlineStr">
        <is>
          <t>2026-10-12</t>
        </is>
      </c>
      <c r="K180" s="77" t="inlineStr">
        <is>
          <t>search-summary paraphrase</t>
        </is>
      </c>
      <c r="L180" s="77" t="inlineStr">
        <is>
          <t>BEP3172, 15 credits, NQF level 6; pre-requisite 90 credits at level 4.</t>
        </is>
      </c>
    </row>
    <row r="181">
      <c r="A181" s="77" t="inlineStr">
        <is>
          <t>RG07-S04-R1</t>
        </is>
      </c>
      <c r="B181" s="77" t="inlineStr">
        <is>
          <t>RG07</t>
        </is>
      </c>
      <c r="C181" s="77" t="inlineStr">
        <is>
          <t>RG07-S04</t>
        </is>
      </c>
      <c r="D181" s="77" t="inlineStr">
        <is>
          <t>Business Project (MSc Management)</t>
        </is>
      </c>
      <c r="E181" s="77" t="inlineStr">
        <is>
          <t>project; group; employer; credit; participation</t>
        </is>
      </c>
      <c r="F181" s="77" t="inlineStr">
        <is>
          <t>https://www.exeter.ac.uk/masters-degrees/msc-management/</t>
        </is>
      </c>
      <c r="G181" s="77" t="inlineStr">
        <is>
          <t>MSc Management</t>
        </is>
      </c>
      <c r="H181" s="77" t="inlineStr">
        <is>
          <t>Compulsory modules: Business Project</t>
        </is>
      </c>
      <c r="I181" s="77" t="inlineStr">
        <is>
          <t>undated</t>
        </is>
      </c>
      <c r="J181" s="77" t="inlineStr">
        <is>
          <t>2026-10-12</t>
        </is>
      </c>
      <c r="K181" s="77" t="inlineStr">
        <is>
          <t>search-summary paraphrase</t>
        </is>
      </c>
      <c r="L181" s="77" t="inlineStr">
        <is>
          <t>Compulsory modules include Business Project (30 credits). Students work in a group consultancy team on a real organisational problem from a partner's research brief, delivering findings in a report and presentation; aim is to give the partner recommendations or a solution; module lead assists liaison with the partner.</t>
        </is>
      </c>
    </row>
    <row r="182">
      <c r="A182" s="77" t="inlineStr">
        <is>
          <t>RG07-S04-R2</t>
        </is>
      </c>
      <c r="B182" s="77" t="inlineStr">
        <is>
          <t>RG07</t>
        </is>
      </c>
      <c r="C182" s="77" t="inlineStr">
        <is>
          <t>RG07-S04</t>
        </is>
      </c>
      <c r="D182" s="77" t="inlineStr">
        <is>
          <t>Business Project (MSc Management)</t>
        </is>
      </c>
      <c r="E182" s="77" t="inlineStr">
        <is>
          <t>status</t>
        </is>
      </c>
      <c r="F182" s="77" t="inlineStr">
        <is>
          <t>https://ele.exeter.ac.uk/course/index.php?categoryid=667&amp;browse=courses&amp;perpage=30&amp;page=1</t>
        </is>
      </c>
      <c r="G182" s="77" t="inlineStr">
        <is>
          <t>ELE all courses</t>
        </is>
      </c>
      <c r="H182" s="77" t="inlineStr">
        <is>
          <t>course list</t>
        </is>
      </c>
      <c r="I182" s="77" t="inlineStr">
        <is>
          <t>2025/26</t>
        </is>
      </c>
      <c r="J182" s="77" t="inlineStr">
        <is>
          <t>2026-10-13</t>
        </is>
      </c>
      <c r="K182" s="77" t="inlineStr">
        <is>
          <t>search-summary paraphrase</t>
        </is>
      </c>
      <c r="L182" s="77" t="inlineStr">
        <is>
          <t>Catalogue lists Business Project (BEMM149_A_12_202526) under 2025/6.</t>
        </is>
      </c>
    </row>
    <row r="183">
      <c r="A183" s="77" t="inlineStr">
        <is>
          <t>RG07-S05-R1</t>
        </is>
      </c>
      <c r="B183" s="77" t="inlineStr">
        <is>
          <t>RG07</t>
        </is>
      </c>
      <c r="C183" s="77" t="inlineStr">
        <is>
          <t>RG07-S05</t>
        </is>
      </c>
      <c r="D183" s="77" t="inlineStr">
        <is>
          <t>Research and Consultancy Project</t>
        </is>
      </c>
      <c r="E183" s="77" t="inlineStr">
        <is>
          <t>project; group; credit; status</t>
        </is>
      </c>
      <c r="F183" s="77" t="inlineStr">
        <is>
          <t>http://business-school.exeter.ac.uk/module/?mod_code=BEMM771</t>
        </is>
      </c>
      <c r="G183" s="77" t="inlineStr">
        <is>
          <t>Module BEMM771 Research and Consultancy Project</t>
        </is>
      </c>
      <c r="H183" s="77" t="inlineStr">
        <is>
          <t>Module specification</t>
        </is>
      </c>
      <c r="I183" s="77" t="inlineStr">
        <is>
          <t>2018/19</t>
        </is>
      </c>
      <c r="J183" s="77" t="inlineStr">
        <is>
          <t>2026-10-12</t>
        </is>
      </c>
      <c r="K183" s="77" t="inlineStr">
        <is>
          <t>search-summary paraphrase</t>
        </is>
      </c>
      <c r="L183" s="77" t="inlineStr">
        <is>
          <t>Designed 'to present you with real-life projects'; group teams; group project report (3,000 words) and 20-minute presentation 60%, individual reflective essay 40%; support sessions with supervisor sometimes double as 'client' updating meetings.</t>
        </is>
      </c>
    </row>
    <row r="184">
      <c r="A184" s="77" t="inlineStr">
        <is>
          <t>RG07-S06-R1</t>
        </is>
      </c>
      <c r="B184" s="77" t="inlineStr">
        <is>
          <t>RG07</t>
        </is>
      </c>
      <c r="C184" s="77" t="inlineStr">
        <is>
          <t>RG07-S06</t>
        </is>
      </c>
      <c r="D184" s="77" t="inlineStr">
        <is>
          <t>Practice-Based Consultancy Management</t>
        </is>
      </c>
      <c r="E184" s="77" t="inlineStr">
        <is>
          <t>project; credit; status</t>
        </is>
      </c>
      <c r="F184" s="77" t="inlineStr">
        <is>
          <t>https://www.exeter.ac.uk/study/studyinformation/modules/info/?moduleCode=BEP3020&amp;ay=2024/5&amp;sys=0</t>
        </is>
      </c>
      <c r="G184" s="77" t="inlineStr">
        <is>
          <t>Practice-Based Consultancy Management</t>
        </is>
      </c>
      <c r="H184" s="77" t="inlineStr">
        <is>
          <t>Module catalogue</t>
        </is>
      </c>
      <c r="I184" s="77" t="inlineStr">
        <is>
          <t>2024/5</t>
        </is>
      </c>
      <c r="J184" s="77" t="inlineStr">
        <is>
          <t>2026-10-12</t>
        </is>
      </c>
      <c r="K184" s="77" t="inlineStr">
        <is>
          <t>search-summary paraphrase</t>
        </is>
      </c>
      <c r="L184" s="77" t="inlineStr">
        <is>
          <t>15-credit module, c.30 expected students; syllabus includes preparing to meet the client and preparing the proposal; independent study covers research, proposal and client report.</t>
        </is>
      </c>
    </row>
    <row r="185">
      <c r="A185" s="77" t="inlineStr">
        <is>
          <t>RG07-S06-R2</t>
        </is>
      </c>
      <c r="B185" s="77" t="inlineStr">
        <is>
          <t>RG07</t>
        </is>
      </c>
      <c r="C185" s="77" t="inlineStr">
        <is>
          <t>RG07-S06</t>
        </is>
      </c>
      <c r="D185" s="77" t="inlineStr">
        <is>
          <t>Practice-Based Consultancy Management</t>
        </is>
      </c>
      <c r="E185" s="77" t="inlineStr">
        <is>
          <t>project; employer</t>
        </is>
      </c>
      <c r="F185" s="77" t="inlineStr">
        <is>
          <t>https://www.exeter.ac.uk/undergraduate-degrees/bsc-business-cornwall/</t>
        </is>
      </c>
      <c r="G185" s="77" t="inlineStr">
        <is>
          <t>BSc Business (Cornwall)</t>
        </is>
      </c>
      <c r="H185" s="77" t="inlineStr">
        <is>
          <t>Modules</t>
        </is>
      </c>
      <c r="I185" s="77" t="inlineStr">
        <is>
          <t>undated</t>
        </is>
      </c>
      <c r="J185" s="77" t="inlineStr">
        <is>
          <t>2026-10-12</t>
        </is>
      </c>
      <c r="K185" s="77" t="inlineStr">
        <is>
          <t>search-summary paraphrase</t>
        </is>
      </c>
      <c r="L185" s="77" t="inlineStr">
        <is>
          <t>Module covers real cases, research tasks and 'a live or simulated consulting project'; students plan and deliver a consulting project to a defined brief and timeline.</t>
        </is>
      </c>
    </row>
    <row r="186">
      <c r="A186" s="77" t="inlineStr">
        <is>
          <t>RG07-S07-R1</t>
        </is>
      </c>
      <c r="B186" s="77" t="inlineStr">
        <is>
          <t>RG07</t>
        </is>
      </c>
      <c r="C186" s="77" t="inlineStr">
        <is>
          <t>RG07-S07</t>
        </is>
      </c>
      <c r="D186" s="77" t="inlineStr">
        <is>
          <t>Consulting project (MSc Marketing and Business Analytics)</t>
        </is>
      </c>
      <c r="E186" s="77" t="inlineStr">
        <is>
          <t>project; employer</t>
        </is>
      </c>
      <c r="F186" s="77" t="inlineStr">
        <is>
          <t>https://www.exeter.ac.uk/masters-degrees/msc-marketing-and-business-analytics/</t>
        </is>
      </c>
      <c r="G186" s="77" t="inlineStr">
        <is>
          <t>MSc Marketing and Business Analytics</t>
        </is>
      </c>
      <c r="H186" s="77" t="inlineStr">
        <is>
          <t>Programme structure</t>
        </is>
      </c>
      <c r="I186" s="77" t="inlineStr">
        <is>
          <t>undated</t>
        </is>
      </c>
      <c r="J186" s="77" t="inlineStr">
        <is>
          <t>2026-10-12</t>
        </is>
      </c>
      <c r="K186" s="77" t="inlineStr">
        <is>
          <t>search-summary paraphrase</t>
        </is>
      </c>
      <c r="L186" s="77" t="inlineStr">
        <is>
          <t>In the final term, students can choose a consulting project working with real businesses on live marketing challenges.</t>
        </is>
      </c>
    </row>
    <row r="187">
      <c r="A187" s="77" t="inlineStr">
        <is>
          <t>RG07-S08-R1</t>
        </is>
      </c>
      <c r="B187" s="77" t="inlineStr">
        <is>
          <t>RG07</t>
        </is>
      </c>
      <c r="C187" s="77" t="inlineStr">
        <is>
          <t>RG07-S08</t>
        </is>
      </c>
      <c r="D187" s="77" t="inlineStr">
        <is>
          <t>Sports Consultancy Project (BSc Sport Business Management)</t>
        </is>
      </c>
      <c r="E187" s="77" t="inlineStr">
        <is>
          <t>project; employer</t>
        </is>
      </c>
      <c r="F187" s="77" t="inlineStr">
        <is>
          <t>https://www.exeter.ac.uk/undergraduate-degrees/bsc-sport-business-management/</t>
        </is>
      </c>
      <c r="G187" s="77" t="inlineStr">
        <is>
          <t>BSc Sport Business Management</t>
        </is>
      </c>
      <c r="H187" s="77" t="inlineStr">
        <is>
          <t>Modules</t>
        </is>
      </c>
      <c r="I187" s="77" t="inlineStr">
        <is>
          <t>undated</t>
        </is>
      </c>
      <c r="J187" s="77" t="inlineStr">
        <is>
          <t>2026-10-12</t>
        </is>
      </c>
      <c r="K187" s="77" t="inlineStr">
        <is>
          <t>search-summary paraphrase</t>
        </is>
      </c>
      <c r="L187" s="77" t="inlineStr">
        <is>
          <t>Sports Consultancy Project where students work with a real or simulated client to solve a current industry challenge.</t>
        </is>
      </c>
    </row>
    <row r="188">
      <c r="A188" s="77" t="inlineStr">
        <is>
          <t>RG07-S09-R1</t>
        </is>
      </c>
      <c r="B188" s="77" t="inlineStr">
        <is>
          <t>RG07</t>
        </is>
      </c>
      <c r="C188" s="77" t="inlineStr">
        <is>
          <t>RG07-S09</t>
        </is>
      </c>
      <c r="D188" s="77" t="inlineStr">
        <is>
          <t>Group Project (MEng)</t>
        </is>
      </c>
      <c r="E188" s="77" t="inlineStr">
        <is>
          <t>project; group; credit</t>
        </is>
      </c>
      <c r="F188" s="77" t="inlineStr">
        <is>
          <t>http://emps.exeter.ac.uk/modules/ECMM102</t>
        </is>
      </c>
      <c r="G188" s="77" t="inlineStr">
        <is>
          <t>modules ECMM102</t>
        </is>
      </c>
      <c r="H188" s="77" t="inlineStr">
        <is>
          <t>Module description</t>
        </is>
      </c>
      <c r="I188" s="77" t="inlineStr">
        <is>
          <t>undated</t>
        </is>
      </c>
      <c r="J188" s="77" t="inlineStr">
        <is>
          <t>2026-10-12</t>
        </is>
      </c>
      <c r="K188" s="77" t="inlineStr">
        <is>
          <t>search-summary paraphrase</t>
        </is>
      </c>
      <c r="L188" s="77" t="inlineStr">
        <is>
          <t>Group Project (MEng) ECMM102, 60 credits; 'experience of working as part of a project team in a situation close to one that might be found in an industrial or commercial setting'; 'substantial (600 hours work) engineering group project'.</t>
        </is>
      </c>
    </row>
    <row r="189">
      <c r="A189" s="77" t="inlineStr">
        <is>
          <t>RG07-S09-R2</t>
        </is>
      </c>
      <c r="B189" s="77" t="inlineStr">
        <is>
          <t>RG07</t>
        </is>
      </c>
      <c r="C189" s="77" t="inlineStr">
        <is>
          <t>RG07-S09</t>
        </is>
      </c>
      <c r="D189" s="77" t="inlineStr">
        <is>
          <t>Group Project (MEng)</t>
        </is>
      </c>
      <c r="E189" s="77" t="inlineStr">
        <is>
          <t>employer</t>
        </is>
      </c>
      <c r="F189" s="77" t="inlineStr">
        <is>
          <t>https://www.exeter.ac.uk/undergraduate-degrees/meng-mechanical-engineering/</t>
        </is>
      </c>
      <c r="G189" s="77" t="inlineStr">
        <is>
          <t>MEng Mechanical Engineering</t>
        </is>
      </c>
      <c r="H189" s="77" t="inlineStr">
        <is>
          <t>Course content</t>
        </is>
      </c>
      <c r="I189" s="77" t="inlineStr">
        <is>
          <t>undated</t>
        </is>
      </c>
      <c r="J189" s="77" t="inlineStr">
        <is>
          <t>2026-10-12</t>
        </is>
      </c>
      <c r="K189" s="77" t="inlineStr">
        <is>
          <t>search-summary paraphrase</t>
        </is>
      </c>
      <c r="L189" s="77" t="inlineStr">
        <is>
          <t>Student projects 'are often linked to our research activities and may involve working with industrial partners' (attribution among MEng pages not fully explicit).</t>
        </is>
      </c>
    </row>
    <row r="190">
      <c r="A190" s="77" t="inlineStr">
        <is>
          <t>RG07-S10-R1</t>
        </is>
      </c>
      <c r="B190" s="77" t="inlineStr">
        <is>
          <t>RG07</t>
        </is>
      </c>
      <c r="C190" s="77" t="inlineStr">
        <is>
          <t>RG07-S10</t>
        </is>
      </c>
      <c r="D190" s="77" t="inlineStr">
        <is>
          <t>Group Design Project (Renewable Energy)</t>
        </is>
      </c>
      <c r="E190" s="77" t="inlineStr">
        <is>
          <t>project; group; credit; status</t>
        </is>
      </c>
      <c r="F190" s="77" t="inlineStr">
        <is>
          <t>https://www.exeter.ac.uk/study/studyinformation/modules/info/?moduleCode=ENEM010&amp;ay=2024/5&amp;sys=1</t>
        </is>
      </c>
      <c r="G190" s="77" t="inlineStr">
        <is>
          <t>Group Design Project - 2024 entry</t>
        </is>
      </c>
      <c r="H190" s="77" t="inlineStr">
        <is>
          <t>Module catalogue</t>
        </is>
      </c>
      <c r="I190" s="77" t="inlineStr">
        <is>
          <t>2024/5</t>
        </is>
      </c>
      <c r="J190" s="77" t="inlineStr">
        <is>
          <t>2026-10-12</t>
        </is>
      </c>
      <c r="K190" s="77" t="inlineStr">
        <is>
          <t>search-index extract (quoted)</t>
        </is>
      </c>
      <c r="L190" s="77" t="inlineStr">
        <is>
          <t>'working as part of a project team of between four and six in a situation close to that which might be found in an industrial or commercial setting'; apply knowledge 'to a real engineering situation at a professional level and as part of a team effort'; 20 credits; 18 students anticipated.</t>
        </is>
      </c>
    </row>
    <row r="191">
      <c r="A191" s="77" t="inlineStr">
        <is>
          <t>RG07-S11-R1</t>
        </is>
      </c>
      <c r="B191" s="77" t="inlineStr">
        <is>
          <t>RG07</t>
        </is>
      </c>
      <c r="C191" s="77" t="inlineStr">
        <is>
          <t>RG07-S11</t>
        </is>
      </c>
      <c r="D191" s="77" t="inlineStr">
        <is>
          <t>Group Software Engineering Project</t>
        </is>
      </c>
      <c r="E191" s="77" t="inlineStr">
        <is>
          <t>project; group; credit</t>
        </is>
      </c>
      <c r="F191" s="77" t="inlineStr">
        <is>
          <t>https://www.exeter.ac.uk/study/studyinformation/modules/info/?moduleCode=ECM2434&amp;ay=2023/4&amp;sys=1</t>
        </is>
      </c>
      <c r="G191" s="77" t="inlineStr">
        <is>
          <t>Group Software Engineering Project - 2023 entry</t>
        </is>
      </c>
      <c r="H191" s="77" t="inlineStr">
        <is>
          <t>Module catalogue</t>
        </is>
      </c>
      <c r="I191" s="77" t="inlineStr">
        <is>
          <t>2023/4</t>
        </is>
      </c>
      <c r="J191" s="77" t="inlineStr">
        <is>
          <t>2026-10-12</t>
        </is>
      </c>
      <c r="K191" s="77" t="inlineStr">
        <is>
          <t>search-summary paraphrase</t>
        </is>
      </c>
      <c r="L191" s="77" t="inlineStr">
        <is>
          <t>15 credits; topics include application of programming techniques to large-scale software system development, requirements analysis, HCI design, and software system testing and integration.</t>
        </is>
      </c>
    </row>
    <row r="192">
      <c r="A192" s="77" t="inlineStr">
        <is>
          <t>RG07-S12-R1</t>
        </is>
      </c>
      <c r="B192" s="77" t="inlineStr">
        <is>
          <t>RG07</t>
        </is>
      </c>
      <c r="C192" s="77" t="inlineStr">
        <is>
          <t>RG07-S12</t>
        </is>
      </c>
      <c r="D192" s="77" t="inlineStr">
        <is>
          <t>MSci Data Science group module (software for a customer)</t>
        </is>
      </c>
      <c r="E192" s="77" t="inlineStr">
        <is>
          <t>project; group</t>
        </is>
      </c>
      <c r="F192" s="77" t="inlineStr">
        <is>
          <t>https://www.exeter.ac.uk/undergraduate-degrees/msci-data-science/</t>
        </is>
      </c>
      <c r="G192" s="77" t="inlineStr">
        <is>
          <t>MSci Data Science</t>
        </is>
      </c>
      <c r="H192" s="77" t="inlineStr">
        <is>
          <t>Modules</t>
        </is>
      </c>
      <c r="I192" s="77" t="inlineStr">
        <is>
          <t>undated</t>
        </is>
      </c>
      <c r="J192" s="77" t="inlineStr">
        <is>
          <t>2026-10-12</t>
        </is>
      </c>
      <c r="K192" s="77" t="inlineStr">
        <is>
          <t>search-summary paraphrase</t>
        </is>
      </c>
      <c r="L192" s="77" t="inlineStr">
        <is>
          <t>Group module ECMM427 gives students experience developing software for a customer (summary; attribution between MSci Data Science pages not fully explicit).</t>
        </is>
      </c>
    </row>
    <row r="193">
      <c r="A193" s="77" t="inlineStr">
        <is>
          <t>RG07-S13-R1</t>
        </is>
      </c>
      <c r="B193" s="77" t="inlineStr">
        <is>
          <t>RG07</t>
        </is>
      </c>
      <c r="C193" s="77" t="inlineStr">
        <is>
          <t>RG07-S13</t>
        </is>
      </c>
      <c r="D193" s="77" t="inlineStr">
        <is>
          <t>Environmental Humanities research projects with the National Trust</t>
        </is>
      </c>
      <c r="E193" s="77" t="inlineStr">
        <is>
          <t>project; employer</t>
        </is>
      </c>
      <c r="F193" s="77" t="inlineStr">
        <is>
          <t>https://news.exeter.ac.uk/faculty-of-humanities-arts-and-social-sciences/humanities-and-social-sciences-penryn-cornwall/university-of-exeter-and-national-trust-to-create-student-research-opportunities-through-new-agreement/</t>
        </is>
      </c>
      <c r="G193" s="77" t="inlineStr">
        <is>
          <t>University of Exeter and National Trust to create student research opportunities</t>
        </is>
      </c>
      <c r="H193" s="77" t="inlineStr">
        <is>
          <t>News</t>
        </is>
      </c>
      <c r="I193" s="77" t="inlineStr">
        <is>
          <t>undated</t>
        </is>
      </c>
      <c r="J193" s="77" t="inlineStr">
        <is>
          <t>2026-10-12</t>
        </is>
      </c>
      <c r="K193" s="77" t="inlineStr">
        <is>
          <t>search-index extract (quoted)</t>
        </is>
      </c>
      <c r="L193" s="77" t="inlineStr">
        <is>
          <t>'The second-year students visited numerous Trust properties and sites in May, where they spoke with managers to gain an understanding of the environmental challenges they face. The students will now design a research project to be conducted during their final year, in collaboration with Trust staff.'</t>
        </is>
      </c>
    </row>
    <row r="194">
      <c r="A194" s="77" t="inlineStr">
        <is>
          <t>RG08-S01-R1</t>
        </is>
      </c>
      <c r="B194" s="77" t="inlineStr">
        <is>
          <t>RG08</t>
        </is>
      </c>
      <c r="C194" s="77" t="inlineStr">
        <is>
          <t>RG08-S01</t>
        </is>
      </c>
      <c r="D194" s="77" t="inlineStr">
        <is>
          <t>Adam Smith Consultancy Experience</t>
        </is>
      </c>
      <c r="E194" s="77" t="inlineStr">
        <is>
          <t>project; employer; status</t>
        </is>
      </c>
      <c r="F194" s="77" t="inlineStr">
        <is>
          <t>https://www.gla.ac.uk/schools/business/connections/</t>
        </is>
      </c>
      <c r="G194" s="77" t="inlineStr">
        <is>
          <t>Adam Smith Business School - External Engagement</t>
        </is>
      </c>
      <c r="H194" s="77" t="inlineStr">
        <is>
          <t>Adam Smith Consultancy Experience - submit a brief</t>
        </is>
      </c>
      <c r="I194" s="77" t="inlineStr">
        <is>
          <t>2027 round</t>
        </is>
      </c>
      <c r="J194" s="77" t="inlineStr">
        <is>
          <t>2026-10-12</t>
        </is>
      </c>
      <c r="K194" s="77" t="inlineStr">
        <is>
          <t>page text</t>
        </is>
      </c>
      <c r="L194" s="77" t="inlineStr">
        <is>
          <t>'submit your project brief below for the 2027 Adam Smith Consultancy Experience'; benefits: 'free consultancy, fresh perspectives, global insights, and in-depth research and analysis'; 'Students bring innovative thinking and evidence-based recommendations to real business challenges.' Contact: External Engagement team. Fetched page does not specify teams, courses, duration or dates.</t>
        </is>
      </c>
    </row>
    <row r="195">
      <c r="A195" s="77" t="inlineStr">
        <is>
          <t>RG08-S02-R1</t>
        </is>
      </c>
      <c r="B195" s="77" t="inlineStr">
        <is>
          <t>RG08</t>
        </is>
      </c>
      <c r="C195" s="77" t="inlineStr">
        <is>
          <t>RG08-S02</t>
        </is>
      </c>
      <c r="D195" s="77" t="inlineStr">
        <is>
          <t>MBA Group Consultancy Project</t>
        </is>
      </c>
      <c r="E195" s="77" t="inlineStr">
        <is>
          <t>project; group; employer; credit; eligibility; status; duration</t>
        </is>
      </c>
      <c r="F195" s="77" t="inlineStr">
        <is>
          <t>https://www.gla.ac.uk/coursecatalogue/course/?code=BUS5052</t>
        </is>
      </c>
      <c r="G195" s="77" t="inlineStr">
        <is>
          <t>MBA Group Consultancy Project BUS5052</t>
        </is>
      </c>
      <c r="H195" s="77" t="inlineStr">
        <is>
          <t>Course catalogue: summary, timetable, assessment</t>
        </is>
      </c>
      <c r="I195" s="77" t="inlineStr">
        <is>
          <t>2026-27 (also 2025-26 entry)</t>
        </is>
      </c>
      <c r="J195" s="77" t="inlineStr">
        <is>
          <t>2026-10-12</t>
        </is>
      </c>
      <c r="K195" s="77" t="inlineStr">
        <is>
          <t>search-index extract (quoted)</t>
        </is>
      </c>
      <c r="L195" s="77" t="inlineStr">
        <is>
          <t>10 credits, SCQF 11, typically offered in summer; 'directly engage and manage clients, demonstrating their team working, problem-solving and negotiation skills'; group report 2,500 words (65%) - executive summary report 'that presents and explains the key decisions and recommendations in response to the client brief'; group oral presentation 30 min (35%); '14 hours of interactive workshops delivered throughout semesters 1&amp;2', two 2-hour classes before the projects start, '70 hours student led group work over 2 weeks'; 'Students must be registered on one of the associated programmes listed in this course specification.'</t>
        </is>
      </c>
    </row>
    <row r="196">
      <c r="A196" s="77" t="inlineStr">
        <is>
          <t>RG08-S02-R2</t>
        </is>
      </c>
      <c r="B196" s="77" t="inlineStr">
        <is>
          <t>RG08</t>
        </is>
      </c>
      <c r="C196" s="77" t="inlineStr">
        <is>
          <t>RG08-S02</t>
        </is>
      </c>
      <c r="D196" s="77" t="inlineStr">
        <is>
          <t>MBA Group Consultancy Project</t>
        </is>
      </c>
      <c r="E196" s="77" t="inlineStr">
        <is>
          <t>employer; group</t>
        </is>
      </c>
      <c r="F196" s="77" t="inlineStr">
        <is>
          <t>https://gla.ac.uk/postgraduate/taught/businessadministration/</t>
        </is>
      </c>
      <c r="G196" s="77" t="inlineStr">
        <is>
          <t>MBA (Master of Business Administration)</t>
        </is>
      </c>
      <c r="H196" s="77" t="inlineStr">
        <is>
          <t>Programme structure</t>
        </is>
      </c>
      <c r="I196" s="77" t="inlineStr">
        <is>
          <t>undated</t>
        </is>
      </c>
      <c r="J196" s="77" t="inlineStr">
        <is>
          <t>2026-10-12</t>
        </is>
      </c>
      <c r="K196" s="77" t="inlineStr">
        <is>
          <t>search-summary paraphrase</t>
        </is>
      </c>
      <c r="L196" s="77" t="inlineStr">
        <is>
          <t>Search-summary: programme includes a team consulting project for real business challenges; project pathways (research, industry, start-up) run June-August.</t>
        </is>
      </c>
    </row>
    <row r="197">
      <c r="A197" s="77" t="inlineStr">
        <is>
          <t>RG08-S02-R3</t>
        </is>
      </c>
      <c r="B197" s="77" t="inlineStr">
        <is>
          <t>RG08</t>
        </is>
      </c>
      <c r="C197" s="77" t="inlineStr">
        <is>
          <t>RG08-S02</t>
        </is>
      </c>
      <c r="D197" s="77" t="inlineStr">
        <is>
          <t>MBA Group Consultancy Project</t>
        </is>
      </c>
      <c r="E197" s="77" t="inlineStr">
        <is>
          <t>employer</t>
        </is>
      </c>
      <c r="F197" s="77" t="inlineStr">
        <is>
          <t>https://www.gla.ac.uk/coursecatalogue/course/?code=MGT5019P</t>
        </is>
      </c>
      <c r="G197" s="77" t="inlineStr">
        <is>
          <t>Dissertation (MBA) MGT5019P</t>
        </is>
      </c>
      <c r="H197" s="77" t="inlineStr">
        <is>
          <t>Course catalogue: assessment</t>
        </is>
      </c>
      <c r="I197" s="77" t="inlineStr">
        <is>
          <t>undated</t>
        </is>
      </c>
      <c r="J197" s="77" t="inlineStr">
        <is>
          <t>2026-10-12</t>
        </is>
      </c>
      <c r="K197" s="77" t="inlineStr">
        <is>
          <t>search-index extract (quoted)</t>
        </is>
      </c>
      <c r="L197" s="77" t="inlineStr">
        <is>
          <t>Reflective report on a week-long consultancy project with an outside organisation in the MBA programme: '40 hours over a week of a consultancy project to produce a self-reflection on the practice of gathering and analysing information for a client.'</t>
        </is>
      </c>
    </row>
    <row r="198">
      <c r="A198" s="77" t="inlineStr">
        <is>
          <t>RG08-S03-R1</t>
        </is>
      </c>
      <c r="B198" s="77" t="inlineStr">
        <is>
          <t>RG08</t>
        </is>
      </c>
      <c r="C198" s="77" t="inlineStr">
        <is>
          <t>RG08-S03</t>
        </is>
      </c>
      <c r="D198" s="77" t="inlineStr">
        <is>
          <t>Integrating Business and Management in Practice</t>
        </is>
      </c>
      <c r="E198" s="77" t="inlineStr">
        <is>
          <t>project; group; employer; credit; status; duration</t>
        </is>
      </c>
      <c r="F198" s="77" t="inlineStr">
        <is>
          <t>https://www.gla.ac.uk/coursecatalogue/course/?code=MGT4091</t>
        </is>
      </c>
      <c r="G198" s="77" t="inlineStr">
        <is>
          <t>Integrating Business and Management in Practice MGT4091</t>
        </is>
      </c>
      <c r="H198" s="77" t="inlineStr">
        <is>
          <t>Course catalogue: summary, aims, ILOs, timetable</t>
        </is>
      </c>
      <c r="I198" s="77" t="inlineStr">
        <is>
          <t>2025-26</t>
        </is>
      </c>
      <c r="J198" s="77" t="inlineStr">
        <is>
          <t>2026-10-12</t>
        </is>
      </c>
      <c r="K198" s="77" t="inlineStr">
        <is>
          <t>search-index extract (quoted)</t>
        </is>
      </c>
      <c r="L198" s="77" t="inlineStr">
        <is>
          <t>15 credits, SCQF 10, Semester 2; capstone 'to apply their undergraduate learning to a real "live" organisation'; timetable 'scheduled exclusively in Week 11 of semester 2' including 'client engagement / interview for 60 mins' and a '30 minute group presentation to the client'; aim to 'finesse group working skills and demonstrate these to an external client'; ILO: construct and evaluate strategic recommendations for a client organisation.</t>
        </is>
      </c>
    </row>
    <row r="199">
      <c r="A199" s="77" t="inlineStr">
        <is>
          <t>RG08-S03-R2</t>
        </is>
      </c>
      <c r="B199" s="77" t="inlineStr">
        <is>
          <t>RG08</t>
        </is>
      </c>
      <c r="C199" s="77" t="inlineStr">
        <is>
          <t>RG08-S03</t>
        </is>
      </c>
      <c r="D199" s="77" t="inlineStr">
        <is>
          <t>Integrating Business and Management in Practice</t>
        </is>
      </c>
      <c r="E199" s="77" t="inlineStr">
        <is>
          <t>participation</t>
        </is>
      </c>
      <c r="F199" s="77" t="inlineStr">
        <is>
          <t>https://www.gla.ac.uk/undergraduate/degrees/businessmanagement/</t>
        </is>
      </c>
      <c r="G199" s="77" t="inlineStr">
        <is>
          <t>Business &amp; Management (2027 entry)</t>
        </is>
      </c>
      <c r="H199" s="77" t="inlineStr">
        <is>
          <t>Programme structure - Honours</t>
        </is>
      </c>
      <c r="I199" s="77" t="inlineStr">
        <is>
          <t>2027</t>
        </is>
      </c>
      <c r="J199" s="77" t="inlineStr">
        <is>
          <t>2026-10-12</t>
        </is>
      </c>
      <c r="K199" s="77" t="inlineStr">
        <is>
          <t>search-index extract (quoted)</t>
        </is>
      </c>
      <c r="L199" s="77" t="inlineStr">
        <is>
          <t>'If you progress to Honours (years 3 and 4), you will study five core classes including Strategic management, Global business, Ethics and business, Research methods and an integrative experiential learning course.'</t>
        </is>
      </c>
    </row>
    <row r="200">
      <c r="A200" s="77" t="inlineStr">
        <is>
          <t>RG08-S04-R1</t>
        </is>
      </c>
      <c r="B200" s="77" t="inlineStr">
        <is>
          <t>RG08</t>
        </is>
      </c>
      <c r="C200" s="77" t="inlineStr">
        <is>
          <t>RG08-S04</t>
        </is>
      </c>
      <c r="D200" s="77" t="inlineStr">
        <is>
          <t>International Management Solutions</t>
        </is>
      </c>
      <c r="E200" s="77" t="inlineStr">
        <is>
          <t>project; group; employer; credit; status; duration</t>
        </is>
      </c>
      <c r="F200" s="77" t="inlineStr">
        <is>
          <t>https://www.gla.ac.uk/coursecatalogue/course/?code=MGT5181</t>
        </is>
      </c>
      <c r="G200" s="77" t="inlineStr">
        <is>
          <t>International Management Solutions MGT5181</t>
        </is>
      </c>
      <c r="H200" s="77" t="inlineStr">
        <is>
          <t>Course catalogue 2026-27: summary, aims, timetable, assessment</t>
        </is>
      </c>
      <c r="I200" s="77" t="inlineStr">
        <is>
          <t>2026-27</t>
        </is>
      </c>
      <c r="J200" s="77" t="inlineStr">
        <is>
          <t>2026-10-12</t>
        </is>
      </c>
      <c r="K200" s="77" t="inlineStr">
        <is>
          <t>search-index extract (quoted)</t>
        </is>
      </c>
      <c r="L200" s="77" t="inlineStr">
        <is>
          <t>20 credits, SCQF 11, Semester 2; 'live, team-based consultancy project' with client organisations expanding internationally; aims include working 'with clients that are seeking to internationalise'; '8 x 2 hour practical classes, plus a one-hour online client introduction meeting for each team'; group report 6,300 words (60%), group oral presentation 30 minutes incl. Q&amp;A (25%), individual essay (15%).</t>
        </is>
      </c>
    </row>
    <row r="201">
      <c r="A201" s="77" t="inlineStr">
        <is>
          <t>RG08-S04-R2</t>
        </is>
      </c>
      <c r="B201" s="77" t="inlineStr">
        <is>
          <t>RG08</t>
        </is>
      </c>
      <c r="C201" s="77" t="inlineStr">
        <is>
          <t>RG08-S04</t>
        </is>
      </c>
      <c r="D201" s="77" t="inlineStr">
        <is>
          <t>International Management Solutions</t>
        </is>
      </c>
      <c r="E201" s="77" t="inlineStr">
        <is>
          <t>employer</t>
        </is>
      </c>
      <c r="F201" s="77" t="inlineStr">
        <is>
          <t>https://www.gla.ac.uk/postgraduate/taught/internationalbusiness/</t>
        </is>
      </c>
      <c r="G201" s="77" t="inlineStr">
        <is>
          <t>MSc International Business</t>
        </is>
      </c>
      <c r="H201" s="77" t="inlineStr">
        <is>
          <t>Programme overview</t>
        </is>
      </c>
      <c r="I201" s="77" t="inlineStr">
        <is>
          <t>undated</t>
        </is>
      </c>
      <c r="J201" s="77" t="inlineStr">
        <is>
          <t>2026-10-12</t>
        </is>
      </c>
      <c r="K201" s="77" t="inlineStr">
        <is>
          <t>search-summary paraphrase</t>
        </is>
      </c>
      <c r="L201" s="77" t="inlineStr">
        <is>
          <t>Search-summary: students 'involved in internationalisation consultancy projects with real companies'; consultancy work can replace the traditional dissertation.</t>
        </is>
      </c>
    </row>
    <row r="202">
      <c r="A202" s="77" t="inlineStr">
        <is>
          <t>RG08-S05-R1</t>
        </is>
      </c>
      <c r="B202" s="77" t="inlineStr">
        <is>
          <t>RG08</t>
        </is>
      </c>
      <c r="C202" s="77" t="inlineStr">
        <is>
          <t>RG08-S05</t>
        </is>
      </c>
      <c r="D202" s="77" t="inlineStr">
        <is>
          <t>Team Project 3 (Software Team Project)</t>
        </is>
      </c>
      <c r="E202" s="77" t="inlineStr">
        <is>
          <t>project; group; employer; reach; duration</t>
        </is>
      </c>
      <c r="F202" s="77" t="inlineStr">
        <is>
          <t>https://www.gla.ac.uk/schools/computing/industry/softwareteamproject/</t>
        </is>
      </c>
      <c r="G202" s="77" t="inlineStr">
        <is>
          <t>Software Team Project</t>
        </is>
      </c>
      <c r="H202" s="77" t="inlineStr">
        <is>
          <t>Industry &amp; Innovation</t>
        </is>
      </c>
      <c r="I202" s="77" t="inlineStr">
        <is>
          <t>undated</t>
        </is>
      </c>
      <c r="J202" s="77" t="inlineStr">
        <is>
          <t>2026-10-13</t>
        </is>
      </c>
      <c r="K202" s="77" t="inlineStr">
        <is>
          <t>page text</t>
        </is>
      </c>
      <c r="L202" s="77" t="inlineStr">
        <is>
          <t>'year long Team Project with real customers' in third year; customers submit projects, students bid, each customer selects a team; regular customer meetings; teams have one day a week.</t>
        </is>
      </c>
    </row>
    <row r="203">
      <c r="A203" s="77" t="inlineStr">
        <is>
          <t>RG08-S05-R2</t>
        </is>
      </c>
      <c r="B203" s="77" t="inlineStr">
        <is>
          <t>RG08</t>
        </is>
      </c>
      <c r="C203" s="77" t="inlineStr">
        <is>
          <t>RG08-S05</t>
        </is>
      </c>
      <c r="D203" s="77" t="inlineStr">
        <is>
          <t>Team Project 3 (Software Team Project)</t>
        </is>
      </c>
      <c r="E203" s="77" t="inlineStr">
        <is>
          <t>project; group; employer; credit; status</t>
        </is>
      </c>
      <c r="F203" s="77" t="inlineStr">
        <is>
          <t>https://www.gla.ac.uk/coursecatalogue/course/?code=COMPSCI3004</t>
        </is>
      </c>
      <c r="G203" s="77" t="inlineStr">
        <is>
          <t>Team Project 3 COMPSCI3004</t>
        </is>
      </c>
      <c r="H203" s="77" t="inlineStr">
        <is>
          <t>Course catalogue</t>
        </is>
      </c>
      <c r="I203" s="77" t="inlineStr">
        <is>
          <t>2026-27</t>
        </is>
      </c>
      <c r="J203" s="77" t="inlineStr">
        <is>
          <t>2026-10-13</t>
        </is>
      </c>
      <c r="K203" s="77" t="inlineStr">
        <is>
          <t>page text</t>
        </is>
      </c>
      <c r="L203" s="77" t="inlineStr">
        <is>
          <t>30 credits; 'substantial team based software project'; 'Work with a customer in a problem domain to elaborate, specify and refine requirements'; four 25% components.</t>
        </is>
      </c>
    </row>
    <row r="204">
      <c r="A204" s="77" t="inlineStr">
        <is>
          <t>RG08-S06-R1</t>
        </is>
      </c>
      <c r="B204" s="77" t="inlineStr">
        <is>
          <t>RG08</t>
        </is>
      </c>
      <c r="C204" s="77" t="inlineStr">
        <is>
          <t>RG08-S06</t>
        </is>
      </c>
      <c r="D204" s="77" t="inlineStr">
        <is>
          <t>Entrepreneurial Ventures Management &amp; Growth</t>
        </is>
      </c>
      <c r="E204" s="77" t="inlineStr">
        <is>
          <t>project; group; employer; participation; status</t>
        </is>
      </c>
      <c r="F204" s="77" t="inlineStr">
        <is>
          <t>https://www.gla.ac.uk/myglasgow/learningandteaching/activelearning/casestudies/experiential-learning-in-management/</t>
        </is>
      </c>
      <c r="G204" s="77" t="inlineStr">
        <is>
          <t>Experiential Learning in Management</t>
        </is>
      </c>
      <c r="H204" s="77" t="inlineStr">
        <is>
          <t>Case study</t>
        </is>
      </c>
      <c r="I204" s="77" t="inlineStr">
        <is>
          <t>undated (refs 2023)</t>
        </is>
      </c>
      <c r="J204" s="77" t="inlineStr">
        <is>
          <t>2026-10-13</t>
        </is>
      </c>
      <c r="K204" s="77" t="inlineStr">
        <is>
          <t>page text</t>
        </is>
      </c>
      <c r="L204" s="77" t="inlineStr">
        <is>
          <t>Class of 50 split into randomised teams of four or five, each 'assigned to solve a real consultancy issue for a single client organisation'; present to clients in week nine or ten.</t>
        </is>
      </c>
    </row>
    <row r="205">
      <c r="A205" s="77" t="inlineStr">
        <is>
          <t>RG09-S01-R1</t>
        </is>
      </c>
      <c r="B205" s="77" t="inlineStr">
        <is>
          <t>RG09</t>
        </is>
      </c>
      <c r="C205" s="77" t="inlineStr">
        <is>
          <t>RG09-S01</t>
        </is>
      </c>
      <c r="D205" s="77" t="inlineStr">
        <is>
          <t>Imperial Business School MSc Group Consulting Projects</t>
        </is>
      </c>
      <c r="E205" s="77" t="inlineStr">
        <is>
          <t>project; group; employer; status; duration</t>
        </is>
      </c>
      <c r="F205" s="77" t="inlineStr">
        <is>
          <t>https://www.imperial.ac.uk/business-school/news/work-imperial-msc-students-solve-real-business-challenges/</t>
        </is>
      </c>
      <c r="G205" s="77" t="inlineStr">
        <is>
          <t>Work with Imperial MSc students to solve real business challenges</t>
        </is>
      </c>
      <c r="H205" s="77" t="inlineStr">
        <is>
          <t>Call for client briefs (2026)</t>
        </is>
      </c>
      <c r="I205" s="77" t="inlineStr">
        <is>
          <t>2026</t>
        </is>
      </c>
      <c r="J205" s="77" t="inlineStr">
        <is>
          <t>2026-10-12</t>
        </is>
      </c>
      <c r="K205" s="77" t="inlineStr">
        <is>
          <t>search-summary paraphrase</t>
        </is>
      </c>
      <c r="L205" s="77" t="inlineStr">
        <is>
          <t>MSc Group Consulting Projects run June to July 2026; organisations partner with a dedicated team of MSc students for four to five weeks, free of charge; submissions reviewed and matched to an MSc programme, students bid; at the end students present final recommendations to a panel of academic assessors and company representatives (search-index summary; verbatim page quote not returned).</t>
        </is>
      </c>
    </row>
    <row r="206">
      <c r="A206" s="77" t="inlineStr">
        <is>
          <t>RG09-S01-R2</t>
        </is>
      </c>
      <c r="B206" s="77" t="inlineStr">
        <is>
          <t>RG09</t>
        </is>
      </c>
      <c r="C206" s="77" t="inlineStr">
        <is>
          <t>RG09-S01</t>
        </is>
      </c>
      <c r="D206" s="77" t="inlineStr">
        <is>
          <t>Imperial Business School MSc Group Consulting Projects</t>
        </is>
      </c>
      <c r="E206" s="77" t="inlineStr">
        <is>
          <t>group; employer; duration</t>
        </is>
      </c>
      <c r="F206" s="77" t="inlineStr">
        <is>
          <t>https://www.imperial.ac.uk/business-school/news/partner-imperials-msc-talent/</t>
        </is>
      </c>
      <c r="G206" s="77" t="inlineStr">
        <is>
          <t>Partner with Imperial's MSc talent</t>
        </is>
      </c>
      <c r="H206" s="77" t="inlineStr">
        <is>
          <t>Call for client briefs (2025)</t>
        </is>
      </c>
      <c r="I206" s="77" t="inlineStr">
        <is>
          <t>2025</t>
        </is>
      </c>
      <c r="J206" s="77" t="inlineStr">
        <is>
          <t>2026-10-12</t>
        </is>
      </c>
      <c r="K206" s="77" t="inlineStr">
        <is>
          <t>search-summary paraphrase</t>
        </is>
      </c>
      <c r="L206" s="77" t="inlineStr">
        <is>
          <t>Companies work with a dedicated team of five to seven MSc students for four to five weeks (June-July 2025); projects in-person, remote or hybrid.</t>
        </is>
      </c>
    </row>
    <row r="207">
      <c r="A207" s="77" t="inlineStr">
        <is>
          <t>RG09-S01-R3</t>
        </is>
      </c>
      <c r="B207" s="77" t="inlineStr">
        <is>
          <t>RG09</t>
        </is>
      </c>
      <c r="C207" s="77" t="inlineStr">
        <is>
          <t>RG09-S01</t>
        </is>
      </c>
      <c r="D207" s="77" t="inlineStr">
        <is>
          <t>Imperial Business School MSc Group Consulting Projects</t>
        </is>
      </c>
      <c r="E207" s="77" t="inlineStr">
        <is>
          <t>project; group; employer</t>
        </is>
      </c>
      <c r="F207" s="77" t="inlineStr">
        <is>
          <t>https://www.imperial.ac.uk/business-school/corporate-relations/recruit-new-talent/partner-our-students/</t>
        </is>
      </c>
      <c r="G207" s="77" t="inlineStr">
        <is>
          <t>Partner with our students</t>
        </is>
      </c>
      <c r="H207" s="77" t="inlineStr">
        <is>
          <t>Consulting Project course / Perspectives on Practice</t>
        </is>
      </c>
      <c r="I207" s="77" t="inlineStr">
        <is>
          <t>undated (refers to Summer 2025)</t>
        </is>
      </c>
      <c r="J207" s="77" t="inlineStr">
        <is>
          <t>2026-10-12</t>
        </is>
      </c>
      <c r="K207" s="77" t="inlineStr">
        <is>
          <t>search-index extract</t>
        </is>
      </c>
      <c r="L207" s="77" t="inlineStr">
        <is>
          <t>Designed to give MSc students an opportunity to work on a small real-life consulting project in groups of 5 to 7 students; Perspectives on Practice (MBA) is individual and self-directed.</t>
        </is>
      </c>
    </row>
    <row r="208">
      <c r="A208" s="77" t="inlineStr">
        <is>
          <t>RG09-S01-R4</t>
        </is>
      </c>
      <c r="B208" s="77" t="inlineStr">
        <is>
          <t>RG09</t>
        </is>
      </c>
      <c r="C208" s="77" t="inlineStr">
        <is>
          <t>RG09-S01</t>
        </is>
      </c>
      <c r="D208" s="77" t="inlineStr">
        <is>
          <t>Imperial Business School MSc Group Consulting Projects</t>
        </is>
      </c>
      <c r="E208" s="77" t="inlineStr">
        <is>
          <t>employer; participation</t>
        </is>
      </c>
      <c r="F208" s="77" t="inlineStr">
        <is>
          <t>https://www.imperial.ac.uk/business-school/alumni/alumni-careers/</t>
        </is>
      </c>
      <c r="G208" s="77" t="inlineStr">
        <is>
          <t>Alumni careers</t>
        </is>
      </c>
      <c r="H208" s="77" t="inlineStr">
        <is>
          <t>Employer engagement item</t>
        </is>
      </c>
      <c r="I208" s="77" t="inlineStr">
        <is>
          <t>undated ('last summer')</t>
        </is>
      </c>
      <c r="J208" s="77" t="inlineStr">
        <is>
          <t>2026-10-12</t>
        </is>
      </c>
      <c r="K208" s="77" t="inlineStr">
        <is>
          <t>search-index extract</t>
        </is>
      </c>
      <c r="L208" s="77" t="inlineStr">
        <is>
          <t>Global consulting firm AlixPartners were one of 87 companies who partnered with Imperial Business School for our Consulting Projects, presenting students with a real-world business challenge.</t>
        </is>
      </c>
    </row>
    <row r="209">
      <c r="A209" s="77" t="inlineStr">
        <is>
          <t>RG09-S02-R1</t>
        </is>
      </c>
      <c r="B209" s="77" t="inlineStr">
        <is>
          <t>RG09</t>
        </is>
      </c>
      <c r="C209" s="77" t="inlineStr">
        <is>
          <t>RG09-S02</t>
        </is>
      </c>
      <c r="D209" s="77" t="inlineStr">
        <is>
          <t>Strategic Marketing Consulting Project</t>
        </is>
      </c>
      <c r="E209" s="77" t="inlineStr">
        <is>
          <t>project; credit; status; participation</t>
        </is>
      </c>
      <c r="F209" s="77" t="inlineStr">
        <is>
          <t>https://www.imperial.ac.uk/media/imperial-college/study/programme-specifications/icbs/25x2f26/N501T-MSc-Strategic-Marketing-2025-26.pdf</t>
        </is>
      </c>
      <c r="G209" s="77" t="inlineStr">
        <is>
          <t>MSc Strategic Marketing 2025-26 Programme Specification</t>
        </is>
      </c>
      <c r="H209" s="77" t="inlineStr">
        <is>
          <t>Summer term electives</t>
        </is>
      </c>
      <c r="I209" s="77" t="inlineStr">
        <is>
          <t>2025-26</t>
        </is>
      </c>
      <c r="J209" s="77" t="inlineStr">
        <is>
          <t>2026-10-12</t>
        </is>
      </c>
      <c r="K209" s="77" t="inlineStr">
        <is>
          <t>search-index extract</t>
        </is>
      </c>
      <c r="L209" s="77" t="inlineStr">
        <is>
          <t>Strategic Marketing Consulting Project (BUSI70292) is a 10-ECTS elective in the Summer term, Elective group C; students choose a Consulting Project, a Case Study or a Work Placement in the summer period.</t>
        </is>
      </c>
    </row>
    <row r="210">
      <c r="A210" s="77" t="inlineStr">
        <is>
          <t>RG09-S02-R2</t>
        </is>
      </c>
      <c r="B210" s="77" t="inlineStr">
        <is>
          <t>RG09</t>
        </is>
      </c>
      <c r="C210" s="77" t="inlineStr">
        <is>
          <t>RG09-S02</t>
        </is>
      </c>
      <c r="D210" s="77" t="inlineStr">
        <is>
          <t>Strategic Marketing Consulting Project</t>
        </is>
      </c>
      <c r="E210" s="77" t="inlineStr">
        <is>
          <t>group; employer; status</t>
        </is>
      </c>
      <c r="F210" s="77" t="inlineStr">
        <is>
          <t>https://www.imperial.ac.uk/business-school/news/work-imperial-msc-students-solve-real-business-challenges/</t>
        </is>
      </c>
      <c r="G210" s="77" t="inlineStr">
        <is>
          <t>Work with Imperial MSc students to solve real business challenges</t>
        </is>
      </c>
      <c r="H210" s="77" t="inlineStr">
        <is>
          <t>Call for client briefs (2026)</t>
        </is>
      </c>
      <c r="I210" s="77" t="inlineStr">
        <is>
          <t>2026</t>
        </is>
      </c>
      <c r="J210" s="77" t="inlineStr">
        <is>
          <t>2026-10-12</t>
        </is>
      </c>
      <c r="K210" s="77" t="inlineStr">
        <is>
          <t>search-summary paraphrase</t>
        </is>
      </c>
      <c r="L210" s="77" t="inlineStr">
        <is>
          <t>Projects drawn from seven MSc programmes incl. Strategic Marketing; team projects June-July 2026 (search-summary).</t>
        </is>
      </c>
    </row>
    <row r="211">
      <c r="A211" s="77" t="inlineStr">
        <is>
          <t>RG09-S02-R3</t>
        </is>
      </c>
      <c r="B211" s="77" t="inlineStr">
        <is>
          <t>RG09</t>
        </is>
      </c>
      <c r="C211" s="77" t="inlineStr">
        <is>
          <t>RG09-S02</t>
        </is>
      </c>
      <c r="D211" s="77" t="inlineStr">
        <is>
          <t>Strategic Marketing Consulting Project</t>
        </is>
      </c>
      <c r="E211" s="77" t="inlineStr">
        <is>
          <t>project; employer; duration</t>
        </is>
      </c>
      <c r="F211" s="77" t="inlineStr">
        <is>
          <t>https://www.imperial.ac.uk/business-school/blogs/features/applying-learnings-msc-strategic-marketing-live-client-project/</t>
        </is>
      </c>
      <c r="G211" s="77" t="inlineStr">
        <is>
          <t>Applying learnings from MSc Strategic Marketing to a live client project</t>
        </is>
      </c>
      <c r="H211" s="77" t="inlineStr">
        <is>
          <t>Student blog</t>
        </is>
      </c>
      <c r="I211" s="77" t="inlineStr">
        <is>
          <t>undated (past cohort)</t>
        </is>
      </c>
      <c r="J211" s="77" t="inlineStr">
        <is>
          <t>2026-10-12</t>
        </is>
      </c>
      <c r="K211" s="77" t="inlineStr">
        <is>
          <t>search-summary paraphrase</t>
        </is>
      </c>
      <c r="L211" s="77" t="inlineStr">
        <is>
          <t>In a past MSc Strategic Marketing cohort, students worked on consulting projects for six weeks, working closely with the client from their assigned company (search-summary).</t>
        </is>
      </c>
    </row>
    <row r="212">
      <c r="A212" s="77" t="inlineStr">
        <is>
          <t>RG09-S03-R1</t>
        </is>
      </c>
      <c r="B212" s="77" t="inlineStr">
        <is>
          <t>RG09</t>
        </is>
      </c>
      <c r="C212" s="77" t="inlineStr">
        <is>
          <t>RG09-S03</t>
        </is>
      </c>
      <c r="D212" s="77" t="inlineStr">
        <is>
          <t>MSc Business Analytics &amp; AI Consulting Project (capstone option)</t>
        </is>
      </c>
      <c r="E212" s="77" t="inlineStr">
        <is>
          <t>project; group; employer</t>
        </is>
      </c>
      <c r="F212" s="77" t="inlineStr">
        <is>
          <t>https://www.imperial.ac.uk/business-school/programmes/msc-business-analytics/programme/project/</t>
        </is>
      </c>
      <c r="G212" s="77" t="inlineStr">
        <is>
          <t>MSc Business Analytics &amp; AI - Project</t>
        </is>
      </c>
      <c r="H212" s="77" t="inlineStr">
        <is>
          <t>Projects</t>
        </is>
      </c>
      <c r="I212" s="77" t="inlineStr">
        <is>
          <t>undated</t>
        </is>
      </c>
      <c r="J212" s="77" t="inlineStr">
        <is>
          <t>2026-10-12</t>
        </is>
      </c>
      <c r="K212" s="77" t="inlineStr">
        <is>
          <t>search-summary paraphrase</t>
        </is>
      </c>
      <c r="L212" s="77" t="inlineStr">
        <is>
          <t>The capstone runs over the summer term; students choose either a Consulting Project or a Work Placement. The Consulting Project is a substantial group-based project undertaken for a real client; collaborating organisations include Agilisys, Burberry, Expedia, Johnson and Johnson, PropertyScape, Trench Capital and 55 UK (search-summary of programme page; see also https://www.imperial.ac.uk/business-school/masters/business-analytics/).</t>
        </is>
      </c>
    </row>
    <row r="213">
      <c r="A213" s="77" t="inlineStr">
        <is>
          <t>RG09-S03-R2</t>
        </is>
      </c>
      <c r="B213" s="77" t="inlineStr">
        <is>
          <t>RG09</t>
        </is>
      </c>
      <c r="C213" s="77" t="inlineStr">
        <is>
          <t>RG09-S03</t>
        </is>
      </c>
      <c r="D213" s="77" t="inlineStr">
        <is>
          <t>MSc Business Analytics &amp; AI Consulting Project (capstone option)</t>
        </is>
      </c>
      <c r="E213" s="77" t="inlineStr">
        <is>
          <t>status; group</t>
        </is>
      </c>
      <c r="F213" s="77" t="inlineStr">
        <is>
          <t>https://www.imperial.ac.uk/business-school/news/work-imperial-msc-students-solve-real-business-challenges/</t>
        </is>
      </c>
      <c r="G213" s="77" t="inlineStr">
        <is>
          <t>Work with Imperial MSc students to solve real business challenges</t>
        </is>
      </c>
      <c r="H213" s="77" t="inlineStr">
        <is>
          <t>Call for client briefs (2026)</t>
        </is>
      </c>
      <c r="I213" s="77" t="inlineStr">
        <is>
          <t>2026</t>
        </is>
      </c>
      <c r="J213" s="77" t="inlineStr">
        <is>
          <t>2026-10-12</t>
        </is>
      </c>
      <c r="K213" s="77" t="inlineStr">
        <is>
          <t>search-summary paraphrase</t>
        </is>
      </c>
      <c r="L213" s="77" t="inlineStr">
        <is>
          <t>Business Analytics among seven MSc programmes taking June-July 2026 group consulting projects.</t>
        </is>
      </c>
    </row>
    <row r="214">
      <c r="A214" s="77" t="inlineStr">
        <is>
          <t>RG09-S04-R1</t>
        </is>
      </c>
      <c r="B214" s="77" t="inlineStr">
        <is>
          <t>RG09</t>
        </is>
      </c>
      <c r="C214" s="77" t="inlineStr">
        <is>
          <t>RG09-S04</t>
        </is>
      </c>
      <c r="D214" s="77" t="inlineStr">
        <is>
          <t>MSc Management Consulting Project</t>
        </is>
      </c>
      <c r="E214" s="77" t="inlineStr">
        <is>
          <t>project; group; employer</t>
        </is>
      </c>
      <c r="F214" s="77" t="inlineStr">
        <is>
          <t>https://www.imperial.ac.uk/business-school/masters/management/</t>
        </is>
      </c>
      <c r="G214" s="77" t="inlineStr">
        <is>
          <t>MSc in Management (MiM)</t>
        </is>
      </c>
      <c r="H214" s="77" t="inlineStr">
        <is>
          <t>Consulting project</t>
        </is>
      </c>
      <c r="I214" s="77" t="inlineStr">
        <is>
          <t>undated</t>
        </is>
      </c>
      <c r="J214" s="77" t="inlineStr">
        <is>
          <t>2026-10-12</t>
        </is>
      </c>
      <c r="K214" s="77" t="inlineStr">
        <is>
          <t>search-summary paraphrase</t>
        </is>
      </c>
      <c r="L214" s="77" t="inlineStr">
        <is>
          <t>The MiM consulting project is a substantial group-based project undertaken for an actual client (search-summary).</t>
        </is>
      </c>
    </row>
    <row r="215">
      <c r="A215" s="77" t="inlineStr">
        <is>
          <t>RG09-S04-R2</t>
        </is>
      </c>
      <c r="B215" s="77" t="inlineStr">
        <is>
          <t>RG09</t>
        </is>
      </c>
      <c r="C215" s="77" t="inlineStr">
        <is>
          <t>RG09-S04</t>
        </is>
      </c>
      <c r="D215" s="77" t="inlineStr">
        <is>
          <t>MSc Management Consulting Project</t>
        </is>
      </c>
      <c r="E215" s="77" t="inlineStr">
        <is>
          <t>employer</t>
        </is>
      </c>
      <c r="F215" s="77" t="inlineStr">
        <is>
          <t>https://www.imperial.ac.uk/business-school/blogs/features/gaining-real-consulting-experience-global-companies-msc-management/</t>
        </is>
      </c>
      <c r="G215" s="77" t="inlineStr">
        <is>
          <t>Gaining real consulting experience with global companies on MSc Management</t>
        </is>
      </c>
      <c r="H215" s="77" t="inlineStr">
        <is>
          <t>Student blog</t>
        </is>
      </c>
      <c r="I215" s="77" t="inlineStr">
        <is>
          <t>undated (several years old)</t>
        </is>
      </c>
      <c r="J215" s="77" t="inlineStr">
        <is>
          <t>2026-10-12</t>
        </is>
      </c>
      <c r="K215" s="77" t="inlineStr">
        <is>
          <t>search-summary paraphrase</t>
        </is>
      </c>
      <c r="L215" s="77" t="inlineStr">
        <is>
          <t>Students apply programme learning to a live client project; past clients include Lamborghini and Capco (search-summary).</t>
        </is>
      </c>
    </row>
    <row r="216">
      <c r="A216" s="77" t="inlineStr">
        <is>
          <t>RG09-S04-R3</t>
        </is>
      </c>
      <c r="B216" s="77" t="inlineStr">
        <is>
          <t>RG09</t>
        </is>
      </c>
      <c r="C216" s="77" t="inlineStr">
        <is>
          <t>RG09-S04</t>
        </is>
      </c>
      <c r="D216" s="77" t="inlineStr">
        <is>
          <t>MSc Management Consulting Project</t>
        </is>
      </c>
      <c r="E216" s="77" t="inlineStr">
        <is>
          <t>status</t>
        </is>
      </c>
      <c r="F216" s="77" t="inlineStr">
        <is>
          <t>https://www.imperial.ac.uk/business-school/news/work-imperial-msc-students-solve-real-business-challenges/</t>
        </is>
      </c>
      <c r="G216" s="77" t="inlineStr">
        <is>
          <t>Work with Imperial MSc students to solve real business challenges</t>
        </is>
      </c>
      <c r="H216" s="77" t="inlineStr">
        <is>
          <t>Call for client briefs (2026)</t>
        </is>
      </c>
      <c r="I216" s="77" t="inlineStr">
        <is>
          <t>2026</t>
        </is>
      </c>
      <c r="J216" s="77" t="inlineStr">
        <is>
          <t>2026-10-12</t>
        </is>
      </c>
      <c r="K216" s="77" t="inlineStr">
        <is>
          <t>search-summary paraphrase</t>
        </is>
      </c>
      <c r="L216" s="77" t="inlineStr">
        <is>
          <t>Management among seven MSc programmes in June-July 2026 consulting projects.</t>
        </is>
      </c>
    </row>
    <row r="217">
      <c r="A217" s="77" t="inlineStr">
        <is>
          <t>RG09-S05-R1</t>
        </is>
      </c>
      <c r="B217" s="77" t="inlineStr">
        <is>
          <t>RG09</t>
        </is>
      </c>
      <c r="C217" s="77" t="inlineStr">
        <is>
          <t>RG09-S05</t>
        </is>
      </c>
      <c r="D217" s="77" t="inlineStr">
        <is>
          <t>Consulting Project (MSc Economics &amp; Strategy for Business)</t>
        </is>
      </c>
      <c r="E217" s="77" t="inlineStr">
        <is>
          <t>project; group; employer; duration</t>
        </is>
      </c>
      <c r="F217" s="77" t="inlineStr">
        <is>
          <t>https://www.imperial.ac.uk/business-school/masters/economics-strategy-business/</t>
        </is>
      </c>
      <c r="G217" s="77" t="inlineStr">
        <is>
          <t>MSc Economics &amp; Strategy for Business</t>
        </is>
      </c>
      <c r="H217" s="77" t="inlineStr">
        <is>
          <t>Consulting Project</t>
        </is>
      </c>
      <c r="I217" s="77" t="inlineStr">
        <is>
          <t>undated</t>
        </is>
      </c>
      <c r="J217" s="77" t="inlineStr">
        <is>
          <t>2026-10-12</t>
        </is>
      </c>
      <c r="K217" s="77" t="inlineStr">
        <is>
          <t>search-summary paraphrase</t>
        </is>
      </c>
      <c r="L217" s="77" t="inlineStr">
        <is>
          <t>The Consulting Project runs in June-July. It is a substantial group-based project for a real client (search-summary).</t>
        </is>
      </c>
    </row>
    <row r="218">
      <c r="A218" s="77" t="inlineStr">
        <is>
          <t>RG09-S06-R1</t>
        </is>
      </c>
      <c r="B218" s="77" t="inlineStr">
        <is>
          <t>RG09</t>
        </is>
      </c>
      <c r="C218" s="77" t="inlineStr">
        <is>
          <t>RG09-S06</t>
        </is>
      </c>
      <c r="D218" s="77" t="inlineStr">
        <is>
          <t>Consulting Project (MSc Climate Change, Management &amp; Finance)</t>
        </is>
      </c>
      <c r="E218" s="77" t="inlineStr">
        <is>
          <t>project; group; employer</t>
        </is>
      </c>
      <c r="F218" s="77" t="inlineStr">
        <is>
          <t>https://www.imperial.ac.uk/business-school/masters/climate-change-management-finance/</t>
        </is>
      </c>
      <c r="G218" s="77" t="inlineStr">
        <is>
          <t>MSc Climate Change, Management &amp; Finance</t>
        </is>
      </c>
      <c r="H218" s="77" t="inlineStr">
        <is>
          <t>Consulting project</t>
        </is>
      </c>
      <c r="I218" s="77" t="inlineStr">
        <is>
          <t>undated</t>
        </is>
      </c>
      <c r="J218" s="77" t="inlineStr">
        <is>
          <t>2026-10-12</t>
        </is>
      </c>
      <c r="K218" s="77" t="inlineStr">
        <is>
          <t>search-summary paraphrase</t>
        </is>
      </c>
      <c r="L218" s="77" t="inlineStr">
        <is>
          <t>The consulting project will be delivered for a real client; students combine programme material with a specific problem as part of a team; alternative to a work placement (search-summary). 2025-26 programme spec: https://www.imperial.ac.uk/media/imperial-college/study/programme-specifications/icbs/25x2f26/N304-MSc-Climate-Change-Management-and-Finance-2025-26.pdf</t>
        </is>
      </c>
    </row>
    <row r="219">
      <c r="A219" s="77" t="inlineStr">
        <is>
          <t>RG09-S07-R1</t>
        </is>
      </c>
      <c r="B219" s="77" t="inlineStr">
        <is>
          <t>RG09</t>
        </is>
      </c>
      <c r="C219" s="77" t="inlineStr">
        <is>
          <t>RG09-S07</t>
        </is>
      </c>
      <c r="D219" s="77" t="inlineStr">
        <is>
          <t>Third-year MEng Group Project (Electrical and Electronic Engineering)</t>
        </is>
      </c>
      <c r="E219" s="77" t="inlineStr">
        <is>
          <t>project; group; employer; eligibility; participation</t>
        </is>
      </c>
      <c r="F219" s="77" t="inlineStr">
        <is>
          <t>https://www.imperial.ac.uk/electrical-engineering/study/current-students-course-handbook/projects/</t>
        </is>
      </c>
      <c r="G219" s="77" t="inlineStr">
        <is>
          <t>Projects (EEE course handbook)</t>
        </is>
      </c>
      <c r="H219" s="77" t="inlineStr">
        <is>
          <t>Third year group project</t>
        </is>
      </c>
      <c r="I219" s="77" t="inlineStr">
        <is>
          <t>undated</t>
        </is>
      </c>
      <c r="J219" s="77" t="inlineStr">
        <is>
          <t>2026-10-12</t>
        </is>
      </c>
      <c r="K219" s="77" t="inlineStr">
        <is>
          <t>search-index extract</t>
        </is>
      </c>
      <c r="L219" s="77" t="inlineStr">
        <is>
          <t>The 3rd year group project is undertaken by those students in the 3rd Year of the MEng who choose not to undertake an Industrial Placement. All projects are proposed by industry and are addressed by groups of 5 to 7 students. They are supervised by industry but the project is undertaken at Imperial. Each group will be allocated an industrial and an academic supervisor, who will provide guidance and assess the outcomes.</t>
        </is>
      </c>
    </row>
    <row r="220">
      <c r="A220" s="77" t="inlineStr">
        <is>
          <t>RG09-S07-R2</t>
        </is>
      </c>
      <c r="B220" s="77" t="inlineStr">
        <is>
          <t>RG09</t>
        </is>
      </c>
      <c r="C220" s="77" t="inlineStr">
        <is>
          <t>RG09-S07</t>
        </is>
      </c>
      <c r="D220" s="77" t="inlineStr">
        <is>
          <t>Third-year MEng Group Project (Electrical and Electronic Engineering)</t>
        </is>
      </c>
      <c r="E220" s="77" t="inlineStr">
        <is>
          <t>project; employer; status; duration</t>
        </is>
      </c>
      <c r="F220" s="77" t="inlineStr">
        <is>
          <t>https://www.imperial.ac.uk/media/imperial-college/study/programme-specifications/eee/24x2f25/H601-MEng-Electrical-and-Electronic-Engineering-YA-2024-25.pdf</t>
        </is>
      </c>
      <c r="G220" s="77" t="inlineStr">
        <is>
          <t>Programme Specification 2024-25 MEng EEE</t>
        </is>
      </c>
      <c r="H220" s="77" t="inlineStr">
        <is>
          <t>Year 3 options</t>
        </is>
      </c>
      <c r="I220" s="77" t="inlineStr">
        <is>
          <t>2024-25</t>
        </is>
      </c>
      <c r="J220" s="77" t="inlineStr">
        <is>
          <t>2026-10-12</t>
        </is>
      </c>
      <c r="K220" s="77" t="inlineStr">
        <is>
          <t>search-summary paraphrase</t>
        </is>
      </c>
      <c r="L220" s="77" t="inlineStr">
        <is>
          <t>Describes the option as a 3 month group project proposed by one of our industrial partners (search-summary).</t>
        </is>
      </c>
    </row>
    <row r="221">
      <c r="A221" s="77" t="inlineStr">
        <is>
          <t>RG09-S08-R1</t>
        </is>
      </c>
      <c r="B221" s="77" t="inlineStr">
        <is>
          <t>RG09</t>
        </is>
      </c>
      <c r="C221" s="77" t="inlineStr">
        <is>
          <t>RG09-S08</t>
        </is>
      </c>
      <c r="D221" s="77" t="inlineStr">
        <is>
          <t>Year 3 Software Engineering Group Project</t>
        </is>
      </c>
      <c r="E221" s="77" t="inlineStr">
        <is>
          <t>project; group; employer</t>
        </is>
      </c>
      <c r="F221" s="77" t="inlineStr">
        <is>
          <t>https://www.imperial.ac.uk/engineering/departments/computing/current-students/courses/60021/</t>
        </is>
      </c>
      <c r="G221" s="77" t="inlineStr">
        <is>
          <t>60021 Year 3 Software Engineering Group Project</t>
        </is>
      </c>
      <c r="H221" s="77" t="inlineStr">
        <is>
          <t>Module page</t>
        </is>
      </c>
      <c r="I221" s="77" t="inlineStr">
        <is>
          <t>undated</t>
        </is>
      </c>
      <c r="J221" s="77" t="inlineStr">
        <is>
          <t>2026-10-12</t>
        </is>
      </c>
      <c r="K221" s="77" t="inlineStr">
        <is>
          <t>search-summary paraphrase</t>
        </is>
      </c>
      <c r="L221" s="77" t="inlineStr">
        <is>
          <t>Teams build software for a customer in four two-week iterations; teams agree requirements with the customer each iteration; marking draws on assessors with input from the project customer; peer assessment.</t>
        </is>
      </c>
    </row>
    <row r="222">
      <c r="A222" s="77" t="inlineStr">
        <is>
          <t>RG09-S08-R2</t>
        </is>
      </c>
      <c r="B222" s="77" t="inlineStr">
        <is>
          <t>RG09</t>
        </is>
      </c>
      <c r="C222" s="77" t="inlineStr">
        <is>
          <t>RG09-S08</t>
        </is>
      </c>
      <c r="D222" s="77" t="inlineStr">
        <is>
          <t>Year 3 Software Engineering Group Project</t>
        </is>
      </c>
      <c r="E222" s="77" t="inlineStr">
        <is>
          <t>employer; group</t>
        </is>
      </c>
      <c r="F222" s="77" t="inlineStr">
        <is>
          <t>https://www.imperial.ac.uk/engineering/departments/computing/industry/projects/</t>
        </is>
      </c>
      <c r="G222" s="77" t="inlineStr">
        <is>
          <t>Projects x Industry</t>
        </is>
      </c>
      <c r="H222" s="77" t="inlineStr">
        <is>
          <t>Industry projects</t>
        </is>
      </c>
      <c r="I222" s="77" t="inlineStr">
        <is>
          <t>undated</t>
        </is>
      </c>
      <c r="J222" s="77" t="inlineStr">
        <is>
          <t>2026-10-12</t>
        </is>
      </c>
      <c r="K222" s="77" t="inlineStr">
        <is>
          <t>search-summary paraphrase</t>
        </is>
      </c>
      <c r="L222" s="77" t="inlineStr">
        <is>
          <t>Many of the group projects are proposed by our industry collaborators; typical commitment from an industrial partner involves two or three meetings, and ad hoc email support; group projects suitable for 4 to 6 students.</t>
        </is>
      </c>
    </row>
    <row r="223">
      <c r="A223" s="77" t="inlineStr">
        <is>
          <t>RG09-S08-R3</t>
        </is>
      </c>
      <c r="B223" s="77" t="inlineStr">
        <is>
          <t>RG09</t>
        </is>
      </c>
      <c r="C223" s="77" t="inlineStr">
        <is>
          <t>RG09-S08</t>
        </is>
      </c>
      <c r="D223" s="77" t="inlineStr">
        <is>
          <t>Year 3 Software Engineering Group Project</t>
        </is>
      </c>
      <c r="E223" s="77" t="inlineStr">
        <is>
          <t>credit; participation; status</t>
        </is>
      </c>
      <c r="F223" s="77" t="inlineStr">
        <is>
          <t>https://www.imperial.ac.uk/computing/current-students/computing/comp-third-meng/</t>
        </is>
      </c>
      <c r="G223" s="77" t="inlineStr">
        <is>
          <t>Computing Third Year (MEng)</t>
        </is>
      </c>
      <c r="H223" s="77" t="inlineStr">
        <is>
          <t>Year 3 modules</t>
        </is>
      </c>
      <c r="I223" s="77" t="inlineStr">
        <is>
          <t>2025-26</t>
        </is>
      </c>
      <c r="J223" s="77" t="inlineStr">
        <is>
          <t>2026-10-12</t>
        </is>
      </c>
      <c r="K223" s="77" t="inlineStr">
        <is>
          <t>search-summary paraphrase</t>
        </is>
      </c>
      <c r="L223" s="77" t="inlineStr">
        <is>
          <t>2025-26 MEng/BEng specifications list COMP60021 as an elective, Spring term, 10 credits.</t>
        </is>
      </c>
    </row>
    <row r="224">
      <c r="A224" s="77" t="inlineStr">
        <is>
          <t>RG09-S09-R1</t>
        </is>
      </c>
      <c r="B224" s="77" t="inlineStr">
        <is>
          <t>RG09</t>
        </is>
      </c>
      <c r="C224" s="77" t="inlineStr">
        <is>
          <t>RG09-S09</t>
        </is>
      </c>
      <c r="D224" s="77" t="inlineStr">
        <is>
          <t>Third Year Group Design Project (Civil and Environmental Engineering)</t>
        </is>
      </c>
      <c r="E224" s="77" t="inlineStr">
        <is>
          <t>project; group; duration</t>
        </is>
      </c>
      <c r="F224" s="77" t="inlineStr">
        <is>
          <t>https://www.imperial.ac.uk/civil-engineering/prospective-students/undergraduate-admissions/individual-and-group-projects/</t>
        </is>
      </c>
      <c r="G224" s="77" t="inlineStr">
        <is>
          <t>Individual and group projects</t>
        </is>
      </c>
      <c r="H224" s="77" t="inlineStr">
        <is>
          <t>Group Design Project</t>
        </is>
      </c>
      <c r="I224" s="77" t="inlineStr">
        <is>
          <t>undated</t>
        </is>
      </c>
      <c r="J224" s="77" t="inlineStr">
        <is>
          <t>2026-10-12</t>
        </is>
      </c>
      <c r="K224" s="77" t="inlineStr">
        <is>
          <t>search-index extract</t>
        </is>
      </c>
      <c r="L224" s="77" t="inlineStr">
        <is>
          <t>The Third Year Group design project is an intensive four-week activity held after the students examinations in the Summer Term. The purpose of the project is to engage the students in 'real' multi-faceted Civil Engineering projects and to develop their team working skills.</t>
        </is>
      </c>
    </row>
    <row r="225">
      <c r="A225" s="77" t="inlineStr">
        <is>
          <t>RG09-S09-R2</t>
        </is>
      </c>
      <c r="B225" s="77" t="inlineStr">
        <is>
          <t>RG09</t>
        </is>
      </c>
      <c r="C225" s="77" t="inlineStr">
        <is>
          <t>RG09-S09</t>
        </is>
      </c>
      <c r="D225" s="77" t="inlineStr">
        <is>
          <t>Third Year Group Design Project (Civil and Environmental Engineering)</t>
        </is>
      </c>
      <c r="E225" s="77" t="inlineStr">
        <is>
          <t>employer</t>
        </is>
      </c>
      <c r="F225" s="77" t="inlineStr">
        <is>
          <t>https://www.imperial.ac.uk/civil-engineering/about-us/industry-and-outreach/ways-to-get-involved/</t>
        </is>
      </c>
      <c r="G225" s="77" t="inlineStr">
        <is>
          <t>Ways to get involved</t>
        </is>
      </c>
      <c r="H225" s="77" t="inlineStr">
        <is>
          <t>Industry</t>
        </is>
      </c>
      <c r="I225" s="77" t="inlineStr">
        <is>
          <t>undated</t>
        </is>
      </c>
      <c r="J225" s="77" t="inlineStr">
        <is>
          <t>2026-10-12</t>
        </is>
      </c>
      <c r="K225" s="77" t="inlineStr">
        <is>
          <t>search-summary paraphrase</t>
        </is>
      </c>
      <c r="L225" s="77" t="inlineStr">
        <is>
          <t>If you are interested in supervising a project at Undergraduate level, please contact: Year 3. Group Design Projects. (search-summary; Civil Engineering MEng course page lists Civil Engineering Design 3 as involving industrial partnering).</t>
        </is>
      </c>
    </row>
    <row r="226">
      <c r="A226" s="77" t="inlineStr">
        <is>
          <t>RG09-S10-R1</t>
        </is>
      </c>
      <c r="B226" s="77" t="inlineStr">
        <is>
          <t>RG09</t>
        </is>
      </c>
      <c r="C226" s="77" t="inlineStr">
        <is>
          <t>RG09-S10</t>
        </is>
      </c>
      <c r="D226" s="77" t="inlineStr">
        <is>
          <t>Group Design Project (MSc Transport / Transport with Data Science)</t>
        </is>
      </c>
      <c r="E226" s="77" t="inlineStr">
        <is>
          <t>project; group; employer; duration</t>
        </is>
      </c>
      <c r="F226" s="77" t="inlineStr">
        <is>
          <t>https://www.imperial.ac.uk/study/courses/postgraduate-taught/transport-data-science/</t>
        </is>
      </c>
      <c r="G226" s="77" t="inlineStr">
        <is>
          <t>Transport with Data Science MSc</t>
        </is>
      </c>
      <c r="H226" s="77" t="inlineStr">
        <is>
          <t>Group Design Project</t>
        </is>
      </c>
      <c r="I226" s="77" t="inlineStr">
        <is>
          <t>undated</t>
        </is>
      </c>
      <c r="J226" s="77" t="inlineStr">
        <is>
          <t>2026-10-12</t>
        </is>
      </c>
      <c r="K226" s="77" t="inlineStr">
        <is>
          <t>search-summary paraphrase</t>
        </is>
      </c>
      <c r="L226" s="77" t="inlineStr">
        <is>
          <t>This module, delivered over 4 weeks full-time, provides you with an opportunity to work in teams on a significant piece of transport engineering design. You will work with clients to develop the briefs into projects.</t>
        </is>
      </c>
    </row>
    <row r="227">
      <c r="A227" s="77" t="inlineStr">
        <is>
          <t>RG09-S10-R2</t>
        </is>
      </c>
      <c r="B227" s="77" t="inlineStr">
        <is>
          <t>RG09</t>
        </is>
      </c>
      <c r="C227" s="77" t="inlineStr">
        <is>
          <t>RG09-S10</t>
        </is>
      </c>
      <c r="D227" s="77" t="inlineStr">
        <is>
          <t>Group Design Project (MSc Transport / Transport with Data Science)</t>
        </is>
      </c>
      <c r="E227" s="77" t="inlineStr">
        <is>
          <t>status; project</t>
        </is>
      </c>
      <c r="F227" s="77" t="inlineStr">
        <is>
          <t>https://www.imperial.ac.uk/media/imperial-college/study/programme-specifications/civil/24x2f25/H2B5-MSc-Transport-with-Data-Science-2024-25.pdf</t>
        </is>
      </c>
      <c r="G227" s="77" t="inlineStr">
        <is>
          <t>MSc Transport with Data Science programme specification</t>
        </is>
      </c>
      <c r="H227" s="77" t="inlineStr">
        <is>
          <t>Summer period</t>
        </is>
      </c>
      <c r="I227" s="77" t="inlineStr">
        <is>
          <t>2024-25</t>
        </is>
      </c>
      <c r="J227" s="77" t="inlineStr">
        <is>
          <t>2026-10-12</t>
        </is>
      </c>
      <c r="K227" s="77" t="inlineStr">
        <is>
          <t>search-summary paraphrase</t>
        </is>
      </c>
      <c r="L227" s="77" t="inlineStr">
        <is>
          <t>Group Design Project and Research Project in summer period (search-summary).</t>
        </is>
      </c>
    </row>
    <row r="228">
      <c r="A228" s="77" t="inlineStr">
        <is>
          <t>RG09-S11-R1</t>
        </is>
      </c>
      <c r="B228" s="77" t="inlineStr">
        <is>
          <t>RG09</t>
        </is>
      </c>
      <c r="C228" s="77" t="inlineStr">
        <is>
          <t>RG09-S11</t>
        </is>
      </c>
      <c r="D228" s="77" t="inlineStr">
        <is>
          <t>Hounslow Heath Project (MSc Environmental Technology: Environmental Assessment and Management option)</t>
        </is>
      </c>
      <c r="E228" s="77" t="inlineStr">
        <is>
          <t>project; group; employer; status</t>
        </is>
      </c>
      <c r="F228" s="77" t="inlineStr">
        <is>
          <t>https://www.imperial.ac.uk/media/imperial-college/study/programme-specifications/cep/25x2f26/J9UF-MSc-Environmental_Technology-2025-26.pdf</t>
        </is>
      </c>
      <c r="G228" s="77" t="inlineStr">
        <is>
          <t>MSc Environmental Technology programme specification 2025-26</t>
        </is>
      </c>
      <c r="H228" s="77" t="inlineStr">
        <is>
          <t>EAM option assessment</t>
        </is>
      </c>
      <c r="I228" s="77" t="inlineStr">
        <is>
          <t>2025-26</t>
        </is>
      </c>
      <c r="J228" s="77" t="inlineStr">
        <is>
          <t>2026-10-12</t>
        </is>
      </c>
      <c r="K228" s="77" t="inlineStr">
        <is>
          <t>search-summary paraphrase</t>
        </is>
      </c>
      <c r="L228" s="77" t="inlineStr">
        <is>
          <t>The Hounslow Heath project is run for Hounslow Borough Council, and team presentations are made to the client on completion; EAM assessment lists a group technical report to a real client based on the Hounslow Heath Project and an individual interview (search-summary).</t>
        </is>
      </c>
    </row>
    <row r="229">
      <c r="A229" s="77" t="inlineStr">
        <is>
          <t>RG09-S11-R2</t>
        </is>
      </c>
      <c r="B229" s="77" t="inlineStr">
        <is>
          <t>RG09</t>
        </is>
      </c>
      <c r="C229" s="77" t="inlineStr">
        <is>
          <t>RG09-S11</t>
        </is>
      </c>
      <c r="D229" s="77" t="inlineStr">
        <is>
          <t>Hounslow Heath Project (MSc Environmental Technology: Environmental Assessment and Management option)</t>
        </is>
      </c>
      <c r="E229" s="77" t="inlineStr">
        <is>
          <t>employer; project</t>
        </is>
      </c>
      <c r="F229" s="77" t="inlineStr">
        <is>
          <t>https://www.imperial.ac.uk/natural-sciences/departments/environmental-policy/study/msc-environmental-technology/choosing-an-option/environmental-assessment-and-management-eam/</t>
        </is>
      </c>
      <c r="G229" s="77" t="inlineStr">
        <is>
          <t>Environmental Assessment and Management (EAM)</t>
        </is>
      </c>
      <c r="H229" s="77" t="inlineStr">
        <is>
          <t>Option page</t>
        </is>
      </c>
      <c r="I229" s="77" t="inlineStr">
        <is>
          <t>undated</t>
        </is>
      </c>
      <c r="J229" s="77" t="inlineStr">
        <is>
          <t>2026-10-12</t>
        </is>
      </c>
      <c r="K229" s="77" t="inlineStr">
        <is>
          <t>search-summary paraphrase</t>
        </is>
      </c>
      <c r="L229" s="77" t="inlineStr">
        <is>
          <t>Hounslow Heath coursework is a real-world case of contaminated land and water near Heathrow Airport, in close collaboration with Hounslow Borough Council (search-summary).</t>
        </is>
      </c>
    </row>
    <row r="230">
      <c r="A230" s="77" t="inlineStr">
        <is>
          <t>RG10-S01-R1</t>
        </is>
      </c>
      <c r="B230" s="77" t="inlineStr">
        <is>
          <t>RG10</t>
        </is>
      </c>
      <c r="C230" s="77" t="inlineStr">
        <is>
          <t>RG10-S01</t>
        </is>
      </c>
      <c r="D230" s="77" t="inlineStr">
        <is>
          <t>King's Business School Consultancy (Strategy consultancy support for London enterprises; originally Business Consultancy Scheme)</t>
        </is>
      </c>
      <c r="E230" s="77" t="inlineStr">
        <is>
          <t>project; group; employer; eligibility; status</t>
        </is>
      </c>
      <c r="F230" s="77" t="inlineStr">
        <is>
          <t>https://www.kcl.ac.uk/business/partnerships/consultancy</t>
        </is>
      </c>
      <c r="G230" s="77" t="inlineStr">
        <is>
          <t>Strategy consultancy support for London enterprises</t>
        </is>
      </c>
      <c r="H230" s="77" t="inlineStr">
        <is>
          <t>Main page</t>
        </is>
      </c>
      <c r="I230" s="77" t="inlineStr">
        <is>
          <t>2026 (applications call)</t>
        </is>
      </c>
      <c r="J230" s="77" t="inlineStr">
        <is>
          <t>2026-10-12</t>
        </is>
      </c>
      <c r="K230" s="77" t="inlineStr">
        <is>
          <t>search-index extract (quoted)</t>
        </is>
      </c>
      <c r="L230" s="77" t="inlineStr">
        <is>
          <t>'offers up to 15 enterprises in our local boroughs free business consultancy'; 'a student consultancy team of three to four students. Our consultants will be final year students studying a undergraduate degree in economics, business and/or management'; 'their final analysis and a set of recommendations in the form of a presentation and accompanying written report'; 'Our students will sign NDAs should you require them to.'; 'Applications for the summer 2026 programme are open.'</t>
        </is>
      </c>
    </row>
    <row r="231">
      <c r="A231" s="77" t="inlineStr">
        <is>
          <t>RG10-S01-R2</t>
        </is>
      </c>
      <c r="B231" s="77" t="inlineStr">
        <is>
          <t>RG10</t>
        </is>
      </c>
      <c r="C231" s="77" t="inlineStr">
        <is>
          <t>RG10-S01</t>
        </is>
      </c>
      <c r="D231" s="77" t="inlineStr">
        <is>
          <t>King's Business School Consultancy (Strategy consultancy support for London enterprises; originally Business Consultancy Scheme)</t>
        </is>
      </c>
      <c r="E231" s="77" t="inlineStr">
        <is>
          <t>group; participation; employer</t>
        </is>
      </c>
      <c r="F231" s="77" t="inlineStr">
        <is>
          <t>https://www.kcl.ac.uk/news/successful-completion-of-the-business-consultancy-scheme-in-partnership-with-westminster-city-council-2</t>
        </is>
      </c>
      <c r="G231" s="77" t="inlineStr">
        <is>
          <t>Successful completion of the Business Consultancy Scheme, in partnership with Westminster City Council</t>
        </is>
      </c>
      <c r="H231" s="77" t="inlineStr">
        <is>
          <t>News</t>
        </is>
      </c>
      <c r="I231" s="77" t="inlineStr">
        <is>
          <t>undated</t>
        </is>
      </c>
      <c r="J231" s="77" t="inlineStr">
        <is>
          <t>2026-10-12</t>
        </is>
      </c>
      <c r="K231" s="77" t="inlineStr">
        <is>
          <t>search-summary paraphrase</t>
        </is>
      </c>
      <c r="L231" s="77" t="inlineStr">
        <is>
          <t>Pilot with Westminster City Council: 18 final year students from BSc Business Management and BSc Economics &amp; Management were selected, split into five groups; results to inform whether to expand across UG programmes.</t>
        </is>
      </c>
    </row>
    <row r="232">
      <c r="A232" s="77" t="inlineStr">
        <is>
          <t>RG10-S02-R1</t>
        </is>
      </c>
      <c r="B232" s="77" t="inlineStr">
        <is>
          <t>RG10</t>
        </is>
      </c>
      <c r="C232" s="77" t="inlineStr">
        <is>
          <t>RG10-S02</t>
        </is>
      </c>
      <c r="D232" s="77" t="inlineStr">
        <is>
          <t>PPM Consultancy</t>
        </is>
      </c>
      <c r="E232" s="77" t="inlineStr">
        <is>
          <t>project; employer</t>
        </is>
      </c>
      <c r="F232" s="77" t="inlineStr">
        <is>
          <t>https://www.kcl.ac.uk/study/postgraduate-taught/courses/public-policy-and-management-msc/discover-more</t>
        </is>
      </c>
      <c r="G232" s="77" t="inlineStr">
        <is>
          <t>Public Policy &amp; Management MSc - Discover more</t>
        </is>
      </c>
      <c r="H232" s="77" t="inlineStr">
        <is>
          <t>PPM Consultancy</t>
        </is>
      </c>
      <c r="I232" s="77" t="inlineStr">
        <is>
          <t>undated</t>
        </is>
      </c>
      <c r="J232" s="77" t="inlineStr">
        <is>
          <t>2026-10-12</t>
        </is>
      </c>
      <c r="K232" s="77" t="inlineStr">
        <is>
          <t>search-summary paraphrase</t>
        </is>
      </c>
      <c r="L232" s="77" t="inlineStr">
        <is>
          <t>Students work on live projects with public and third-sector partners, including Guy's &amp; St Thomas' NHS Foundation Trust, King's College Hospital NHS Trust, Health Education England, London Borough of Hackney, Think Forward, Aymara Social Enterprise; King's works with these and other organisations to generate projects each year.</t>
        </is>
      </c>
    </row>
    <row r="233">
      <c r="A233" s="77" t="inlineStr">
        <is>
          <t>RG10-S02-R2</t>
        </is>
      </c>
      <c r="B233" s="77" t="inlineStr">
        <is>
          <t>RG10</t>
        </is>
      </c>
      <c r="C233" s="77" t="inlineStr">
        <is>
          <t>RG10-S02</t>
        </is>
      </c>
      <c r="D233" s="77" t="inlineStr">
        <is>
          <t>PPM Consultancy</t>
        </is>
      </c>
      <c r="E233" s="77" t="inlineStr">
        <is>
          <t>project; credit; status; participation</t>
        </is>
      </c>
      <c r="F233" s="77" t="inlineStr">
        <is>
          <t>https://www.kcl.ac.uk/study/postgraduate-taught/courses/public-policy-and-management-msc/teaching-and-modules</t>
        </is>
      </c>
      <c r="G233" s="77" t="inlineStr">
        <is>
          <t>Public Policy &amp; Management MSc - Teaching &amp; modules</t>
        </is>
      </c>
      <c r="H233" s="77" t="inlineStr">
        <is>
          <t>Optional modules: PPM Consultancy</t>
        </is>
      </c>
      <c r="I233" s="77" t="inlineStr">
        <is>
          <t>2025/26</t>
        </is>
      </c>
      <c r="J233" s="77" t="inlineStr">
        <is>
          <t>2026-10-12</t>
        </is>
      </c>
      <c r="K233" s="77" t="inlineStr">
        <is>
          <t>search-summary paraphrase</t>
        </is>
      </c>
      <c r="L233" s="77" t="inlineStr">
        <is>
          <t>15-credit optional module; 'will run from January to April 2026 and consist of 10 two-hour workshops'; students work on a real consulting project and propose solutions to contemporary public policy and management problems.</t>
        </is>
      </c>
    </row>
    <row r="234">
      <c r="A234" s="77" t="inlineStr">
        <is>
          <t>RG10-S03-R1</t>
        </is>
      </c>
      <c r="B234" s="77" t="inlineStr">
        <is>
          <t>RG10</t>
        </is>
      </c>
      <c r="C234" s="77" t="inlineStr">
        <is>
          <t>RG10-S03</t>
        </is>
      </c>
      <c r="D234" s="77" t="inlineStr">
        <is>
          <t>Business Consulting Project (MSc International Management)</t>
        </is>
      </c>
      <c r="E234" s="77" t="inlineStr">
        <is>
          <t>project; employer; credit; eligibility; participation</t>
        </is>
      </c>
      <c r="F234" s="77" t="inlineStr">
        <is>
          <t>https://www.kcl.ac.uk/study/postgraduate-taught/courses/international-management-msc/teaching</t>
        </is>
      </c>
      <c r="G234" s="77" t="inlineStr">
        <is>
          <t>International Management MSc - Teaching &amp; Modules</t>
        </is>
      </c>
      <c r="H234" s="77" t="inlineStr">
        <is>
          <t>Semester 2 project options</t>
        </is>
      </c>
      <c r="I234" s="77" t="inlineStr">
        <is>
          <t>undated</t>
        </is>
      </c>
      <c r="J234" s="77" t="inlineStr">
        <is>
          <t>2026-10-12</t>
        </is>
      </c>
      <c r="K234" s="77" t="inlineStr">
        <is>
          <t>search-summary paraphrase</t>
        </is>
      </c>
      <c r="L234" s="77" t="inlineStr">
        <is>
          <t>'The Business Research Project, Business Consulting Project and Business Experience Project are each worth 45 credits'; 'Entry to the business consulting project is via competitive application. MSc International Management students can apply to work as a business consultant with a local business on a live issue they have identified'; 2 project workshops and 4 hours of supervision.</t>
        </is>
      </c>
    </row>
    <row r="235">
      <c r="A235" s="77" t="inlineStr">
        <is>
          <t>RG10-S04-R1</t>
        </is>
      </c>
      <c r="B235" s="77" t="inlineStr">
        <is>
          <t>RG10</t>
        </is>
      </c>
      <c r="C235" s="77" t="inlineStr">
        <is>
          <t>RG10-S04</t>
        </is>
      </c>
      <c r="D235" s="77" t="inlineStr">
        <is>
          <t>Live consulting project with Benifex (Online MSc Global Human Resource Management)</t>
        </is>
      </c>
      <c r="E235" s="77" t="inlineStr">
        <is>
          <t>employer; project</t>
        </is>
      </c>
      <c r="F235" s="77" t="inlineStr">
        <is>
          <t>https://www.kcl.ac.uk/news/kings-business-school-launches-online-consulting-project-with-leading-global-software-company</t>
        </is>
      </c>
      <c r="G235" s="77" t="inlineStr">
        <is>
          <t>King's Business School launches online consulting project with leading global software company</t>
        </is>
      </c>
      <c r="H235" s="77" t="inlineStr">
        <is>
          <t>News</t>
        </is>
      </c>
      <c r="I235" s="77" t="inlineStr">
        <is>
          <t>undated</t>
        </is>
      </c>
      <c r="J235" s="77" t="inlineStr">
        <is>
          <t>2026-10-12</t>
        </is>
      </c>
      <c r="K235" s="77" t="inlineStr">
        <is>
          <t>search-summary paraphrase</t>
        </is>
      </c>
      <c r="L235" s="77" t="inlineStr">
        <is>
          <t>A new module in which students work on a live organisational challenge, taking on the role of HR consultants for the employee benefits platform Benifex (online MSc Global Human Resource Management).</t>
        </is>
      </c>
    </row>
    <row r="236">
      <c r="A236" s="77" t="inlineStr">
        <is>
          <t>RG10-S05-R1</t>
        </is>
      </c>
      <c r="B236" s="77" t="inlineStr">
        <is>
          <t>RG10</t>
        </is>
      </c>
      <c r="C236" s="77" t="inlineStr">
        <is>
          <t>RG10-S05</t>
        </is>
      </c>
      <c r="D236" s="77" t="inlineStr">
        <is>
          <t>Knowledge Exchange Projects (KEPs)</t>
        </is>
      </c>
      <c r="E236" s="77" t="inlineStr">
        <is>
          <t>project; group; employer; duration; participation</t>
        </is>
      </c>
      <c r="F236" s="77" t="inlineStr">
        <is>
          <t>https://www.kcl.ac.uk/informatics/engagement/knowledge-exchange-projects</t>
        </is>
      </c>
      <c r="G236" s="77" t="inlineStr">
        <is>
          <t>Knowledge Exchange Projects</t>
        </is>
      </c>
      <c r="H236" s="77" t="inlineStr">
        <is>
          <t>Main page</t>
        </is>
      </c>
      <c r="I236" s="77" t="inlineStr">
        <is>
          <t>undated</t>
        </is>
      </c>
      <c r="J236" s="77" t="inlineStr">
        <is>
          <t>2026-10-12</t>
        </is>
      </c>
      <c r="K236" s="77" t="inlineStr">
        <is>
          <t>search-index extract (quoted)</t>
        </is>
      </c>
      <c r="L236" s="77" t="inlineStr">
        <is>
          <t>'Any organisation can propose a project for students to work on, under the guidance of academic supervisors. Partner organisations submit project proposals each year, which are developed into full briefs with input from Informatics academics. Each brief is assigned to up to five students'; around six months building new software, code or prototypes; partners provide software/data, attend a kick-off meeting and two additional supervision sessions, receive a copy of the outputs; 'Since 2022, our students have delivered over 90 KEPs.'</t>
        </is>
      </c>
    </row>
    <row r="237">
      <c r="A237" s="77" t="inlineStr">
        <is>
          <t>RG10-S05-R2</t>
        </is>
      </c>
      <c r="B237" s="77" t="inlineStr">
        <is>
          <t>RG10</t>
        </is>
      </c>
      <c r="C237" s="77" t="inlineStr">
        <is>
          <t>RG10-S05</t>
        </is>
      </c>
      <c r="D237" s="77" t="inlineStr">
        <is>
          <t>Knowledge Exchange Projects (KEPs)</t>
        </is>
      </c>
      <c r="E237" s="77" t="inlineStr">
        <is>
          <t>status; employer; eligibility</t>
        </is>
      </c>
      <c r="F237" s="77" t="inlineStr">
        <is>
          <t>https://mailman.kcl.ac.uk/archives/list/ai-inst-internal@mailman.kcl.ac.uk/thread/L2DKLSLG43LG7SFKMQYI453PS6QMLHKY/</t>
        </is>
      </c>
      <c r="G237" s="77" t="inlineStr">
        <is>
          <t>King's Institute for Artificial Intelligence Round-up (mailing list)</t>
        </is>
      </c>
      <c r="H237" s="77" t="inlineStr">
        <is>
          <t>KEP call</t>
        </is>
      </c>
      <c r="I237" s="77" t="inlineStr">
        <is>
          <t>2025</t>
        </is>
      </c>
      <c r="J237" s="77" t="inlineStr">
        <is>
          <t>2026-10-12</t>
        </is>
      </c>
      <c r="K237" s="77" t="inlineStr">
        <is>
          <t>search-summary paraphrase</t>
        </is>
      </c>
      <c r="L237" s="77" t="inlineStr">
        <is>
          <t>Organisations invited to submit a real-world challenge or research idea for the Department of Informatics' final year AI undergraduates; selected students start October 2025; proposals due April 2025; contact informatics-kep@kcl.ac.uk.</t>
        </is>
      </c>
    </row>
    <row r="238">
      <c r="A238" s="77" t="inlineStr">
        <is>
          <t>RG10-S05-R3</t>
        </is>
      </c>
      <c r="B238" s="77" t="inlineStr">
        <is>
          <t>RG10</t>
        </is>
      </c>
      <c r="C238" s="77" t="inlineStr">
        <is>
          <t>RG10-S05</t>
        </is>
      </c>
      <c r="D238" s="77" t="inlineStr">
        <is>
          <t>Knowledge Exchange Projects (KEPs)</t>
        </is>
      </c>
      <c r="E238" s="77" t="inlineStr">
        <is>
          <t>eligibility</t>
        </is>
      </c>
      <c r="F238" s="77" t="inlineStr">
        <is>
          <t>https://www.kcl.ac.uk/informatics/assets/kcl-nmes-doi-enterprise-engagment-report-2023-24-digital-aw.pdf</t>
        </is>
      </c>
      <c r="G238" s="77" t="inlineStr">
        <is>
          <t>Informatics Enterprise &amp; Engagement Report 2023-24</t>
        </is>
      </c>
      <c r="H238" s="77" t="inlineStr">
        <is>
          <t>KEPs</t>
        </is>
      </c>
      <c r="I238" s="77" t="inlineStr">
        <is>
          <t>2023-24</t>
        </is>
      </c>
      <c r="J238" s="77" t="inlineStr">
        <is>
          <t>2026-10-12</t>
        </is>
      </c>
      <c r="K238" s="77" t="inlineStr">
        <is>
          <t>search-summary paraphrase</t>
        </is>
      </c>
      <c r="L238" s="77" t="inlineStr">
        <is>
          <t>Department offered Knowledge Exchange Projects for Year 3, 4 and MSc students.</t>
        </is>
      </c>
    </row>
    <row r="239">
      <c r="A239" s="77" t="inlineStr">
        <is>
          <t>RG10-S06-R1</t>
        </is>
      </c>
      <c r="B239" s="77" t="inlineStr">
        <is>
          <t>RG10</t>
        </is>
      </c>
      <c r="C239" s="77" t="inlineStr">
        <is>
          <t>RG10-S06</t>
        </is>
      </c>
      <c r="D239" s="77" t="inlineStr">
        <is>
          <t>MSc Advanced Software Engineering team project for external partners (incl. AWS Impact Accelerator challenges)</t>
        </is>
      </c>
      <c r="E239" s="77" t="inlineStr">
        <is>
          <t>project; group; employer</t>
        </is>
      </c>
      <c r="F239" s="77" t="inlineStr">
        <is>
          <t>https://www.kcl.ac.uk/study/postgraduate-taught/courses/advanced-software-engineering-msc</t>
        </is>
      </c>
      <c r="G239" s="77" t="inlineStr">
        <is>
          <t>Advanced Software Engineering MSc</t>
        </is>
      </c>
      <c r="H239" s="77" t="inlineStr">
        <is>
          <t>Course overview</t>
        </is>
      </c>
      <c r="I239" s="77" t="inlineStr">
        <is>
          <t>undated</t>
        </is>
      </c>
      <c r="J239" s="77" t="inlineStr">
        <is>
          <t>2026-10-12</t>
        </is>
      </c>
      <c r="K239" s="77" t="inlineStr">
        <is>
          <t>search-index extract (quoted)</t>
        </is>
      </c>
      <c r="L239" s="77" t="inlineStr">
        <is>
          <t>Students 'join a team of students with varied backgrounds to develop a software solution for one of our external partners in sectors ranging from computing and law to aviation and government'; work with companies such as IBM, Terranova Software and Aerogility.</t>
        </is>
      </c>
    </row>
    <row r="240">
      <c r="A240" s="77" t="inlineStr">
        <is>
          <t>RG10-S06-R2</t>
        </is>
      </c>
      <c r="B240" s="77" t="inlineStr">
        <is>
          <t>RG10</t>
        </is>
      </c>
      <c r="C240" s="77" t="inlineStr">
        <is>
          <t>RG10-S06</t>
        </is>
      </c>
      <c r="D240" s="77" t="inlineStr">
        <is>
          <t>MSc Advanced Software Engineering team project for external partners (incl. AWS Impact Accelerator challenges)</t>
        </is>
      </c>
      <c r="E240" s="77" t="inlineStr">
        <is>
          <t>project; employer</t>
        </is>
      </c>
      <c r="F240" s="77" t="inlineStr">
        <is>
          <t>https://www.kcl.ac.uk/informatics/engagement/student-projects</t>
        </is>
      </c>
      <c r="G240" s="77" t="inlineStr">
        <is>
          <t>Student projects (Department of Informatics)</t>
        </is>
      </c>
      <c r="H240" s="77" t="inlineStr">
        <is>
          <t>AWS Impact Accelerator</t>
        </is>
      </c>
      <c r="I240" s="77" t="inlineStr">
        <is>
          <t>undated</t>
        </is>
      </c>
      <c r="J240" s="77" t="inlineStr">
        <is>
          <t>2026-10-12</t>
        </is>
      </c>
      <c r="K240" s="77" t="inlineStr">
        <is>
          <t>search-summary paraphrase</t>
        </is>
      </c>
      <c r="L240" s="77" t="inlineStr">
        <is>
          <t>'Final-year master's students worked with public sector partners, Richmond and Wandsworth Councils, to develop digital solutions using AWS technology'; second semester complex problems presented by public sector challenge sponsors with mentors from King's and AWS; named domain advisor and academic supervisor.</t>
        </is>
      </c>
    </row>
    <row r="241">
      <c r="A241" s="77" t="inlineStr">
        <is>
          <t>RG10-S06-R3</t>
        </is>
      </c>
      <c r="B241" s="77" t="inlineStr">
        <is>
          <t>RG10</t>
        </is>
      </c>
      <c r="C241" s="77" t="inlineStr">
        <is>
          <t>RG10-S06</t>
        </is>
      </c>
      <c r="D241" s="77" t="inlineStr">
        <is>
          <t>MSc Advanced Software Engineering team project for external partners (incl. AWS Impact Accelerator challenges)</t>
        </is>
      </c>
      <c r="E241" s="77" t="inlineStr">
        <is>
          <t>group</t>
        </is>
      </c>
      <c r="F241" s="77" t="inlineStr">
        <is>
          <t>https://blogs.kcl.ac.uk/nms/2026/02/12/studying-msc-advanced-software-engineering-at-kings-what-it-is-really-like/</t>
        </is>
      </c>
      <c r="G241" s="77" t="inlineStr">
        <is>
          <t>Studying MSc Advanced Software Engineering at King's: What it is really like</t>
        </is>
      </c>
      <c r="H241" s="77" t="inlineStr">
        <is>
          <t>Student blog</t>
        </is>
      </c>
      <c r="I241" s="77" t="inlineStr">
        <is>
          <t>2026</t>
        </is>
      </c>
      <c r="J241" s="77" t="inlineStr">
        <is>
          <t>2026-10-12</t>
        </is>
      </c>
      <c r="K241" s="77" t="inlineStr">
        <is>
          <t>search-summary paraphrase</t>
        </is>
      </c>
      <c r="L241" s="77" t="inlineStr">
        <is>
          <t>Group work described as a consistent part of the course (does not specify partner projects).</t>
        </is>
      </c>
    </row>
    <row r="242">
      <c r="A242" s="77" t="inlineStr">
        <is>
          <t>RG10-S07-R1</t>
        </is>
      </c>
      <c r="B242" s="77" t="inlineStr">
        <is>
          <t>RG10</t>
        </is>
      </c>
      <c r="C242" s="77" t="inlineStr">
        <is>
          <t>RG10-S07</t>
        </is>
      </c>
      <c r="D242" s="77" t="inlineStr">
        <is>
          <t>Software Engineering Group Project</t>
        </is>
      </c>
      <c r="E242" s="77" t="inlineStr">
        <is>
          <t>project</t>
        </is>
      </c>
      <c r="F242" s="77" t="inlineStr">
        <is>
          <t>https://www.kcl.ac.uk/nms/depts/informatics/study/current/handbook/Progs/Modules/5CCS2SEG.aspx</t>
        </is>
      </c>
      <c r="G242" s="77" t="inlineStr">
        <is>
          <t>Department of Informatics module page 5CCS2SEG</t>
        </is>
      </c>
      <c r="H242" s="77" t="inlineStr">
        <is>
          <t>Module listing</t>
        </is>
      </c>
      <c r="I242" s="77" t="inlineStr">
        <is>
          <t>undated</t>
        </is>
      </c>
      <c r="J242" s="77" t="inlineStr">
        <is>
          <t>2026-10-12</t>
        </is>
      </c>
      <c r="K242" s="77" t="inlineStr">
        <is>
          <t>search-summary paraphrase</t>
        </is>
      </c>
      <c r="L242" s="77" t="inlineStr">
        <is>
          <t>5CCS2SEG Software Engineering Group Project, Level 5 module.</t>
        </is>
      </c>
    </row>
    <row r="243">
      <c r="A243" s="77" t="inlineStr">
        <is>
          <t>RG10-S07-R2</t>
        </is>
      </c>
      <c r="B243" s="77" t="inlineStr">
        <is>
          <t>RG10</t>
        </is>
      </c>
      <c r="C243" s="77" t="inlineStr">
        <is>
          <t>RG10-S07</t>
        </is>
      </c>
      <c r="D243" s="77" t="inlineStr">
        <is>
          <t>Software Engineering Group Project</t>
        </is>
      </c>
      <c r="E243" s="77" t="inlineStr">
        <is>
          <t>project; group</t>
        </is>
      </c>
      <c r="F243" s="77" t="inlineStr">
        <is>
          <t>https://www.kcl.ac.uk/study/undergraduate/courses/computer-science-bsc</t>
        </is>
      </c>
      <c r="G243" s="77" t="inlineStr">
        <is>
          <t>Computer Science BSc</t>
        </is>
      </c>
      <c r="H243" s="77" t="inlineStr">
        <is>
          <t>Course structure</t>
        </is>
      </c>
      <c r="I243" s="77" t="inlineStr">
        <is>
          <t>undated</t>
        </is>
      </c>
      <c r="J243" s="77" t="inlineStr">
        <is>
          <t>2026-10-12</t>
        </is>
      </c>
      <c r="K243" s="77" t="inlineStr">
        <is>
          <t>search-index extract (quoted)</t>
        </is>
      </c>
      <c r="L243" s="77" t="inlineStr">
        <is>
          <t>'Project-based learning is central to the programme as part of your second year; you'll also work as part of a team to develop a substantial software system.'</t>
        </is>
      </c>
    </row>
    <row r="244">
      <c r="A244" s="77" t="inlineStr">
        <is>
          <t>RG10-S08-R1</t>
        </is>
      </c>
      <c r="B244" s="77" t="inlineStr">
        <is>
          <t>RG10</t>
        </is>
      </c>
      <c r="C244" s="77" t="inlineStr">
        <is>
          <t>RG10-S08</t>
        </is>
      </c>
      <c r="D244" s="77" t="inlineStr">
        <is>
          <t>Major group project (General Engineering MEng)</t>
        </is>
      </c>
      <c r="E244" s="77" t="inlineStr">
        <is>
          <t>project; group; participation</t>
        </is>
      </c>
      <c r="F244" s="77" t="inlineStr">
        <is>
          <t>https://www.kcl.ac.uk/study/undergraduate/courses/general-engineering-meng</t>
        </is>
      </c>
      <c r="G244" s="77" t="inlineStr">
        <is>
          <t>General Engineering MEng</t>
        </is>
      </c>
      <c r="H244" s="77" t="inlineStr">
        <is>
          <t>Course structure</t>
        </is>
      </c>
      <c r="I244" s="77" t="inlineStr">
        <is>
          <t>undated</t>
        </is>
      </c>
      <c r="J244" s="77" t="inlineStr">
        <is>
          <t>2026-10-12</t>
        </is>
      </c>
      <c r="K244" s="77" t="inlineStr">
        <is>
          <t>search-summary paraphrase</t>
        </is>
      </c>
      <c r="L244" s="77" t="inlineStr">
        <is>
          <t>Degree ends with a major group project undertaken within a cohort including Electrical Engineering MEng and MSc Robotics students; topics such as health and wellbeing technology, environmental action, automotive and future mobility; Engineering Project Space.</t>
        </is>
      </c>
    </row>
    <row r="245">
      <c r="A245" s="77" t="inlineStr">
        <is>
          <t>RG10-S08-R2</t>
        </is>
      </c>
      <c r="B245" s="77" t="inlineStr">
        <is>
          <t>RG10</t>
        </is>
      </c>
      <c r="C245" s="77" t="inlineStr">
        <is>
          <t>RG10-S08</t>
        </is>
      </c>
      <c r="D245" s="77" t="inlineStr">
        <is>
          <t>Major group project (General Engineering MEng)</t>
        </is>
      </c>
      <c r="E245" s="77" t="inlineStr">
        <is>
          <t>employer</t>
        </is>
      </c>
      <c r="F245" s="77" t="inlineStr">
        <is>
          <t>https://www.kcl.ac.uk/engineering/research/industry</t>
        </is>
      </c>
      <c r="G245" s="77" t="inlineStr">
        <is>
          <t>King's engineering and industry</t>
        </is>
      </c>
      <c r="H245" s="77" t="inlineStr">
        <is>
          <t>Industry partners</t>
        </is>
      </c>
      <c r="I245" s="77" t="inlineStr">
        <is>
          <t>undated</t>
        </is>
      </c>
      <c r="J245" s="77" t="inlineStr">
        <is>
          <t>2026-10-12</t>
        </is>
      </c>
      <c r="K245" s="77" t="inlineStr">
        <is>
          <t>search-summary paraphrase</t>
        </is>
      </c>
      <c r="L245" s="77" t="inlineStr">
        <is>
          <t>Industry links mainly research-based; Ericsson and British Telecom (communications), Jaguar, Land Rover and Caterpillar (vehicles).</t>
        </is>
      </c>
    </row>
    <row r="246">
      <c r="A246" s="77" t="inlineStr">
        <is>
          <t>RG10-S09-R1</t>
        </is>
      </c>
      <c r="B246" s="77" t="inlineStr">
        <is>
          <t>RG10</t>
        </is>
      </c>
      <c r="C246" s="77" t="inlineStr">
        <is>
          <t>RG10-S09</t>
        </is>
      </c>
      <c r="D246" s="77" t="inlineStr">
        <is>
          <t>Insights Programme - Virtual Micro Internships</t>
        </is>
      </c>
      <c r="E246" s="77" t="inlineStr">
        <is>
          <t>project; group; employer; reach; eligibility; duration</t>
        </is>
      </c>
      <c r="F246" s="77" t="inlineStr">
        <is>
          <t>https://www.kcl.ac.uk/employers/collaborate/insights-programme</t>
        </is>
      </c>
      <c r="G246" s="77" t="inlineStr">
        <is>
          <t>Insights Programme</t>
        </is>
      </c>
      <c r="H246" s="77" t="inlineStr">
        <is>
          <t>Virtual Micro Internships</t>
        </is>
      </c>
      <c r="I246" s="77" t="inlineStr">
        <is>
          <t>undated</t>
        </is>
      </c>
      <c r="J246" s="77" t="inlineStr">
        <is>
          <t>2026-10-12</t>
        </is>
      </c>
      <c r="K246" s="77" t="inlineStr">
        <is>
          <t>search-index extract (quoted)</t>
        </is>
      </c>
      <c r="L246" s="77" t="inlineStr">
        <is>
          <t>Virtual Micro Internships 'hosted on the experiential learning platform Practera, where students work in groups on an industry-relevant project proposed by the employer for two weeks (25 hours) in spring and summer'; target cohort 'final year undergraduate students across our nine faculties'; partner with 'employers and consultancies of any size and location interested in providing final year undergraduate students with a specific project'; students return technical reports on topics such as sustainability and growth strategy.</t>
        </is>
      </c>
    </row>
    <row r="247">
      <c r="A247" s="77" t="inlineStr">
        <is>
          <t>RG10-S09-R2</t>
        </is>
      </c>
      <c r="B247" s="77" t="inlineStr">
        <is>
          <t>RG10</t>
        </is>
      </c>
      <c r="C247" s="77" t="inlineStr">
        <is>
          <t>RG10-S09</t>
        </is>
      </c>
      <c r="D247" s="77" t="inlineStr">
        <is>
          <t>Insights Programme - Virtual Micro Internships</t>
        </is>
      </c>
      <c r="E247" s="77" t="inlineStr">
        <is>
          <t>eligibility</t>
        </is>
      </c>
      <c r="F247" s="77" t="inlineStr">
        <is>
          <t>https://www.kcl.ac.uk/news/wrl-insights</t>
        </is>
      </c>
      <c r="G247" s="77" t="inlineStr">
        <is>
          <t>Launching our new Work-related Learning Programme - Insights</t>
        </is>
      </c>
      <c r="H247" s="77" t="inlineStr">
        <is>
          <t>News</t>
        </is>
      </c>
      <c r="I247" s="77" t="inlineStr">
        <is>
          <t>undated</t>
        </is>
      </c>
      <c r="J247" s="77" t="inlineStr">
        <is>
          <t>2026-10-12</t>
        </is>
      </c>
      <c r="K247" s="77" t="inlineStr">
        <is>
          <t>search-summary paraphrase</t>
        </is>
      </c>
      <c r="L247" s="77" t="inlineStr">
        <is>
          <t>Insights offer is for final year undergraduates or PhD students from under-represented communities within UK HE.</t>
        </is>
      </c>
    </row>
    <row r="248">
      <c r="A248" s="77" t="inlineStr">
        <is>
          <t>RG10-S10-R1</t>
        </is>
      </c>
      <c r="B248" s="77" t="inlineStr">
        <is>
          <t>RG10</t>
        </is>
      </c>
      <c r="C248" s="77" t="inlineStr">
        <is>
          <t>RG10-S10</t>
        </is>
      </c>
      <c r="D248" s="77" t="inlineStr">
        <is>
          <t>Business Challenges &amp; Projects (Virtual Business Projects)</t>
        </is>
      </c>
      <c r="E248" s="77" t="inlineStr">
        <is>
          <t>project; group; employer</t>
        </is>
      </c>
      <c r="F248" s="77" t="inlineStr">
        <is>
          <t>https://www.kcl.ac.uk/employers/collaborate/business-challenges</t>
        </is>
      </c>
      <c r="G248" s="77" t="inlineStr">
        <is>
          <t>Business Challenges &amp; Projects</t>
        </is>
      </c>
      <c r="H248" s="77" t="inlineStr">
        <is>
          <t>Virtual Business Projects</t>
        </is>
      </c>
      <c r="I248" s="77" t="inlineStr">
        <is>
          <t>undated</t>
        </is>
      </c>
      <c r="J248" s="77" t="inlineStr">
        <is>
          <t>2026-10-12</t>
        </is>
      </c>
      <c r="K248" s="77" t="inlineStr">
        <is>
          <t>search-index extract (quoted)</t>
        </is>
      </c>
      <c r="L248" s="77" t="inlineStr">
        <is>
          <t>'Virtual Business Projects allow participants to solve challenges in groups, posed directly by employers on topics such as environmental and sustainable governance, international business development and branding.'</t>
        </is>
      </c>
    </row>
    <row r="249">
      <c r="A249" s="77" t="inlineStr">
        <is>
          <t>RG10-S11-R1</t>
        </is>
      </c>
      <c r="B249" s="77" t="inlineStr">
        <is>
          <t>RG10</t>
        </is>
      </c>
      <c r="C249" s="77" t="inlineStr">
        <is>
          <t>RG10-S11</t>
        </is>
      </c>
      <c r="D249" s="77" t="inlineStr">
        <is>
          <t>King's Civic Leadership Academy (CLA)</t>
        </is>
      </c>
      <c r="E249" s="77" t="inlineStr">
        <is>
          <t>status; participation; eligibility; group; employer</t>
        </is>
      </c>
      <c r="F249" s="77" t="inlineStr">
        <is>
          <t>https://www.kcl.ac.uk/study/social-mobility/projects/current-students/programmes-networks</t>
        </is>
      </c>
      <c r="G249" s="77" t="inlineStr">
        <is>
          <t>Programmes &amp; Networks</t>
        </is>
      </c>
      <c r="H249" s="77" t="inlineStr">
        <is>
          <t>King's Civic Leadership Academy</t>
        </is>
      </c>
      <c r="I249" s="77" t="inlineStr">
        <is>
          <t>2025/26</t>
        </is>
      </c>
      <c r="J249" s="77" t="inlineStr">
        <is>
          <t>2026-10-12</t>
        </is>
      </c>
      <c r="K249" s="77" t="inlineStr">
        <is>
          <t>search-summary paraphrase</t>
        </is>
      </c>
      <c r="L249" s="77" t="inlineStr">
        <is>
          <t>Applications for the 2025-26 student and Community Partner programmes have closed; 3-day Kickstarter for 100 students and a 6-week, 210-hour project-based internship with a community organisation for 50 students, May-July 2026; Community Partners could welcome students, run a 'Community challenge' with student groups, or host a 6-week (210-hour) internship from May 2026.</t>
        </is>
      </c>
    </row>
    <row r="250">
      <c r="A250" s="77" t="inlineStr">
        <is>
          <t>RG10-S11-R2</t>
        </is>
      </c>
      <c r="B250" s="77" t="inlineStr">
        <is>
          <t>RG10</t>
        </is>
      </c>
      <c r="C250" s="77" t="inlineStr">
        <is>
          <t>RG10-S11</t>
        </is>
      </c>
      <c r="D250" s="77" t="inlineStr">
        <is>
          <t>King's Civic Leadership Academy (CLA)</t>
        </is>
      </c>
      <c r="E250" s="77" t="inlineStr">
        <is>
          <t>group; employer; project</t>
        </is>
      </c>
      <c r="F250" s="77" t="inlineStr">
        <is>
          <t>https://www.kcl.ac.uk/news/kings-civic-leadership-academy-launches</t>
        </is>
      </c>
      <c r="G250" s="77" t="inlineStr">
        <is>
          <t>King's Civic Leadership Academy launches</t>
        </is>
      </c>
      <c r="H250" s="77" t="inlineStr">
        <is>
          <t>News</t>
        </is>
      </c>
      <c r="I250" s="77" t="inlineStr">
        <is>
          <t>undated</t>
        </is>
      </c>
      <c r="J250" s="77" t="inlineStr">
        <is>
          <t>2026-10-12</t>
        </is>
      </c>
      <c r="K250" s="77" t="inlineStr">
        <is>
          <t>search-summary paraphrase</t>
        </is>
      </c>
      <c r="L250" s="77" t="inlineStr">
        <is>
          <t>Programme 'pairs London charities with teams of talented undergraduates for a year of mutually beneficial and impactful collaboration'; students spend five hours a week with their charity partner on an issue the charity has lacked the resources to tackle; 18 London charity partners incl. Pecan, Young Barnet Foundation, Living Wage Foundation.</t>
        </is>
      </c>
    </row>
    <row r="251">
      <c r="A251" s="77" t="inlineStr">
        <is>
          <t>RG10-S12-R1</t>
        </is>
      </c>
      <c r="B251" s="77" t="inlineStr">
        <is>
          <t>RG10</t>
        </is>
      </c>
      <c r="C251" s="77" t="inlineStr">
        <is>
          <t>RG10-S12</t>
        </is>
      </c>
      <c r="D251" s="77" t="inlineStr">
        <is>
          <t>CLA Kickstarter - Community challenge</t>
        </is>
      </c>
      <c r="E251" s="77" t="inlineStr">
        <is>
          <t>group; employer; status; duration</t>
        </is>
      </c>
      <c r="F251" s="77" t="inlineStr">
        <is>
          <t>https://www.kcl.ac.uk/study/social-mobility/projects/current-students/programmes-networks</t>
        </is>
      </c>
      <c r="G251" s="77" t="inlineStr">
        <is>
          <t>Programmes &amp; Networks</t>
        </is>
      </c>
      <c r="H251" s="77" t="inlineStr">
        <is>
          <t>King's Civic Leadership Academy</t>
        </is>
      </c>
      <c r="I251" s="77" t="inlineStr">
        <is>
          <t>2025/26</t>
        </is>
      </c>
      <c r="J251" s="77" t="inlineStr">
        <is>
          <t>2026-10-12</t>
        </is>
      </c>
      <c r="K251" s="77" t="inlineStr">
        <is>
          <t>search-summary paraphrase</t>
        </is>
      </c>
      <c r="L251" s="77" t="inlineStr">
        <is>
          <t>Community Partners could take part in the 3-day Kickstarter in February 2026 by welcoming students at their offices, running a 'Community challenge' with student groups, or hosting a 6-week (210-hour) internship starting May 2026.</t>
        </is>
      </c>
    </row>
    <row r="252">
      <c r="A252" s="77" t="inlineStr">
        <is>
          <t>RG10-S13-R1</t>
        </is>
      </c>
      <c r="B252" s="77" t="inlineStr">
        <is>
          <t>RG10</t>
        </is>
      </c>
      <c r="C252" s="77" t="inlineStr">
        <is>
          <t>RG10-S13</t>
        </is>
      </c>
      <c r="D252" s="77" t="inlineStr">
        <is>
          <t>CLA project-based internship with a community organisation</t>
        </is>
      </c>
      <c r="E252" s="77" t="inlineStr">
        <is>
          <t>project; employer; status; duration</t>
        </is>
      </c>
      <c r="F252" s="77" t="inlineStr">
        <is>
          <t>https://www.kcl.ac.uk/study/social-mobility/projects/current-students/programmes-networks</t>
        </is>
      </c>
      <c r="G252" s="77" t="inlineStr">
        <is>
          <t>Programmes &amp; Networks</t>
        </is>
      </c>
      <c r="H252" s="77" t="inlineStr">
        <is>
          <t>King's Civic Leadership Academy</t>
        </is>
      </c>
      <c r="I252" s="77" t="inlineStr">
        <is>
          <t>2025/26</t>
        </is>
      </c>
      <c r="J252" s="77" t="inlineStr">
        <is>
          <t>2026-10-12</t>
        </is>
      </c>
      <c r="K252" s="77" t="inlineStr">
        <is>
          <t>search-summary paraphrase</t>
        </is>
      </c>
      <c r="L252" s="77" t="inlineStr">
        <is>
          <t>6-week, 210-hour project-based internship with a community organisation for 50 students, May to July 2026.</t>
        </is>
      </c>
    </row>
    <row r="253">
      <c r="A253" s="77" t="inlineStr">
        <is>
          <t>RG10-S13-R2</t>
        </is>
      </c>
      <c r="B253" s="77" t="inlineStr">
        <is>
          <t>RG10</t>
        </is>
      </c>
      <c r="C253" s="77" t="inlineStr">
        <is>
          <t>RG10-S13</t>
        </is>
      </c>
      <c r="D253" s="77" t="inlineStr">
        <is>
          <t>CLA project-based internship with a community organisation</t>
        </is>
      </c>
      <c r="E253" s="77" t="inlineStr">
        <is>
          <t>group; project</t>
        </is>
      </c>
      <c r="F253" s="77" t="inlineStr">
        <is>
          <t>https://www.kcl.ac.uk/news/kings-civic-leadership-academy-launches</t>
        </is>
      </c>
      <c r="G253" s="77" t="inlineStr">
        <is>
          <t>King's Civic Leadership Academy launches</t>
        </is>
      </c>
      <c r="H253" s="77" t="inlineStr">
        <is>
          <t>News</t>
        </is>
      </c>
      <c r="I253" s="77" t="inlineStr">
        <is>
          <t>undated</t>
        </is>
      </c>
      <c r="J253" s="77" t="inlineStr">
        <is>
          <t>2026-10-12</t>
        </is>
      </c>
      <c r="K253" s="77" t="inlineStr">
        <is>
          <t>search-summary paraphrase</t>
        </is>
      </c>
      <c r="L253" s="77" t="inlineStr">
        <is>
          <t>'pairs London charities with teams of talented undergraduates'; students work on an issue the charity has lacked the resources to tackle.</t>
        </is>
      </c>
    </row>
    <row r="254">
      <c r="A254" s="77" t="inlineStr">
        <is>
          <t>RG10-S14-R1</t>
        </is>
      </c>
      <c r="B254" s="77" t="inlineStr">
        <is>
          <t>RG10</t>
        </is>
      </c>
      <c r="C254" s="77" t="inlineStr">
        <is>
          <t>RG10-S14</t>
        </is>
      </c>
      <c r="D254" s="77" t="inlineStr">
        <is>
          <t>King's Civic Challenge</t>
        </is>
      </c>
      <c r="E254" s="77" t="inlineStr">
        <is>
          <t>project; group; employer</t>
        </is>
      </c>
      <c r="F254" s="77" t="inlineStr">
        <is>
          <t>https://www.kcl.ac.uk/news/kings-civic-challenge-teams-up-students-staff-communities</t>
        </is>
      </c>
      <c r="G254" s="77" t="inlineStr">
        <is>
          <t>King's Civic Challenge teams up students, staff and local communities for positive change</t>
        </is>
      </c>
      <c r="H254" s="77" t="inlineStr">
        <is>
          <t>News</t>
        </is>
      </c>
      <c r="I254" s="77" t="inlineStr">
        <is>
          <t>undated</t>
        </is>
      </c>
      <c r="J254" s="77" t="inlineStr">
        <is>
          <t>2026-10-12</t>
        </is>
      </c>
      <c r="K254" s="77" t="inlineStr">
        <is>
          <t>search-summary paraphrase</t>
        </is>
      </c>
      <c r="L254" s="77" t="inlineStr">
        <is>
          <t>Students and staff team up with a community partner, supported by an alumni mentor, trained to refine ideas and pitch to a panel of judges for funding.</t>
        </is>
      </c>
    </row>
    <row r="255">
      <c r="A255" s="77" t="inlineStr">
        <is>
          <t>RG10-S14-R2</t>
        </is>
      </c>
      <c r="B255" s="77" t="inlineStr">
        <is>
          <t>RG10</t>
        </is>
      </c>
      <c r="C255" s="77" t="inlineStr">
        <is>
          <t>RG10-S14</t>
        </is>
      </c>
      <c r="D255" s="77" t="inlineStr">
        <is>
          <t>King's Civic Challenge</t>
        </is>
      </c>
      <c r="E255" s="77" t="inlineStr">
        <is>
          <t>employer; group</t>
        </is>
      </c>
      <c r="F255" s="77" t="inlineStr">
        <is>
          <t>https://www.kcl.ac.uk/news/local-charities-join-together-with-students-and-staff-for-kings-civic-challenge</t>
        </is>
      </c>
      <c r="G255" s="77" t="inlineStr">
        <is>
          <t>Local charities join together with students and staff for King's Civic Challenge</t>
        </is>
      </c>
      <c r="H255" s="77" t="inlineStr">
        <is>
          <t>News</t>
        </is>
      </c>
      <c r="I255" s="77" t="inlineStr">
        <is>
          <t>undated</t>
        </is>
      </c>
      <c r="J255" s="77" t="inlineStr">
        <is>
          <t>2026-10-12</t>
        </is>
      </c>
      <c r="K255" s="77" t="inlineStr">
        <is>
          <t>search-summary paraphrase</t>
        </is>
      </c>
      <c r="L255" s="77" t="inlineStr">
        <is>
          <t>Local charities from Lambeth, Southwark and Westminster partner with student and staff teams.</t>
        </is>
      </c>
    </row>
    <row r="256">
      <c r="A256" s="77" t="inlineStr">
        <is>
          <t>RG10-S14-R3</t>
        </is>
      </c>
      <c r="B256" s="77" t="inlineStr">
        <is>
          <t>RG10</t>
        </is>
      </c>
      <c r="C256" s="77" t="inlineStr">
        <is>
          <t>RG10-S14</t>
        </is>
      </c>
      <c r="D256" s="77" t="inlineStr">
        <is>
          <t>King's Civic Challenge</t>
        </is>
      </c>
      <c r="E256" s="77" t="inlineStr">
        <is>
          <t>project; employer</t>
        </is>
      </c>
      <c r="F256" s="77" t="inlineStr">
        <is>
          <t>https://www.kcl.ac.uk/news/local-collaborations-between-students-staff-and-community-partners-secure-kings-civic-challenge-funding</t>
        </is>
      </c>
      <c r="G256" s="77" t="inlineStr">
        <is>
          <t>Local collaborations between students, staff and community partners secure King's Civic Challenge funding</t>
        </is>
      </c>
      <c r="H256" s="77" t="inlineStr">
        <is>
          <t>News</t>
        </is>
      </c>
      <c r="I256" s="77" t="inlineStr">
        <is>
          <t>undated</t>
        </is>
      </c>
      <c r="J256" s="77" t="inlineStr">
        <is>
          <t>2026-10-12</t>
        </is>
      </c>
      <c r="K256" s="77" t="inlineStr">
        <is>
          <t>search-summary paraphrase</t>
        </is>
      </c>
      <c r="L256" s="77" t="inlineStr">
        <is>
          <t>Shortlisted finalists pitched for up to £5,000 funding for collaborations with community partners.</t>
        </is>
      </c>
    </row>
    <row r="257">
      <c r="A257" s="77" t="inlineStr">
        <is>
          <t>RG10-S15-R1</t>
        </is>
      </c>
      <c r="B257" s="77" t="inlineStr">
        <is>
          <t>RG10</t>
        </is>
      </c>
      <c r="C257" s="77" t="inlineStr">
        <is>
          <t>RG10-S15</t>
        </is>
      </c>
      <c r="D257" s="77" t="inlineStr">
        <is>
          <t>KPRI Parliamentary Internship Scheme: Policy Lab</t>
        </is>
      </c>
      <c r="E257" s="77" t="inlineStr">
        <is>
          <t>project; group; employer; reach; eligibility; status; duration</t>
        </is>
      </c>
      <c r="F257" s="77" t="inlineStr">
        <is>
          <t>https://edge.kcl.ac.uk/events/kpri-parliamentary-internship-scheme-policy-lab</t>
        </is>
      </c>
      <c r="G257" s="77" t="inlineStr">
        <is>
          <t>KPRI Parliamentary Internship Scheme: Policy Lab</t>
        </is>
      </c>
      <c r="H257" s="77" t="inlineStr">
        <is>
          <t>Event page</t>
        </is>
      </c>
      <c r="I257" s="77" t="inlineStr">
        <is>
          <t>2026</t>
        </is>
      </c>
      <c r="J257" s="77" t="inlineStr">
        <is>
          <t>2026-10-13</t>
        </is>
      </c>
      <c r="K257" s="77" t="inlineStr">
        <is>
          <t>page text</t>
        </is>
      </c>
      <c r="L257" s="77" t="inlineStr">
        <is>
          <t>Open to all King's students; six weeks 28 May-2 July 2026; small cross-disciplinary team; co-authored policy briefing submitted to interested peers; supported by King's Parliamentary Researchers.</t>
        </is>
      </c>
    </row>
    <row r="258">
      <c r="A258" s="77" t="inlineStr">
        <is>
          <t>RG10-S16-R1</t>
        </is>
      </c>
      <c r="B258" s="77" t="inlineStr">
        <is>
          <t>RG10</t>
        </is>
      </c>
      <c r="C258" s="77" t="inlineStr">
        <is>
          <t>RG10-S16</t>
        </is>
      </c>
      <c r="D258" s="77" t="inlineStr">
        <is>
          <t>Community Impact Lab</t>
        </is>
      </c>
      <c r="E258" s="77" t="inlineStr">
        <is>
          <t>project; group; employer; duration</t>
        </is>
      </c>
      <c r="F258" s="77" t="inlineStr">
        <is>
          <t>https://www.kcl.ac.uk/news/kings-volunteering-fairs-help-students-build-skills-and-community-connections-copy</t>
        </is>
      </c>
      <c r="G258" s="77" t="inlineStr">
        <is>
          <t>Students use entrepreneurial skills to address real-world social challenges</t>
        </is>
      </c>
      <c r="H258" s="77" t="inlineStr">
        <is>
          <t>News</t>
        </is>
      </c>
      <c r="I258" s="77" t="inlineStr">
        <is>
          <t>undated</t>
        </is>
      </c>
      <c r="J258" s="77" t="inlineStr">
        <is>
          <t>2026-10-13</t>
        </is>
      </c>
      <c r="K258" s="77" t="inlineStr">
        <is>
          <t>search-summary paraphrase</t>
        </is>
      </c>
      <c r="L258" s="77" t="inlineStr">
        <is>
          <t>Two one-day events each year; charities bring a live problem; teams develop practical recommendations presented to the organisation; first event over 70 students, five charity partners.</t>
        </is>
      </c>
    </row>
    <row r="259">
      <c r="A259" s="77" t="inlineStr">
        <is>
          <t>RG11-S01-R1</t>
        </is>
      </c>
      <c r="B259" s="77" t="inlineStr">
        <is>
          <t>RG11</t>
        </is>
      </c>
      <c r="C259" s="77" t="inlineStr">
        <is>
          <t>RG11-S01</t>
        </is>
      </c>
      <c r="D259" s="77" t="inlineStr">
        <is>
          <t>LUBS3013 Enterprise Consultancy (Leeds Enterprise Consultancy Project)</t>
        </is>
      </c>
      <c r="E259" s="77" t="inlineStr">
        <is>
          <t>project; group; employer; reach; eligibility; credit; status</t>
        </is>
      </c>
      <c r="F259" s="77" t="inlineStr">
        <is>
          <t>https://catalogue.leeds.ac.uk/Module/UG/LUBS/3013/202526</t>
        </is>
      </c>
      <c r="G259" s="77" t="inlineStr">
        <is>
          <t>LUBS3013 Enterprise Consultancy</t>
        </is>
      </c>
      <c r="H259" s="77" t="inlineStr">
        <is>
          <t>Module catalogue 2025/26</t>
        </is>
      </c>
      <c r="I259" s="77" t="inlineStr">
        <is>
          <t>2025/26</t>
        </is>
      </c>
      <c r="J259" s="77" t="inlineStr">
        <is>
          <t>2026-10-12</t>
        </is>
      </c>
      <c r="K259" s="77" t="inlineStr">
        <is>
          <t>search-index extract</t>
        </is>
      </c>
      <c r="L259" s="77" t="inlineStr">
        <is>
          <t>Working directly with enterprises, the student team delivers a project to an enterprise's consultancy brief over a 6-8 week period; 20 credits, Semester 1, class size 130; open to final year undergraduate students across the university.</t>
        </is>
      </c>
    </row>
    <row r="260">
      <c r="A260" s="77" t="inlineStr">
        <is>
          <t>RG11-S01-R2</t>
        </is>
      </c>
      <c r="B260" s="77" t="inlineStr">
        <is>
          <t>RG11</t>
        </is>
      </c>
      <c r="C260" s="77" t="inlineStr">
        <is>
          <t>RG11-S01</t>
        </is>
      </c>
      <c r="D260" s="77" t="inlineStr">
        <is>
          <t>LUBS3013 Enterprise Consultancy (Leeds Enterprise Consultancy Project)</t>
        </is>
      </c>
      <c r="E260" s="77" t="inlineStr">
        <is>
          <t>project; employer; reach; status</t>
        </is>
      </c>
      <c r="F260" s="77" t="inlineStr">
        <is>
          <t>https://lcee.leeds.ac.uk/enterprise-consultancy-project-2024-2/</t>
        </is>
      </c>
      <c r="G260" s="77" t="inlineStr">
        <is>
          <t>Enterprise Consultancy Project 2025</t>
        </is>
      </c>
      <c r="H260" s="77" t="inlineStr">
        <is>
          <t>Call for enterprise partners</t>
        </is>
      </c>
      <c r="I260" s="77" t="inlineStr">
        <is>
          <t>2025</t>
        </is>
      </c>
      <c r="J260" s="77" t="inlineStr">
        <is>
          <t>2026-10-12</t>
        </is>
      </c>
      <c r="K260" s="77" t="inlineStr">
        <is>
          <t>search-index extract</t>
        </is>
      </c>
      <c r="L260" s="77" t="inlineStr">
        <is>
          <t>Invites small businesses and social enterprises to apply with a proposal emphasising business development, innovations or exploring new market opportunities; module open to final year undergraduates across the university.</t>
        </is>
      </c>
    </row>
    <row r="261">
      <c r="A261" s="77" t="inlineStr">
        <is>
          <t>RG11-S01-R3</t>
        </is>
      </c>
      <c r="B261" s="77" t="inlineStr">
        <is>
          <t>RG11</t>
        </is>
      </c>
      <c r="C261" s="77" t="inlineStr">
        <is>
          <t>RG11-S01</t>
        </is>
      </c>
      <c r="D261" s="77" t="inlineStr">
        <is>
          <t>LUBS3013 Enterprise Consultancy (Leeds Enterprise Consultancy Project)</t>
        </is>
      </c>
      <c r="E261" s="77" t="inlineStr">
        <is>
          <t>employer</t>
        </is>
      </c>
      <c r="F261" s="77" t="inlineStr">
        <is>
          <t>https://lcee.leeds.ac.uk/casestudies/behind-the-scenes-look-at-the-leeds-enterprise-consultancy-project/</t>
        </is>
      </c>
      <c r="G261" s="77" t="inlineStr">
        <is>
          <t>Behind-the-scenes look at the Leeds Enterprise Consultancy Project</t>
        </is>
      </c>
      <c r="H261" s="77" t="inlineStr">
        <is>
          <t>Case study</t>
        </is>
      </c>
      <c r="I261" s="77" t="inlineStr">
        <is>
          <t>undated</t>
        </is>
      </c>
      <c r="J261" s="77" t="inlineStr">
        <is>
          <t>2026-10-12</t>
        </is>
      </c>
      <c r="K261" s="77" t="inlineStr">
        <is>
          <t>search-index extract</t>
        </is>
      </c>
      <c r="L261" s="77" t="inlineStr">
        <is>
          <t>A charity client (Better Giving Partnership) said they have taken away, and are implementing, most of the students' recommendations.</t>
        </is>
      </c>
    </row>
    <row r="262">
      <c r="A262" s="77" t="inlineStr">
        <is>
          <t>RG11-S01-R4</t>
        </is>
      </c>
      <c r="B262" s="77" t="inlineStr">
        <is>
          <t>RG11</t>
        </is>
      </c>
      <c r="C262" s="77" t="inlineStr">
        <is>
          <t>RG11-S01</t>
        </is>
      </c>
      <c r="D262" s="77" t="inlineStr">
        <is>
          <t>LUBS3013 Enterprise Consultancy (Leeds Enterprise Consultancy Project)</t>
        </is>
      </c>
      <c r="E262" s="77" t="inlineStr">
        <is>
          <t>participation; group</t>
        </is>
      </c>
      <c r="F262" s="77" t="inlineStr">
        <is>
          <t>https://courses.leeds.ac.uk/g378/biological-sciences-biotechnology-with-enterprise-mbiol-bsc</t>
        </is>
      </c>
      <c r="G262" s="77" t="inlineStr">
        <is>
          <t>Biological Sciences (Biotechnology with Enterprise) MBiol, BSc</t>
        </is>
      </c>
      <c r="H262" s="77" t="inlineStr">
        <is>
          <t>Course content</t>
        </is>
      </c>
      <c r="I262" s="77" t="inlineStr">
        <is>
          <t>undated</t>
        </is>
      </c>
      <c r="J262" s="77" t="inlineStr">
        <is>
          <t>2026-10-12</t>
        </is>
      </c>
      <c r="K262" s="77" t="inlineStr">
        <is>
          <t>search-summary paraphrase</t>
        </is>
      </c>
      <c r="L262" s="77" t="inlineStr">
        <is>
          <t>Enterprise Consultancy is a compulsory 20-credit module in which students work as a team on a consultancy brief for an enterprise (search summary).</t>
        </is>
      </c>
    </row>
    <row r="263">
      <c r="A263" s="77" t="inlineStr">
        <is>
          <t>RG11-S02-R1</t>
        </is>
      </c>
      <c r="B263" s="77" t="inlineStr">
        <is>
          <t>RG11</t>
        </is>
      </c>
      <c r="C263" s="77" t="inlineStr">
        <is>
          <t>RG11-S02</t>
        </is>
      </c>
      <c r="D263" s="77" t="inlineStr">
        <is>
          <t>Leeds Global Industry Programme (postgraduate)</t>
        </is>
      </c>
      <c r="E263" s="77" t="inlineStr">
        <is>
          <t>project; group; employer; reach; eligibility; status; participation</t>
        </is>
      </c>
      <c r="F263" s="77" t="inlineStr">
        <is>
          <t>https://students.leeds.ac.uk/careers/doc/leeds-global-industry-programme-2025-2026</t>
        </is>
      </c>
      <c r="G263" s="77" t="inlineStr">
        <is>
          <t>Leeds Global Industry Programme</t>
        </is>
      </c>
      <c r="H263" s="77" t="inlineStr">
        <is>
          <t>Programme page 2025-26</t>
        </is>
      </c>
      <c r="I263" s="77" t="inlineStr">
        <is>
          <t>2025/26</t>
        </is>
      </c>
      <c r="J263" s="77" t="inlineStr">
        <is>
          <t>2026-10-12</t>
        </is>
      </c>
      <c r="K263" s="77" t="inlineStr">
        <is>
          <t>search-index extract</t>
        </is>
      </c>
      <c r="L263" s="77" t="inlineStr">
        <is>
          <t>Guaranteed for all on-campus taught postgraduate students except Leeds MBA; multi-disciplinary teams of five to eight; students receive a live company brief, then research, analyse and develop solutions presenting findings in a professional consultancy report; digital badge and certificate.</t>
        </is>
      </c>
    </row>
    <row r="264">
      <c r="A264" s="77" t="inlineStr">
        <is>
          <t>RG11-S02-R2</t>
        </is>
      </c>
      <c r="B264" s="77" t="inlineStr">
        <is>
          <t>RG11</t>
        </is>
      </c>
      <c r="C264" s="77" t="inlineStr">
        <is>
          <t>RG11-S02</t>
        </is>
      </c>
      <c r="D264" s="77" t="inlineStr">
        <is>
          <t>Leeds Global Industry Programme (postgraduate)</t>
        </is>
      </c>
      <c r="E264" s="77" t="inlineStr">
        <is>
          <t>project; status</t>
        </is>
      </c>
      <c r="F264" s="77" t="inlineStr">
        <is>
          <t>https://students.business.leeds.ac.uk/the-lubs-employability-and-opportunity-team/postgraduates/leeds-global-industry-programme-2025-2026/</t>
        </is>
      </c>
      <c r="G264" s="77" t="inlineStr">
        <is>
          <t>Leeds Global Industry Programme 2025-2026</t>
        </is>
      </c>
      <c r="H264" s="77" t="inlineStr">
        <is>
          <t>LUBS employability page</t>
        </is>
      </c>
      <c r="I264" s="77" t="inlineStr">
        <is>
          <t>2025/26</t>
        </is>
      </c>
      <c r="J264" s="77" t="inlineStr">
        <is>
          <t>2026-10-12</t>
        </is>
      </c>
      <c r="K264" s="77" t="inlineStr">
        <is>
          <t>search-index extract</t>
        </is>
      </c>
      <c r="L264" s="77" t="inlineStr">
        <is>
          <t>2025-26 programme page (same description of live brief and teams).</t>
        </is>
      </c>
    </row>
    <row r="265">
      <c r="A265" s="77" t="inlineStr">
        <is>
          <t>RG11-S02-R3</t>
        </is>
      </c>
      <c r="B265" s="77" t="inlineStr">
        <is>
          <t>RG11</t>
        </is>
      </c>
      <c r="C265" s="77" t="inlineStr">
        <is>
          <t>RG11-S02</t>
        </is>
      </c>
      <c r="D265" s="77" t="inlineStr">
        <is>
          <t>Leeds Global Industry Programme (postgraduate)</t>
        </is>
      </c>
      <c r="E265" s="77" t="inlineStr">
        <is>
          <t>employer; participation</t>
        </is>
      </c>
      <c r="F265" s="77" t="inlineStr">
        <is>
          <t>https://business.leeds.ac.uk/faculty/news/article/1267/championing-experiential-learning-with-expanded-global-industry-programme</t>
        </is>
      </c>
      <c r="G265" s="77" t="inlineStr">
        <is>
          <t>Championing experiential learning with expanded Global Industry Programme</t>
        </is>
      </c>
      <c r="H265" s="77" t="inlineStr">
        <is>
          <t>News</t>
        </is>
      </c>
      <c r="I265" s="77" t="inlineStr">
        <is>
          <t>2024/25</t>
        </is>
      </c>
      <c r="J265" s="77" t="inlineStr">
        <is>
          <t>2026-10-12</t>
        </is>
      </c>
      <c r="K265" s="77" t="inlineStr">
        <is>
          <t>search-index extract</t>
        </is>
      </c>
      <c r="L265" s="77" t="inlineStr">
        <is>
          <t>Aimed to engage 200 students across two cohorts (Nov 2024, Feb 2025); partner companies from Spain, Nigeria, Canada, Singapore; a company praised the students' work.</t>
        </is>
      </c>
    </row>
    <row r="266">
      <c r="A266" s="77" t="inlineStr">
        <is>
          <t>RG11-S03-R1</t>
        </is>
      </c>
      <c r="B266" s="77" t="inlineStr">
        <is>
          <t>RG11</t>
        </is>
      </c>
      <c r="C266" s="77" t="inlineStr">
        <is>
          <t>RG11-S03</t>
        </is>
      </c>
      <c r="D266" s="77" t="inlineStr">
        <is>
          <t>EPS Embedded Virtual Work Experience</t>
        </is>
      </c>
      <c r="E266" s="77" t="inlineStr">
        <is>
          <t>project; group; employer; reach; eligibility; credit; duration</t>
        </is>
      </c>
      <c r="F266" s="77" t="inlineStr">
        <is>
          <t>https://eps.leeds.ac.uk/homepage/266/embedded-virtual-work-experience</t>
        </is>
      </c>
      <c r="G266" s="77" t="inlineStr">
        <is>
          <t>Embedded virtual work experience</t>
        </is>
      </c>
      <c r="H266" s="77" t="inlineStr">
        <is>
          <t>Faculty page</t>
        </is>
      </c>
      <c r="I266" s="77" t="inlineStr">
        <is>
          <t>undated</t>
        </is>
      </c>
      <c r="J266" s="77" t="inlineStr">
        <is>
          <t>2026-10-12</t>
        </is>
      </c>
      <c r="K266" s="77" t="inlineStr">
        <is>
          <t>search-index extract</t>
        </is>
      </c>
      <c r="L266" s="77" t="inlineStr">
        <is>
          <t>Eight-week online work experience: team of five students from your course solve real business problems for an assigned company part-time; company gives feedback; academic tutor; pass/fail reflective assignment.</t>
        </is>
      </c>
    </row>
    <row r="267">
      <c r="A267" s="77" t="inlineStr">
        <is>
          <t>RG11-S03-R2</t>
        </is>
      </c>
      <c r="B267" s="77" t="inlineStr">
        <is>
          <t>RG11</t>
        </is>
      </c>
      <c r="C267" s="77" t="inlineStr">
        <is>
          <t>RG11-S03</t>
        </is>
      </c>
      <c r="D267" s="77" t="inlineStr">
        <is>
          <t>EPS Embedded Virtual Work Experience</t>
        </is>
      </c>
      <c r="E267" s="77" t="inlineStr">
        <is>
          <t>status</t>
        </is>
      </c>
      <c r="F267" s="77" t="inlineStr">
        <is>
          <t>https://students.leeds.ac.uk/careers/doc/leeds-global-industry-programme-2025-2026</t>
        </is>
      </c>
      <c r="G267" s="77" t="inlineStr">
        <is>
          <t>Leeds Global Industry Programme</t>
        </is>
      </c>
      <c r="H267" s="77" t="inlineStr">
        <is>
          <t>Programme page 2025-26</t>
        </is>
      </c>
      <c r="I267" s="77" t="inlineStr">
        <is>
          <t>2025/26</t>
        </is>
      </c>
      <c r="J267" s="77" t="inlineStr">
        <is>
          <t>2026-10-12</t>
        </is>
      </c>
      <c r="K267" s="77" t="inlineStr">
        <is>
          <t>search-index extract</t>
        </is>
      </c>
      <c r="L267" s="77" t="inlineStr">
        <is>
          <t>EPS students are offered an eight-week online work experience programme instead of the Global Industry Programme.</t>
        </is>
      </c>
    </row>
    <row r="268">
      <c r="A268" s="77" t="inlineStr">
        <is>
          <t>RG11-S03-R3</t>
        </is>
      </c>
      <c r="B268" s="77" t="inlineStr">
        <is>
          <t>RG11</t>
        </is>
      </c>
      <c r="C268" s="77" t="inlineStr">
        <is>
          <t>RG11-S03</t>
        </is>
      </c>
      <c r="D268" s="77" t="inlineStr">
        <is>
          <t>EPS Embedded Virtual Work Experience</t>
        </is>
      </c>
      <c r="E268" s="77" t="inlineStr">
        <is>
          <t>participation</t>
        </is>
      </c>
      <c r="F268" s="77" t="inlineStr">
        <is>
          <t>https://courses.leeds.ac.uk/k301/computer-science-with-software-engineering-msc</t>
        </is>
      </c>
      <c r="G268" s="77" t="inlineStr">
        <is>
          <t>Computer Science with Software Engineering MSc</t>
        </is>
      </c>
      <c r="H268" s="77" t="inlineStr">
        <is>
          <t>Course page</t>
        </is>
      </c>
      <c r="I268" s="77" t="inlineStr">
        <is>
          <t>undated</t>
        </is>
      </c>
      <c r="J268" s="77" t="inlineStr">
        <is>
          <t>2026-10-12</t>
        </is>
      </c>
      <c r="K268" s="77" t="inlineStr">
        <is>
          <t>search-summary paraphrase</t>
        </is>
      </c>
      <c r="L268" s="77" t="inlineStr">
        <is>
          <t>Describes an optional online work experience programme on a live company brief.</t>
        </is>
      </c>
    </row>
    <row r="269">
      <c r="A269" s="77" t="inlineStr">
        <is>
          <t>RG11-S04-R1</t>
        </is>
      </c>
      <c r="B269" s="77" t="inlineStr">
        <is>
          <t>RG11</t>
        </is>
      </c>
      <c r="C269" s="77" t="inlineStr">
        <is>
          <t>RG11-S04</t>
        </is>
      </c>
      <c r="D269" s="77" t="inlineStr">
        <is>
          <t>MECH5080M Team Project (MEng major team project with industrial partner)</t>
        </is>
      </c>
      <c r="E269" s="77" t="inlineStr">
        <is>
          <t>project; group; employer; credit; status</t>
        </is>
      </c>
      <c r="F269" s="77" t="inlineStr">
        <is>
          <t>https://catalogue.leeds.ac.uk/Module/UG/MECH/5080M/202526</t>
        </is>
      </c>
      <c r="G269" s="77" t="inlineStr">
        <is>
          <t>MECH5080M Team Project</t>
        </is>
      </c>
      <c r="H269" s="77" t="inlineStr">
        <is>
          <t>Module catalogue 2025/26</t>
        </is>
      </c>
      <c r="I269" s="77" t="inlineStr">
        <is>
          <t>2025/26</t>
        </is>
      </c>
      <c r="J269" s="77" t="inlineStr">
        <is>
          <t>2026-10-12</t>
        </is>
      </c>
      <c r="K269" s="77" t="inlineStr">
        <is>
          <t>search-index extract</t>
        </is>
      </c>
      <c r="L269" s="77" t="inlineStr">
        <is>
          <t>45 credits; groups of 3 to 6; staff supervisor and industry collaborator as mentor; tender or business plan with industry mentors acting as customers; class size 240.</t>
        </is>
      </c>
    </row>
    <row r="270">
      <c r="A270" s="77" t="inlineStr">
        <is>
          <t>RG11-S04-R2</t>
        </is>
      </c>
      <c r="B270" s="77" t="inlineStr">
        <is>
          <t>RG11</t>
        </is>
      </c>
      <c r="C270" s="77" t="inlineStr">
        <is>
          <t>RG11-S04</t>
        </is>
      </c>
      <c r="D270" s="77" t="inlineStr">
        <is>
          <t>MECH5080M Team Project (MEng major team project with industrial partner)</t>
        </is>
      </c>
      <c r="E270" s="77" t="inlineStr">
        <is>
          <t>employer; eligibility</t>
        </is>
      </c>
      <c r="F270" s="77" t="inlineStr">
        <is>
          <t>https://courses.leeds.ac.uk/f411/mechanical-engineering-meng-beng</t>
        </is>
      </c>
      <c r="G270" s="77" t="inlineStr">
        <is>
          <t>Mechanical Engineering MEng, BEng</t>
        </is>
      </c>
      <c r="H270" s="77" t="inlineStr">
        <is>
          <t>Course content</t>
        </is>
      </c>
      <c r="I270" s="77" t="inlineStr">
        <is>
          <t>undated</t>
        </is>
      </c>
      <c r="J270" s="77" t="inlineStr">
        <is>
          <t>2026-10-12</t>
        </is>
      </c>
      <c r="K270" s="77" t="inlineStr">
        <is>
          <t>search-index extract</t>
        </is>
      </c>
      <c r="L270" s="77" t="inlineStr">
        <is>
          <t>Major team project working closely with one of our industrial partners; examples with Rolls-Royce, Airbus, MBDA.</t>
        </is>
      </c>
    </row>
    <row r="271">
      <c r="A271" s="77" t="inlineStr">
        <is>
          <t>RG11-S04-R3</t>
        </is>
      </c>
      <c r="B271" s="77" t="inlineStr">
        <is>
          <t>RG11</t>
        </is>
      </c>
      <c r="C271" s="77" t="inlineStr">
        <is>
          <t>RG11-S04</t>
        </is>
      </c>
      <c r="D271" s="77" t="inlineStr">
        <is>
          <t>MECH5080M Team Project (MEng major team project with industrial partner)</t>
        </is>
      </c>
      <c r="E271" s="77" t="inlineStr">
        <is>
          <t>participation; status</t>
        </is>
      </c>
      <c r="F271" s="77" t="inlineStr">
        <is>
          <t>https://catalogue.leeds.ac.uk/Programme/202526?code=MEBE-MECH</t>
        </is>
      </c>
      <c r="G271" s="77" t="inlineStr">
        <is>
          <t>MEng, BEng Mechanical Engineering</t>
        </is>
      </c>
      <c r="H271" s="77" t="inlineStr">
        <is>
          <t>Programme listing 2025/26</t>
        </is>
      </c>
      <c r="I271" s="77" t="inlineStr">
        <is>
          <t>2025/26</t>
        </is>
      </c>
      <c r="J271" s="77" t="inlineStr">
        <is>
          <t>2026-10-12</t>
        </is>
      </c>
      <c r="K271" s="77" t="inlineStr">
        <is>
          <t>search-index extract</t>
        </is>
      </c>
      <c r="L271" s="77" t="inlineStr">
        <is>
          <t>MECH5080M Team Project | 45 | Semesters 1 &amp; 2 | PFP (compulsory Year 4).</t>
        </is>
      </c>
    </row>
    <row r="272">
      <c r="A272" s="77" t="inlineStr">
        <is>
          <t>RG11-S05-R1</t>
        </is>
      </c>
      <c r="B272" s="77" t="inlineStr">
        <is>
          <t>RG11</t>
        </is>
      </c>
      <c r="C272" s="77" t="inlineStr">
        <is>
          <t>RG11-S05</t>
        </is>
      </c>
      <c r="D272" s="77" t="inlineStr">
        <is>
          <t>Civil Engineering Integrated Design Project (Year 4 MEng)</t>
        </is>
      </c>
      <c r="E272" s="77" t="inlineStr">
        <is>
          <t>project; group; employer; eligibility</t>
        </is>
      </c>
      <c r="F272" s="77" t="inlineStr">
        <is>
          <t>https://eps.leeds.ac.uk/civil-engineering-undergraduate/doc/year-one</t>
        </is>
      </c>
      <c r="G272" s="77" t="inlineStr">
        <is>
          <t>Civil engineering project work</t>
        </is>
      </c>
      <c r="H272" s="77" t="inlineStr">
        <is>
          <t>Year 4 Integrated Design Project</t>
        </is>
      </c>
      <c r="I272" s="77" t="inlineStr">
        <is>
          <t>undated</t>
        </is>
      </c>
      <c r="J272" s="77" t="inlineStr">
        <is>
          <t>2026-10-12</t>
        </is>
      </c>
      <c r="K272" s="77" t="inlineStr">
        <is>
          <t>search-summary paraphrase</t>
        </is>
      </c>
      <c r="L272" s="77" t="inlineStr">
        <is>
          <t>Year 4 MEng students usually get a real-life problem proposed by one of the department's industrial partners; partner takes the role of client; groups present to module team and industry partner; top groups re-present at partner's offices.</t>
        </is>
      </c>
    </row>
    <row r="273">
      <c r="A273" s="77" t="inlineStr">
        <is>
          <t>RG11-S06-R1</t>
        </is>
      </c>
      <c r="B273" s="77" t="inlineStr">
        <is>
          <t>RG11</t>
        </is>
      </c>
      <c r="C273" s="77" t="inlineStr">
        <is>
          <t>RG11-S06</t>
        </is>
      </c>
      <c r="D273" s="77" t="inlineStr">
        <is>
          <t>FOAH5000M Engaging the Modern City: The Civic Researcher</t>
        </is>
      </c>
      <c r="E273" s="77" t="inlineStr">
        <is>
          <t>project; group; employer; credit; status</t>
        </is>
      </c>
      <c r="F273" s="77" t="inlineStr">
        <is>
          <t>https://catalogue.leeds.ac.uk/Module/TP/FOAH/5000M/202526</t>
        </is>
      </c>
      <c r="G273" s="77" t="inlineStr">
        <is>
          <t>FOAH5000M Engaging the Modern City: The Civic Researcher</t>
        </is>
      </c>
      <c r="H273" s="77" t="inlineStr">
        <is>
          <t>Module catalogue 2025/26</t>
        </is>
      </c>
      <c r="I273" s="77" t="inlineStr">
        <is>
          <t>2025/26</t>
        </is>
      </c>
      <c r="J273" s="77" t="inlineStr">
        <is>
          <t>2026-10-12</t>
        </is>
      </c>
      <c r="K273" s="77" t="inlineStr">
        <is>
          <t>search-index extract</t>
        </is>
      </c>
      <c r="L273" s="77" t="inlineStr">
        <is>
          <t>Leeds-based organisations from politics, culture and the third sector will negotiate and co-articulate project briefs with student groups; group portfolio 50%; showcase marked 75% by a panel of academic and external leads.</t>
        </is>
      </c>
    </row>
    <row r="274">
      <c r="A274" s="77" t="inlineStr">
        <is>
          <t>RG11-S06-R2</t>
        </is>
      </c>
      <c r="B274" s="77" t="inlineStr">
        <is>
          <t>RG11</t>
        </is>
      </c>
      <c r="C274" s="77" t="inlineStr">
        <is>
          <t>RG11-S06</t>
        </is>
      </c>
      <c r="D274" s="77" t="inlineStr">
        <is>
          <t>FOAH5000M Engaging the Modern City: The Civic Researcher</t>
        </is>
      </c>
      <c r="E274" s="77" t="inlineStr">
        <is>
          <t>employer</t>
        </is>
      </c>
      <c r="F274" s="77" t="inlineStr">
        <is>
          <t>https://essl.leeds.ac.uk/student-and-alumni-profiles/single/6/school-of-politics-and-international-studies/1031/emma-briones</t>
        </is>
      </c>
      <c r="G274" s="77" t="inlineStr">
        <is>
          <t>Emma Briones</t>
        </is>
      </c>
      <c r="H274" s="77" t="inlineStr">
        <is>
          <t>Alumni profile</t>
        </is>
      </c>
      <c r="I274" s="77" t="inlineStr">
        <is>
          <t>undated</t>
        </is>
      </c>
      <c r="J274" s="77" t="inlineStr">
        <is>
          <t>2026-10-12</t>
        </is>
      </c>
      <c r="K274" s="77" t="inlineStr">
        <is>
          <t>search-summary paraphrase</t>
        </is>
      </c>
      <c r="L274" s="77" t="inlineStr">
        <is>
          <t>Names partners such as East Street Arts, the Performance Ensemble and Leeds Playhouse (search summary).</t>
        </is>
      </c>
    </row>
    <row r="275">
      <c r="A275" s="77" t="inlineStr">
        <is>
          <t>RG11-S07-R1</t>
        </is>
      </c>
      <c r="B275" s="77" t="inlineStr">
        <is>
          <t>RG11</t>
        </is>
      </c>
      <c r="C275" s="77" t="inlineStr">
        <is>
          <t>RG11-S07</t>
        </is>
      </c>
      <c r="D275" s="77" t="inlineStr">
        <is>
          <t>Placements in Context (MA Arts Management and Heritage Studies)</t>
        </is>
      </c>
      <c r="E275" s="77" t="inlineStr">
        <is>
          <t>project; group; employer; participation; credit</t>
        </is>
      </c>
      <c r="F275" s="77" t="inlineStr">
        <is>
          <t>https://courses.leeds.ac.uk/g646/arts-management-and-heritage-studies-ma</t>
        </is>
      </c>
      <c r="G275" s="77" t="inlineStr">
        <is>
          <t>Arts Management and Heritage Studies MA</t>
        </is>
      </c>
      <c r="H275" s="77" t="inlineStr">
        <is>
          <t>Course content</t>
        </is>
      </c>
      <c r="I275" s="77" t="inlineStr">
        <is>
          <t>undated</t>
        </is>
      </c>
      <c r="J275" s="77" t="inlineStr">
        <is>
          <t>2026-10-12</t>
        </is>
      </c>
      <c r="K275" s="77" t="inlineStr">
        <is>
          <t>search-index extract</t>
        </is>
      </c>
      <c r="L275" s="77" t="inlineStr">
        <is>
          <t>Optional 30-credit module supporting students to deliver a collaborative group project responding to a brief set by one of our many gallery, museum and heritage partners; Semester 2.</t>
        </is>
      </c>
    </row>
    <row r="276">
      <c r="A276" s="77" t="inlineStr">
        <is>
          <t>RG11-S07-R2</t>
        </is>
      </c>
      <c r="B276" s="77" t="inlineStr">
        <is>
          <t>RG11</t>
        </is>
      </c>
      <c r="C276" s="77" t="inlineStr">
        <is>
          <t>RG11-S07</t>
        </is>
      </c>
      <c r="D276" s="77" t="inlineStr">
        <is>
          <t>Placements in Context (MA Arts Management and Heritage Studies)</t>
        </is>
      </c>
      <c r="E276" s="77" t="inlineStr">
        <is>
          <t>employer</t>
        </is>
      </c>
      <c r="F276" s="77" t="inlineStr">
        <is>
          <t>https://ahc.leeds.ac.uk/fine-art/news/article/2471/call-for-ma-student-projects-with-museum-gallery-and-heritage-sector-opens</t>
        </is>
      </c>
      <c r="G276" s="77" t="inlineStr">
        <is>
          <t>Call for MA student projects with museum, gallery and heritage sector opens</t>
        </is>
      </c>
      <c r="H276" s="77" t="inlineStr">
        <is>
          <t>News</t>
        </is>
      </c>
      <c r="I276" s="77" t="inlineStr">
        <is>
          <t>undated</t>
        </is>
      </c>
      <c r="J276" s="77" t="inlineStr">
        <is>
          <t>2026-10-12</t>
        </is>
      </c>
      <c r="K276" s="77" t="inlineStr">
        <is>
          <t>search-summary paraphrase</t>
        </is>
      </c>
      <c r="L276" s="77" t="inlineStr">
        <is>
          <t>Call for partner projects; past collaborations with National Science and Media Museum, Leeds Museums and Galleries, Yorkshire Contemporary (search summary).</t>
        </is>
      </c>
    </row>
    <row r="277">
      <c r="A277" s="77" t="inlineStr">
        <is>
          <t>RG11-S08-R1</t>
        </is>
      </c>
      <c r="B277" s="77" t="inlineStr">
        <is>
          <t>RG11</t>
        </is>
      </c>
      <c r="C277" s="77" t="inlineStr">
        <is>
          <t>RG11-S08</t>
        </is>
      </c>
      <c r="D277" s="77" t="inlineStr">
        <is>
          <t>Leeds MBA Live Challenges (Consulting Challenge in Leading in Practice)</t>
        </is>
      </c>
      <c r="E277" s="77" t="inlineStr">
        <is>
          <t>project; group; employer; reach</t>
        </is>
      </c>
      <c r="F277" s="77" t="inlineStr">
        <is>
          <t>https://business.leeds.ac.uk/leeds-mba/doc/live-challenges-3</t>
        </is>
      </c>
      <c r="G277" s="77" t="inlineStr">
        <is>
          <t>Live challenges</t>
        </is>
      </c>
      <c r="H277" s="77" t="inlineStr">
        <is>
          <t>Leeds MBA</t>
        </is>
      </c>
      <c r="I277" s="77" t="inlineStr">
        <is>
          <t>undated</t>
        </is>
      </c>
      <c r="J277" s="77" t="inlineStr">
        <is>
          <t>2026-10-12</t>
        </is>
      </c>
      <c r="K277" s="77" t="inlineStr">
        <is>
          <t>search-summary paraphrase</t>
        </is>
      </c>
      <c r="L277" s="77" t="inlineStr">
        <is>
          <t>Consulting Challenge during Leading in Practice: students advise a social enterprise or voluntary sector organisation; teams engage with the client, diagnose a significant problem, make a positive intervention; mentored by staff and practitioners.</t>
        </is>
      </c>
    </row>
    <row r="278">
      <c r="A278" s="77" t="inlineStr">
        <is>
          <t>RG11-S08-R2</t>
        </is>
      </c>
      <c r="B278" s="77" t="inlineStr">
        <is>
          <t>RG11</t>
        </is>
      </c>
      <c r="C278" s="77" t="inlineStr">
        <is>
          <t>RG11-S08</t>
        </is>
      </c>
      <c r="D278" s="77" t="inlineStr">
        <is>
          <t>Leeds MBA Live Challenges (Consulting Challenge in Leading in Practice)</t>
        </is>
      </c>
      <c r="E278" s="77" t="inlineStr">
        <is>
          <t>employer; participation</t>
        </is>
      </c>
      <c r="F278" s="77" t="inlineStr">
        <is>
          <t>https://courses.leeds.ac.uk/a992/full-time-mba</t>
        </is>
      </c>
      <c r="G278" s="77" t="inlineStr">
        <is>
          <t>Full Time MBA</t>
        </is>
      </c>
      <c r="H278" s="77" t="inlineStr">
        <is>
          <t>Course page</t>
        </is>
      </c>
      <c r="I278" s="77" t="inlineStr">
        <is>
          <t>undated</t>
        </is>
      </c>
      <c r="J278" s="77" t="inlineStr">
        <is>
          <t>2026-10-12</t>
        </is>
      </c>
      <c r="K278" s="77" t="inlineStr">
        <is>
          <t>search-summary paraphrase</t>
        </is>
      </c>
      <c r="L278" s="77" t="inlineStr">
        <is>
          <t>Includes a Consulting Challenge providing consultancy support to an external business.</t>
        </is>
      </c>
    </row>
    <row r="279">
      <c r="A279" s="77" t="inlineStr">
        <is>
          <t>RG11-S09-R1</t>
        </is>
      </c>
      <c r="B279" s="77" t="inlineStr">
        <is>
          <t>RG11</t>
        </is>
      </c>
      <c r="C279" s="77" t="inlineStr">
        <is>
          <t>RG11-S09</t>
        </is>
      </c>
      <c r="D279" s="77" t="inlineStr">
        <is>
          <t>LUBS3990 Innovation Thinking and Practice</t>
        </is>
      </c>
      <c r="E279" s="77" t="inlineStr">
        <is>
          <t>project; group; credit; reach; status</t>
        </is>
      </c>
      <c r="F279" s="77" t="inlineStr">
        <is>
          <t>https://catalogue.leeds.ac.uk/Module/UG/LUBS/3990/202526</t>
        </is>
      </c>
      <c r="G279" s="77" t="inlineStr">
        <is>
          <t>LUBS3990 Innovation Thinking and Practice</t>
        </is>
      </c>
      <c r="H279" s="77" t="inlineStr">
        <is>
          <t>Module catalogue 2025/26</t>
        </is>
      </c>
      <c r="I279" s="77" t="inlineStr">
        <is>
          <t>2025/26</t>
        </is>
      </c>
      <c r="J279" s="77" t="inlineStr">
        <is>
          <t>2026-10-12</t>
        </is>
      </c>
      <c r="K279" s="77" t="inlineStr">
        <is>
          <t>search-index extract</t>
        </is>
      </c>
      <c r="L279" s="77" t="inlineStr">
        <is>
          <t>10 credits, Semester 1; approved as a discovery module; team projects assessed individually (single 2,000-word essay); final team presentation to panel of industry and academic experts.</t>
        </is>
      </c>
    </row>
    <row r="280">
      <c r="A280" s="77" t="inlineStr">
        <is>
          <t>RG11-S09-R2</t>
        </is>
      </c>
      <c r="B280" s="77" t="inlineStr">
        <is>
          <t>RG11</t>
        </is>
      </c>
      <c r="C280" s="77" t="inlineStr">
        <is>
          <t>RG11-S09</t>
        </is>
      </c>
      <c r="D280" s="77" t="inlineStr">
        <is>
          <t>LUBS3990 Innovation Thinking and Practice</t>
        </is>
      </c>
      <c r="E280" s="77" t="inlineStr">
        <is>
          <t>employer; project; group</t>
        </is>
      </c>
      <c r="F280" s="77" t="inlineStr">
        <is>
          <t>https://business.leeds.ac.uk/faculty/news/article/727/students-wow-leading-industry-experts-from-kpmg-ibm-co-op-food-and-more</t>
        </is>
      </c>
      <c r="G280" s="77" t="inlineStr">
        <is>
          <t>Students wow leading industry experts from KPMG, IBM, Co-Op Food and more</t>
        </is>
      </c>
      <c r="H280" s="77" t="inlineStr">
        <is>
          <t>News</t>
        </is>
      </c>
      <c r="I280" s="77" t="inlineStr">
        <is>
          <t>undated/inconsistent</t>
        </is>
      </c>
      <c r="J280" s="77" t="inlineStr">
        <is>
          <t>2026-10-12</t>
        </is>
      </c>
      <c r="K280" s="77" t="inlineStr">
        <is>
          <t>search-index extract</t>
        </is>
      </c>
      <c r="L280" s="77" t="inlineStr">
        <is>
          <t>Final-year students work in interdisciplinary teams on real-world problems; industry partners set the challenges (first direct, Co-Op Food, OVO Energy, UNEP); panel included KPMG and IBM.</t>
        </is>
      </c>
    </row>
    <row r="281">
      <c r="A281" s="77" t="inlineStr">
        <is>
          <t>RG11-S09-R3</t>
        </is>
      </c>
      <c r="B281" s="77" t="inlineStr">
        <is>
          <t>RG11</t>
        </is>
      </c>
      <c r="C281" s="77" t="inlineStr">
        <is>
          <t>RG11-S09</t>
        </is>
      </c>
      <c r="D281" s="77" t="inlineStr">
        <is>
          <t>LUBS3990 Innovation Thinking and Practice</t>
        </is>
      </c>
      <c r="E281" s="77" t="inlineStr">
        <is>
          <t>group; reach</t>
        </is>
      </c>
      <c r="F281" s="77" t="inlineStr">
        <is>
          <t>https://catalogue.leeds.ac.uk/Module/UG/LUBS/3990/202425</t>
        </is>
      </c>
      <c r="G281" s="77" t="inlineStr">
        <is>
          <t>LUBS3990 Innovation Thinking and Practice</t>
        </is>
      </c>
      <c r="H281" s="77" t="inlineStr">
        <is>
          <t>Module catalogue 2024/25</t>
        </is>
      </c>
      <c r="I281" s="77" t="inlineStr">
        <is>
          <t>2024/25</t>
        </is>
      </c>
      <c r="J281" s="77" t="inlineStr">
        <is>
          <t>2026-10-12</t>
        </is>
      </c>
      <c r="K281" s="77" t="inlineStr">
        <is>
          <t>search-index extract</t>
        </is>
      </c>
      <c r="L281" s="77" t="inlineStr">
        <is>
          <t>Teams should include representatives from different faculties and schools; eleven workshops; final team presentation to panel.</t>
        </is>
      </c>
    </row>
    <row r="282">
      <c r="A282" s="77" t="inlineStr">
        <is>
          <t>RG11-S09-R4</t>
        </is>
      </c>
      <c r="B282" s="77" t="inlineStr">
        <is>
          <t>RG11</t>
        </is>
      </c>
      <c r="C282" s="77" t="inlineStr">
        <is>
          <t>RG11-S09</t>
        </is>
      </c>
      <c r="D282" s="77" t="inlineStr">
        <is>
          <t>LUBS3990 Innovation Thinking and Practice</t>
        </is>
      </c>
      <c r="E282" s="77" t="inlineStr">
        <is>
          <t>project; group</t>
        </is>
      </c>
      <c r="F282" s="77" t="inlineStr">
        <is>
          <t>https://catalogue.leeds.ac.uk/Module/TP/LUBS/5723M/202425</t>
        </is>
      </c>
      <c r="G282" s="77" t="inlineStr">
        <is>
          <t>LUBS5723M Creative and Innovative Thinking and Practice</t>
        </is>
      </c>
      <c r="H282" s="77" t="inlineStr">
        <is>
          <t>Module catalogue 2024/25 (postgraduate sibling)</t>
        </is>
      </c>
      <c r="I282" s="77" t="inlineStr">
        <is>
          <t>2024/25</t>
        </is>
      </c>
      <c r="J282" s="77" t="inlineStr">
        <is>
          <t>2026-10-12</t>
        </is>
      </c>
      <c r="K282" s="77" t="inlineStr">
        <is>
          <t>search-index extract</t>
        </is>
      </c>
      <c r="L282" s="77" t="inlineStr">
        <is>
          <t>Real-world challenge presented to a panel of industry experts; mixed-discipline teams; group presentation 40%.</t>
        </is>
      </c>
    </row>
    <row r="283">
      <c r="A283" s="77" t="inlineStr">
        <is>
          <t>RG11-S10-R1</t>
        </is>
      </c>
      <c r="B283" s="77" t="inlineStr">
        <is>
          <t>RG11</t>
        </is>
      </c>
      <c r="C283" s="77" t="inlineStr">
        <is>
          <t>RG11-S10</t>
        </is>
      </c>
      <c r="D283" s="77" t="inlineStr">
        <is>
          <t>DESN3585 Collaborative Marketing and Promotion</t>
        </is>
      </c>
      <c r="E283" s="77" t="inlineStr">
        <is>
          <t>project; group; employer; credit; status</t>
        </is>
      </c>
      <c r="F283" s="77" t="inlineStr">
        <is>
          <t>https://catalogue.leeds.ac.uk/Module/UG/DESN/3585/202627</t>
        </is>
      </c>
      <c r="G283" s="77" t="inlineStr">
        <is>
          <t>DESN3585 Collaborative Marketing and Promotion</t>
        </is>
      </c>
      <c r="H283" s="77" t="inlineStr">
        <is>
          <t>Module catalogue</t>
        </is>
      </c>
      <c r="I283" s="77" t="inlineStr">
        <is>
          <t>2026/27 URL (text labelled 2024/25)</t>
        </is>
      </c>
      <c r="J283" s="77" t="inlineStr">
        <is>
          <t>2026-10-12</t>
        </is>
      </c>
      <c r="K283" s="77" t="inlineStr">
        <is>
          <t>search-index extract</t>
        </is>
      </c>
      <c r="L283" s="77" t="inlineStr">
        <is>
          <t>Students work in teams to design a marketing campaign for one of the client's brands; two interim presentations to the client provide formative feedback; group project 40%.</t>
        </is>
      </c>
    </row>
    <row r="284">
      <c r="A284" s="77" t="inlineStr">
        <is>
          <t>RG11-S11-R1</t>
        </is>
      </c>
      <c r="B284" s="77" t="inlineStr">
        <is>
          <t>RG11</t>
        </is>
      </c>
      <c r="C284" s="77" t="inlineStr">
        <is>
          <t>RG11-S11</t>
        </is>
      </c>
      <c r="D284" s="77" t="inlineStr">
        <is>
          <t>COMP5530M Group Project (MEng Computer Science)</t>
        </is>
      </c>
      <c r="E284" s="77" t="inlineStr">
        <is>
          <t>project; group; credit; status</t>
        </is>
      </c>
      <c r="F284" s="77" t="inlineStr">
        <is>
          <t>https://catalogue.leeds.ac.uk/Module/UG/COMP/5530M/202526</t>
        </is>
      </c>
      <c r="G284" s="77" t="inlineStr">
        <is>
          <t>COMP5530M Group Project</t>
        </is>
      </c>
      <c r="H284" s="77" t="inlineStr">
        <is>
          <t>Module catalogue 2025/26</t>
        </is>
      </c>
      <c r="I284" s="77" t="inlineStr">
        <is>
          <t>2025/26</t>
        </is>
      </c>
      <c r="J284" s="77" t="inlineStr">
        <is>
          <t>2026-10-12</t>
        </is>
      </c>
      <c r="K284" s="77" t="inlineStr">
        <is>
          <t>search-index extract</t>
        </is>
      </c>
      <c r="L284" s="77" t="inlineStr">
        <is>
          <t>30 credits; work as part of a group on a major computing project; deliver a solution negotiated with the supervisor; class size 70.</t>
        </is>
      </c>
    </row>
    <row r="285">
      <c r="A285" s="77" t="inlineStr">
        <is>
          <t>RG11-S11-R2</t>
        </is>
      </c>
      <c r="B285" s="77" t="inlineStr">
        <is>
          <t>RG11</t>
        </is>
      </c>
      <c r="C285" s="77" t="inlineStr">
        <is>
          <t>RG11-S11</t>
        </is>
      </c>
      <c r="D285" s="77" t="inlineStr">
        <is>
          <t>COMP5530M Group Project (MEng Computer Science)</t>
        </is>
      </c>
      <c r="E285" s="77" t="inlineStr">
        <is>
          <t>employer</t>
        </is>
      </c>
      <c r="F285" s="77" t="inlineStr">
        <is>
          <t>https://courses.leeds.ac.uk/f919/computer-science-meng-bsc</t>
        </is>
      </c>
      <c r="G285" s="77" t="inlineStr">
        <is>
          <t>Computer Science MEng, BSc</t>
        </is>
      </c>
      <c r="H285" s="77" t="inlineStr">
        <is>
          <t>Course page</t>
        </is>
      </c>
      <c r="I285" s="77" t="inlineStr">
        <is>
          <t>undated</t>
        </is>
      </c>
      <c r="J285" s="77" t="inlineStr">
        <is>
          <t>2026-10-12</t>
        </is>
      </c>
      <c r="K285" s="77" t="inlineStr">
        <is>
          <t>search-index extract</t>
        </is>
      </c>
      <c r="L285" s="77" t="inlineStr">
        <is>
          <t>Fourth year advances skills through an industry-based group project; students paired with an academic to tackle a problem related to the School's research expertise.</t>
        </is>
      </c>
    </row>
    <row r="286">
      <c r="A286" s="77" t="inlineStr">
        <is>
          <t>RG11-S12-R1</t>
        </is>
      </c>
      <c r="B286" s="77" t="inlineStr">
        <is>
          <t>RG11</t>
        </is>
      </c>
      <c r="C286" s="77" t="inlineStr">
        <is>
          <t>RG11-S12</t>
        </is>
      </c>
      <c r="D286" s="77" t="inlineStr">
        <is>
          <t>Chemical Engineering Process Plant Design Project (Year 3)</t>
        </is>
      </c>
      <c r="E286" s="77" t="inlineStr">
        <is>
          <t>project; group; employer</t>
        </is>
      </c>
      <c r="F286" s="77" t="inlineStr">
        <is>
          <t>https://eps.leeds.ac.uk/chemical-engineering-undergraduate/doc/year-one-two-1</t>
        </is>
      </c>
      <c r="G286" s="77" t="inlineStr">
        <is>
          <t>Chemical Engineering Project work</t>
        </is>
      </c>
      <c r="H286" s="77" t="inlineStr">
        <is>
          <t>Year 3 design project</t>
        </is>
      </c>
      <c r="I286" s="77" t="inlineStr">
        <is>
          <t>undated</t>
        </is>
      </c>
      <c r="J286" s="77" t="inlineStr">
        <is>
          <t>2026-10-12</t>
        </is>
      </c>
      <c r="K286" s="77" t="inlineStr">
        <is>
          <t>search-summary paraphrase</t>
        </is>
      </c>
      <c r="L286" s="77" t="inlineStr">
        <is>
          <t>Students work in a team on a full chemical plant design; design team mentored by design consultants meeting weekly (search summary).</t>
        </is>
      </c>
    </row>
    <row r="287">
      <c r="A287" s="77" t="inlineStr">
        <is>
          <t>RG11-S13-R1</t>
        </is>
      </c>
      <c r="B287" s="77" t="inlineStr">
        <is>
          <t>RG11</t>
        </is>
      </c>
      <c r="C287" s="77" t="inlineStr">
        <is>
          <t>RG11-S13</t>
        </is>
      </c>
      <c r="D287" s="77" t="inlineStr">
        <is>
          <t>Marketing Consultancy Project (Marketing BSc, Year 3 optional)</t>
        </is>
      </c>
      <c r="E287" s="77" t="inlineStr">
        <is>
          <t>project; employer; participation; credit</t>
        </is>
      </c>
      <c r="F287" s="77" t="inlineStr">
        <is>
          <t>https://courses.leeds.ac.uk/k047/marketing-bsc</t>
        </is>
      </c>
      <c r="G287" s="77" t="inlineStr">
        <is>
          <t>Marketing BSc</t>
        </is>
      </c>
      <c r="H287" s="77" t="inlineStr">
        <is>
          <t>Course content</t>
        </is>
      </c>
      <c r="I287" s="77" t="inlineStr">
        <is>
          <t>undated</t>
        </is>
      </c>
      <c r="J287" s="77" t="inlineStr">
        <is>
          <t>2026-10-12</t>
        </is>
      </c>
      <c r="K287" s="77" t="inlineStr">
        <is>
          <t>search-summary paraphrase</t>
        </is>
      </c>
      <c r="L287" s="77" t="inlineStr">
        <is>
          <t>Year 3 optional Marketing Consultancy Project (10 credits): work with a live client to research a real-life marketing issue; client receives a strategic and operational marketing plan (search summary).</t>
        </is>
      </c>
    </row>
    <row r="288">
      <c r="A288" s="77" t="inlineStr">
        <is>
          <t>RG12-S01-R1</t>
        </is>
      </c>
      <c r="B288" s="77" t="inlineStr">
        <is>
          <t>RG12</t>
        </is>
      </c>
      <c r="C288" s="77" t="inlineStr">
        <is>
          <t>RG12-S01</t>
        </is>
      </c>
      <c r="D288" s="77" t="inlineStr">
        <is>
          <t>Liverpool Launchpad employer-led Grand Challenges (Careers and Employability)</t>
        </is>
      </c>
      <c r="E288" s="77" t="inlineStr">
        <is>
          <t>reach; eligibility</t>
        </is>
      </c>
      <c r="F288" s="77" t="inlineStr">
        <is>
          <t>https://www.liverpool.ac.uk/careers/launchpad/</t>
        </is>
      </c>
      <c r="G288" s="77" t="inlineStr">
        <is>
          <t>Liverpool Launchpad - Careers and Employability</t>
        </is>
      </c>
      <c r="H288" s="77" t="inlineStr">
        <is>
          <t>Launchpad page</t>
        </is>
      </c>
      <c r="I288" s="77" t="inlineStr">
        <is>
          <t>undated (2025 launch)</t>
        </is>
      </c>
      <c r="J288" s="77" t="inlineStr">
        <is>
          <t>2026-10-12</t>
        </is>
      </c>
      <c r="K288" s="77" t="inlineStr">
        <is>
          <t>search-summary paraphrase</t>
        </is>
      </c>
      <c r="L288" s="77" t="inlineStr">
        <is>
          <t>Programme lists employer-led 'grand challenges' with paid internships, campus jobs, micro-internships; described as open to all new and returning Liverpool students.</t>
        </is>
      </c>
    </row>
    <row r="289">
      <c r="A289" s="77" t="inlineStr">
        <is>
          <t>RG12-S01-R2</t>
        </is>
      </c>
      <c r="B289" s="77" t="inlineStr">
        <is>
          <t>RG12</t>
        </is>
      </c>
      <c r="C289" s="77" t="inlineStr">
        <is>
          <t>RG12-S01</t>
        </is>
      </c>
      <c r="D289" s="77" t="inlineStr">
        <is>
          <t>Liverpool Launchpad employer-led Grand Challenges (Careers and Employability)</t>
        </is>
      </c>
      <c r="E289" s="77" t="inlineStr">
        <is>
          <t>reach; status</t>
        </is>
      </c>
      <c r="F289" s="77" t="inlineStr">
        <is>
          <t>https://news.liverpool.ac.uk/2025/08/11/uliverpool-launchpad-brings-unique-career-opportunities-to-every-student/</t>
        </is>
      </c>
      <c r="G289" s="77" t="inlineStr">
        <is>
          <t>Liverpool Launchpad brings unique career opportunities to every student</t>
        </is>
      </c>
      <c r="H289" s="77" t="inlineStr">
        <is>
          <t>News</t>
        </is>
      </c>
      <c r="I289" s="77" t="inlineStr">
        <is>
          <t>2025</t>
        </is>
      </c>
      <c r="J289" s="77" t="inlineStr">
        <is>
          <t>2026-10-12</t>
        </is>
      </c>
      <c r="K289" s="77" t="inlineStr">
        <is>
          <t>search-summary paraphrase</t>
        </is>
      </c>
      <c r="L289" s="77" t="inlineStr">
        <is>
          <t>Launch announcement: designed to give every student access to career-boosting experiences; open to all current University of Liverpool students.</t>
        </is>
      </c>
    </row>
    <row r="290">
      <c r="A290" s="77" t="inlineStr">
        <is>
          <t>RG12-S02-R1</t>
        </is>
      </c>
      <c r="B290" s="77" t="inlineStr">
        <is>
          <t>RG12</t>
        </is>
      </c>
      <c r="C290" s="77" t="inlineStr">
        <is>
          <t>RG12-S02</t>
        </is>
      </c>
      <c r="D290" s="77" t="inlineStr">
        <is>
          <t>The Big Events Challenge with Culture Liverpool</t>
        </is>
      </c>
      <c r="E290" s="77" t="inlineStr">
        <is>
          <t>project; group; employer; status</t>
        </is>
      </c>
      <c r="F290" s="77" t="inlineStr">
        <is>
          <t>https://www.liverpool.ac.uk/careers/employers/connections-in-action/liverpool-careers-employability-culture-liverpool-grand-challenge/</t>
        </is>
      </c>
      <c r="G290" s="77" t="inlineStr">
        <is>
          <t>Students Tackling a Real-World Grand Challenge with Culture Liverpool</t>
        </is>
      </c>
      <c r="H290" s="77" t="inlineStr">
        <is>
          <t>Case study</t>
        </is>
      </c>
      <c r="I290" s="77" t="inlineStr">
        <is>
          <t>2026</t>
        </is>
      </c>
      <c r="J290" s="77" t="inlineStr">
        <is>
          <t>2026-10-12</t>
        </is>
      </c>
      <c r="K290" s="77" t="inlineStr">
        <is>
          <t>search-summary paraphrase</t>
        </is>
      </c>
      <c r="L290" s="77" t="inlineStr">
        <is>
          <t>Over two days in March 2026 students worked in newly formed interdisciplinary teams on a brief from Culture Liverpool; industry experts rotated around groups to give feedback; finalists pitched at St George's Hall; 'genuine brief rather than hypothetical'.</t>
        </is>
      </c>
    </row>
    <row r="291">
      <c r="A291" s="77" t="inlineStr">
        <is>
          <t>RG12-S02-R2</t>
        </is>
      </c>
      <c r="B291" s="77" t="inlineStr">
        <is>
          <t>RG12</t>
        </is>
      </c>
      <c r="C291" s="77" t="inlineStr">
        <is>
          <t>RG12-S02</t>
        </is>
      </c>
      <c r="D291" s="77" t="inlineStr">
        <is>
          <t>The Big Events Challenge with Culture Liverpool</t>
        </is>
      </c>
      <c r="E291" s="77" t="inlineStr">
        <is>
          <t>eligibility; participation; status</t>
        </is>
      </c>
      <c r="F291" s="77" t="inlineStr">
        <is>
          <t>https://news.liverpool.ac.uk/2025/12/15/the-big-events-challenge-with-culture-liverpool/</t>
        </is>
      </c>
      <c r="G291" s="77" t="inlineStr">
        <is>
          <t>The Big Events Challenge with Culture Liverpool</t>
        </is>
      </c>
      <c r="H291" s="77" t="inlineStr">
        <is>
          <t>News</t>
        </is>
      </c>
      <c r="I291" s="77" t="inlineStr">
        <is>
          <t>2025</t>
        </is>
      </c>
      <c r="J291" s="77" t="inlineStr">
        <is>
          <t>2026-10-12</t>
        </is>
      </c>
      <c r="K291" s="77" t="inlineStr">
        <is>
          <t>search-summary paraphrase</t>
        </is>
      </c>
      <c r="L291" s="77" t="inlineStr">
        <is>
          <t>Run by Careers &amp; Employability with Culture Liverpool; places limited; application deadline 26 January.</t>
        </is>
      </c>
    </row>
    <row r="292">
      <c r="A292" s="77" t="inlineStr">
        <is>
          <t>RG12-S03-R1</t>
        </is>
      </c>
      <c r="B292" s="77" t="inlineStr">
        <is>
          <t>RG12</t>
        </is>
      </c>
      <c r="C292" s="77" t="inlineStr">
        <is>
          <t>RG12-S03</t>
        </is>
      </c>
      <c r="D292" s="77" t="inlineStr">
        <is>
          <t>Sustainable Innovation Challenge</t>
        </is>
      </c>
      <c r="E292" s="77" t="inlineStr">
        <is>
          <t>project; group; employer; eligibility; participation</t>
        </is>
      </c>
      <c r="F292" s="77" t="inlineStr">
        <is>
          <t>https://www.liverpool.ac.uk/careers/employability/equalityplus/sustainable-innovation-challenge/</t>
        </is>
      </c>
      <c r="G292" s="77" t="inlineStr">
        <is>
          <t>Sustainable Innovation Challenge</t>
        </is>
      </c>
      <c r="H292" s="77" t="inlineStr">
        <is>
          <t>Programme page and FAQ</t>
        </is>
      </c>
      <c r="I292" s="77" t="inlineStr">
        <is>
          <t>undated (current, mentions 2026 edition)</t>
        </is>
      </c>
      <c r="J292" s="77" t="inlineStr">
        <is>
          <t>2026-10-12</t>
        </is>
      </c>
      <c r="K292" s="77" t="inlineStr">
        <is>
          <t>search-summary paraphrase</t>
        </is>
      </c>
      <c r="L292" s="77" t="inlineStr">
        <is>
          <t>Annual team-based programme; teams work on sustainability/innovation brief and pitch to expert panel; open to students from across the University; places limited, priority to EQ+/widening participation; guidance from employers, mentors, innovation advisers.</t>
        </is>
      </c>
    </row>
    <row r="293">
      <c r="A293" s="77" t="inlineStr">
        <is>
          <t>RG12-S03-R2</t>
        </is>
      </c>
      <c r="B293" s="77" t="inlineStr">
        <is>
          <t>RG12</t>
        </is>
      </c>
      <c r="C293" s="77" t="inlineStr">
        <is>
          <t>RG12-S03</t>
        </is>
      </c>
      <c r="D293" s="77" t="inlineStr">
        <is>
          <t>Sustainable Innovation Challenge</t>
        </is>
      </c>
      <c r="E293" s="77" t="inlineStr">
        <is>
          <t>employer; status; duration</t>
        </is>
      </c>
      <c r="F293" s="77" t="inlineStr">
        <is>
          <t>https://www.liverpool.ac.uk/careers/about/news/manchestersustainabilitychallenge2026/</t>
        </is>
      </c>
      <c r="G293" s="77" t="inlineStr">
        <is>
          <t>Manchester Sustainability Challenge 2026</t>
        </is>
      </c>
      <c r="H293" s="77" t="inlineStr">
        <is>
          <t>News</t>
        </is>
      </c>
      <c r="I293" s="77" t="inlineStr">
        <is>
          <t>2026</t>
        </is>
      </c>
      <c r="J293" s="77" t="inlineStr">
        <is>
          <t>2026-10-12</t>
        </is>
      </c>
      <c r="K293" s="77" t="inlineStr">
        <is>
          <t>search-summary paraphrase</t>
        </is>
      </c>
      <c r="L293" s="77" t="inlineStr">
        <is>
          <t>2026 challenge delivered with Manchester Metropolitan, Ulster, Berlin School of Economics and Law and Manchester City FC; brief to rethink CityLink; Liverpool students in Manchester 3-5 June 2026; fully funded.</t>
        </is>
      </c>
    </row>
    <row r="294">
      <c r="A294" s="77" t="inlineStr">
        <is>
          <t>RG12-S04-R1</t>
        </is>
      </c>
      <c r="B294" s="77" t="inlineStr">
        <is>
          <t>RG12</t>
        </is>
      </c>
      <c r="C294" s="77" t="inlineStr">
        <is>
          <t>RG12-S04</t>
        </is>
      </c>
      <c r="D294" s="77" t="inlineStr">
        <is>
          <t>Real-World Challenges in Curriculum (Careers and Employability employer offer)</t>
        </is>
      </c>
      <c r="E294" s="77" t="inlineStr">
        <is>
          <t>project; group; employer</t>
        </is>
      </c>
      <c r="F294" s="77" t="inlineStr">
        <is>
          <t>https://www.liverpool.ac.uk/careers/employers/sme-support/real-world-projects-smes/</t>
        </is>
      </c>
      <c r="G294" s="77" t="inlineStr">
        <is>
          <t>Real-World Projects - Careers and Employability</t>
        </is>
      </c>
      <c r="H294" s="77" t="inlineStr">
        <is>
          <t>Real-World Challenges in Curriculum</t>
        </is>
      </c>
      <c r="I294" s="77" t="inlineStr">
        <is>
          <t>undated</t>
        </is>
      </c>
      <c r="J294" s="77" t="inlineStr">
        <is>
          <t>2026-10-12</t>
        </is>
      </c>
      <c r="K294" s="77" t="inlineStr">
        <is>
          <t>search-summary paraphrase</t>
        </is>
      </c>
      <c r="L294" s="77" t="inlineStr">
        <is>
          <t>Real-world challenges in curriculum embed an employer's project within specific academic modules, developed with academics; students typically work in groups as part of assessed curriculum activity; aimed at particular degree cohorts.</t>
        </is>
      </c>
    </row>
    <row r="295">
      <c r="A295" s="77" t="inlineStr">
        <is>
          <t>RG12-S05-R1</t>
        </is>
      </c>
      <c r="B295" s="77" t="inlineStr">
        <is>
          <t>RG12</t>
        </is>
      </c>
      <c r="C295" s="77" t="inlineStr">
        <is>
          <t>RG12-S05</t>
        </is>
      </c>
      <c r="D295" s="77" t="inlineStr">
        <is>
          <t>Professional Projects and Employability in Mathematics</t>
        </is>
      </c>
      <c r="E295" s="77" t="inlineStr">
        <is>
          <t>project; group; employer; credit</t>
        </is>
      </c>
      <c r="F295" s="77" t="inlineStr">
        <is>
          <t>https://www.liverpool.ac.uk/mathematical-sciences/study/careers-and-employability/projects/</t>
        </is>
      </c>
      <c r="G295" s="77" t="inlineStr">
        <is>
          <t>Projects - Mathematical Sciences</t>
        </is>
      </c>
      <c r="H295" s="77" t="inlineStr">
        <is>
          <t>Careers and employability: Projects</t>
        </is>
      </c>
      <c r="I295" s="77" t="inlineStr">
        <is>
          <t>undated</t>
        </is>
      </c>
      <c r="J295" s="77" t="inlineStr">
        <is>
          <t>2026-10-12</t>
        </is>
      </c>
      <c r="K295" s="77" t="inlineStr">
        <is>
          <t>search-summary paraphrase</t>
        </is>
      </c>
      <c r="L295" s="77" t="inlineStr">
        <is>
          <t>MATH390: 15-credit, semester 1, year 3 module; students work in groups on authentic mathematical projects set by employers; assessment of three group projects, reflective pieces and individual portfolio.</t>
        </is>
      </c>
    </row>
    <row r="296">
      <c r="A296" s="77" t="inlineStr">
        <is>
          <t>RG12-S05-R2</t>
        </is>
      </c>
      <c r="B296" s="77" t="inlineStr">
        <is>
          <t>RG12</t>
        </is>
      </c>
      <c r="C296" s="77" t="inlineStr">
        <is>
          <t>RG12-S05</t>
        </is>
      </c>
      <c r="D296" s="77" t="inlineStr">
        <is>
          <t>Professional Projects and Employability in Mathematics</t>
        </is>
      </c>
      <c r="E296" s="77" t="inlineStr">
        <is>
          <t>project; group; employer</t>
        </is>
      </c>
      <c r="F296" s="77" t="inlineStr">
        <is>
          <t>https://www.liverpool.ac.uk/centre-for-innovation-in-education/resources/all-resources/embedding-employability-in-the-mathematics-curriculum.html</t>
        </is>
      </c>
      <c r="G296" s="77" t="inlineStr">
        <is>
          <t>Embedding employability in the mathematics curriculum</t>
        </is>
      </c>
      <c r="H296" s="77" t="inlineStr">
        <is>
          <t>CIE resource</t>
        </is>
      </c>
      <c r="I296" s="77" t="inlineStr">
        <is>
          <t>undated</t>
        </is>
      </c>
      <c r="J296" s="77" t="inlineStr">
        <is>
          <t>2026-10-12</t>
        </is>
      </c>
      <c r="K296" s="77" t="inlineStr">
        <is>
          <t>search-summary paraphrase</t>
        </is>
      </c>
      <c r="L296" s="77" t="inlineStr">
        <is>
          <t>Real-world mathematical group projects designed and delivered in collaboration with employers; industrial partners provide input on reports and presentations and lead the Q&amp;A; one project is a one-week client report.</t>
        </is>
      </c>
    </row>
    <row r="297">
      <c r="A297" s="77" t="inlineStr">
        <is>
          <t>RG12-S05-R3</t>
        </is>
      </c>
      <c r="B297" s="77" t="inlineStr">
        <is>
          <t>RG12</t>
        </is>
      </c>
      <c r="C297" s="77" t="inlineStr">
        <is>
          <t>RG12-S05</t>
        </is>
      </c>
      <c r="D297" s="77" t="inlineStr">
        <is>
          <t>Professional Projects and Employability in Mathematics</t>
        </is>
      </c>
      <c r="E297" s="77" t="inlineStr">
        <is>
          <t>status; participation; eligibility</t>
        </is>
      </c>
      <c r="F297" s="77" t="inlineStr">
        <is>
          <t>https://www.liverpool.ac.uk/courses/mathematics-and-computer-science-bsc-hons</t>
        </is>
      </c>
      <c r="G297" s="77" t="inlineStr">
        <is>
          <t>Mathematics and Computer Science BSc (Hons)</t>
        </is>
      </c>
      <c r="H297" s="77" t="inlineStr">
        <is>
          <t>Course update</t>
        </is>
      </c>
      <c r="I297" s="77" t="inlineStr">
        <is>
          <t>2025</t>
        </is>
      </c>
      <c r="J297" s="77" t="inlineStr">
        <is>
          <t>2026-10-12</t>
        </is>
      </c>
      <c r="K297" s="77" t="inlineStr">
        <is>
          <t>search-summary paraphrase</t>
        </is>
      </c>
      <c r="L297" s="77" t="inlineStr">
        <is>
          <t>May 2025 course update lists MATH390 as a year 3 optional module.</t>
        </is>
      </c>
    </row>
    <row r="298">
      <c r="A298" s="77" t="inlineStr">
        <is>
          <t>RG12-S06-R1</t>
        </is>
      </c>
      <c r="B298" s="77" t="inlineStr">
        <is>
          <t>RG12</t>
        </is>
      </c>
      <c r="C298" s="77" t="inlineStr">
        <is>
          <t>RG12-S06</t>
        </is>
      </c>
      <c r="D298" s="77" t="inlineStr">
        <is>
          <t>Electrical Engineering &amp; Electronics industry 'Dragons' Den' group project module</t>
        </is>
      </c>
      <c r="E298" s="77" t="inlineStr">
        <is>
          <t>project; group; employer</t>
        </is>
      </c>
      <c r="F298" s="77" t="inlineStr">
        <is>
          <t>https://www.liverpool.ac.uk/careers/employers/connections-in-action/industrydragonssupportelectricalengineeringelectronicsprojects/</t>
        </is>
      </c>
      <c r="G298" s="77" t="inlineStr">
        <is>
          <t>Industry Dragons support Electrical Engineering &amp; Electronics Projects</t>
        </is>
      </c>
      <c r="H298" s="77" t="inlineStr">
        <is>
          <t>Case study</t>
        </is>
      </c>
      <c r="I298" s="77" t="inlineStr">
        <is>
          <t>undated</t>
        </is>
      </c>
      <c r="J298" s="77" t="inlineStr">
        <is>
          <t>2026-10-12</t>
        </is>
      </c>
      <c r="K298" s="77" t="inlineStr">
        <is>
          <t>search-summary paraphrase</t>
        </is>
      </c>
      <c r="L298" s="77" t="inlineStr">
        <is>
          <t>Students worked in groups on an industry-relevant problem and pitched to academic assessors and industry 'dragons' from Crover, DefProc Engineering, LUHFT, MBDA, STFC who questioned them and gave feedback.</t>
        </is>
      </c>
    </row>
    <row r="299">
      <c r="A299" s="77" t="inlineStr">
        <is>
          <t>RG12-S07-R1</t>
        </is>
      </c>
      <c r="B299" s="77" t="inlineStr">
        <is>
          <t>RG12</t>
        </is>
      </c>
      <c r="C299" s="77" t="inlineStr">
        <is>
          <t>RG12-S07</t>
        </is>
      </c>
      <c r="D299" s="77" t="inlineStr">
        <is>
          <t>HRM Consultancy Day Workshop (MSc Human Resource Management)</t>
        </is>
      </c>
      <c r="E299" s="77" t="inlineStr">
        <is>
          <t>project; group; employer; status; duration</t>
        </is>
      </c>
      <c r="F299" s="77" t="inlineStr">
        <is>
          <t>https://www.liverpool.ac.uk/management/news/stories/title,1512183,en.php</t>
        </is>
      </c>
      <c r="G299" s="77" t="inlineStr">
        <is>
          <t>Human Resource Management master's students put theory into practice through Consultancy Day 2025</t>
        </is>
      </c>
      <c r="H299" s="77" t="inlineStr">
        <is>
          <t>News story</t>
        </is>
      </c>
      <c r="I299" s="77" t="inlineStr">
        <is>
          <t>2025</t>
        </is>
      </c>
      <c r="J299" s="77" t="inlineStr">
        <is>
          <t>2026-10-12</t>
        </is>
      </c>
      <c r="K299" s="77" t="inlineStr">
        <is>
          <t>search-summary paraphrase</t>
        </is>
      </c>
      <c r="L299" s="77" t="inlineStr">
        <is>
          <t>About 50 MSc HRM students; clients from Enterprise Mobility, BDO and Hilton gave briefings on a live problem; teams developed strategies in about two hours; presentations to external independent panel; third consecutive year; part of the HRM: Academic and Practitioner Perspectives module.</t>
        </is>
      </c>
    </row>
    <row r="300">
      <c r="A300" s="77" t="inlineStr">
        <is>
          <t>RG12-S08-R1</t>
        </is>
      </c>
      <c r="B300" s="77" t="inlineStr">
        <is>
          <t>RG12</t>
        </is>
      </c>
      <c r="C300" s="77" t="inlineStr">
        <is>
          <t>RG12-S08</t>
        </is>
      </c>
      <c r="D300" s="77" t="inlineStr">
        <is>
          <t>Liverpool MBA consultancy-based project (with ULMS850 Management Consulting in Practice)</t>
        </is>
      </c>
      <c r="E300" s="77" t="inlineStr">
        <is>
          <t>project; group; employer; credit</t>
        </is>
      </c>
      <c r="F300" s="77" t="inlineStr">
        <is>
          <t>https://www.liverpool.ac.uk/management/study/mba/why-study-with-us/consultancy-based-projects/</t>
        </is>
      </c>
      <c r="G300" s="77" t="inlineStr">
        <is>
          <t>Consultancy Based projects</t>
        </is>
      </c>
      <c r="H300" s="77" t="inlineStr">
        <is>
          <t>MBA why study with us</t>
        </is>
      </c>
      <c r="I300" s="77" t="inlineStr">
        <is>
          <t>undated</t>
        </is>
      </c>
      <c r="J300" s="77" t="inlineStr">
        <is>
          <t>2026-10-12</t>
        </is>
      </c>
      <c r="K300" s="77" t="inlineStr">
        <is>
          <t>search-summary paraphrase</t>
        </is>
      </c>
      <c r="L300" s="77" t="inlineStr">
        <is>
          <t>Dissertation or consultancy-based project over summer; ULMS850 introduces project work in small groups Jan-Apr; students identify and secure a client; 10,000-word report with 1,000-word client-format output.</t>
        </is>
      </c>
    </row>
    <row r="301">
      <c r="A301" s="77" t="inlineStr">
        <is>
          <t>RG12-S09-R1</t>
        </is>
      </c>
      <c r="B301" s="77" t="inlineStr">
        <is>
          <t>RG12</t>
        </is>
      </c>
      <c r="C301" s="77" t="inlineStr">
        <is>
          <t>RG12-S09</t>
        </is>
      </c>
      <c r="D301" s="77" t="inlineStr">
        <is>
          <t>International Business/Management Consultancy Project</t>
        </is>
      </c>
      <c r="E301" s="77" t="inlineStr">
        <is>
          <t>project; employer; credit; status</t>
        </is>
      </c>
      <c r="F301" s="77" t="inlineStr">
        <is>
          <t>https://www.liverpool.ac.uk/courses/2025/international-business-ba-hons</t>
        </is>
      </c>
      <c r="G301" s="77" t="inlineStr">
        <is>
          <t>International Business BA (Hons) - 2025/26 entry</t>
        </is>
      </c>
      <c r="H301" s="77" t="inlineStr">
        <is>
          <t>Modules</t>
        </is>
      </c>
      <c r="I301" s="77" t="inlineStr">
        <is>
          <t>2025</t>
        </is>
      </c>
      <c r="J301" s="77" t="inlineStr">
        <is>
          <t>2026-10-12</t>
        </is>
      </c>
      <c r="K301" s="77" t="inlineStr">
        <is>
          <t>search-summary paraphrase</t>
        </is>
      </c>
      <c r="L301" s="77" t="inlineStr">
        <is>
          <t>MKIB306 30-credit year-long; 2025-26 module record lists client pitch 15 min 20% and client report 60%; client organisation presents the brief.</t>
        </is>
      </c>
    </row>
    <row r="302">
      <c r="A302" s="77" t="inlineStr">
        <is>
          <t>RG12-S09-R2</t>
        </is>
      </c>
      <c r="B302" s="77" t="inlineStr">
        <is>
          <t>RG12</t>
        </is>
      </c>
      <c r="C302" s="77" t="inlineStr">
        <is>
          <t>RG12-S09</t>
        </is>
      </c>
      <c r="D302" s="77" t="inlineStr">
        <is>
          <t>International Business/Management Consultancy Project</t>
        </is>
      </c>
      <c r="E302" s="77" t="inlineStr">
        <is>
          <t>participation; group</t>
        </is>
      </c>
      <c r="F302" s="77" t="inlineStr">
        <is>
          <t>https://www.liverpool.ac.uk/courses/international-management-ba-hons</t>
        </is>
      </c>
      <c r="G302" s="77" t="inlineStr">
        <is>
          <t>International Management BA (Hons)</t>
        </is>
      </c>
      <c r="H302" s="77" t="inlineStr">
        <is>
          <t>Modules</t>
        </is>
      </c>
      <c r="I302" s="77" t="inlineStr">
        <is>
          <t>undated</t>
        </is>
      </c>
      <c r="J302" s="77" t="inlineStr">
        <is>
          <t>2026-10-12</t>
        </is>
      </c>
      <c r="K302" s="77" t="inlineStr">
        <is>
          <t>search-summary paraphrase</t>
        </is>
      </c>
      <c r="L302" s="77" t="inlineStr">
        <is>
          <t>Compulsory International Management Consultancy Project (MKIB306) 30 credits in final year or independent research project.</t>
        </is>
      </c>
    </row>
    <row r="303">
      <c r="A303" s="77" t="inlineStr">
        <is>
          <t>RG12-S10-R1</t>
        </is>
      </c>
      <c r="B303" s="77" t="inlineStr">
        <is>
          <t>RG12</t>
        </is>
      </c>
      <c r="C303" s="77" t="inlineStr">
        <is>
          <t>RG12-S10</t>
        </is>
      </c>
      <c r="D303" s="77" t="inlineStr">
        <is>
          <t>Management School Project Partners</t>
        </is>
      </c>
      <c r="E303" s="77" t="inlineStr">
        <is>
          <t>project; employer; eligibility</t>
        </is>
      </c>
      <c r="F303" s="77" t="inlineStr">
        <is>
          <t>https://www.liverpool.ac.uk/management/for-business/project-partners/</t>
        </is>
      </c>
      <c r="G303" s="77" t="inlineStr">
        <is>
          <t>Project partners</t>
        </is>
      </c>
      <c r="H303" s="77" t="inlineStr">
        <is>
          <t>For business</t>
        </is>
      </c>
      <c r="I303" s="77" t="inlineStr">
        <is>
          <t>undated</t>
        </is>
      </c>
      <c r="J303" s="77" t="inlineStr">
        <is>
          <t>2026-10-12</t>
        </is>
      </c>
      <c r="K303" s="77" t="inlineStr">
        <is>
          <t>search-summary paraphrase</t>
        </is>
      </c>
      <c r="L303" s="77" t="inlineStr">
        <is>
          <t>Pairs organisations with students at no fee, just time; Management School experts supervise; UG and PG students; matching not guaranteed.</t>
        </is>
      </c>
    </row>
    <row r="304">
      <c r="A304" s="77" t="inlineStr">
        <is>
          <t>RG12-S11-R1</t>
        </is>
      </c>
      <c r="B304" s="77" t="inlineStr">
        <is>
          <t>RG12</t>
        </is>
      </c>
      <c r="C304" s="77" t="inlineStr">
        <is>
          <t>RG12-S11</t>
        </is>
      </c>
      <c r="D304" s="77" t="inlineStr">
        <is>
          <t>Spatial Planning in Action / Spatial Planning and Design Project (client-based group plan-making)</t>
        </is>
      </c>
      <c r="E304" s="77" t="inlineStr">
        <is>
          <t>project; group; employer</t>
        </is>
      </c>
      <c r="F304" s="77" t="inlineStr">
        <is>
          <t>https://www.liverpool.ac.uk/geography-and-planning/planning-programmes/fieldwork/spatial-planning/</t>
        </is>
      </c>
      <c r="G304" s="77" t="inlineStr">
        <is>
          <t>Spatial Planning (fieldwork)</t>
        </is>
      </c>
      <c r="H304" s="77" t="inlineStr">
        <is>
          <t>Fieldwork page</t>
        </is>
      </c>
      <c r="I304" s="77" t="inlineStr">
        <is>
          <t>undated</t>
        </is>
      </c>
      <c r="J304" s="77" t="inlineStr">
        <is>
          <t>2026-10-12</t>
        </is>
      </c>
      <c r="K304" s="77" t="inlineStr">
        <is>
          <t>search-summary paraphrase</t>
        </is>
      </c>
      <c r="L304" s="77" t="inlineStr">
        <is>
          <t>Each year the module entails a client-based group plan-making exercise over semester 2; past clients include Canal and River Trust, St Helens Council, Mersey Travel; residential field visit.</t>
        </is>
      </c>
    </row>
    <row r="305">
      <c r="A305" s="77" t="inlineStr">
        <is>
          <t>RG12-S11-R2</t>
        </is>
      </c>
      <c r="B305" s="77" t="inlineStr">
        <is>
          <t>RG12</t>
        </is>
      </c>
      <c r="C305" s="77" t="inlineStr">
        <is>
          <t>RG12-S11</t>
        </is>
      </c>
      <c r="D305" s="77" t="inlineStr">
        <is>
          <t>Spatial Planning in Action / Spatial Planning and Design Project (client-based group plan-making)</t>
        </is>
      </c>
      <c r="E305" s="77" t="inlineStr">
        <is>
          <t>participation; credit</t>
        </is>
      </c>
      <c r="F305" s="77" t="inlineStr">
        <is>
          <t>https://www.liverpool.ac.uk/courses/town-and-regional-planning-mplan/2025/home</t>
        </is>
      </c>
      <c r="G305" s="77" t="inlineStr">
        <is>
          <t>Town and Regional Planning MPlan</t>
        </is>
      </c>
      <c r="H305" s="77" t="inlineStr">
        <is>
          <t>Modules</t>
        </is>
      </c>
      <c r="I305" s="77" t="inlineStr">
        <is>
          <t>2025</t>
        </is>
      </c>
      <c r="J305" s="77" t="inlineStr">
        <is>
          <t>2026-10-12</t>
        </is>
      </c>
      <c r="K305" s="77" t="inlineStr">
        <is>
          <t>search-summary paraphrase</t>
        </is>
      </c>
      <c r="L305" s="77" t="inlineStr">
        <is>
          <t>ENVS467 Spatial Planning and Design Project, 30 credits, compulsory in MPlan Year 4 and MCD.</t>
        </is>
      </c>
    </row>
    <row r="306">
      <c r="A306" s="77" t="inlineStr">
        <is>
          <t>RG12-S12-R1</t>
        </is>
      </c>
      <c r="B306" s="77" t="inlineStr">
        <is>
          <t>RG12</t>
        </is>
      </c>
      <c r="C306" s="77" t="inlineStr">
        <is>
          <t>RG12-S12</t>
        </is>
      </c>
      <c r="D306" s="77" t="inlineStr">
        <is>
          <t>Environmental Planning and Management Project (client-led group module)</t>
        </is>
      </c>
      <c r="E306" s="77" t="inlineStr">
        <is>
          <t>project; group; employer</t>
        </is>
      </c>
      <c r="F306" s="77" t="inlineStr">
        <is>
          <t>https://www.liverpool.ac.uk/centre-for-innovation-in-education/resources/all-resources/environmental-planning-management-project.html</t>
        </is>
      </c>
      <c r="G306" s="77" t="inlineStr">
        <is>
          <t>Environmental Planning and Management Project</t>
        </is>
      </c>
      <c r="H306" s="77" t="inlineStr">
        <is>
          <t>CIE resource</t>
        </is>
      </c>
      <c r="I306" s="77" t="inlineStr">
        <is>
          <t>undated (2021 award mentioned)</t>
        </is>
      </c>
      <c r="J306" s="77" t="inlineStr">
        <is>
          <t>2026-10-12</t>
        </is>
      </c>
      <c r="K306" s="77" t="inlineStr">
        <is>
          <t>search-summary paraphrase</t>
        </is>
      </c>
      <c r="L306" s="77" t="inlineStr">
        <is>
          <t>Client-led group module; different client each year, brief developed with the client; groups of consultants produce report and presentation; client review informs marking; IEMA-accredited.</t>
        </is>
      </c>
    </row>
    <row r="307">
      <c r="A307" s="77" t="inlineStr">
        <is>
          <t>RG12-S12-R2</t>
        </is>
      </c>
      <c r="B307" s="77" t="inlineStr">
        <is>
          <t>RG12</t>
        </is>
      </c>
      <c r="C307" s="77" t="inlineStr">
        <is>
          <t>RG12-S12</t>
        </is>
      </c>
      <c r="D307" s="77" t="inlineStr">
        <is>
          <t>Environmental Planning and Management Project (client-led group module)</t>
        </is>
      </c>
      <c r="E307" s="77" t="inlineStr">
        <is>
          <t>project; employer</t>
        </is>
      </c>
      <c r="F307" s="77" t="inlineStr">
        <is>
          <t>https://www.liverpool.ac.uk/courses/environmental-assessment-and-management-msc</t>
        </is>
      </c>
      <c r="G307" s="77" t="inlineStr">
        <is>
          <t>Environmental Assessment and Management MSc</t>
        </is>
      </c>
      <c r="H307" s="77" t="inlineStr">
        <is>
          <t>Modules</t>
        </is>
      </c>
      <c r="I307" s="77" t="inlineStr">
        <is>
          <t>undated</t>
        </is>
      </c>
      <c r="J307" s="77" t="inlineStr">
        <is>
          <t>2026-10-12</t>
        </is>
      </c>
      <c r="K307" s="77" t="inlineStr">
        <is>
          <t>search-summary paraphrase</t>
        </is>
      </c>
      <c r="L307" s="77" t="inlineStr">
        <is>
          <t>ENVS560: students create a tender document and present to a client and at a departmental conference.</t>
        </is>
      </c>
    </row>
    <row r="308">
      <c r="A308" s="77" t="inlineStr">
        <is>
          <t>RG12-S13-R1</t>
        </is>
      </c>
      <c r="B308" s="77" t="inlineStr">
        <is>
          <t>RG12</t>
        </is>
      </c>
      <c r="C308" s="77" t="inlineStr">
        <is>
          <t>RG12-S13</t>
        </is>
      </c>
      <c r="D308" s="77" t="inlineStr">
        <is>
          <t>Ideas for Huyton: BA3 Studio Pen &amp; Inc live collaboration with Knowsley Council</t>
        </is>
      </c>
      <c r="E308" s="77" t="inlineStr">
        <is>
          <t>project; employer; status</t>
        </is>
      </c>
      <c r="F308" s="77" t="inlineStr">
        <is>
          <t>https://www.liverpool.ac.uk/architecture/research/researchclustersandcentres/clusters/practiceandpedagogy/</t>
        </is>
      </c>
      <c r="G308" s="77" t="inlineStr">
        <is>
          <t>Practice and Pedagogy</t>
        </is>
      </c>
      <c r="H308" s="77" t="inlineStr">
        <is>
          <t>Cluster page; Ideas for Huyton</t>
        </is>
      </c>
      <c r="I308" s="77" t="inlineStr">
        <is>
          <t>undated</t>
        </is>
      </c>
      <c r="J308" s="77" t="inlineStr">
        <is>
          <t>2026-10-12</t>
        </is>
      </c>
      <c r="K308" s="77" t="inlineStr">
        <is>
          <t>search-summary paraphrase</t>
        </is>
      </c>
      <c r="L308" s="77" t="inlineStr">
        <is>
          <t>BA3 Studio Pen &amp; Inc live collaboration with Knowsley Council; two design cycles; exhibition at Huyton Village Green June 2024; council committed to act on ideas (summarised across Liverpool pages and repository paper).</t>
        </is>
      </c>
    </row>
    <row r="309">
      <c r="A309" s="77" t="inlineStr">
        <is>
          <t>RG12-S14-R1</t>
        </is>
      </c>
      <c r="B309" s="77" t="inlineStr">
        <is>
          <t>RG12</t>
        </is>
      </c>
      <c r="C309" s="77" t="inlineStr">
        <is>
          <t>RG12-S14</t>
        </is>
      </c>
      <c r="D309" s="77" t="inlineStr">
        <is>
          <t>Constructionarium (Civil Engineering)</t>
        </is>
      </c>
      <c r="E309" s="77" t="inlineStr">
        <is>
          <t>project; group; employer</t>
        </is>
      </c>
      <c r="F309" s="77" t="inlineStr">
        <is>
          <t>https://www.liverpool.ac.uk/engineering/study/undergraduate/courses/civil-engineering/</t>
        </is>
      </c>
      <c r="G309" s="77" t="inlineStr">
        <is>
          <t>Civil Engineering</t>
        </is>
      </c>
      <c r="H309" s="77" t="inlineStr">
        <is>
          <t>Course page</t>
        </is>
      </c>
      <c r="I309" s="77" t="inlineStr">
        <is>
          <t>undated</t>
        </is>
      </c>
      <c r="J309" s="77" t="inlineStr">
        <is>
          <t>2026-10-12</t>
        </is>
      </c>
      <c r="K309" s="77" t="inlineStr">
        <is>
          <t>search-summary paraphrase</t>
        </is>
      </c>
      <c r="L309" s="77" t="inlineStr">
        <is>
          <t>Second-year students work with Murphy Group industry mentor at Constructionarium (photo caption); week-long hands-on construction experience.</t>
        </is>
      </c>
    </row>
    <row r="310">
      <c r="A310" s="77" t="inlineStr">
        <is>
          <t>RG13-S01-R1</t>
        </is>
      </c>
      <c r="B310" s="77" t="inlineStr">
        <is>
          <t>RG13</t>
        </is>
      </c>
      <c r="C310" s="77" t="inlineStr">
        <is>
          <t>RG13-S01</t>
        </is>
      </c>
      <c r="D310" s="77" t="inlineStr">
        <is>
          <t>LSE100: The LSE Course</t>
        </is>
      </c>
      <c r="E310" s="77" t="inlineStr">
        <is>
          <t>project; group; employer</t>
        </is>
      </c>
      <c r="F310" s="77" t="inlineStr">
        <is>
          <t>https://info.lse.ac.uk/current-students/lse100/about-lse-100/lse100-assessment</t>
        </is>
      </c>
      <c r="G310" s="77" t="inlineStr">
        <is>
          <t>LSE100 Assessment</t>
        </is>
      </c>
      <c r="H310" s="77" t="inlineStr">
        <is>
          <t>Group project</t>
        </is>
      </c>
      <c r="I310" s="77" t="inlineStr">
        <is>
          <t>undated</t>
        </is>
      </c>
      <c r="J310" s="77" t="inlineStr">
        <is>
          <t>2026-10-12</t>
        </is>
      </c>
      <c r="K310" s="77" t="inlineStr">
        <is>
          <t>search-index extract</t>
        </is>
      </c>
      <c r="L310" s="77" t="inlineStr">
        <is>
          <t>Group project by teams of 4-5 over Winter Term; 'The change students identify will take the form of either a policy proposal addressing governmental or institutional actors within the system, or a strategic plan for a social movement or activist organisation to enact change.' 'Students collaboratively produce a digital report and presentation outlining their proposed change for a target audience.'</t>
        </is>
      </c>
    </row>
    <row r="311">
      <c r="A311" s="77" t="inlineStr">
        <is>
          <t>RG13-S01-R2</t>
        </is>
      </c>
      <c r="B311" s="77" t="inlineStr">
        <is>
          <t>RG13</t>
        </is>
      </c>
      <c r="C311" s="77" t="inlineStr">
        <is>
          <t>RG13-S01</t>
        </is>
      </c>
      <c r="D311" s="77" t="inlineStr">
        <is>
          <t>LSE100: The LSE Course</t>
        </is>
      </c>
      <c r="E311" s="77" t="inlineStr">
        <is>
          <t>group; credit</t>
        </is>
      </c>
      <c r="F311" s="77" t="inlineStr">
        <is>
          <t>https://info.lse.ac.uk/staff/divisions/Eden-Centre/Assets-EC/Documents/Assessment-Toolkit/GroupProject-Attendance-Participation-Policy-2024.pdf</t>
        </is>
      </c>
      <c r="G311" s="77" t="inlineStr">
        <is>
          <t>Group Project Code of Conduct and Participation Policy (LSE100, 2024)</t>
        </is>
      </c>
      <c r="H311" s="77" t="inlineStr">
        <is>
          <t>Policy</t>
        </is>
      </c>
      <c r="I311" s="77" t="inlineStr">
        <is>
          <t>2024</t>
        </is>
      </c>
      <c r="J311" s="77" t="inlineStr">
        <is>
          <t>2026-10-12</t>
        </is>
      </c>
      <c r="K311" s="77" t="inlineStr">
        <is>
          <t>search-index extract</t>
        </is>
      </c>
      <c r="L311" s="77" t="inlineStr">
        <is>
          <t>Groups allocated by the seminar teacher in late Autumn Term based on topic preference and disciplinary diversity; mark split presentation (25%) and digital report (75%); each group receives a single group mark.</t>
        </is>
      </c>
    </row>
    <row r="312">
      <c r="A312" s="77" t="inlineStr">
        <is>
          <t>RG13-S01-R3</t>
        </is>
      </c>
      <c r="B312" s="77" t="inlineStr">
        <is>
          <t>RG13</t>
        </is>
      </c>
      <c r="C312" s="77" t="inlineStr">
        <is>
          <t>RG13-S01</t>
        </is>
      </c>
      <c r="D312" s="77" t="inlineStr">
        <is>
          <t>LSE100: The LSE Course</t>
        </is>
      </c>
      <c r="E312" s="77" t="inlineStr">
        <is>
          <t>project; credit; status</t>
        </is>
      </c>
      <c r="F312" s="77" t="inlineStr">
        <is>
          <t>https://www.lse.ac.uk/resources/calendar2025-2026/courseGuides/LS/2025_LSE100A.htm</t>
        </is>
      </c>
      <c r="G312" s="77" t="inlineStr">
        <is>
          <t>LSE100A The LSE Course: How can we transform our climate futures?</t>
        </is>
      </c>
      <c r="H312" s="77" t="inlineStr">
        <is>
          <t>Assessment</t>
        </is>
      </c>
      <c r="I312" s="77" t="inlineStr">
        <is>
          <t>2025/26</t>
        </is>
      </c>
      <c r="J312" s="77" t="inlineStr">
        <is>
          <t>2026-10-12</t>
        </is>
      </c>
      <c r="K312" s="77" t="inlineStr">
        <is>
          <t>search-index extract</t>
        </is>
      </c>
      <c r="L312" s="77" t="inlineStr">
        <is>
          <t>Critical evaluation (50%, 1000 words). Project (50%, 3000 words).</t>
        </is>
      </c>
    </row>
    <row r="313">
      <c r="A313" s="77" t="inlineStr">
        <is>
          <t>RG13-S01-R4</t>
        </is>
      </c>
      <c r="B313" s="77" t="inlineStr">
        <is>
          <t>RG13</t>
        </is>
      </c>
      <c r="C313" s="77" t="inlineStr">
        <is>
          <t>RG13-S01</t>
        </is>
      </c>
      <c r="D313" s="77" t="inlineStr">
        <is>
          <t>LSE100: The LSE Course</t>
        </is>
      </c>
      <c r="E313" s="77" t="inlineStr">
        <is>
          <t>reach; eligibility; participation; credit</t>
        </is>
      </c>
      <c r="F313" s="77" t="inlineStr">
        <is>
          <t>https://info.lse.ac.uk/current-students/lse100/about-lse-100/Frequently-Asked-Questions</t>
        </is>
      </c>
      <c r="G313" s="77" t="inlineStr">
        <is>
          <t>LSE100 Frequently Asked Questions</t>
        </is>
      </c>
      <c r="H313" s="77" t="inlineStr">
        <is>
          <t>FAQ</t>
        </is>
      </c>
      <c r="I313" s="77" t="inlineStr">
        <is>
          <t>undated</t>
        </is>
      </c>
      <c r="J313" s="77" t="inlineStr">
        <is>
          <t>2026-10-12</t>
        </is>
      </c>
      <c r="K313" s="77" t="inlineStr">
        <is>
          <t>search-index extract</t>
        </is>
      </c>
      <c r="L313" s="77" t="inlineStr">
        <is>
          <t>LSE100 is LSE's flagship interdisciplinary course taken by all LSE undergraduates in the first year of their degree programme; counts as one of nine first-year marks, equivalent to a half-unit course; does not count towards classification for LLB.</t>
        </is>
      </c>
    </row>
    <row r="314">
      <c r="A314" s="77" t="inlineStr">
        <is>
          <t>RG13-S02-R1</t>
        </is>
      </c>
      <c r="B314" s="77" t="inlineStr">
        <is>
          <t>RG13</t>
        </is>
      </c>
      <c r="C314" s="77" t="inlineStr">
        <is>
          <t>RG13-S02</t>
        </is>
      </c>
      <c r="D314" s="77" t="inlineStr">
        <is>
          <t>Future17</t>
        </is>
      </c>
      <c r="E314" s="77" t="inlineStr">
        <is>
          <t>project; group; employer; reach; eligibility; participation; status</t>
        </is>
      </c>
      <c r="F314" s="77" t="inlineStr">
        <is>
          <t>https://info.lse.ac.uk/current-students/lse100/Future17-Join-a-global-team-solving-real-sustainability-challenges</t>
        </is>
      </c>
      <c r="G314" s="77" t="inlineStr">
        <is>
          <t>Future17: Join a global team solving real sustainability challenges</t>
        </is>
      </c>
      <c r="H314" s="77" t="inlineStr">
        <is>
          <t>Programme page</t>
        </is>
      </c>
      <c r="I314" s="77" t="inlineStr">
        <is>
          <t>2026 (application deadline 7 September 2026)</t>
        </is>
      </c>
      <c r="J314" s="77" t="inlineStr">
        <is>
          <t>2026-10-12</t>
        </is>
      </c>
      <c r="K314" s="77" t="inlineStr">
        <is>
          <t>search-index extract</t>
        </is>
      </c>
      <c r="L314" s="77" t="inlineStr">
        <is>
          <t>'an international experiential learning programme that brings together students from leading universities around the world to tackle real sustainability challenges set by global organisations'; runs approx. 12 weeks, delivered entirely online; teams of about five with one or two academic mentors working with a business, charity or NGO partner on an SDG challenge; 'Applications are open to all LSE undergraduate students'; applications close 7 September 2026; LSE recruits two cohorts each academic year.</t>
        </is>
      </c>
    </row>
    <row r="315">
      <c r="A315" s="77" t="inlineStr">
        <is>
          <t>RG13-S03-R1</t>
        </is>
      </c>
      <c r="B315" s="77" t="inlineStr">
        <is>
          <t>RG13</t>
        </is>
      </c>
      <c r="C315" s="77" t="inlineStr">
        <is>
          <t>RG13-S03</t>
        </is>
      </c>
      <c r="D315" s="77" t="inlineStr">
        <is>
          <t>LSE Community Engagement Programme (CEP)</t>
        </is>
      </c>
      <c r="E315" s="77" t="inlineStr">
        <is>
          <t>project; group; employer; reach; eligibility</t>
        </is>
      </c>
      <c r="F315" s="77" t="inlineStr">
        <is>
          <t>https://info.lse.ac.uk/current-students/volunteer-centre/Community-engagement-programme</t>
        </is>
      </c>
      <c r="G315" s="77" t="inlineStr">
        <is>
          <t>Community Engagement Programme</t>
        </is>
      </c>
      <c r="H315" s="77" t="inlineStr">
        <is>
          <t>Programme page</t>
        </is>
      </c>
      <c r="I315" s="77" t="inlineStr">
        <is>
          <t>undated</t>
        </is>
      </c>
      <c r="J315" s="77" t="inlineStr">
        <is>
          <t>2026-10-12</t>
        </is>
      </c>
      <c r="K315" s="77" t="inlineStr">
        <is>
          <t>search-index extract</t>
        </is>
      </c>
      <c r="L315" s="77" t="inlineStr">
        <is>
          <t>Consultancy challenge in which student teams take on a charity's problem, investigate the challenges, liaise with their charity partners (the clients) and produce actionable recommendations, presented in consultancy reports and presentations; open to all current students.</t>
        </is>
      </c>
    </row>
    <row r="316">
      <c r="A316" s="77" t="inlineStr">
        <is>
          <t>RG13-S03-R2</t>
        </is>
      </c>
      <c r="B316" s="77" t="inlineStr">
        <is>
          <t>RG13</t>
        </is>
      </c>
      <c r="C316" s="77" t="inlineStr">
        <is>
          <t>RG13-S03</t>
        </is>
      </c>
      <c r="D316" s="77" t="inlineStr">
        <is>
          <t>LSE Community Engagement Programme (CEP)</t>
        </is>
      </c>
      <c r="E316" s="77" t="inlineStr">
        <is>
          <t>project; group; employer; status; participation</t>
        </is>
      </c>
      <c r="F316" s="77" t="inlineStr">
        <is>
          <t>https://blogs.lse.ac.uk/vcb/2025/10/20/lse-community-engagement-programme-2026-applications-now-open/</t>
        </is>
      </c>
      <c r="G316" s="77" t="inlineStr">
        <is>
          <t>LSE Community Engagement Programme 2026: Applications now open!</t>
        </is>
      </c>
      <c r="H316" s="77" t="inlineStr">
        <is>
          <t>Blog post</t>
        </is>
      </c>
      <c r="I316" s="77" t="inlineStr">
        <is>
          <t>2025</t>
        </is>
      </c>
      <c r="J316" s="77" t="inlineStr">
        <is>
          <t>2026-10-12</t>
        </is>
      </c>
      <c r="K316" s="77" t="inlineStr">
        <is>
          <t>search-index extract</t>
        </is>
      </c>
      <c r="L316" s="77" t="inlineStr">
        <is>
          <t>Programme runs 26 November 2025 to 25 March 2026; student applications via CareerHub until 9 November 2025; volunteer consultants answer project briefs for charities; teams supported by the Volunteer Centre, LSE Alumni Mentors and the charity.</t>
        </is>
      </c>
    </row>
    <row r="317">
      <c r="A317" s="77" t="inlineStr">
        <is>
          <t>RG13-S03-R3</t>
        </is>
      </c>
      <c r="B317" s="77" t="inlineStr">
        <is>
          <t>RG13</t>
        </is>
      </c>
      <c r="C317" s="77" t="inlineStr">
        <is>
          <t>RG13-S03</t>
        </is>
      </c>
      <c r="D317" s="77" t="inlineStr">
        <is>
          <t>LSE Community Engagement Programme (CEP)</t>
        </is>
      </c>
      <c r="E317" s="77" t="inlineStr">
        <is>
          <t>employer; status</t>
        </is>
      </c>
      <c r="F317" s="77" t="inlineStr">
        <is>
          <t>https://blogs.lse.ac.uk/vcb/2026/08/03/lse-community-engagement-programme-now-recruiting-charities-for-2027/</t>
        </is>
      </c>
      <c r="G317" s="77" t="inlineStr">
        <is>
          <t>LSE Community Engagement Programme: Now recruiting charities for 2027!</t>
        </is>
      </c>
      <c r="H317" s="77" t="inlineStr">
        <is>
          <t>Blog post</t>
        </is>
      </c>
      <c r="I317" s="77" t="inlineStr">
        <is>
          <t>2026</t>
        </is>
      </c>
      <c r="J317" s="77" t="inlineStr">
        <is>
          <t>2026-10-12</t>
        </is>
      </c>
      <c r="K317" s="77" t="inlineStr">
        <is>
          <t>search-index extract</t>
        </is>
      </c>
      <c r="L317" s="77" t="inlineStr">
        <is>
          <t>Next programme runs 13 January - 17 March 2027; charity applications open 3 August - 7 October 2026; report deadline 10 March 2027.</t>
        </is>
      </c>
    </row>
    <row r="318">
      <c r="A318" s="77" t="inlineStr">
        <is>
          <t>RG13-S04-R1</t>
        </is>
      </c>
      <c r="B318" s="77" t="inlineStr">
        <is>
          <t>RG13</t>
        </is>
      </c>
      <c r="C318" s="77" t="inlineStr">
        <is>
          <t>RG13-S04</t>
        </is>
      </c>
      <c r="D318" s="77" t="inlineStr">
        <is>
          <t>Research Volunteering Scheme (RVS)</t>
        </is>
      </c>
      <c r="E318" s="77" t="inlineStr">
        <is>
          <t>project; group; employer; eligibility; status; participation</t>
        </is>
      </c>
      <c r="F318" s="77" t="inlineStr">
        <is>
          <t>https://blogs.lse.ac.uk/vcb/2025/10/13/research-volunteering-scheme-applications-now-open-2/</t>
        </is>
      </c>
      <c r="G318" s="77" t="inlineStr">
        <is>
          <t>Research Volunteering Scheme: Applications now open!</t>
        </is>
      </c>
      <c r="H318" s="77" t="inlineStr">
        <is>
          <t>Blog post</t>
        </is>
      </c>
      <c r="I318" s="77" t="inlineStr">
        <is>
          <t>2025</t>
        </is>
      </c>
      <c r="J318" s="77" t="inlineStr">
        <is>
          <t>2026-10-12</t>
        </is>
      </c>
      <c r="K318" s="77" t="inlineStr">
        <is>
          <t>search-index extract</t>
        </is>
      </c>
      <c r="L318" s="77" t="inlineStr">
        <is>
          <t>Teams of LSE postgraduates use their academic knowledge and skills to assist a charity by answering an academic question; 10 questions to be answered by beginning of March 2026; output a research paper based on secondary research (literature review) with a presentation to charity partners; student applications 13 Oct - 2 Nov 2025; postgraduates only.</t>
        </is>
      </c>
    </row>
    <row r="319">
      <c r="A319" s="77" t="inlineStr">
        <is>
          <t>RG13-S04-R2</t>
        </is>
      </c>
      <c r="B319" s="77" t="inlineStr">
        <is>
          <t>RG13</t>
        </is>
      </c>
      <c r="C319" s="77" t="inlineStr">
        <is>
          <t>RG13-S04</t>
        </is>
      </c>
      <c r="D319" s="77" t="inlineStr">
        <is>
          <t>Research Volunteering Scheme (RVS)</t>
        </is>
      </c>
      <c r="E319" s="77" t="inlineStr">
        <is>
          <t>employer; status</t>
        </is>
      </c>
      <c r="F319" s="77" t="inlineStr">
        <is>
          <t>https://blogs.lse.ac.uk/vcb/2025/09/01/research-volunteering-scheme-now-recruiting-charities-for-2025-6/</t>
        </is>
      </c>
      <c r="G319" s="77" t="inlineStr">
        <is>
          <t>Research Volunteering Scheme: Now recruiting charities for 2025-6!</t>
        </is>
      </c>
      <c r="H319" s="77" t="inlineStr">
        <is>
          <t>Blog post</t>
        </is>
      </c>
      <c r="I319" s="77" t="inlineStr">
        <is>
          <t>2025</t>
        </is>
      </c>
      <c r="J319" s="77" t="inlineStr">
        <is>
          <t>2026-10-12</t>
        </is>
      </c>
      <c r="K319" s="77" t="inlineStr">
        <is>
          <t>search-index extract</t>
        </is>
      </c>
      <c r="L319" s="77" t="inlineStr">
        <is>
          <t>Charity applications 1-28 September 2025; scheme runs 12 November 2025 - mid-March 2026.</t>
        </is>
      </c>
    </row>
    <row r="320">
      <c r="A320" s="77" t="inlineStr">
        <is>
          <t>RG13-S04-R3</t>
        </is>
      </c>
      <c r="B320" s="77" t="inlineStr">
        <is>
          <t>RG13</t>
        </is>
      </c>
      <c r="C320" s="77" t="inlineStr">
        <is>
          <t>RG13-S04</t>
        </is>
      </c>
      <c r="D320" s="77" t="inlineStr">
        <is>
          <t>Research Volunteering Scheme (RVS)</t>
        </is>
      </c>
      <c r="E320" s="77" t="inlineStr">
        <is>
          <t>status</t>
        </is>
      </c>
      <c r="F320" s="77" t="inlineStr">
        <is>
          <t>https://blogs.lse.ac.uk/vcb/2026/07/23/how-to-recruit-and-engage-lse-student-volunteers-in-2026-27/</t>
        </is>
      </c>
      <c r="G320" s="77" t="inlineStr">
        <is>
          <t>How to Recruit and Engage LSE Student Volunteers in 2026/27</t>
        </is>
      </c>
      <c r="H320" s="77" t="inlineStr">
        <is>
          <t>Blog post</t>
        </is>
      </c>
      <c r="I320" s="77" t="inlineStr">
        <is>
          <t>2026</t>
        </is>
      </c>
      <c r="J320" s="77" t="inlineStr">
        <is>
          <t>2026-10-12</t>
        </is>
      </c>
      <c r="K320" s="77" t="inlineStr">
        <is>
          <t>search-index extract</t>
        </is>
      </c>
      <c r="L320" s="77" t="inlineStr">
        <is>
          <t>The Research Volunteering Scheme runs every November to March; charity applications open on 3 August.</t>
        </is>
      </c>
    </row>
    <row r="321">
      <c r="A321" s="77" t="inlineStr">
        <is>
          <t>RG13-S05-R1</t>
        </is>
      </c>
      <c r="B321" s="77" t="inlineStr">
        <is>
          <t>RG13</t>
        </is>
      </c>
      <c r="C321" s="77" t="inlineStr">
        <is>
          <t>RG13-S05</t>
        </is>
      </c>
      <c r="D321" s="77" t="inlineStr">
        <is>
          <t>Department of Management Business Projects (Employer Partnerships)</t>
        </is>
      </c>
      <c r="E321" s="77" t="inlineStr">
        <is>
          <t>project; group; employer; status; reach</t>
        </is>
      </c>
      <c r="F321" s="77" t="inlineStr">
        <is>
          <t>https://www.lse.ac.uk/management/employer-partnerships/Business-Projects-Main-Page</t>
        </is>
      </c>
      <c r="G321" s="77" t="inlineStr">
        <is>
          <t>Business Projects</t>
        </is>
      </c>
      <c r="H321" s="77" t="inlineStr">
        <is>
          <t>Main page</t>
        </is>
      </c>
      <c r="I321" s="77" t="inlineStr">
        <is>
          <t>2026</t>
        </is>
      </c>
      <c r="J321" s="77" t="inlineStr">
        <is>
          <t>2026-10-12</t>
        </is>
      </c>
      <c r="K321" s="77" t="inlineStr">
        <is>
          <t>search-index extract</t>
        </is>
      </c>
      <c r="L321" s="77" t="inlineStr">
        <is>
          <t>The department 'currently offers Business Projects across five of its programmes, with differing levels of scope, duration and student group sizes' (GMiM, HRO Links, CEMS/MBA, MALP, Open Innovation); sponsors supply the brief and a Project Supervisor; students typically give a final presentation and/or business report to the organisation; GMiM proposal deadline 26 August 2026, projects October 2026-January 2027.</t>
        </is>
      </c>
    </row>
    <row r="322">
      <c r="A322" s="77" t="inlineStr">
        <is>
          <t>RG13-S06-R1</t>
        </is>
      </c>
      <c r="B322" s="77" t="inlineStr">
        <is>
          <t>RG13</t>
        </is>
      </c>
      <c r="C322" s="77" t="inlineStr">
        <is>
          <t>RG13-S06</t>
        </is>
      </c>
      <c r="D322" s="77" t="inlineStr">
        <is>
          <t>GMiM Capstone Course - Management in Action</t>
        </is>
      </c>
      <c r="E322" s="77" t="inlineStr">
        <is>
          <t>project; group; employer; credit; status</t>
        </is>
      </c>
      <c r="F322" s="77" t="inlineStr">
        <is>
          <t>https://www.lse.ac.uk/resources/calendar2025-2026/courseGuides/MG/2025_MG488B.htm</t>
        </is>
      </c>
      <c r="G322" s="77" t="inlineStr">
        <is>
          <t>MG488B GMiM Capstone Course - Management in Action</t>
        </is>
      </c>
      <c r="H322" s="77" t="inlineStr">
        <is>
          <t>Course content; Assessment</t>
        </is>
      </c>
      <c r="I322" s="77" t="inlineStr">
        <is>
          <t>2025/26</t>
        </is>
      </c>
      <c r="J322" s="77" t="inlineStr">
        <is>
          <t>2026-10-12</t>
        </is>
      </c>
      <c r="K322" s="77" t="inlineStr">
        <is>
          <t>search-index extract</t>
        </is>
      </c>
      <c r="L322" s="77" t="inlineStr">
        <is>
          <t>'The projects will be sourced by LSE and are allocated, on average to groups of 4-6 students. Client partners range from large multinational organisations to small social enterprises, located both in the UK and globally.' Capstone Project accounts for 65% of overall grade; oral presentation (approx. 30 minutes) and slides; criteria include 'Effectiveness of Client Management'.</t>
        </is>
      </c>
    </row>
    <row r="323">
      <c r="A323" s="77" t="inlineStr">
        <is>
          <t>RG13-S06-R2</t>
        </is>
      </c>
      <c r="B323" s="77" t="inlineStr">
        <is>
          <t>RG13</t>
        </is>
      </c>
      <c r="C323" s="77" t="inlineStr">
        <is>
          <t>RG13-S06</t>
        </is>
      </c>
      <c r="D323" s="77" t="inlineStr">
        <is>
          <t>GMiM Capstone Course - Management in Action</t>
        </is>
      </c>
      <c r="E323" s="77" t="inlineStr">
        <is>
          <t>employer; status; group</t>
        </is>
      </c>
      <c r="F323" s="77" t="inlineStr">
        <is>
          <t>https://www.lse.ac.uk/management/assets/documents/Employer-Partnerships-Business-Project-brochures/-GMiM-2025-26.pdf</t>
        </is>
      </c>
      <c r="G323" s="77" t="inlineStr">
        <is>
          <t>Global Master's in Management Business Projects (brochure 2025-26)</t>
        </is>
      </c>
      <c r="H323" s="77" t="inlineStr">
        <is>
          <t>Timeline</t>
        </is>
      </c>
      <c r="I323" s="77" t="inlineStr">
        <is>
          <t>2025-26</t>
        </is>
      </c>
      <c r="J323" s="77" t="inlineStr">
        <is>
          <t>2026-10-12</t>
        </is>
      </c>
      <c r="K323" s="77" t="inlineStr">
        <is>
          <t>search-index extract</t>
        </is>
      </c>
      <c r="L323" s="77" t="inlineStr">
        <is>
          <t>Proposal deadline 22 September; students work on Business Project October-January; final presentation week of 19 January 2026; no charge to companies.</t>
        </is>
      </c>
    </row>
    <row r="324">
      <c r="A324" s="77" t="inlineStr">
        <is>
          <t>RG13-S07-R1</t>
        </is>
      </c>
      <c r="B324" s="77" t="inlineStr">
        <is>
          <t>RG13</t>
        </is>
      </c>
      <c r="C324" s="77" t="inlineStr">
        <is>
          <t>RG13-S07</t>
        </is>
      </c>
      <c r="D324" s="77" t="inlineStr">
        <is>
          <t>CEMS &amp; MBA Business Projects</t>
        </is>
      </c>
      <c r="E324" s="77" t="inlineStr">
        <is>
          <t>project; group; employer; status</t>
        </is>
      </c>
      <c r="F324" s="77" t="inlineStr">
        <is>
          <t>https://www.lse.ac.uk/management/assets/documents/Employer-Partnerships-Business-Project-brochures/CEMS-MBA-2025-26.pdf</t>
        </is>
      </c>
      <c r="G324" s="77" t="inlineStr">
        <is>
          <t>CEMS &amp; MBA Business Projects (brochure 2025-26)</t>
        </is>
      </c>
      <c r="H324" s="77" t="inlineStr">
        <is>
          <t>Brochure</t>
        </is>
      </c>
      <c r="I324" s="77" t="inlineStr">
        <is>
          <t>2025-26</t>
        </is>
      </c>
      <c r="J324" s="77" t="inlineStr">
        <is>
          <t>2026-10-12</t>
        </is>
      </c>
      <c r="K324" s="77" t="inlineStr">
        <is>
          <t>search-index extract</t>
        </is>
      </c>
      <c r="L324" s="77" t="inlineStr">
        <is>
          <t>4-6 students assigned to a project; proposals due 28 November 2025; groups assigned 26 January 2026; students work February-May; final presentations to sponsors 4-18 May 2026; no charge to companies; students typically meet sponsor fortnightly.</t>
        </is>
      </c>
    </row>
    <row r="325">
      <c r="A325" s="77" t="inlineStr">
        <is>
          <t>RG13-S08-R1</t>
        </is>
      </c>
      <c r="B325" s="77" t="inlineStr">
        <is>
          <t>RG13</t>
        </is>
      </c>
      <c r="C325" s="77" t="inlineStr">
        <is>
          <t>RG13-S08</t>
        </is>
      </c>
      <c r="D325" s="77" t="inlineStr">
        <is>
          <t>HRO Links Scheme (Links Project)</t>
        </is>
      </c>
      <c r="E325" s="77" t="inlineStr">
        <is>
          <t>group; employer</t>
        </is>
      </c>
      <c r="F325" s="77" t="inlineStr">
        <is>
          <t>https://www.lse.ac.uk/study-at-lse/graduate/msc-human-resources-and-organisations</t>
        </is>
      </c>
      <c r="G325" s="77" t="inlineStr">
        <is>
          <t>MSc Human Resources and Organisations</t>
        </is>
      </c>
      <c r="H325" s="77" t="inlineStr">
        <is>
          <t>Programme page</t>
        </is>
      </c>
      <c r="I325" s="77" t="inlineStr">
        <is>
          <t>undated</t>
        </is>
      </c>
      <c r="J325" s="77" t="inlineStr">
        <is>
          <t>2026-10-12</t>
        </is>
      </c>
      <c r="K325" s="77" t="inlineStr">
        <is>
          <t>search-index extract</t>
        </is>
      </c>
      <c r="L325" s="77" t="inlineStr">
        <is>
          <t>Links Project: a consultancy project completed in pairs for an external organisation.</t>
        </is>
      </c>
    </row>
    <row r="326">
      <c r="A326" s="77" t="inlineStr">
        <is>
          <t>RG13-S08-R2</t>
        </is>
      </c>
      <c r="B326" s="77" t="inlineStr">
        <is>
          <t>RG13</t>
        </is>
      </c>
      <c r="C326" s="77" t="inlineStr">
        <is>
          <t>RG13-S08</t>
        </is>
      </c>
      <c r="D326" s="77" t="inlineStr">
        <is>
          <t>HRO Links Scheme (Links Project)</t>
        </is>
      </c>
      <c r="E326" s="77" t="inlineStr">
        <is>
          <t>project; group; employer; status</t>
        </is>
      </c>
      <c r="F326" s="77" t="inlineStr">
        <is>
          <t>https://www.lse.ac.uk/management/assets/documents/Employer-Partnerships-Business-Project-brochures/HRO-Links-2025-26.pdf</t>
        </is>
      </c>
      <c r="G326" s="77" t="inlineStr">
        <is>
          <t>HRO Links 2025-26</t>
        </is>
      </c>
      <c r="H326" s="77" t="inlineStr">
        <is>
          <t>Brochure</t>
        </is>
      </c>
      <c r="I326" s="77" t="inlineStr">
        <is>
          <t>2025-26</t>
        </is>
      </c>
      <c r="J326" s="77" t="inlineStr">
        <is>
          <t>2026-10-12</t>
        </is>
      </c>
      <c r="K326" s="77" t="inlineStr">
        <is>
          <t>search-index extract</t>
        </is>
      </c>
      <c r="L326" s="77" t="inlineStr">
        <is>
          <t>1-2 students will be assigned to a project; ends with a business report for the organisation alongside a joint LSE dissertation with project partner; proposals 7 November, assignment 19 December; no charge to sponsors.</t>
        </is>
      </c>
    </row>
    <row r="327">
      <c r="A327" s="77" t="inlineStr">
        <is>
          <t>RG13-S08-R3</t>
        </is>
      </c>
      <c r="B327" s="77" t="inlineStr">
        <is>
          <t>RG13</t>
        </is>
      </c>
      <c r="C327" s="77" t="inlineStr">
        <is>
          <t>RG13-S08</t>
        </is>
      </c>
      <c r="D327" s="77" t="inlineStr">
        <is>
          <t>HRO Links Scheme (Links Project)</t>
        </is>
      </c>
      <c r="E327" s="77" t="inlineStr">
        <is>
          <t>project; employer; credit; status</t>
        </is>
      </c>
      <c r="F327" s="77" t="inlineStr">
        <is>
          <t>https://www.lse.ac.uk/resources/calendar/courseGuides/MG/2026_MG493.htm</t>
        </is>
      </c>
      <c r="G327" s="77" t="inlineStr">
        <is>
          <t>MG493 Dissertation</t>
        </is>
      </c>
      <c r="H327" s="77" t="inlineStr">
        <is>
          <t>Course content</t>
        </is>
      </c>
      <c r="I327" s="77" t="inlineStr">
        <is>
          <t>2026/27</t>
        </is>
      </c>
      <c r="J327" s="77" t="inlineStr">
        <is>
          <t>2026-10-12</t>
        </is>
      </c>
      <c r="K327" s="77" t="inlineStr">
        <is>
          <t>search-index extract</t>
        </is>
      </c>
      <c r="L327" s="77" t="inlineStr">
        <is>
          <t>Students can also apply for a Links project and, if accepted, will conduct research on an HR question posed by the Links sponsor.</t>
        </is>
      </c>
    </row>
    <row r="328">
      <c r="A328" s="77" t="inlineStr">
        <is>
          <t>RG13-S09-R1</t>
        </is>
      </c>
      <c r="B328" s="77" t="inlineStr">
        <is>
          <t>RG13</t>
        </is>
      </c>
      <c r="C328" s="77" t="inlineStr">
        <is>
          <t>RG13-S09</t>
        </is>
      </c>
      <c r="D328" s="77" t="inlineStr">
        <is>
          <t>Marketing Action Learning Project (MALP)</t>
        </is>
      </c>
      <c r="E328" s="77" t="inlineStr">
        <is>
          <t>project; group; employer; credit; status; participation</t>
        </is>
      </c>
      <c r="F328" s="77" t="inlineStr">
        <is>
          <t>https://www.lse.ac.uk/resources/calendar/courseGuides/MG/2026_MG4F1.htm</t>
        </is>
      </c>
      <c r="G328" s="77" t="inlineStr">
        <is>
          <t>MG4F1 Marketing Action Learning Project</t>
        </is>
      </c>
      <c r="H328" s="77" t="inlineStr">
        <is>
          <t>Course guide</t>
        </is>
      </c>
      <c r="I328" s="77" t="inlineStr">
        <is>
          <t>2026/27</t>
        </is>
      </c>
      <c r="J328" s="77" t="inlineStr">
        <is>
          <t>2026-10-12</t>
        </is>
      </c>
      <c r="K328" s="77" t="inlineStr">
        <is>
          <t>search-index extract</t>
        </is>
      </c>
      <c r="L328" s="77" t="inlineStr">
        <is>
          <t>Teams of students work with vetted company sponsors, from global consumer brands to growth-stage startups, on a real marketing challenge; oral examination (40%), project (60%) in August; compulsory on MSc in Marketing; Total students 2025/26: 94.</t>
        </is>
      </c>
    </row>
    <row r="329">
      <c r="A329" s="77" t="inlineStr">
        <is>
          <t>RG13-S09-R2</t>
        </is>
      </c>
      <c r="B329" s="77" t="inlineStr">
        <is>
          <t>RG13</t>
        </is>
      </c>
      <c r="C329" s="77" t="inlineStr">
        <is>
          <t>RG13-S09</t>
        </is>
      </c>
      <c r="D329" s="77" t="inlineStr">
        <is>
          <t>Marketing Action Learning Project (MALP)</t>
        </is>
      </c>
      <c r="E329" s="77" t="inlineStr">
        <is>
          <t>employer</t>
        </is>
      </c>
      <c r="F329" s="77" t="inlineStr">
        <is>
          <t>https://www.lse.ac.uk/study-at-lse/graduate/msc-marketing</t>
        </is>
      </c>
      <c r="G329" s="77" t="inlineStr">
        <is>
          <t>MSc Marketing</t>
        </is>
      </c>
      <c r="H329" s="77" t="inlineStr">
        <is>
          <t>Programme page</t>
        </is>
      </c>
      <c r="I329" s="77" t="inlineStr">
        <is>
          <t>undated</t>
        </is>
      </c>
      <c r="J329" s="77" t="inlineStr">
        <is>
          <t>2026-10-12</t>
        </is>
      </c>
      <c r="K329" s="77" t="inlineStr">
        <is>
          <t>search-index extract</t>
        </is>
      </c>
      <c r="L329" s="77" t="inlineStr">
        <is>
          <t>Students have worked with companies such as Colgate-Palmolive, Cartier, Tata Group and Unilever; MALP commences in Winter Term, presentations early July, report deadline August.</t>
        </is>
      </c>
    </row>
    <row r="330">
      <c r="A330" s="77" t="inlineStr">
        <is>
          <t>RG13-S09-R3</t>
        </is>
      </c>
      <c r="B330" s="77" t="inlineStr">
        <is>
          <t>RG13</t>
        </is>
      </c>
      <c r="C330" s="77" t="inlineStr">
        <is>
          <t>RG13-S09</t>
        </is>
      </c>
      <c r="D330" s="77" t="inlineStr">
        <is>
          <t>Marketing Action Learning Project (MALP)</t>
        </is>
      </c>
      <c r="E330" s="77" t="inlineStr">
        <is>
          <t>group; status</t>
        </is>
      </c>
      <c r="F330" s="77" t="inlineStr">
        <is>
          <t>https://blogs.lse.ac.uk/management/2026/07/02/lses-msc-marketing-reflecting-on-the-marketing-action-learning-project/</t>
        </is>
      </c>
      <c r="G330" s="77" t="inlineStr">
        <is>
          <t>LSE's MSc Marketing: Reflecting on the Marketing Action Learning Project</t>
        </is>
      </c>
      <c r="H330" s="77" t="inlineStr">
        <is>
          <t>Student blog</t>
        </is>
      </c>
      <c r="I330" s="77" t="inlineStr">
        <is>
          <t>2026</t>
        </is>
      </c>
      <c r="J330" s="77" t="inlineStr">
        <is>
          <t>2026-10-12</t>
        </is>
      </c>
      <c r="K330" s="77" t="inlineStr">
        <is>
          <t>search-index extract</t>
        </is>
      </c>
      <c r="L330" s="77" t="inlineStr">
        <is>
          <t>Students could nominate one person they wished to work with before being grouped into teams of six.</t>
        </is>
      </c>
    </row>
    <row r="331">
      <c r="A331" s="77" t="inlineStr">
        <is>
          <t>RG13-S10-R1</t>
        </is>
      </c>
      <c r="B331" s="77" t="inlineStr">
        <is>
          <t>RG13</t>
        </is>
      </c>
      <c r="C331" s="77" t="inlineStr">
        <is>
          <t>RG13-S10</t>
        </is>
      </c>
      <c r="D331" s="77" t="inlineStr">
        <is>
          <t>MiM Capstone Course - International Management in Action (incl. London Consulting Project)</t>
        </is>
      </c>
      <c r="E331" s="77" t="inlineStr">
        <is>
          <t>project; group; employer; credit; status; participation</t>
        </is>
      </c>
      <c r="F331" s="77" t="inlineStr">
        <is>
          <t>https://www.lse.ac.uk/resources/calendar2025-2026/courseGuides/MG/2025_MG4J4.htm</t>
        </is>
      </c>
      <c r="G331" s="77" t="inlineStr">
        <is>
          <t>MG4J4 MiM Capstone Course - International Management in Action</t>
        </is>
      </c>
      <c r="H331" s="77" t="inlineStr">
        <is>
          <t>Course guide</t>
        </is>
      </c>
      <c r="I331" s="77" t="inlineStr">
        <is>
          <t>2025/26</t>
        </is>
      </c>
      <c r="J331" s="77" t="inlineStr">
        <is>
          <t>2026-10-12</t>
        </is>
      </c>
      <c r="K331" s="77" t="inlineStr">
        <is>
          <t>search-index extract</t>
        </is>
      </c>
      <c r="L331" s="77" t="inlineStr">
        <is>
          <t>Compulsory on MSc in Management (1 Year Programme); second part has student groups work on a client company's business problem(s) before, during and after an international trip; project 60% (2,000 words), individual essay 30%, reflective learning report 10%; 2024/25 cohort 74 students.</t>
        </is>
      </c>
    </row>
    <row r="332">
      <c r="A332" s="77" t="inlineStr">
        <is>
          <t>RG13-S10-R2</t>
        </is>
      </c>
      <c r="B332" s="77" t="inlineStr">
        <is>
          <t>RG13</t>
        </is>
      </c>
      <c r="C332" s="77" t="inlineStr">
        <is>
          <t>RG13-S10</t>
        </is>
      </c>
      <c r="D332" s="77" t="inlineStr">
        <is>
          <t>MiM Capstone Course - International Management in Action (incl. London Consulting Project)</t>
        </is>
      </c>
      <c r="E332" s="77" t="inlineStr">
        <is>
          <t>project; employer</t>
        </is>
      </c>
      <c r="F332" s="77" t="inlineStr">
        <is>
          <t>https://www.lse.ac.uk/study-at-lse/graduate/masters-in-management</t>
        </is>
      </c>
      <c r="G332" s="77" t="inlineStr">
        <is>
          <t>Master's in Management</t>
        </is>
      </c>
      <c r="H332" s="77" t="inlineStr">
        <is>
          <t>Programme page</t>
        </is>
      </c>
      <c r="I332" s="77" t="inlineStr">
        <is>
          <t>2026/27-2027/28</t>
        </is>
      </c>
      <c r="J332" s="77" t="inlineStr">
        <is>
          <t>2026-10-12</t>
        </is>
      </c>
      <c r="K332" s="77" t="inlineStr">
        <is>
          <t>search-index extract</t>
        </is>
      </c>
      <c r="L332" s="77" t="inlineStr">
        <is>
          <t>London Consulting Project - apply classroom learning to a real business challenge through a project with an external organisation; overseas Capstone visit then work with peers on a business challenge presented by an external organisation.</t>
        </is>
      </c>
    </row>
    <row r="333">
      <c r="A333" s="77" t="inlineStr">
        <is>
          <t>RG13-S10-R3</t>
        </is>
      </c>
      <c r="B333" s="77" t="inlineStr">
        <is>
          <t>RG13</t>
        </is>
      </c>
      <c r="C333" s="77" t="inlineStr">
        <is>
          <t>RG13-S10</t>
        </is>
      </c>
      <c r="D333" s="77" t="inlineStr">
        <is>
          <t>MiM Capstone Course - International Management in Action (incl. London Consulting Project)</t>
        </is>
      </c>
      <c r="E333" s="77" t="inlineStr">
        <is>
          <t>project; group; employer; status</t>
        </is>
      </c>
      <c r="F333" s="77" t="inlineStr">
        <is>
          <t>https://blogs.lse.ac.uk/management/2026/05/21/lses-masters-in-management-the-programme-directors-perspective/</t>
        </is>
      </c>
      <c r="G333" s="77" t="inlineStr">
        <is>
          <t>LSE's Master's in Management: the Programme Director views</t>
        </is>
      </c>
      <c r="H333" s="77" t="inlineStr">
        <is>
          <t>Blog</t>
        </is>
      </c>
      <c r="I333" s="77" t="inlineStr">
        <is>
          <t>2026</t>
        </is>
      </c>
      <c r="J333" s="77" t="inlineStr">
        <is>
          <t>2026-10-12</t>
        </is>
      </c>
      <c r="K333" s="77" t="inlineStr">
        <is>
          <t>search-index extract</t>
        </is>
      </c>
      <c r="L333" s="77" t="inlineStr">
        <is>
          <t>The company provides a list of projects, real business challenges; 'working in teams, you will analyse the problem and make recommendations, knowing that those recommendations will very likely be acted upon.'</t>
        </is>
      </c>
    </row>
    <row r="334">
      <c r="A334" s="77" t="inlineStr">
        <is>
          <t>RG13-S11-R1</t>
        </is>
      </c>
      <c r="B334" s="77" t="inlineStr">
        <is>
          <t>RG13</t>
        </is>
      </c>
      <c r="C334" s="77" t="inlineStr">
        <is>
          <t>RG13-S11</t>
        </is>
      </c>
      <c r="D334" s="77" t="inlineStr">
        <is>
          <t>Social Innovation and Entrepreneurship Fundamentals (year-long partner group project)</t>
        </is>
      </c>
      <c r="E334" s="77" t="inlineStr">
        <is>
          <t>project; group; employer; credit; status</t>
        </is>
      </c>
      <c r="F334" s="77" t="inlineStr">
        <is>
          <t>https://www.lse.ac.uk/resources/calendar2026-2027/courseGuides/MG/2026_MG4G6.htm</t>
        </is>
      </c>
      <c r="G334" s="77" t="inlineStr">
        <is>
          <t>MG4G6 Social Innovation and Entrepreneurship Fundamentals</t>
        </is>
      </c>
      <c r="H334" s="77" t="inlineStr">
        <is>
          <t>Course guide</t>
        </is>
      </c>
      <c r="I334" s="77" t="inlineStr">
        <is>
          <t>2026/27</t>
        </is>
      </c>
      <c r="J334" s="77" t="inlineStr">
        <is>
          <t>2026-10-12</t>
        </is>
      </c>
      <c r="K334" s="77" t="inlineStr">
        <is>
          <t>search-index extract</t>
        </is>
      </c>
      <c r="L334" s="77" t="inlineStr">
        <is>
          <t>Compulsory on the MSc; taught across Autumn and Winter Terms; project worth 45% of assessment including an element of group work; students work with a social organisation in a developing-country setting.</t>
        </is>
      </c>
    </row>
    <row r="335">
      <c r="A335" s="77" t="inlineStr">
        <is>
          <t>RG13-S11-R2</t>
        </is>
      </c>
      <c r="B335" s="77" t="inlineStr">
        <is>
          <t>RG13</t>
        </is>
      </c>
      <c r="C335" s="77" t="inlineStr">
        <is>
          <t>RG13-S11</t>
        </is>
      </c>
      <c r="D335" s="77" t="inlineStr">
        <is>
          <t>Social Innovation and Entrepreneurship Fundamentals (year-long partner group project)</t>
        </is>
      </c>
      <c r="E335" s="77" t="inlineStr">
        <is>
          <t>project; group; employer</t>
        </is>
      </c>
      <c r="F335" s="77" t="inlineStr">
        <is>
          <t>https://www.lse.ac.uk/study-at-lse/graduate/msc-social-innovation-and-entrepreneurship</t>
        </is>
      </c>
      <c r="G335" s="77" t="inlineStr">
        <is>
          <t>MSc Social Innovation and Entrepreneurship</t>
        </is>
      </c>
      <c r="H335" s="77" t="inlineStr">
        <is>
          <t>Programme page</t>
        </is>
      </c>
      <c r="I335" s="77" t="inlineStr">
        <is>
          <t>undated</t>
        </is>
      </c>
      <c r="J335" s="77" t="inlineStr">
        <is>
          <t>2026-10-12</t>
        </is>
      </c>
      <c r="K335" s="77" t="inlineStr">
        <is>
          <t>search-index extract</t>
        </is>
      </c>
      <c r="L335" s="77" t="inlineStr">
        <is>
          <t>Year-long applied group project, 'where you'll work with a real organisation on a social impact challenge'; Virtual Research Week in Autumn Term Week 6; capstone options: dissertation, enterprise Capstone or consulting Capstone with a client organisation.</t>
        </is>
      </c>
    </row>
    <row r="336">
      <c r="A336" s="77" t="inlineStr">
        <is>
          <t>RG13-S11-R3</t>
        </is>
      </c>
      <c r="B336" s="77" t="inlineStr">
        <is>
          <t>RG13</t>
        </is>
      </c>
      <c r="C336" s="77" t="inlineStr">
        <is>
          <t>RG13-S11</t>
        </is>
      </c>
      <c r="D336" s="77" t="inlineStr">
        <is>
          <t>Social Innovation and Entrepreneurship Fundamentals (year-long partner group project)</t>
        </is>
      </c>
      <c r="E336" s="77" t="inlineStr">
        <is>
          <t>employer; status</t>
        </is>
      </c>
      <c r="F336" s="77" t="inlineStr">
        <is>
          <t>https://blogs.lse.ac.uk/management/2026/04/02/lses-msc-social-innovation-and-entrepreneurship-supporting-innovation-in-africa/</t>
        </is>
      </c>
      <c r="G336" s="77" t="inlineStr">
        <is>
          <t>LSE's MSc Social Innovation and Entrepreneurship: Field trip</t>
        </is>
      </c>
      <c r="H336" s="77" t="inlineStr">
        <is>
          <t>Blog</t>
        </is>
      </c>
      <c r="I336" s="77" t="inlineStr">
        <is>
          <t>2026</t>
        </is>
      </c>
      <c r="J336" s="77" t="inlineStr">
        <is>
          <t>2026-10-12</t>
        </is>
      </c>
      <c r="K336" s="77" t="inlineStr">
        <is>
          <t>search-index extract</t>
        </is>
      </c>
      <c r="L336" s="77" t="inlineStr">
        <is>
          <t>In-person international field trip in Winter Term to Kenya and South Africa.</t>
        </is>
      </c>
    </row>
    <row r="337">
      <c r="A337" s="77" t="inlineStr">
        <is>
          <t>RG13-S12-R1</t>
        </is>
      </c>
      <c r="B337" s="77" t="inlineStr">
        <is>
          <t>RG13</t>
        </is>
      </c>
      <c r="C337" s="77" t="inlineStr">
        <is>
          <t>RG13-S12</t>
        </is>
      </c>
      <c r="D337" s="77" t="inlineStr">
        <is>
          <t>Capstone Project (MSc Data Science)</t>
        </is>
      </c>
      <c r="E337" s="77" t="inlineStr">
        <is>
          <t>project; group; employer; credit; status; participation</t>
        </is>
      </c>
      <c r="F337" s="77" t="inlineStr">
        <is>
          <t>https://www.lse.ac.uk/resources/calendar2025-2026/courseGuides/ST/2025_ST498.htm</t>
        </is>
      </c>
      <c r="G337" s="77" t="inlineStr">
        <is>
          <t>ST498 Capstone Project</t>
        </is>
      </c>
      <c r="H337" s="77" t="inlineStr">
        <is>
          <t>Course guide</t>
        </is>
      </c>
      <c r="I337" s="77" t="inlineStr">
        <is>
          <t>2025/26</t>
        </is>
      </c>
      <c r="J337" s="77" t="inlineStr">
        <is>
          <t>2026-10-12</t>
        </is>
      </c>
      <c r="K337" s="77" t="inlineStr">
        <is>
          <t>search-index extract</t>
        </is>
      </c>
      <c r="L337" s="77" t="inlineStr">
        <is>
          <t>Conducted in partnership with an industry partner and jointly supervised by LSE faculty and company partner collaborators; partner suggests the research project and may provide data; may require time on partner's premises; project 100%, group report capped at 50 A4 pages; Total students 2024/25: 49.</t>
        </is>
      </c>
    </row>
    <row r="338">
      <c r="A338" s="77" t="inlineStr">
        <is>
          <t>RG13-S12-R2</t>
        </is>
      </c>
      <c r="B338" s="77" t="inlineStr">
        <is>
          <t>RG13</t>
        </is>
      </c>
      <c r="C338" s="77" t="inlineStr">
        <is>
          <t>RG13-S12</t>
        </is>
      </c>
      <c r="D338" s="77" t="inlineStr">
        <is>
          <t>Capstone Project (MSc Data Science)</t>
        </is>
      </c>
      <c r="E338" s="77" t="inlineStr">
        <is>
          <t>employer</t>
        </is>
      </c>
      <c r="F338" s="77" t="inlineStr">
        <is>
          <t>https://www.lse.ac.uk/statistics/partnerships</t>
        </is>
      </c>
      <c r="G338" s="77" t="inlineStr">
        <is>
          <t>Partnerships</t>
        </is>
      </c>
      <c r="H338" s="77" t="inlineStr">
        <is>
          <t>Department page</t>
        </is>
      </c>
      <c r="I338" s="77" t="inlineStr">
        <is>
          <t>undated</t>
        </is>
      </c>
      <c r="J338" s="77" t="inlineStr">
        <is>
          <t>2026-10-12</t>
        </is>
      </c>
      <c r="K338" s="77" t="inlineStr">
        <is>
          <t>search-index extract</t>
        </is>
      </c>
      <c r="L338" s="77" t="inlineStr">
        <is>
          <t>Working with over 20 partners including Deloitte, Mastercard, Meta, Microsoft, Moody's, Sky, Transport for London, Wise and the World Trade Organization.</t>
        </is>
      </c>
    </row>
    <row r="339">
      <c r="A339" s="77" t="inlineStr">
        <is>
          <t>RG13-S12-R3</t>
        </is>
      </c>
      <c r="B339" s="77" t="inlineStr">
        <is>
          <t>RG13</t>
        </is>
      </c>
      <c r="C339" s="77" t="inlineStr">
        <is>
          <t>RG13-S12</t>
        </is>
      </c>
      <c r="D339" s="77" t="inlineStr">
        <is>
          <t>Capstone Project (MSc Data Science)</t>
        </is>
      </c>
      <c r="E339" s="77" t="inlineStr">
        <is>
          <t>employer</t>
        </is>
      </c>
      <c r="F339" s="77" t="inlineStr">
        <is>
          <t>https://info.lse.ac.uk/staff/divisions/Teaching-and-Learning-Centre/TLC-resource-materials/Education-Case-Studies/Statistics-MSc-Data-Science-capstone-project</t>
        </is>
      </c>
      <c r="G339" s="77" t="inlineStr">
        <is>
          <t>Statistics - MSc Data Science capstone project (education case study)</t>
        </is>
      </c>
      <c r="H339" s="77" t="inlineStr">
        <is>
          <t>Case study</t>
        </is>
      </c>
      <c r="I339" s="77" t="inlineStr">
        <is>
          <t>undated</t>
        </is>
      </c>
      <c r="J339" s="77" t="inlineStr">
        <is>
          <t>2026-10-12</t>
        </is>
      </c>
      <c r="K339" s="77" t="inlineStr">
        <is>
          <t>search-index extract</t>
        </is>
      </c>
      <c r="L339" s="77" t="inlineStr">
        <is>
          <t>Partners are either companies or, in some instances, LSE academics and Professional Service divisions.</t>
        </is>
      </c>
    </row>
    <row r="340">
      <c r="A340" s="77" t="inlineStr">
        <is>
          <t>RG13-S12-R4</t>
        </is>
      </c>
      <c r="B340" s="77" t="inlineStr">
        <is>
          <t>RG13</t>
        </is>
      </c>
      <c r="C340" s="77" t="inlineStr">
        <is>
          <t>RG13-S12</t>
        </is>
      </c>
      <c r="D340" s="77" t="inlineStr">
        <is>
          <t>Capstone Project (MSc Data Science)</t>
        </is>
      </c>
      <c r="E340" s="77" t="inlineStr">
        <is>
          <t>participation; credit</t>
        </is>
      </c>
      <c r="F340" s="77" t="inlineStr">
        <is>
          <t>https://www.lse.ac.uk/resources/calendar2025-2026/programmeRegulations/taughtMasters/2025/MScDataScience.htm</t>
        </is>
      </c>
      <c r="G340" s="77" t="inlineStr">
        <is>
          <t>MSc in Data Science programme regulations</t>
        </is>
      </c>
      <c r="H340" s="77" t="inlineStr">
        <is>
          <t>Regulations</t>
        </is>
      </c>
      <c r="I340" s="77" t="inlineStr">
        <is>
          <t>2025/26</t>
        </is>
      </c>
      <c r="J340" s="77" t="inlineStr">
        <is>
          <t>2026-10-12</t>
        </is>
      </c>
      <c r="K340" s="77" t="inlineStr">
        <is>
          <t>search-index extract</t>
        </is>
      </c>
      <c r="L340" s="77" t="inlineStr">
        <is>
          <t>ST498 Capstone Project (1.0) listed as compulsory.</t>
        </is>
      </c>
    </row>
    <row r="341">
      <c r="A341" s="77" t="inlineStr">
        <is>
          <t>RG13-S13-R1</t>
        </is>
      </c>
      <c r="B341" s="77" t="inlineStr">
        <is>
          <t>RG13</t>
        </is>
      </c>
      <c r="C341" s="77" t="inlineStr">
        <is>
          <t>RG13-S13</t>
        </is>
      </c>
      <c r="D341" s="77" t="inlineStr">
        <is>
          <t>Project in Operations Research &amp; Analytics</t>
        </is>
      </c>
      <c r="E341" s="77" t="inlineStr">
        <is>
          <t>project; employer; credit; status</t>
        </is>
      </c>
      <c r="F341" s="77" t="inlineStr">
        <is>
          <t>https://www.lse.ac.uk/resources/calendar2026-2027/courseGuides/MA/2026_MA425.htm</t>
        </is>
      </c>
      <c r="G341" s="77" t="inlineStr">
        <is>
          <t>MA425 Project in Operations Research &amp; Analytics</t>
        </is>
      </c>
      <c r="H341" s="77" t="inlineStr">
        <is>
          <t>Course guide</t>
        </is>
      </c>
      <c r="I341" s="77" t="inlineStr">
        <is>
          <t>2026/27</t>
        </is>
      </c>
      <c r="J341" s="77" t="inlineStr">
        <is>
          <t>2026-10-12</t>
        </is>
      </c>
      <c r="K341" s="77" t="inlineStr">
        <is>
          <t>search-index extract</t>
        </is>
      </c>
      <c r="L341" s="77" t="inlineStr">
        <is>
          <t>Typically a consulting-like placement with an industry, government or non-profit partner; full-time from early June until end of August, possibly at the client site; Project (100%); cannot be taken with MA426.</t>
        </is>
      </c>
    </row>
    <row r="342">
      <c r="A342" s="77" t="inlineStr">
        <is>
          <t>RG13-S13-R2</t>
        </is>
      </c>
      <c r="B342" s="77" t="inlineStr">
        <is>
          <t>RG13</t>
        </is>
      </c>
      <c r="C342" s="77" t="inlineStr">
        <is>
          <t>RG13-S13</t>
        </is>
      </c>
      <c r="D342" s="77" t="inlineStr">
        <is>
          <t>Project in Operations Research &amp; Analytics</t>
        </is>
      </c>
      <c r="E342" s="77" t="inlineStr">
        <is>
          <t>employer</t>
        </is>
      </c>
      <c r="F342" s="77" t="inlineStr">
        <is>
          <t>https://www.lse.ac.uk/study-at-lse/graduate/msc-operations-research-and-analytics</t>
        </is>
      </c>
      <c r="G342" s="77" t="inlineStr">
        <is>
          <t>MSc Operations Research and Analytics</t>
        </is>
      </c>
      <c r="H342" s="77" t="inlineStr">
        <is>
          <t>Programme page</t>
        </is>
      </c>
      <c r="I342" s="77" t="inlineStr">
        <is>
          <t>undated</t>
        </is>
      </c>
      <c r="J342" s="77" t="inlineStr">
        <is>
          <t>2026-10-12</t>
        </is>
      </c>
      <c r="K342" s="77" t="inlineStr">
        <is>
          <t>search-index extract</t>
        </is>
      </c>
      <c r="L342" s="77" t="inlineStr">
        <is>
          <t>Past and present partners include Amazon, BT, British Airways, Emirates Airlines, FICO, Ford Motor Company, Just Eat, Legal and General, the National Audit Office and Transport for London.</t>
        </is>
      </c>
    </row>
    <row r="343">
      <c r="A343" s="77" t="inlineStr">
        <is>
          <t>RG13-S14-R1</t>
        </is>
      </c>
      <c r="B343" s="77" t="inlineStr">
        <is>
          <t>RG13</t>
        </is>
      </c>
      <c r="C343" s="77" t="inlineStr">
        <is>
          <t>RG13-S14</t>
        </is>
      </c>
      <c r="D343" s="77" t="inlineStr">
        <is>
          <t>MPA Capstone Project</t>
        </is>
      </c>
      <c r="E343" s="77" t="inlineStr">
        <is>
          <t>project; group; employer; credit; status; participation</t>
        </is>
      </c>
      <c r="F343" s="77" t="inlineStr">
        <is>
          <t>https://www.lse.ac.uk/resources/calendar2025-2026/courseGuides/PP/2025_PP4B3.htm</t>
        </is>
      </c>
      <c r="G343" s="77" t="inlineStr">
        <is>
          <t>PP4B3 MPA Capstone Project</t>
        </is>
      </c>
      <c r="H343" s="77" t="inlineStr">
        <is>
          <t>Course guide</t>
        </is>
      </c>
      <c r="I343" s="77" t="inlineStr">
        <is>
          <t>2025/26</t>
        </is>
      </c>
      <c r="J343" s="77" t="inlineStr">
        <is>
          <t>2026-10-12</t>
        </is>
      </c>
      <c r="K343" s="77" t="inlineStr">
        <is>
          <t>search-index extract</t>
        </is>
      </c>
      <c r="L343" s="77" t="inlineStr">
        <is>
          <t>Students will undertake a group project (in teams usually of 3 to 6 people) relating to a public policy problem faced by an external organisation; typical clients include public sector bodies, private sector companies, international organisations, think tanks and NGOs; 20% of the mark from the client organisation; compulsory on MPA and dual degrees.</t>
        </is>
      </c>
    </row>
    <row r="344">
      <c r="A344" s="77" t="inlineStr">
        <is>
          <t>RG13-S14-R2</t>
        </is>
      </c>
      <c r="B344" s="77" t="inlineStr">
        <is>
          <t>RG13</t>
        </is>
      </c>
      <c r="C344" s="77" t="inlineStr">
        <is>
          <t>RG13-S14</t>
        </is>
      </c>
      <c r="D344" s="77" t="inlineStr">
        <is>
          <t>MPA Capstone Project</t>
        </is>
      </c>
      <c r="E344" s="77" t="inlineStr">
        <is>
          <t>group; employer; participation</t>
        </is>
      </c>
      <c r="F344" s="77" t="inlineStr">
        <is>
          <t>https://www.lse.ac.uk/school-of-public-policy/study/master-of-public-administration/capstone</t>
        </is>
      </c>
      <c r="G344" s="77" t="inlineStr">
        <is>
          <t>MPA Capstone Projects</t>
        </is>
      </c>
      <c r="H344" s="77" t="inlineStr">
        <is>
          <t>Programme page</t>
        </is>
      </c>
      <c r="I344" s="77" t="inlineStr">
        <is>
          <t>undated</t>
        </is>
      </c>
      <c r="J344" s="77" t="inlineStr">
        <is>
          <t>2026-10-12</t>
        </is>
      </c>
      <c r="K344" s="77" t="inlineStr">
        <is>
          <t>search-index extract</t>
        </is>
      </c>
      <c r="L344" s="77" t="inlineStr">
        <is>
          <t>Compulsory for second-year MPA students; groups of 3-6; October to March on an issue defined by the client organisation; recent partners include Goldman Sachs, Unilever, UNDP, UNICEF, OECD, Migration Policy Institute, NHS England.</t>
        </is>
      </c>
    </row>
    <row r="345">
      <c r="A345" s="77" t="inlineStr">
        <is>
          <t>RG13-S15-R1</t>
        </is>
      </c>
      <c r="B345" s="77" t="inlineStr">
        <is>
          <t>RG13</t>
        </is>
      </c>
      <c r="C345" s="77" t="inlineStr">
        <is>
          <t>RG13-S15</t>
        </is>
      </c>
      <c r="D345" s="77" t="inlineStr">
        <is>
          <t>Capstone Project: MPA - Data Science for Public Policy</t>
        </is>
      </c>
      <c r="E345" s="77" t="inlineStr">
        <is>
          <t>project; group; employer; status</t>
        </is>
      </c>
      <c r="F345" s="77" t="inlineStr">
        <is>
          <t>https://www.lse.ac.uk/resources/calendar2025-2026/courseGuides/PP/2025_PP4B5.htm</t>
        </is>
      </c>
      <c r="G345" s="77" t="inlineStr">
        <is>
          <t>PP4B5 Capstone Project: MPA - Data Science for Public Policy</t>
        </is>
      </c>
      <c r="H345" s="77" t="inlineStr">
        <is>
          <t>Course guide</t>
        </is>
      </c>
      <c r="I345" s="77" t="inlineStr">
        <is>
          <t>2025/26</t>
        </is>
      </c>
      <c r="J345" s="77" t="inlineStr">
        <is>
          <t>2026-10-12</t>
        </is>
      </c>
      <c r="K345" s="77" t="inlineStr">
        <is>
          <t>search-index extract</t>
        </is>
      </c>
      <c r="L345" s="77" t="inlineStr">
        <is>
          <t>Students will undertake a group project (in teams usually of 3 to 6) for an external client; clients include public sector bodies, private sector companies, international organisations, think tanks and NGOs; client projects can be meaningfully tackled with quantitative and data science tools.</t>
        </is>
      </c>
    </row>
    <row r="346">
      <c r="A346" s="77" t="inlineStr">
        <is>
          <t>RG13-S16-R1</t>
        </is>
      </c>
      <c r="B346" s="77" t="inlineStr">
        <is>
          <t>RG13</t>
        </is>
      </c>
      <c r="C346" s="77" t="inlineStr">
        <is>
          <t>RG13-S16</t>
        </is>
      </c>
      <c r="D346" s="77" t="inlineStr">
        <is>
          <t>Executive MPP Capstone Project</t>
        </is>
      </c>
      <c r="E346" s="77" t="inlineStr">
        <is>
          <t>project; group; employer; credit; status</t>
        </is>
      </c>
      <c r="F346" s="77" t="inlineStr">
        <is>
          <t>https://www.lse.ac.uk/resources/calendar2025-2026/courseGuides/PP/2025_PP4B3E.htm</t>
        </is>
      </c>
      <c r="G346" s="77" t="inlineStr">
        <is>
          <t>PP4B3E Half Unit Executive MPP Capstone Project</t>
        </is>
      </c>
      <c r="H346" s="77" t="inlineStr">
        <is>
          <t>Course guide</t>
        </is>
      </c>
      <c r="I346" s="77" t="inlineStr">
        <is>
          <t>2025/26</t>
        </is>
      </c>
      <c r="J346" s="77" t="inlineStr">
        <is>
          <t>2026-10-12</t>
        </is>
      </c>
      <c r="K346" s="77" t="inlineStr">
        <is>
          <t>search-index extract</t>
        </is>
      </c>
      <c r="L346" s="77" t="inlineStr">
        <is>
          <t>Client is the Civil Service; teams of roughly 3 to 5 work on a public policy problem identified jointly by the Civil Service and LSE academics, over one week.</t>
        </is>
      </c>
    </row>
    <row r="347">
      <c r="A347" s="77" t="inlineStr">
        <is>
          <t>RG13-S17-R1</t>
        </is>
      </c>
      <c r="B347" s="77" t="inlineStr">
        <is>
          <t>RG13</t>
        </is>
      </c>
      <c r="C347" s="77" t="inlineStr">
        <is>
          <t>RG13-S17</t>
        </is>
      </c>
      <c r="D347" s="77" t="inlineStr">
        <is>
          <t>Philosophy, Politics and Economics: Capstone</t>
        </is>
      </c>
      <c r="E347" s="77" t="inlineStr">
        <is>
          <t>project; group; employer; credit; status; participation</t>
        </is>
      </c>
      <c r="F347" s="77" t="inlineStr">
        <is>
          <t>https://www.lse.ac.uk/resources/calendar2025-2026/courseGuides/GV/2025_GV343.htm</t>
        </is>
      </c>
      <c r="G347" s="77" t="inlineStr">
        <is>
          <t>GV343 Philosophy, Politics and Economics: Capstone</t>
        </is>
      </c>
      <c r="H347" s="77" t="inlineStr">
        <is>
          <t>Course guide</t>
        </is>
      </c>
      <c r="I347" s="77" t="inlineStr">
        <is>
          <t>2025/26</t>
        </is>
      </c>
      <c r="J347" s="77" t="inlineStr">
        <is>
          <t>2026-10-12</t>
        </is>
      </c>
      <c r="K347" s="77" t="inlineStr">
        <is>
          <t>search-index extract</t>
        </is>
      </c>
      <c r="L347" s="77" t="inlineStr">
        <is>
          <t>Requires groups of students to carry out research and analysis in order to address a practical policy issue or problem relevant to a client organisation; exclusively for fourth year BSc PPE students; clients may include public sector bodies, private companies, international organisations, think tanks and NGOs; presentation 20%, project 80%.</t>
        </is>
      </c>
    </row>
    <row r="348">
      <c r="A348" s="77" t="inlineStr">
        <is>
          <t>RG13-S17-R2</t>
        </is>
      </c>
      <c r="B348" s="77" t="inlineStr">
        <is>
          <t>RG13</t>
        </is>
      </c>
      <c r="C348" s="77" t="inlineStr">
        <is>
          <t>RG13-S17</t>
        </is>
      </c>
      <c r="D348" s="77" t="inlineStr">
        <is>
          <t>Philosophy, Politics and Economics: Capstone</t>
        </is>
      </c>
      <c r="E348" s="77" t="inlineStr">
        <is>
          <t>project; group; employer</t>
        </is>
      </c>
      <c r="F348" s="77" t="inlineStr">
        <is>
          <t>https://www.lse.ac.uk/philosophy/studying-at-the-department/bsc-philosophy-politics-and-economics-showcase</t>
        </is>
      </c>
      <c r="G348" s="77" t="inlineStr">
        <is>
          <t>BSc Philosophy, Politics and Economics Showcase</t>
        </is>
      </c>
      <c r="H348" s="77" t="inlineStr">
        <is>
          <t>Showcase page</t>
        </is>
      </c>
      <c r="I348" s="77" t="inlineStr">
        <is>
          <t>undated</t>
        </is>
      </c>
      <c r="J348" s="77" t="inlineStr">
        <is>
          <t>2026-10-12</t>
        </is>
      </c>
      <c r="K348" s="77" t="inlineStr">
        <is>
          <t>search-index extract</t>
        </is>
      </c>
      <c r="L348" s="77" t="inlineStr">
        <is>
          <t>Each team works under a faculty supervisor on a practical policy problem set by an external client over an intensive 11-week period culminating in a presentation and submission of a written report to the client.</t>
        </is>
      </c>
    </row>
    <row r="349">
      <c r="A349" s="77" t="inlineStr">
        <is>
          <t>RG13-S17-R3</t>
        </is>
      </c>
      <c r="B349" s="77" t="inlineStr">
        <is>
          <t>RG13</t>
        </is>
      </c>
      <c r="C349" s="77" t="inlineStr">
        <is>
          <t>RG13-S17</t>
        </is>
      </c>
      <c r="D349" s="77" t="inlineStr">
        <is>
          <t>Philosophy, Politics and Economics: Capstone</t>
        </is>
      </c>
      <c r="E349" s="77" t="inlineStr">
        <is>
          <t>employer</t>
        </is>
      </c>
      <c r="F349" s="77" t="inlineStr">
        <is>
          <t>https://www.lse.ac.uk/philosophy/ppe-showcase/2023-showcase/</t>
        </is>
      </c>
      <c r="G349" s="77" t="inlineStr">
        <is>
          <t>2023 Showcase</t>
        </is>
      </c>
      <c r="H349" s="77" t="inlineStr">
        <is>
          <t>Showcase</t>
        </is>
      </c>
      <c r="I349" s="77" t="inlineStr">
        <is>
          <t>2023</t>
        </is>
      </c>
      <c r="J349" s="77" t="inlineStr">
        <is>
          <t>2026-10-12</t>
        </is>
      </c>
      <c r="K349" s="77" t="inlineStr">
        <is>
          <t>search-index extract</t>
        </is>
      </c>
      <c r="L349" s="77" t="inlineStr">
        <is>
          <t>Lists named client projects, including one for Twaweza and one for Amazon Web Services.</t>
        </is>
      </c>
    </row>
    <row r="350">
      <c r="A350" s="77" t="inlineStr">
        <is>
          <t>RG13-S17-R4</t>
        </is>
      </c>
      <c r="B350" s="77" t="inlineStr">
        <is>
          <t>RG13</t>
        </is>
      </c>
      <c r="C350" s="77" t="inlineStr">
        <is>
          <t>RG13-S17</t>
        </is>
      </c>
      <c r="D350" s="77" t="inlineStr">
        <is>
          <t>Philosophy, Politics and Economics: Capstone</t>
        </is>
      </c>
      <c r="E350" s="77" t="inlineStr">
        <is>
          <t>status</t>
        </is>
      </c>
      <c r="F350" s="77" t="inlineStr">
        <is>
          <t>https://www.lse.ac.uk/philosophy/events/upcoming-events/philosophy-showcase-2026</t>
        </is>
      </c>
      <c r="G350" s="77" t="inlineStr">
        <is>
          <t>Philosophy Showcase 2026</t>
        </is>
      </c>
      <c r="H350" s="77" t="inlineStr">
        <is>
          <t>Event</t>
        </is>
      </c>
      <c r="I350" s="77" t="inlineStr">
        <is>
          <t>2026</t>
        </is>
      </c>
      <c r="J350" s="77" t="inlineStr">
        <is>
          <t>2026-10-12</t>
        </is>
      </c>
      <c r="K350" s="77" t="inlineStr">
        <is>
          <t>search-index extract</t>
        </is>
      </c>
      <c r="L350" s="77" t="inlineStr">
        <is>
          <t>Friday 8 May 2026, including Presentations of 4th Year PPE Capstone Projects.</t>
        </is>
      </c>
    </row>
    <row r="351">
      <c r="A351" s="77" t="inlineStr">
        <is>
          <t>RG13-S18-R1</t>
        </is>
      </c>
      <c r="B351" s="77" t="inlineStr">
        <is>
          <t>RG13</t>
        </is>
      </c>
      <c r="C351" s="77" t="inlineStr">
        <is>
          <t>RG13-S18</t>
        </is>
      </c>
      <c r="D351" s="77" t="inlineStr">
        <is>
          <t>International Development Consultancy Projects</t>
        </is>
      </c>
      <c r="E351" s="77" t="inlineStr">
        <is>
          <t>project; group; employer</t>
        </is>
      </c>
      <c r="F351" s="77" t="inlineStr">
        <is>
          <t>https://www.lse.ac.uk/international-development/study/consultancy-projects</t>
        </is>
      </c>
      <c r="G351" s="77" t="inlineStr">
        <is>
          <t>International Development Consultancy Project</t>
        </is>
      </c>
      <c r="H351" s="77" t="inlineStr">
        <is>
          <t>Department page</t>
        </is>
      </c>
      <c r="I351" s="77" t="inlineStr">
        <is>
          <t>undated</t>
        </is>
      </c>
      <c r="J351" s="77" t="inlineStr">
        <is>
          <t>2026-10-12</t>
        </is>
      </c>
      <c r="K351" s="77" t="inlineStr">
        <is>
          <t>search-index extract</t>
        </is>
      </c>
      <c r="L351" s="77" t="inlineStr">
        <is>
          <t>Working in teams of 3-5, students produce a report for a client that deals with a problem of theory or practice relevant to the client's activities; clients submit an initial proposal or draft Terms of Reference; past clients include DfID, UNOCHA, the World Bank, UNDP, UNICEF, UNHCR, NATO, the UK Foreign Office, CARE, Oxfam, MSF, The Fairtrade Foundation, Shell Oil and Wedu.</t>
        </is>
      </c>
    </row>
    <row r="352">
      <c r="A352" s="77" t="inlineStr">
        <is>
          <t>RG13-S18-R2</t>
        </is>
      </c>
      <c r="B352" s="77" t="inlineStr">
        <is>
          <t>RG13</t>
        </is>
      </c>
      <c r="C352" s="77" t="inlineStr">
        <is>
          <t>RG13-S18</t>
        </is>
      </c>
      <c r="D352" s="77" t="inlineStr">
        <is>
          <t>International Development Consultancy Projects</t>
        </is>
      </c>
      <c r="E352" s="77" t="inlineStr">
        <is>
          <t>credit; group</t>
        </is>
      </c>
      <c r="F352" s="77" t="inlineStr">
        <is>
          <t>https://www.lse.ac.uk/international-development/study/assessment-information</t>
        </is>
      </c>
      <c r="G352" s="77" t="inlineStr">
        <is>
          <t>Assessment Information</t>
        </is>
      </c>
      <c r="H352" s="77" t="inlineStr">
        <is>
          <t>Department page</t>
        </is>
      </c>
      <c r="I352" s="77" t="inlineStr">
        <is>
          <t>undated</t>
        </is>
      </c>
      <c r="J352" s="77" t="inlineStr">
        <is>
          <t>2026-10-12</t>
        </is>
      </c>
      <c r="K352" s="77" t="inlineStr">
        <is>
          <t>search-index extract</t>
        </is>
      </c>
      <c r="L352" s="77" t="inlineStr">
        <is>
          <t>Consultancy projects: group project and report (80%), reflective learning report (10%), group presentation (10%) in Winter Term.</t>
        </is>
      </c>
    </row>
    <row r="353">
      <c r="A353" s="77" t="inlineStr">
        <is>
          <t>RG13-S19-R1</t>
        </is>
      </c>
      <c r="B353" s="77" t="inlineStr">
        <is>
          <t>RG13</t>
        </is>
      </c>
      <c r="C353" s="77" t="inlineStr">
        <is>
          <t>RG13-S19</t>
        </is>
      </c>
      <c r="D353" s="77" t="inlineStr">
        <is>
          <t>Development Management Consultancy Project</t>
        </is>
      </c>
      <c r="E353" s="77" t="inlineStr">
        <is>
          <t>project; group; employer; credit; status; participation</t>
        </is>
      </c>
      <c r="F353" s="77" t="inlineStr">
        <is>
          <t>https://www.lse.ac.uk/resources/calendar2025-2026/courseGuides/DV/2025_DV443.htm</t>
        </is>
      </c>
      <c r="G353" s="77" t="inlineStr">
        <is>
          <t>DV443 Development Management Consultancy Project</t>
        </is>
      </c>
      <c r="H353" s="77" t="inlineStr">
        <is>
          <t>Course guide</t>
        </is>
      </c>
      <c r="I353" s="77" t="inlineStr">
        <is>
          <t>2025/26</t>
        </is>
      </c>
      <c r="J353" s="77" t="inlineStr">
        <is>
          <t>2026-10-12</t>
        </is>
      </c>
      <c r="K353" s="77" t="inlineStr">
        <is>
          <t>search-index extract</t>
        </is>
      </c>
      <c r="L353" s="77" t="inlineStr">
        <is>
          <t>Students gain practical experience by working as part of a team on a live consultancy project for a real client, teams usually between three and six, using client-provided Terms of Reference; client reports due in Winter Term; final client presentations; Total students 2024/25: 101; compulsory on MSc Development Management (Applied Development Economics).</t>
        </is>
      </c>
    </row>
    <row r="354">
      <c r="A354" s="77" t="inlineStr">
        <is>
          <t>RG13-S20-R1</t>
        </is>
      </c>
      <c r="B354" s="77" t="inlineStr">
        <is>
          <t>RG13</t>
        </is>
      </c>
      <c r="C354" s="77" t="inlineStr">
        <is>
          <t>RG13-S20</t>
        </is>
      </c>
      <c r="D354" s="77" t="inlineStr">
        <is>
          <t>Health and International Development Consultancy Project</t>
        </is>
      </c>
      <c r="E354" s="77" t="inlineStr">
        <is>
          <t>eligibility; status; project</t>
        </is>
      </c>
      <c r="F354" s="77" t="inlineStr">
        <is>
          <t>https://www.lse.ac.uk/resources/calendar/courseGuides/DV/2025_DV453.htm</t>
        </is>
      </c>
      <c r="G354" s="77" t="inlineStr">
        <is>
          <t>DV453 Health and International Development Consultancy Project</t>
        </is>
      </c>
      <c r="H354" s="77" t="inlineStr">
        <is>
          <t>Course guide</t>
        </is>
      </c>
      <c r="I354" s="77" t="inlineStr">
        <is>
          <t>2025/26</t>
        </is>
      </c>
      <c r="J354" s="77" t="inlineStr">
        <is>
          <t>2026-10-12</t>
        </is>
      </c>
      <c r="K354" s="77" t="inlineStr">
        <is>
          <t>search-index extract</t>
        </is>
      </c>
      <c r="L354" s="77" t="inlineStr">
        <is>
          <t>Half unit; open to MSc Development Studies and MSc Health and International Development students only; controlled access; Health and International Development students guaranteed a place.</t>
        </is>
      </c>
    </row>
    <row r="355">
      <c r="A355" s="77" t="inlineStr">
        <is>
          <t>RG13-S20-R2</t>
        </is>
      </c>
      <c r="B355" s="77" t="inlineStr">
        <is>
          <t>RG13</t>
        </is>
      </c>
      <c r="C355" s="77" t="inlineStr">
        <is>
          <t>RG13-S20</t>
        </is>
      </c>
      <c r="D355" s="77" t="inlineStr">
        <is>
          <t>Health and International Development Consultancy Project</t>
        </is>
      </c>
      <c r="E355" s="77" t="inlineStr">
        <is>
          <t>project; credit; status</t>
        </is>
      </c>
      <c r="F355" s="77" t="inlineStr">
        <is>
          <t>https://www.lse.ac.uk/resources/calendar/courseGuides/DV/2026_DV453.htm</t>
        </is>
      </c>
      <c r="G355" s="77" t="inlineStr">
        <is>
          <t>DV453 Health and International Development Consultancy Project</t>
        </is>
      </c>
      <c r="H355" s="77" t="inlineStr">
        <is>
          <t>Course guide</t>
        </is>
      </c>
      <c r="I355" s="77" t="inlineStr">
        <is>
          <t>2026/27</t>
        </is>
      </c>
      <c r="J355" s="77" t="inlineStr">
        <is>
          <t>2026-10-12</t>
        </is>
      </c>
      <c r="K355" s="77" t="inlineStr">
        <is>
          <t>search-index extract</t>
        </is>
      </c>
      <c r="L355" s="77" t="inlineStr">
        <is>
          <t>Assessment: report (80%, 8000 words), presentation (10%), learning log (10%).</t>
        </is>
      </c>
    </row>
    <row r="356">
      <c r="A356" s="77" t="inlineStr">
        <is>
          <t>RG13-S20-R3</t>
        </is>
      </c>
      <c r="B356" s="77" t="inlineStr">
        <is>
          <t>RG13</t>
        </is>
      </c>
      <c r="C356" s="77" t="inlineStr">
        <is>
          <t>RG13-S20</t>
        </is>
      </c>
      <c r="D356" s="77" t="inlineStr">
        <is>
          <t>Health and International Development Consultancy Project</t>
        </is>
      </c>
      <c r="E356" s="77" t="inlineStr">
        <is>
          <t>group; employer</t>
        </is>
      </c>
      <c r="F356" s="77" t="inlineStr">
        <is>
          <t>https://www.lse.ac.uk/international-development/study/consultancy-projects</t>
        </is>
      </c>
      <c r="G356" s="77" t="inlineStr">
        <is>
          <t>International Development Consultancy Project</t>
        </is>
      </c>
      <c r="H356" s="77" t="inlineStr">
        <is>
          <t>Department page (covers the department's consultancy courses)</t>
        </is>
      </c>
      <c r="I356" s="77" t="inlineStr">
        <is>
          <t>undated</t>
        </is>
      </c>
      <c r="J356" s="77" t="inlineStr">
        <is>
          <t>2026-10-12</t>
        </is>
      </c>
      <c r="K356" s="77" t="inlineStr">
        <is>
          <t>search-index extract</t>
        </is>
      </c>
      <c r="L356" s="77" t="inlineStr">
        <is>
          <t>Working in teams of 3-5, students produce a report for a client; clients submit an initial proposal or draft Terms of Reference.</t>
        </is>
      </c>
    </row>
    <row r="357">
      <c r="A357" s="77" t="inlineStr">
        <is>
          <t>RG13-S21-R1</t>
        </is>
      </c>
      <c r="B357" s="77" t="inlineStr">
        <is>
          <t>RG13</t>
        </is>
      </c>
      <c r="C357" s="77" t="inlineStr">
        <is>
          <t>RG13-S21</t>
        </is>
      </c>
      <c r="D357" s="77" t="inlineStr">
        <is>
          <t>Humanitarian Consultancy Project</t>
        </is>
      </c>
      <c r="E357" s="77" t="inlineStr">
        <is>
          <t>project; employer; participation; status</t>
        </is>
      </c>
      <c r="F357" s="77" t="inlineStr">
        <is>
          <t>https://www.lse.ac.uk/resources/calendar2025-2026/courseGuides/DV/2025_DV466.htm</t>
        </is>
      </c>
      <c r="G357" s="77" t="inlineStr">
        <is>
          <t>DV466 Half Unit Humanitarian Consultancy Project</t>
        </is>
      </c>
      <c r="H357" s="77" t="inlineStr">
        <is>
          <t>Course guide</t>
        </is>
      </c>
      <c r="I357" s="77" t="inlineStr">
        <is>
          <t>2025/26</t>
        </is>
      </c>
      <c r="J357" s="77" t="inlineStr">
        <is>
          <t>2026-10-12</t>
        </is>
      </c>
      <c r="K357" s="77" t="inlineStr">
        <is>
          <t>search-index extract</t>
        </is>
      </c>
      <c r="L357" s="77" t="inlineStr">
        <is>
          <t>Compulsory on the MSc in International Development and Humanitarian Emergencies; working on a live consultancy project for a real client.</t>
        </is>
      </c>
    </row>
    <row r="358">
      <c r="A358" s="77" t="inlineStr">
        <is>
          <t>RG13-S21-R2</t>
        </is>
      </c>
      <c r="B358" s="77" t="inlineStr">
        <is>
          <t>RG13</t>
        </is>
      </c>
      <c r="C358" s="77" t="inlineStr">
        <is>
          <t>RG13-S21</t>
        </is>
      </c>
      <c r="D358" s="77" t="inlineStr">
        <is>
          <t>Humanitarian Consultancy Project</t>
        </is>
      </c>
      <c r="E358" s="77" t="inlineStr">
        <is>
          <t>participation; credit</t>
        </is>
      </c>
      <c r="F358" s="77" t="inlineStr">
        <is>
          <t>https://www.lse.ac.uk/resources/calendar2025-2026/programmeRegulations/taughtMasters/2025/MScInternationalDevelopmentAndHumanitarianEmergencies.htm</t>
        </is>
      </c>
      <c r="G358" s="77" t="inlineStr">
        <is>
          <t>MSc in International Development and Humanitarian Emergencies regulations</t>
        </is>
      </c>
      <c r="H358" s="77" t="inlineStr">
        <is>
          <t>Paper 2</t>
        </is>
      </c>
      <c r="I358" s="77" t="inlineStr">
        <is>
          <t>2025/26</t>
        </is>
      </c>
      <c r="J358" s="77" t="inlineStr">
        <is>
          <t>2026-10-12</t>
        </is>
      </c>
      <c r="K358" s="77" t="inlineStr">
        <is>
          <t>search-index extract</t>
        </is>
      </c>
      <c r="L358" s="77" t="inlineStr">
        <is>
          <t>DV466 Humanitarian Consultancy Project (0.5) listed under Paper 2.</t>
        </is>
      </c>
    </row>
    <row r="359">
      <c r="A359" s="77" t="inlineStr">
        <is>
          <t>RG13-S21-R3</t>
        </is>
      </c>
      <c r="B359" s="77" t="inlineStr">
        <is>
          <t>RG13</t>
        </is>
      </c>
      <c r="C359" s="77" t="inlineStr">
        <is>
          <t>RG13-S21</t>
        </is>
      </c>
      <c r="D359" s="77" t="inlineStr">
        <is>
          <t>Humanitarian Consultancy Project</t>
        </is>
      </c>
      <c r="E359" s="77" t="inlineStr">
        <is>
          <t>project; group; employer</t>
        </is>
      </c>
      <c r="F359" s="77" t="inlineStr">
        <is>
          <t>https://www.lse.ac.uk/study-at-lse/graduate/msc-international-development-and-humanitarian-emergencies</t>
        </is>
      </c>
      <c r="G359" s="77" t="inlineStr">
        <is>
          <t>MSc International Development and Humanitarian Emergencies</t>
        </is>
      </c>
      <c r="H359" s="77" t="inlineStr">
        <is>
          <t>Programme page</t>
        </is>
      </c>
      <c r="I359" s="77" t="inlineStr">
        <is>
          <t>undated</t>
        </is>
      </c>
      <c r="J359" s="77" t="inlineStr">
        <is>
          <t>2026-10-12</t>
        </is>
      </c>
      <c r="K359" s="77" t="inlineStr">
        <is>
          <t>search-index extract</t>
        </is>
      </c>
      <c r="L359" s="77" t="inlineStr">
        <is>
          <t>Humanitarian consultancy project where you'll work in a small team on a current policy issue for a humanitarian, development, or emergency-based organisation; clients include UNICEF, UNHCR, the ICRC, Save the Children and others.</t>
        </is>
      </c>
    </row>
    <row r="360">
      <c r="A360" s="77" t="inlineStr">
        <is>
          <t>RG13-S22-R1</t>
        </is>
      </c>
      <c r="B360" s="77" t="inlineStr">
        <is>
          <t>RG13</t>
        </is>
      </c>
      <c r="C360" s="77" t="inlineStr">
        <is>
          <t>RG13-S22</t>
        </is>
      </c>
      <c r="D360" s="77" t="inlineStr">
        <is>
          <t>Urban Policy and Planning (applied consultancy project)</t>
        </is>
      </c>
      <c r="E360" s="77" t="inlineStr">
        <is>
          <t>project; group; employer; status</t>
        </is>
      </c>
      <c r="F360" s="77" t="inlineStr">
        <is>
          <t>https://www.lse.ac.uk/resources/calendar/courseGuides/GY/2026_GY454.htm</t>
        </is>
      </c>
      <c r="G360" s="77" t="inlineStr">
        <is>
          <t>GY454 Urban Policy and Planning</t>
        </is>
      </c>
      <c r="H360" s="77" t="inlineStr">
        <is>
          <t>Course guide</t>
        </is>
      </c>
      <c r="I360" s="77" t="inlineStr">
        <is>
          <t>2026/27</t>
        </is>
      </c>
      <c r="J360" s="77" t="inlineStr">
        <is>
          <t>2026-10-12</t>
        </is>
      </c>
      <c r="K360" s="77" t="inlineStr">
        <is>
          <t>search-index extract</t>
        </is>
      </c>
      <c r="L360" s="77" t="inlineStr">
        <is>
          <t>Applied consultancy project is the centrepiece of assessment; working in teams, students act as professional planning consultants responding to a live or archival planning brief set by a typical type of client; assessment includes an element of group work.</t>
        </is>
      </c>
    </row>
    <row r="361">
      <c r="A361" s="77" t="inlineStr">
        <is>
          <t>RG13-S23-R1</t>
        </is>
      </c>
      <c r="B361" s="77" t="inlineStr">
        <is>
          <t>RG13</t>
        </is>
      </c>
      <c r="C361" s="77" t="inlineStr">
        <is>
          <t>RG13-S23</t>
        </is>
      </c>
      <c r="D361" s="77" t="inlineStr">
        <is>
          <t>LSE Legal Advice Centre Sustainability Clinic</t>
        </is>
      </c>
      <c r="E361" s="77" t="inlineStr">
        <is>
          <t>project; group; employer; eligibility</t>
        </is>
      </c>
      <c r="F361" s="77" t="inlineStr">
        <is>
          <t>https://www.lse.ac.uk/law/legal-advice-centre/sustainability-and-the-rule-of-law</t>
        </is>
      </c>
      <c r="G361" s="77" t="inlineStr">
        <is>
          <t>Sustainability and the Rule of Law</t>
        </is>
      </c>
      <c r="H361" s="77" t="inlineStr">
        <is>
          <t>LAC projects page</t>
        </is>
      </c>
      <c r="I361" s="77" t="inlineStr">
        <is>
          <t>undated</t>
        </is>
      </c>
      <c r="J361" s="77" t="inlineStr">
        <is>
          <t>2026-10-12</t>
        </is>
      </c>
      <c r="K361" s="77" t="inlineStr">
        <is>
          <t>search-index extract</t>
        </is>
      </c>
      <c r="L361" s="77" t="inlineStr">
        <is>
          <t>Groups ECtHR Intervention Clinic, Sustainability Clinic and Policy Clinic; Sustainability Clinic offers approximately 20 students from the LLB, BA in Anthropology and Law, LLM and various Master's programmes the opportunity to work on ecological issues; students work in collaborative teams drafting policy reports for environmental NGOs and charities, memos to UN Special Rapporteurs and amicus curiae briefs.</t>
        </is>
      </c>
    </row>
    <row r="362">
      <c r="A362" s="77" t="inlineStr">
        <is>
          <t>RG13-S23-R2</t>
        </is>
      </c>
      <c r="B362" s="77" t="inlineStr">
        <is>
          <t>RG13</t>
        </is>
      </c>
      <c r="C362" s="77" t="inlineStr">
        <is>
          <t>RG13-S23</t>
        </is>
      </c>
      <c r="D362" s="77" t="inlineStr">
        <is>
          <t>LSE Legal Advice Centre Sustainability Clinic</t>
        </is>
      </c>
      <c r="E362" s="77" t="inlineStr">
        <is>
          <t>project; employer</t>
        </is>
      </c>
      <c r="F362" s="77" t="inlineStr">
        <is>
          <t>https://www.lse.ac.uk/law/gsos/clinic/client-earth</t>
        </is>
      </c>
      <c r="G362" s="77" t="inlineStr">
        <is>
          <t>Banks, Financed Emissions, and the Road to Climate Accountability</t>
        </is>
      </c>
      <c r="H362" s="77" t="inlineStr">
        <is>
          <t>Clinic project page</t>
        </is>
      </c>
      <c r="I362" s="77" t="inlineStr">
        <is>
          <t>undated</t>
        </is>
      </c>
      <c r="J362" s="77" t="inlineStr">
        <is>
          <t>2026-10-12</t>
        </is>
      </c>
      <c r="K362" s="77" t="inlineStr">
        <is>
          <t>search-index extract</t>
        </is>
      </c>
      <c r="L362" s="77" t="inlineStr">
        <is>
          <t>Collaboration with ClientEarth's Accountable Finance team; students produced the report and presented it to an expert panel; weekly training from LSE experts and ClientEarth specialists.</t>
        </is>
      </c>
    </row>
    <row r="363">
      <c r="A363" s="77" t="inlineStr">
        <is>
          <t>RG13-S24-R1</t>
        </is>
      </c>
      <c r="B363" s="77" t="inlineStr">
        <is>
          <t>RG13</t>
        </is>
      </c>
      <c r="C363" s="77" t="inlineStr">
        <is>
          <t>RG13-S24</t>
        </is>
      </c>
      <c r="D363" s="77" t="inlineStr">
        <is>
          <t>ECtHR Intervention Clinic</t>
        </is>
      </c>
      <c r="E363" s="77" t="inlineStr">
        <is>
          <t>project; employer; eligibility</t>
        </is>
      </c>
      <c r="F363" s="77" t="inlineStr">
        <is>
          <t>https://www.lse.ac.uk/law/study/llm/echr-clinic-llm</t>
        </is>
      </c>
      <c r="G363" s="77" t="inlineStr">
        <is>
          <t>ECtHR Intervention Clinic</t>
        </is>
      </c>
      <c r="H363" s="77" t="inlineStr">
        <is>
          <t>LLM page</t>
        </is>
      </c>
      <c r="I363" s="77" t="inlineStr">
        <is>
          <t>undated</t>
        </is>
      </c>
      <c r="J363" s="77" t="inlineStr">
        <is>
          <t>2026-10-12</t>
        </is>
      </c>
      <c r="K363" s="77" t="inlineStr">
        <is>
          <t>search-index extract</t>
        </is>
      </c>
      <c r="L363" s="77" t="inlineStr">
        <is>
          <t>Run by Dr Martin Husovec with the European Information Society Institute (EISi); extra-curricular activity intervening before the Court in cases involving digital liberties; third party interventions are often cited by the Strasbourg court.</t>
        </is>
      </c>
    </row>
    <row r="364">
      <c r="A364" s="77" t="inlineStr">
        <is>
          <t>RG13-S24-R2</t>
        </is>
      </c>
      <c r="B364" s="77" t="inlineStr">
        <is>
          <t>RG13</t>
        </is>
      </c>
      <c r="C364" s="77" t="inlineStr">
        <is>
          <t>RG13-S24</t>
        </is>
      </c>
      <c r="D364" s="77" t="inlineStr">
        <is>
          <t>ECtHR Intervention Clinic</t>
        </is>
      </c>
      <c r="E364" s="77" t="inlineStr">
        <is>
          <t>group; project</t>
        </is>
      </c>
      <c r="F364" s="77" t="inlineStr">
        <is>
          <t>https://www.lse.ac.uk/law/news/2021/echr-clinic</t>
        </is>
      </c>
      <c r="G364" s="77" t="inlineStr">
        <is>
          <t>LSE Law Students Intervene Before the European Court of Human Rights</t>
        </is>
      </c>
      <c r="H364" s="77" t="inlineStr">
        <is>
          <t>News</t>
        </is>
      </c>
      <c r="I364" s="77" t="inlineStr">
        <is>
          <t>2021</t>
        </is>
      </c>
      <c r="J364" s="77" t="inlineStr">
        <is>
          <t>2026-10-12</t>
        </is>
      </c>
      <c r="K364" s="77" t="inlineStr">
        <is>
          <t>search-index extract</t>
        </is>
      </c>
      <c r="L364" s="77" t="inlineStr">
        <is>
          <t>Brief prepared by five LLM students for Podchasov v Russia.</t>
        </is>
      </c>
    </row>
    <row r="365">
      <c r="A365" s="77" t="inlineStr">
        <is>
          <t>RG14-S01-R1</t>
        </is>
      </c>
      <c r="B365" s="77" t="inlineStr">
        <is>
          <t>RG14</t>
        </is>
      </c>
      <c r="C365" s="77" t="inlineStr">
        <is>
          <t>RG14-S01</t>
        </is>
      </c>
      <c r="D365" s="77" t="inlineStr">
        <is>
          <t>Full-time MBA live client consultancy projects</t>
        </is>
      </c>
      <c r="E365" s="77" t="inlineStr">
        <is>
          <t>project; group; employer; participation; status</t>
        </is>
      </c>
      <c r="F365" s="77" t="inlineStr">
        <is>
          <t>https://www.manchester.ac.uk/study/masters/courses/list/01039/mba-manchester-full-time-mba/course-details/</t>
        </is>
      </c>
      <c r="G365" s="77" t="inlineStr">
        <is>
          <t>MBA Manchester Full-Time MBA - course details (2027 entry)</t>
        </is>
      </c>
      <c r="H365" s="77" t="inlineStr">
        <is>
          <t>Course details</t>
        </is>
      </c>
      <c r="I365" s="77" t="inlineStr">
        <is>
          <t>2027 entry</t>
        </is>
      </c>
      <c r="J365" s="77" t="inlineStr">
        <is>
          <t>2026-10-12</t>
        </is>
      </c>
      <c r="K365" s="77" t="inlineStr">
        <is>
          <t>search-summary paraphrase</t>
        </is>
      </c>
      <c r="L365" s="77" t="inlineStr">
        <is>
          <t>Core programme challenges students to take on three group consultancy projects with real clients; International Business Consultancy Project is the final one, acting as consultants for businesses with a complex international challenge or opportunity.</t>
        </is>
      </c>
    </row>
    <row r="366">
      <c r="A366" s="77" t="inlineStr">
        <is>
          <t>RG14-S01-R2</t>
        </is>
      </c>
      <c r="B366" s="77" t="inlineStr">
        <is>
          <t>RG14</t>
        </is>
      </c>
      <c r="C366" s="77" t="inlineStr">
        <is>
          <t>RG14-S01</t>
        </is>
      </c>
      <c r="D366" s="77" t="inlineStr">
        <is>
          <t>Full-time MBA live client consultancy projects</t>
        </is>
      </c>
      <c r="E366" s="77" t="inlineStr">
        <is>
          <t>project; employer; duration</t>
        </is>
      </c>
      <c r="F366" s="77" t="inlineStr">
        <is>
          <t>https://www.alliancembs.manchester.ac.uk/study/mba/full-time-mba/</t>
        </is>
      </c>
      <c r="G366" s="77" t="inlineStr">
        <is>
          <t>Full-Time MBA in Manchester</t>
        </is>
      </c>
      <c r="H366" s="77" t="inlineStr">
        <is>
          <t>Programme structure / live client projects</t>
        </is>
      </c>
      <c r="I366" s="77" t="inlineStr">
        <is>
          <t>undated</t>
        </is>
      </c>
      <c r="J366" s="77" t="inlineStr">
        <is>
          <t>2026-10-12</t>
        </is>
      </c>
      <c r="K366" s="77" t="inlineStr">
        <is>
          <t>search-summary paraphrase</t>
        </is>
      </c>
      <c r="L366" s="77" t="inlineStr">
        <is>
          <t>Current page lists first-year Social Impact Project, Mergers and Acquisitions Project and Strategic Innovation Consultancy Project, with the International Business Consultancy Project in the final months; gives Social Impact Project as 150 hours of live client experience.</t>
        </is>
      </c>
    </row>
    <row r="367">
      <c r="A367" s="77" t="inlineStr">
        <is>
          <t>RG14-S01-R3</t>
        </is>
      </c>
      <c r="B367" s="77" t="inlineStr">
        <is>
          <t>RG14</t>
        </is>
      </c>
      <c r="C367" s="77" t="inlineStr">
        <is>
          <t>RG14-S01</t>
        </is>
      </c>
      <c r="D367" s="77" t="inlineStr">
        <is>
          <t>Full-time MBA live client consultancy projects</t>
        </is>
      </c>
      <c r="E367" s="77" t="inlineStr">
        <is>
          <t>project; group; employer</t>
        </is>
      </c>
      <c r="F367" s="77" t="inlineStr">
        <is>
          <t>https://www.alliancembs.manchester.ac.uk/collaborate/access-student-talent/consultancy-projects/mba-consultancy/</t>
        </is>
      </c>
      <c r="G367" s="77" t="inlineStr">
        <is>
          <t>MBA Consultancy</t>
        </is>
      </c>
      <c r="H367" s="77" t="inlineStr">
        <is>
          <t>Overview (partner-facing)</t>
        </is>
      </c>
      <c r="I367" s="77" t="inlineStr">
        <is>
          <t>undated</t>
        </is>
      </c>
      <c r="J367" s="77" t="inlineStr">
        <is>
          <t>2026-10-12</t>
        </is>
      </c>
      <c r="K367" s="77" t="inlineStr">
        <is>
          <t>search-summary paraphrase</t>
        </is>
      </c>
      <c r="L367" s="77" t="inlineStr">
        <is>
          <t>Describes the Full-time MBA as three consultancy projects of increasing complexity in which MBAs work in multinational groups as external consultants (search summary; attribution to this page probable but not certain).</t>
        </is>
      </c>
    </row>
    <row r="368">
      <c r="A368" s="77" t="inlineStr">
        <is>
          <t>RG14-S02-R1</t>
        </is>
      </c>
      <c r="B368" s="77" t="inlineStr">
        <is>
          <t>RG14</t>
        </is>
      </c>
      <c r="C368" s="77" t="inlineStr">
        <is>
          <t>RG14-S02</t>
        </is>
      </c>
      <c r="D368" s="77" t="inlineStr">
        <is>
          <t>International Business Consultancy Project (International Business Project, IBP)</t>
        </is>
      </c>
      <c r="E368" s="77" t="inlineStr">
        <is>
          <t>project; group; employer; participation; status</t>
        </is>
      </c>
      <c r="F368" s="77" t="inlineStr">
        <is>
          <t>https://www.manchester.ac.uk/study/masters/courses/list/01039/mba-manchester-full-time-mba/course-details/</t>
        </is>
      </c>
      <c r="G368" s="77" t="inlineStr">
        <is>
          <t>MBA Manchester Full-Time MBA - course details (2027 entry)</t>
        </is>
      </c>
      <c r="H368" s="77" t="inlineStr">
        <is>
          <t>Course details</t>
        </is>
      </c>
      <c r="I368" s="77" t="inlineStr">
        <is>
          <t>2027 entry</t>
        </is>
      </c>
      <c r="J368" s="77" t="inlineStr">
        <is>
          <t>2026-10-12</t>
        </is>
      </c>
      <c r="K368" s="77" t="inlineStr">
        <is>
          <t>search-summary paraphrase</t>
        </is>
      </c>
      <c r="L368" s="77" t="inlineStr">
        <is>
          <t>Core programme challenges students to take on three group consultancy projects with real clients; International Business Consultancy Project is the final one, acting as consultants for businesses with a complex international challenge or opportunity.</t>
        </is>
      </c>
    </row>
    <row r="369">
      <c r="A369" s="77" t="inlineStr">
        <is>
          <t>RG14-S02-R2</t>
        </is>
      </c>
      <c r="B369" s="77" t="inlineStr">
        <is>
          <t>RG14</t>
        </is>
      </c>
      <c r="C369" s="77" t="inlineStr">
        <is>
          <t>RG14-S02</t>
        </is>
      </c>
      <c r="D369" s="77" t="inlineStr">
        <is>
          <t>International Business Consultancy Project (International Business Project, IBP)</t>
        </is>
      </c>
      <c r="E369" s="77" t="inlineStr">
        <is>
          <t>project; group; employer</t>
        </is>
      </c>
      <c r="F369" s="77" t="inlineStr">
        <is>
          <t>https://www.alliancembs.manchester.ac.uk/collaborate/access-student-talent/projects-and-internships/mba-consultancy/international-business-project/</t>
        </is>
      </c>
      <c r="G369" s="77" t="inlineStr">
        <is>
          <t>International Business Project</t>
        </is>
      </c>
      <c r="H369" s="77" t="inlineStr">
        <is>
          <t>Partner-facing description</t>
        </is>
      </c>
      <c r="I369" s="77" t="inlineStr">
        <is>
          <t>undated</t>
        </is>
      </c>
      <c r="J369" s="77" t="inlineStr">
        <is>
          <t>2026-10-12</t>
        </is>
      </c>
      <c r="K369" s="77" t="inlineStr">
        <is>
          <t>search-summary paraphrase</t>
        </is>
      </c>
      <c r="L369" s="77" t="inlineStr">
        <is>
          <t>Teams of five to six bid for projects from a range of clients, beginning with pitches to senior executives; AMBS values a project at £90k-£100k equivalent consultancy fees with more than 2,000 hours of intensive work from five MBAs.</t>
        </is>
      </c>
    </row>
    <row r="370">
      <c r="A370" s="77" t="inlineStr">
        <is>
          <t>RG14-S02-R3</t>
        </is>
      </c>
      <c r="B370" s="77" t="inlineStr">
        <is>
          <t>RG14</t>
        </is>
      </c>
      <c r="C370" s="77" t="inlineStr">
        <is>
          <t>RG14-S02</t>
        </is>
      </c>
      <c r="D370" s="77" t="inlineStr">
        <is>
          <t>International Business Consultancy Project (International Business Project, IBP)</t>
        </is>
      </c>
      <c r="E370" s="77" t="inlineStr">
        <is>
          <t>project; employer</t>
        </is>
      </c>
      <c r="F370" s="77" t="inlineStr">
        <is>
          <t>https://www.alliancembs.manchester.ac.uk/blogs/the-international-business-mba-project-real-world-consulting-with-global-impact/</t>
        </is>
      </c>
      <c r="G370" s="77" t="inlineStr">
        <is>
          <t>The International Business MBA Project: Real-World Consulting with Global Impact</t>
        </is>
      </c>
      <c r="H370" s="77" t="inlineStr">
        <is>
          <t>Blog</t>
        </is>
      </c>
      <c r="I370" s="77" t="inlineStr">
        <is>
          <t>undated</t>
        </is>
      </c>
      <c r="J370" s="77" t="inlineStr">
        <is>
          <t>2026-10-12</t>
        </is>
      </c>
      <c r="K370" s="77" t="inlineStr">
        <is>
          <t>search-summary paraphrase</t>
        </is>
      </c>
      <c r="L370" s="77" t="inlineStr">
        <is>
          <t>Student account of acting as consultants for a business with a complex international challenge; example project for a Singapore seafood company on go-to-market strategy; LAD Bible Group named as a past client.</t>
        </is>
      </c>
    </row>
    <row r="371">
      <c r="A371" s="77" t="inlineStr">
        <is>
          <t>RG14-S03-R1</t>
        </is>
      </c>
      <c r="B371" s="77" t="inlineStr">
        <is>
          <t>RG14</t>
        </is>
      </c>
      <c r="C371" s="77" t="inlineStr">
        <is>
          <t>RG14-S03</t>
        </is>
      </c>
      <c r="D371" s="77" t="inlineStr">
        <is>
          <t>Social Impact Project (formerly Not-for-Profit project)</t>
        </is>
      </c>
      <c r="E371" s="77" t="inlineStr">
        <is>
          <t>project; group; employer; participation; status</t>
        </is>
      </c>
      <c r="F371" s="77" t="inlineStr">
        <is>
          <t>https://www.manchester.ac.uk/study/masters/courses/list/01039/mba-manchester-full-time-mba/course-details/</t>
        </is>
      </c>
      <c r="G371" s="77" t="inlineStr">
        <is>
          <t>MBA Manchester Full-Time MBA - course details (2027 entry)</t>
        </is>
      </c>
      <c r="H371" s="77" t="inlineStr">
        <is>
          <t>Course details</t>
        </is>
      </c>
      <c r="I371" s="77" t="inlineStr">
        <is>
          <t>2027 entry</t>
        </is>
      </c>
      <c r="J371" s="77" t="inlineStr">
        <is>
          <t>2026-10-12</t>
        </is>
      </c>
      <c r="K371" s="77" t="inlineStr">
        <is>
          <t>search-summary paraphrase</t>
        </is>
      </c>
      <c r="L371" s="77" t="inlineStr">
        <is>
          <t>Core programme challenges students to take on three group consultancy projects with real clients; International Business Consultancy Project is the final one, acting as consultants for businesses with a complex international challenge or opportunity.</t>
        </is>
      </c>
    </row>
    <row r="372">
      <c r="A372" s="77" t="inlineStr">
        <is>
          <t>RG14-S03-R2</t>
        </is>
      </c>
      <c r="B372" s="77" t="inlineStr">
        <is>
          <t>RG14</t>
        </is>
      </c>
      <c r="C372" s="77" t="inlineStr">
        <is>
          <t>RG14-S03</t>
        </is>
      </c>
      <c r="D372" s="77" t="inlineStr">
        <is>
          <t>Social Impact Project (formerly Not-for-Profit project)</t>
        </is>
      </c>
      <c r="E372" s="77" t="inlineStr">
        <is>
          <t>project; employer; duration</t>
        </is>
      </c>
      <c r="F372" s="77" t="inlineStr">
        <is>
          <t>https://www.alliancembs.manchester.ac.uk/study/mba/full-time-mba/</t>
        </is>
      </c>
      <c r="G372" s="77" t="inlineStr">
        <is>
          <t>Full-Time MBA in Manchester</t>
        </is>
      </c>
      <c r="H372" s="77" t="inlineStr">
        <is>
          <t>Programme structure / live client projects</t>
        </is>
      </c>
      <c r="I372" s="77" t="inlineStr">
        <is>
          <t>undated</t>
        </is>
      </c>
      <c r="J372" s="77" t="inlineStr">
        <is>
          <t>2026-10-12</t>
        </is>
      </c>
      <c r="K372" s="77" t="inlineStr">
        <is>
          <t>search-summary paraphrase</t>
        </is>
      </c>
      <c r="L372" s="77" t="inlineStr">
        <is>
          <t>Current page lists first-year Social Impact Project, Mergers and Acquisitions Project and Strategic Innovation Consultancy Project, with the International Business Consultancy Project in the final months; gives Social Impact Project as 150 hours of live client experience.</t>
        </is>
      </c>
    </row>
    <row r="373">
      <c r="A373" s="77" t="inlineStr">
        <is>
          <t>RG14-S03-R3</t>
        </is>
      </c>
      <c r="B373" s="77" t="inlineStr">
        <is>
          <t>RG14</t>
        </is>
      </c>
      <c r="C373" s="77" t="inlineStr">
        <is>
          <t>RG14-S03</t>
        </is>
      </c>
      <c r="D373" s="77" t="inlineStr">
        <is>
          <t>Social Impact Project (formerly Not-for-Profit project)</t>
        </is>
      </c>
      <c r="E373" s="77" t="inlineStr">
        <is>
          <t>project; employer</t>
        </is>
      </c>
      <c r="F373" s="77" t="inlineStr">
        <is>
          <t>https://www.alliancembs.manchester.ac.uk/collaborate/access-student-talent/consultancy-projects/mba-consultancy/social-impact-project/</t>
        </is>
      </c>
      <c r="G373" s="77" t="inlineStr">
        <is>
          <t>Social Impact Project</t>
        </is>
      </c>
      <c r="H373" s="77" t="inlineStr">
        <is>
          <t>Partner-facing description</t>
        </is>
      </c>
      <c r="I373" s="77" t="inlineStr">
        <is>
          <t>undated</t>
        </is>
      </c>
      <c r="J373" s="77" t="inlineStr">
        <is>
          <t>2026-10-12</t>
        </is>
      </c>
      <c r="K373" s="77" t="inlineStr">
        <is>
          <t>search-summary paraphrase</t>
        </is>
      </c>
      <c r="L373" s="77" t="inlineStr">
        <is>
          <t>Project in which MBA teams work with a not-for-profit or third-sector client.</t>
        </is>
      </c>
    </row>
    <row r="374">
      <c r="A374" s="77" t="inlineStr">
        <is>
          <t>RG14-S04-R1</t>
        </is>
      </c>
      <c r="B374" s="77" t="inlineStr">
        <is>
          <t>RG14</t>
        </is>
      </c>
      <c r="C374" s="77" t="inlineStr">
        <is>
          <t>RG14-S04</t>
        </is>
      </c>
      <c r="D374" s="77" t="inlineStr">
        <is>
          <t>Commercial Business Project</t>
        </is>
      </c>
      <c r="E374" s="77" t="inlineStr">
        <is>
          <t>project; group; employer</t>
        </is>
      </c>
      <c r="F374" s="77" t="inlineStr">
        <is>
          <t>https://www.alliancembs.manchester.ac.uk/collaborate/access-student-talent/projects-and-internships/mba-consultancy/commercial-business-project/</t>
        </is>
      </c>
      <c r="G374" s="77" t="inlineStr">
        <is>
          <t>Commercial Business Project</t>
        </is>
      </c>
      <c r="H374" s="77" t="inlineStr">
        <is>
          <t>Partner-facing description</t>
        </is>
      </c>
      <c r="I374" s="77" t="inlineStr">
        <is>
          <t>undated</t>
        </is>
      </c>
      <c r="J374" s="77" t="inlineStr">
        <is>
          <t>2026-10-12</t>
        </is>
      </c>
      <c r="K374" s="77" t="inlineStr">
        <is>
          <t>search-summary paraphrase</t>
        </is>
      </c>
      <c r="L374" s="77" t="inlineStr">
        <is>
          <t>Open to any business area and any sector, UK-focused or international; the only criteria are that the business issue requires a data-driven solution and students are not required to travel outside the UK; clients see teams' bids and choose one; team presents outcomes of its research, followed by a formal report.</t>
        </is>
      </c>
    </row>
    <row r="375">
      <c r="A375" s="77" t="inlineStr">
        <is>
          <t>RG14-S04-R2</t>
        </is>
      </c>
      <c r="B375" s="77" t="inlineStr">
        <is>
          <t>RG14</t>
        </is>
      </c>
      <c r="C375" s="77" t="inlineStr">
        <is>
          <t>RG14-S04</t>
        </is>
      </c>
      <c r="D375" s="77" t="inlineStr">
        <is>
          <t>Commercial Business Project</t>
        </is>
      </c>
      <c r="E375" s="77" t="inlineStr">
        <is>
          <t>employer; status</t>
        </is>
      </c>
      <c r="F375" s="77" t="inlineStr">
        <is>
          <t>https://www.alliancembs.manchester.ac.uk/news/full-time-mba-commercial-business-project-published-report-/</t>
        </is>
      </c>
      <c r="G375" s="77" t="inlineStr">
        <is>
          <t>Full-time MBA Commercial Business Project published report</t>
        </is>
      </c>
      <c r="H375" s="77" t="inlineStr">
        <is>
          <t>News</t>
        </is>
      </c>
      <c r="I375" s="77" t="inlineStr">
        <is>
          <t>2021</t>
        </is>
      </c>
      <c r="J375" s="77" t="inlineStr">
        <is>
          <t>2026-10-12</t>
        </is>
      </c>
      <c r="K375" s="77" t="inlineStr">
        <is>
          <t>search-summary paraphrase</t>
        </is>
      </c>
      <c r="L375" s="77" t="inlineStr">
        <is>
          <t>Describes a team that worked with a not-for-profit research organisation for the Commercial Business Project.</t>
        </is>
      </c>
    </row>
    <row r="376">
      <c r="A376" s="77" t="inlineStr">
        <is>
          <t>RG14-S05-R1</t>
        </is>
      </c>
      <c r="B376" s="77" t="inlineStr">
        <is>
          <t>RG14</t>
        </is>
      </c>
      <c r="C376" s="77" t="inlineStr">
        <is>
          <t>RG14-S05</t>
        </is>
      </c>
      <c r="D376" s="77" t="inlineStr">
        <is>
          <t>MSc Business Analysis and Strategic Management client consultancy project</t>
        </is>
      </c>
      <c r="E376" s="77" t="inlineStr">
        <is>
          <t>project; employer</t>
        </is>
      </c>
      <c r="F376" s="77" t="inlineStr">
        <is>
          <t>https://www.alliancembs.manchester.ac.uk/collaborate/access-student-talent/consultancy-projects/masters-projects/</t>
        </is>
      </c>
      <c r="G376" s="77" t="inlineStr">
        <is>
          <t>Masters Projects</t>
        </is>
      </c>
      <c r="H376" s="77" t="inlineStr">
        <is>
          <t>Partner-facing page</t>
        </is>
      </c>
      <c r="I376" s="77" t="inlineStr">
        <is>
          <t>undated</t>
        </is>
      </c>
      <c r="J376" s="77" t="inlineStr">
        <is>
          <t>2026-10-12</t>
        </is>
      </c>
      <c r="K376" s="77" t="inlineStr">
        <is>
          <t>search-summary paraphrase</t>
        </is>
      </c>
      <c r="L376" s="77" t="inlineStr">
        <is>
          <t>Between May and September, MSc Business Analysis and Strategic Management students carry out client-facing projects for organisations under a faculty supervisor; sample topics: competitive strategy, wholesale market trends, supply chain analysis.</t>
        </is>
      </c>
    </row>
    <row r="377">
      <c r="A377" s="77" t="inlineStr">
        <is>
          <t>RG14-S05-R2</t>
        </is>
      </c>
      <c r="B377" s="77" t="inlineStr">
        <is>
          <t>RG14</t>
        </is>
      </c>
      <c r="C377" s="77" t="inlineStr">
        <is>
          <t>RG14-S05</t>
        </is>
      </c>
      <c r="D377" s="77" t="inlineStr">
        <is>
          <t>MSc Business Analysis and Strategic Management client consultancy project</t>
        </is>
      </c>
      <c r="E377" s="77" t="inlineStr">
        <is>
          <t>group; credit; participation; status</t>
        </is>
      </c>
      <c r="F377" s="77" t="inlineStr">
        <is>
          <t>https://www.manchester.ac.uk/study/masters/courses/list/09839/msc-business-analysis-and-strategic-management/</t>
        </is>
      </c>
      <c r="G377" s="77" t="inlineStr">
        <is>
          <t>MSc Business Analysis and Strategic Management (2027 entry)</t>
        </is>
      </c>
      <c r="H377" s="77" t="inlineStr">
        <is>
          <t>Course details</t>
        </is>
      </c>
      <c r="I377" s="77" t="inlineStr">
        <is>
          <t>2027 entry</t>
        </is>
      </c>
      <c r="J377" s="77" t="inlineStr">
        <is>
          <t>2026-10-12</t>
        </is>
      </c>
      <c r="K377" s="77" t="inlineStr">
        <is>
          <t>search-index extract (quoted)</t>
        </is>
      </c>
      <c r="L377" s="77" t="inlineStr">
        <is>
          <t>60-credit capstone: dissertation or supervised client consultancy project; 'a group project report of up to 10,000 words, plus an individual professional reflective report of up to 2,000 words'.</t>
        </is>
      </c>
    </row>
    <row r="378">
      <c r="A378" s="77" t="inlineStr">
        <is>
          <t>RG14-S05-R3</t>
        </is>
      </c>
      <c r="B378" s="77" t="inlineStr">
        <is>
          <t>RG14</t>
        </is>
      </c>
      <c r="C378" s="77" t="inlineStr">
        <is>
          <t>RG14-S05</t>
        </is>
      </c>
      <c r="D378" s="77" t="inlineStr">
        <is>
          <t>MSc Business Analysis and Strategic Management client consultancy project</t>
        </is>
      </c>
      <c r="E378" s="77" t="inlineStr">
        <is>
          <t>employer; group</t>
        </is>
      </c>
      <c r="F378" s="77" t="inlineStr">
        <is>
          <t>https://www.alliancembs.manchester.ac.uk/media/ambs/content-assets/documents/collaborate/ambs-masters-student-consultancy-projects.pdf</t>
        </is>
      </c>
      <c r="G378" s="77" t="inlineStr">
        <is>
          <t>Master's Student Consultancy Projects: A guide to how we can help your business</t>
        </is>
      </c>
      <c r="H378" s="77" t="inlineStr">
        <is>
          <t>Employer guide (PDF)</t>
        </is>
      </c>
      <c r="I378" s="77" t="inlineStr">
        <is>
          <t>undated</t>
        </is>
      </c>
      <c r="J378" s="77" t="inlineStr">
        <is>
          <t>2026-10-12</t>
        </is>
      </c>
      <c r="K378" s="77" t="inlineStr">
        <is>
          <t>search-summary paraphrase</t>
        </is>
      </c>
      <c r="L378" s="77" t="inlineStr">
        <is>
          <t>Projects are unsalaried, expenses-only; number of students and their location set by the client; timeline from discussing needs and selecting a team through interim presentations to a final presentation.</t>
        </is>
      </c>
    </row>
    <row r="379">
      <c r="A379" s="77" t="inlineStr">
        <is>
          <t>RG14-S06-R1</t>
        </is>
      </c>
      <c r="B379" s="77" t="inlineStr">
        <is>
          <t>RG14</t>
        </is>
      </c>
      <c r="C379" s="77" t="inlineStr">
        <is>
          <t>RG14-S06</t>
        </is>
      </c>
      <c r="D379" s="77" t="inlineStr">
        <is>
          <t>BSc Management final-year live consultancy project</t>
        </is>
      </c>
      <c r="E379" s="77" t="inlineStr">
        <is>
          <t>project; employer; participation; status</t>
        </is>
      </c>
      <c r="F379" s="77" t="inlineStr">
        <is>
          <t>https://www.manchester.ac.uk/study/undergraduate/courses/2026/03519/bsc-management/</t>
        </is>
      </c>
      <c r="G379" s="77" t="inlineStr">
        <is>
          <t>BSc Management (2026 entry)</t>
        </is>
      </c>
      <c r="H379" s="77" t="inlineStr">
        <is>
          <t>Course details</t>
        </is>
      </c>
      <c r="I379" s="77" t="inlineStr">
        <is>
          <t>2026 entry</t>
        </is>
      </c>
      <c r="J379" s="77" t="inlineStr">
        <is>
          <t>2026-10-12</t>
        </is>
      </c>
      <c r="K379" s="77" t="inlineStr">
        <is>
          <t>search-index extract (quoted)</t>
        </is>
      </c>
      <c r="L379" s="77" t="inlineStr">
        <is>
          <t>'Final year students will be able to choose to undertake a dissertation, work on a live consultancy project, or continue to study a combination of diverse subject areas.' 'Students working on a consultancy project will be assigned to a client company and work alongside it to implement their knowledge gained throughout the course to deliver change and implement new business processes.'</t>
        </is>
      </c>
    </row>
    <row r="380">
      <c r="A380" s="77" t="inlineStr">
        <is>
          <t>RG14-S06-R2</t>
        </is>
      </c>
      <c r="B380" s="77" t="inlineStr">
        <is>
          <t>RG14</t>
        </is>
      </c>
      <c r="C380" s="77" t="inlineStr">
        <is>
          <t>RG14-S06</t>
        </is>
      </c>
      <c r="D380" s="77" t="inlineStr">
        <is>
          <t>BSc Management final-year live consultancy project</t>
        </is>
      </c>
      <c r="E380" s="77" t="inlineStr">
        <is>
          <t>employer; reach</t>
        </is>
      </c>
      <c r="F380" s="77" t="inlineStr">
        <is>
          <t>https://www.manchester.ac.uk/study/undergraduate/courses/2027/03520/bsc-management-accounting-and-finance/all-content/</t>
        </is>
      </c>
      <c r="G380" s="77" t="inlineStr">
        <is>
          <t>BSc Management (Accounting and Finance) - full details (2027 entry)</t>
        </is>
      </c>
      <c r="H380" s="77" t="inlineStr">
        <is>
          <t>Course details</t>
        </is>
      </c>
      <c r="I380" s="77" t="inlineStr">
        <is>
          <t>2027 entry</t>
        </is>
      </c>
      <c r="J380" s="77" t="inlineStr">
        <is>
          <t>2026-10-12</t>
        </is>
      </c>
      <c r="K380" s="77" t="inlineStr">
        <is>
          <t>search-summary paraphrase</t>
        </is>
      </c>
      <c r="L380" s="77" t="inlineStr">
        <is>
          <t>Hands-on experience in final year through a dissertation or a live consultancy project, working with real organisations.</t>
        </is>
      </c>
    </row>
    <row r="381">
      <c r="A381" s="77" t="inlineStr">
        <is>
          <t>RG14-S07-R1</t>
        </is>
      </c>
      <c r="B381" s="77" t="inlineStr">
        <is>
          <t>RG14</t>
        </is>
      </c>
      <c r="C381" s="77" t="inlineStr">
        <is>
          <t>RG14-S07</t>
        </is>
      </c>
      <c r="D381" s="77" t="inlineStr">
        <is>
          <t>Manchester Enterprise Challenge</t>
        </is>
      </c>
      <c r="E381" s="77" t="inlineStr">
        <is>
          <t>project; group; employer; eligibility</t>
        </is>
      </c>
      <c r="F381" s="77" t="inlineStr">
        <is>
          <t>https://www.ucil.manchester.ac.uk/info-for-students/enterprise-challenge/</t>
        </is>
      </c>
      <c r="G381" s="77" t="inlineStr">
        <is>
          <t>Enterprise Challenge</t>
        </is>
      </c>
      <c r="H381" s="77" t="inlineStr">
        <is>
          <t>Info for students</t>
        </is>
      </c>
      <c r="I381" s="77" t="inlineStr">
        <is>
          <t>undated</t>
        </is>
      </c>
      <c r="J381" s="77" t="inlineStr">
        <is>
          <t>2026-10-12</t>
        </is>
      </c>
      <c r="K381" s="77" t="inlineStr">
        <is>
          <t>search-index extract (quoted)</t>
        </is>
      </c>
      <c r="L381" s="77" t="inlineStr">
        <is>
          <t>'The Enterprise Challenge combines enterprise UCIL units with a community-based enterprise project.' Students work with a local charity, social enterprise or not-for-profit on a specific improvement opportunity, 'working as part of a group to complete approximately 20 hours of work each', presenting final outcomes through a PowerPoint 'pitch deck'.</t>
        </is>
      </c>
    </row>
    <row r="382">
      <c r="A382" s="77" t="inlineStr">
        <is>
          <t>RG14-S07-R2</t>
        </is>
      </c>
      <c r="B382" s="77" t="inlineStr">
        <is>
          <t>RG14</t>
        </is>
      </c>
      <c r="C382" s="77" t="inlineStr">
        <is>
          <t>RG14-S07</t>
        </is>
      </c>
      <c r="D382" s="77" t="inlineStr">
        <is>
          <t>Manchester Enterprise Challenge</t>
        </is>
      </c>
      <c r="E382" s="77" t="inlineStr">
        <is>
          <t>employer; group; status</t>
        </is>
      </c>
      <c r="F382" s="77" t="inlineStr">
        <is>
          <t>https://www.manchester.ac.uk/about/news/students-tackle-real-world-problems-in-manchester-enterprise-challenge/</t>
        </is>
      </c>
      <c r="G382" s="77" t="inlineStr">
        <is>
          <t>Students Tackle Real-World Problems in Manchester Enterprise Challenge</t>
        </is>
      </c>
      <c r="H382" s="77" t="inlineStr">
        <is>
          <t>News</t>
        </is>
      </c>
      <c r="I382" s="77" t="inlineStr">
        <is>
          <t>undated</t>
        </is>
      </c>
      <c r="J382" s="77" t="inlineStr">
        <is>
          <t>2026-10-12</t>
        </is>
      </c>
      <c r="K382" s="77" t="inlineStr">
        <is>
          <t>search-summary paraphrase</t>
        </is>
      </c>
      <c r="L382" s="77" t="inlineStr">
        <is>
          <t>Pitch session on 7 May where student teams presented to academic staff, Masood Entrepreneurship Centre representatives and project hosts; example team created a partner network and sourced materials on a minimal budget for Action for Conservation.</t>
        </is>
      </c>
    </row>
    <row r="383">
      <c r="A383" s="77" t="inlineStr">
        <is>
          <t>RG14-S07-R3</t>
        </is>
      </c>
      <c r="B383" s="77" t="inlineStr">
        <is>
          <t>RG14</t>
        </is>
      </c>
      <c r="C383" s="77" t="inlineStr">
        <is>
          <t>RG14-S07</t>
        </is>
      </c>
      <c r="D383" s="77" t="inlineStr">
        <is>
          <t>Manchester Enterprise Challenge</t>
        </is>
      </c>
      <c r="E383" s="77" t="inlineStr">
        <is>
          <t>reach</t>
        </is>
      </c>
      <c r="F383" s="77" t="inlineStr">
        <is>
          <t>https://www.ucil.manchester.ac.uk/info-for-students/why-study-ucil-unit/</t>
        </is>
      </c>
      <c r="G383" s="77" t="inlineStr">
        <is>
          <t>Why Study a UCIL unit?</t>
        </is>
      </c>
      <c r="H383" s="77" t="inlineStr">
        <is>
          <t>Info for students</t>
        </is>
      </c>
      <c r="I383" s="77" t="inlineStr">
        <is>
          <t>undated</t>
        </is>
      </c>
      <c r="J383" s="77" t="inlineStr">
        <is>
          <t>2026-10-12</t>
        </is>
      </c>
      <c r="K383" s="77" t="inlineStr">
        <is>
          <t>search-summary paraphrase</t>
        </is>
      </c>
      <c r="L383" s="77" t="inlineStr">
        <is>
          <t>UCIL units are interdisciplinary; students study and collaborate with students from other disciplines.</t>
        </is>
      </c>
    </row>
    <row r="384">
      <c r="A384" s="77" t="inlineStr">
        <is>
          <t>RG14-S08-R1</t>
        </is>
      </c>
      <c r="B384" s="77" t="inlineStr">
        <is>
          <t>RG14</t>
        </is>
      </c>
      <c r="C384" s="77" t="inlineStr">
        <is>
          <t>RG14-S08</t>
        </is>
      </c>
      <c r="D384" s="77" t="inlineStr">
        <is>
          <t>Civil Group Design Project</t>
        </is>
      </c>
      <c r="E384" s="77" t="inlineStr">
        <is>
          <t>project; group; employer; status</t>
        </is>
      </c>
      <c r="F384" s="77" t="inlineStr">
        <is>
          <t>https://www.manchester.ac.uk/study/undergraduate/courses/2026/03858/meng-civil-and-structural-engineering/</t>
        </is>
      </c>
      <c r="G384" s="77" t="inlineStr">
        <is>
          <t>MEng Civil and Structural Engineering (2026 entry)</t>
        </is>
      </c>
      <c r="H384" s="77" t="inlineStr">
        <is>
          <t>Course details</t>
        </is>
      </c>
      <c r="I384" s="77" t="inlineStr">
        <is>
          <t>2026 entry</t>
        </is>
      </c>
      <c r="J384" s="77" t="inlineStr">
        <is>
          <t>2026-10-12</t>
        </is>
      </c>
      <c r="K384" s="77" t="inlineStr">
        <is>
          <t>search-index extract (quoted)</t>
        </is>
      </c>
      <c r="L384" s="77" t="inlineStr">
        <is>
          <t>By year four, students 'will undertake an industry-supervised group design project, and crucial units on advanced structural analysis and design'.</t>
        </is>
      </c>
    </row>
    <row r="385">
      <c r="A385" s="77" t="inlineStr">
        <is>
          <t>RG14-S08-R2</t>
        </is>
      </c>
      <c r="B385" s="77" t="inlineStr">
        <is>
          <t>RG14</t>
        </is>
      </c>
      <c r="C385" s="77" t="inlineStr">
        <is>
          <t>RG14-S08</t>
        </is>
      </c>
      <c r="D385" s="77" t="inlineStr">
        <is>
          <t>Civil Group Design Project</t>
        </is>
      </c>
      <c r="E385" s="77" t="inlineStr">
        <is>
          <t>credit; participation; status</t>
        </is>
      </c>
      <c r="F385" s="77" t="inlineStr">
        <is>
          <t>https://www.manchester.ac.uk/study/undergraduate/courses/2025/03873/meng-civil-engineering-enterprise/course-details/</t>
        </is>
      </c>
      <c r="G385" s="77" t="inlineStr">
        <is>
          <t>MEng Civil Engineering (Enterprise) - course details (2025 entry)</t>
        </is>
      </c>
      <c r="H385" s="77" t="inlineStr">
        <is>
          <t>Course unit list</t>
        </is>
      </c>
      <c r="I385" s="77" t="inlineStr">
        <is>
          <t>2025 entry</t>
        </is>
      </c>
      <c r="J385" s="77" t="inlineStr">
        <is>
          <t>2026-10-12</t>
        </is>
      </c>
      <c r="K385" s="77" t="inlineStr">
        <is>
          <t>search-summary paraphrase</t>
        </is>
      </c>
      <c r="L385" s="77" t="inlineStr">
        <is>
          <t>Lists Civil Group Design Project (CIVL41530) as a mandatory 30-credit unit; Year 4 includes an industry-supervised group design project.</t>
        </is>
      </c>
    </row>
    <row r="386">
      <c r="A386" s="77" t="inlineStr">
        <is>
          <t>RG14-S09-R1</t>
        </is>
      </c>
      <c r="B386" s="77" t="inlineStr">
        <is>
          <t>RG14</t>
        </is>
      </c>
      <c r="C386" s="77" t="inlineStr">
        <is>
          <t>RG14-S09</t>
        </is>
      </c>
      <c r="D386" s="77" t="inlineStr">
        <is>
          <t>Software Engineering 1 with industrial mentoring</t>
        </is>
      </c>
      <c r="E386" s="77" t="inlineStr">
        <is>
          <t>project; group; employer; participation; duration</t>
        </is>
      </c>
      <c r="F386" s="77" t="inlineStr">
        <is>
          <t>https://www.cs.manchester.ac.uk/connect/business-engagement/industrial-mentoring/</t>
        </is>
      </c>
      <c r="G386" s="77" t="inlineStr">
        <is>
          <t>Industrial mentoring in software engineering</t>
        </is>
      </c>
      <c r="H386" s="77" t="inlineStr">
        <is>
          <t>Business engagement</t>
        </is>
      </c>
      <c r="I386" s="77" t="inlineStr">
        <is>
          <t>undated</t>
        </is>
      </c>
      <c r="J386" s="77" t="inlineStr">
        <is>
          <t>2026-10-12</t>
        </is>
      </c>
      <c r="K386" s="77" t="inlineStr">
        <is>
          <t>search-index extract (quoted)</t>
        </is>
      </c>
      <c r="L386" s="77" t="inlineStr">
        <is>
          <t>'over 200 students working in small teams of six over a 12 week period with the support of a professional software engineer who mentors the team'; project built around an open-source multi-user, multi-threaded, client-server application; mentors meet teams twice a semester (first session typically week 3, second in November) over Microsoft Teams.</t>
        </is>
      </c>
    </row>
    <row r="387">
      <c r="A387" s="77" t="inlineStr">
        <is>
          <t>RG14-S09-R2</t>
        </is>
      </c>
      <c r="B387" s="77" t="inlineStr">
        <is>
          <t>RG14</t>
        </is>
      </c>
      <c r="C387" s="77" t="inlineStr">
        <is>
          <t>RG14-S09</t>
        </is>
      </c>
      <c r="D387" s="77" t="inlineStr">
        <is>
          <t>Software Engineering 1 with industrial mentoring</t>
        </is>
      </c>
      <c r="E387" s="77" t="inlineStr">
        <is>
          <t>group; employer</t>
        </is>
      </c>
      <c r="F387" s="77" t="inlineStr">
        <is>
          <t>https://documents.manchester.ac.uk/display.aspx?DocID=37638</t>
        </is>
      </c>
      <c r="G387" s="77" t="inlineStr">
        <is>
          <t>Software Engineering: Information for Mentors</t>
        </is>
      </c>
      <c r="H387" s="77" t="inlineStr">
        <is>
          <t>Mentor guide</t>
        </is>
      </c>
      <c r="I387" s="77" t="inlineStr">
        <is>
          <t>undated</t>
        </is>
      </c>
      <c r="J387" s="77" t="inlineStr">
        <is>
          <t>2026-10-12</t>
        </is>
      </c>
      <c r="K387" s="77" t="inlineStr">
        <is>
          <t>search-summary paraphrase</t>
        </is>
      </c>
      <c r="L387" s="77" t="inlineStr">
        <is>
          <t>Older guide describing teams of 5 or 6 and mentor visits of around an hour each; mentors asked not to help with assessed coursework.</t>
        </is>
      </c>
    </row>
    <row r="388">
      <c r="A388" s="77" t="inlineStr">
        <is>
          <t>RG14-S09-R3</t>
        </is>
      </c>
      <c r="B388" s="77" t="inlineStr">
        <is>
          <t>RG14</t>
        </is>
      </c>
      <c r="C388" s="77" t="inlineStr">
        <is>
          <t>RG14-S09</t>
        </is>
      </c>
      <c r="D388" s="77" t="inlineStr">
        <is>
          <t>Software Engineering 1 with industrial mentoring</t>
        </is>
      </c>
      <c r="E388" s="77" t="inlineStr">
        <is>
          <t>credit; status</t>
        </is>
      </c>
      <c r="F388" s="77" t="inlineStr">
        <is>
          <t>https://www.manchester.ac.uk/study/undergraduate/courses/2027/00559/bsc-computer-science-with-industrial-experience/course-details/</t>
        </is>
      </c>
      <c r="G388" s="77" t="inlineStr">
        <is>
          <t>BSc Computer Science with Industrial Experience - course details (2027 entry)</t>
        </is>
      </c>
      <c r="H388" s="77" t="inlineStr">
        <is>
          <t>Course details</t>
        </is>
      </c>
      <c r="I388" s="77" t="inlineStr">
        <is>
          <t>2027 entry</t>
        </is>
      </c>
      <c r="J388" s="77" t="inlineStr">
        <is>
          <t>2026-10-12</t>
        </is>
      </c>
      <c r="K388" s="77" t="inlineStr">
        <is>
          <t>search-summary paraphrase</t>
        </is>
      </c>
      <c r="L388" s="77" t="inlineStr">
        <is>
          <t>COMP23311 Software Engineering 1 listed in year 2 course details as a 10-credit unit.</t>
        </is>
      </c>
    </row>
    <row r="389">
      <c r="A389" s="77" t="inlineStr">
        <is>
          <t>RG14-S10-R1</t>
        </is>
      </c>
      <c r="B389" s="77" t="inlineStr">
        <is>
          <t>RG14</t>
        </is>
      </c>
      <c r="C389" s="77" t="inlineStr">
        <is>
          <t>RG14-S10</t>
        </is>
      </c>
      <c r="D389" s="77" t="inlineStr">
        <is>
          <t>Commercialisation in the Life Sciences</t>
        </is>
      </c>
      <c r="E389" s="77" t="inlineStr">
        <is>
          <t>project; group; employer</t>
        </is>
      </c>
      <c r="F389" s="77" t="inlineStr">
        <is>
          <t>https://www.entrepreneurship.manchester.ac.uk/study/BIOL60760/</t>
        </is>
      </c>
      <c r="G389" s="77" t="inlineStr">
        <is>
          <t>Commercialisation in the Life Sciences (BIOL60760) course unit details</t>
        </is>
      </c>
      <c r="H389" s="77" t="inlineStr">
        <is>
          <t>Unit description</t>
        </is>
      </c>
      <c r="I389" s="77" t="inlineStr">
        <is>
          <t>undated</t>
        </is>
      </c>
      <c r="J389" s="77" t="inlineStr">
        <is>
          <t>2026-10-12</t>
        </is>
      </c>
      <c r="K389" s="77" t="inlineStr">
        <is>
          <t>search-index extract (quoted)</t>
        </is>
      </c>
      <c r="L389" s="77" t="inlineStr">
        <is>
          <t>'Course delivery is through a mixture of lectures, case study work, in class discussion and participation in a group project working with an external company'; unit built around developing a business plan for a biotechnology product.</t>
        </is>
      </c>
    </row>
    <row r="390">
      <c r="A390" s="77" t="inlineStr">
        <is>
          <t>RG14-S11-R1</t>
        </is>
      </c>
      <c r="B390" s="77" t="inlineStr">
        <is>
          <t>RG14</t>
        </is>
      </c>
      <c r="C390" s="77" t="inlineStr">
        <is>
          <t>RG14-S11</t>
        </is>
      </c>
      <c r="D390" s="77" t="inlineStr">
        <is>
          <t>University Living Lab</t>
        </is>
      </c>
      <c r="E390" s="77" t="inlineStr">
        <is>
          <t>project; employer</t>
        </is>
      </c>
      <c r="F390" s="77" t="inlineStr">
        <is>
          <t>https://www.seed.manchester.ac.uk/connect/social-responsibility/</t>
        </is>
      </c>
      <c r="G390" s="77" t="inlineStr">
        <is>
          <t>Social responsibility - School of Environment, Education and Development</t>
        </is>
      </c>
      <c r="H390" s="77" t="inlineStr">
        <is>
          <t>Living Lab</t>
        </is>
      </c>
      <c r="I390" s="77" t="inlineStr">
        <is>
          <t>undated</t>
        </is>
      </c>
      <c r="J390" s="77" t="inlineStr">
        <is>
          <t>2026-10-12</t>
        </is>
      </c>
      <c r="K390" s="77" t="inlineStr">
        <is>
          <t>search-summary paraphrase</t>
        </is>
      </c>
      <c r="L390" s="77" t="inlineStr">
        <is>
          <t>Over 150 projects set by around 50 external stakeholders, local to global; some ask for case study, policy or data analysis, others empirical data collection or visualisation; linking applied research needed by external organisations with students in authentic assessment.</t>
        </is>
      </c>
    </row>
    <row r="391">
      <c r="A391" s="77" t="inlineStr">
        <is>
          <t>RG14-S11-R2</t>
        </is>
      </c>
      <c r="B391" s="77" t="inlineStr">
        <is>
          <t>RG14</t>
        </is>
      </c>
      <c r="C391" s="77" t="inlineStr">
        <is>
          <t>RG14-S11</t>
        </is>
      </c>
      <c r="D391" s="77" t="inlineStr">
        <is>
          <t>University Living Lab</t>
        </is>
      </c>
      <c r="E391" s="77" t="inlineStr">
        <is>
          <t>employer</t>
        </is>
      </c>
      <c r="F391" s="77" t="inlineStr">
        <is>
          <t>https://www.socialresponsibility.manchester.ac.uk/sustainable-development-goals/content/sdg-subjects/learning-and-students/page/2/</t>
        </is>
      </c>
      <c r="G391" s="77" t="inlineStr">
        <is>
          <t>Social Responsibility: Learning and students</t>
        </is>
      </c>
      <c r="H391" s="77" t="inlineStr">
        <is>
          <t>SDG learning</t>
        </is>
      </c>
      <c r="I391" s="77" t="inlineStr">
        <is>
          <t>undated</t>
        </is>
      </c>
      <c r="J391" s="77" t="inlineStr">
        <is>
          <t>2026-10-12</t>
        </is>
      </c>
      <c r="K391" s="77" t="inlineStr">
        <is>
          <t>search-summary paraphrase</t>
        </is>
      </c>
      <c r="L391" s="77" t="inlineStr">
        <is>
          <t>Living Lab connects student projects with external organisations to address the SDGs; student work presented to the Rockefeller Foundation and shaped food bank location and practice.</t>
        </is>
      </c>
    </row>
    <row r="392">
      <c r="A392" s="77" t="inlineStr">
        <is>
          <t>RG14-S11-R3</t>
        </is>
      </c>
      <c r="B392" s="77" t="inlineStr">
        <is>
          <t>RG14</t>
        </is>
      </c>
      <c r="C392" s="77" t="inlineStr">
        <is>
          <t>RG14-S11</t>
        </is>
      </c>
      <c r="D392" s="77" t="inlineStr">
        <is>
          <t>University Living Lab</t>
        </is>
      </c>
      <c r="E392" s="77" t="inlineStr">
        <is>
          <t>employer; status</t>
        </is>
      </c>
      <c r="F392" s="77" t="inlineStr">
        <is>
          <t>https://www.manchester.ac.uk/study/undergraduate/courses/2027/12950/beng-meng-electrical-electronic-and-mechatronic-engineering-with-an-integrated-foundation-year/</t>
        </is>
      </c>
      <c r="G392" s="77" t="inlineStr">
        <is>
          <t>BEng/MEng Electrical, Electronic &amp; Mechatronic Engineering with an Integrated Foundation Year (2027 entry)</t>
        </is>
      </c>
      <c r="H392" s="77" t="inlineStr">
        <is>
          <t>Course overview</t>
        </is>
      </c>
      <c r="I392" s="77" t="inlineStr">
        <is>
          <t>2027 entry</t>
        </is>
      </c>
      <c r="J392" s="77" t="inlineStr">
        <is>
          <t>2026-10-12</t>
        </is>
      </c>
      <c r="K392" s="77" t="inlineStr">
        <is>
          <t>search-summary paraphrase</t>
        </is>
      </c>
      <c r="L392" s="77" t="inlineStr">
        <is>
          <t>Students work with an external organisation to tackle real-world sustainability problems through the University Living Lab.</t>
        </is>
      </c>
    </row>
    <row r="393">
      <c r="A393" s="77" t="inlineStr">
        <is>
          <t>RG14-S12-R1</t>
        </is>
      </c>
      <c r="B393" s="77" t="inlineStr">
        <is>
          <t>RG14</t>
        </is>
      </c>
      <c r="C393" s="77" t="inlineStr">
        <is>
          <t>RG14-S12</t>
        </is>
      </c>
      <c r="D393" s="77" t="inlineStr">
        <is>
          <t>Final-year engineering team project (Electrical &amp; Electronic / Mechatronic Engineering)</t>
        </is>
      </c>
      <c r="E393" s="77" t="inlineStr">
        <is>
          <t>project; group; employer</t>
        </is>
      </c>
      <c r="F393" s="77" t="inlineStr">
        <is>
          <t>https://www.manchester.ac.uk/study/undergraduate/courses/2027/03928/meng-mechatronic-engineering-with-industrial-experience/</t>
        </is>
      </c>
      <c r="G393" s="77" t="inlineStr">
        <is>
          <t>MEng Mechatronic Engineering with Industrial Experience (2027 entry)</t>
        </is>
      </c>
      <c r="H393" s="77" t="inlineStr">
        <is>
          <t>Course details</t>
        </is>
      </c>
      <c r="I393" s="77" t="inlineStr">
        <is>
          <t>2027 entry</t>
        </is>
      </c>
      <c r="J393" s="77" t="inlineStr">
        <is>
          <t>2026-10-12</t>
        </is>
      </c>
      <c r="K393" s="77" t="inlineStr">
        <is>
          <t>search-summary paraphrase</t>
        </is>
      </c>
      <c r="L393" s="77" t="inlineStr">
        <is>
          <t>Final-year team project either directly funded by industry or inspired by industrial needs; past projects include a training wheelchair for para-athletes and a haptic glove for remote handling.</t>
        </is>
      </c>
    </row>
    <row r="394">
      <c r="A394" s="77" t="inlineStr">
        <is>
          <t>RG14-S12-R2</t>
        </is>
      </c>
      <c r="B394" s="77" t="inlineStr">
        <is>
          <t>RG14</t>
        </is>
      </c>
      <c r="C394" s="77" t="inlineStr">
        <is>
          <t>RG14-S12</t>
        </is>
      </c>
      <c r="D394" s="77" t="inlineStr">
        <is>
          <t>Final-year engineering team project (Electrical &amp; Electronic / Mechatronic Engineering)</t>
        </is>
      </c>
      <c r="E394" s="77" t="inlineStr">
        <is>
          <t>group; employer; status</t>
        </is>
      </c>
      <c r="F394" s="77" t="inlineStr">
        <is>
          <t>https://www.manchester.ac.uk/study/undergraduate/courses/2026/03894/meng-electrical-and-electronic-engineering/</t>
        </is>
      </c>
      <c r="G394" s="77" t="inlineStr">
        <is>
          <t>MEng Electrical and Electronic Engineering (2026 entry)</t>
        </is>
      </c>
      <c r="H394" s="77" t="inlineStr">
        <is>
          <t>Course details</t>
        </is>
      </c>
      <c r="I394" s="77" t="inlineStr">
        <is>
          <t>2026 entry</t>
        </is>
      </c>
      <c r="J394" s="77" t="inlineStr">
        <is>
          <t>2026-10-12</t>
        </is>
      </c>
      <c r="K394" s="77" t="inlineStr">
        <is>
          <t>search-summary paraphrase</t>
        </is>
      </c>
      <c r="L394" s="77" t="inlineStr">
        <is>
          <t>Year-long engineering team project described as industrially related.</t>
        </is>
      </c>
    </row>
    <row r="395">
      <c r="A395" s="77" t="inlineStr">
        <is>
          <t>RG14-S13-R1</t>
        </is>
      </c>
      <c r="B395" s="77" t="inlineStr">
        <is>
          <t>RG14</t>
        </is>
      </c>
      <c r="C395" s="77" t="inlineStr">
        <is>
          <t>RG14-S13</t>
        </is>
      </c>
      <c r="D395" s="77" t="inlineStr">
        <is>
          <t>MSA LIVE (Manchester School of Architecture live projects)</t>
        </is>
      </c>
      <c r="E395" s="77" t="inlineStr">
        <is>
          <t>employer; status</t>
        </is>
      </c>
      <c r="F395" s="77" t="inlineStr">
        <is>
          <t>https://www.msa.ac.uk/2025/</t>
        </is>
      </c>
      <c r="G395" s="77" t="inlineStr">
        <is>
          <t>MSA 2025</t>
        </is>
      </c>
      <c r="H395" s="77" t="inlineStr">
        <is>
          <t>MSA LIVE</t>
        </is>
      </c>
      <c r="I395" s="77" t="inlineStr">
        <is>
          <t>2025</t>
        </is>
      </c>
      <c r="J395" s="77" t="inlineStr">
        <is>
          <t>2026-10-13</t>
        </is>
      </c>
      <c r="K395" s="77" t="inlineStr">
        <is>
          <t>page text</t>
        </is>
      </c>
      <c r="L395" s="77" t="inlineStr">
        <is>
          <t>MSA LIVE 'supports over 40 community groups and charities with live projects'.</t>
        </is>
      </c>
    </row>
    <row r="396">
      <c r="A396" s="77" t="inlineStr">
        <is>
          <t>RG14-S13-R2</t>
        </is>
      </c>
      <c r="B396" s="77" t="inlineStr">
        <is>
          <t>RG14</t>
        </is>
      </c>
      <c r="C396" s="77" t="inlineStr">
        <is>
          <t>RG14-S13</t>
        </is>
      </c>
      <c r="D396" s="77" t="inlineStr">
        <is>
          <t>MSA LIVE (Manchester School of Architecture live projects)</t>
        </is>
      </c>
      <c r="E396" s="77" t="inlineStr">
        <is>
          <t>project; employer</t>
        </is>
      </c>
      <c r="F396" s="77" t="inlineStr">
        <is>
          <t>https://www.msa.ac.uk/live/</t>
        </is>
      </c>
      <c r="G396" s="77" t="inlineStr">
        <is>
          <t>MSA LIVE</t>
        </is>
      </c>
      <c r="H396" s="77" t="inlineStr">
        <is>
          <t>Overview</t>
        </is>
      </c>
      <c r="I396" s="77" t="inlineStr">
        <is>
          <t>undated</t>
        </is>
      </c>
      <c r="J396" s="77" t="inlineStr">
        <is>
          <t>2026-10-13</t>
        </is>
      </c>
      <c r="K396" s="77" t="inlineStr">
        <is>
          <t>search-summary paraphrase</t>
        </is>
      </c>
      <c r="L396" s="77" t="inlineStr">
        <is>
          <t>Live project: educational organisation and external partner develop a brief, timescale and outcome for mutual benefit.</t>
        </is>
      </c>
    </row>
    <row r="397">
      <c r="A397" s="77" t="inlineStr">
        <is>
          <t>RG14-S13-R3</t>
        </is>
      </c>
      <c r="B397" s="77" t="inlineStr">
        <is>
          <t>RG14</t>
        </is>
      </c>
      <c r="C397" s="77" t="inlineStr">
        <is>
          <t>RG14-S13</t>
        </is>
      </c>
      <c r="D397" s="77" t="inlineStr">
        <is>
          <t>MSA LIVE (Manchester School of Architecture live projects)</t>
        </is>
      </c>
      <c r="E397" s="77" t="inlineStr">
        <is>
          <t>group; employer; status; duration</t>
        </is>
      </c>
      <c r="F397" s="77" t="inlineStr">
        <is>
          <t>https://msa.ac.uk/2026/msalive/</t>
        </is>
      </c>
      <c r="G397" s="77" t="inlineStr">
        <is>
          <t>MSA LIVE 26</t>
        </is>
      </c>
      <c r="H397" s="77" t="inlineStr">
        <is>
          <t>Overview</t>
        </is>
      </c>
      <c r="I397" s="77" t="inlineStr">
        <is>
          <t>2026</t>
        </is>
      </c>
      <c r="J397" s="77" t="inlineStr">
        <is>
          <t>2026-10-13</t>
        </is>
      </c>
      <c r="K397" s="77" t="inlineStr">
        <is>
          <t>search-summary paraphrase</t>
        </is>
      </c>
      <c r="L397" s="77" t="inlineStr">
        <is>
          <t>About 400 students across 5 cohorts, 34 projects, 50+ external collaborators, February to May; groups from multiple cohorts.</t>
        </is>
      </c>
    </row>
    <row r="398">
      <c r="A398" s="77" t="inlineStr">
        <is>
          <t>RG14-S14-R1</t>
        </is>
      </c>
      <c r="B398" s="77" t="inlineStr">
        <is>
          <t>RG14</t>
        </is>
      </c>
      <c r="C398" s="77" t="inlineStr">
        <is>
          <t>RG14-S14</t>
        </is>
      </c>
      <c r="D398" s="77" t="inlineStr">
        <is>
          <t>Integrative Team Project 1 and 2 (BSc Information Technology Management for Business)</t>
        </is>
      </c>
      <c r="E398" s="77" t="inlineStr">
        <is>
          <t>project; group; employer; credit; participation; status</t>
        </is>
      </c>
      <c r="F398" s="77" t="inlineStr">
        <is>
          <t>https://www.manchester.ac.uk/study/undergraduate/courses/2027/06246/bsc-information-technology-management-for-business/all-content/</t>
        </is>
      </c>
      <c r="G398" s="77" t="inlineStr">
        <is>
          <t>BSc ITMB full details (2027 entry)</t>
        </is>
      </c>
      <c r="H398" s="77" t="inlineStr">
        <is>
          <t>Course content</t>
        </is>
      </c>
      <c r="I398" s="77" t="inlineStr">
        <is>
          <t>2027 entry</t>
        </is>
      </c>
      <c r="J398" s="77" t="inlineStr">
        <is>
          <t>2026-10-13</t>
        </is>
      </c>
      <c r="K398" s="77" t="inlineStr">
        <is>
          <t>page text</t>
        </is>
      </c>
      <c r="L398" s="77" t="inlineStr">
        <is>
          <t>Year 1 BMAN10690 (20 credits, mandatory) supported by Lloyds Bank, 'developing an application to solve a real business problem'; Year 2 BMAN24650 (20 credits) year-long team consultancy project supported by Procter &amp; Gamble; displayed to employers at showcases.</t>
        </is>
      </c>
    </row>
    <row r="399">
      <c r="A399" s="77" t="inlineStr">
        <is>
          <t>RG15-S01-R1</t>
        </is>
      </c>
      <c r="B399" s="77" t="inlineStr">
        <is>
          <t>RG15</t>
        </is>
      </c>
      <c r="C399" s="77" t="inlineStr">
        <is>
          <t>RG15-S01</t>
        </is>
      </c>
      <c r="D399" s="77" t="inlineStr">
        <is>
          <t>BUS3053 Management Consultancy Project</t>
        </is>
      </c>
      <c r="E399" s="77" t="inlineStr">
        <is>
          <t>project; group; employer; eligibility; credit; status</t>
        </is>
      </c>
      <c r="F399" s="77" t="inlineStr">
        <is>
          <t>https://www.ncl.ac.uk/undergraduate/degrees/module/?code=BUS3053&amp;year=2025</t>
        </is>
      </c>
      <c r="G399" s="77" t="inlineStr">
        <is>
          <t>BUS3053 : Management Consultancy Project - Undergraduate Study</t>
        </is>
      </c>
      <c r="H399" s="77" t="inlineStr">
        <is>
          <t>Module page (year=2025)</t>
        </is>
      </c>
      <c r="I399" s="77" t="inlineStr">
        <is>
          <t>2025/26</t>
        </is>
      </c>
      <c r="J399" s="77" t="inlineStr">
        <is>
          <t>2026-10-12</t>
        </is>
      </c>
      <c r="K399" s="77" t="inlineStr">
        <is>
          <t>search-summary paraphrase</t>
        </is>
      </c>
      <c r="L399" s="77" t="inlineStr">
        <is>
          <t>Practice-based alternative to a dissertation, 40 places; real business issue for an external client; 40% group management report, 10% group oral presentation to the client, 50% individual reflective account; peer review adjusts group marks.</t>
        </is>
      </c>
    </row>
    <row r="400">
      <c r="A400" s="77" t="inlineStr">
        <is>
          <t>RG15-S01-R2</t>
        </is>
      </c>
      <c r="B400" s="77" t="inlineStr">
        <is>
          <t>RG15</t>
        </is>
      </c>
      <c r="C400" s="77" t="inlineStr">
        <is>
          <t>RG15-S01</t>
        </is>
      </c>
      <c r="D400" s="77" t="inlineStr">
        <is>
          <t>BUS3053 Management Consultancy Project</t>
        </is>
      </c>
      <c r="E400" s="77" t="inlineStr">
        <is>
          <t>group; employer</t>
        </is>
      </c>
      <c r="F400" s="77" t="inlineStr">
        <is>
          <t>https://blogs.ncl.ac.uk/sin/tag/work-integrated-learning/</t>
        </is>
      </c>
      <c r="G400" s="77" t="inlineStr">
        <is>
          <t>Work Integrated Learning (blog)</t>
        </is>
      </c>
      <c r="H400" s="77" t="inlineStr">
        <is>
          <t>Blog post, Sarah Carnegie</t>
        </is>
      </c>
      <c r="I400" s="77" t="inlineStr">
        <is>
          <t>undated</t>
        </is>
      </c>
      <c r="J400" s="77" t="inlineStr">
        <is>
          <t>2026-10-12</t>
        </is>
      </c>
      <c r="K400" s="77" t="inlineStr">
        <is>
          <t>search-summary paraphrase</t>
        </is>
      </c>
      <c r="L400" s="77" t="inlineStr">
        <is>
          <t>Students placed in small teams, ideally eight per team; the School vets each client's problem before assignment.</t>
        </is>
      </c>
    </row>
    <row r="401">
      <c r="A401" s="77" t="inlineStr">
        <is>
          <t>RG15-S01-R3</t>
        </is>
      </c>
      <c r="B401" s="77" t="inlineStr">
        <is>
          <t>RG15</t>
        </is>
      </c>
      <c r="C401" s="77" t="inlineStr">
        <is>
          <t>RG15-S01</t>
        </is>
      </c>
      <c r="D401" s="77" t="inlineStr">
        <is>
          <t>BUS3053 Management Consultancy Project</t>
        </is>
      </c>
      <c r="E401" s="77" t="inlineStr">
        <is>
          <t>employer</t>
        </is>
      </c>
      <c r="F401" s="77" t="inlineStr">
        <is>
          <t>https://blogs.ncl.ac.uk/vitalnorth/consulting-with-seven-stories-a-new-collaboration-with-the-business-school/</t>
        </is>
      </c>
      <c r="G401" s="77" t="inlineStr">
        <is>
          <t>Consulting with Seven Stories</t>
        </is>
      </c>
      <c r="H401" s="77" t="inlineStr">
        <is>
          <t>Blog</t>
        </is>
      </c>
      <c r="I401" s="77" t="inlineStr">
        <is>
          <t>2018 (cohort 2017/18)</t>
        </is>
      </c>
      <c r="J401" s="77" t="inlineStr">
        <is>
          <t>2026-10-12</t>
        </is>
      </c>
      <c r="K401" s="77" t="inlineStr">
        <is>
          <t>search-summary paraphrase</t>
        </is>
      </c>
      <c r="L401" s="77" t="inlineStr">
        <is>
          <t>A 2017/18 team produced recommendations on Seven Stories' membership scheme; client discussed a second project for the 2018/19 cohort.</t>
        </is>
      </c>
    </row>
    <row r="402">
      <c r="A402" s="77" t="inlineStr">
        <is>
          <t>RG15-S01-R4</t>
        </is>
      </c>
      <c r="B402" s="77" t="inlineStr">
        <is>
          <t>RG15</t>
        </is>
      </c>
      <c r="C402" s="77" t="inlineStr">
        <is>
          <t>RG15-S01</t>
        </is>
      </c>
      <c r="D402" s="77" t="inlineStr">
        <is>
          <t>BUS3053 Management Consultancy Project</t>
        </is>
      </c>
      <c r="E402" s="77" t="inlineStr">
        <is>
          <t>employer</t>
        </is>
      </c>
      <c r="F402" s="77" t="inlineStr">
        <is>
          <t>https://www.ncl.ac.uk/business/partner/enhance-student-learning/student-project-case-studies/bringing-words-to-life/</t>
        </is>
      </c>
      <c r="G402" s="77" t="inlineStr">
        <is>
          <t>Case Study: Bringing Words to Life</t>
        </is>
      </c>
      <c r="H402" s="77" t="inlineStr">
        <is>
          <t>Case study</t>
        </is>
      </c>
      <c r="I402" s="77" t="inlineStr">
        <is>
          <t>undated</t>
        </is>
      </c>
      <c r="J402" s="77" t="inlineStr">
        <is>
          <t>2026-10-12</t>
        </is>
      </c>
      <c r="K402" s="77" t="inlineStr">
        <is>
          <t>search-summary paraphrase</t>
        </is>
      </c>
      <c r="L402" s="77" t="inlineStr">
        <is>
          <t>A charity worked with a final-year team; recommendations feeding into funding bids and programme delivery.</t>
        </is>
      </c>
    </row>
    <row r="403">
      <c r="A403" s="77" t="inlineStr">
        <is>
          <t>RG15-S02-R1</t>
        </is>
      </c>
      <c r="B403" s="77" t="inlineStr">
        <is>
          <t>RG15</t>
        </is>
      </c>
      <c r="C403" s="77" t="inlineStr">
        <is>
          <t>RG15-S02</t>
        </is>
      </c>
      <c r="D403" s="77" t="inlineStr">
        <is>
          <t>MKT3097 Marketing Consultancy Project</t>
        </is>
      </c>
      <c r="E403" s="77" t="inlineStr">
        <is>
          <t>project; group; employer; credit; status</t>
        </is>
      </c>
      <c r="F403" s="77" t="inlineStr">
        <is>
          <t>https://www.ncl.ac.uk/undergraduate/degrees/module/?code=MKT3097&amp;year=2024</t>
        </is>
      </c>
      <c r="G403" s="77" t="inlineStr">
        <is>
          <t>MKT3097 : Marketing Consultancy Project</t>
        </is>
      </c>
      <c r="H403" s="77" t="inlineStr">
        <is>
          <t>Module page (year=2024)</t>
        </is>
      </c>
      <c r="I403" s="77" t="inlineStr">
        <is>
          <t>2024/25</t>
        </is>
      </c>
      <c r="J403" s="77" t="inlineStr">
        <is>
          <t>2026-10-12</t>
        </is>
      </c>
      <c r="K403" s="77" t="inlineStr">
        <is>
          <t>search-summary paraphrase</t>
        </is>
      </c>
      <c r="L403" s="77" t="inlineStr">
        <is>
          <t>Group report (40%), group oral presentation to the live client (10%), individual reflective essay (50%); marks adjusted by Peer Group Assessment.</t>
        </is>
      </c>
    </row>
    <row r="404">
      <c r="A404" s="77" t="inlineStr">
        <is>
          <t>RG15-S02-R2</t>
        </is>
      </c>
      <c r="B404" s="77" t="inlineStr">
        <is>
          <t>RG15</t>
        </is>
      </c>
      <c r="C404" s="77" t="inlineStr">
        <is>
          <t>RG15-S02</t>
        </is>
      </c>
      <c r="D404" s="77" t="inlineStr">
        <is>
          <t>MKT3097 Marketing Consultancy Project</t>
        </is>
      </c>
      <c r="E404" s="77" t="inlineStr">
        <is>
          <t>project; employer; duration</t>
        </is>
      </c>
      <c r="F404" s="77" t="inlineStr">
        <is>
          <t>https://www.ncl.ac.uk/business/partner/enhance-student-learning/student-project-case-studies/natural-history-society-northumbria/</t>
        </is>
      </c>
      <c r="G404" s="77" t="inlineStr">
        <is>
          <t>Case Study: Natural History Society of Northumbria</t>
        </is>
      </c>
      <c r="H404" s="77" t="inlineStr">
        <is>
          <t>Case study</t>
        </is>
      </c>
      <c r="I404" s="77" t="inlineStr">
        <is>
          <t>undated</t>
        </is>
      </c>
      <c r="J404" s="77" t="inlineStr">
        <is>
          <t>2026-10-12</t>
        </is>
      </c>
      <c r="K404" s="77" t="inlineStr">
        <is>
          <t>search-summary paraphrase</t>
        </is>
      </c>
      <c r="L404" s="77" t="inlineStr">
        <is>
          <t>Over six months students research, develop strategies and manage client relationships; client receives an 8,000-word report, research portfolio and presentation.</t>
        </is>
      </c>
    </row>
    <row r="405">
      <c r="A405" s="77" t="inlineStr">
        <is>
          <t>RG15-S02-R3</t>
        </is>
      </c>
      <c r="B405" s="77" t="inlineStr">
        <is>
          <t>RG15</t>
        </is>
      </c>
      <c r="C405" s="77" t="inlineStr">
        <is>
          <t>RG15-S02</t>
        </is>
      </c>
      <c r="D405" s="77" t="inlineStr">
        <is>
          <t>MKT3097 Marketing Consultancy Project</t>
        </is>
      </c>
      <c r="E405" s="77" t="inlineStr">
        <is>
          <t>eligibility; credit; participation</t>
        </is>
      </c>
      <c r="F405" s="77" t="inlineStr">
        <is>
          <t>https://www.ncl.ac.uk/undergraduate/degrees/nn52/</t>
        </is>
      </c>
      <c r="G405" s="77" t="inlineStr">
        <is>
          <t>Marketing and Management BSc Honours</t>
        </is>
      </c>
      <c r="H405" s="77" t="inlineStr">
        <is>
          <t>Optional modules</t>
        </is>
      </c>
      <c r="I405" s="77" t="inlineStr">
        <is>
          <t>undated</t>
        </is>
      </c>
      <c r="J405" s="77" t="inlineStr">
        <is>
          <t>2026-10-12</t>
        </is>
      </c>
      <c r="K405" s="77" t="inlineStr">
        <is>
          <t>search-summary paraphrase</t>
        </is>
      </c>
      <c r="L405" s="77" t="inlineStr">
        <is>
          <t>Students can complete a marketing or management consultancy project for a real-world client in place of a dissertation; 40 credits.</t>
        </is>
      </c>
    </row>
    <row r="406">
      <c r="A406" s="77" t="inlineStr">
        <is>
          <t>RG15-S02-R4</t>
        </is>
      </c>
      <c r="B406" s="77" t="inlineStr">
        <is>
          <t>RG15</t>
        </is>
      </c>
      <c r="C406" s="77" t="inlineStr">
        <is>
          <t>RG15-S02</t>
        </is>
      </c>
      <c r="D406" s="77" t="inlineStr">
        <is>
          <t>MKT3097 Marketing Consultancy Project</t>
        </is>
      </c>
      <c r="E406" s="77" t="inlineStr">
        <is>
          <t>status</t>
        </is>
      </c>
      <c r="F406" s="77" t="inlineStr">
        <is>
          <t>https://www.ncl.ac.uk/business/news/spotlight-marketing-research-june-25/</t>
        </is>
      </c>
      <c r="G406" s="77" t="inlineStr">
        <is>
          <t>Research spotlight: Marketing - June 2025</t>
        </is>
      </c>
      <c r="H406" s="77" t="inlineStr">
        <is>
          <t>News item</t>
        </is>
      </c>
      <c r="I406" s="77" t="inlineStr">
        <is>
          <t>2025</t>
        </is>
      </c>
      <c r="J406" s="77" t="inlineStr">
        <is>
          <t>2026-10-12</t>
        </is>
      </c>
      <c r="K406" s="77" t="inlineStr">
        <is>
          <t>search-summary paraphrase</t>
        </is>
      </c>
      <c r="L406" s="77" t="inlineStr">
        <is>
          <t>Search summary: another 11 signed up for September 2025 for MKT3097.</t>
        </is>
      </c>
    </row>
    <row r="407">
      <c r="A407" s="77" t="inlineStr">
        <is>
          <t>RG15-S03-R1</t>
        </is>
      </c>
      <c r="B407" s="77" t="inlineStr">
        <is>
          <t>RG15</t>
        </is>
      </c>
      <c r="C407" s="77" t="inlineStr">
        <is>
          <t>RG15-S03</t>
        </is>
      </c>
      <c r="D407" s="77" t="inlineStr">
        <is>
          <t>NBS8130 Management Consultancy Project (MBA)</t>
        </is>
      </c>
      <c r="E407" s="77" t="inlineStr">
        <is>
          <t>credit; status; participation</t>
        </is>
      </c>
      <c r="F407" s="77" t="inlineStr">
        <is>
          <t>https://teaching.ncl.ac.uk/docs/regsdocs2025/documents/-R5823_%202526_%20vFinal.pdf</t>
        </is>
      </c>
      <c r="G407" s="77" t="inlineStr">
        <is>
          <t>Programme Regulations 2025/26: MBA (5823)</t>
        </is>
      </c>
      <c r="H407" s="77" t="inlineStr">
        <is>
          <t>Module table</t>
        </is>
      </c>
      <c r="I407" s="77" t="inlineStr">
        <is>
          <t>2025/26</t>
        </is>
      </c>
      <c r="J407" s="77" t="inlineStr">
        <is>
          <t>2026-10-12</t>
        </is>
      </c>
      <c r="K407" s="77" t="inlineStr">
        <is>
          <t>search-summary paraphrase</t>
        </is>
      </c>
      <c r="L407" s="77" t="inlineStr">
        <is>
          <t>NBS8130 Management Consultancy Project, 10 credits, level 7, block mode (listed in 2025/26 MBA regulations).</t>
        </is>
      </c>
    </row>
    <row r="408">
      <c r="A408" s="77" t="inlineStr">
        <is>
          <t>RG15-S03-R2</t>
        </is>
      </c>
      <c r="B408" s="77" t="inlineStr">
        <is>
          <t>RG15</t>
        </is>
      </c>
      <c r="C408" s="77" t="inlineStr">
        <is>
          <t>RG15-S03</t>
        </is>
      </c>
      <c r="D408" s="77" t="inlineStr">
        <is>
          <t>NBS8130 Management Consultancy Project (MBA)</t>
        </is>
      </c>
      <c r="E408" s="77" t="inlineStr">
        <is>
          <t>project; group; employer; duration</t>
        </is>
      </c>
      <c r="F408" s="77" t="inlineStr">
        <is>
          <t>https://microsites.ncl.ac.uk/casestudies/2025/01/09/using-applied-pedagogy-to-deliver-social-value-on-a-management-consultancy-module/</t>
        </is>
      </c>
      <c r="G408" s="77" t="inlineStr">
        <is>
          <t>Using Applied Pedagogy to Deliver Social Value, on a Management Consultancy module</t>
        </is>
      </c>
      <c r="H408" s="77" t="inlineStr">
        <is>
          <t>Case study</t>
        </is>
      </c>
      <c r="I408" s="77" t="inlineStr">
        <is>
          <t>2025</t>
        </is>
      </c>
      <c r="J408" s="77" t="inlineStr">
        <is>
          <t>2026-10-12</t>
        </is>
      </c>
      <c r="K408" s="77" t="inlineStr">
        <is>
          <t>search-summary paraphrase</t>
        </is>
      </c>
      <c r="L408" s="77" t="inlineStr">
        <is>
          <t>Team pitched its understanding of the brief to a rail company client, received feedback on proposal and work plan, ran two weeks of research with client meetings, and gave a 30-minute presentation at the client's offices.</t>
        </is>
      </c>
    </row>
    <row r="409">
      <c r="A409" s="77" t="inlineStr">
        <is>
          <t>RG15-S03-R3</t>
        </is>
      </c>
      <c r="B409" s="77" t="inlineStr">
        <is>
          <t>RG15</t>
        </is>
      </c>
      <c r="C409" s="77" t="inlineStr">
        <is>
          <t>RG15-S03</t>
        </is>
      </c>
      <c r="D409" s="77" t="inlineStr">
        <is>
          <t>NBS8130 Management Consultancy Project (MBA)</t>
        </is>
      </c>
      <c r="E409" s="77" t="inlineStr">
        <is>
          <t>project; group; employer</t>
        </is>
      </c>
      <c r="F409" s="77" t="inlineStr">
        <is>
          <t>https://www.ncl.ac.uk/postgraduate/degrees/5823f/</t>
        </is>
      </c>
      <c r="G409" s="77" t="inlineStr">
        <is>
          <t>Master of Business Administration MBA</t>
        </is>
      </c>
      <c r="H409" s="77" t="inlineStr">
        <is>
          <t>Programme page</t>
        </is>
      </c>
      <c r="I409" s="77" t="inlineStr">
        <is>
          <t>undated</t>
        </is>
      </c>
      <c r="J409" s="77" t="inlineStr">
        <is>
          <t>2026-10-12</t>
        </is>
      </c>
      <c r="K409" s="77" t="inlineStr">
        <is>
          <t>search-summary paraphrase</t>
        </is>
      </c>
      <c r="L409" s="77" t="inlineStr">
        <is>
          <t>MBA has a team-based Management Consultancy Project where students work on a brief offered by a live client; can apply for a corporate-partner project or source their own.</t>
        </is>
      </c>
    </row>
    <row r="410">
      <c r="A410" s="77" t="inlineStr">
        <is>
          <t>RG15-S04-R1</t>
        </is>
      </c>
      <c r="B410" s="77" t="inlineStr">
        <is>
          <t>RG15</t>
        </is>
      </c>
      <c r="C410" s="77" t="inlineStr">
        <is>
          <t>RG15-S04</t>
        </is>
      </c>
      <c r="D410" s="77" t="inlineStr">
        <is>
          <t>MBA Business in Action case competition (with Northumbrian Water Group)</t>
        </is>
      </c>
      <c r="E410" s="77" t="inlineStr">
        <is>
          <t>project; group; employer; status</t>
        </is>
      </c>
      <c r="F410" s="77" t="inlineStr">
        <is>
          <t>https://www.ncl.ac.uk/business/news/business-in-action-february-2024/</t>
        </is>
      </c>
      <c r="G410" s="77" t="inlineStr">
        <is>
          <t>Business in Action: students and businesses collaborate to overcome challenges</t>
        </is>
      </c>
      <c r="H410" s="77" t="inlineStr">
        <is>
          <t>News item</t>
        </is>
      </c>
      <c r="I410" s="77" t="inlineStr">
        <is>
          <t>2024</t>
        </is>
      </c>
      <c r="J410" s="77" t="inlineStr">
        <is>
          <t>2026-10-12</t>
        </is>
      </c>
      <c r="K410" s="77" t="inlineStr">
        <is>
          <t>search-summary paraphrase</t>
        </is>
      </c>
      <c r="L410" s="77" t="inlineStr">
        <is>
          <t>Fourth year of MBA students exploring a business challenge with NWL; brief on a more sustainable, circular economy in wastewater treatment; teams gave a final competitive pitch to the company.</t>
        </is>
      </c>
    </row>
    <row r="411">
      <c r="A411" s="77" t="inlineStr">
        <is>
          <t>RG15-S04-R2</t>
        </is>
      </c>
      <c r="B411" s="77" t="inlineStr">
        <is>
          <t>RG15</t>
        </is>
      </c>
      <c r="C411" s="77" t="inlineStr">
        <is>
          <t>RG15-S04</t>
        </is>
      </c>
      <c r="D411" s="77" t="inlineStr">
        <is>
          <t>MBA Business in Action case competition (with Northumbrian Water Group)</t>
        </is>
      </c>
      <c r="E411" s="77" t="inlineStr">
        <is>
          <t>employer</t>
        </is>
      </c>
      <c r="F411" s="77" t="inlineStr">
        <is>
          <t>https://www.ncl.ac.uk/business/news/net-zero-pledge/</t>
        </is>
      </c>
      <c r="G411" s="77" t="inlineStr">
        <is>
          <t>MBA students help Northumbrian Water Group</t>
        </is>
      </c>
      <c r="H411" s="77" t="inlineStr">
        <is>
          <t>News item</t>
        </is>
      </c>
      <c r="I411" s="77" t="inlineStr">
        <is>
          <t>undated</t>
        </is>
      </c>
      <c r="J411" s="77" t="inlineStr">
        <is>
          <t>2026-10-12</t>
        </is>
      </c>
      <c r="K411" s="77" t="inlineStr">
        <is>
          <t>search-summary paraphrase</t>
        </is>
      </c>
      <c r="L411" s="77" t="inlineStr">
        <is>
          <t>Business school working with NWG to set a case competition for MBA learners since 2021.</t>
        </is>
      </c>
    </row>
    <row r="412">
      <c r="A412" s="77" t="inlineStr">
        <is>
          <t>RG15-S05-R1</t>
        </is>
      </c>
      <c r="B412" s="77" t="inlineStr">
        <is>
          <t>RG15</t>
        </is>
      </c>
      <c r="C412" s="77" t="inlineStr">
        <is>
          <t>RG15-S05</t>
        </is>
      </c>
      <c r="D412" s="77" t="inlineStr">
        <is>
          <t>CSC2033 Software Engineering Team Project</t>
        </is>
      </c>
      <c r="E412" s="77" t="inlineStr">
        <is>
          <t>project; group; employer; status; credit</t>
        </is>
      </c>
      <c r="F412" s="77" t="inlineStr">
        <is>
          <t>https://www.ncl.ac.uk/undergraduate/degrees/module/?code=CSC2033&amp;year=2026</t>
        </is>
      </c>
      <c r="G412" s="77" t="inlineStr">
        <is>
          <t>CSC2033 : Software Engineering Team Project</t>
        </is>
      </c>
      <c r="H412" s="77" t="inlineStr">
        <is>
          <t>Module page (year=2026)</t>
        </is>
      </c>
      <c r="I412" s="77" t="inlineStr">
        <is>
          <t>2026/27</t>
        </is>
      </c>
      <c r="J412" s="77" t="inlineStr">
        <is>
          <t>2026-10-12</t>
        </is>
      </c>
      <c r="K412" s="77" t="inlineStr">
        <is>
          <t>search-summary paraphrase</t>
        </is>
      </c>
      <c r="L412" s="77" t="inlineStr">
        <is>
          <t>Stage 2 compulsory, 30 credits; teams receive a project brief; deliverables may vary depending on involvement of an industrial consultant; final system presented at trade fair/workshop with employer feedback; peer assessment. 2026/27 module leader Dr Marie Devlin.</t>
        </is>
      </c>
    </row>
    <row r="413">
      <c r="A413" s="77" t="inlineStr">
        <is>
          <t>RG15-S05-R2</t>
        </is>
      </c>
      <c r="B413" s="77" t="inlineStr">
        <is>
          <t>RG15</t>
        </is>
      </c>
      <c r="C413" s="77" t="inlineStr">
        <is>
          <t>RG15-S05</t>
        </is>
      </c>
      <c r="D413" s="77" t="inlineStr">
        <is>
          <t>CSC2033 Software Engineering Team Project</t>
        </is>
      </c>
      <c r="E413" s="77" t="inlineStr">
        <is>
          <t>employer; participation</t>
        </is>
      </c>
      <c r="F413" s="77" t="inlineStr">
        <is>
          <t>https://pdf.ncl.ac.uk/ug/2025/g400.pdf</t>
        </is>
      </c>
      <c r="G413" s="77" t="inlineStr">
        <is>
          <t>Course Summary: October 8, 2025 Computer Science BSc Honours G400</t>
        </is>
      </c>
      <c r="H413" s="77" t="inlineStr">
        <is>
          <t>Stage 2</t>
        </is>
      </c>
      <c r="I413" s="77" t="inlineStr">
        <is>
          <t>2025</t>
        </is>
      </c>
      <c r="J413" s="77" t="inlineStr">
        <is>
          <t>2026-10-12</t>
        </is>
      </c>
      <c r="K413" s="77" t="inlineStr">
        <is>
          <t>search-summary paraphrase</t>
        </is>
      </c>
      <c r="L413" s="77" t="inlineStr">
        <is>
          <t>Search summary: Stage 2 team project uses real-life industry briefs; projects marked by industry representatives, lecturers and the project sponsor.</t>
        </is>
      </c>
    </row>
    <row r="414">
      <c r="A414" s="77" t="inlineStr">
        <is>
          <t>RG15-S06-R1</t>
        </is>
      </c>
      <c r="B414" s="77" t="inlineStr">
        <is>
          <t>RG15</t>
        </is>
      </c>
      <c r="C414" s="77" t="inlineStr">
        <is>
          <t>RG15-S06</t>
        </is>
      </c>
      <c r="D414" s="77" t="inlineStr">
        <is>
          <t>Mechanical Engineering industry-hosted final-year team projects</t>
        </is>
      </c>
      <c r="E414" s="77" t="inlineStr">
        <is>
          <t>project; group; employer; duration</t>
        </is>
      </c>
      <c r="F414" s="77" t="inlineStr">
        <is>
          <t>https://www.ncl.ac.uk/engineering/business-innovation-partners/mechanical-engineering-partnerships/</t>
        </is>
      </c>
      <c r="G414" s="77" t="inlineStr">
        <is>
          <t>Mechanical Engineering Partnerships</t>
        </is>
      </c>
      <c r="H414" s="77" t="inlineStr">
        <is>
          <t>Student projects</t>
        </is>
      </c>
      <c r="I414" s="77" t="inlineStr">
        <is>
          <t>undated</t>
        </is>
      </c>
      <c r="J414" s="77" t="inlineStr">
        <is>
          <t>2026-10-12</t>
        </is>
      </c>
      <c r="K414" s="77" t="inlineStr">
        <is>
          <t>search-summary paraphrase</t>
        </is>
      </c>
      <c r="L414" s="77" t="inlineStr">
        <is>
          <t>Each year needs enough companies to support 25-30 teams, each typically five final-year students; c.750-hour projects in local industry October-January; 3,000-hour MEng team project; NDAs can be discussed.</t>
        </is>
      </c>
    </row>
    <row r="415">
      <c r="A415" s="77" t="inlineStr">
        <is>
          <t>RG15-S07-R1</t>
        </is>
      </c>
      <c r="B415" s="77" t="inlineStr">
        <is>
          <t>RG15</t>
        </is>
      </c>
      <c r="C415" s="77" t="inlineStr">
        <is>
          <t>RG15-S07</t>
        </is>
      </c>
      <c r="D415" s="77" t="inlineStr">
        <is>
          <t>TCP8024 Consultancy Project (planning)</t>
        </is>
      </c>
      <c r="E415" s="77" t="inlineStr">
        <is>
          <t>project; group; employer; credit; status</t>
        </is>
      </c>
      <c r="F415" s="77" t="inlineStr">
        <is>
          <t>https://www.ncl.ac.uk/undergraduate/degrees/module/?code=tcp8024</t>
        </is>
      </c>
      <c r="G415" s="77" t="inlineStr">
        <is>
          <t>TCP8024 : Consultancy Project</t>
        </is>
      </c>
      <c r="H415" s="77" t="inlineStr">
        <is>
          <t>Module page</t>
        </is>
      </c>
      <c r="I415" s="77" t="inlineStr">
        <is>
          <t>2026/27</t>
        </is>
      </c>
      <c r="J415" s="77" t="inlineStr">
        <is>
          <t>2026-10-12</t>
        </is>
      </c>
      <c r="K415" s="77" t="inlineStr">
        <is>
          <t>search-index extract (quoted)</t>
        </is>
      </c>
      <c r="L415" s="77" t="inlineStr">
        <is>
          <t>'The Consultancy Project is designed to allow a group of students to work intensively on a piece of consultancy work for an outside client. This is a "live" project and the project brief is that of the client organisation with only minimum input from the School.' Group presentation to client plus group report c.10,000 words; offered 2026/27, 20 credits, led by Dr Zan Gunn.</t>
        </is>
      </c>
    </row>
    <row r="416">
      <c r="A416" s="77" t="inlineStr">
        <is>
          <t>RG15-S07-R2</t>
        </is>
      </c>
      <c r="B416" s="77" t="inlineStr">
        <is>
          <t>RG15</t>
        </is>
      </c>
      <c r="C416" s="77" t="inlineStr">
        <is>
          <t>RG15-S07</t>
        </is>
      </c>
      <c r="D416" s="77" t="inlineStr">
        <is>
          <t>TCP8024 Consultancy Project (planning)</t>
        </is>
      </c>
      <c r="E416" s="77" t="inlineStr">
        <is>
          <t>participation; eligibility</t>
        </is>
      </c>
      <c r="F416" s="77" t="inlineStr">
        <is>
          <t>https://www.ncl.ac.uk/undergraduate/degrees/k400/</t>
        </is>
      </c>
      <c r="G416" s="77" t="inlineStr">
        <is>
          <t>Master of Planning MPlan</t>
        </is>
      </c>
      <c r="H416" s="77" t="inlineStr">
        <is>
          <t>Compulsory modules</t>
        </is>
      </c>
      <c r="I416" s="77" t="inlineStr">
        <is>
          <t>undated</t>
        </is>
      </c>
      <c r="J416" s="77" t="inlineStr">
        <is>
          <t>2026-10-12</t>
        </is>
      </c>
      <c r="K416" s="77" t="inlineStr">
        <is>
          <t>search-summary paraphrase</t>
        </is>
      </c>
      <c r="L416" s="77" t="inlineStr">
        <is>
          <t>TCP8024 listed as compulsory 20-credit module on the MPlan (search summary).</t>
        </is>
      </c>
    </row>
    <row r="417">
      <c r="A417" s="77" t="inlineStr">
        <is>
          <t>RG15-S08-R1</t>
        </is>
      </c>
      <c r="B417" s="77" t="inlineStr">
        <is>
          <t>RG15</t>
        </is>
      </c>
      <c r="C417" s="77" t="inlineStr">
        <is>
          <t>RG15-S08</t>
        </is>
      </c>
      <c r="D417" s="77" t="inlineStr">
        <is>
          <t>POL3103 Community-based Research in Politics</t>
        </is>
      </c>
      <c r="E417" s="77" t="inlineStr">
        <is>
          <t>project; group; employer; status; credit</t>
        </is>
      </c>
      <c r="F417" s="77" t="inlineStr">
        <is>
          <t>https://www.ncl.ac.uk/mobility/newcastle/study-abroad/POL3103</t>
        </is>
      </c>
      <c r="G417" s="77" t="inlineStr">
        <is>
          <t>POL3103 : Community-based Research in Politics</t>
        </is>
      </c>
      <c r="H417" s="77" t="inlineStr">
        <is>
          <t>Module catalogue entry</t>
        </is>
      </c>
      <c r="I417" s="77" t="inlineStr">
        <is>
          <t>2025/26</t>
        </is>
      </c>
      <c r="J417" s="77" t="inlineStr">
        <is>
          <t>2026-10-12</t>
        </is>
      </c>
      <c r="K417" s="77" t="inlineStr">
        <is>
          <t>search-summary paraphrase</t>
        </is>
      </c>
      <c r="L417" s="77" t="inlineStr">
        <is>
          <t>Syllabus: meeting partner organisations, allocating teams, research question, design, ethics, data collection, drafting report and presenting at a workshop; leaders Dr David Walker and Prof Stephen Elstub; 40 credits, capped at 20.</t>
        </is>
      </c>
    </row>
    <row r="418">
      <c r="A418" s="77" t="inlineStr">
        <is>
          <t>RG15-S08-R2</t>
        </is>
      </c>
      <c r="B418" s="77" t="inlineStr">
        <is>
          <t>RG15</t>
        </is>
      </c>
      <c r="C418" s="77" t="inlineStr">
        <is>
          <t>RG15-S08</t>
        </is>
      </c>
      <c r="D418" s="77" t="inlineStr">
        <is>
          <t>POL3103 Community-based Research in Politics</t>
        </is>
      </c>
      <c r="E418" s="77" t="inlineStr">
        <is>
          <t>project; group; employer</t>
        </is>
      </c>
      <c r="F418" s="77" t="inlineStr">
        <is>
          <t>https://www.ncl.ac.uk/module-catalogue/module.php?code=POL3103</t>
        </is>
      </c>
      <c r="G418" s="77" t="inlineStr">
        <is>
          <t>POL3103 module catalogue (2022/23 entry)</t>
        </is>
      </c>
      <c r="H418" s="77" t="inlineStr">
        <is>
          <t>Description</t>
        </is>
      </c>
      <c r="I418" s="77" t="inlineStr">
        <is>
          <t>2022/23</t>
        </is>
      </c>
      <c r="J418" s="77" t="inlineStr">
        <is>
          <t>2026-10-12</t>
        </is>
      </c>
      <c r="K418" s="77" t="inlineStr">
        <is>
          <t>search-index extract (quoted)</t>
        </is>
      </c>
      <c r="L418" s="77" t="inlineStr">
        <is>
          <t>Students select a preferred project and are placed on a student research team for the academic year; portfolio work provides the research teams with resources to formulate a policy report and presentation on behalf of their partner organisation.</t>
        </is>
      </c>
    </row>
    <row r="419">
      <c r="A419" s="77" t="inlineStr">
        <is>
          <t>RG15-S08-R3</t>
        </is>
      </c>
      <c r="B419" s="77" t="inlineStr">
        <is>
          <t>RG15</t>
        </is>
      </c>
      <c r="C419" s="77" t="inlineStr">
        <is>
          <t>RG15-S08</t>
        </is>
      </c>
      <c r="D419" s="77" t="inlineStr">
        <is>
          <t>POL3103 Community-based Research in Politics</t>
        </is>
      </c>
      <c r="E419" s="77" t="inlineStr">
        <is>
          <t>employer; group</t>
        </is>
      </c>
      <c r="F419" s="77" t="inlineStr">
        <is>
          <t>https://www.ncl.ac.uk/gps/work-with-us/community-engagement/</t>
        </is>
      </c>
      <c r="G419" s="77" t="inlineStr">
        <is>
          <t>Community Engagement Partnerships</t>
        </is>
      </c>
      <c r="H419" s="77" t="inlineStr">
        <is>
          <t>Partner page</t>
        </is>
      </c>
      <c r="I419" s="77" t="inlineStr">
        <is>
          <t>undated</t>
        </is>
      </c>
      <c r="J419" s="77" t="inlineStr">
        <is>
          <t>2026-10-12</t>
        </is>
      </c>
      <c r="K419" s="77" t="inlineStr">
        <is>
          <t>search-summary paraphrase</t>
        </is>
      </c>
      <c r="L419" s="77" t="inlineStr">
        <is>
          <t>A student team, guided by academics, investigates a topic the partner chooses and presents a report with recommendations.</t>
        </is>
      </c>
    </row>
    <row r="420">
      <c r="A420" s="77" t="inlineStr">
        <is>
          <t>RG15-S08-R4</t>
        </is>
      </c>
      <c r="B420" s="77" t="inlineStr">
        <is>
          <t>RG15</t>
        </is>
      </c>
      <c r="C420" s="77" t="inlineStr">
        <is>
          <t>RG15-S08</t>
        </is>
      </c>
      <c r="D420" s="77" t="inlineStr">
        <is>
          <t>POL3103 Community-based Research in Politics</t>
        </is>
      </c>
      <c r="E420" s="77" t="inlineStr">
        <is>
          <t>employer; group</t>
        </is>
      </c>
      <c r="F420" s="77" t="inlineStr">
        <is>
          <t>https://research.ncl.ac.uk/socialjusticene/</t>
        </is>
      </c>
      <c r="G420" s="77" t="inlineStr">
        <is>
          <t>Social Justice North East</t>
        </is>
      </c>
      <c r="H420" s="77" t="inlineStr">
        <is>
          <t>Project site</t>
        </is>
      </c>
      <c r="I420" s="77" t="inlineStr">
        <is>
          <t>2014-15</t>
        </is>
      </c>
      <c r="J420" s="77" t="inlineStr">
        <is>
          <t>2026-10-12</t>
        </is>
      </c>
      <c r="K420" s="77" t="inlineStr">
        <is>
          <t>search-summary paraphrase</t>
        </is>
      </c>
      <c r="L420" s="77" t="inlineStr">
        <is>
          <t>Students worked in five small research teams with voluntary-sector partners; a Carers Northumberland project informed later research.</t>
        </is>
      </c>
    </row>
    <row r="421">
      <c r="A421" s="77" t="inlineStr">
        <is>
          <t>RG15-S09-R1</t>
        </is>
      </c>
      <c r="B421" s="77" t="inlineStr">
        <is>
          <t>RG15</t>
        </is>
      </c>
      <c r="C421" s="77" t="inlineStr">
        <is>
          <t>RG15-S09</t>
        </is>
      </c>
      <c r="D421" s="77" t="inlineStr">
        <is>
          <t>NES2202 Sustainable Solutions</t>
        </is>
      </c>
      <c r="E421" s="77" t="inlineStr">
        <is>
          <t>project; group; employer; credit</t>
        </is>
      </c>
      <c r="F421" s="77" t="inlineStr">
        <is>
          <t>https://www.ncl.ac.uk/mobility/module/?code=NES2202</t>
        </is>
      </c>
      <c r="G421" s="77" t="inlineStr">
        <is>
          <t>NES2202 : Sustainable Solutions</t>
        </is>
      </c>
      <c r="H421" s="77" t="inlineStr">
        <is>
          <t>Module catalogue</t>
        </is>
      </c>
      <c r="I421" s="77" t="inlineStr">
        <is>
          <t>undated</t>
        </is>
      </c>
      <c r="J421" s="77" t="inlineStr">
        <is>
          <t>2026-10-12</t>
        </is>
      </c>
      <c r="K421" s="77" t="inlineStr">
        <is>
          <t>search-index extract (quoted)</t>
        </is>
      </c>
      <c r="L421" s="77" t="inlineStr">
        <is>
          <t>Work with an external organisation on a problem and generate a sustainable solution; small teams with peers from other degree programmes; student teams meet challenge sponsors for early feedback; pitch to sponsor; finals with student and sponsor voting; 10 credits, Semester 1.</t>
        </is>
      </c>
    </row>
    <row r="422">
      <c r="A422" s="77" t="inlineStr">
        <is>
          <t>RG15-S09-R2</t>
        </is>
      </c>
      <c r="B422" s="77" t="inlineStr">
        <is>
          <t>RG15</t>
        </is>
      </c>
      <c r="C422" s="77" t="inlineStr">
        <is>
          <t>RG15-S09</t>
        </is>
      </c>
      <c r="D422" s="77" t="inlineStr">
        <is>
          <t>NES2202 Sustainable Solutions</t>
        </is>
      </c>
      <c r="E422" s="77" t="inlineStr">
        <is>
          <t>participation; eligibility</t>
        </is>
      </c>
      <c r="F422" s="77" t="inlineStr">
        <is>
          <t>https://www.ncl.ac.uk/undergraduate/degrees/d400/</t>
        </is>
      </c>
      <c r="G422" s="77" t="inlineStr">
        <is>
          <t>Agriculture BSc</t>
        </is>
      </c>
      <c r="H422" s="77" t="inlineStr">
        <is>
          <t>Modules</t>
        </is>
      </c>
      <c r="I422" s="77" t="inlineStr">
        <is>
          <t>undated</t>
        </is>
      </c>
      <c r="J422" s="77" t="inlineStr">
        <is>
          <t>2026-10-12</t>
        </is>
      </c>
      <c r="K422" s="77" t="inlineStr">
        <is>
          <t>search-summary paraphrase</t>
        </is>
      </c>
      <c r="L422" s="77" t="inlineStr">
        <is>
          <t>Sustainable Solutions listed as a 10-credit compulsory module (search summary); also on Chemistry with Medicinal Chemistry BSc.</t>
        </is>
      </c>
    </row>
    <row r="423">
      <c r="A423" s="77" t="inlineStr">
        <is>
          <t>RG15-S10-R1</t>
        </is>
      </c>
      <c r="B423" s="77" t="inlineStr">
        <is>
          <t>RG15</t>
        </is>
      </c>
      <c r="C423" s="77" t="inlineStr">
        <is>
          <t>RG15-S10</t>
        </is>
      </c>
      <c r="D423" s="77" t="inlineStr">
        <is>
          <t>APL3001 Alternative Practice: Co-producing Space</t>
        </is>
      </c>
      <c r="E423" s="77" t="inlineStr">
        <is>
          <t>project; employer; status; credit</t>
        </is>
      </c>
      <c r="F423" s="77" t="inlineStr">
        <is>
          <t>https://www.ncl.ac.uk/mobility/newcastle/study-abroad/APL3001</t>
        </is>
      </c>
      <c r="G423" s="77" t="inlineStr">
        <is>
          <t>APL3001 : Alternative Practice: Co-producing Space</t>
        </is>
      </c>
      <c r="H423" s="77" t="inlineStr">
        <is>
          <t>Module catalogue</t>
        </is>
      </c>
      <c r="I423" s="77" t="inlineStr">
        <is>
          <t>2025/26</t>
        </is>
      </c>
      <c r="J423" s="77" t="inlineStr">
        <is>
          <t>2026-10-12</t>
        </is>
      </c>
      <c r="K423" s="77" t="inlineStr">
        <is>
          <t>search-summary paraphrase</t>
        </is>
      </c>
      <c r="L423" s="77" t="inlineStr">
        <is>
          <t>Stage 3, 20 credits, Semester 2; live project, 1:1 design and build of an urban intervention in collaboration with a community group.</t>
        </is>
      </c>
    </row>
    <row r="424">
      <c r="A424" s="77" t="inlineStr">
        <is>
          <t>RG15-S10-R2</t>
        </is>
      </c>
      <c r="B424" s="77" t="inlineStr">
        <is>
          <t>RG15</t>
        </is>
      </c>
      <c r="C424" s="77" t="inlineStr">
        <is>
          <t>RG15-S10</t>
        </is>
      </c>
      <c r="D424" s="77" t="inlineStr">
        <is>
          <t>APL3001 Alternative Practice: Co-producing Space</t>
        </is>
      </c>
      <c r="E424" s="77" t="inlineStr">
        <is>
          <t>group; employer; participation</t>
        </is>
      </c>
      <c r="F424" s="77" t="inlineStr">
        <is>
          <t>https://www.ncl.ac.uk/undergraduate/degrees/k190/</t>
        </is>
      </c>
      <c r="G424" s="77" t="inlineStr">
        <is>
          <t>Architecture and Urban Planning BA</t>
        </is>
      </c>
      <c r="H424" s="77" t="inlineStr">
        <is>
          <t>Stage 3</t>
        </is>
      </c>
      <c r="I424" s="77" t="inlineStr">
        <is>
          <t>undated</t>
        </is>
      </c>
      <c r="J424" s="77" t="inlineStr">
        <is>
          <t>2026-10-12</t>
        </is>
      </c>
      <c r="K424" s="77" t="inlineStr">
        <is>
          <t>search-summary paraphrase</t>
        </is>
      </c>
      <c r="L424" s="77" t="inlineStr">
        <is>
          <t>Optional module: semester-long project in which students work in groups on a live intervention, typically conducted with a community group in the North East.</t>
        </is>
      </c>
    </row>
    <row r="425">
      <c r="A425" s="77" t="inlineStr">
        <is>
          <t>RG15-S11-R1</t>
        </is>
      </c>
      <c r="B425" s="77" t="inlineStr">
        <is>
          <t>RG15</t>
        </is>
      </c>
      <c r="C425" s="77" t="inlineStr">
        <is>
          <t>RG15-S11</t>
        </is>
      </c>
      <c r="D425" s="77" t="inlineStr">
        <is>
          <t>Careers Service Practera Horizons programme</t>
        </is>
      </c>
      <c r="E425" s="77" t="inlineStr">
        <is>
          <t>project; group; employer; status; duration; participation</t>
        </is>
      </c>
      <c r="F425" s="77" t="inlineStr">
        <is>
          <t>https://www.ncl.ac.uk/careers/about/news/news-items/practera-virtual-work-experience-programme/</t>
        </is>
      </c>
      <c r="G425" s="77" t="inlineStr">
        <is>
          <t>Launch of Practera programme - Careers Service</t>
        </is>
      </c>
      <c r="H425" s="77" t="inlineStr">
        <is>
          <t>News item, 2 March 2026</t>
        </is>
      </c>
      <c r="I425" s="77" t="inlineStr">
        <is>
          <t>2026</t>
        </is>
      </c>
      <c r="J425" s="77" t="inlineStr">
        <is>
          <t>2026-10-12</t>
        </is>
      </c>
      <c r="K425" s="77" t="inlineStr">
        <is>
          <t>search-summary paraphrase</t>
        </is>
      </c>
      <c r="L425" s="77" t="inlineStr">
        <is>
          <t>Twelve funded places on Horizons from January 2026; three-week programme; cross-university teams advise a real start-up, business or charity; each team received a project brief and produced a professional report.</t>
        </is>
      </c>
    </row>
    <row r="426">
      <c r="A426" s="77" t="inlineStr">
        <is>
          <t>RG15-S12-R1</t>
        </is>
      </c>
      <c r="B426" s="77" t="inlineStr">
        <is>
          <t>RG15</t>
        </is>
      </c>
      <c r="C426" s="77" t="inlineStr">
        <is>
          <t>RG15-S12</t>
        </is>
      </c>
      <c r="D426" s="77" t="inlineStr">
        <is>
          <t>MSc Advanced Data Science group project (5395F)</t>
        </is>
      </c>
      <c r="E426" s="77" t="inlineStr">
        <is>
          <t>project; group; employer; status</t>
        </is>
      </c>
      <c r="F426" s="77" t="inlineStr">
        <is>
          <t>https://teaching.ncl.ac.uk/docs/regsdocs2025/documents/-S5395F_2526.pdf</t>
        </is>
      </c>
      <c r="G426" s="77" t="inlineStr">
        <is>
          <t>Programme Specification 2025-26: Advanced Data Science MSc</t>
        </is>
      </c>
      <c r="H426" s="77" t="inlineStr">
        <is>
          <t>Learning outcomes/teaching</t>
        </is>
      </c>
      <c r="I426" s="77" t="inlineStr">
        <is>
          <t>2025/26</t>
        </is>
      </c>
      <c r="J426" s="77" t="inlineStr">
        <is>
          <t>2026-10-12</t>
        </is>
      </c>
      <c r="K426" s="77" t="inlineStr">
        <is>
          <t>search-summary paraphrase</t>
        </is>
      </c>
      <c r="L426" s="77" t="inlineStr">
        <is>
          <t>Students work in small groups to solve a practical applied problem; where possible projects are genuine research problems provided by industrial or applied academic collaborators.</t>
        </is>
      </c>
    </row>
    <row r="427">
      <c r="A427" s="77" t="inlineStr">
        <is>
          <t>RG15-S13-R1</t>
        </is>
      </c>
      <c r="B427" s="77" t="inlineStr">
        <is>
          <t>RG15</t>
        </is>
      </c>
      <c r="C427" s="77" t="inlineStr">
        <is>
          <t>RG15-S13</t>
        </is>
      </c>
      <c r="D427" s="77" t="inlineStr">
        <is>
          <t>MSc Data Science and Industrial Biotechnology capstone hackathon</t>
        </is>
      </c>
      <c r="E427" s="77" t="inlineStr">
        <is>
          <t>group; employer</t>
        </is>
      </c>
      <c r="F427" s="77" t="inlineStr">
        <is>
          <t>https://www.ncl.ac.uk/postgraduate/degrees/5547f/</t>
        </is>
      </c>
      <c r="G427" s="77" t="inlineStr">
        <is>
          <t>Data Science and Industrial Biotechnology</t>
        </is>
      </c>
      <c r="H427" s="77" t="inlineStr">
        <is>
          <t>Programme page</t>
        </is>
      </c>
      <c r="I427" s="77" t="inlineStr">
        <is>
          <t>undated</t>
        </is>
      </c>
      <c r="J427" s="77" t="inlineStr">
        <is>
          <t>2026-10-12</t>
        </is>
      </c>
      <c r="K427" s="77" t="inlineStr">
        <is>
          <t>search-summary paraphrase</t>
        </is>
      </c>
      <c r="L427" s="77" t="inlineStr">
        <is>
          <t>Group hackathon co-delivered with industry partners including Procter &amp; Gamble, Northumbrian Water, Ginkgo Bioworks and Lonza; partners help shape assessment briefs and contribute to group projects.</t>
        </is>
      </c>
    </row>
    <row r="428">
      <c r="A428" s="77" t="inlineStr">
        <is>
          <t>RG15-S14-R1</t>
        </is>
      </c>
      <c r="B428" s="77" t="inlineStr">
        <is>
          <t>RG15</t>
        </is>
      </c>
      <c r="C428" s="77" t="inlineStr">
        <is>
          <t>RG15-S14</t>
        </is>
      </c>
      <c r="D428" s="77" t="inlineStr">
        <is>
          <t>Museum Studies MA: Producing Curatorial Projects for Museum Audiences</t>
        </is>
      </c>
      <c r="E428" s="77" t="inlineStr">
        <is>
          <t>project; group; employer; credit; participation</t>
        </is>
      </c>
      <c r="F428" s="77" t="inlineStr">
        <is>
          <t>https://www.ncl.ac.uk/postgraduate/degrees/4007f/</t>
        </is>
      </c>
      <c r="G428" s="77" t="inlineStr">
        <is>
          <t>Museum Studies MA, PGDip</t>
        </is>
      </c>
      <c r="H428" s="77" t="inlineStr">
        <is>
          <t>Compulsory modules</t>
        </is>
      </c>
      <c r="I428" s="77" t="inlineStr">
        <is>
          <t>undated</t>
        </is>
      </c>
      <c r="J428" s="77" t="inlineStr">
        <is>
          <t>2026-10-12</t>
        </is>
      </c>
      <c r="K428" s="77" t="inlineStr">
        <is>
          <t>search-summary paraphrase</t>
        </is>
      </c>
      <c r="L428" s="77" t="inlineStr">
        <is>
          <t>20-credit compulsory module Producing Curatorial Projects for Museum Audiences; semester-long group curatorial project with the Great North Museum: Hancock; student team duties include budget, labels, hanging.</t>
        </is>
      </c>
    </row>
    <row r="429">
      <c r="A429" s="77" t="inlineStr">
        <is>
          <t>RG16-S01-R1</t>
        </is>
      </c>
      <c r="B429" s="77" t="inlineStr">
        <is>
          <t>RG16</t>
        </is>
      </c>
      <c r="C429" s="77" t="inlineStr">
        <is>
          <t>RG16-S01</t>
        </is>
      </c>
      <c r="D429" s="77" t="inlineStr">
        <is>
          <t>Company-based Consultancy Challenge (NUBS)</t>
        </is>
      </c>
      <c r="E429" s="77" t="inlineStr">
        <is>
          <t>project; group; employer</t>
        </is>
      </c>
      <c r="F429" s="77" t="inlineStr">
        <is>
          <t>https://www.nottingham.ac.uk/business/news/msc-management-consultancy-challenge-2025.aspx</t>
        </is>
      </c>
      <c r="G429" s="77" t="inlineStr">
        <is>
          <t>MSc Consultancy Competition 2025 - Final presentations and awards</t>
        </is>
      </c>
      <c r="H429" s="77" t="inlineStr">
        <is>
          <t>news article</t>
        </is>
      </c>
      <c r="I429" s="77" t="inlineStr">
        <is>
          <t>2025</t>
        </is>
      </c>
      <c r="J429" s="77" t="inlineStr">
        <is>
          <t>2026-10-12</t>
        </is>
      </c>
      <c r="K429" s="77" t="inlineStr">
        <is>
          <t>search-summary paraphrase</t>
        </is>
      </c>
      <c r="L429" s="77" t="inlineStr">
        <is>
          <t>Real-world business problems from local partner companies; each organisation partnered with two student teams; supported by academic mentors incl. Professors of Practice and company representatives; three weeks of research then presentation to a panel of business partners, mentors and peers; IBM brief winner.</t>
        </is>
      </c>
    </row>
    <row r="430">
      <c r="A430" s="77" t="inlineStr">
        <is>
          <t>RG16-S01-R2</t>
        </is>
      </c>
      <c r="B430" s="77" t="inlineStr">
        <is>
          <t>RG16</t>
        </is>
      </c>
      <c r="C430" s="77" t="inlineStr">
        <is>
          <t>RG16-S01</t>
        </is>
      </c>
      <c r="D430" s="77" t="inlineStr">
        <is>
          <t>Company-based Consultancy Challenge (NUBS)</t>
        </is>
      </c>
      <c r="E430" s="77" t="inlineStr">
        <is>
          <t>employer; reach; eligibility; status; group</t>
        </is>
      </c>
      <c r="F430" s="77" t="inlineStr">
        <is>
          <t>https://www.nottingham.ac.uk/business/news/consultancy-challenge-2026-final-presentations-and-awards.aspx</t>
        </is>
      </c>
      <c r="G430" s="77" t="inlineStr">
        <is>
          <t>Consultancy Challenge 2026 - Final presentations and awards</t>
        </is>
      </c>
      <c r="H430" s="77" t="inlineStr">
        <is>
          <t>news article</t>
        </is>
      </c>
      <c r="I430" s="77" t="inlineStr">
        <is>
          <t>2026 (30 July 2026)</t>
        </is>
      </c>
      <c r="J430" s="77" t="inlineStr">
        <is>
          <t>2026-10-12</t>
        </is>
      </c>
      <c r="K430" s="77" t="inlineStr">
        <is>
          <t>search-summary paraphrase</t>
        </is>
      </c>
      <c r="L430" s="77" t="inlineStr">
        <is>
          <t>Opened to undergraduates as well as master's students; teams worked on real business problems from local partner organisations; each organisation paired with two teams; winners by client: Hallam, ApplyU, Capital One, Notts County Foundation.</t>
        </is>
      </c>
    </row>
    <row r="431">
      <c r="A431" s="77" t="inlineStr">
        <is>
          <t>RG16-S01-R3</t>
        </is>
      </c>
      <c r="B431" s="77" t="inlineStr">
        <is>
          <t>RG16</t>
        </is>
      </c>
      <c r="C431" s="77" t="inlineStr">
        <is>
          <t>RG16-S01</t>
        </is>
      </c>
      <c r="D431" s="77" t="inlineStr">
        <is>
          <t>Company-based Consultancy Challenge (NUBS)</t>
        </is>
      </c>
      <c r="E431" s="77" t="inlineStr">
        <is>
          <t>group; employer; credit</t>
        </is>
      </c>
      <c r="F431" s="77" t="inlineStr">
        <is>
          <t>https://www.nottingham.ac.uk/business/study-with-us/company-based-challenge.aspx</t>
        </is>
      </c>
      <c r="G431" s="77" t="inlineStr">
        <is>
          <t>Company based challenge</t>
        </is>
      </c>
      <c r="H431" s="77" t="inlineStr">
        <is>
          <t>programme page</t>
        </is>
      </c>
      <c r="I431" s="77" t="inlineStr">
        <is>
          <t>undated</t>
        </is>
      </c>
      <c r="J431" s="77" t="inlineStr">
        <is>
          <t>2026-10-12</t>
        </is>
      </c>
      <c r="K431" s="77" t="inlineStr">
        <is>
          <t>search-summary paraphrase</t>
        </is>
      </c>
      <c r="L431" s="77" t="inlineStr">
        <is>
          <t>Teams of six to eight students work on a challenge set by a partner organisation; school will support organisations to develop a suitable brief; certificate and LinkedIn badge benefits; no credit mentioned.</t>
        </is>
      </c>
    </row>
    <row r="432">
      <c r="A432" s="77" t="inlineStr">
        <is>
          <t>RG16-S02-R1</t>
        </is>
      </c>
      <c r="B432" s="77" t="inlineStr">
        <is>
          <t>RG16</t>
        </is>
      </c>
      <c r="C432" s="77" t="inlineStr">
        <is>
          <t>RG16-S02</t>
        </is>
      </c>
      <c r="D432" s="77" t="inlineStr">
        <is>
          <t>Entrepreneurship Project (MSc Entrepreneurship, Innovation and Management)</t>
        </is>
      </c>
      <c r="E432" s="77" t="inlineStr">
        <is>
          <t>project; group; employer; status</t>
        </is>
      </c>
      <c r="F432" s="77" t="inlineStr">
        <is>
          <t>https://www.nottingham.ac.uk/business/news/entrepreneurship-consultancy-project-2025.aspx</t>
        </is>
      </c>
      <c r="G432" s="77" t="inlineStr">
        <is>
          <t>Students celebrate Entrepreneurship Consultancy Project success</t>
        </is>
      </c>
      <c r="H432" s="77" t="inlineStr">
        <is>
          <t>news article</t>
        </is>
      </c>
      <c r="I432" s="77" t="inlineStr">
        <is>
          <t>2025</t>
        </is>
      </c>
      <c r="J432" s="77" t="inlineStr">
        <is>
          <t>2026-10-12</t>
        </is>
      </c>
      <c r="K432" s="77" t="inlineStr">
        <is>
          <t>search-summary paraphrase</t>
        </is>
      </c>
      <c r="L432" s="77" t="inlineStr">
        <is>
          <t>Students on the MSc Entrepreneurship, Innovation and Management presented posters on 6 May 2025; twelve student groups worked with 12 start-ups and local companies; three months gathering market insights and engaging stakeholders before reports; students act as consultants on real challenges.</t>
        </is>
      </c>
    </row>
    <row r="433">
      <c r="A433" s="77" t="inlineStr">
        <is>
          <t>RG16-S02-R2</t>
        </is>
      </c>
      <c r="B433" s="77" t="inlineStr">
        <is>
          <t>RG16</t>
        </is>
      </c>
      <c r="C433" s="77" t="inlineStr">
        <is>
          <t>RG16-S02</t>
        </is>
      </c>
      <c r="D433" s="77" t="inlineStr">
        <is>
          <t>Entrepreneurship Project (MSc Entrepreneurship, Innovation and Management)</t>
        </is>
      </c>
      <c r="E433" s="77" t="inlineStr">
        <is>
          <t>project; employer</t>
        </is>
      </c>
      <c r="F433" s="77" t="inlineStr">
        <is>
          <t>https://www.nottingham.ac.uk/business/news/students-celebrate-presenting-entrepreneurship-projects.aspx</t>
        </is>
      </c>
      <c r="G433" s="77" t="inlineStr">
        <is>
          <t>Students celebrate presenting entrepreneurship projects</t>
        </is>
      </c>
      <c r="H433" s="77" t="inlineStr">
        <is>
          <t>news article</t>
        </is>
      </c>
      <c r="I433" s="77" t="inlineStr">
        <is>
          <t>2024</t>
        </is>
      </c>
      <c r="J433" s="77" t="inlineStr">
        <is>
          <t>2026-10-12</t>
        </is>
      </c>
      <c r="K433" s="77" t="inlineStr">
        <is>
          <t>search-summary paraphrase</t>
        </is>
      </c>
      <c r="L433" s="77" t="inlineStr">
        <is>
          <t>Earlier (2024) poster event for the same Entrepreneurship Project module; students consult for start-ups and companies.</t>
        </is>
      </c>
    </row>
    <row r="434">
      <c r="A434" s="77" t="inlineStr">
        <is>
          <t>RG16-S03-R1</t>
        </is>
      </c>
      <c r="B434" s="77" t="inlineStr">
        <is>
          <t>RG16</t>
        </is>
      </c>
      <c r="C434" s="77" t="inlineStr">
        <is>
          <t>RG16-S03</t>
        </is>
      </c>
      <c r="D434" s="77" t="inlineStr">
        <is>
          <t>Business Project (MSc, Nottingham University Business School)</t>
        </is>
      </c>
      <c r="E434" s="77" t="inlineStr">
        <is>
          <t>project; group; employer; credit; status; participation</t>
        </is>
      </c>
      <c r="F434" s="77" t="inlineStr">
        <is>
          <t>https://www.nottingham.ac.uk/pgstudy/course/taught/business-and-management-msc</t>
        </is>
      </c>
      <c r="G434" s="77" t="inlineStr">
        <is>
          <t>Business and Management MSc 2027 entry</t>
        </is>
      </c>
      <c r="H434" s="77" t="inlineStr">
        <is>
          <t>course structure</t>
        </is>
      </c>
      <c r="I434" s="77" t="inlineStr">
        <is>
          <t>2027 entry (and 2025-entry page)</t>
        </is>
      </c>
      <c r="J434" s="77" t="inlineStr">
        <is>
          <t>2026-10-12</t>
        </is>
      </c>
      <c r="K434" s="77" t="inlineStr">
        <is>
          <t>search-summary paraphrase</t>
        </is>
      </c>
      <c r="L434" s="77" t="inlineStr">
        <is>
          <t>Business Project lets students put theory into practice by collaborating in groups with an industry partner; final project can be dissertation or business project; 2025-entry page: 60-credit summer module, groups research a business topic, subject to availability and a student selection process.</t>
        </is>
      </c>
    </row>
    <row r="435">
      <c r="A435" s="77" t="inlineStr">
        <is>
          <t>RG16-S03-R2</t>
        </is>
      </c>
      <c r="B435" s="77" t="inlineStr">
        <is>
          <t>RG16</t>
        </is>
      </c>
      <c r="C435" s="77" t="inlineStr">
        <is>
          <t>RG16-S03</t>
        </is>
      </c>
      <c r="D435" s="77" t="inlineStr">
        <is>
          <t>Business Project (MSc, Nottingham University Business School)</t>
        </is>
      </c>
      <c r="E435" s="77" t="inlineStr">
        <is>
          <t>group; reach; eligibility</t>
        </is>
      </c>
      <c r="F435" s="77" t="inlineStr">
        <is>
          <t>https://blogs.nottingham.ac.uk/business/tag/business-project/</t>
        </is>
      </c>
      <c r="G435" s="77" t="inlineStr">
        <is>
          <t>Business Project Archives</t>
        </is>
      </c>
      <c r="H435" s="77" t="inlineStr">
        <is>
          <t>blog tag page</t>
        </is>
      </c>
      <c r="I435" s="77" t="inlineStr">
        <is>
          <t>2024</t>
        </is>
      </c>
      <c r="J435" s="77" t="inlineStr">
        <is>
          <t>2026-10-12</t>
        </is>
      </c>
      <c r="K435" s="77" t="inlineStr">
        <is>
          <t>search-summary paraphrase</t>
        </is>
      </c>
      <c r="L435" s="77" t="inlineStr">
        <is>
          <t>Business Project module is an option for Masters students across most departments, bringing students from various disciplines together to work on a business question.</t>
        </is>
      </c>
    </row>
    <row r="436">
      <c r="A436" s="77" t="inlineStr">
        <is>
          <t>RG16-S03-R3</t>
        </is>
      </c>
      <c r="B436" s="77" t="inlineStr">
        <is>
          <t>RG16</t>
        </is>
      </c>
      <c r="C436" s="77" t="inlineStr">
        <is>
          <t>RG16-S03</t>
        </is>
      </c>
      <c r="D436" s="77" t="inlineStr">
        <is>
          <t>Business Project (MSc, Nottingham University Business School)</t>
        </is>
      </c>
      <c r="E436" s="77" t="inlineStr">
        <is>
          <t>employer; project; status</t>
        </is>
      </c>
      <c r="F436" s="77" t="inlineStr">
        <is>
          <t>https://blogs.nottingham.ac.uk/business/2024/11/14/dispensing-change-students-rethink-pharmacys-role-in-pain-management/</t>
        </is>
      </c>
      <c r="G436" s="77" t="inlineStr">
        <is>
          <t>Dispensing Change: Students Rethink Pharmacy's Role in Pain Management</t>
        </is>
      </c>
      <c r="H436" s="77" t="inlineStr">
        <is>
          <t>blog post (14 Nov 2024)</t>
        </is>
      </c>
      <c r="I436" s="77" t="inlineStr">
        <is>
          <t>2024</t>
        </is>
      </c>
      <c r="J436" s="77" t="inlineStr">
        <is>
          <t>2026-10-12</t>
        </is>
      </c>
      <c r="K436" s="77" t="inlineStr">
        <is>
          <t>search-summary paraphrase</t>
        </is>
      </c>
      <c r="L436" s="77" t="inlineStr">
        <is>
          <t>Question came from the Expert Marketing team at Haleon; student groups pitched answers to the client; photo caption 'Masters Business Project Haleon Group Photo'.</t>
        </is>
      </c>
    </row>
    <row r="437">
      <c r="A437" s="77" t="inlineStr">
        <is>
          <t>RG16-S04-R1</t>
        </is>
      </c>
      <c r="B437" s="77" t="inlineStr">
        <is>
          <t>RG16</t>
        </is>
      </c>
      <c r="C437" s="77" t="inlineStr">
        <is>
          <t>RG16-S04</t>
        </is>
      </c>
      <c r="D437" s="77" t="inlineStr">
        <is>
          <t>Business Project (optional UG module, Business and Management BSc)</t>
        </is>
      </c>
      <c r="E437" s="77" t="inlineStr">
        <is>
          <t>project; status</t>
        </is>
      </c>
      <c r="F437" s="77" t="inlineStr">
        <is>
          <t>https://www.nottingham.ac.uk/studywithus/ugstudy/courses/UG/2026/Business-and-Management-BSc-Hons.html</t>
        </is>
      </c>
      <c r="G437" s="77" t="inlineStr">
        <is>
          <t>Business and Management BSc (Hons) (2026 entry)</t>
        </is>
      </c>
      <c r="H437" s="77" t="inlineStr">
        <is>
          <t>modules</t>
        </is>
      </c>
      <c r="I437" s="77" t="inlineStr">
        <is>
          <t>2026</t>
        </is>
      </c>
      <c r="J437" s="77" t="inlineStr">
        <is>
          <t>2026-10-12</t>
        </is>
      </c>
      <c r="K437" s="77" t="inlineStr">
        <is>
          <t>search-summary paraphrase</t>
        </is>
      </c>
      <c r="L437" s="77" t="inlineStr">
        <is>
          <t>Optional Business Project: students conduct research on a real-world business problem and use data collection/analysis to propose solutions; students can work with businesses on sustainable solutions.</t>
        </is>
      </c>
    </row>
    <row r="438">
      <c r="A438" s="77" t="inlineStr">
        <is>
          <t>RG16-S05-R1</t>
        </is>
      </c>
      <c r="B438" s="77" t="inlineStr">
        <is>
          <t>RG16</t>
        </is>
      </c>
      <c r="C438" s="77" t="inlineStr">
        <is>
          <t>RG16-S05</t>
        </is>
      </c>
      <c r="D438" s="77" t="inlineStr">
        <is>
          <t>Nottingham Consultancy Challenge (Careers)</t>
        </is>
      </c>
      <c r="E438" s="77" t="inlineStr">
        <is>
          <t>project; employer; status; reach</t>
        </is>
      </c>
      <c r="F438" s="77" t="inlineStr">
        <is>
          <t>https://www.nottingham.ac.uk/careers/students/work-experience/on-offer/nottingham-consultancy-challenge/index.aspx</t>
        </is>
      </c>
      <c r="G438" s="77" t="inlineStr">
        <is>
          <t>Nottingham Consultancy Challenge</t>
        </is>
      </c>
      <c r="H438" s="77" t="inlineStr">
        <is>
          <t>careers page</t>
        </is>
      </c>
      <c r="I438" s="77" t="inlineStr">
        <is>
          <t>undated (states 2025-26 status)</t>
        </is>
      </c>
      <c r="J438" s="77" t="inlineStr">
        <is>
          <t>2026-10-12</t>
        </is>
      </c>
      <c r="K438" s="77" t="inlineStr">
        <is>
          <t>search-summary paraphrase</t>
        </is>
      </c>
      <c r="L438" s="77" t="inlineStr">
        <is>
          <t>Not running in 2025-26; re-launched in 2026-27 with an updated model; hands-on work experience with local businesses and charities on a specific problem during spring term; students invited to express interest in 2026/27.</t>
        </is>
      </c>
    </row>
    <row r="439">
      <c r="A439" s="77" t="inlineStr">
        <is>
          <t>RG16-S05-R2</t>
        </is>
      </c>
      <c r="B439" s="77" t="inlineStr">
        <is>
          <t>RG16</t>
        </is>
      </c>
      <c r="C439" s="77" t="inlineStr">
        <is>
          <t>RG16-S05</t>
        </is>
      </c>
      <c r="D439" s="77" t="inlineStr">
        <is>
          <t>Nottingham Consultancy Challenge (Careers)</t>
        </is>
      </c>
      <c r="E439" s="77" t="inlineStr">
        <is>
          <t>group; employer</t>
        </is>
      </c>
      <c r="F439" s="77" t="inlineStr">
        <is>
          <t>https://www.nottingham.ac.uk/careers/students/work-experience/what-can-i-do/employer-led-projects-and-challenges.aspx</t>
        </is>
      </c>
      <c r="G439" s="77" t="inlineStr">
        <is>
          <t>Employer-led projects and challenges</t>
        </is>
      </c>
      <c r="H439" s="77" t="inlineStr">
        <is>
          <t>careers page</t>
        </is>
      </c>
      <c r="I439" s="77" t="inlineStr">
        <is>
          <t>undated</t>
        </is>
      </c>
      <c r="J439" s="77" t="inlineStr">
        <is>
          <t>2026-10-12</t>
        </is>
      </c>
      <c r="K439" s="77" t="inlineStr">
        <is>
          <t>search-summary paraphrase</t>
        </is>
      </c>
      <c r="L439" s="77" t="inlineStr">
        <is>
          <t>Consultancy Challenge places students in a multi-disciplinary team managing a short-term project for a local business or charity.</t>
        </is>
      </c>
    </row>
    <row r="440">
      <c r="A440" s="77" t="inlineStr">
        <is>
          <t>RG16-S06-R1</t>
        </is>
      </c>
      <c r="B440" s="77" t="inlineStr">
        <is>
          <t>RG16</t>
        </is>
      </c>
      <c r="C440" s="77" t="inlineStr">
        <is>
          <t>RG16-S06</t>
        </is>
      </c>
      <c r="D440" s="77" t="inlineStr">
        <is>
          <t>Software Engineering Group Project (Year 2, Computer Science)</t>
        </is>
      </c>
      <c r="E440" s="77" t="inlineStr">
        <is>
          <t>project; group; employer</t>
        </is>
      </c>
      <c r="F440" s="77" t="inlineStr">
        <is>
          <t>https://www.nottingham.ac.uk/studywithus/ugstudy/courses/UG/2026/Computer-Science-BSc-Hons.html</t>
        </is>
      </c>
      <c r="G440" s="77" t="inlineStr">
        <is>
          <t>Computer Science BSc (Hons)</t>
        </is>
      </c>
      <c r="H440" s="77" t="inlineStr">
        <is>
          <t>modules/Year 2</t>
        </is>
      </c>
      <c r="I440" s="77" t="inlineStr">
        <is>
          <t>2026 entry</t>
        </is>
      </c>
      <c r="J440" s="77" t="inlineStr">
        <is>
          <t>2026-10-12</t>
        </is>
      </c>
      <c r="K440" s="77" t="inlineStr">
        <is>
          <t>search-summary paraphrase</t>
        </is>
      </c>
      <c r="L440" s="77" t="inlineStr">
        <is>
          <t>Groups of around six to seven, each with a supervisor who gives a short description of an application to design, program and document; around half of the projects students bid for have industry partners.</t>
        </is>
      </c>
    </row>
    <row r="441">
      <c r="A441" s="77" t="inlineStr">
        <is>
          <t>RG16-S07-R1</t>
        </is>
      </c>
      <c r="B441" s="77" t="inlineStr">
        <is>
          <t>RG16</t>
        </is>
      </c>
      <c r="C441" s="77" t="inlineStr">
        <is>
          <t>RG16-S07</t>
        </is>
      </c>
      <c r="D441" s="77" t="inlineStr">
        <is>
          <t>MSci Group Programming Project (COMP4028)</t>
        </is>
      </c>
      <c r="E441" s="77" t="inlineStr">
        <is>
          <t>project; group; employer</t>
        </is>
      </c>
      <c r="F441" s="77" t="inlineStr">
        <is>
          <t>https://www.nottingham.ac.uk/studywithus/ugstudy/courses/UG/Computer-Science-MSci-Hons.html</t>
        </is>
      </c>
      <c r="G441" s="77" t="inlineStr">
        <is>
          <t>Computer Science MSci (Hons)</t>
        </is>
      </c>
      <c r="H441" s="77" t="inlineStr">
        <is>
          <t>Year 4 modules</t>
        </is>
      </c>
      <c r="I441" s="77" t="inlineStr">
        <is>
          <t>undated</t>
        </is>
      </c>
      <c r="J441" s="77" t="inlineStr">
        <is>
          <t>2026-10-12</t>
        </is>
      </c>
      <c r="K441" s="77" t="inlineStr">
        <is>
          <t>search-summary paraphrase</t>
        </is>
      </c>
      <c r="L441" s="77" t="inlineStr">
        <is>
          <t>Programming project for an external client, teams of two to four chosen by the students; client can be a company, charity, research group etc., but not the supervisor.</t>
        </is>
      </c>
    </row>
    <row r="442">
      <c r="A442" s="77" t="inlineStr">
        <is>
          <t>RG16-S07-R2</t>
        </is>
      </c>
      <c r="B442" s="77" t="inlineStr">
        <is>
          <t>RG16</t>
        </is>
      </c>
      <c r="C442" s="77" t="inlineStr">
        <is>
          <t>RG16-S07</t>
        </is>
      </c>
      <c r="D442" s="77" t="inlineStr">
        <is>
          <t>MSci Group Programming Project (COMP4028)</t>
        </is>
      </c>
      <c r="E442" s="77" t="inlineStr">
        <is>
          <t>credit; status</t>
        </is>
      </c>
      <c r="F442" s="77" t="inlineStr">
        <is>
          <t>https://campus.nottingham.ac.uk/psc/csprd_pub/EMPLOYEE/HRMS/c/UN_PROG_AND_MOD_EXTRACT.UN_PLN_EXTRT_FL_CP.GBL?PAGE=UN_CRS_EXT4_FPG&amp;CAMPUS=U&amp;TYPE=Module&amp;YEAR=2024&amp;TITLE=MSci+Group+Programming+Project&amp;MODULE=COMP4028&amp;CRSEID=018069&amp;LINKA=&amp;LINKB=&amp;LINKC=USC-CS</t>
        </is>
      </c>
      <c r="G442" s="77" t="inlineStr">
        <is>
          <t>Curriculum Catalogue: MSci Group Programming Project COMP4028</t>
        </is>
      </c>
      <c r="H442" s="77" t="inlineStr">
        <is>
          <t>module spec</t>
        </is>
      </c>
      <c r="I442" s="77" t="inlineStr">
        <is>
          <t>2024</t>
        </is>
      </c>
      <c r="J442" s="77" t="inlineStr">
        <is>
          <t>2026-10-12</t>
        </is>
      </c>
      <c r="K442" s="77" t="inlineStr">
        <is>
          <t>search-summary paraphrase</t>
        </is>
      </c>
      <c r="L442" s="77" t="inlineStr">
        <is>
          <t>COMP4028, 40 credits, full-year; group report, demo video, presentation and interim report.</t>
        </is>
      </c>
    </row>
    <row r="443">
      <c r="A443" s="77" t="inlineStr">
        <is>
          <t>RG16-S08-R1</t>
        </is>
      </c>
      <c r="B443" s="77" t="inlineStr">
        <is>
          <t>RG16</t>
        </is>
      </c>
      <c r="C443" s="77" t="inlineStr">
        <is>
          <t>RG16-S08</t>
        </is>
      </c>
      <c r="D443" s="77" t="inlineStr">
        <is>
          <t>Group Project (Year 3, Electronic and Computer Engineering MEng)</t>
        </is>
      </c>
      <c r="E443" s="77" t="inlineStr">
        <is>
          <t>project; group; employer</t>
        </is>
      </c>
      <c r="F443" s="77" t="inlineStr">
        <is>
          <t>https://www.nottingham.ac.uk/studywithus/ugstudy/courses/UG/Electronic-and-Computer-Engineering-with-a-Year-in-Industry-MEng-Hons.html</t>
        </is>
      </c>
      <c r="G443" s="77" t="inlineStr">
        <is>
          <t>Electronic and Computer Engineering MEng (Hons)</t>
        </is>
      </c>
      <c r="H443" s="77" t="inlineStr">
        <is>
          <t>Year 3 modules</t>
        </is>
      </c>
      <c r="I443" s="77" t="inlineStr">
        <is>
          <t>undated</t>
        </is>
      </c>
      <c r="J443" s="77" t="inlineStr">
        <is>
          <t>2026-10-12</t>
        </is>
      </c>
      <c r="K443" s="77" t="inlineStr">
        <is>
          <t>search-summary paraphrase</t>
        </is>
      </c>
      <c r="L443" s="77" t="inlineStr">
        <is>
          <t>Group Project: groups of between four and six students work on a real-world engineering problem set by a Stakeholder typically external to the Department; whole academic year; prototype built and tested.</t>
        </is>
      </c>
    </row>
    <row r="444">
      <c r="A444" s="77" t="inlineStr">
        <is>
          <t>RG16-S09-R1</t>
        </is>
      </c>
      <c r="B444" s="77" t="inlineStr">
        <is>
          <t>RG16</t>
        </is>
      </c>
      <c r="C444" s="77" t="inlineStr">
        <is>
          <t>RG16-S09</t>
        </is>
      </c>
      <c r="D444" s="77" t="inlineStr">
        <is>
          <t>Group Design and Make Project (Mechanical, Materials and Manufacturing Engineering)</t>
        </is>
      </c>
      <c r="E444" s="77" t="inlineStr">
        <is>
          <t>project; group; employer</t>
        </is>
      </c>
      <c r="F444" s="77" t="inlineStr">
        <is>
          <t>https://www.nottingham.ac.uk/studywithus/ugstudy/articles/explore-more-articles/engineering/group-design-and-make-project-.html</t>
        </is>
      </c>
      <c r="G444" s="77" t="inlineStr">
        <is>
          <t>Group Design and Make Project</t>
        </is>
      </c>
      <c r="H444" s="77" t="inlineStr">
        <is>
          <t>article</t>
        </is>
      </c>
      <c r="I444" s="77" t="inlineStr">
        <is>
          <t>undated</t>
        </is>
      </c>
      <c r="J444" s="77" t="inlineStr">
        <is>
          <t>2026-10-12</t>
        </is>
      </c>
      <c r="K444" s="77" t="inlineStr">
        <is>
          <t>search-summary paraphrase</t>
        </is>
      </c>
      <c r="L444" s="77" t="inlineStr">
        <is>
          <t>Students design and manufacture a product/prototype; some ideas come from industry, academics or students; show day displays projects to academics, industry colleagues and other students.</t>
        </is>
      </c>
    </row>
    <row r="445">
      <c r="A445" s="77" t="inlineStr">
        <is>
          <t>RG16-S10-R1</t>
        </is>
      </c>
      <c r="B445" s="77" t="inlineStr">
        <is>
          <t>RG16</t>
        </is>
      </c>
      <c r="C445" s="77" t="inlineStr">
        <is>
          <t>RG16-S10</t>
        </is>
      </c>
      <c r="D445" s="77" t="inlineStr">
        <is>
          <t>Employing the Arts</t>
        </is>
      </c>
      <c r="E445" s="77" t="inlineStr">
        <is>
          <t>project; group; employer; reach; eligibility</t>
        </is>
      </c>
      <c r="F445" s="77" t="inlineStr">
        <is>
          <t>https://www.nottingham.ac.uk/studywithus/ugstudy/articles/explore-more-articles/art/Placements_and_volunteering/employing-the-arts-module.html</t>
        </is>
      </c>
      <c r="G445" s="77" t="inlineStr">
        <is>
          <t>Employing the arts module</t>
        </is>
      </c>
      <c r="H445" s="77" t="inlineStr">
        <is>
          <t>article</t>
        </is>
      </c>
      <c r="I445" s="77" t="inlineStr">
        <is>
          <t>undated</t>
        </is>
      </c>
      <c r="J445" s="77" t="inlineStr">
        <is>
          <t>2026-10-12</t>
        </is>
      </c>
      <c r="K445" s="77" t="inlineStr">
        <is>
          <t>search-summary paraphrase</t>
        </is>
      </c>
      <c r="L445" s="77" t="inlineStr">
        <is>
          <t>Teams will be given a project brief; projects from individuals, groups and organisations; open to all second-year undergraduates in the Faculty of Arts.</t>
        </is>
      </c>
    </row>
    <row r="446">
      <c r="A446" s="77" t="inlineStr">
        <is>
          <t>RG16-S10-R2</t>
        </is>
      </c>
      <c r="B446" s="77" t="inlineStr">
        <is>
          <t>RG16</t>
        </is>
      </c>
      <c r="C446" s="77" t="inlineStr">
        <is>
          <t>RG16-S10</t>
        </is>
      </c>
      <c r="D446" s="77" t="inlineStr">
        <is>
          <t>Employing the Arts</t>
        </is>
      </c>
      <c r="E446" s="77" t="inlineStr">
        <is>
          <t>project; employer</t>
        </is>
      </c>
      <c r="F446" s="77" t="inlineStr">
        <is>
          <t>https://www.nottingham.ac.uk/studywithus/ugstudy/articles/explore-more-articles/art/arts-in-action-making-nottingham-inclusive-through-the-employing-the-arts-module.html</t>
        </is>
      </c>
      <c r="G446" s="77" t="inlineStr">
        <is>
          <t>Arts in action: making Nottingham inclusive through the Employing the Arts module</t>
        </is>
      </c>
      <c r="H446" s="77" t="inlineStr">
        <is>
          <t>article</t>
        </is>
      </c>
      <c r="I446" s="77" t="inlineStr">
        <is>
          <t>undated</t>
        </is>
      </c>
      <c r="J446" s="77" t="inlineStr">
        <is>
          <t>2026-10-12</t>
        </is>
      </c>
      <c r="K446" s="77" t="inlineStr">
        <is>
          <t>search-summary paraphrase</t>
        </is>
      </c>
      <c r="L446" s="77" t="inlineStr">
        <is>
          <t>Project hosted by City as Lab (University place-based research programme); literature reviews, interviews, posters and reports.</t>
        </is>
      </c>
    </row>
    <row r="447">
      <c r="A447" s="77" t="inlineStr">
        <is>
          <t>RG16-S11-R1</t>
        </is>
      </c>
      <c r="B447" s="77" t="inlineStr">
        <is>
          <t>RG16</t>
        </is>
      </c>
      <c r="C447" s="77" t="inlineStr">
        <is>
          <t>RG16-S11</t>
        </is>
      </c>
      <c r="D447" s="77" t="inlineStr">
        <is>
          <t>Horizon CDT Sprint Project (COMP4114)</t>
        </is>
      </c>
      <c r="E447" s="77" t="inlineStr">
        <is>
          <t>project; group; employer; credit; eligibility</t>
        </is>
      </c>
      <c r="F447" s="77" t="inlineStr">
        <is>
          <t>https://campus.nottingham.ac.uk/psc/csprd_pub/EMPLOYEE/HRMS/c/UN_PROG_AND_MOD_EXTRACT.UN_PLN_EXTRT_FL_CP.GBL?PAGE=UN_CRS_EXT4_FPG&amp;CAMPUS=U&amp;TYPE=Module&amp;YEAR=2024&amp;TITLE=Horizon+CDT+Sprint+Project&amp;MODULE=COMP4114&amp;CRSEID=034157&amp;LINKC=USC-CS</t>
        </is>
      </c>
      <c r="G447" s="77" t="inlineStr">
        <is>
          <t>Curriculum Catalogue: Horizon CDT Sprint Project</t>
        </is>
      </c>
      <c r="H447" s="77" t="inlineStr">
        <is>
          <t>module spec</t>
        </is>
      </c>
      <c r="I447" s="77" t="inlineStr">
        <is>
          <t>2024</t>
        </is>
      </c>
      <c r="J447" s="77" t="inlineStr">
        <is>
          <t>2026-10-12</t>
        </is>
      </c>
      <c r="K447" s="77" t="inlineStr">
        <is>
          <t>search-summary paraphrase</t>
        </is>
      </c>
      <c r="L447" s="77" t="inlineStr">
        <is>
          <t>Intensive, multidisciplinary peer-to-peer project run with an industry partner; the industry partner sets the peer-group a real-world challenge pertinent to their core business; week-long group activity; 20 credits; open only to PhD Digital Economy Horizon CDT students.</t>
        </is>
      </c>
    </row>
    <row r="448">
      <c r="A448" s="77" t="inlineStr">
        <is>
          <t>RG17-S01-R1</t>
        </is>
      </c>
      <c r="B448" s="77" t="inlineStr">
        <is>
          <t>RG17</t>
        </is>
      </c>
      <c r="C448" s="77" t="inlineStr">
        <is>
          <t>RG17-S01</t>
        </is>
      </c>
      <c r="D448" s="77" t="inlineStr">
        <is>
          <t>The Oxford Strategy Challenge (TOSCA)</t>
        </is>
      </c>
      <c r="E448" s="77" t="inlineStr">
        <is>
          <t>project; group; eligibility; reach; status</t>
        </is>
      </c>
      <c r="F448" s="77" t="inlineStr">
        <is>
          <t>https://www.careers.ox.ac.uk/oxford-strategy-challenge</t>
        </is>
      </c>
      <c r="G448" s="77" t="inlineStr">
        <is>
          <t>The Oxford Strategy Challenge (Programme Paused)</t>
        </is>
      </c>
      <c r="H448" s="77" t="inlineStr">
        <is>
          <t>Programme page</t>
        </is>
      </c>
      <c r="I448" s="77" t="inlineStr">
        <is>
          <t>undated</t>
        </is>
      </c>
      <c r="J448" s="77" t="inlineStr">
        <is>
          <t>2026-10-12</t>
        </is>
      </c>
      <c r="K448" s="77" t="inlineStr">
        <is>
          <t>search-index extract (quoted)</t>
        </is>
      </c>
      <c r="L448" s="77" t="inlineStr">
        <is>
          <t>'This programme is paused at the moment.' Teams of four to six, mixing undergraduates and postgraduates; current Oxford students from 1st years to DPhils can apply regardless of subject; SBS students, visiting students, research staff, alumni and previous participants excluded; testimonials up to Michaelmas 2025.</t>
        </is>
      </c>
    </row>
    <row r="449">
      <c r="A449" s="77" t="inlineStr">
        <is>
          <t>RG17-S01-R2</t>
        </is>
      </c>
      <c r="B449" s="77" t="inlineStr">
        <is>
          <t>RG17</t>
        </is>
      </c>
      <c r="C449" s="77" t="inlineStr">
        <is>
          <t>RG17-S01</t>
        </is>
      </c>
      <c r="D449" s="77" t="inlineStr">
        <is>
          <t>The Oxford Strategy Challenge (TOSCA)</t>
        </is>
      </c>
      <c r="E449" s="77" t="inlineStr">
        <is>
          <t>project; group; employer; duration; status</t>
        </is>
      </c>
      <c r="F449" s="77" t="inlineStr">
        <is>
          <t>https://www.careers.ox.ac.uk/Collaborative-Projects</t>
        </is>
      </c>
      <c r="G449" s="77" t="inlineStr">
        <is>
          <t>Collaborative projects with Oxford students</t>
        </is>
      </c>
      <c r="H449" s="77" t="inlineStr">
        <is>
          <t>Employer information; programme table</t>
        </is>
      </c>
      <c r="I449" s="77" t="inlineStr">
        <is>
          <t>undated</t>
        </is>
      </c>
      <c r="J449" s="77" t="inlineStr">
        <is>
          <t>2026-10-12</t>
        </is>
      </c>
      <c r="K449" s="77" t="inlineStr">
        <is>
          <t>search-index extract (quoted)</t>
        </is>
      </c>
      <c r="L449" s="77" t="inlineStr">
        <is>
          <t>'The Oxford Strategy Challenge and Making a Difference are programmes of learning and development activities for University of Oxford students.' TOSCA: length of client project 5 days, runs three times a year; clients define outline of challenge, teams liaise directly with clients; students own copyright, client receives a licence to use the report; no charge to clients.</t>
        </is>
      </c>
    </row>
    <row r="450">
      <c r="A450" s="77" t="inlineStr">
        <is>
          <t>RG17-S01-R3</t>
        </is>
      </c>
      <c r="B450" s="77" t="inlineStr">
        <is>
          <t>RG17</t>
        </is>
      </c>
      <c r="C450" s="77" t="inlineStr">
        <is>
          <t>RG17-S01</t>
        </is>
      </c>
      <c r="D450" s="77" t="inlineStr">
        <is>
          <t>The Oxford Strategy Challenge (TOSCA)</t>
        </is>
      </c>
      <c r="E450" s="77" t="inlineStr">
        <is>
          <t>employer; project</t>
        </is>
      </c>
      <c r="F450" s="77" t="inlineStr">
        <is>
          <t>https://www.careers.ox.ac.uk/article/oxford-students-olgas-fine-foods</t>
        </is>
      </c>
      <c r="G450" s="77" t="inlineStr">
        <is>
          <t>Students on their Oxford Strategy Challenge projects with Olga's Fine Foods</t>
        </is>
      </c>
      <c r="H450" s="77" t="inlineStr">
        <is>
          <t>Article</t>
        </is>
      </c>
      <c r="I450" s="77" t="inlineStr">
        <is>
          <t>undated</t>
        </is>
      </c>
      <c r="J450" s="77" t="inlineStr">
        <is>
          <t>2026-10-12</t>
        </is>
      </c>
      <c r="K450" s="77" t="inlineStr">
        <is>
          <t>search-summary paraphrase</t>
        </is>
      </c>
      <c r="L450" s="77" t="inlineStr">
        <is>
          <t>Team worked with Olga's Fine Foods, an Australian food manufacturer; client said recommendations would inform its ESG roadmap (energy efficiency, sustainable packaging, waste reduction).</t>
        </is>
      </c>
    </row>
    <row r="451">
      <c r="A451" s="77" t="inlineStr">
        <is>
          <t>RG17-S02-R1</t>
        </is>
      </c>
      <c r="B451" s="77" t="inlineStr">
        <is>
          <t>RG17</t>
        </is>
      </c>
      <c r="C451" s="77" t="inlineStr">
        <is>
          <t>RG17-S02</t>
        </is>
      </c>
      <c r="D451" s="77" t="inlineStr">
        <is>
          <t>Making a Difference Programme (MaDe)</t>
        </is>
      </c>
      <c r="E451" s="77" t="inlineStr">
        <is>
          <t>project; status; participation</t>
        </is>
      </c>
      <c r="F451" s="77" t="inlineStr">
        <is>
          <t>https://www.careers.ox.ac.uk/making-a-difference</t>
        </is>
      </c>
      <c r="G451" s="77" t="inlineStr">
        <is>
          <t>Making a Difference Programme (Programme Paused)</t>
        </is>
      </c>
      <c r="H451" s="77" t="inlineStr">
        <is>
          <t>Programme page</t>
        </is>
      </c>
      <c r="I451" s="77" t="inlineStr">
        <is>
          <t>undated</t>
        </is>
      </c>
      <c r="J451" s="77" t="inlineStr">
        <is>
          <t>2026-10-12</t>
        </is>
      </c>
      <c r="K451" s="77" t="inlineStr">
        <is>
          <t>search-summary paraphrase</t>
        </is>
      </c>
      <c r="L451" s="77" t="inlineStr">
        <is>
          <t>'This programme is paused at the moment.' Term-long programme with 50 places per term and a client project; Hilary term 2026 participant and January 2026 workshop dates listed.</t>
        </is>
      </c>
    </row>
    <row r="452">
      <c r="A452" s="77" t="inlineStr">
        <is>
          <t>RG17-S02-R2</t>
        </is>
      </c>
      <c r="B452" s="77" t="inlineStr">
        <is>
          <t>RG17</t>
        </is>
      </c>
      <c r="C452" s="77" t="inlineStr">
        <is>
          <t>RG17-S02</t>
        </is>
      </c>
      <c r="D452" s="77" t="inlineStr">
        <is>
          <t>Making a Difference Programme (MaDe)</t>
        </is>
      </c>
      <c r="E452" s="77" t="inlineStr">
        <is>
          <t>employer; duration; status</t>
        </is>
      </c>
      <c r="F452" s="77" t="inlineStr">
        <is>
          <t>https://www.careers.ox.ac.uk/Collaborative-Projects</t>
        </is>
      </c>
      <c r="G452" s="77" t="inlineStr">
        <is>
          <t>Collaborative projects with Oxford students</t>
        </is>
      </c>
      <c r="H452" s="77" t="inlineStr">
        <is>
          <t>Programme table</t>
        </is>
      </c>
      <c r="I452" s="77" t="inlineStr">
        <is>
          <t>undated</t>
        </is>
      </c>
      <c r="J452" s="77" t="inlineStr">
        <is>
          <t>2026-10-12</t>
        </is>
      </c>
      <c r="K452" s="77" t="inlineStr">
        <is>
          <t>search-summary paraphrase</t>
        </is>
      </c>
      <c r="L452" s="77" t="inlineStr">
        <is>
          <t>Making a Difference (MaDe): three-week programme aimed at charities and social enterprises; programme runs twice a year during the autumn and spring terms.</t>
        </is>
      </c>
    </row>
    <row r="453">
      <c r="A453" s="77" t="inlineStr">
        <is>
          <t>RG17-S03-R1</t>
        </is>
      </c>
      <c r="B453" s="77" t="inlineStr">
        <is>
          <t>RG17</t>
        </is>
      </c>
      <c r="C453" s="77" t="inlineStr">
        <is>
          <t>RG17-S03</t>
        </is>
      </c>
      <c r="D453" s="77" t="inlineStr">
        <is>
          <t>The Student Consultancy (TSC)</t>
        </is>
      </c>
      <c r="E453" s="77" t="inlineStr">
        <is>
          <t>project; group; employer; duration; status</t>
        </is>
      </c>
      <c r="F453" s="77" t="inlineStr">
        <is>
          <t>https://www.careers.ox.ac.uk/tsc</t>
        </is>
      </c>
      <c r="G453" s="77" t="inlineStr">
        <is>
          <t>The Student Consultancy (Programme Paused)</t>
        </is>
      </c>
      <c r="H453" s="77" t="inlineStr">
        <is>
          <t>Programme page</t>
        </is>
      </c>
      <c r="I453" s="77" t="inlineStr">
        <is>
          <t>undated</t>
        </is>
      </c>
      <c r="J453" s="77" t="inlineStr">
        <is>
          <t>2026-10-12</t>
        </is>
      </c>
      <c r="K453" s="77" t="inlineStr">
        <is>
          <t>search-summary paraphrase</t>
        </is>
      </c>
      <c r="L453" s="77" t="inlineStr">
        <is>
          <t>Students participate in teams over 4 - 6 weeks to address a strategic issue or business challenge for a client organisation; teams liaise directly with clients and receive mentoring support; page marked paused.</t>
        </is>
      </c>
    </row>
    <row r="454">
      <c r="A454" s="77" t="inlineStr">
        <is>
          <t>RG17-S03-R2</t>
        </is>
      </c>
      <c r="B454" s="77" t="inlineStr">
        <is>
          <t>RG17</t>
        </is>
      </c>
      <c r="C454" s="77" t="inlineStr">
        <is>
          <t>RG17-S03</t>
        </is>
      </c>
      <c r="D454" s="77" t="inlineStr">
        <is>
          <t>The Student Consultancy (TSC)</t>
        </is>
      </c>
      <c r="E454" s="77" t="inlineStr">
        <is>
          <t>group; employer</t>
        </is>
      </c>
      <c r="F454" s="77" t="inlineStr">
        <is>
          <t>https://careers.ox.ac.uk/partnerships-in-the-community</t>
        </is>
      </c>
      <c r="G454" s="77" t="inlineStr">
        <is>
          <t>Collaborative Projects with Oxford Students</t>
        </is>
      </c>
      <c r="H454" s="77" t="inlineStr">
        <is>
          <t>Employer information</t>
        </is>
      </c>
      <c r="I454" s="77" t="inlineStr">
        <is>
          <t>undated</t>
        </is>
      </c>
      <c r="J454" s="77" t="inlineStr">
        <is>
          <t>2026-10-12</t>
        </is>
      </c>
      <c r="K454" s="77" t="inlineStr">
        <is>
          <t>search-summary paraphrase</t>
        </is>
      </c>
      <c r="L454" s="77" t="inlineStr">
        <is>
          <t>'The Oxford Strategy Challenge and The Student Consultancy are innovative learning and consulting experience programmes for Oxford students.' Teams of four to six; clients get a briefing call, a check-in and a final presentation of recommendations.</t>
        </is>
      </c>
    </row>
    <row r="455">
      <c r="A455" s="77" t="inlineStr">
        <is>
          <t>RG17-S04-R1</t>
        </is>
      </c>
      <c r="B455" s="77" t="inlineStr">
        <is>
          <t>RG17</t>
        </is>
      </c>
      <c r="C455" s="77" t="inlineStr">
        <is>
          <t>RG17-S04</t>
        </is>
      </c>
      <c r="D455" s="77" t="inlineStr">
        <is>
          <t>The Agency</t>
        </is>
      </c>
      <c r="E455" s="77" t="inlineStr">
        <is>
          <t>project; group; employer; duration</t>
        </is>
      </c>
      <c r="F455" s="77" t="inlineStr">
        <is>
          <t>https://www.careers.ox.ac.uk/the-agency</t>
        </is>
      </c>
      <c r="G455" s="77" t="inlineStr">
        <is>
          <t>The Agency</t>
        </is>
      </c>
      <c r="H455" s="77" t="inlineStr">
        <is>
          <t>Programme page</t>
        </is>
      </c>
      <c r="I455" s="77" t="inlineStr">
        <is>
          <t>undated (index metadata ~2,385 days old)</t>
        </is>
      </c>
      <c r="J455" s="77" t="inlineStr">
        <is>
          <t>2026-10-12</t>
        </is>
      </c>
      <c r="K455" s="77" t="inlineStr">
        <is>
          <t>search-summary paraphrase</t>
        </is>
      </c>
      <c r="L455" s="77" t="inlineStr">
        <is>
          <t>Developed by The Careers Service and the Oxford Advertising and Marketing Society; students work in teams of six over one academic term on a creative problem; teams liaise directly with their clients and produce a report, advertising or marketing campaign; no charge to the organisations providing the project brief.</t>
        </is>
      </c>
    </row>
    <row r="456">
      <c r="A456" s="77" t="inlineStr">
        <is>
          <t>RG17-S05-R1</t>
        </is>
      </c>
      <c r="B456" s="77" t="inlineStr">
        <is>
          <t>RG17</t>
        </is>
      </c>
      <c r="C456" s="77" t="inlineStr">
        <is>
          <t>RG17-S05</t>
        </is>
      </c>
      <c r="D456" s="77" t="inlineStr">
        <is>
          <t>Strategic Consulting Project (Oxford MBA)</t>
        </is>
      </c>
      <c r="E456" s="77" t="inlineStr">
        <is>
          <t>project; group; credit; status; participation</t>
        </is>
      </c>
      <c r="F456" s="77" t="inlineStr">
        <is>
          <t>https://www.sbs.ox.ac.uk/sites/default/files/2024-10/Master_of_Businsess_Administation_MBA_2025-26entry_08Oct2024.pdf</t>
        </is>
      </c>
      <c r="G456" s="77" t="inlineStr">
        <is>
          <t>Master of Business Administration (MBA) 2025-26 entry</t>
        </is>
      </c>
      <c r="H456" s="77" t="inlineStr">
        <is>
          <t>Programme specification</t>
        </is>
      </c>
      <c r="I456" s="77" t="inlineStr">
        <is>
          <t>2024 (for 2025-26 entry)</t>
        </is>
      </c>
      <c r="J456" s="77" t="inlineStr">
        <is>
          <t>2026-10-12</t>
        </is>
      </c>
      <c r="K456" s="77" t="inlineStr">
        <is>
          <t>search-summary paraphrase</t>
        </is>
      </c>
      <c r="L456" s="77" t="inlineStr">
        <is>
          <t>Final two elective credits over the summer via electives, a Strategic Consulting Project or an Internship for Credit; teams of two to five for a six-week project for a corporate sponsor.</t>
        </is>
      </c>
    </row>
    <row r="457">
      <c r="A457" s="77" t="inlineStr">
        <is>
          <t>RG17-S05-R2</t>
        </is>
      </c>
      <c r="B457" s="77" t="inlineStr">
        <is>
          <t>RG17</t>
        </is>
      </c>
      <c r="C457" s="77" t="inlineStr">
        <is>
          <t>RG17-S05</t>
        </is>
      </c>
      <c r="D457" s="77" t="inlineStr">
        <is>
          <t>Strategic Consulting Project (Oxford MBA)</t>
        </is>
      </c>
      <c r="E457" s="77" t="inlineStr">
        <is>
          <t>employer; group; project</t>
        </is>
      </c>
      <c r="F457" s="77" t="inlineStr">
        <is>
          <t>https://development.sbs.ox.ac.uk/strategic-consulting-projects/index.html</t>
        </is>
      </c>
      <c r="G457" s="77" t="inlineStr">
        <is>
          <t>Strategic Consulting Projects</t>
        </is>
      </c>
      <c r="H457" s="77" t="inlineStr">
        <is>
          <t>FAQ for organisations</t>
        </is>
      </c>
      <c r="I457" s="77" t="inlineStr">
        <is>
          <t>undated</t>
        </is>
      </c>
      <c r="J457" s="77" t="inlineStr">
        <is>
          <t>2026-10-12</t>
        </is>
      </c>
      <c r="K457" s="77" t="inlineStr">
        <is>
          <t>search-index extract (quoted)</t>
        </is>
      </c>
      <c r="L457" s="77" t="inlineStr">
        <is>
          <t>Client must provide an Executive Sponsor and a Project Leader; students must have regular interaction with senior and/or executive management; direct costs borne by the client; teams have worked with companies, charities, non-profits and start-ups; at the end of August the Project Team presents to a panel of its Project Supervisor, other faculty and the client organisation; minimum of four students but no more than six.</t>
        </is>
      </c>
    </row>
    <row r="458">
      <c r="A458" s="77" t="inlineStr">
        <is>
          <t>RG17-S05-R3</t>
        </is>
      </c>
      <c r="B458" s="77" t="inlineStr">
        <is>
          <t>RG17</t>
        </is>
      </c>
      <c r="C458" s="77" t="inlineStr">
        <is>
          <t>RG17-S05</t>
        </is>
      </c>
      <c r="D458" s="77" t="inlineStr">
        <is>
          <t>Strategic Consulting Project (Oxford MBA)</t>
        </is>
      </c>
      <c r="E458" s="77" t="inlineStr">
        <is>
          <t>group; duration</t>
        </is>
      </c>
      <c r="F458" s="77" t="inlineStr">
        <is>
          <t>https://www.sbs.ox.ac.uk/programmes/mbas/mba/academic-curriculum/core-courses-and-electives</t>
        </is>
      </c>
      <c r="G458" s="77" t="inlineStr">
        <is>
          <t>Core courses and electives</t>
        </is>
      </c>
      <c r="H458" s="77" t="inlineStr">
        <is>
          <t>Academic curriculum</t>
        </is>
      </c>
      <c r="I458" s="77" t="inlineStr">
        <is>
          <t>undated</t>
        </is>
      </c>
      <c r="J458" s="77" t="inlineStr">
        <is>
          <t>2026-10-12</t>
        </is>
      </c>
      <c r="K458" s="77" t="inlineStr">
        <is>
          <t>search-summary paraphrase</t>
        </is>
      </c>
      <c r="L458" s="77" t="inlineStr">
        <is>
          <t>Teams of two to four take on a seven-week project for a corporate sponsor.</t>
        </is>
      </c>
    </row>
    <row r="459">
      <c r="A459" s="77" t="inlineStr">
        <is>
          <t>RG17-S06-R1</t>
        </is>
      </c>
      <c r="B459" s="77" t="inlineStr">
        <is>
          <t>RG17</t>
        </is>
      </c>
      <c r="C459" s="77" t="inlineStr">
        <is>
          <t>RG17-S06</t>
        </is>
      </c>
      <c r="D459" s="77" t="inlineStr">
        <is>
          <t>Group Design Practical (Second Year Group Design Practicals)</t>
        </is>
      </c>
      <c r="E459" s="77" t="inlineStr">
        <is>
          <t>project; group; employer</t>
        </is>
      </c>
      <c r="F459" s="77" t="inlineStr">
        <is>
          <t>https://www.cs.ox.ac.uk/innovation/industry_relations/interact_group_project.html</t>
        </is>
      </c>
      <c r="G459" s="77" t="inlineStr">
        <is>
          <t>Department of Computer Science: industry interaction - group projects</t>
        </is>
      </c>
      <c r="H459" s="77" t="inlineStr">
        <is>
          <t>Industry relations</t>
        </is>
      </c>
      <c r="I459" s="77" t="inlineStr">
        <is>
          <t>undated</t>
        </is>
      </c>
      <c r="J459" s="77" t="inlineStr">
        <is>
          <t>2026-10-12</t>
        </is>
      </c>
      <c r="K459" s="77" t="inlineStr">
        <is>
          <t>search-summary paraphrase</t>
        </is>
      </c>
      <c r="L459" s="77" t="inlineStr">
        <is>
          <t>Undergraduates form small groups of 4-6 and partner with an industrial sponsor to design and deliver a 'real-world' software solution; sponsors meet students to discuss the brief and act as co-supervisor; recent sponsors include G-Research, Winton Capital, Palantir and Metaswitch.</t>
        </is>
      </c>
    </row>
    <row r="460">
      <c r="A460" s="77" t="inlineStr">
        <is>
          <t>RG17-S06-R2</t>
        </is>
      </c>
      <c r="B460" s="77" t="inlineStr">
        <is>
          <t>RG17</t>
        </is>
      </c>
      <c r="C460" s="77" t="inlineStr">
        <is>
          <t>RG17-S06</t>
        </is>
      </c>
      <c r="D460" s="77" t="inlineStr">
        <is>
          <t>Group Design Practical (Second Year Group Design Practicals)</t>
        </is>
      </c>
      <c r="E460" s="77" t="inlineStr">
        <is>
          <t>group; employer; duration</t>
        </is>
      </c>
      <c r="F460" s="77" t="inlineStr">
        <is>
          <t>https://www.cs.ox.ac.uk/innovation/industry_relations/Guidance_for_industrial_sponsors_on_second_year_group_projects.pdf</t>
        </is>
      </c>
      <c r="G460" s="77" t="inlineStr">
        <is>
          <t>Guidance for industrial collaboration on Undergraduate group projects</t>
        </is>
      </c>
      <c r="H460" s="77" t="inlineStr">
        <is>
          <t>Sponsor guidance PDF</t>
        </is>
      </c>
      <c r="I460" s="77" t="inlineStr">
        <is>
          <t>undated</t>
        </is>
      </c>
      <c r="J460" s="77" t="inlineStr">
        <is>
          <t>2026-10-12</t>
        </is>
      </c>
      <c r="K460" s="77" t="inlineStr">
        <is>
          <t>search-summary paraphrase</t>
        </is>
      </c>
      <c r="L460" s="77" t="inlineStr">
        <is>
          <t>Teams of 5 or 6 choose from projects with an external industry supervisor and an internal academic supervisor; three mandatory meetings (initial scoping, progress, delivery); proposals Nov-Dec, allocation Feb, presentations May; NDAs signed by the university.</t>
        </is>
      </c>
    </row>
    <row r="461">
      <c r="A461" s="77" t="inlineStr">
        <is>
          <t>RG17-S06-R3</t>
        </is>
      </c>
      <c r="B461" s="77" t="inlineStr">
        <is>
          <t>RG17</t>
        </is>
      </c>
      <c r="C461" s="77" t="inlineStr">
        <is>
          <t>RG17-S06</t>
        </is>
      </c>
      <c r="D461" s="77" t="inlineStr">
        <is>
          <t>Group Design Practical (Second Year Group Design Practicals)</t>
        </is>
      </c>
      <c r="E461" s="77" t="inlineStr">
        <is>
          <t>status; participation; credit</t>
        </is>
      </c>
      <c r="F461" s="77" t="inlineStr">
        <is>
          <t>https://www.cs.ox.ac.uk/teaching/bacompsci/PartA/</t>
        </is>
      </c>
      <c r="G461" s="77" t="inlineStr">
        <is>
          <t>Part A, Computer Science</t>
        </is>
      </c>
      <c r="H461" s="77" t="inlineStr">
        <is>
          <t>Course listing</t>
        </is>
      </c>
      <c r="I461" s="77" t="inlineStr">
        <is>
          <t>2025/26</t>
        </is>
      </c>
      <c r="J461" s="77" t="inlineStr">
        <is>
          <t>2026-10-12</t>
        </is>
      </c>
      <c r="K461" s="77" t="inlineStr">
        <is>
          <t>search-summary paraphrase</t>
        </is>
      </c>
      <c r="L461" s="77" t="inlineStr">
        <is>
          <t>Group Design Practical listed in Hilary Term 2026; required of every second-year student; students need 40% or more overall in their practicals.</t>
        </is>
      </c>
    </row>
    <row r="462">
      <c r="A462" s="77" t="inlineStr">
        <is>
          <t>RG17-S06-R4</t>
        </is>
      </c>
      <c r="B462" s="77" t="inlineStr">
        <is>
          <t>RG17</t>
        </is>
      </c>
      <c r="C462" s="77" t="inlineStr">
        <is>
          <t>RG17-S06</t>
        </is>
      </c>
      <c r="D462" s="77" t="inlineStr">
        <is>
          <t>Group Design Practical (Second Year Group Design Practicals)</t>
        </is>
      </c>
      <c r="E462" s="77" t="inlineStr">
        <is>
          <t>project</t>
        </is>
      </c>
      <c r="F462" s="77" t="inlineStr">
        <is>
          <t>https://www.cs.ox.ac.uk/news/1311-full.html</t>
        </is>
      </c>
      <c r="G462" s="77" t="inlineStr">
        <is>
          <t>Four £500 prizes awarded to students at the Second Year Group Design Practical Presentation Day</t>
        </is>
      </c>
      <c r="H462" s="77" t="inlineStr">
        <is>
          <t>News</t>
        </is>
      </c>
      <c r="I462" s="77" t="inlineStr">
        <is>
          <t>undated</t>
        </is>
      </c>
      <c r="J462" s="77" t="inlineStr">
        <is>
          <t>2026-10-12</t>
        </is>
      </c>
      <c r="K462" s="77" t="inlineStr">
        <is>
          <t>search-summary paraphrase</t>
        </is>
      </c>
      <c r="L462" s="77" t="inlineStr">
        <is>
          <t>Prizes awarded at the Second Year Group Design Practical Presentation Day.</t>
        </is>
      </c>
    </row>
    <row r="463">
      <c r="A463" s="77" t="inlineStr">
        <is>
          <t>RG17-S07-R1</t>
        </is>
      </c>
      <c r="B463" s="77" t="inlineStr">
        <is>
          <t>RG17</t>
        </is>
      </c>
      <c r="C463" s="77" t="inlineStr">
        <is>
          <t>RG17-S07</t>
        </is>
      </c>
      <c r="D463" s="77" t="inlineStr">
        <is>
          <t>Third Year Group Design Project (3YP), Engineering Science</t>
        </is>
      </c>
      <c r="E463" s="77" t="inlineStr">
        <is>
          <t>project; group</t>
        </is>
      </c>
      <c r="F463" s="77" t="inlineStr">
        <is>
          <t>https://eng.ox.ac.uk/study/undergraduate/your-degree/course-structure</t>
        </is>
      </c>
      <c r="G463" s="77" t="inlineStr">
        <is>
          <t>Course Structure (Engineering Science)</t>
        </is>
      </c>
      <c r="H463" s="77" t="inlineStr">
        <is>
          <t>Third year</t>
        </is>
      </c>
      <c r="I463" s="77" t="inlineStr">
        <is>
          <t>undated</t>
        </is>
      </c>
      <c r="J463" s="77" t="inlineStr">
        <is>
          <t>2026-10-12</t>
        </is>
      </c>
      <c r="K463" s="77" t="inlineStr">
        <is>
          <t>search-index extract (quoted)</t>
        </is>
      </c>
      <c r="L463" s="77" t="inlineStr">
        <is>
          <t>In teams of 4-5 students, you'll write the sort of detailed design proposal that could be used as the basis for a new product or engineering project; about a day a week.</t>
        </is>
      </c>
    </row>
    <row r="464">
      <c r="A464" s="77" t="inlineStr">
        <is>
          <t>RG17-S07-R2</t>
        </is>
      </c>
      <c r="B464" s="77" t="inlineStr">
        <is>
          <t>RG17</t>
        </is>
      </c>
      <c r="C464" s="77" t="inlineStr">
        <is>
          <t>RG17-S07</t>
        </is>
      </c>
      <c r="D464" s="77" t="inlineStr">
        <is>
          <t>Third Year Group Design Project (3YP), Engineering Science</t>
        </is>
      </c>
      <c r="E464" s="77" t="inlineStr">
        <is>
          <t>group; credit; status</t>
        </is>
      </c>
      <c r="F464" s="77" t="inlineStr">
        <is>
          <t>https://eng.ox.ac.uk/media/hb1n1xsp/fhs-handbook-2024-25-clean-version-final.pdf</t>
        </is>
      </c>
      <c r="G464" s="77" t="inlineStr">
        <is>
          <t>Course Handbook 2024/2025 Engineering Science Final Honour School</t>
        </is>
      </c>
      <c r="H464" s="77" t="inlineStr">
        <is>
          <t>3YP assessment</t>
        </is>
      </c>
      <c r="I464" s="77" t="inlineStr">
        <is>
          <t>2024/25</t>
        </is>
      </c>
      <c r="J464" s="77" t="inlineStr">
        <is>
          <t>2026-10-12</t>
        </is>
      </c>
      <c r="K464" s="77" t="inlineStr">
        <is>
          <t>search-index extract (quoted)</t>
        </is>
      </c>
      <c r="L464" s="77" t="inlineStr">
        <is>
          <t>Element consists of a report on your personal contribution to a design project undertaken as part of a small group of undergraduates.</t>
        </is>
      </c>
    </row>
    <row r="465">
      <c r="A465" s="77" t="inlineStr">
        <is>
          <t>RG17-S07-R3</t>
        </is>
      </c>
      <c r="B465" s="77" t="inlineStr">
        <is>
          <t>RG17</t>
        </is>
      </c>
      <c r="C465" s="77" t="inlineStr">
        <is>
          <t>RG17-S07</t>
        </is>
      </c>
      <c r="D465" s="77" t="inlineStr">
        <is>
          <t>Third Year Group Design Project (3YP), Engineering Science</t>
        </is>
      </c>
      <c r="E465" s="77" t="inlineStr">
        <is>
          <t>employer</t>
        </is>
      </c>
      <c r="F465" s="77" t="inlineStr">
        <is>
          <t>https://www.st-hildas.ox.ac.uk/asset/engineering-science-university-of-oxford.pdf</t>
        </is>
      </c>
      <c r="G465" s="77" t="inlineStr">
        <is>
          <t>Engineering Science (St Hilda's College)</t>
        </is>
      </c>
      <c r="H465" s="77" t="inlineStr">
        <is>
          <t>Student profile</t>
        </is>
      </c>
      <c r="I465" s="77" t="inlineStr">
        <is>
          <t>undated</t>
        </is>
      </c>
      <c r="J465" s="77" t="inlineStr">
        <is>
          <t>2026-10-12</t>
        </is>
      </c>
      <c r="K465" s="77" t="inlineStr">
        <is>
          <t>search-index extract (quoted)</t>
        </is>
      </c>
      <c r="L465" s="77" t="inlineStr">
        <is>
          <t>Third-year wind turbine project 'was actually sponsored by a Scottish company who approached Oxford.'</t>
        </is>
      </c>
    </row>
    <row r="466">
      <c r="A466" s="77" t="inlineStr">
        <is>
          <t>RG17-S08-R1</t>
        </is>
      </c>
      <c r="B466" s="77" t="inlineStr">
        <is>
          <t>RG17</t>
        </is>
      </c>
      <c r="C466" s="77" t="inlineStr">
        <is>
          <t>RG17-S08</t>
        </is>
      </c>
      <c r="D466" s="77" t="inlineStr">
        <is>
          <t>MSc in Energy Systems whole-cohort consultancy exercise</t>
        </is>
      </c>
      <c r="E466" s="77" t="inlineStr">
        <is>
          <t>employer; status; project</t>
        </is>
      </c>
      <c r="F466" s="77" t="inlineStr">
        <is>
          <t>https://eng.ox.ac.uk/media/ycigaoue/msc-energy-systems-course-handbook-25-26-v11.pdf</t>
        </is>
      </c>
      <c r="G466" s="77" t="inlineStr">
        <is>
          <t>Course Handbook 2025/2026 MSc Energy Systems</t>
        </is>
      </c>
      <c r="H466" s="77" t="inlineStr">
        <is>
          <t>Whole cohort exercise</t>
        </is>
      </c>
      <c r="I466" s="77" t="inlineStr">
        <is>
          <t>2025/26</t>
        </is>
      </c>
      <c r="J466" s="77" t="inlineStr">
        <is>
          <t>2026-10-12</t>
        </is>
      </c>
      <c r="K466" s="77" t="inlineStr">
        <is>
          <t>search-summary paraphrase</t>
        </is>
      </c>
      <c r="L466" s="77" t="inlineStr">
        <is>
          <t>During Hilary term, the cohort partners with an external stakeholder to begin planning the shape and context of their agreed energy-related problem.</t>
        </is>
      </c>
    </row>
    <row r="467">
      <c r="A467" s="77" t="inlineStr">
        <is>
          <t>RG17-S08-R2</t>
        </is>
      </c>
      <c r="B467" s="77" t="inlineStr">
        <is>
          <t>RG17</t>
        </is>
      </c>
      <c r="C467" s="77" t="inlineStr">
        <is>
          <t>RG17-S08</t>
        </is>
      </c>
      <c r="D467" s="77" t="inlineStr">
        <is>
          <t>MSc in Energy Systems whole-cohort consultancy exercise</t>
        </is>
      </c>
      <c r="E467" s="77" t="inlineStr">
        <is>
          <t>group; project; employer</t>
        </is>
      </c>
      <c r="F467" s="77" t="inlineStr">
        <is>
          <t>https://oerc.ox.ac.uk/news/msc-in-energy-systems-at-the-university-of-oxford-prepares-to-enter-its-fifth-year</t>
        </is>
      </c>
      <c r="G467" s="77" t="inlineStr">
        <is>
          <t>MSc in Energy Systems at the University of Oxford prepares to enter its fifth year</t>
        </is>
      </c>
      <c r="H467" s="77" t="inlineStr">
        <is>
          <t>Interview</t>
        </is>
      </c>
      <c r="I467" s="77" t="inlineStr">
        <is>
          <t>undated (c. 2021)</t>
        </is>
      </c>
      <c r="J467" s="77" t="inlineStr">
        <is>
          <t>2026-10-12</t>
        </is>
      </c>
      <c r="K467" s="77" t="inlineStr">
        <is>
          <t>search-index extract (quoted)</t>
        </is>
      </c>
      <c r="L467" s="77" t="inlineStr">
        <is>
          <t>'At the end of the taught elements of the course, all thirty students work together as if they are a large consultancy.' External stakeholders help set a problem; stakeholders asked to come along to the final presentation; examples include colleges' sustainability toolkit and Begbroke masterplan review with an international external consultancy; Covid year used University sustainability strategy.</t>
        </is>
      </c>
    </row>
    <row r="468">
      <c r="A468" s="77" t="inlineStr">
        <is>
          <t>RG17-S09-R1</t>
        </is>
      </c>
      <c r="B468" s="77" t="inlineStr">
        <is>
          <t>RG17</t>
        </is>
      </c>
      <c r="C468" s="77" t="inlineStr">
        <is>
          <t>RG17-S09</t>
        </is>
      </c>
      <c r="D468" s="77" t="inlineStr">
        <is>
          <t>Oxford Pro Bono Publico (OPBP) project work</t>
        </is>
      </c>
      <c r="E468" s="77" t="inlineStr">
        <is>
          <t>project; group; employer; eligibility</t>
        </is>
      </c>
      <c r="F468" s="77" t="inlineStr">
        <is>
          <t>https://www.law.ox.ac.uk/research-and-subject-groups/oxford-pro-bono-publico/opbp-project-work-frequently-asked-questions</t>
        </is>
      </c>
      <c r="G468" s="77" t="inlineStr">
        <is>
          <t>OPBP Project Work</t>
        </is>
      </c>
      <c r="H468" s="77" t="inlineStr">
        <is>
          <t>FAQ</t>
        </is>
      </c>
      <c r="I468" s="77" t="inlineStr">
        <is>
          <t>undated</t>
        </is>
      </c>
      <c r="J468" s="77" t="inlineStr">
        <is>
          <t>2026-10-13</t>
        </is>
      </c>
      <c r="K468" s="77" t="inlineStr">
        <is>
          <t>search-summary paraphrase</t>
        </is>
      </c>
      <c r="L468" s="77" t="inlineStr">
        <is>
          <t>Project partners have included UN bodies, NGOs, lawyers and law firms; coordinators recruit a team of research volunteers from the graduate body; supervised by Faculty of Law; timeframes usually three to six months.</t>
        </is>
      </c>
    </row>
    <row r="469">
      <c r="A469" s="77" t="inlineStr">
        <is>
          <t>RG18-S01-R1</t>
        </is>
      </c>
      <c r="B469" s="77" t="inlineStr">
        <is>
          <t>RG18</t>
        </is>
      </c>
      <c r="C469" s="77" t="inlineStr">
        <is>
          <t>RG18-S01</t>
        </is>
      </c>
      <c r="D469" s="77" t="inlineStr">
        <is>
          <t>The Student Consultancy Project (SCP)</t>
        </is>
      </c>
      <c r="E469" s="77" t="inlineStr">
        <is>
          <t>project; group; eligibility; participation; duration; reach</t>
        </is>
      </c>
      <c r="F469" s="77" t="inlineStr">
        <is>
          <t>https://www.qmul.ac.uk/careers/find-opportunities/skill-building-programmes/the-student-consultancy-project/</t>
        </is>
      </c>
      <c r="G469" s="77" t="inlineStr">
        <is>
          <t>The Student Consultancy Project - Careers and Employability</t>
        </is>
      </c>
      <c r="H469" s="77" t="inlineStr">
        <is>
          <t>Programme overview / formats</t>
        </is>
      </c>
      <c r="I469" s="77" t="inlineStr">
        <is>
          <t>undated</t>
        </is>
      </c>
      <c r="J469" s="77" t="inlineStr">
        <is>
          <t>2026-10-12</t>
        </is>
      </c>
      <c r="K469" s="77" t="inlineStr">
        <is>
          <t>search-summary paraphrase</t>
        </is>
      </c>
      <c r="L469" s="77" t="inlineStr">
        <is>
          <t>Autumn programme Oct-Nov with weekly training; one-day hackathons Feb-May; two-week Summer Sprint in June; open to all QMUL undergraduates from any school; multidisciplinary teams.</t>
        </is>
      </c>
    </row>
    <row r="470">
      <c r="A470" s="77" t="inlineStr">
        <is>
          <t>RG18-S01-R2</t>
        </is>
      </c>
      <c r="B470" s="77" t="inlineStr">
        <is>
          <t>RG18</t>
        </is>
      </c>
      <c r="C470" s="77" t="inlineStr">
        <is>
          <t>RG18-S01</t>
        </is>
      </c>
      <c r="D470" s="77" t="inlineStr">
        <is>
          <t>The Student Consultancy Project (SCP)</t>
        </is>
      </c>
      <c r="E470" s="77" t="inlineStr">
        <is>
          <t>employer; project; group</t>
        </is>
      </c>
      <c r="F470" s="77" t="inlineStr">
        <is>
          <t>https://www.qmul.ac.uk/careers/employers/the-student-consultancy-project/what-is-scp/</t>
        </is>
      </c>
      <c r="G470" s="77" t="inlineStr">
        <is>
          <t>What is SCP? - Careers and Enterprise</t>
        </is>
      </c>
      <c r="H470" s="77" t="inlineStr">
        <is>
          <t>Host information</t>
        </is>
      </c>
      <c r="I470" s="77" t="inlineStr">
        <is>
          <t>undated</t>
        </is>
      </c>
      <c r="J470" s="77" t="inlineStr">
        <is>
          <t>2026-10-12</t>
        </is>
      </c>
      <c r="K470" s="77" t="inlineStr">
        <is>
          <t>search-summary paraphrase</t>
        </is>
      </c>
      <c r="L470" s="77" t="inlineStr">
        <is>
          <t>Hosts can be any UK/international business, charity, social enterprise or not-for-profit; hosts typically attend an initial set-up meeting, mid-project check-in and a final meeting where students present findings and recommendations (presentation and short written report); teams supported by a Queen Mary supervisor. (Details as summarised by search result.)</t>
        </is>
      </c>
    </row>
    <row r="471">
      <c r="A471" s="77" t="inlineStr">
        <is>
          <t>RG18-S01-R3</t>
        </is>
      </c>
      <c r="B471" s="77" t="inlineStr">
        <is>
          <t>RG18</t>
        </is>
      </c>
      <c r="C471" s="77" t="inlineStr">
        <is>
          <t>RG18-S01</t>
        </is>
      </c>
      <c r="D471" s="77" t="inlineStr">
        <is>
          <t>The Student Consultancy Project (SCP)</t>
        </is>
      </c>
      <c r="E471" s="77" t="inlineStr">
        <is>
          <t>status</t>
        </is>
      </c>
      <c r="F471" s="77" t="inlineStr">
        <is>
          <t>https://www.qmul.ac.uk/media/qmul/undergraduate/Queen-Mary-University-of-London_APP_2025-26_V1_10007775.pdf</t>
        </is>
      </c>
      <c r="G471" s="77" t="inlineStr">
        <is>
          <t>Access and Participation Plan 2025-26 to 2028-29</t>
        </is>
      </c>
      <c r="H471" s="77" t="inlineStr">
        <is>
          <t>Student consultancy activity</t>
        </is>
      </c>
      <c r="I471" s="77" t="inlineStr">
        <is>
          <t>2025-26</t>
        </is>
      </c>
      <c r="J471" s="77" t="inlineStr">
        <is>
          <t>2026-10-12</t>
        </is>
      </c>
      <c r="K471" s="77" t="inlineStr">
        <is>
          <t>search-summary paraphrase</t>
        </is>
      </c>
      <c r="L471" s="77" t="inlineStr">
        <is>
          <t>Search summary reports SBM's SCP running two teams on research into barriers for disabled students and progression of under-represented groups into postgraduate study.</t>
        </is>
      </c>
    </row>
    <row r="472">
      <c r="A472" s="77" t="inlineStr">
        <is>
          <t>RG18-S01-R4</t>
        </is>
      </c>
      <c r="B472" s="77" t="inlineStr">
        <is>
          <t>RG18</t>
        </is>
      </c>
      <c r="C472" s="77" t="inlineStr">
        <is>
          <t>RG18-S01</t>
        </is>
      </c>
      <c r="D472" s="77" t="inlineStr">
        <is>
          <t>The Student Consultancy Project (SCP)</t>
        </is>
      </c>
      <c r="E472" s="77" t="inlineStr">
        <is>
          <t>employer</t>
        </is>
      </c>
      <c r="F472" s="77" t="inlineStr">
        <is>
          <t>https://www.qmul.ac.uk/sketch/</t>
        </is>
      </c>
      <c r="G472" s="77" t="inlineStr">
        <is>
          <t>SKETCH - Student Knowledge Exchange Through Community Hubs</t>
        </is>
      </c>
      <c r="H472" s="77" t="inlineStr">
        <is>
          <t>Partners</t>
        </is>
      </c>
      <c r="I472" s="77" t="inlineStr">
        <is>
          <t>undated</t>
        </is>
      </c>
      <c r="J472" s="77" t="inlineStr">
        <is>
          <t>2026-10-12</t>
        </is>
      </c>
      <c r="K472" s="77" t="inlineStr">
        <is>
          <t>search-summary paraphrase</t>
        </is>
      </c>
      <c r="L472" s="77" t="inlineStr">
        <is>
          <t>SKETCH includes The Student Consultancy Project among its strands; past SCP clients cited include FDM, Catch22, Routledge Publishers and Donmar Warehouse.</t>
        </is>
      </c>
    </row>
    <row r="473">
      <c r="A473" s="77" t="inlineStr">
        <is>
          <t>RG18-S02-R1</t>
        </is>
      </c>
      <c r="B473" s="77" t="inlineStr">
        <is>
          <t>RG18</t>
        </is>
      </c>
      <c r="C473" s="77" t="inlineStr">
        <is>
          <t>RG18-S02</t>
        </is>
      </c>
      <c r="D473" s="77" t="inlineStr">
        <is>
          <t>Social Impact Project</t>
        </is>
      </c>
      <c r="E473" s="77" t="inlineStr">
        <is>
          <t>project; group; employer; credit; status</t>
        </is>
      </c>
      <c r="F473" s="77" t="inlineStr">
        <is>
          <t>https://www.qmul.ac.uk/modules/items/bus380-social-impact-project.html</t>
        </is>
      </c>
      <c r="G473" s="77" t="inlineStr">
        <is>
          <t>Social Impact Project - Queen Mary module directory</t>
        </is>
      </c>
      <c r="H473" s="77" t="inlineStr">
        <is>
          <t>Module description</t>
        </is>
      </c>
      <c r="I473" s="77" t="inlineStr">
        <is>
          <t>undated (module directory 2025-26 listing, year not verified)</t>
        </is>
      </c>
      <c r="J473" s="77" t="inlineStr">
        <is>
          <t>2026-10-12</t>
        </is>
      </c>
      <c r="K473" s="77" t="inlineStr">
        <is>
          <t>search-summary paraphrase</t>
        </is>
      </c>
      <c r="L473" s="77" t="inlineStr">
        <is>
          <t>15 credits, Semester 2, Level 6; teams work with external organisations on real-life projects with social goals; consultancy project for a charity or social enterprise; partners from for-profit and non-profit sectors; training and industry mentors; 80% coursework / 20% practical.</t>
        </is>
      </c>
    </row>
    <row r="474">
      <c r="A474" s="77" t="inlineStr">
        <is>
          <t>RG18-S02-R2</t>
        </is>
      </c>
      <c r="B474" s="77" t="inlineStr">
        <is>
          <t>RG18</t>
        </is>
      </c>
      <c r="C474" s="77" t="inlineStr">
        <is>
          <t>RG18-S02</t>
        </is>
      </c>
      <c r="D474" s="77" t="inlineStr">
        <is>
          <t>Social Impact Project</t>
        </is>
      </c>
      <c r="E474" s="77" t="inlineStr">
        <is>
          <t>employer; group; project; credit</t>
        </is>
      </c>
      <c r="F474" s="77" t="inlineStr">
        <is>
          <t>https://www.qmul.ac.uk/queenmaryacademy/educators/resources/graduate-attributes/all-case-studies/developing-key-employability-skills-collaborating-and-managing-social-impact-projects--/</t>
        </is>
      </c>
      <c r="G474" s="77" t="inlineStr">
        <is>
          <t>Developing Key Employability Skills: Collaborating and Managing Social Impact Projects - Queen Mary Academy</t>
        </is>
      </c>
      <c r="H474" s="77" t="inlineStr">
        <is>
          <t>Case study</t>
        </is>
      </c>
      <c r="I474" s="77" t="inlineStr">
        <is>
          <t>undated</t>
        </is>
      </c>
      <c r="J474" s="77" t="inlineStr">
        <is>
          <t>2026-10-12</t>
        </is>
      </c>
      <c r="K474" s="77" t="inlineStr">
        <is>
          <t>search-summary paraphrase</t>
        </is>
      </c>
      <c r="L474" s="77" t="inlineStr">
        <is>
          <t>Tower Hamlets Council representatives led a workshop presenting a real brief on recycling behaviour; teams worked on the problem; final proposals presented at Tower Hamlets Town Hall followed by roundtable with council staff; assessed by Work-Based Report (80%) and Project Presentation (20%).</t>
        </is>
      </c>
    </row>
    <row r="475">
      <c r="A475" s="77" t="inlineStr">
        <is>
          <t>RG18-S03-R1</t>
        </is>
      </c>
      <c r="B475" s="77" t="inlineStr">
        <is>
          <t>RG18</t>
        </is>
      </c>
      <c r="C475" s="77" t="inlineStr">
        <is>
          <t>RG18-S03</t>
        </is>
      </c>
      <c r="D475" s="77" t="inlineStr">
        <is>
          <t>The Capstone Project (Queen Mary Business School live client capstones)</t>
        </is>
      </c>
      <c r="E475" s="77" t="inlineStr">
        <is>
          <t>project; employer</t>
        </is>
      </c>
      <c r="F475" s="77" t="inlineStr">
        <is>
          <t>https://www.qmul.ac.uk/business-school/business-services-/the-capstone-project/capstone-project-and-teamwork/</t>
        </is>
      </c>
      <c r="G475" s="77" t="inlineStr">
        <is>
          <t>The Capstone Project and Teamwork - Queen Mary Business School</t>
        </is>
      </c>
      <c r="H475" s="77" t="inlineStr">
        <is>
          <t>Capstone project site</t>
        </is>
      </c>
      <c r="I475" s="77" t="inlineStr">
        <is>
          <t>undated</t>
        </is>
      </c>
      <c r="J475" s="77" t="inlineStr">
        <is>
          <t>2026-10-12</t>
        </is>
      </c>
      <c r="K475" s="77" t="inlineStr">
        <is>
          <t>search-summary paraphrase</t>
        </is>
      </c>
      <c r="L475" s="77" t="inlineStr">
        <is>
          <t>Capstone site hosts student accounts of live client projects (Farrell Associates, One World Together, FlowSense, Decentials, Carbon Cell) and describes a choice between dissertation and live project.</t>
        </is>
      </c>
    </row>
    <row r="476">
      <c r="A476" s="77" t="inlineStr">
        <is>
          <t>RG18-S04-R1</t>
        </is>
      </c>
      <c r="B476" s="77" t="inlineStr">
        <is>
          <t>RG18</t>
        </is>
      </c>
      <c r="C476" s="77" t="inlineStr">
        <is>
          <t>RG18-S04</t>
        </is>
      </c>
      <c r="D476" s="77" t="inlineStr">
        <is>
          <t>Contemporary Live Management Project (Capstone)</t>
        </is>
      </c>
      <c r="E476" s="77" t="inlineStr">
        <is>
          <t>project; credit; participation</t>
        </is>
      </c>
      <c r="F476" s="77" t="inlineStr">
        <is>
          <t>https://www.qmul.ac.uk/modules/items/busm250-contemporary-live-management-project.html</t>
        </is>
      </c>
      <c r="G476" s="77" t="inlineStr">
        <is>
          <t>Contemporary Live Management Project - module directory</t>
        </is>
      </c>
      <c r="H476" s="77" t="inlineStr">
        <is>
          <t>Module description</t>
        </is>
      </c>
      <c r="I476" s="77" t="inlineStr">
        <is>
          <t>undated</t>
        </is>
      </c>
      <c r="J476" s="77" t="inlineStr">
        <is>
          <t>2026-10-12</t>
        </is>
      </c>
      <c r="K476" s="77" t="inlineStr">
        <is>
          <t>search-summary paraphrase</t>
        </is>
      </c>
      <c r="L476" s="77" t="inlineStr">
        <is>
          <t>60-credit year-long capstone, alternative to dissertation, 100% coursework; employability and sustainability focus; runs alongside BUSM249.</t>
        </is>
      </c>
    </row>
    <row r="477">
      <c r="A477" s="77" t="inlineStr">
        <is>
          <t>RG18-S04-R2</t>
        </is>
      </c>
      <c r="B477" s="77" t="inlineStr">
        <is>
          <t>RG18</t>
        </is>
      </c>
      <c r="C477" s="77" t="inlineStr">
        <is>
          <t>RG18-S04</t>
        </is>
      </c>
      <c r="D477" s="77" t="inlineStr">
        <is>
          <t>Contemporary Live Management Project (Capstone)</t>
        </is>
      </c>
      <c r="E477" s="77" t="inlineStr">
        <is>
          <t>group; employer</t>
        </is>
      </c>
      <c r="F477" s="77" t="inlineStr">
        <is>
          <t>https://www.qmul.ac.uk/business-school/business-services-/the-capstone-project/capstone-project-and-teamwork/</t>
        </is>
      </c>
      <c r="G477" s="77" t="inlineStr">
        <is>
          <t>The Capstone Project and Teamwork - Queen Mary Business School</t>
        </is>
      </c>
      <c r="H477" s="77" t="inlineStr">
        <is>
          <t>Student accounts</t>
        </is>
      </c>
      <c r="I477" s="77" t="inlineStr">
        <is>
          <t>undated</t>
        </is>
      </c>
      <c r="J477" s="77" t="inlineStr">
        <is>
          <t>2026-10-12</t>
        </is>
      </c>
      <c r="K477" s="77" t="inlineStr">
        <is>
          <t>search-summary paraphrase</t>
        </is>
      </c>
      <c r="L477" s="77" t="inlineStr">
        <is>
          <t>Student: team members were assigned different but interrelated problem statements for one client; clients named include Farrell Associates, One World Together, FlowSense, Decentials, Carbon Cell; preparation on client communication and teamwork.</t>
        </is>
      </c>
    </row>
    <row r="478">
      <c r="A478" s="77" t="inlineStr">
        <is>
          <t>RG18-S04-R3</t>
        </is>
      </c>
      <c r="B478" s="77" t="inlineStr">
        <is>
          <t>RG18</t>
        </is>
      </c>
      <c r="C478" s="77" t="inlineStr">
        <is>
          <t>RG18-S04</t>
        </is>
      </c>
      <c r="D478" s="77" t="inlineStr">
        <is>
          <t>Contemporary Live Management Project (Capstone)</t>
        </is>
      </c>
      <c r="E478" s="77" t="inlineStr">
        <is>
          <t>project</t>
        </is>
      </c>
      <c r="F478" s="77" t="inlineStr">
        <is>
          <t>https://www.qmul.ac.uk/business-school/business-services-/the-capstone-project/the-contemporary-live-project/</t>
        </is>
      </c>
      <c r="G478" s="77" t="inlineStr">
        <is>
          <t>The Contemporary Live Project - Queen Mary Business School</t>
        </is>
      </c>
      <c r="H478" s="77" t="inlineStr">
        <is>
          <t>Capstone page</t>
        </is>
      </c>
      <c r="I478" s="77" t="inlineStr">
        <is>
          <t>undated</t>
        </is>
      </c>
      <c r="J478" s="77" t="inlineStr">
        <is>
          <t>2026-10-12</t>
        </is>
      </c>
      <c r="K478" s="77" t="inlineStr">
        <is>
          <t>search-summary paraphrase</t>
        </is>
      </c>
      <c r="L478" s="77" t="inlineStr">
        <is>
          <t>Page describing the Contemporary Live Project as the MSc Management capstone (content seen only via search summary).</t>
        </is>
      </c>
    </row>
    <row r="479">
      <c r="A479" s="77" t="inlineStr">
        <is>
          <t>RG18-S05-R1</t>
        </is>
      </c>
      <c r="B479" s="77" t="inlineStr">
        <is>
          <t>RG18</t>
        </is>
      </c>
      <c r="C479" s="77" t="inlineStr">
        <is>
          <t>RG18-S05</t>
        </is>
      </c>
      <c r="D479" s="77" t="inlineStr">
        <is>
          <t>Entrepreneurship and Innovation Project (live consultancy Capstone)</t>
        </is>
      </c>
      <c r="E479" s="77" t="inlineStr">
        <is>
          <t>project; employer; status</t>
        </is>
      </c>
      <c r="F479" s="77" t="inlineStr">
        <is>
          <t>https://www.qmul.ac.uk/sbm/news/2026/first-live-consultancy-capstone-projects-successfully-completed.html</t>
        </is>
      </c>
      <c r="G479" s="77" t="inlineStr">
        <is>
          <t>First live consultancy Capstone Projects successfully completed - SBM news</t>
        </is>
      </c>
      <c r="H479" s="77" t="inlineStr">
        <is>
          <t>News 1 July 2026</t>
        </is>
      </c>
      <c r="I479" s="77" t="inlineStr">
        <is>
          <t>2026</t>
        </is>
      </c>
      <c r="J479" s="77" t="inlineStr">
        <is>
          <t>2026-10-12</t>
        </is>
      </c>
      <c r="K479" s="77" t="inlineStr">
        <is>
          <t>search-summary paraphrase</t>
        </is>
      </c>
      <c r="L479" s="77" t="inlineStr">
        <is>
          <t>First live consultancy capstone projects completed June 2026; since February students worked on client briefs from ViWipe, FlowSense, Decentials and Clean Break under Dr Lilian Schofield and Dr Gloria Appiah with Entrepreneurship Hub support; client feedback overwhelmingly positive.</t>
        </is>
      </c>
    </row>
    <row r="480">
      <c r="A480" s="77" t="inlineStr">
        <is>
          <t>RG18-S05-R2</t>
        </is>
      </c>
      <c r="B480" s="77" t="inlineStr">
        <is>
          <t>RG18</t>
        </is>
      </c>
      <c r="C480" s="77" t="inlineStr">
        <is>
          <t>RG18-S05</t>
        </is>
      </c>
      <c r="D480" s="77" t="inlineStr">
        <is>
          <t>Entrepreneurship and Innovation Project (live consultancy Capstone)</t>
        </is>
      </c>
      <c r="E480" s="77" t="inlineStr">
        <is>
          <t>project; employer</t>
        </is>
      </c>
      <c r="F480" s="77" t="inlineStr">
        <is>
          <t>https://www.qmul.ac.uk/postgraduate/taught/coursefinder/courses/entrepreneurship-and-innovation-management-msc/</t>
        </is>
      </c>
      <c r="G480" s="77" t="inlineStr">
        <is>
          <t>Entrepreneurship and Innovation Management MSc - course page</t>
        </is>
      </c>
      <c r="H480" s="77" t="inlineStr">
        <is>
          <t>Programme description</t>
        </is>
      </c>
      <c r="I480" s="77" t="inlineStr">
        <is>
          <t>undated</t>
        </is>
      </c>
      <c r="J480" s="77" t="inlineStr">
        <is>
          <t>2026-10-12</t>
        </is>
      </c>
      <c r="K480" s="77" t="inlineStr">
        <is>
          <t>search-summary paraphrase</t>
        </is>
      </c>
      <c r="L480" s="77" t="inlineStr">
        <is>
          <t>Programme's Entrepreneurship and Innovation Project with the Entrepreneurship Hub is a consulting engagement with an entrepreneurial organisation applying knowledge to real business challenges (as summarised in search result).</t>
        </is>
      </c>
    </row>
    <row r="481">
      <c r="A481" s="77" t="inlineStr">
        <is>
          <t>RG18-S06-R1</t>
        </is>
      </c>
      <c r="B481" s="77" t="inlineStr">
        <is>
          <t>RG18</t>
        </is>
      </c>
      <c r="C481" s="77" t="inlineStr">
        <is>
          <t>RG18-S06</t>
        </is>
      </c>
      <c r="D481" s="77" t="inlineStr">
        <is>
          <t>Real World Impact Projects</t>
        </is>
      </c>
      <c r="E481" s="77" t="inlineStr">
        <is>
          <t>project; group; employer; eligibility; duration</t>
        </is>
      </c>
      <c r="F481" s="77" t="inlineStr">
        <is>
          <t>https://www.qmul.ac.uk/sbm/entrepreneurship-hub/real-world-impact-projects/</t>
        </is>
      </c>
      <c r="G481" s="77" t="inlineStr">
        <is>
          <t>Real World Impact Projects - School of Business and Management</t>
        </is>
      </c>
      <c r="H481" s="77" t="inlineStr">
        <is>
          <t>Overview</t>
        </is>
      </c>
      <c r="I481" s="77" t="inlineStr">
        <is>
          <t>undated</t>
        </is>
      </c>
      <c r="J481" s="77" t="inlineStr">
        <is>
          <t>2026-10-12</t>
        </is>
      </c>
      <c r="K481" s="77" t="inlineStr">
        <is>
          <t>search-summary paraphrase</t>
        </is>
      </c>
      <c r="L481" s="77" t="inlineStr">
        <is>
          <t>Open to SBM and School of Society &amp; Environment students; teams formed to mix disciplines and skills; work with charities, social enterprises, SMEs, start-ups and cultural organisations; approx. 15-20 hours over 8 weeks; places limited.</t>
        </is>
      </c>
    </row>
    <row r="482">
      <c r="A482" s="77" t="inlineStr">
        <is>
          <t>RG18-S06-R2</t>
        </is>
      </c>
      <c r="B482" s="77" t="inlineStr">
        <is>
          <t>RG18</t>
        </is>
      </c>
      <c r="C482" s="77" t="inlineStr">
        <is>
          <t>RG18-S06</t>
        </is>
      </c>
      <c r="D482" s="77" t="inlineStr">
        <is>
          <t>Real World Impact Projects</t>
        </is>
      </c>
      <c r="E482" s="77" t="inlineStr">
        <is>
          <t>employer; group</t>
        </is>
      </c>
      <c r="F482" s="77" t="inlineStr">
        <is>
          <t>https://www.qmul.ac.uk/sketch/</t>
        </is>
      </c>
      <c r="G482" s="77" t="inlineStr">
        <is>
          <t>SKETCH - Student Knowledge Exchange Through Community Hubs</t>
        </is>
      </c>
      <c r="H482" s="77" t="inlineStr">
        <is>
          <t>Programme overview</t>
        </is>
      </c>
      <c r="I482" s="77" t="inlineStr">
        <is>
          <t>undated</t>
        </is>
      </c>
      <c r="J482" s="77" t="inlineStr">
        <is>
          <t>2026-10-12</t>
        </is>
      </c>
      <c r="K482" s="77" t="inlineStr">
        <is>
          <t>search-summary paraphrase</t>
        </is>
      </c>
      <c r="L482" s="77" t="inlineStr">
        <is>
          <t>Students join interdisciplinary teams working directly with charities, social enterprises, SMEs, startups and cultural organisations.</t>
        </is>
      </c>
    </row>
    <row r="483">
      <c r="A483" s="77" t="inlineStr">
        <is>
          <t>RG18-S07-R1</t>
        </is>
      </c>
      <c r="B483" s="77" t="inlineStr">
        <is>
          <t>RG18</t>
        </is>
      </c>
      <c r="C483" s="77" t="inlineStr">
        <is>
          <t>RG18-S07</t>
        </is>
      </c>
      <c r="D483" s="77" t="inlineStr">
        <is>
          <t>qHeritage (SKETCH pillar)</t>
        </is>
      </c>
      <c r="E483" s="77" t="inlineStr">
        <is>
          <t>project; status; employer</t>
        </is>
      </c>
      <c r="F483" s="77" t="inlineStr">
        <is>
          <t>https://www.qmul.ac.uk/history/qheritage/for-students/</t>
        </is>
      </c>
      <c r="G483" s="77" t="inlineStr">
        <is>
          <t>qHeritage For students</t>
        </is>
      </c>
      <c r="H483" s="77" t="inlineStr">
        <is>
          <t>2026-27 projects</t>
        </is>
      </c>
      <c r="I483" s="77" t="inlineStr">
        <is>
          <t>2026</t>
        </is>
      </c>
      <c r="J483" s="77" t="inlineStr">
        <is>
          <t>2026-10-12</t>
        </is>
      </c>
      <c r="K483" s="77" t="inlineStr">
        <is>
          <t>search-summary paraphrase</t>
        </is>
      </c>
      <c r="L483" s="77" t="inlineStr">
        <is>
          <t>2026-27 round lists Citizens UK (community research report) and Swadhinata Trust (British Bengali football heritage); applications close 30 Sept 2026; programme 15/16 Oct-8 Dec 2026.</t>
        </is>
      </c>
    </row>
    <row r="484">
      <c r="A484" s="77" t="inlineStr">
        <is>
          <t>RG18-S07-R2</t>
        </is>
      </c>
      <c r="B484" s="77" t="inlineStr">
        <is>
          <t>RG18</t>
        </is>
      </c>
      <c r="C484" s="77" t="inlineStr">
        <is>
          <t>RG18-S07</t>
        </is>
      </c>
      <c r="D484" s="77" t="inlineStr">
        <is>
          <t>qHeritage (SKETCH pillar)</t>
        </is>
      </c>
      <c r="E484" s="77" t="inlineStr">
        <is>
          <t>group; employer</t>
        </is>
      </c>
      <c r="F484" s="77" t="inlineStr">
        <is>
          <t>https://www.qmul.ac.uk/history/qheritage/project-highlights/</t>
        </is>
      </c>
      <c r="G484" s="77" t="inlineStr">
        <is>
          <t>qHeritage Project highlights</t>
        </is>
      </c>
      <c r="H484" s="77" t="inlineStr">
        <is>
          <t>Past projects</t>
        </is>
      </c>
      <c r="I484" s="77" t="inlineStr">
        <is>
          <t>undated</t>
        </is>
      </c>
      <c r="J484" s="77" t="inlineStr">
        <is>
          <t>2026-10-12</t>
        </is>
      </c>
      <c r="K484" s="77" t="inlineStr">
        <is>
          <t>search-summary paraphrase</t>
        </is>
      </c>
      <c r="L484" s="77" t="inlineStr">
        <is>
          <t>For Swadhinata Trust two teams combined History and SBM students with introductory training on heritage sector, impact evaluation and client management.</t>
        </is>
      </c>
    </row>
    <row r="485">
      <c r="A485" s="77" t="inlineStr">
        <is>
          <t>RG18-S07-R3</t>
        </is>
      </c>
      <c r="B485" s="77" t="inlineStr">
        <is>
          <t>RG18</t>
        </is>
      </c>
      <c r="C485" s="77" t="inlineStr">
        <is>
          <t>RG18-S07</t>
        </is>
      </c>
      <c r="D485" s="77" t="inlineStr">
        <is>
          <t>qHeritage (SKETCH pillar)</t>
        </is>
      </c>
      <c r="E485" s="77" t="inlineStr">
        <is>
          <t>eligibility; duration</t>
        </is>
      </c>
      <c r="F485" s="77" t="inlineStr">
        <is>
          <t>https://www.qmul.ac.uk/history/qheritage/for-students/project-devise-a-community-research-report/</t>
        </is>
      </c>
      <c r="G485" s="77" t="inlineStr">
        <is>
          <t>qHeritage Project: Developing a Reporting Framework</t>
        </is>
      </c>
      <c r="H485" s="77" t="inlineStr">
        <is>
          <t>Eligibility and time commitment</t>
        </is>
      </c>
      <c r="I485" s="77" t="inlineStr">
        <is>
          <t>2026</t>
        </is>
      </c>
      <c r="J485" s="77" t="inlineStr">
        <is>
          <t>2026-10-12</t>
        </is>
      </c>
      <c r="K485" s="77" t="inlineStr">
        <is>
          <t>search-summary paraphrase</t>
        </is>
      </c>
      <c r="L485" s="77" t="inlineStr">
        <is>
          <t>Eligibility limited to current Queen Mary students; teamwork-oriented; 15-20 hours including client meetings, teamwork and individual work; deadline 30 Sept 2026.</t>
        </is>
      </c>
    </row>
    <row r="486">
      <c r="A486" s="77" t="inlineStr">
        <is>
          <t>RG18-S08-R1</t>
        </is>
      </c>
      <c r="B486" s="77" t="inlineStr">
        <is>
          <t>RG18</t>
        </is>
      </c>
      <c r="C486" s="77" t="inlineStr">
        <is>
          <t>RG18-S08</t>
        </is>
      </c>
      <c r="D486" s="77" t="inlineStr">
        <is>
          <t>qNomics Client Advisory</t>
        </is>
      </c>
      <c r="E486" s="77" t="inlineStr">
        <is>
          <t>project; group; employer; eligibility; status</t>
        </is>
      </c>
      <c r="F486" s="77" t="inlineStr">
        <is>
          <t>https://www.qmul.ac.uk/qnomics/for-students/client-advisory/</t>
        </is>
      </c>
      <c r="G486" s="77" t="inlineStr">
        <is>
          <t>Client Advisory - qNomics</t>
        </is>
      </c>
      <c r="H486" s="77" t="inlineStr">
        <is>
          <t>Programme description</t>
        </is>
      </c>
      <c r="I486" s="77" t="inlineStr">
        <is>
          <t>2026</t>
        </is>
      </c>
      <c r="J486" s="77" t="inlineStr">
        <is>
          <t>2026-10-12</t>
        </is>
      </c>
      <c r="K486" s="77" t="inlineStr">
        <is>
          <t>search-summary paraphrase</t>
        </is>
      </c>
      <c r="L486" s="77" t="inlineStr">
        <is>
          <t>Teams work with entrepreneurs, start-ups and small businesses with a professional supervisor; open to third-year UG and PG students in the School; teams present final recommendations; applications 14-27 Sept 2026.</t>
        </is>
      </c>
    </row>
    <row r="487">
      <c r="A487" s="77" t="inlineStr">
        <is>
          <t>RG18-S08-R2</t>
        </is>
      </c>
      <c r="B487" s="77" t="inlineStr">
        <is>
          <t>RG18</t>
        </is>
      </c>
      <c r="C487" s="77" t="inlineStr">
        <is>
          <t>RG18-S08</t>
        </is>
      </c>
      <c r="D487" s="77" t="inlineStr">
        <is>
          <t>qNomics Client Advisory</t>
        </is>
      </c>
      <c r="E487" s="77" t="inlineStr">
        <is>
          <t>status</t>
        </is>
      </c>
      <c r="F487" s="77" t="inlineStr">
        <is>
          <t>https://www.qmul.ac.uk/sef/news/2025/items/qnomics---where-students-turn-theory-into-impact.html</t>
        </is>
      </c>
      <c r="G487" s="77" t="inlineStr">
        <is>
          <t>qNomics - where students turn theory into impact</t>
        </is>
      </c>
      <c r="H487" s="77" t="inlineStr">
        <is>
          <t>SEF news</t>
        </is>
      </c>
      <c r="I487" s="77" t="inlineStr">
        <is>
          <t>2025</t>
        </is>
      </c>
      <c r="J487" s="77" t="inlineStr">
        <is>
          <t>2026-10-12</t>
        </is>
      </c>
      <c r="K487" s="77" t="inlineStr">
        <is>
          <t>search-summary paraphrase</t>
        </is>
      </c>
      <c r="L487" s="77" t="inlineStr">
        <is>
          <t>Students in the Client Advisory Programme supported 18 SMEs.</t>
        </is>
      </c>
    </row>
    <row r="488">
      <c r="A488" s="77" t="inlineStr">
        <is>
          <t>RG18-S08-R3</t>
        </is>
      </c>
      <c r="B488" s="77" t="inlineStr">
        <is>
          <t>RG18</t>
        </is>
      </c>
      <c r="C488" s="77" t="inlineStr">
        <is>
          <t>RG18-S08</t>
        </is>
      </c>
      <c r="D488" s="77" t="inlineStr">
        <is>
          <t>qNomics Client Advisory</t>
        </is>
      </c>
      <c r="E488" s="77" t="inlineStr">
        <is>
          <t>participation; credit</t>
        </is>
      </c>
      <c r="F488" s="77" t="inlineStr">
        <is>
          <t>https://www.qmul.ac.uk/sef/postgraduate/msc/professional-skills-development/optional-modules/qnomics/</t>
        </is>
      </c>
      <c r="G488" s="77" t="inlineStr">
        <is>
          <t>qNomics - School of Economics and Finance</t>
        </is>
      </c>
      <c r="H488" s="77" t="inlineStr">
        <is>
          <t>Optional modules</t>
        </is>
      </c>
      <c r="I488" s="77" t="inlineStr">
        <is>
          <t>undated</t>
        </is>
      </c>
      <c r="J488" s="77" t="inlineStr">
        <is>
          <t>2026-10-12</t>
        </is>
      </c>
      <c r="K488" s="77" t="inlineStr">
        <is>
          <t>search-summary paraphrase</t>
        </is>
      </c>
      <c r="L488" s="77" t="inlineStr">
        <is>
          <t>qNomics listed among optional PG professional skills modules.</t>
        </is>
      </c>
    </row>
    <row r="489">
      <c r="A489" s="77" t="inlineStr">
        <is>
          <t>RG18-S09-R1</t>
        </is>
      </c>
      <c r="B489" s="77" t="inlineStr">
        <is>
          <t>RG18</t>
        </is>
      </c>
      <c r="C489" s="77" t="inlineStr">
        <is>
          <t>RG18-S09</t>
        </is>
      </c>
      <c r="D489" s="77" t="inlineStr">
        <is>
          <t>qNomics Community Projects</t>
        </is>
      </c>
      <c r="E489" s="77" t="inlineStr">
        <is>
          <t>project; group; employer</t>
        </is>
      </c>
      <c r="F489" s="77" t="inlineStr">
        <is>
          <t>https://www.qmul.ac.uk/qnomics/</t>
        </is>
      </c>
      <c r="G489" s="77" t="inlineStr">
        <is>
          <t>qNomics</t>
        </is>
      </c>
      <c r="H489" s="77" t="inlineStr">
        <is>
          <t>Overview</t>
        </is>
      </c>
      <c r="I489" s="77" t="inlineStr">
        <is>
          <t>2026</t>
        </is>
      </c>
      <c r="J489" s="77" t="inlineStr">
        <is>
          <t>2026-10-12</t>
        </is>
      </c>
      <c r="K489" s="77" t="inlineStr">
        <is>
          <t>search-summary paraphrase</t>
        </is>
      </c>
      <c r="L489" s="77" t="inlineStr">
        <is>
          <t>Two strands: Client Advisory and Community Projects; Community Projects pair students with community organisations on local challenges using research, survey design, data analysis and design thinking; open to UG and PG.</t>
        </is>
      </c>
    </row>
    <row r="490">
      <c r="A490" s="77" t="inlineStr">
        <is>
          <t>RG18-S10-R1</t>
        </is>
      </c>
      <c r="B490" s="77" t="inlineStr">
        <is>
          <t>RG18</t>
        </is>
      </c>
      <c r="C490" s="77" t="inlineStr">
        <is>
          <t>RG18-S10</t>
        </is>
      </c>
      <c r="D490" s="77" t="inlineStr">
        <is>
          <t>SBM Consult</t>
        </is>
      </c>
      <c r="E490" s="77" t="inlineStr">
        <is>
          <t>project; group; employer; eligibility</t>
        </is>
      </c>
      <c r="F490" s="77" t="inlineStr">
        <is>
          <t>https://www.qmul.ac.uk/careers/find-opportunities/current-opportunities/sbm-consult/</t>
        </is>
      </c>
      <c r="G490" s="77" t="inlineStr">
        <is>
          <t>SBM Consult - Careers and Employability</t>
        </is>
      </c>
      <c r="H490" s="77" t="inlineStr">
        <is>
          <t>Programme page</t>
        </is>
      </c>
      <c r="I490" s="77" t="inlineStr">
        <is>
          <t>undated</t>
        </is>
      </c>
      <c r="J490" s="77" t="inlineStr">
        <is>
          <t>2026-10-12</t>
        </is>
      </c>
      <c r="K490" s="77" t="inlineStr">
        <is>
          <t>search-summary paraphrase</t>
        </is>
      </c>
      <c r="L490" s="77" t="inlineStr">
        <is>
          <t>Teams of five; ten weeks across semesters A and B; GBP 10.55/hour for 30 hours; open to all SBM students and recent graduates; past clients SBM Marketing &amp; Recruitment, QMUL Estates &amp; Facilities, Students' Union.</t>
        </is>
      </c>
    </row>
    <row r="491">
      <c r="A491" s="77" t="inlineStr">
        <is>
          <t>RG18-S11-R1</t>
        </is>
      </c>
      <c r="B491" s="77" t="inlineStr">
        <is>
          <t>RG18</t>
        </is>
      </c>
      <c r="C491" s="77" t="inlineStr">
        <is>
          <t>RG18-S11</t>
        </is>
      </c>
      <c r="D491" s="77" t="inlineStr">
        <is>
          <t>SBM In Action: Digital Industry Project (with Practera)</t>
        </is>
      </c>
      <c r="E491" s="77" t="inlineStr">
        <is>
          <t>project; group; employer; duration</t>
        </is>
      </c>
      <c r="F491" s="77" t="inlineStr">
        <is>
          <t>https://www.qmul.ac.uk/sbm/study/careers-and-employability/sbm-in-action-digital-industry-project/</t>
        </is>
      </c>
      <c r="G491" s="77" t="inlineStr">
        <is>
          <t>SBM In Action: Digital Industry Project</t>
        </is>
      </c>
      <c r="H491" s="77" t="inlineStr">
        <is>
          <t>Programme page</t>
        </is>
      </c>
      <c r="I491" s="77" t="inlineStr">
        <is>
          <t>undated</t>
        </is>
      </c>
      <c r="J491" s="77" t="inlineStr">
        <is>
          <t>2026-10-12</t>
        </is>
      </c>
      <c r="K491" s="77" t="inlineStr">
        <is>
          <t>search-summary paraphrase</t>
        </is>
      </c>
      <c r="L491" s="77" t="inlineStr">
        <is>
          <t>Virtual three-week programme with Practera; students work in a consultancy team on a real business challenge for a company; client briefing; mentor feedback; final presentation and research report; 50 hours; 100 students.</t>
        </is>
      </c>
    </row>
    <row r="492">
      <c r="A492" s="77" t="inlineStr">
        <is>
          <t>RG18-S12-R1</t>
        </is>
      </c>
      <c r="B492" s="77" t="inlineStr">
        <is>
          <t>RG18</t>
        </is>
      </c>
      <c r="C492" s="77" t="inlineStr">
        <is>
          <t>RG18-S12</t>
        </is>
      </c>
      <c r="D492" s="77" t="inlineStr">
        <is>
          <t>MEng final-year group design project (School of Engineering and Materials Science)</t>
        </is>
      </c>
      <c r="E492" s="77" t="inlineStr">
        <is>
          <t>project; group; employer; credit</t>
        </is>
      </c>
      <c r="F492" s="77" t="inlineStr">
        <is>
          <t>https://www.sems.qmul.ac.uk/ugadmissions/faq/</t>
        </is>
      </c>
      <c r="G492" s="77" t="inlineStr">
        <is>
          <t>Frequently Asked Questions: QMUL School of Engineering and Materials Science</t>
        </is>
      </c>
      <c r="H492" s="77" t="inlineStr">
        <is>
          <t>MEng project</t>
        </is>
      </c>
      <c r="I492" s="77" t="inlineStr">
        <is>
          <t>undated</t>
        </is>
      </c>
      <c r="J492" s="77" t="inlineStr">
        <is>
          <t>2026-10-12</t>
        </is>
      </c>
      <c r="K492" s="77" t="inlineStr">
        <is>
          <t>search-summary paraphrase</t>
        </is>
      </c>
      <c r="L492" s="77" t="inlineStr">
        <is>
          <t>Fourth-year group design project is half of the final year and frequently sponsored by industry.</t>
        </is>
      </c>
    </row>
    <row r="493">
      <c r="A493" s="77" t="inlineStr">
        <is>
          <t>RG18-S12-R2</t>
        </is>
      </c>
      <c r="B493" s="77" t="inlineStr">
        <is>
          <t>RG18</t>
        </is>
      </c>
      <c r="C493" s="77" t="inlineStr">
        <is>
          <t>RG18-S12</t>
        </is>
      </c>
      <c r="D493" s="77" t="inlineStr">
        <is>
          <t>MEng final-year group design project (School of Engineering and Materials Science)</t>
        </is>
      </c>
      <c r="E493" s="77" t="inlineStr">
        <is>
          <t>employer</t>
        </is>
      </c>
      <c r="F493" s="77" t="inlineStr">
        <is>
          <t>https://www.qmul.ac.uk/governance-and-legal-services/media/arcs/docs/quality-assurance/academic-development/programme-specs/se/eecs/2022x2f23/PS_H608_MEng-Electrical-&amp;-Electronic-Engineering.pdf</t>
        </is>
      </c>
      <c r="G493" s="77" t="inlineStr">
        <is>
          <t>Programme specification MEng Electrical and Electronic Engineering</t>
        </is>
      </c>
      <c r="H493" s="77" t="inlineStr">
        <is>
          <t>Group project</t>
        </is>
      </c>
      <c r="I493" s="77" t="inlineStr">
        <is>
          <t>2022-23</t>
        </is>
      </c>
      <c r="J493" s="77" t="inlineStr">
        <is>
          <t>2026-10-12</t>
        </is>
      </c>
      <c r="K493" s="77" t="inlineStr">
        <is>
          <t>search-summary paraphrase</t>
        </is>
      </c>
      <c r="L493" s="77" t="inlineStr">
        <is>
          <t>Advanced group project may be scoped and sponsored by one of our industrial partners.</t>
        </is>
      </c>
    </row>
    <row r="494">
      <c r="A494" s="77" t="inlineStr">
        <is>
          <t>RG18-S12-R3</t>
        </is>
      </c>
      <c r="B494" s="77" t="inlineStr">
        <is>
          <t>RG18</t>
        </is>
      </c>
      <c r="C494" s="77" t="inlineStr">
        <is>
          <t>RG18-S12</t>
        </is>
      </c>
      <c r="D494" s="77" t="inlineStr">
        <is>
          <t>MEng final-year group design project (School of Engineering and Materials Science)</t>
        </is>
      </c>
      <c r="E494" s="77" t="inlineStr">
        <is>
          <t>status</t>
        </is>
      </c>
      <c r="F494" s="77" t="inlineStr">
        <is>
          <t>https://www.sems.qmul.ac.uk/news/5957/best-meng-project-in-sems-industrial-liaison-forum-2022/</t>
        </is>
      </c>
      <c r="G494" s="77" t="inlineStr">
        <is>
          <t>Best MEng project in SEMS Industrial Liaison Forum 2022</t>
        </is>
      </c>
      <c r="H494" s="77" t="inlineStr">
        <is>
          <t>News</t>
        </is>
      </c>
      <c r="I494" s="77" t="inlineStr">
        <is>
          <t>2022</t>
        </is>
      </c>
      <c r="J494" s="77" t="inlineStr">
        <is>
          <t>2026-10-12</t>
        </is>
      </c>
      <c r="K494" s="77" t="inlineStr">
        <is>
          <t>search-summary paraphrase</t>
        </is>
      </c>
      <c r="L494" s="77" t="inlineStr">
        <is>
          <t>A 2022 MEng group won best project at the Industrial Liaison Forum.</t>
        </is>
      </c>
    </row>
    <row r="495">
      <c r="A495" s="77" t="inlineStr">
        <is>
          <t>RG19-S01-R1</t>
        </is>
      </c>
      <c r="B495" s="77" t="inlineStr">
        <is>
          <t>RG19</t>
        </is>
      </c>
      <c r="C495" s="77" t="inlineStr">
        <is>
          <t>RG19-S01</t>
        </is>
      </c>
      <c r="D495" s="77" t="inlineStr">
        <is>
          <t>Real-World Consultancy Programme (Careers)</t>
        </is>
      </c>
      <c r="E495" s="77" t="inlineStr">
        <is>
          <t>project; group; employer; reach; eligibility; participation</t>
        </is>
      </c>
      <c r="F495" s="77" t="inlineStr">
        <is>
          <t>https://www.qub.ac.uk/directorates/sgc/careers/careers-events/Programmes/real-world-consultancy-programme/</t>
        </is>
      </c>
      <c r="G495" s="77" t="inlineStr">
        <is>
          <t>Real-World Consultancy Programme</t>
        </is>
      </c>
      <c r="H495" s="77" t="inlineStr">
        <is>
          <t>Programme page</t>
        </is>
      </c>
      <c r="I495" s="77" t="inlineStr">
        <is>
          <t>undated (2026 run advertised)</t>
        </is>
      </c>
      <c r="J495" s="77" t="inlineStr">
        <is>
          <t>2026-10-12</t>
        </is>
      </c>
      <c r="K495" s="77" t="inlineStr">
        <is>
          <t>search-index extract (quoted)</t>
        </is>
      </c>
      <c r="L495" s="77" t="inlineStr">
        <is>
          <t>Students work in a project team for an external client organisation with other students from different disciplines and will be facilitated through a Design Thinking process to resolve the client's problem; open to Queen's students of all levels; 40 places.</t>
        </is>
      </c>
    </row>
    <row r="496">
      <c r="A496" s="77" t="inlineStr">
        <is>
          <t>RG19-S01-R2</t>
        </is>
      </c>
      <c r="B496" s="77" t="inlineStr">
        <is>
          <t>RG19</t>
        </is>
      </c>
      <c r="C496" s="77" t="inlineStr">
        <is>
          <t>RG19-S01</t>
        </is>
      </c>
      <c r="D496" s="77" t="inlineStr">
        <is>
          <t>Real-World Consultancy Programme (Careers)</t>
        </is>
      </c>
      <c r="E496" s="77" t="inlineStr">
        <is>
          <t>status; duration; eligibility</t>
        </is>
      </c>
      <c r="F496" s="77" t="inlineStr">
        <is>
          <t>https://www.qub.ac.uk/directorates/sgc/careers/careers-events/Real-WorldConsultancyProgramme.html</t>
        </is>
      </c>
      <c r="G496" s="77" t="inlineStr">
        <is>
          <t>26-05-2026 - 29-05-2026 Real-World Consultancy Programme</t>
        </is>
      </c>
      <c r="H496" s="77" t="inlineStr">
        <is>
          <t>Event listing</t>
        </is>
      </c>
      <c r="I496" s="77" t="inlineStr">
        <is>
          <t>2026</t>
        </is>
      </c>
      <c r="J496" s="77" t="inlineStr">
        <is>
          <t>2026-10-12</t>
        </is>
      </c>
      <c r="K496" s="77" t="inlineStr">
        <is>
          <t>search-index extract (quoted)</t>
        </is>
      </c>
      <c r="L496" s="77" t="inlineStr">
        <is>
          <t>Listing for the programme run 26-29 May 2026 at The Cube, One Elmwood; free; full attendance required.</t>
        </is>
      </c>
    </row>
    <row r="497">
      <c r="A497" s="77" t="inlineStr">
        <is>
          <t>RG19-S01-R3</t>
        </is>
      </c>
      <c r="B497" s="77" t="inlineStr">
        <is>
          <t>RG19</t>
        </is>
      </c>
      <c r="C497" s="77" t="inlineStr">
        <is>
          <t>RG19-S01</t>
        </is>
      </c>
      <c r="D497" s="77" t="inlineStr">
        <is>
          <t>Real-World Consultancy Programme (Careers)</t>
        </is>
      </c>
      <c r="E497" s="77" t="inlineStr">
        <is>
          <t>employer</t>
        </is>
      </c>
      <c r="F497" s="77" t="inlineStr">
        <is>
          <t>https://www.qub.ac.uk/student-blog/careers-global-opportunities/UnveillingtheReal-WorldConsultancyExperienceAJourneyofDiscoveryandImpact.html</t>
        </is>
      </c>
      <c r="G497" s="77" t="inlineStr">
        <is>
          <t>Unveiling the Real-World Consultancy Experience</t>
        </is>
      </c>
      <c r="H497" s="77" t="inlineStr">
        <is>
          <t>Student blog</t>
        </is>
      </c>
      <c r="I497" s="77" t="inlineStr">
        <is>
          <t>2025</t>
        </is>
      </c>
      <c r="J497" s="77" t="inlineStr">
        <is>
          <t>2026-10-12</t>
        </is>
      </c>
      <c r="K497" s="77" t="inlineStr">
        <is>
          <t>search-summary paraphrase</t>
        </is>
      </c>
      <c r="L497" s="77" t="inlineStr">
        <is>
          <t>Student account lists client challenges set by Aflac Northern Ireland, BDO Northern Ireland, Gig Grafter Limited, KPMG Ireland, The Phoenix Education Centre and SureCert (search-summary attribution).</t>
        </is>
      </c>
    </row>
    <row r="498">
      <c r="A498" s="77" t="inlineStr">
        <is>
          <t>RG19-S01-R4</t>
        </is>
      </c>
      <c r="B498" s="77" t="inlineStr">
        <is>
          <t>RG19</t>
        </is>
      </c>
      <c r="C498" s="77" t="inlineStr">
        <is>
          <t>RG19-S01</t>
        </is>
      </c>
      <c r="D498" s="77" t="inlineStr">
        <is>
          <t>Real-World Consultancy Programme (Careers)</t>
        </is>
      </c>
      <c r="E498" s="77" t="inlineStr">
        <is>
          <t>credit</t>
        </is>
      </c>
      <c r="F498" s="77" t="inlineStr">
        <is>
          <t>https://www.qub.ac.uk/directorates/future-ready-award/activity-search-tool/activities/Real-WorldConsultancyProgrammeCareersprogramme.html</t>
        </is>
      </c>
      <c r="G498" s="77" t="inlineStr">
        <is>
          <t>Real-World Consultancy Programme (Careers programme)</t>
        </is>
      </c>
      <c r="H498" s="77" t="inlineStr">
        <is>
          <t>Future-Ready Award activity</t>
        </is>
      </c>
      <c r="I498" s="77" t="inlineStr">
        <is>
          <t>undated</t>
        </is>
      </c>
      <c r="J498" s="77" t="inlineStr">
        <is>
          <t>2026-10-12</t>
        </is>
      </c>
      <c r="K498" s="77" t="inlineStr">
        <is>
          <t>search-summary paraphrase</t>
        </is>
      </c>
      <c r="L498" s="77" t="inlineStr">
        <is>
          <t>Listed as a Future-Ready Award accredited careers programme.</t>
        </is>
      </c>
    </row>
    <row r="499">
      <c r="A499" s="77" t="inlineStr">
        <is>
          <t>RG19-S02-R1</t>
        </is>
      </c>
      <c r="B499" s="77" t="inlineStr">
        <is>
          <t>RG19</t>
        </is>
      </c>
      <c r="C499" s="77" t="inlineStr">
        <is>
          <t>RG19-S02</t>
        </is>
      </c>
      <c r="D499" s="77" t="inlineStr">
        <is>
          <t>Queen's Business School Business Clinic</t>
        </is>
      </c>
      <c r="E499" s="77" t="inlineStr">
        <is>
          <t>project; employer; status; credit</t>
        </is>
      </c>
      <c r="F499" s="77" t="inlineStr">
        <is>
          <t>https://www.qub.ac.uk/schools/queens-business-school/business-hub/business-clinic/</t>
        </is>
      </c>
      <c r="G499" s="77" t="inlineStr">
        <is>
          <t>Business Clinic</t>
        </is>
      </c>
      <c r="H499" s="77" t="inlineStr">
        <is>
          <t>Main page</t>
        </is>
      </c>
      <c r="I499" s="77" t="inlineStr">
        <is>
          <t>2026 (projects June-Sept 2026)</t>
        </is>
      </c>
      <c r="J499" s="77" t="inlineStr">
        <is>
          <t>2026-10-12</t>
        </is>
      </c>
      <c r="K499" s="77" t="inlineStr">
        <is>
          <t>search-index extract (quoted)</t>
        </is>
      </c>
      <c r="L499" s="77" t="inlineStr">
        <is>
          <t>The projects range from six to twelve weeks and take place between June and September 2026; each student will require a company mentor; academics supervise; presentation, report and recommendations form part of students' graded coursework; postgraduate students from MSc International Business matched with businesses.</t>
        </is>
      </c>
    </row>
    <row r="500">
      <c r="A500" s="77" t="inlineStr">
        <is>
          <t>RG19-S02-R2</t>
        </is>
      </c>
      <c r="B500" s="77" t="inlineStr">
        <is>
          <t>RG19</t>
        </is>
      </c>
      <c r="C500" s="77" t="inlineStr">
        <is>
          <t>RG19-S02</t>
        </is>
      </c>
      <c r="D500" s="77" t="inlineStr">
        <is>
          <t>Queen's Business School Business Clinic</t>
        </is>
      </c>
      <c r="E500" s="77" t="inlineStr">
        <is>
          <t>group; employer</t>
        </is>
      </c>
      <c r="F500" s="77" t="inlineStr">
        <is>
          <t>https://www.qub.ac.uk/schools/queens-business-school/about/news/PartnerwiththeQBSBusinessClinictoUnlockPotential.html</t>
        </is>
      </c>
      <c r="G500" s="77" t="inlineStr">
        <is>
          <t>Partner with the QBS Business Clinic to Unlock Potential</t>
        </is>
      </c>
      <c r="H500" s="77" t="inlineStr">
        <is>
          <t>News</t>
        </is>
      </c>
      <c r="I500" s="77" t="inlineStr">
        <is>
          <t>2025 (listed 26 Jan 2025)</t>
        </is>
      </c>
      <c r="J500" s="77" t="inlineStr">
        <is>
          <t>2026-10-12</t>
        </is>
      </c>
      <c r="K500" s="77" t="inlineStr">
        <is>
          <t>search-summary paraphrase</t>
        </is>
      </c>
      <c r="L500" s="77" t="inlineStr">
        <is>
          <t>Organisations submit a proposal on objectives, scope and challenges; a dedicated team of postgraduate students works on the project and the organisation receives findings and recommendations; open to SMEs, large organisations, charities and social enterprises.</t>
        </is>
      </c>
    </row>
    <row r="501">
      <c r="A501" s="77" t="inlineStr">
        <is>
          <t>RG19-S02-R3</t>
        </is>
      </c>
      <c r="B501" s="77" t="inlineStr">
        <is>
          <t>RG19</t>
        </is>
      </c>
      <c r="C501" s="77" t="inlineStr">
        <is>
          <t>RG19-S02</t>
        </is>
      </c>
      <c r="D501" s="77" t="inlineStr">
        <is>
          <t>Queen's Business School Business Clinic</t>
        </is>
      </c>
      <c r="E501" s="77" t="inlineStr">
        <is>
          <t>group; project; status</t>
        </is>
      </c>
      <c r="F501" s="77" t="inlineStr">
        <is>
          <t>https://www.qub.ac.uk/schools/queens-business-school/about/news/BusinessClinicNowOpenandAcceptingApplicationsFromOrganisations.html</t>
        </is>
      </c>
      <c r="G501" s="77" t="inlineStr">
        <is>
          <t>Business Clinic Now Open and Accepting Applications From Organisations</t>
        </is>
      </c>
      <c r="H501" s="77" t="inlineStr">
        <is>
          <t>News</t>
        </is>
      </c>
      <c r="I501" s="77" t="inlineStr">
        <is>
          <t>2023</t>
        </is>
      </c>
      <c r="J501" s="77" t="inlineStr">
        <is>
          <t>2026-10-12</t>
        </is>
      </c>
      <c r="K501" s="77" t="inlineStr">
        <is>
          <t>search-index extract (quoted)</t>
        </is>
      </c>
      <c r="L501" s="77" t="inlineStr">
        <is>
          <t>Undergraduate student teams are matched with businesses seeking consultancy support; teams produce a report, presentation and recommendations; cycle September 2023 to April 2024; applications closed 30 August 2023.</t>
        </is>
      </c>
    </row>
    <row r="502">
      <c r="A502" s="77" t="inlineStr">
        <is>
          <t>RG19-S03-R1</t>
        </is>
      </c>
      <c r="B502" s="77" t="inlineStr">
        <is>
          <t>RG19</t>
        </is>
      </c>
      <c r="C502" s="77" t="inlineStr">
        <is>
          <t>RG19-S03</t>
        </is>
      </c>
      <c r="D502" s="77" t="inlineStr">
        <is>
          <t>MSc International Business: International Consultancy capstone pathway</t>
        </is>
      </c>
      <c r="E502" s="77" t="inlineStr">
        <is>
          <t>project; employer</t>
        </is>
      </c>
      <c r="F502" s="77" t="inlineStr">
        <is>
          <t>https://www.qub.ac.uk/courses/postgraduate-taught/international-business-msc/</t>
        </is>
      </c>
      <c r="G502" s="77" t="inlineStr">
        <is>
          <t>International Business (MSc)</t>
        </is>
      </c>
      <c r="H502" s="77" t="inlineStr">
        <is>
          <t>Course page - capstone</t>
        </is>
      </c>
      <c r="I502" s="77" t="inlineStr">
        <is>
          <t>undated</t>
        </is>
      </c>
      <c r="J502" s="77" t="inlineStr">
        <is>
          <t>2026-10-12</t>
        </is>
      </c>
      <c r="K502" s="77" t="inlineStr">
        <is>
          <t>search-index extract (quoted)</t>
        </is>
      </c>
      <c r="L502" s="77" t="inlineStr">
        <is>
          <t>Students can choose International Consultancy - working alongside a real-world global organisation and mentor to address a specific problem; assigned dedicated academic support and company mentors where relevant.</t>
        </is>
      </c>
    </row>
    <row r="503">
      <c r="A503" s="77" t="inlineStr">
        <is>
          <t>RG19-S03-R2</t>
        </is>
      </c>
      <c r="B503" s="77" t="inlineStr">
        <is>
          <t>RG19</t>
        </is>
      </c>
      <c r="C503" s="77" t="inlineStr">
        <is>
          <t>RG19-S03</t>
        </is>
      </c>
      <c r="D503" s="77" t="inlineStr">
        <is>
          <t>MSc International Business: International Consultancy capstone pathway</t>
        </is>
      </c>
      <c r="E503" s="77" t="inlineStr">
        <is>
          <t>credit; group; status</t>
        </is>
      </c>
      <c r="F503" s="77" t="inlineStr">
        <is>
          <t>https://www.qub.ac.uk/directorates/AcademicStudentAffairs/AcademicAffairs/ProgrammeSpecifications/2024/courses/InternationalBusiness-MSc-AcademicYear202425.html</t>
        </is>
      </c>
      <c r="G503" s="77" t="inlineStr">
        <is>
          <t>International Business - MSc - Academic Year 2024/25</t>
        </is>
      </c>
      <c r="H503" s="77" t="inlineStr">
        <is>
          <t>Programme specification</t>
        </is>
      </c>
      <c r="I503" s="77" t="inlineStr">
        <is>
          <t>2024/25</t>
        </is>
      </c>
      <c r="J503" s="77" t="inlineStr">
        <is>
          <t>2026-10-12</t>
        </is>
      </c>
      <c r="K503" s="77" t="inlineStr">
        <is>
          <t>search-summary paraphrase</t>
        </is>
      </c>
      <c r="L503" s="77" t="inlineStr">
        <is>
          <t>60-credit capstone; 90 CATS of taught modules required before the individual capstone project.</t>
        </is>
      </c>
    </row>
    <row r="504">
      <c r="A504" s="77" t="inlineStr">
        <is>
          <t>RG19-S04-R1</t>
        </is>
      </c>
      <c r="B504" s="77" t="inlineStr">
        <is>
          <t>RG19</t>
        </is>
      </c>
      <c r="C504" s="77" t="inlineStr">
        <is>
          <t>RG19-S04</t>
        </is>
      </c>
      <c r="D504" s="77" t="inlineStr">
        <is>
          <t>CSC3032 Software Engineering Final Year Project (SE-FYP)</t>
        </is>
      </c>
      <c r="E504" s="77" t="inlineStr">
        <is>
          <t>project; group; employer; participation</t>
        </is>
      </c>
      <c r="F504" s="77" t="inlineStr">
        <is>
          <t>https://blogs.qub.ac.uk/sefyp/</t>
        </is>
      </c>
      <c r="G504" s="77" t="inlineStr">
        <is>
          <t>SE-FYP @ QUB/EEECS</t>
        </is>
      </c>
      <c r="H504" s="77" t="inlineStr">
        <is>
          <t>Blog home</t>
        </is>
      </c>
      <c r="I504" s="77" t="inlineStr">
        <is>
          <t>undated</t>
        </is>
      </c>
      <c r="J504" s="77" t="inlineStr">
        <is>
          <t>2026-10-12</t>
        </is>
      </c>
      <c r="K504" s="77" t="inlineStr">
        <is>
          <t>search-summary paraphrase</t>
        </is>
      </c>
      <c r="L504" s="77" t="inlineStr">
        <is>
          <t>Capstone module for BEng Software Engineering; students form teams of four (~70 students); non-academic organisations and academics may propose projects via expression of interest; allocation in second week of October; teams sign an MoU.</t>
        </is>
      </c>
    </row>
    <row r="505">
      <c r="A505" s="77" t="inlineStr">
        <is>
          <t>RG19-S04-R2</t>
        </is>
      </c>
      <c r="B505" s="77" t="inlineStr">
        <is>
          <t>RG19</t>
        </is>
      </c>
      <c r="C505" s="77" t="inlineStr">
        <is>
          <t>RG19-S04</t>
        </is>
      </c>
      <c r="D505" s="77" t="inlineStr">
        <is>
          <t>CSC3032 Software Engineering Final Year Project (SE-FYP)</t>
        </is>
      </c>
      <c r="E505" s="77" t="inlineStr">
        <is>
          <t>employer</t>
        </is>
      </c>
      <c r="F505" s="77" t="inlineStr">
        <is>
          <t>https://pure.qub.ac.uk/en/persons/moira-watson/</t>
        </is>
      </c>
      <c r="G505" s="77" t="inlineStr">
        <is>
          <t>Moira Watson - staff profile</t>
        </is>
      </c>
      <c r="H505" s="77" t="inlineStr">
        <is>
          <t>Profile</t>
        </is>
      </c>
      <c r="I505" s="77" t="inlineStr">
        <is>
          <t>undated</t>
        </is>
      </c>
      <c r="J505" s="77" t="inlineStr">
        <is>
          <t>2026-10-12</t>
        </is>
      </c>
      <c r="K505" s="77" t="inlineStr">
        <is>
          <t>search-summary paraphrase</t>
        </is>
      </c>
      <c r="L505" s="77" t="inlineStr">
        <is>
          <t>Links private, public and third-party organisations to final year software engineering student teams to work on authentic challenges as part of their capstone project.</t>
        </is>
      </c>
    </row>
    <row r="506">
      <c r="A506" s="77" t="inlineStr">
        <is>
          <t>RG19-S04-R3</t>
        </is>
      </c>
      <c r="B506" s="77" t="inlineStr">
        <is>
          <t>RG19</t>
        </is>
      </c>
      <c r="C506" s="77" t="inlineStr">
        <is>
          <t>RG19-S04</t>
        </is>
      </c>
      <c r="D506" s="77" t="inlineStr">
        <is>
          <t>CSC3032 Software Engineering Final Year Project (SE-FYP)</t>
        </is>
      </c>
      <c r="E506" s="77" t="inlineStr">
        <is>
          <t>credit; status</t>
        </is>
      </c>
      <c r="F506" s="77" t="inlineStr">
        <is>
          <t>https://www.qub.ac.uk/schools/eeecs/filestore/Module%20Descriptions%202024-2025.%20%20Updated%2028.08.24-combined.pdf</t>
        </is>
      </c>
      <c r="G506" s="77" t="inlineStr">
        <is>
          <t>EEECS Module Descriptions 2024-2025</t>
        </is>
      </c>
      <c r="H506" s="77" t="inlineStr">
        <is>
          <t>CSC3032</t>
        </is>
      </c>
      <c r="I506" s="77" t="inlineStr">
        <is>
          <t>2024/25</t>
        </is>
      </c>
      <c r="J506" s="77" t="inlineStr">
        <is>
          <t>2026-10-12</t>
        </is>
      </c>
      <c r="K506" s="77" t="inlineStr">
        <is>
          <t>search-summary paraphrase</t>
        </is>
      </c>
      <c r="L506" s="77" t="inlineStr">
        <is>
          <t>CSC3032: 40 units; project assessment 100%.</t>
        </is>
      </c>
    </row>
    <row r="507">
      <c r="A507" s="77" t="inlineStr">
        <is>
          <t>RG19-S04-R4</t>
        </is>
      </c>
      <c r="B507" s="77" t="inlineStr">
        <is>
          <t>RG19</t>
        </is>
      </c>
      <c r="C507" s="77" t="inlineStr">
        <is>
          <t>RG19-S04</t>
        </is>
      </c>
      <c r="D507" s="77" t="inlineStr">
        <is>
          <t>CSC3032 Software Engineering Final Year Project (SE-FYP)</t>
        </is>
      </c>
      <c r="E507" s="77" t="inlineStr">
        <is>
          <t>employer; status</t>
        </is>
      </c>
      <c r="F507" s="77" t="inlineStr">
        <is>
          <t>https://blogs.qub.ac.uk/sefyp/wp-content/uploads/sites/330/2023/10/CSC3032-Projects-Booklet-2023-24-pub.pdf</t>
        </is>
      </c>
      <c r="G507" s="77" t="inlineStr">
        <is>
          <t>CSC3032 Projects Booklet 2023-24</t>
        </is>
      </c>
      <c r="H507" s="77" t="inlineStr">
        <is>
          <t>Booklet</t>
        </is>
      </c>
      <c r="I507" s="77" t="inlineStr">
        <is>
          <t>2023/24</t>
        </is>
      </c>
      <c r="J507" s="77" t="inlineStr">
        <is>
          <t>2026-10-12</t>
        </is>
      </c>
      <c r="K507" s="77" t="inlineStr">
        <is>
          <t>search-summary paraphrase</t>
        </is>
      </c>
      <c r="L507" s="77" t="inlineStr">
        <is>
          <t>Each project lists an internal supervisor and (in at least one example) an external subject-expert supervisor.</t>
        </is>
      </c>
    </row>
    <row r="508">
      <c r="A508" s="77" t="inlineStr">
        <is>
          <t>RG19-S05-R1</t>
        </is>
      </c>
      <c r="B508" s="77" t="inlineStr">
        <is>
          <t>RG19</t>
        </is>
      </c>
      <c r="C508" s="77" t="inlineStr">
        <is>
          <t>RG19-S05</t>
        </is>
      </c>
      <c r="D508" s="77" t="inlineStr">
        <is>
          <t>DSA8023 Analytics in Action (MSc Data Analytics)</t>
        </is>
      </c>
      <c r="E508" s="77" t="inlineStr">
        <is>
          <t>group; employer; project; status</t>
        </is>
      </c>
      <c r="F508" s="77" t="inlineStr">
        <is>
          <t>https://www.qub.ac.uk/schools/SchoolofMathematicsandPhysics/Study/StudentHandbook/PGStudentHandbook/DataAnalyticsModuleInformationandTimetable/</t>
        </is>
      </c>
      <c r="G508" s="77" t="inlineStr">
        <is>
          <t>Data Analytics Module Information and Timetable</t>
        </is>
      </c>
      <c r="H508" s="77" t="inlineStr">
        <is>
          <t>DSA8023</t>
        </is>
      </c>
      <c r="I508" s="77" t="inlineStr">
        <is>
          <t>2024/25</t>
        </is>
      </c>
      <c r="J508" s="77" t="inlineStr">
        <is>
          <t>2026-10-12</t>
        </is>
      </c>
      <c r="K508" s="77" t="inlineStr">
        <is>
          <t>search-summary paraphrase</t>
        </is>
      </c>
      <c r="L508" s="77" t="inlineStr">
        <is>
          <t>Module includes 3 assignments/presentations (2 group, 1 individual) working with real-life data provided by real-world businesses.</t>
        </is>
      </c>
    </row>
    <row r="509">
      <c r="A509" s="77" t="inlineStr">
        <is>
          <t>RG19-S05-R2</t>
        </is>
      </c>
      <c r="B509" s="77" t="inlineStr">
        <is>
          <t>RG19</t>
        </is>
      </c>
      <c r="C509" s="77" t="inlineStr">
        <is>
          <t>RG19-S05</t>
        </is>
      </c>
      <c r="D509" s="77" t="inlineStr">
        <is>
          <t>DSA8023 Analytics in Action (MSc Data Analytics)</t>
        </is>
      </c>
      <c r="E509" s="77" t="inlineStr">
        <is>
          <t>employer</t>
        </is>
      </c>
      <c r="F509" s="77" t="inlineStr">
        <is>
          <t>https://www.qub.ac.uk/courses/postgraduate-taught/data-analytics-msc/</t>
        </is>
      </c>
      <c r="G509" s="77" t="inlineStr">
        <is>
          <t>Data Analytics (MSc)</t>
        </is>
      </c>
      <c r="H509" s="77" t="inlineStr">
        <is>
          <t>Course page</t>
        </is>
      </c>
      <c r="I509" s="77" t="inlineStr">
        <is>
          <t>undated</t>
        </is>
      </c>
      <c r="J509" s="77" t="inlineStr">
        <is>
          <t>2026-10-12</t>
        </is>
      </c>
      <c r="K509" s="77" t="inlineStr">
        <is>
          <t>search-index extract (quoted)</t>
        </is>
      </c>
      <c r="L509" s="77" t="inlineStr">
        <is>
          <t>Special features include the Analytics in Action module and the commitment of industry to provide real data for 'Analytathons' and projects.</t>
        </is>
      </c>
    </row>
    <row r="510">
      <c r="A510" s="77" t="inlineStr">
        <is>
          <t>RG19-S06-R1</t>
        </is>
      </c>
      <c r="B510" s="77" t="inlineStr">
        <is>
          <t>RG19</t>
        </is>
      </c>
      <c r="C510" s="77" t="inlineStr">
        <is>
          <t>RG19-S06</t>
        </is>
      </c>
      <c r="D510" s="77" t="inlineStr">
        <is>
          <t>Queen's Science Shop (QUB/Ulster)</t>
        </is>
      </c>
      <c r="E510" s="77" t="inlineStr">
        <is>
          <t>project; employer; participation</t>
        </is>
      </c>
      <c r="F510" s="77" t="inlineStr">
        <is>
          <t>https://www.qub.ac.uk/about/teaching-excellence/teaching-case-studies/science-shop-real-world-research.html</t>
        </is>
      </c>
      <c r="G510" s="77" t="inlineStr">
        <is>
          <t>The Science Shop: Connecting Students with Real-World Community Research Challenges</t>
        </is>
      </c>
      <c r="H510" s="77" t="inlineStr">
        <is>
          <t>Teaching case study</t>
        </is>
      </c>
      <c r="I510" s="77" t="inlineStr">
        <is>
          <t>undated</t>
        </is>
      </c>
      <c r="J510" s="77" t="inlineStr">
        <is>
          <t>2026-10-12</t>
        </is>
      </c>
      <c r="K510" s="77" t="inlineStr">
        <is>
          <t>search-summary paraphrase</t>
        </is>
      </c>
      <c r="L510" s="77" t="inlineStr">
        <is>
          <t>Community organisations matched with students needing a degree project; projects fully integrated into curriculum with academic supervision; 50-60 projects, 200+ students annually.</t>
        </is>
      </c>
    </row>
    <row r="511">
      <c r="A511" s="77" t="inlineStr">
        <is>
          <t>RG19-S06-R2</t>
        </is>
      </c>
      <c r="B511" s="77" t="inlineStr">
        <is>
          <t>RG19</t>
        </is>
      </c>
      <c r="C511" s="77" t="inlineStr">
        <is>
          <t>RG19-S06</t>
        </is>
      </c>
      <c r="D511" s="77" t="inlineStr">
        <is>
          <t>Queen's Science Shop (QUB/Ulster)</t>
        </is>
      </c>
      <c r="E511" s="77" t="inlineStr">
        <is>
          <t>employer; status</t>
        </is>
      </c>
      <c r="F511" s="77" t="inlineStr">
        <is>
          <t>https://www.qub.ac.uk/sites/ScienceShop/LiveProjects/</t>
        </is>
      </c>
      <c r="G511" s="77" t="inlineStr">
        <is>
          <t>Live Projects</t>
        </is>
      </c>
      <c r="H511" s="77" t="inlineStr">
        <is>
          <t>Live project list</t>
        </is>
      </c>
      <c r="I511" s="77" t="inlineStr">
        <is>
          <t>2025</t>
        </is>
      </c>
      <c r="J511" s="77" t="inlineStr">
        <is>
          <t>2026-10-12</t>
        </is>
      </c>
      <c r="K511" s="77" t="inlineStr">
        <is>
          <t>search-summary paraphrase</t>
        </is>
      </c>
      <c r="L511" s="77" t="inlineStr">
        <is>
          <t>Live requests from community groups, some with 2025 request codes.</t>
        </is>
      </c>
    </row>
    <row r="512">
      <c r="A512" s="77" t="inlineStr">
        <is>
          <t>RG19-S07-R1</t>
        </is>
      </c>
      <c r="B512" s="77" t="inlineStr">
        <is>
          <t>RG19</t>
        </is>
      </c>
      <c r="C512" s="77" t="inlineStr">
        <is>
          <t>RG19-S07</t>
        </is>
      </c>
      <c r="D512" s="77" t="inlineStr">
        <is>
          <t>EVP7038 Comparative Urban Design (MSc City Planning and Design)</t>
        </is>
      </c>
      <c r="E512" s="77" t="inlineStr">
        <is>
          <t>project; employer</t>
        </is>
      </c>
      <c r="F512" s="77" t="inlineStr">
        <is>
          <t>https://www.qub.ac.uk/courses/postgraduate-taught/city-planning-design-msc/</t>
        </is>
      </c>
      <c r="G512" s="77" t="inlineStr">
        <is>
          <t>City Planning and Design (MSc)</t>
        </is>
      </c>
      <c r="H512" s="77" t="inlineStr">
        <is>
          <t>Course page - module description</t>
        </is>
      </c>
      <c r="I512" s="77" t="inlineStr">
        <is>
          <t>undated</t>
        </is>
      </c>
      <c r="J512" s="77" t="inlineStr">
        <is>
          <t>2026-10-12</t>
        </is>
      </c>
      <c r="K512" s="77" t="inlineStr">
        <is>
          <t>search-summary paraphrase</t>
        </is>
      </c>
      <c r="L512" s="77" t="inlineStr">
        <is>
          <t>A real-world live project has been commissioned within the semester; professional client sets parameters for a regeneration strategy; field trip in Week 8.</t>
        </is>
      </c>
    </row>
    <row r="513">
      <c r="A513" s="77" t="inlineStr">
        <is>
          <t>RG19-S07-R2</t>
        </is>
      </c>
      <c r="B513" s="77" t="inlineStr">
        <is>
          <t>RG19</t>
        </is>
      </c>
      <c r="C513" s="77" t="inlineStr">
        <is>
          <t>RG19-S07</t>
        </is>
      </c>
      <c r="D513" s="77" t="inlineStr">
        <is>
          <t>EVP7038 Comparative Urban Design (MSc City Planning and Design)</t>
        </is>
      </c>
      <c r="E513" s="77" t="inlineStr">
        <is>
          <t>credit; status; group</t>
        </is>
      </c>
      <c r="F513" s="77" t="inlineStr">
        <is>
          <t>https://www.qub.ac.uk/directorates/AcademicStudentAffairs/AcademicAffairs/ProgrammeSpecifications/2024/courses/CityPlanningandDesign-MSc-AcademicYear202425.html</t>
        </is>
      </c>
      <c r="G513" s="77" t="inlineStr">
        <is>
          <t>City Planning and Design - MSc - Academic Year 2024/25</t>
        </is>
      </c>
      <c r="H513" s="77" t="inlineStr">
        <is>
          <t>Programme specification</t>
        </is>
      </c>
      <c r="I513" s="77" t="inlineStr">
        <is>
          <t>2024/25</t>
        </is>
      </c>
      <c r="J513" s="77" t="inlineStr">
        <is>
          <t>2026-10-12</t>
        </is>
      </c>
      <c r="K513" s="77" t="inlineStr">
        <is>
          <t>search-summary paraphrase</t>
        </is>
      </c>
      <c r="L513" s="77" t="inlineStr">
        <is>
          <t>Comparative Urban Design EVP7038, 20 credits, 100% coursework, 12 weeks; teaching includes group and individual project work.</t>
        </is>
      </c>
    </row>
    <row r="514">
      <c r="A514" s="77" t="inlineStr">
        <is>
          <t>RG19-S08-R1</t>
        </is>
      </c>
      <c r="B514" s="77" t="inlineStr">
        <is>
          <t>RG19</t>
        </is>
      </c>
      <c r="C514" s="77" t="inlineStr">
        <is>
          <t>RG19-S08</t>
        </is>
      </c>
      <c r="D514" s="77" t="inlineStr">
        <is>
          <t>Real-World Challenge: Climate Change (Careers)</t>
        </is>
      </c>
      <c r="E514" s="77" t="inlineStr">
        <is>
          <t>employer; project</t>
        </is>
      </c>
      <c r="F514" s="77" t="inlineStr">
        <is>
          <t>https://blogs.qub.ac.uk/careers/2025/02/27/students-work-with-industry-experts-to-suggest-climate-change-solutions/</t>
        </is>
      </c>
      <c r="G514" s="77" t="inlineStr">
        <is>
          <t>Students work with industry experts to suggest climate change solutions</t>
        </is>
      </c>
      <c r="H514" s="77" t="inlineStr">
        <is>
          <t>Careers blog</t>
        </is>
      </c>
      <c r="I514" s="77" t="inlineStr">
        <is>
          <t>2025</t>
        </is>
      </c>
      <c r="J514" s="77" t="inlineStr">
        <is>
          <t>2026-10-12</t>
        </is>
      </c>
      <c r="K514" s="77" t="inlineStr">
        <is>
          <t>search-summary paraphrase</t>
        </is>
      </c>
      <c r="L514" s="77" t="inlineStr">
        <is>
          <t>Students asked to present ideas to drive sustainability transformation to leaders from the public, private and not-for-profit sectors.</t>
        </is>
      </c>
    </row>
    <row r="515">
      <c r="A515" s="77" t="inlineStr">
        <is>
          <t>RG19-S08-R2</t>
        </is>
      </c>
      <c r="B515" s="77" t="inlineStr">
        <is>
          <t>RG19</t>
        </is>
      </c>
      <c r="C515" s="77" t="inlineStr">
        <is>
          <t>RG19-S08</t>
        </is>
      </c>
      <c r="D515" s="77" t="inlineStr">
        <is>
          <t>Real-World Challenge: Climate Change (Careers)</t>
        </is>
      </c>
      <c r="E515" s="77" t="inlineStr">
        <is>
          <t>reach; duration; participation</t>
        </is>
      </c>
      <c r="F515" s="77" t="inlineStr">
        <is>
          <t>https://www.qub.ac.uk/events/whats-on/listing/realworldchallengeclimatechange.html</t>
        </is>
      </c>
      <c r="G515" s="77" t="inlineStr">
        <is>
          <t>20.02.2025 Real World Challenge Climate Change</t>
        </is>
      </c>
      <c r="H515" s="77" t="inlineStr">
        <is>
          <t>Event listing</t>
        </is>
      </c>
      <c r="I515" s="77" t="inlineStr">
        <is>
          <t>2025</t>
        </is>
      </c>
      <c r="J515" s="77" t="inlineStr">
        <is>
          <t>2026-10-12</t>
        </is>
      </c>
      <c r="K515" s="77" t="inlineStr">
        <is>
          <t>search-summary paraphrase</t>
        </is>
      </c>
      <c r="L515" s="77" t="inlineStr">
        <is>
          <t>Full-day session at PwC for students from several Queen's schools; tackle climate change with 70 peers.</t>
        </is>
      </c>
    </row>
    <row r="516">
      <c r="A516" s="77" t="inlineStr">
        <is>
          <t>RG19-S09-R1</t>
        </is>
      </c>
      <c r="B516" s="77" t="inlineStr">
        <is>
          <t>RG19</t>
        </is>
      </c>
      <c r="C516" s="77" t="inlineStr">
        <is>
          <t>RG19-S09</t>
        </is>
      </c>
      <c r="D516" s="77" t="inlineStr">
        <is>
          <t>Future-Ready Skills for Leaders (Careers)</t>
        </is>
      </c>
      <c r="E516" s="77" t="inlineStr">
        <is>
          <t>group; employer; duration</t>
        </is>
      </c>
      <c r="F516" s="77" t="inlineStr">
        <is>
          <t>https://blogs.qub.ac.uk/careers/tag/future-ready-skills-for-leaders/</t>
        </is>
      </c>
      <c r="G516" s="77" t="inlineStr">
        <is>
          <t>future-ready skills for leaders</t>
        </is>
      </c>
      <c r="H516" s="77" t="inlineStr">
        <is>
          <t>Careers blog tag</t>
        </is>
      </c>
      <c r="I516" s="77" t="inlineStr">
        <is>
          <t>2024</t>
        </is>
      </c>
      <c r="J516" s="77" t="inlineStr">
        <is>
          <t>2026-10-12</t>
        </is>
      </c>
      <c r="K516" s="77" t="inlineStr">
        <is>
          <t>search-summary paraphrase</t>
        </is>
      </c>
      <c r="L516" s="77" t="inlineStr">
        <is>
          <t>Fast-paced three-day event: work in teams to tackle global challenges, present to employers and compete for prizes; each team mentored by an employer representative (2024).</t>
        </is>
      </c>
    </row>
    <row r="517">
      <c r="A517" s="77" t="inlineStr">
        <is>
          <t>RG19-S10-R1</t>
        </is>
      </c>
      <c r="B517" s="77" t="inlineStr">
        <is>
          <t>RG19</t>
        </is>
      </c>
      <c r="C517" s="77" t="inlineStr">
        <is>
          <t>RG19-S10</t>
        </is>
      </c>
      <c r="D517" s="77" t="inlineStr">
        <is>
          <t>Data for Good Hackathon (Queen's Business School)</t>
        </is>
      </c>
      <c r="E517" s="77" t="inlineStr">
        <is>
          <t>group; duration</t>
        </is>
      </c>
      <c r="F517" s="77" t="inlineStr">
        <is>
          <t>https://www.qub.ac.uk/schools/queens-business-school/events/DataforGoodHackathon2024.html</t>
        </is>
      </c>
      <c r="G517" s="77" t="inlineStr">
        <is>
          <t>14.06.2024 Data for Good Hackathon 2024</t>
        </is>
      </c>
      <c r="H517" s="77" t="inlineStr">
        <is>
          <t>Event page</t>
        </is>
      </c>
      <c r="I517" s="77" t="inlineStr">
        <is>
          <t>2024</t>
        </is>
      </c>
      <c r="J517" s="77" t="inlineStr">
        <is>
          <t>2026-10-12</t>
        </is>
      </c>
      <c r="K517" s="77" t="inlineStr">
        <is>
          <t>search-summary paraphrase</t>
        </is>
      </c>
      <c r="L517" s="77" t="inlineStr">
        <is>
          <t>Two-day event at Queen's Business School; teams with industry mentors.</t>
        </is>
      </c>
    </row>
    <row r="518">
      <c r="A518" s="77" t="inlineStr">
        <is>
          <t>RG19-S10-R2</t>
        </is>
      </c>
      <c r="B518" s="77" t="inlineStr">
        <is>
          <t>RG19</t>
        </is>
      </c>
      <c r="C518" s="77" t="inlineStr">
        <is>
          <t>RG19-S10</t>
        </is>
      </c>
      <c r="D518" s="77" t="inlineStr">
        <is>
          <t>Data for Good Hackathon (Queen's Business School)</t>
        </is>
      </c>
      <c r="E518" s="77" t="inlineStr">
        <is>
          <t>employer</t>
        </is>
      </c>
      <c r="F518" s="77" t="inlineStr">
        <is>
          <t>https://www.qub.ac.uk/student-blog/india/data-for-good-hackathon.html</t>
        </is>
      </c>
      <c r="G518" s="77" t="inlineStr">
        <is>
          <t>Data for Good Hackathon 2024 at Queen's Business School</t>
        </is>
      </c>
      <c r="H518" s="77" t="inlineStr">
        <is>
          <t>Student blog</t>
        </is>
      </c>
      <c r="I518" s="77" t="inlineStr">
        <is>
          <t>2024</t>
        </is>
      </c>
      <c r="J518" s="77" t="inlineStr">
        <is>
          <t>2026-10-12</t>
        </is>
      </c>
      <c r="K518" s="77" t="inlineStr">
        <is>
          <t>search-summary paraphrase</t>
        </is>
      </c>
      <c r="L518" s="77" t="inlineStr">
        <is>
          <t>Mentored by data experts from EY, PwC, FinTrU and Kainos.</t>
        </is>
      </c>
    </row>
    <row r="519">
      <c r="A519" s="77" t="inlineStr">
        <is>
          <t>RG19-S11-R1</t>
        </is>
      </c>
      <c r="B519" s="77" t="inlineStr">
        <is>
          <t>RG19</t>
        </is>
      </c>
      <c r="C519" s="77" t="inlineStr">
        <is>
          <t>RG19-S11</t>
        </is>
      </c>
      <c r="D519" s="77" t="inlineStr">
        <is>
          <t>Sponsor a Student Project (School of Mechanical and Aerospace Engineering)</t>
        </is>
      </c>
      <c r="E519" s="77" t="inlineStr">
        <is>
          <t>project; employer</t>
        </is>
      </c>
      <c r="F519" s="77" t="inlineStr">
        <is>
          <t>https://www.qub.ac.uk/schools/SchoolofMechanicalandAerospaceEngineering/EmployerHub/SponsoraStudentProject/</t>
        </is>
      </c>
      <c r="G519" s="77" t="inlineStr">
        <is>
          <t>Sponsor a Student Project</t>
        </is>
      </c>
      <c r="H519" s="77" t="inlineStr">
        <is>
          <t>Employer Hub</t>
        </is>
      </c>
      <c r="I519" s="77" t="inlineStr">
        <is>
          <t>undated</t>
        </is>
      </c>
      <c r="J519" s="77" t="inlineStr">
        <is>
          <t>2026-10-12</t>
        </is>
      </c>
      <c r="K519" s="77" t="inlineStr">
        <is>
          <t>search-summary paraphrase</t>
        </is>
      </c>
      <c r="L519" s="77" t="inlineStr">
        <is>
          <t>Aims to link final-year students with industrial partners; sponsors join fortnightly 30-minute supervision meeting, cover hardware costs, receive final report and artefacts.</t>
        </is>
      </c>
    </row>
    <row r="520">
      <c r="A520" s="77" t="inlineStr">
        <is>
          <t>RG20-S01-R1</t>
        </is>
      </c>
      <c r="B520" s="77" t="inlineStr">
        <is>
          <t>RG20</t>
        </is>
      </c>
      <c r="C520" s="77" t="inlineStr">
        <is>
          <t>RG20-S01</t>
        </is>
      </c>
      <c r="D520" s="77" t="inlineStr">
        <is>
          <t>Global Engineering Challenge (GEC)</t>
        </is>
      </c>
      <c r="E520" s="77" t="inlineStr">
        <is>
          <t>group; participation; status; duration</t>
        </is>
      </c>
      <c r="F520" s="77" t="inlineStr">
        <is>
          <t>https://sheffield.ac.uk/engineering/diamond-engineering/engineering-project-weeks-2026-learning-through-real-life-challenges</t>
        </is>
      </c>
      <c r="G520" s="77" t="inlineStr">
        <is>
          <t>Engineering Project Weeks 2026: Learning through real life challenges</t>
        </is>
      </c>
      <c r="H520" s="77" t="inlineStr">
        <is>
          <t>GEC section</t>
        </is>
      </c>
      <c r="I520" s="77" t="inlineStr">
        <is>
          <t>2026</t>
        </is>
      </c>
      <c r="J520" s="77" t="inlineStr">
        <is>
          <t>2026-10-12</t>
        </is>
      </c>
      <c r="K520" s="77" t="inlineStr">
        <is>
          <t>search-summary paraphrase</t>
        </is>
      </c>
      <c r="L520" s="77" t="inlineStr">
        <is>
          <t>GEC ran across 43 Hubs rooms engaging 1,547 first-year students working in 258 teams; project weeks 26 Jan - 6 Feb 2026; supported by 88 PhD facilitators, 90 staff and 120 industry mentors.</t>
        </is>
      </c>
    </row>
    <row r="521">
      <c r="A521" s="77" t="inlineStr">
        <is>
          <t>RG20-S01-R2</t>
        </is>
      </c>
      <c r="B521" s="77" t="inlineStr">
        <is>
          <t>RG20</t>
        </is>
      </c>
      <c r="C521" s="77" t="inlineStr">
        <is>
          <t>RG20-S01</t>
        </is>
      </c>
      <c r="D521" s="77" t="inlineStr">
        <is>
          <t>Global Engineering Challenge (GEC)</t>
        </is>
      </c>
      <c r="E521" s="77" t="inlineStr">
        <is>
          <t>project; group; employer; status</t>
        </is>
      </c>
      <c r="F521" s="77" t="inlineStr">
        <is>
          <t>https://gec.sites.sheffield.ac.uk/home/about-gec</t>
        </is>
      </c>
      <c r="G521" s="77" t="inlineStr">
        <is>
          <t>GEC26 - About GEC</t>
        </is>
      </c>
      <c r="H521" s="77" t="inlineStr">
        <is>
          <t>About</t>
        </is>
      </c>
      <c r="I521" s="77" t="inlineStr">
        <is>
          <t>2026</t>
        </is>
      </c>
      <c r="J521" s="77" t="inlineStr">
        <is>
          <t>2026-10-12</t>
        </is>
      </c>
      <c r="K521" s="77" t="inlineStr">
        <is>
          <t>search-summary paraphrase</t>
        </is>
      </c>
      <c r="L521" s="77" t="inlineStr">
        <is>
          <t>GEC26 students work on projects based in Sheffield, focusing on neighbourhoods identified by Sheffield City Council as priorities for community-led improvement, developed in partnership with Sheffield City Council; teams mixed-discipline, each hub with PhD facilitator and staff member; teams compile a report and present their solution on the final Friday.</t>
        </is>
      </c>
    </row>
    <row r="522">
      <c r="A522" s="77" t="inlineStr">
        <is>
          <t>RG20-S01-R3</t>
        </is>
      </c>
      <c r="B522" s="77" t="inlineStr">
        <is>
          <t>RG20</t>
        </is>
      </c>
      <c r="C522" s="77" t="inlineStr">
        <is>
          <t>RG20-S01</t>
        </is>
      </c>
      <c r="D522" s="77" t="inlineStr">
        <is>
          <t>Global Engineering Challenge (GEC)</t>
        </is>
      </c>
      <c r="E522" s="77" t="inlineStr">
        <is>
          <t>employer</t>
        </is>
      </c>
      <c r="F522" s="77" t="inlineStr">
        <is>
          <t>https://gec.sites.sheffield.ac.uk/industry-mentors</t>
        </is>
      </c>
      <c r="G522" s="77" t="inlineStr">
        <is>
          <t>GEC26 - Industry Mentors</t>
        </is>
      </c>
      <c r="H522" s="77" t="inlineStr">
        <is>
          <t>Industry mentors</t>
        </is>
      </c>
      <c r="I522" s="77" t="inlineStr">
        <is>
          <t>2026</t>
        </is>
      </c>
      <c r="J522" s="77" t="inlineStr">
        <is>
          <t>2026-10-12</t>
        </is>
      </c>
      <c r="K522" s="77" t="inlineStr">
        <is>
          <t>search-summary paraphrase</t>
        </is>
      </c>
      <c r="L522" s="77" t="inlineStr">
        <is>
          <t>Industry mentors are people from engineering companies involved in activities throughout the Wednesday mentor day, providing feedback on student projects and presentations.</t>
        </is>
      </c>
    </row>
    <row r="523">
      <c r="A523" s="77" t="inlineStr">
        <is>
          <t>RG20-S02-R1</t>
        </is>
      </c>
      <c r="B523" s="77" t="inlineStr">
        <is>
          <t>RG20</t>
        </is>
      </c>
      <c r="C523" s="77" t="inlineStr">
        <is>
          <t>RG20-S02</t>
        </is>
      </c>
      <c r="D523" s="77" t="inlineStr">
        <is>
          <t>Engineering: You're Hired! (EYH)</t>
        </is>
      </c>
      <c r="E523" s="77" t="inlineStr">
        <is>
          <t>group; participation; status; credit</t>
        </is>
      </c>
      <c r="F523" s="77" t="inlineStr">
        <is>
          <t>https://sheffield.ac.uk/engineering/diamond-engineering/engineering-project-weeks-2026-learning-through-real-life-challenges</t>
        </is>
      </c>
      <c r="G523" s="77" t="inlineStr">
        <is>
          <t>Engineering Project Weeks 2026: Learning through real life challenges</t>
        </is>
      </c>
      <c r="H523" s="77" t="inlineStr">
        <is>
          <t>EYH section</t>
        </is>
      </c>
      <c r="I523" s="77" t="inlineStr">
        <is>
          <t>2026</t>
        </is>
      </c>
      <c r="J523" s="77" t="inlineStr">
        <is>
          <t>2026-10-12</t>
        </is>
      </c>
      <c r="K523" s="77" t="inlineStr">
        <is>
          <t>search-summary paraphrase</t>
        </is>
      </c>
      <c r="L523" s="77" t="inlineStr">
        <is>
          <t>2026 EYH involved 1,448 second-year students in 256 teams across 41 Hubs rooms; students valued multidisciplinary teamwork in a low-risk, pass/fail environment; 120 industry mentors.</t>
        </is>
      </c>
    </row>
    <row r="524">
      <c r="A524" s="77" t="inlineStr">
        <is>
          <t>RG20-S02-R2</t>
        </is>
      </c>
      <c r="B524" s="77" t="inlineStr">
        <is>
          <t>RG20</t>
        </is>
      </c>
      <c r="C524" s="77" t="inlineStr">
        <is>
          <t>RG20-S02</t>
        </is>
      </c>
      <c r="D524" s="77" t="inlineStr">
        <is>
          <t>Engineering: You're Hired! (EYH)</t>
        </is>
      </c>
      <c r="E524" s="77" t="inlineStr">
        <is>
          <t>project; group; employer; duration</t>
        </is>
      </c>
      <c r="F524" s="77" t="inlineStr">
        <is>
          <t>https://sheffield.ac.uk/engineering/study/youre-hired</t>
        </is>
      </c>
      <c r="G524" s="77" t="inlineStr">
        <is>
          <t>Engineering: You're Hired</t>
        </is>
      </c>
      <c r="H524" s="77" t="inlineStr">
        <is>
          <t>About</t>
        </is>
      </c>
      <c r="I524" s="77" t="inlineStr">
        <is>
          <t>undated</t>
        </is>
      </c>
      <c r="J524" s="77" t="inlineStr">
        <is>
          <t>2026-10-12</t>
        </is>
      </c>
      <c r="K524" s="77" t="inlineStr">
        <is>
          <t>search-index extract (quoted)</t>
        </is>
      </c>
      <c r="L524" s="77" t="inlineStr">
        <is>
          <t>Groups of about six; 'projects are based on problems provided by industrial partners, and students will come up with ideas to solve them and proposals for a project to develop these ideas further'; aim to take proposed solution to proof of concept stage.</t>
        </is>
      </c>
    </row>
    <row r="525">
      <c r="A525" s="77" t="inlineStr">
        <is>
          <t>RG20-S02-R3</t>
        </is>
      </c>
      <c r="B525" s="77" t="inlineStr">
        <is>
          <t>RG20</t>
        </is>
      </c>
      <c r="C525" s="77" t="inlineStr">
        <is>
          <t>RG20-S02</t>
        </is>
      </c>
      <c r="D525" s="77" t="inlineStr">
        <is>
          <t>Engineering: You're Hired! (EYH)</t>
        </is>
      </c>
      <c r="E525" s="77" t="inlineStr">
        <is>
          <t>employer</t>
        </is>
      </c>
      <c r="F525" s="77" t="inlineStr">
        <is>
          <t>https://www.sheffield.ac.uk/alumni/volunteer/opportunities/engineering-youre-hired</t>
        </is>
      </c>
      <c r="G525" s="77" t="inlineStr">
        <is>
          <t>Engineering You're Hired - Industry Mentor and Senior Mentor Days</t>
        </is>
      </c>
      <c r="H525" s="77" t="inlineStr">
        <is>
          <t>Senior mentor role</t>
        </is>
      </c>
      <c r="I525" s="77" t="inlineStr">
        <is>
          <t>undated</t>
        </is>
      </c>
      <c r="J525" s="77" t="inlineStr">
        <is>
          <t>2026-10-12</t>
        </is>
      </c>
      <c r="K525" s="77" t="inlineStr">
        <is>
          <t>search-index extract (quoted)</t>
        </is>
      </c>
      <c r="L525" s="77" t="inlineStr">
        <is>
          <t>'In the senior mentor role, along with a member of staff and PhD facilitator, you will form a panel that students will pitch to for hypothetical funding for their project.' Mentors provide feedback on projects and presentations.</t>
        </is>
      </c>
    </row>
    <row r="526">
      <c r="A526" s="77" t="inlineStr">
        <is>
          <t>RG20-S02-R4</t>
        </is>
      </c>
      <c r="B526" s="77" t="inlineStr">
        <is>
          <t>RG20</t>
        </is>
      </c>
      <c r="C526" s="77" t="inlineStr">
        <is>
          <t>RG20-S02</t>
        </is>
      </c>
      <c r="D526" s="77" t="inlineStr">
        <is>
          <t>Engineering: You're Hired! (EYH)</t>
        </is>
      </c>
      <c r="E526" s="77" t="inlineStr">
        <is>
          <t>employer; status</t>
        </is>
      </c>
      <c r="F526" s="77" t="inlineStr">
        <is>
          <t>https://eyh.sites.sheffield.ac.uk/industry-mentors</t>
        </is>
      </c>
      <c r="G526" s="77" t="inlineStr">
        <is>
          <t>EYH 2026 - Industry Mentors</t>
        </is>
      </c>
      <c r="H526" s="77" t="inlineStr">
        <is>
          <t>Industry mentors</t>
        </is>
      </c>
      <c r="I526" s="77" t="inlineStr">
        <is>
          <t>2026</t>
        </is>
      </c>
      <c r="J526" s="77" t="inlineStr">
        <is>
          <t>2026-10-12</t>
        </is>
      </c>
      <c r="K526" s="77" t="inlineStr">
        <is>
          <t>search-summary paraphrase</t>
        </is>
      </c>
      <c r="L526" s="77" t="inlineStr">
        <is>
          <t>Industry mentors provide feedback on student projects and presentations and take part in a panel.</t>
        </is>
      </c>
    </row>
    <row r="527">
      <c r="A527" s="77" t="inlineStr">
        <is>
          <t>RG20-S03-R1</t>
        </is>
      </c>
      <c r="B527" s="77" t="inlineStr">
        <is>
          <t>RG20</t>
        </is>
      </c>
      <c r="C527" s="77" t="inlineStr">
        <is>
          <t>RG20-S03</t>
        </is>
      </c>
      <c r="D527" s="77" t="inlineStr">
        <is>
          <t>Spring Internship Experience</t>
        </is>
      </c>
      <c r="E527" s="77" t="inlineStr">
        <is>
          <t>project; group; employer; participation; status; duration; eligibility</t>
        </is>
      </c>
      <c r="F527" s="77" t="inlineStr">
        <is>
          <t>https://sheffield.ac.uk/careers/news/over-600-sheffield-students-take-part-internships-60-organisations-over-2026-spring-break</t>
        </is>
      </c>
      <c r="G527" s="77" t="inlineStr">
        <is>
          <t>Over 600 Sheffield students take part in internships with 60+ organisations over the 2026 spring break</t>
        </is>
      </c>
      <c r="H527" s="77" t="inlineStr">
        <is>
          <t>News item</t>
        </is>
      </c>
      <c r="I527" s="77" t="inlineStr">
        <is>
          <t>2026</t>
        </is>
      </c>
      <c r="J527" s="77" t="inlineStr">
        <is>
          <t>2026-10-12</t>
        </is>
      </c>
      <c r="K527" s="77" t="inlineStr">
        <is>
          <t>search-summary paraphrase</t>
        </is>
      </c>
      <c r="L527" s="77" t="inlineStr">
        <is>
          <t>First Spring Internship Experience brought together 630 students from the Faculties of Arts &amp; Humanities and Social Sciences and over 60 partner organisations for a week-long, fully scaffolded work experience scheme; over 85 externally-provided projects; interdisciplinary teams; careers staff acted as supervisors to facilitate teamwork; Department for Education praised a group's policy recommendations; Berneslai Homes said the work was actionable.</t>
        </is>
      </c>
    </row>
    <row r="528">
      <c r="A528" s="77" t="inlineStr">
        <is>
          <t>RG20-S04-R1</t>
        </is>
      </c>
      <c r="B528" s="77" t="inlineStr">
        <is>
          <t>RG20</t>
        </is>
      </c>
      <c r="C528" s="77" t="inlineStr">
        <is>
          <t>RG20-S04</t>
        </is>
      </c>
      <c r="D528" s="77" t="inlineStr">
        <is>
          <t>Management School Easter micro-internship (group client brief)</t>
        </is>
      </c>
      <c r="E528" s="77" t="inlineStr">
        <is>
          <t>project; group; employer; status; duration</t>
        </is>
      </c>
      <c r="F528" s="77" t="inlineStr">
        <is>
          <t>https://sheffield.ac.uk/postgraduate/taught/courses/2027/management-msc</t>
        </is>
      </c>
      <c r="G528" s="77" t="inlineStr">
        <is>
          <t>Management MSc (2027 entry)</t>
        </is>
      </c>
      <c r="H528" s="77" t="inlineStr">
        <is>
          <t>Careers/experience</t>
        </is>
      </c>
      <c r="I528" s="77" t="inlineStr">
        <is>
          <t>2027</t>
        </is>
      </c>
      <c r="J528" s="77" t="inlineStr">
        <is>
          <t>2026-10-12</t>
        </is>
      </c>
      <c r="K528" s="77" t="inlineStr">
        <is>
          <t>search-index extract (quoted)</t>
        </is>
      </c>
      <c r="L528" s="77" t="inlineStr">
        <is>
          <t>'Working in a group, you'll respond to a client brief from an external organisation to gain valuable, real-world experience'; micro-internship for one week in the Easter break.</t>
        </is>
      </c>
    </row>
    <row r="529">
      <c r="A529" s="77" t="inlineStr">
        <is>
          <t>RG20-S04-R2</t>
        </is>
      </c>
      <c r="B529" s="77" t="inlineStr">
        <is>
          <t>RG20</t>
        </is>
      </c>
      <c r="C529" s="77" t="inlineStr">
        <is>
          <t>RG20-S04</t>
        </is>
      </c>
      <c r="D529" s="77" t="inlineStr">
        <is>
          <t>Management School Easter micro-internship (group client brief)</t>
        </is>
      </c>
      <c r="E529" s="77" t="inlineStr">
        <is>
          <t>project; employer; duration</t>
        </is>
      </c>
      <c r="F529" s="77" t="inlineStr">
        <is>
          <t>https://sheffield.ac.uk/postgraduate/taught/courses/2027/management-and-international-business-msc</t>
        </is>
      </c>
      <c r="G529" s="77" t="inlineStr">
        <is>
          <t>Management and International Business MSc (2027 entry)</t>
        </is>
      </c>
      <c r="H529" s="77" t="inlineStr">
        <is>
          <t>Careers/experience</t>
        </is>
      </c>
      <c r="I529" s="77" t="inlineStr">
        <is>
          <t>2027</t>
        </is>
      </c>
      <c r="J529" s="77" t="inlineStr">
        <is>
          <t>2026-10-12</t>
        </is>
      </c>
      <c r="K529" s="77" t="inlineStr">
        <is>
          <t>search-summary paraphrase</t>
        </is>
      </c>
      <c r="L529" s="77" t="inlineStr">
        <is>
          <t>Opportunity to take part in a micro-internship for one week in the Easter break; students in groups answer briefs from external organisations.</t>
        </is>
      </c>
    </row>
    <row r="530">
      <c r="A530" s="77" t="inlineStr">
        <is>
          <t>RG20-S04-R3</t>
        </is>
      </c>
      <c r="B530" s="77" t="inlineStr">
        <is>
          <t>RG20</t>
        </is>
      </c>
      <c r="C530" s="77" t="inlineStr">
        <is>
          <t>RG20-S04</t>
        </is>
      </c>
      <c r="D530" s="77" t="inlineStr">
        <is>
          <t>Management School Easter micro-internship (group client brief)</t>
        </is>
      </c>
      <c r="E530" s="77" t="inlineStr">
        <is>
          <t>eligibility</t>
        </is>
      </c>
      <c r="F530" s="77" t="inlineStr">
        <is>
          <t>https://sheffield.ac.uk/undergraduate/courses/2027/business-management-and-economics-ba</t>
        </is>
      </c>
      <c r="G530" s="77" t="inlineStr">
        <is>
          <t>Business Management and Economics BA (2027 entry)</t>
        </is>
      </c>
      <c r="H530" s="77" t="inlineStr">
        <is>
          <t>Careers/experience</t>
        </is>
      </c>
      <c r="I530" s="77" t="inlineStr">
        <is>
          <t>2027</t>
        </is>
      </c>
      <c r="J530" s="77" t="inlineStr">
        <is>
          <t>2026-10-12</t>
        </is>
      </c>
      <c r="K530" s="77" t="inlineStr">
        <is>
          <t>search-summary paraphrase</t>
        </is>
      </c>
      <c r="L530" s="77" t="inlineStr">
        <is>
          <t>One-week micro-internship during Easter break working in a group on a client brief from an external organisation, with employability staff support.</t>
        </is>
      </c>
    </row>
    <row r="531">
      <c r="A531" s="77" t="inlineStr">
        <is>
          <t>RG20-S05-R1</t>
        </is>
      </c>
      <c r="B531" s="77" t="inlineStr">
        <is>
          <t>RG20</t>
        </is>
      </c>
      <c r="C531" s="77" t="inlineStr">
        <is>
          <t>RG20-S05</t>
        </is>
      </c>
      <c r="D531" s="77" t="inlineStr">
        <is>
          <t>Management MSc Company Project</t>
        </is>
      </c>
      <c r="E531" s="77" t="inlineStr">
        <is>
          <t>project; group; employer; status; eligibility</t>
        </is>
      </c>
      <c r="F531" s="77" t="inlineStr">
        <is>
          <t>https://sheffield.ac.uk/postgraduate/taught/courses/2026/management-msc</t>
        </is>
      </c>
      <c r="G531" s="77" t="inlineStr">
        <is>
          <t>Management MSc (2026 entry)</t>
        </is>
      </c>
      <c r="H531" s="77" t="inlineStr">
        <is>
          <t>Company Project</t>
        </is>
      </c>
      <c r="I531" s="77" t="inlineStr">
        <is>
          <t>2026</t>
        </is>
      </c>
      <c r="J531" s="77" t="inlineStr">
        <is>
          <t>2026-10-12</t>
        </is>
      </c>
      <c r="K531" s="77" t="inlineStr">
        <is>
          <t>search-summary paraphrase</t>
        </is>
      </c>
      <c r="L531" s="77" t="inlineStr">
        <is>
          <t>Students can apply to work as part of a team on a real-world problem for an external organisation, with the option to complete a company-based dissertation; 45-credit Management Inquiry Project listed.</t>
        </is>
      </c>
    </row>
    <row r="532">
      <c r="A532" s="77" t="inlineStr">
        <is>
          <t>RG20-S06-R1</t>
        </is>
      </c>
      <c r="B532" s="77" t="inlineStr">
        <is>
          <t>RG20</t>
        </is>
      </c>
      <c r="C532" s="77" t="inlineStr">
        <is>
          <t>RG20-S06</t>
        </is>
      </c>
      <c r="D532" s="77" t="inlineStr">
        <is>
          <t>Marketing Consultancy Challenge (2027 entry: Transformative Marketing Challenge)</t>
        </is>
      </c>
      <c r="E532" s="77" t="inlineStr">
        <is>
          <t>project; group; employer</t>
        </is>
      </c>
      <c r="F532" s="77" t="inlineStr">
        <is>
          <t>https://www.sheffield.ac.uk/management/mba/experiential-learning-live-organisation-challenges/marketing-consultancy-challenge</t>
        </is>
      </c>
      <c r="G532" s="77" t="inlineStr">
        <is>
          <t>Marketing Consultancy Challenge</t>
        </is>
      </c>
      <c r="H532" s="77" t="inlineStr">
        <is>
          <t>Module page</t>
        </is>
      </c>
      <c r="I532" s="77" t="inlineStr">
        <is>
          <t>undated</t>
        </is>
      </c>
      <c r="J532" s="77" t="inlineStr">
        <is>
          <t>2026-10-12</t>
        </is>
      </c>
      <c r="K532" s="77" t="inlineStr">
        <is>
          <t>search-summary paraphrase</t>
        </is>
      </c>
      <c r="L532" s="77" t="inlineStr">
        <is>
          <t>Module introduces students in early weeks of semester 1 to a real organisation facing a marketing-related problem; teams meet the organisation roughly weekly and present findings to its senior management team; student case with The Northern Wine Guy.</t>
        </is>
      </c>
    </row>
    <row r="533">
      <c r="A533" s="77" t="inlineStr">
        <is>
          <t>RG20-S06-R2</t>
        </is>
      </c>
      <c r="B533" s="77" t="inlineStr">
        <is>
          <t>RG20</t>
        </is>
      </c>
      <c r="C533" s="77" t="inlineStr">
        <is>
          <t>RG20-S06</t>
        </is>
      </c>
      <c r="D533" s="77" t="inlineStr">
        <is>
          <t>Marketing Consultancy Challenge (2027 entry: Transformative Marketing Challenge)</t>
        </is>
      </c>
      <c r="E533" s="77" t="inlineStr">
        <is>
          <t>group; employer</t>
        </is>
      </c>
      <c r="F533" s="77" t="inlineStr">
        <is>
          <t>https://sheffield.ac.uk/management/mba/live-organisation</t>
        </is>
      </c>
      <c r="G533" s="77" t="inlineStr">
        <is>
          <t>Take part in live organisation challenges</t>
        </is>
      </c>
      <c r="H533" s="77" t="inlineStr">
        <is>
          <t>Challenge modules</t>
        </is>
      </c>
      <c r="I533" s="77" t="inlineStr">
        <is>
          <t>undated</t>
        </is>
      </c>
      <c r="J533" s="77" t="inlineStr">
        <is>
          <t>2026-10-12</t>
        </is>
      </c>
      <c r="K533" s="77" t="inlineStr">
        <is>
          <t>search-summary paraphrase</t>
        </is>
      </c>
      <c r="L533" s="77" t="inlineStr">
        <is>
          <t>Students work as part of a consulting team to provide clients with insights; client testimonials incl. Invest Sheffield, Genuit Group, The Source Skills Academy.</t>
        </is>
      </c>
    </row>
    <row r="534">
      <c r="A534" s="77" t="inlineStr">
        <is>
          <t>RG20-S06-R3</t>
        </is>
      </c>
      <c r="B534" s="77" t="inlineStr">
        <is>
          <t>RG20</t>
        </is>
      </c>
      <c r="C534" s="77" t="inlineStr">
        <is>
          <t>RG20-S06</t>
        </is>
      </c>
      <c r="D534" s="77" t="inlineStr">
        <is>
          <t>Marketing Consultancy Challenge (2027 entry: Transformative Marketing Challenge)</t>
        </is>
      </c>
      <c r="E534" s="77" t="inlineStr">
        <is>
          <t>credit; status</t>
        </is>
      </c>
      <c r="F534" s="77" t="inlineStr">
        <is>
          <t>https://sheffield.ac.uk/postgraduate/taught/courses/2026/mba-master-business-administration-mba</t>
        </is>
      </c>
      <c r="G534" s="77" t="inlineStr">
        <is>
          <t>MBA (2026 entry)</t>
        </is>
      </c>
      <c r="H534" s="77" t="inlineStr">
        <is>
          <t>Modules</t>
        </is>
      </c>
      <c r="I534" s="77" t="inlineStr">
        <is>
          <t>2026</t>
        </is>
      </c>
      <c r="J534" s="77" t="inlineStr">
        <is>
          <t>2026-10-12</t>
        </is>
      </c>
      <c r="K534" s="77" t="inlineStr">
        <is>
          <t>search-summary paraphrase</t>
        </is>
      </c>
      <c r="L534" s="77" t="inlineStr">
        <is>
          <t>Marketing Consultancy Challenge listed as 10 credits.</t>
        </is>
      </c>
    </row>
    <row r="535">
      <c r="A535" s="77" t="inlineStr">
        <is>
          <t>RG20-S06-R4</t>
        </is>
      </c>
      <c r="B535" s="77" t="inlineStr">
        <is>
          <t>RG20</t>
        </is>
      </c>
      <c r="C535" s="77" t="inlineStr">
        <is>
          <t>RG20-S06</t>
        </is>
      </c>
      <c r="D535" s="77" t="inlineStr">
        <is>
          <t>Marketing Consultancy Challenge (2027 entry: Transformative Marketing Challenge)</t>
        </is>
      </c>
      <c r="E535" s="77" t="inlineStr">
        <is>
          <t>credit; status</t>
        </is>
      </c>
      <c r="F535" s="77" t="inlineStr">
        <is>
          <t>https://sheffield.ac.uk/postgraduate/taught/courses/2027/mba-master-business-administration-mba</t>
        </is>
      </c>
      <c r="G535" s="77" t="inlineStr">
        <is>
          <t>MBA (2027 entry)</t>
        </is>
      </c>
      <c r="H535" s="77" t="inlineStr">
        <is>
          <t>Modules</t>
        </is>
      </c>
      <c r="I535" s="77" t="inlineStr">
        <is>
          <t>2027</t>
        </is>
      </c>
      <c r="J535" s="77" t="inlineStr">
        <is>
          <t>2026-10-12</t>
        </is>
      </c>
      <c r="K535" s="77" t="inlineStr">
        <is>
          <t>search-summary paraphrase</t>
        </is>
      </c>
      <c r="L535" s="77" t="inlineStr">
        <is>
          <t>Marketing module listed as Transformative Marketing Challenge, 15 credits; work in teams or as an individual on live projects with local or international businesses.</t>
        </is>
      </c>
    </row>
    <row r="536">
      <c r="A536" s="77" t="inlineStr">
        <is>
          <t>RG20-S07-R1</t>
        </is>
      </c>
      <c r="B536" s="77" t="inlineStr">
        <is>
          <t>RG20</t>
        </is>
      </c>
      <c r="C536" s="77" t="inlineStr">
        <is>
          <t>RG20-S07</t>
        </is>
      </c>
      <c r="D536" s="77" t="inlineStr">
        <is>
          <t>Internationalisation Challenge</t>
        </is>
      </c>
      <c r="E536" s="77" t="inlineStr">
        <is>
          <t>project; group; employer; credit</t>
        </is>
      </c>
      <c r="F536" s="77" t="inlineStr">
        <is>
          <t>https://www.sheffield.ac.uk/management/mba/experiential-learning-live-organisation-challenges/internationalisation-challenge</t>
        </is>
      </c>
      <c r="G536" s="77" t="inlineStr">
        <is>
          <t>Internationalisation Challenge</t>
        </is>
      </c>
      <c r="H536" s="77" t="inlineStr">
        <is>
          <t>Module page</t>
        </is>
      </c>
      <c r="I536" s="77" t="inlineStr">
        <is>
          <t>undated</t>
        </is>
      </c>
      <c r="J536" s="77" t="inlineStr">
        <is>
          <t>2026-10-12</t>
        </is>
      </c>
      <c r="K536" s="77" t="inlineStr">
        <is>
          <t>search-summary paraphrase</t>
        </is>
      </c>
      <c r="L536" s="77" t="inlineStr">
        <is>
          <t>Teams carry out a project with a real-world company that is exploring international markets; project is a crucial component of the assessment, alongside a reflective report.</t>
        </is>
      </c>
    </row>
    <row r="537">
      <c r="A537" s="77" t="inlineStr">
        <is>
          <t>RG20-S07-R2</t>
        </is>
      </c>
      <c r="B537" s="77" t="inlineStr">
        <is>
          <t>RG20</t>
        </is>
      </c>
      <c r="C537" s="77" t="inlineStr">
        <is>
          <t>RG20-S07</t>
        </is>
      </c>
      <c r="D537" s="77" t="inlineStr">
        <is>
          <t>Internationalisation Challenge</t>
        </is>
      </c>
      <c r="E537" s="77" t="inlineStr">
        <is>
          <t>employer</t>
        </is>
      </c>
      <c r="F537" s="77" t="inlineStr">
        <is>
          <t>https://sheffield.ac.uk/management/mba/live-organisation</t>
        </is>
      </c>
      <c r="G537" s="77" t="inlineStr">
        <is>
          <t>Take part in live organisation challenges</t>
        </is>
      </c>
      <c r="H537" s="77" t="inlineStr">
        <is>
          <t>Client testimonials</t>
        </is>
      </c>
      <c r="I537" s="77" t="inlineStr">
        <is>
          <t>undated</t>
        </is>
      </c>
      <c r="J537" s="77" t="inlineStr">
        <is>
          <t>2026-10-12</t>
        </is>
      </c>
      <c r="K537" s="77" t="inlineStr">
        <is>
          <t>search-summary paraphrase</t>
        </is>
      </c>
      <c r="L537" s="77" t="inlineStr">
        <is>
          <t>Invest Sheffield feedback on the Internationalisation Challenge: useful insight into market opportunities with three of Sheffield's Partner Cities.</t>
        </is>
      </c>
    </row>
    <row r="538">
      <c r="A538" s="77" t="inlineStr">
        <is>
          <t>RG20-S07-R3</t>
        </is>
      </c>
      <c r="B538" s="77" t="inlineStr">
        <is>
          <t>RG20</t>
        </is>
      </c>
      <c r="C538" s="77" t="inlineStr">
        <is>
          <t>RG20-S07</t>
        </is>
      </c>
      <c r="D538" s="77" t="inlineStr">
        <is>
          <t>Internationalisation Challenge</t>
        </is>
      </c>
      <c r="E538" s="77" t="inlineStr">
        <is>
          <t>status</t>
        </is>
      </c>
      <c r="F538" s="77" t="inlineStr">
        <is>
          <t>https://sheffield.ac.uk/postgraduate/taught/courses/2027/mba-master-business-administration-mba</t>
        </is>
      </c>
      <c r="G538" s="77" t="inlineStr">
        <is>
          <t>MBA (2027 entry)</t>
        </is>
      </c>
      <c r="H538" s="77" t="inlineStr">
        <is>
          <t>Modules</t>
        </is>
      </c>
      <c r="I538" s="77" t="inlineStr">
        <is>
          <t>2027</t>
        </is>
      </c>
      <c r="J538" s="77" t="inlineStr">
        <is>
          <t>2026-10-12</t>
        </is>
      </c>
      <c r="K538" s="77" t="inlineStr">
        <is>
          <t>search-summary paraphrase</t>
        </is>
      </c>
      <c r="L538" s="77" t="inlineStr">
        <is>
          <t>Students challenged to work in teams or as an individual on live projects with local or international businesses (Challenge modules).</t>
        </is>
      </c>
    </row>
    <row r="539">
      <c r="A539" s="77" t="inlineStr">
        <is>
          <t>RG20-S08-R1</t>
        </is>
      </c>
      <c r="B539" s="77" t="inlineStr">
        <is>
          <t>RG20</t>
        </is>
      </c>
      <c r="C539" s="77" t="inlineStr">
        <is>
          <t>RG20-S08</t>
        </is>
      </c>
      <c r="D539" s="77" t="inlineStr">
        <is>
          <t>Software Hut</t>
        </is>
      </c>
      <c r="E539" s="77" t="inlineStr">
        <is>
          <t>project; employer; participation</t>
        </is>
      </c>
      <c r="F539" s="77" t="inlineStr">
        <is>
          <t>https://studententerprise.sites.sheffield.ac.uk/student-enterprises/software-hut</t>
        </is>
      </c>
      <c r="G539" s="77" t="inlineStr">
        <is>
          <t>Student Enterprise - Software Hut</t>
        </is>
      </c>
      <c r="H539" s="77" t="inlineStr">
        <is>
          <t>Overview</t>
        </is>
      </c>
      <c r="I539" s="77" t="inlineStr">
        <is>
          <t>undated</t>
        </is>
      </c>
      <c r="J539" s="77" t="inlineStr">
        <is>
          <t>2026-10-12</t>
        </is>
      </c>
      <c r="K539" s="77" t="inlineStr">
        <is>
          <t>search-summary paraphrase</t>
        </is>
      </c>
      <c r="L539" s="77" t="inlineStr">
        <is>
          <t>Compulsory for second-year computer science students, around 200 participate per year; 'a microcosm of a real software house'; marks from staff (project management) and from clients who judge whether the product meets their needs.</t>
        </is>
      </c>
    </row>
    <row r="540">
      <c r="A540" s="77" t="inlineStr">
        <is>
          <t>RG20-S08-R2</t>
        </is>
      </c>
      <c r="B540" s="77" t="inlineStr">
        <is>
          <t>RG20</t>
        </is>
      </c>
      <c r="C540" s="77" t="inlineStr">
        <is>
          <t>RG20-S08</t>
        </is>
      </c>
      <c r="D540" s="77" t="inlineStr">
        <is>
          <t>Software Hut</t>
        </is>
      </c>
      <c r="E540" s="77" t="inlineStr">
        <is>
          <t>group; credit</t>
        </is>
      </c>
      <c r="F540" s="77" t="inlineStr">
        <is>
          <t>http://www.dcs.sheffield.ac.uk/intranet/teaching/public/modules/level3/com3420.html</t>
        </is>
      </c>
      <c r="G540" s="77" t="inlineStr">
        <is>
          <t>COM3420 Software Hut</t>
        </is>
      </c>
      <c r="H540" s="77" t="inlineStr">
        <is>
          <t>Assessment</t>
        </is>
      </c>
      <c r="I540" s="77" t="inlineStr">
        <is>
          <t>undated</t>
        </is>
      </c>
      <c r="J540" s="77" t="inlineStr">
        <is>
          <t>2026-10-12</t>
        </is>
      </c>
      <c r="K540" s="77" t="inlineStr">
        <is>
          <t>search-index extract (quoted)</t>
        </is>
      </c>
      <c r="L540" s="77" t="inlineStr">
        <is>
          <t>'Assessment will be entirely on the basis of the project work undertaken in teams'; participation in teamwork is mandatory.</t>
        </is>
      </c>
    </row>
    <row r="541">
      <c r="A541" s="77" t="inlineStr">
        <is>
          <t>RG20-S08-R3</t>
        </is>
      </c>
      <c r="B541" s="77" t="inlineStr">
        <is>
          <t>RG20</t>
        </is>
      </c>
      <c r="C541" s="77" t="inlineStr">
        <is>
          <t>RG20-S08</t>
        </is>
      </c>
      <c r="D541" s="77" t="inlineStr">
        <is>
          <t>Software Hut</t>
        </is>
      </c>
      <c r="E541" s="77" t="inlineStr">
        <is>
          <t>credit; status; project</t>
        </is>
      </c>
      <c r="F541" s="77" t="inlineStr">
        <is>
          <t>https://sheffield.ac.uk/undergraduate/courses/2027/computer-science-bsc</t>
        </is>
      </c>
      <c r="G541" s="77" t="inlineStr">
        <is>
          <t>Computer Science BSc (2027 entry)</t>
        </is>
      </c>
      <c r="H541" s="77" t="inlineStr">
        <is>
          <t>Modules</t>
        </is>
      </c>
      <c r="I541" s="77" t="inlineStr">
        <is>
          <t>2027</t>
        </is>
      </c>
      <c r="J541" s="77" t="inlineStr">
        <is>
          <t>2026-10-12</t>
        </is>
      </c>
      <c r="K541" s="77" t="inlineStr">
        <is>
          <t>search-summary paraphrase</t>
        </is>
      </c>
      <c r="L541" s="77" t="inlineStr">
        <is>
          <t>Software Hut listed as a 20-credit module; teamwork assessed through portfolio incl. design documents, working system and team-practice evidence.</t>
        </is>
      </c>
    </row>
    <row r="542">
      <c r="A542" s="77" t="inlineStr">
        <is>
          <t>RG20-S08-R4</t>
        </is>
      </c>
      <c r="B542" s="77" t="inlineStr">
        <is>
          <t>RG20</t>
        </is>
      </c>
      <c r="C542" s="77" t="inlineStr">
        <is>
          <t>RG20-S08</t>
        </is>
      </c>
      <c r="D542" s="77" t="inlineStr">
        <is>
          <t>Software Hut</t>
        </is>
      </c>
      <c r="E542" s="77" t="inlineStr">
        <is>
          <t>employer</t>
        </is>
      </c>
      <c r="F542" s="77" t="inlineStr">
        <is>
          <t>https://sheffield.ac.uk/cs/undergraduate/course-structure</t>
        </is>
      </c>
      <c r="G542" s="77" t="inlineStr">
        <is>
          <t>Course structure</t>
        </is>
      </c>
      <c r="H542" s="77" t="inlineStr">
        <is>
          <t>Year 2</t>
        </is>
      </c>
      <c r="I542" s="77" t="inlineStr">
        <is>
          <t>undated</t>
        </is>
      </c>
      <c r="J542" s="77" t="inlineStr">
        <is>
          <t>2026-10-12</t>
        </is>
      </c>
      <c r="K542" s="77" t="inlineStr">
        <is>
          <t>search-index extract (quoted)</t>
        </is>
      </c>
      <c r="L542" s="77" t="inlineStr">
        <is>
          <t>'Most students have their first experience of working for an external client in the second year, through the Software Hut project.'</t>
        </is>
      </c>
    </row>
    <row r="543">
      <c r="A543" s="77" t="inlineStr">
        <is>
          <t>RG20-S09-R1</t>
        </is>
      </c>
      <c r="B543" s="77" t="inlineStr">
        <is>
          <t>RG20</t>
        </is>
      </c>
      <c r="C543" s="77" t="inlineStr">
        <is>
          <t>RG20-S09</t>
        </is>
      </c>
      <c r="D543" s="77" t="inlineStr">
        <is>
          <t>Genesys (student-led software development organisation)</t>
        </is>
      </c>
      <c r="E543" s="77" t="inlineStr">
        <is>
          <t>project; group; employer</t>
        </is>
      </c>
      <c r="F543" s="77" t="inlineStr">
        <is>
          <t>https://sheffield.ac.uk/cs/about/genesys</t>
        </is>
      </c>
      <c r="G543" s="77" t="inlineStr">
        <is>
          <t>Genesys: our student-led software development organisation</t>
        </is>
      </c>
      <c r="H543" s="77" t="inlineStr">
        <is>
          <t>About</t>
        </is>
      </c>
      <c r="I543" s="77" t="inlineStr">
        <is>
          <t>undated</t>
        </is>
      </c>
      <c r="J543" s="77" t="inlineStr">
        <is>
          <t>2026-10-12</t>
        </is>
      </c>
      <c r="K543" s="77" t="inlineStr">
        <is>
          <t>search-summary paraphrase</t>
        </is>
      </c>
      <c r="L543" s="77" t="inlineStr">
        <is>
          <t>Professional software development organisation, the first of its kind in the UK, where students form customer-facing teams to build custom web applications; supported by staff from epiGenesys, a subsidiary company of the University.</t>
        </is>
      </c>
    </row>
    <row r="544">
      <c r="A544" s="77" t="inlineStr">
        <is>
          <t>RG20-S09-R2</t>
        </is>
      </c>
      <c r="B544" s="77" t="inlineStr">
        <is>
          <t>RG20</t>
        </is>
      </c>
      <c r="C544" s="77" t="inlineStr">
        <is>
          <t>RG20-S09</t>
        </is>
      </c>
      <c r="D544" s="77" t="inlineStr">
        <is>
          <t>Genesys (student-led software development organisation)</t>
        </is>
      </c>
      <c r="E544" s="77" t="inlineStr">
        <is>
          <t>project; group; credit; status</t>
        </is>
      </c>
      <c r="F544" s="77" t="inlineStr">
        <is>
          <t>https://sheffield.ac.uk/undergraduate/courses/2026/computer-science-software-engineering-meng</t>
        </is>
      </c>
      <c r="G544" s="77" t="inlineStr">
        <is>
          <t>Computer Science (Software Engineering) MEng (2026 entry)</t>
        </is>
      </c>
      <c r="H544" s="77" t="inlineStr">
        <is>
          <t>Final-year modules</t>
        </is>
      </c>
      <c r="I544" s="77" t="inlineStr">
        <is>
          <t>2026</t>
        </is>
      </c>
      <c r="J544" s="77" t="inlineStr">
        <is>
          <t>2026-10-12</t>
        </is>
      </c>
      <c r="K544" s="77" t="inlineStr">
        <is>
          <t>search-summary paraphrase</t>
        </is>
      </c>
      <c r="L544" s="77" t="inlineStr">
        <is>
          <t>Genesys core module worth 45 credits; students work with real customers and solve genuine problems using agile software engineering and lean startup practices, in teams developing web applications.</t>
        </is>
      </c>
    </row>
    <row r="545">
      <c r="A545" s="77" t="inlineStr">
        <is>
          <t>RG20-S09-R3</t>
        </is>
      </c>
      <c r="B545" s="77" t="inlineStr">
        <is>
          <t>RG20</t>
        </is>
      </c>
      <c r="C545" s="77" t="inlineStr">
        <is>
          <t>RG20-S09</t>
        </is>
      </c>
      <c r="D545" s="77" t="inlineStr">
        <is>
          <t>Genesys (student-led software development organisation)</t>
        </is>
      </c>
      <c r="E545" s="77" t="inlineStr">
        <is>
          <t>employer</t>
        </is>
      </c>
      <c r="F545" s="77" t="inlineStr">
        <is>
          <t>https://slt-cdt.sheffield.ac.uk/training/slt-hub</t>
        </is>
      </c>
      <c r="G545" s="77" t="inlineStr">
        <is>
          <t>SLT Hub - SLT CDT</t>
        </is>
      </c>
      <c r="H545" s="77" t="inlineStr">
        <is>
          <t>About</t>
        </is>
      </c>
      <c r="I545" s="77" t="inlineStr">
        <is>
          <t>undated</t>
        </is>
      </c>
      <c r="J545" s="77" t="inlineStr">
        <is>
          <t>2026-10-12</t>
        </is>
      </c>
      <c r="K545" s="77" t="inlineStr">
        <is>
          <t>search-index extract (quoted)</t>
        </is>
      </c>
      <c r="L545" s="77" t="inlineStr">
        <is>
          <t>Modelled on 'our masters students run their own software company, Genesys, which accepts real contracts for real clients'.</t>
        </is>
      </c>
    </row>
    <row r="546">
      <c r="A546" s="77" t="inlineStr">
        <is>
          <t>RG20-S10-R1</t>
        </is>
      </c>
      <c r="B546" s="77" t="inlineStr">
        <is>
          <t>RG20</t>
        </is>
      </c>
      <c r="C546" s="77" t="inlineStr">
        <is>
          <t>RG20-S10</t>
        </is>
      </c>
      <c r="D546" s="77" t="inlineStr">
        <is>
          <t>Industrial Group Project in Physics</t>
        </is>
      </c>
      <c r="E546" s="77" t="inlineStr">
        <is>
          <t>project; group; employer; credit; duration; status</t>
        </is>
      </c>
      <c r="F546" s="77" t="inlineStr">
        <is>
          <t>https://sheffield.ac.uk/undergraduate/courses/2025/physics-industrial-placement-year-bsc</t>
        </is>
      </c>
      <c r="G546" s="77" t="inlineStr">
        <is>
          <t>Physics with an Industrial Placement Year BSc (2025 entry)</t>
        </is>
      </c>
      <c r="H546" s="77" t="inlineStr">
        <is>
          <t>Final-year modules</t>
        </is>
      </c>
      <c r="I546" s="77" t="inlineStr">
        <is>
          <t>2025</t>
        </is>
      </c>
      <c r="J546" s="77" t="inlineStr">
        <is>
          <t>2026-10-12</t>
        </is>
      </c>
      <c r="K546" s="77" t="inlineStr">
        <is>
          <t>search-index extract (quoted)</t>
        </is>
      </c>
      <c r="L546" s="77" t="inlineStr">
        <is>
          <t>'The industrial client poses a problem that a group work on over two semesters to resolve.' 'Interim and final presentations are made to the client and academic supervisors.' MPS372, 20 credits, optional.</t>
        </is>
      </c>
    </row>
    <row r="547">
      <c r="A547" s="77" t="inlineStr">
        <is>
          <t>RG20-S10-R2</t>
        </is>
      </c>
      <c r="B547" s="77" t="inlineStr">
        <is>
          <t>RG20</t>
        </is>
      </c>
      <c r="C547" s="77" t="inlineStr">
        <is>
          <t>RG20-S10</t>
        </is>
      </c>
      <c r="D547" s="77" t="inlineStr">
        <is>
          <t>Industrial Group Project in Physics</t>
        </is>
      </c>
      <c r="E547" s="77" t="inlineStr">
        <is>
          <t>eligibility</t>
        </is>
      </c>
      <c r="F547" s="77" t="inlineStr">
        <is>
          <t>https://sheffield.ac.uk/undergraduate/courses/2024/physics-mphys</t>
        </is>
      </c>
      <c r="G547" s="77" t="inlineStr">
        <is>
          <t>Physics MPhys (2024 entry)</t>
        </is>
      </c>
      <c r="H547" s="77" t="inlineStr">
        <is>
          <t>Modules</t>
        </is>
      </c>
      <c r="I547" s="77" t="inlineStr">
        <is>
          <t>2024</t>
        </is>
      </c>
      <c r="J547" s="77" t="inlineStr">
        <is>
          <t>2026-10-12</t>
        </is>
      </c>
      <c r="K547" s="77" t="inlineStr">
        <is>
          <t>search-summary paraphrase</t>
        </is>
      </c>
      <c r="L547" s="77" t="inlineStr">
        <is>
          <t>Industrial group project with an external partner listed as an option.</t>
        </is>
      </c>
    </row>
    <row r="548">
      <c r="A548" s="77" t="inlineStr">
        <is>
          <t>RG20-S11-R1</t>
        </is>
      </c>
      <c r="B548" s="77" t="inlineStr">
        <is>
          <t>RG20</t>
        </is>
      </c>
      <c r="C548" s="77" t="inlineStr">
        <is>
          <t>RG20-S11</t>
        </is>
      </c>
      <c r="D548" s="77" t="inlineStr">
        <is>
          <t>MArch Live Projects (Live Project 1 / Live Project 2)</t>
        </is>
      </c>
      <c r="E548" s="77" t="inlineStr">
        <is>
          <t>project; group; employer; participation</t>
        </is>
      </c>
      <c r="F548" s="77" t="inlineStr">
        <is>
          <t>https://sheffield.ac.uk/architecture-landscape/march/live-projects</t>
        </is>
      </c>
      <c r="G548" s="77" t="inlineStr">
        <is>
          <t>Live Projects</t>
        </is>
      </c>
      <c r="H548" s="77" t="inlineStr">
        <is>
          <t>About</t>
        </is>
      </c>
      <c r="I548" s="77" t="inlineStr">
        <is>
          <t>undated</t>
        </is>
      </c>
      <c r="J548" s="77" t="inlineStr">
        <is>
          <t>2026-10-12</t>
        </is>
      </c>
      <c r="K548" s="77" t="inlineStr">
        <is>
          <t>search-summary paraphrase</t>
        </is>
      </c>
      <c r="L548" s="77" t="inlineStr">
        <is>
          <t>Group-based projects with real constraints (budget, brief, time), regular client contact and a defined end result, normally a presentation, report and sometimes physical building work; running 20 years, 150+ completed projects; teams mostly 13-15.</t>
        </is>
      </c>
    </row>
    <row r="549">
      <c r="A549" s="77" t="inlineStr">
        <is>
          <t>RG20-S11-R2</t>
        </is>
      </c>
      <c r="B549" s="77" t="inlineStr">
        <is>
          <t>RG20</t>
        </is>
      </c>
      <c r="C549" s="77" t="inlineStr">
        <is>
          <t>RG20-S11</t>
        </is>
      </c>
      <c r="D549" s="77" t="inlineStr">
        <is>
          <t>MArch Live Projects (Live Project 1 / Live Project 2)</t>
        </is>
      </c>
      <c r="E549" s="77" t="inlineStr">
        <is>
          <t>project; group; employer; status</t>
        </is>
      </c>
      <c r="F549" s="77" t="inlineStr">
        <is>
          <t>https://sheffield.ac.uk/postgraduate/taught/courses/2026/architecture-march</t>
        </is>
      </c>
      <c r="G549" s="77" t="inlineStr">
        <is>
          <t>Architecture MArch (2026 entry)</t>
        </is>
      </c>
      <c r="H549" s="77" t="inlineStr">
        <is>
          <t>Core modules</t>
        </is>
      </c>
      <c r="I549" s="77" t="inlineStr">
        <is>
          <t>2026</t>
        </is>
      </c>
      <c r="J549" s="77" t="inlineStr">
        <is>
          <t>2026-10-12</t>
        </is>
      </c>
      <c r="K549" s="77" t="inlineStr">
        <is>
          <t>search-index extract (quoted)</t>
        </is>
      </c>
      <c r="L549" s="77" t="inlineStr">
        <is>
          <t>'Live Project 1: Students work in Live Project groups with a range of clients including local community groups, charities, health organisations and regional authorities.'</t>
        </is>
      </c>
    </row>
    <row r="550">
      <c r="A550" s="77" t="inlineStr">
        <is>
          <t>RG20-S11-R3</t>
        </is>
      </c>
      <c r="B550" s="77" t="inlineStr">
        <is>
          <t>RG20</t>
        </is>
      </c>
      <c r="C550" s="77" t="inlineStr">
        <is>
          <t>RG20-S11</t>
        </is>
      </c>
      <c r="D550" s="77" t="inlineStr">
        <is>
          <t>MArch Live Projects (Live Project 1 / Live Project 2)</t>
        </is>
      </c>
      <c r="E550" s="77" t="inlineStr">
        <is>
          <t>eligibility; status</t>
        </is>
      </c>
      <c r="F550" s="77" t="inlineStr">
        <is>
          <t>https://sheffield.ac.uk/postgraduate/taught/courses/2026/architecture-collaborative-practice-march</t>
        </is>
      </c>
      <c r="G550" s="77" t="inlineStr">
        <is>
          <t>Architecture: Collaborative Practice MArch (2026 entry)</t>
        </is>
      </c>
      <c r="H550" s="77" t="inlineStr">
        <is>
          <t>Modules</t>
        </is>
      </c>
      <c r="I550" s="77" t="inlineStr">
        <is>
          <t>2026</t>
        </is>
      </c>
      <c r="J550" s="77" t="inlineStr">
        <is>
          <t>2026-10-12</t>
        </is>
      </c>
      <c r="K550" s="77" t="inlineStr">
        <is>
          <t>search-summary paraphrase</t>
        </is>
      </c>
      <c r="L550" s="77" t="inlineStr">
        <is>
          <t>Live Project 1 in Year 5 and Live Project 2 in Year 6.</t>
        </is>
      </c>
    </row>
    <row r="551">
      <c r="A551" s="77" t="inlineStr">
        <is>
          <t>RG20-S11-R4</t>
        </is>
      </c>
      <c r="B551" s="77" t="inlineStr">
        <is>
          <t>RG20</t>
        </is>
      </c>
      <c r="C551" s="77" t="inlineStr">
        <is>
          <t>RG20-S11</t>
        </is>
      </c>
      <c r="D551" s="77" t="inlineStr">
        <is>
          <t>MArch Live Projects (Live Project 1 / Live Project 2)</t>
        </is>
      </c>
      <c r="E551" s="77" t="inlineStr">
        <is>
          <t>project; group; employer</t>
        </is>
      </c>
      <c r="F551" s="77" t="inlineStr">
        <is>
          <t>https://sheffield.ac.uk/architecture-landscape/march/live-projects</t>
        </is>
      </c>
      <c r="G551" s="77" t="inlineStr">
        <is>
          <t>Live Projects</t>
        </is>
      </c>
      <c r="H551" s="77" t="inlineStr">
        <is>
          <t>About</t>
        </is>
      </c>
      <c r="I551" s="77" t="inlineStr">
        <is>
          <t>undated</t>
        </is>
      </c>
      <c r="J551" s="77" t="inlineStr">
        <is>
          <t>2026-10-13</t>
        </is>
      </c>
      <c r="K551" s="77" t="inlineStr">
        <is>
          <t>page text</t>
        </is>
      </c>
      <c r="L551" s="77" t="inlineStr">
        <is>
          <t>"architecture masters students work in groups with a range of clients" including "local community groups, charities, health organisations and regional authorities"; "a defined end result, normally a presentation, report and sometimes physical building work".</t>
        </is>
      </c>
    </row>
    <row r="552">
      <c r="A552" s="77" t="inlineStr">
        <is>
          <t>RG20-S12-R1</t>
        </is>
      </c>
      <c r="B552" s="77" t="inlineStr">
        <is>
          <t>RG20</t>
        </is>
      </c>
      <c r="C552" s="77" t="inlineStr">
        <is>
          <t>RG20-S12</t>
        </is>
      </c>
      <c r="D552" s="77" t="inlineStr">
        <is>
          <t>Mechanical Engineering MEng final-year group design project</t>
        </is>
      </c>
      <c r="E552" s="77" t="inlineStr">
        <is>
          <t>project; group; employer; credit; status</t>
        </is>
      </c>
      <c r="F552" s="77" t="inlineStr">
        <is>
          <t>https://sheffield.ac.uk/undergraduate/courses/2026/mechanical-engineering-meng</t>
        </is>
      </c>
      <c r="G552" s="77" t="inlineStr">
        <is>
          <t>Mechanical Engineering MEng (2026 entry)</t>
        </is>
      </c>
      <c r="H552" s="77" t="inlineStr">
        <is>
          <t>Final year</t>
        </is>
      </c>
      <c r="I552" s="77" t="inlineStr">
        <is>
          <t>2026</t>
        </is>
      </c>
      <c r="J552" s="77" t="inlineStr">
        <is>
          <t>2026-10-12</t>
        </is>
      </c>
      <c r="K552" s="77" t="inlineStr">
        <is>
          <t>search-summary paraphrase</t>
        </is>
      </c>
      <c r="L552" s="77" t="inlineStr">
        <is>
          <t>Final-year group design project working on a real-life challenge proposed by industrial partners, developing professional skills with real clients; Capstone Group Design Project (45 credits) multidisciplinary group project on regenerating a local area sustainably.</t>
        </is>
      </c>
    </row>
    <row r="553">
      <c r="A553" s="77" t="inlineStr">
        <is>
          <t>RG20-S13-R1</t>
        </is>
      </c>
      <c r="B553" s="77" t="inlineStr">
        <is>
          <t>RG20</t>
        </is>
      </c>
      <c r="C553" s="77" t="inlineStr">
        <is>
          <t>RG20-S13</t>
        </is>
      </c>
      <c r="D553" s="77" t="inlineStr">
        <is>
          <t>Aerospace Engineering Industrial Training Programme / MEng Group Design Project</t>
        </is>
      </c>
      <c r="E553" s="77" t="inlineStr">
        <is>
          <t>project; group; employer</t>
        </is>
      </c>
      <c r="F553" s="77" t="inlineStr">
        <is>
          <t>https://sheffield.ac.uk/mac/undergraduate/careers/aerospace</t>
        </is>
      </c>
      <c r="G553" s="77" t="inlineStr">
        <is>
          <t>Aerospace Engineering careers</t>
        </is>
      </c>
      <c r="H553" s="77" t="inlineStr">
        <is>
          <t>Industry links</t>
        </is>
      </c>
      <c r="I553" s="77" t="inlineStr">
        <is>
          <t>undated</t>
        </is>
      </c>
      <c r="J553" s="77" t="inlineStr">
        <is>
          <t>2026-10-12</t>
        </is>
      </c>
      <c r="K553" s="77" t="inlineStr">
        <is>
          <t>search-summary paraphrase</t>
        </is>
      </c>
      <c r="L553" s="77" t="inlineStr">
        <is>
          <t>Industry partners such as Airbus or Boeing set problems for the Industrial Training Programme, where students work in groups on an open-ended industrial problem; Industrial Advisory Board members (Rolls-Royce, Boeing, Caterpillar, BAE Systems) assess part of the third-year MEng Group Design Project.</t>
        </is>
      </c>
    </row>
    <row r="554">
      <c r="A554" s="77" t="inlineStr">
        <is>
          <t>RG20-S14-R1</t>
        </is>
      </c>
      <c r="B554" s="77" t="inlineStr">
        <is>
          <t>RG20</t>
        </is>
      </c>
      <c r="C554" s="77" t="inlineStr">
        <is>
          <t>RG20-S14</t>
        </is>
      </c>
      <c r="D554" s="77" t="inlineStr">
        <is>
          <t>Electrical and Electronic Engineering MEng final-year group project</t>
        </is>
      </c>
      <c r="E554" s="77" t="inlineStr">
        <is>
          <t>project; group; employer; status</t>
        </is>
      </c>
      <c r="F554" s="77" t="inlineStr">
        <is>
          <t>https://sheffield.ac.uk/undergraduate/courses/2027/electrical-and-electronic-engineering-meng</t>
        </is>
      </c>
      <c r="G554" s="77" t="inlineStr">
        <is>
          <t>Electrical and Electronic Engineering MEng (2027 entry)</t>
        </is>
      </c>
      <c r="H554" s="77" t="inlineStr">
        <is>
          <t>Final year</t>
        </is>
      </c>
      <c r="I554" s="77" t="inlineStr">
        <is>
          <t>2027</t>
        </is>
      </c>
      <c r="J554" s="77" t="inlineStr">
        <is>
          <t>2026-10-12</t>
        </is>
      </c>
      <c r="K554" s="77" t="inlineStr">
        <is>
          <t>search-summary paraphrase</t>
        </is>
      </c>
      <c r="L554" s="77" t="inlineStr">
        <is>
          <t>Final-year group project in multidisciplinary teams; brief presented by the industrialists involved (page flagged as needing updating).</t>
        </is>
      </c>
    </row>
    <row r="555">
      <c r="A555" s="77" t="inlineStr">
        <is>
          <t>RG20-S15-R1</t>
        </is>
      </c>
      <c r="B555" s="77" t="inlineStr">
        <is>
          <t>RG20</t>
        </is>
      </c>
      <c r="C555" s="77" t="inlineStr">
        <is>
          <t>RG20-S15</t>
        </is>
      </c>
      <c r="D555" s="77" t="inlineStr">
        <is>
          <t>Medicine community partnership placements (Social Accountability)</t>
        </is>
      </c>
      <c r="E555" s="77" t="inlineStr">
        <is>
          <t>project; group; employer; status</t>
        </is>
      </c>
      <c r="F555" s="77" t="inlineStr">
        <is>
          <t>https://www.sheffield.ac.uk/medicine-dentistry-health/social-accountability/partnership-placements</t>
        </is>
      </c>
      <c r="G555" s="77" t="inlineStr">
        <is>
          <t>Medicine community partnership placements</t>
        </is>
      </c>
      <c r="H555" s="77" t="inlineStr">
        <is>
          <t>Main</t>
        </is>
      </c>
      <c r="I555" s="77" t="inlineStr">
        <is>
          <t>undated</t>
        </is>
      </c>
      <c r="J555" s="77" t="inlineStr">
        <is>
          <t>2026-10-13</t>
        </is>
      </c>
      <c r="K555" s="77" t="inlineStr">
        <is>
          <t>page text</t>
        </is>
      </c>
      <c r="L555" s="77" t="inlineStr">
        <is>
          <t>"In 2015 we introduced placements within our local community based organisations"; students placed in groups for about four weeks on "negotiated project work that will make a tangible contribution" to the organisation or community.</t>
        </is>
      </c>
    </row>
    <row r="556">
      <c r="A556" s="77" t="inlineStr">
        <is>
          <t>RG21-S01-R1</t>
        </is>
      </c>
      <c r="B556" s="77" t="inlineStr">
        <is>
          <t>RG21</t>
        </is>
      </c>
      <c r="C556" s="77" t="inlineStr">
        <is>
          <t>RG21-S01</t>
        </is>
      </c>
      <c r="D556" s="77" t="inlineStr">
        <is>
          <t>Student Innovation Projects</t>
        </is>
      </c>
      <c r="E556" s="77" t="inlineStr">
        <is>
          <t>project; group; employer; eligibility; duration; reach</t>
        </is>
      </c>
      <c r="F556" s="77" t="inlineStr">
        <is>
          <t>https://www.southampton.ac.uk/careers/students/work-experience/student-innovation-projects.page</t>
        </is>
      </c>
      <c r="G556" s="77" t="inlineStr">
        <is>
          <t>Student Innovation Projects</t>
        </is>
      </c>
      <c r="H556" s="77" t="inlineStr">
        <is>
          <t>Programme page</t>
        </is>
      </c>
      <c r="I556" s="77" t="inlineStr">
        <is>
          <t>undated (references 2026/27 applications)</t>
        </is>
      </c>
      <c r="J556" s="77" t="inlineStr">
        <is>
          <t>2026-10-12</t>
        </is>
      </c>
      <c r="K556" s="77" t="inlineStr">
        <is>
          <t>search-summary paraphrase</t>
        </is>
      </c>
      <c r="L556" s="77" t="inlineStr">
        <is>
          <t>Students work in small, interdisciplinary teams with a business or non-profit on a challenge and present to the client. Duration: 4 weeks, 4-6 hours per week. Open to current students who can commit to the full 4 weeks. Clients are asked to attend the student presentation and final report submission.</t>
        </is>
      </c>
    </row>
    <row r="557">
      <c r="A557" s="77" t="inlineStr">
        <is>
          <t>RG21-S01-R2</t>
        </is>
      </c>
      <c r="B557" s="77" t="inlineStr">
        <is>
          <t>RG21</t>
        </is>
      </c>
      <c r="C557" s="77" t="inlineStr">
        <is>
          <t>RG21-S01</t>
        </is>
      </c>
      <c r="D557" s="77" t="inlineStr">
        <is>
          <t>Student Innovation Projects</t>
        </is>
      </c>
      <c r="E557" s="77" t="inlineStr">
        <is>
          <t>status; group; employer</t>
        </is>
      </c>
      <c r="F557" s="77" t="inlineStr">
        <is>
          <t>https://www.southampton.ac.uk/~assets/doc/careers/CES_Guide.pdf</t>
        </is>
      </c>
      <c r="G557" s="77" t="inlineStr">
        <is>
          <t>Careers, Employability and Student Enterprise Guide 2025-2026</t>
        </is>
      </c>
      <c r="H557" s="77" t="inlineStr">
        <is>
          <t>Student Innovation Projects entry</t>
        </is>
      </c>
      <c r="I557" s="77" t="inlineStr">
        <is>
          <t>2025-26</t>
        </is>
      </c>
      <c r="J557" s="77" t="inlineStr">
        <is>
          <t>2026-10-12</t>
        </is>
      </c>
      <c r="K557" s="77" t="inlineStr">
        <is>
          <t>search-summary paraphrase</t>
        </is>
      </c>
      <c r="L557" s="77" t="inlineStr">
        <is>
          <t>Describes students working in small groups to solve business challenges for live clients through the Student Innovation Projects.</t>
        </is>
      </c>
    </row>
    <row r="558">
      <c r="A558" s="77" t="inlineStr">
        <is>
          <t>RG21-S01-R3</t>
        </is>
      </c>
      <c r="B558" s="77" t="inlineStr">
        <is>
          <t>RG21</t>
        </is>
      </c>
      <c r="C558" s="77" t="inlineStr">
        <is>
          <t>RG21-S01</t>
        </is>
      </c>
      <c r="D558" s="77" t="inlineStr">
        <is>
          <t>Student Innovation Projects</t>
        </is>
      </c>
      <c r="E558" s="77" t="inlineStr">
        <is>
          <t>employer; project</t>
        </is>
      </c>
      <c r="F558" s="77" t="inlineStr">
        <is>
          <t>https://www.southampton.ac.uk/~assets/doc/careers/Student-Innovation-Projects-Client-Handbook.pdf</t>
        </is>
      </c>
      <c r="G558" s="77" t="inlineStr">
        <is>
          <t>Student Innovation Projects Client Handbook</t>
        </is>
      </c>
      <c r="H558" s="77" t="inlineStr">
        <is>
          <t>Client handbook</t>
        </is>
      </c>
      <c r="I558" s="77" t="inlineStr">
        <is>
          <t>undated</t>
        </is>
      </c>
      <c r="J558" s="77" t="inlineStr">
        <is>
          <t>2026-10-12</t>
        </is>
      </c>
      <c r="K558" s="77" t="inlineStr">
        <is>
          <t>search-summary paraphrase</t>
        </is>
      </c>
      <c r="L558" s="77" t="inlineStr">
        <is>
          <t>Organisations submit a brief for approval; recruitment and training of students organised by the University; briefs go to the careers team.</t>
        </is>
      </c>
    </row>
    <row r="559">
      <c r="A559" s="77" t="inlineStr">
        <is>
          <t>RG21-S02-R1</t>
        </is>
      </c>
      <c r="B559" s="77" t="inlineStr">
        <is>
          <t>RG21</t>
        </is>
      </c>
      <c r="C559" s="77" t="inlineStr">
        <is>
          <t>RG21-S02</t>
        </is>
      </c>
      <c r="D559" s="77" t="inlineStr">
        <is>
          <t>Student Innovation Challenge</t>
        </is>
      </c>
      <c r="E559" s="77" t="inlineStr">
        <is>
          <t>project; group; employer; eligibility; duration</t>
        </is>
      </c>
      <c r="F559" s="77" t="inlineStr">
        <is>
          <t>https://www.southampton.ac.uk/careers/students/work-experience/summer-student-innovation-challenge.page</t>
        </is>
      </c>
      <c r="G559" s="77" t="inlineStr">
        <is>
          <t>Student Innovation Challenge</t>
        </is>
      </c>
      <c r="H559" s="77" t="inlineStr">
        <is>
          <t>Programme page</t>
        </is>
      </c>
      <c r="I559" s="77" t="inlineStr">
        <is>
          <t>undated</t>
        </is>
      </c>
      <c r="J559" s="77" t="inlineStr">
        <is>
          <t>2026-10-12</t>
        </is>
      </c>
      <c r="K559" s="77" t="inlineStr">
        <is>
          <t>search-summary paraphrase</t>
        </is>
      </c>
      <c r="L559" s="77" t="inlineStr">
        <is>
          <t>Intensive four-day project where you team up with 3-5 students to tackle a real business challenge from top employers; runs every summer and Easter; open to students from any degree.</t>
        </is>
      </c>
    </row>
    <row r="560">
      <c r="A560" s="77" t="inlineStr">
        <is>
          <t>RG21-S02-R2</t>
        </is>
      </c>
      <c r="B560" s="77" t="inlineStr">
        <is>
          <t>RG21</t>
        </is>
      </c>
      <c r="C560" s="77" t="inlineStr">
        <is>
          <t>RG21-S02</t>
        </is>
      </c>
      <c r="D560" s="77" t="inlineStr">
        <is>
          <t>Student Innovation Challenge</t>
        </is>
      </c>
      <c r="E560" s="77" t="inlineStr">
        <is>
          <t>status; group; employer</t>
        </is>
      </c>
      <c r="F560" s="77" t="inlineStr">
        <is>
          <t>https://www.southampton.ac.uk/~assets/doc/careers/CES_Guide.pdf</t>
        </is>
      </c>
      <c r="G560" s="77" t="inlineStr">
        <is>
          <t>Careers, Employability and Student Enterprise Guide 2025-2026</t>
        </is>
      </c>
      <c r="H560" s="77" t="inlineStr">
        <is>
          <t>Innovation Challenge entry</t>
        </is>
      </c>
      <c r="I560" s="77" t="inlineStr">
        <is>
          <t>2025-26</t>
        </is>
      </c>
      <c r="J560" s="77" t="inlineStr">
        <is>
          <t>2026-10-12</t>
        </is>
      </c>
      <c r="K560" s="77" t="inlineStr">
        <is>
          <t>search-summary paraphrase</t>
        </is>
      </c>
      <c r="L560" s="77" t="inlineStr">
        <is>
          <t>Intensive four-day project in which a team of four to five students solves a business challenge provided by top employers; runs during Easter and Summer vacations.</t>
        </is>
      </c>
    </row>
    <row r="561">
      <c r="A561" s="77" t="inlineStr">
        <is>
          <t>RG21-S02-R3</t>
        </is>
      </c>
      <c r="B561" s="77" t="inlineStr">
        <is>
          <t>RG21</t>
        </is>
      </c>
      <c r="C561" s="77" t="inlineStr">
        <is>
          <t>RG21-S02</t>
        </is>
      </c>
      <c r="D561" s="77" t="inlineStr">
        <is>
          <t>Student Innovation Challenge</t>
        </is>
      </c>
      <c r="E561" s="77" t="inlineStr">
        <is>
          <t>employer; project</t>
        </is>
      </c>
      <c r="F561" s="77" t="inlineStr">
        <is>
          <t>https://www.southampton.ac.uk/~assets/doc/careers/Innovation%20Challenge%20Easter%20Handbook%202122%20PDF%20.pdf</t>
        </is>
      </c>
      <c r="G561" s="77" t="inlineStr">
        <is>
          <t>Innovation Challenge Client Guide 2021/2022</t>
        </is>
      </c>
      <c r="H561" s="77" t="inlineStr">
        <is>
          <t>Client guide</t>
        </is>
      </c>
      <c r="I561" s="77" t="inlineStr">
        <is>
          <t>2021/22</t>
        </is>
      </c>
      <c r="J561" s="77" t="inlineStr">
        <is>
          <t>2026-10-12</t>
        </is>
      </c>
      <c r="K561" s="77" t="inlineStr">
        <is>
          <t>search-summary paraphrase</t>
        </is>
      </c>
      <c r="L561" s="77" t="inlineStr">
        <is>
          <t>Employers complete a Client Brief Form and Client Agreement; 4-day format with a winning-team prize (historical).</t>
        </is>
      </c>
    </row>
    <row r="562">
      <c r="A562" s="77" t="inlineStr">
        <is>
          <t>RG21-S03-R1</t>
        </is>
      </c>
      <c r="B562" s="77" t="inlineStr">
        <is>
          <t>RG21</t>
        </is>
      </c>
      <c r="C562" s="77" t="inlineStr">
        <is>
          <t>RG21-S03</t>
        </is>
      </c>
      <c r="D562" s="77" t="inlineStr">
        <is>
          <t>Leading Sustainability, Innovation and Change (MBA live consulting project)</t>
        </is>
      </c>
      <c r="E562" s="77" t="inlineStr">
        <is>
          <t>project; group; employer</t>
        </is>
      </c>
      <c r="F562" s="77" t="inlineStr">
        <is>
          <t>https://www.southampton.ac.uk/courses/master-of-business-administration-masters-mba</t>
        </is>
      </c>
      <c r="G562" s="77" t="inlineStr">
        <is>
          <t>MBA Master of Business Administration 8223 (1 year)</t>
        </is>
      </c>
      <c r="H562" s="77" t="inlineStr">
        <is>
          <t>Course page</t>
        </is>
      </c>
      <c r="I562" s="77" t="inlineStr">
        <is>
          <t>undated</t>
        </is>
      </c>
      <c r="J562" s="77" t="inlineStr">
        <is>
          <t>2026-10-12</t>
        </is>
      </c>
      <c r="K562" s="77" t="inlineStr">
        <is>
          <t>search-summary paraphrase</t>
        </is>
      </c>
      <c r="L562" s="77" t="inlineStr">
        <is>
          <t>Module includes teaching in Southampton and an international study trip with a 'live' group consulting project for a local organisation / live international consultancy project with a client company.</t>
        </is>
      </c>
    </row>
    <row r="563">
      <c r="A563" s="77" t="inlineStr">
        <is>
          <t>RG21-S03-R2</t>
        </is>
      </c>
      <c r="B563" s="77" t="inlineStr">
        <is>
          <t>RG21</t>
        </is>
      </c>
      <c r="C563" s="77" t="inlineStr">
        <is>
          <t>RG21-S03</t>
        </is>
      </c>
      <c r="D563" s="77" t="inlineStr">
        <is>
          <t>Leading Sustainability, Innovation and Change (MBA live consulting project)</t>
        </is>
      </c>
      <c r="E563" s="77" t="inlineStr">
        <is>
          <t>group; employer; status; project</t>
        </is>
      </c>
      <c r="F563" s="77" t="inlineStr">
        <is>
          <t>https://www.southampton.ac.uk/courses/global-executive-masters-mba</t>
        </is>
      </c>
      <c r="G563" s="77" t="inlineStr">
        <is>
          <t>MBA Global Executive Master of Business Administration 9453 (2 years)</t>
        </is>
      </c>
      <c r="H563" s="77" t="inlineStr">
        <is>
          <t>Course page</t>
        </is>
      </c>
      <c r="I563" s="77" t="inlineStr">
        <is>
          <t>undated; next start September 2026</t>
        </is>
      </c>
      <c r="J563" s="77" t="inlineStr">
        <is>
          <t>2026-10-12</t>
        </is>
      </c>
      <c r="K563" s="77" t="inlineStr">
        <is>
          <t>search-summary paraphrase</t>
        </is>
      </c>
      <c r="L563" s="77" t="inlineStr">
        <is>
          <t>The module's second residential trip is a group consultancy project for a local organisation, undertaken by a team of 5 to 7 students.</t>
        </is>
      </c>
    </row>
    <row r="564">
      <c r="A564" s="77" t="inlineStr">
        <is>
          <t>RG21-S03-R3</t>
        </is>
      </c>
      <c r="B564" s="77" t="inlineStr">
        <is>
          <t>RG21</t>
        </is>
      </c>
      <c r="C564" s="77" t="inlineStr">
        <is>
          <t>RG21-S03</t>
        </is>
      </c>
      <c r="D564" s="77" t="inlineStr">
        <is>
          <t>Leading Sustainability, Innovation and Change (MBA live consulting project)</t>
        </is>
      </c>
      <c r="E564" s="77" t="inlineStr">
        <is>
          <t>group; project</t>
        </is>
      </c>
      <c r="F564" s="77" t="inlineStr">
        <is>
          <t>https://www.southampton.ac.uk/~assets/doc/specs/2021-mba-8223-8224-8225.pdf</t>
        </is>
      </c>
      <c r="G564" s="77" t="inlineStr">
        <is>
          <t>Programme Specification MBA (2020-21)</t>
        </is>
      </c>
      <c r="H564" s="77" t="inlineStr">
        <is>
          <t>Module description</t>
        </is>
      </c>
      <c r="I564" s="77" t="inlineStr">
        <is>
          <t>2020-21</t>
        </is>
      </c>
      <c r="J564" s="77" t="inlineStr">
        <is>
          <t>2026-10-12</t>
        </is>
      </c>
      <c r="K564" s="77" t="inlineStr">
        <is>
          <t>search-summary paraphrase</t>
        </is>
      </c>
      <c r="L564" s="77" t="inlineStr">
        <is>
          <t>Live consultancy project in an international setting, group of between 4 and 6 students, Semester 2.</t>
        </is>
      </c>
    </row>
    <row r="565">
      <c r="A565" s="77" t="inlineStr">
        <is>
          <t>RG21-S04-R1</t>
        </is>
      </c>
      <c r="B565" s="77" t="inlineStr">
        <is>
          <t>RG21</t>
        </is>
      </c>
      <c r="C565" s="77" t="inlineStr">
        <is>
          <t>RG21-S04</t>
        </is>
      </c>
      <c r="D565" s="77" t="inlineStr">
        <is>
          <t>Online Master in Management (MiM) live consulting module</t>
        </is>
      </c>
      <c r="E565" s="77" t="inlineStr">
        <is>
          <t>project; group; employer; credit</t>
        </is>
      </c>
      <c r="F565" s="77" t="inlineStr">
        <is>
          <t>https://www.online.southampton.ac.uk/courses/mim-management</t>
        </is>
      </c>
      <c r="G565" s="77" t="inlineStr">
        <is>
          <t>Online Master in Management (MiM)</t>
        </is>
      </c>
      <c r="H565" s="77" t="inlineStr">
        <is>
          <t>Course page</t>
        </is>
      </c>
      <c r="I565" s="77" t="inlineStr">
        <is>
          <t>undated</t>
        </is>
      </c>
      <c r="J565" s="77" t="inlineStr">
        <is>
          <t>2026-10-12</t>
        </is>
      </c>
      <c r="K565" s="77" t="inlineStr">
        <is>
          <t>search-summary paraphrase</t>
        </is>
      </c>
      <c r="L565" s="77" t="inlineStr">
        <is>
          <t>Online version of the module is worth 15 credits, with a live group consulting project for an international client, ending in a group presentation and project report.</t>
        </is>
      </c>
    </row>
    <row r="566">
      <c r="A566" s="77" t="inlineStr">
        <is>
          <t>RG21-S05-R1</t>
        </is>
      </c>
      <c r="B566" s="77" t="inlineStr">
        <is>
          <t>RG21</t>
        </is>
      </c>
      <c r="C566" s="77" t="inlineStr">
        <is>
          <t>RG21-S05</t>
        </is>
      </c>
      <c r="D566" s="77" t="inlineStr">
        <is>
          <t>Interdisciplinary Group Project (FEEG6046)</t>
        </is>
      </c>
      <c r="E566" s="77" t="inlineStr">
        <is>
          <t>project; group; employer; status; credit</t>
        </is>
      </c>
      <c r="F566" s="77" t="inlineStr">
        <is>
          <t>https://www.southampton.ac.uk/courses/2026-27/modules/feeg6046</t>
        </is>
      </c>
      <c r="G566" s="77" t="inlineStr">
        <is>
          <t>2026-27 - FEEG6046 - Interdisciplinary Group Project</t>
        </is>
      </c>
      <c r="H566" s="77" t="inlineStr">
        <is>
          <t>Module overview</t>
        </is>
      </c>
      <c r="I566" s="77" t="inlineStr">
        <is>
          <t>2026-27</t>
        </is>
      </c>
      <c r="J566" s="77" t="inlineStr">
        <is>
          <t>2026-10-12</t>
        </is>
      </c>
      <c r="K566" s="77" t="inlineStr">
        <is>
          <t>search-summary paraphrase</t>
        </is>
      </c>
      <c r="L566" s="77" t="inlineStr">
        <is>
          <t>Teams of students will work together to address practical, real-world problems set by industry or government partners. Each team will have an academic supervisor and an industrial advisor... produce a 'demonstration'. Industrial partner required at mid-semester interim review.</t>
        </is>
      </c>
    </row>
    <row r="567">
      <c r="A567" s="77" t="inlineStr">
        <is>
          <t>RG21-S05-R2</t>
        </is>
      </c>
      <c r="B567" s="77" t="inlineStr">
        <is>
          <t>RG21</t>
        </is>
      </c>
      <c r="C567" s="77" t="inlineStr">
        <is>
          <t>RG21-S05</t>
        </is>
      </c>
      <c r="D567" s="77" t="inlineStr">
        <is>
          <t>Interdisciplinary Group Project (FEEG6046)</t>
        </is>
      </c>
      <c r="E567" s="77" t="inlineStr">
        <is>
          <t>status; participation; eligibility</t>
        </is>
      </c>
      <c r="F567" s="77" t="inlineStr">
        <is>
          <t>https://www.southampton.ac.uk/courses/2025-26/modules/feeg6046</t>
        </is>
      </c>
      <c r="G567" s="77" t="inlineStr">
        <is>
          <t>2025-26 - FEEG6046 - Interdisciplinary Group Project</t>
        </is>
      </c>
      <c r="H567" s="77" t="inlineStr">
        <is>
          <t>Module overview</t>
        </is>
      </c>
      <c r="I567" s="77" t="inlineStr">
        <is>
          <t>2025-26</t>
        </is>
      </c>
      <c r="J567" s="77" t="inlineStr">
        <is>
          <t>2026-10-12</t>
        </is>
      </c>
      <c r="K567" s="77" t="inlineStr">
        <is>
          <t>search-summary paraphrase</t>
        </is>
      </c>
      <c r="L567" s="77" t="inlineStr">
        <is>
          <t>Same description for 2025-26; module run by the CDT in Complex Integrated Systems for Defence and Security; compulsory, no referral.</t>
        </is>
      </c>
    </row>
    <row r="568">
      <c r="A568" s="77" t="inlineStr">
        <is>
          <t>RG21-S06-R1</t>
        </is>
      </c>
      <c r="B568" s="77" t="inlineStr">
        <is>
          <t>RG21</t>
        </is>
      </c>
      <c r="C568" s="77" t="inlineStr">
        <is>
          <t>RG21-S06</t>
        </is>
      </c>
      <c r="D568" s="77" t="inlineStr">
        <is>
          <t>Interdisciplinary Team Project (SUST6003)</t>
        </is>
      </c>
      <c r="E568" s="77" t="inlineStr">
        <is>
          <t>project; group; employer; status; participation</t>
        </is>
      </c>
      <c r="F568" s="77" t="inlineStr">
        <is>
          <t>https://www.southampton.ac.uk/courses/2025-26/modules/sust6003</t>
        </is>
      </c>
      <c r="G568" s="77" t="inlineStr">
        <is>
          <t>2025-26 - SUST6003 - Interdisciplinary Team Project</t>
        </is>
      </c>
      <c r="H568" s="77" t="inlineStr">
        <is>
          <t>Module overview</t>
        </is>
      </c>
      <c r="I568" s="77" t="inlineStr">
        <is>
          <t>2025-26</t>
        </is>
      </c>
      <c r="J568" s="77" t="inlineStr">
        <is>
          <t>2026-10-12</t>
        </is>
      </c>
      <c r="K568" s="77" t="inlineStr">
        <is>
          <t>search-summary paraphrase</t>
        </is>
      </c>
      <c r="L568" s="77" t="inlineStr">
        <is>
          <t>Teams of students will work together to address a practical, real-world sustainability problem set by industry and government partners. Each team gets an academic advisor and an industry advisor; combine sustainability with electronics and/or AI. Compulsory for the AI for Sustainability doctoral programme.</t>
        </is>
      </c>
    </row>
    <row r="569">
      <c r="A569" s="77" t="inlineStr">
        <is>
          <t>RG21-S07-R1</t>
        </is>
      </c>
      <c r="B569" s="77" t="inlineStr">
        <is>
          <t>RG21</t>
        </is>
      </c>
      <c r="C569" s="77" t="inlineStr">
        <is>
          <t>RG21-S07</t>
        </is>
      </c>
      <c r="D569" s="77" t="inlineStr">
        <is>
          <t>Interdisciplinary Team Project (MIND6003)</t>
        </is>
      </c>
      <c r="E569" s="77" t="inlineStr">
        <is>
          <t>project; group; employer</t>
        </is>
      </c>
      <c r="F569" s="77" t="inlineStr">
        <is>
          <t>https://www.southampton.ac.uk/courses/modules/mind6003</t>
        </is>
      </c>
      <c r="G569" s="77" t="inlineStr">
        <is>
          <t>Interdisciplinary Team Project (MIND6003)</t>
        </is>
      </c>
      <c r="H569" s="77" t="inlineStr">
        <is>
          <t>Module overview</t>
        </is>
      </c>
      <c r="I569" s="77" t="inlineStr">
        <is>
          <t>undated (module lead for 2023-24)</t>
        </is>
      </c>
      <c r="J569" s="77" t="inlineStr">
        <is>
          <t>2026-10-12</t>
        </is>
      </c>
      <c r="K569" s="77" t="inlineStr">
        <is>
          <t>search-summary paraphrase</t>
        </is>
      </c>
      <c r="L569" s="77" t="inlineStr">
        <is>
          <t>Teams work on a practical problem set by outside partners; each team has an academic and an industry advisor; solution combines electronics and AI; outcomes presented at a public DemoFest.</t>
        </is>
      </c>
    </row>
    <row r="570">
      <c r="A570" s="77" t="inlineStr">
        <is>
          <t>RG21-S07-R2</t>
        </is>
      </c>
      <c r="B570" s="77" t="inlineStr">
        <is>
          <t>RG21</t>
        </is>
      </c>
      <c r="C570" s="77" t="inlineStr">
        <is>
          <t>RG21-S07</t>
        </is>
      </c>
      <c r="D570" s="77" t="inlineStr">
        <is>
          <t>Interdisciplinary Team Project (MIND6003)</t>
        </is>
      </c>
      <c r="E570" s="77" t="inlineStr">
        <is>
          <t>employer</t>
        </is>
      </c>
      <c r="F570" s="77" t="inlineStr">
        <is>
          <t>https://www.southampton.ac.uk/news/2019/02/minds-cdt-ukri.page</t>
        </is>
      </c>
      <c r="G570" s="77" t="inlineStr">
        <is>
          <t>Southampton to lead in developing and delivering AI innovators of the future</t>
        </is>
      </c>
      <c r="H570" s="77" t="inlineStr">
        <is>
          <t>CDT news</t>
        </is>
      </c>
      <c r="I570" s="77" t="inlineStr">
        <is>
          <t>2019</t>
        </is>
      </c>
      <c r="J570" s="77" t="inlineStr">
        <is>
          <t>2026-10-12</t>
        </is>
      </c>
      <c r="K570" s="77" t="inlineStr">
        <is>
          <t>search-summary paraphrase</t>
        </is>
      </c>
      <c r="L570" s="77" t="inlineStr">
        <is>
          <t>CDT collaborators include Roke Manor, Thales, Intel and NXP Semiconductors (CDT-level, not module-specific).</t>
        </is>
      </c>
    </row>
    <row r="571">
      <c r="A571" s="77" t="inlineStr">
        <is>
          <t>RG21-S08-R1</t>
        </is>
      </c>
      <c r="B571" s="77" t="inlineStr">
        <is>
          <t>RG21</t>
        </is>
      </c>
      <c r="C571" s="77" t="inlineStr">
        <is>
          <t>RG21-S08</t>
        </is>
      </c>
      <c r="D571" s="77" t="inlineStr">
        <is>
          <t>Small Scale Research Projects (PSYC8042)</t>
        </is>
      </c>
      <c r="E571" s="77" t="inlineStr">
        <is>
          <t>project; group; employer; status; participation</t>
        </is>
      </c>
      <c r="F571" s="77" t="inlineStr">
        <is>
          <t>https://www.southampton.ac.uk/courses/2026-27/modules/psyc8042</t>
        </is>
      </c>
      <c r="G571" s="77" t="inlineStr">
        <is>
          <t>2026-27 - PSYC8042 - Small Scale Research Projects (SSRP)</t>
        </is>
      </c>
      <c r="H571" s="77" t="inlineStr">
        <is>
          <t>Module overview</t>
        </is>
      </c>
      <c r="I571" s="77" t="inlineStr">
        <is>
          <t>2026-27</t>
        </is>
      </c>
      <c r="J571" s="77" t="inlineStr">
        <is>
          <t>2026-10-12</t>
        </is>
      </c>
      <c r="K571" s="77" t="inlineStr">
        <is>
          <t>search-summary paraphrase</t>
        </is>
      </c>
      <c r="L571" s="77" t="inlineStr">
        <is>
          <t>Trainees work in small groups with a Local authority Partner and the module lead to think through the research design, methods, apply for ethics if appropriate, collect data and conduct analysis. Method and results sections are collaborative group work.</t>
        </is>
      </c>
    </row>
    <row r="572">
      <c r="A572" s="77" t="inlineStr">
        <is>
          <t>RG21-S08-R2</t>
        </is>
      </c>
      <c r="B572" s="77" t="inlineStr">
        <is>
          <t>RG21</t>
        </is>
      </c>
      <c r="C572" s="77" t="inlineStr">
        <is>
          <t>RG21-S08</t>
        </is>
      </c>
      <c r="D572" s="77" t="inlineStr">
        <is>
          <t>Small Scale Research Projects (PSYC8042)</t>
        </is>
      </c>
      <c r="E572" s="77" t="inlineStr">
        <is>
          <t>employer</t>
        </is>
      </c>
      <c r="F572" s="77" t="inlineStr">
        <is>
          <t>https://www.southampton.ac.uk/~assets/doc/Education/2022-23%20Ed_Psych_Academic%20Handbook%20v7_Angela%20Goodall.pdf</t>
        </is>
      </c>
      <c r="G572" s="77" t="inlineStr">
        <is>
          <t>Doctorate in Educational Psychology Academic Handbook 2022-23</t>
        </is>
      </c>
      <c r="H572" s="77" t="inlineStr">
        <is>
          <t>SSRP description</t>
        </is>
      </c>
      <c r="I572" s="77" t="inlineStr">
        <is>
          <t>2022-23</t>
        </is>
      </c>
      <c r="J572" s="77" t="inlineStr">
        <is>
          <t>2026-10-12</t>
        </is>
      </c>
      <c r="K572" s="77" t="inlineStr">
        <is>
          <t>search-summary paraphrase</t>
        </is>
      </c>
      <c r="L572" s="77" t="inlineStr">
        <is>
          <t>Collaborative projects set by the local authority; trainees work with a local authority EP and a University supervisor.</t>
        </is>
      </c>
    </row>
    <row r="573">
      <c r="A573" s="77" t="inlineStr">
        <is>
          <t>RG21-S09-R1</t>
        </is>
      </c>
      <c r="B573" s="77" t="inlineStr">
        <is>
          <t>RG21</t>
        </is>
      </c>
      <c r="C573" s="77" t="inlineStr">
        <is>
          <t>RG21-S09</t>
        </is>
      </c>
      <c r="D573" s="77" t="inlineStr">
        <is>
          <t>Group Design Project (FEEG6013)</t>
        </is>
      </c>
      <c r="E573" s="77" t="inlineStr">
        <is>
          <t>project; group; employer; credit</t>
        </is>
      </c>
      <c r="F573" s="77" t="inlineStr">
        <is>
          <t>https://www.southampton.ac.uk/courses/2028-29/modules/feeg6013</t>
        </is>
      </c>
      <c r="G573" s="77" t="inlineStr">
        <is>
          <t>2028-29 - FEEG6013 - Group Design Project</t>
        </is>
      </c>
      <c r="H573" s="77" t="inlineStr">
        <is>
          <t>Module overview</t>
        </is>
      </c>
      <c r="I573" s="77" t="inlineStr">
        <is>
          <t>2028-29 catalogue page</t>
        </is>
      </c>
      <c r="J573" s="77" t="inlineStr">
        <is>
          <t>2026-10-12</t>
        </is>
      </c>
      <c r="K573" s="77" t="inlineStr">
        <is>
          <t>search-summary paraphrase</t>
        </is>
      </c>
      <c r="L573" s="77" t="inlineStr">
        <is>
          <t>Groups meet regularly with their supervisor and any external sponsor; first-term presentation to supervisors, project coordinator or external industry sponsor; many projects have additional sponsorship from industry; final report, video and presentation in May.</t>
        </is>
      </c>
    </row>
    <row r="574">
      <c r="A574" s="77" t="inlineStr">
        <is>
          <t>RG21-S09-R2</t>
        </is>
      </c>
      <c r="B574" s="77" t="inlineStr">
        <is>
          <t>RG21</t>
        </is>
      </c>
      <c r="C574" s="77" t="inlineStr">
        <is>
          <t>RG21-S09</t>
        </is>
      </c>
      <c r="D574" s="77" t="inlineStr">
        <is>
          <t>Group Design Project (FEEG6013)</t>
        </is>
      </c>
      <c r="E574" s="77" t="inlineStr">
        <is>
          <t>employer</t>
        </is>
      </c>
      <c r="F574" s="77" t="inlineStr">
        <is>
          <t>https://www.southampton.ac.uk/courses/2026-27/modules/cheg6006</t>
        </is>
      </c>
      <c r="G574" s="77" t="inlineStr">
        <is>
          <t>2026-27 - CHEG6006 - Chemical Engineering Group Design Project</t>
        </is>
      </c>
      <c r="H574" s="77" t="inlineStr">
        <is>
          <t>Module overview</t>
        </is>
      </c>
      <c r="I574" s="77" t="inlineStr">
        <is>
          <t>2026-27</t>
        </is>
      </c>
      <c r="J574" s="77" t="inlineStr">
        <is>
          <t>2026-10-12</t>
        </is>
      </c>
      <c r="K574" s="77" t="inlineStr">
        <is>
          <t>search-summary paraphrase</t>
        </is>
      </c>
      <c r="L574" s="77" t="inlineStr">
        <is>
          <t>Notes that many projects have additional sponsorship from industry.</t>
        </is>
      </c>
    </row>
    <row r="575">
      <c r="A575" s="77" t="inlineStr">
        <is>
          <t>RG21-S10-R1</t>
        </is>
      </c>
      <c r="B575" s="77" t="inlineStr">
        <is>
          <t>RG21</t>
        </is>
      </c>
      <c r="C575" s="77" t="inlineStr">
        <is>
          <t>RG21-S10</t>
        </is>
      </c>
      <c r="D575" s="77" t="inlineStr">
        <is>
          <t>Group Design Project (ECSP6000 / ELEC6200)</t>
        </is>
      </c>
      <c r="E575" s="77" t="inlineStr">
        <is>
          <t>project; group; employer; credit</t>
        </is>
      </c>
      <c r="F575" s="77" t="inlineStr">
        <is>
          <t>https://www.southampton.ac.uk/courses/2028-29/modules/ecsp6000</t>
        </is>
      </c>
      <c r="G575" s="77" t="inlineStr">
        <is>
          <t>2028-29 - ECSP6000 - Group Design Project</t>
        </is>
      </c>
      <c r="H575" s="77" t="inlineStr">
        <is>
          <t>Module overview</t>
        </is>
      </c>
      <c r="I575" s="77" t="inlineStr">
        <is>
          <t>2028-29 catalogue page</t>
        </is>
      </c>
      <c r="J575" s="77" t="inlineStr">
        <is>
          <t>2026-10-12</t>
        </is>
      </c>
      <c r="K575" s="77" t="inlineStr">
        <is>
          <t>search-summary paraphrase</t>
        </is>
      </c>
      <c r="L575" s="77" t="inlineStr">
        <is>
          <t>Introduction to intensive group project work in collaboration with an industrial or academic customer; groups of at least four people; projects typically based on an idea from an industrial partner.</t>
        </is>
      </c>
    </row>
    <row r="576">
      <c r="A576" s="77" t="inlineStr">
        <is>
          <t>RG21-S10-R2</t>
        </is>
      </c>
      <c r="B576" s="77" t="inlineStr">
        <is>
          <t>RG21</t>
        </is>
      </c>
      <c r="C576" s="77" t="inlineStr">
        <is>
          <t>RG21-S10</t>
        </is>
      </c>
      <c r="D576" s="77" t="inlineStr">
        <is>
          <t>Group Design Project (ECSP6000 / ELEC6200)</t>
        </is>
      </c>
      <c r="E576" s="77" t="inlineStr">
        <is>
          <t>reach; eligibility</t>
        </is>
      </c>
      <c r="F576" s="77" t="inlineStr">
        <is>
          <t>https://www.southampton.ac.uk/courses/electronic-engineering-with-computer-systems-degree-meng</t>
        </is>
      </c>
      <c r="G576" s="77" t="inlineStr">
        <is>
          <t>H6G4 MEng Electronic Engineering with Computer Systems</t>
        </is>
      </c>
      <c r="H576" s="77" t="inlineStr">
        <is>
          <t>Course page</t>
        </is>
      </c>
      <c r="I576" s="77" t="inlineStr">
        <is>
          <t>undated (links 2026-27 course description)</t>
        </is>
      </c>
      <c r="J576" s="77" t="inlineStr">
        <is>
          <t>2026-10-12</t>
        </is>
      </c>
      <c r="K576" s="77" t="inlineStr">
        <is>
          <t>search-summary paraphrase</t>
        </is>
      </c>
      <c r="L576" s="77" t="inlineStr">
        <is>
          <t>Students work in groups of at least four people on a project typically based on an idea from an industrial partner.</t>
        </is>
      </c>
    </row>
    <row r="577">
      <c r="A577" s="77" t="inlineStr">
        <is>
          <t>RG21-S11-R1</t>
        </is>
      </c>
      <c r="B577" s="77" t="inlineStr">
        <is>
          <t>RG21</t>
        </is>
      </c>
      <c r="C577" s="77" t="inlineStr">
        <is>
          <t>RG21-S11</t>
        </is>
      </c>
      <c r="D577" s="77" t="inlineStr">
        <is>
          <t>Design (ELEC2300)</t>
        </is>
      </c>
      <c r="E577" s="77" t="inlineStr">
        <is>
          <t>project; group; employer; status</t>
        </is>
      </c>
      <c r="F577" s="77" t="inlineStr">
        <is>
          <t>https://www.southampton.ac.uk/courses/modules/elec2300</t>
        </is>
      </c>
      <c r="G577" s="77" t="inlineStr">
        <is>
          <t>2026-27 - ELEC2300 - Design</t>
        </is>
      </c>
      <c r="H577" s="77" t="inlineStr">
        <is>
          <t>Module overview</t>
        </is>
      </c>
      <c r="I577" s="77" t="inlineStr">
        <is>
          <t>2026-27</t>
        </is>
      </c>
      <c r="J577" s="77" t="inlineStr">
        <is>
          <t>2026-10-12</t>
        </is>
      </c>
      <c r="K577" s="77" t="inlineStr">
        <is>
          <t>search-summary paraphrase</t>
        </is>
      </c>
      <c r="L577" s="77" t="inlineStr">
        <is>
          <t>Student groups take on a design, build and test project against a predefined specification; a demonstration event enables judges selected from industry to evaluate the construction, functionality and capability of the designs.</t>
        </is>
      </c>
    </row>
    <row r="578">
      <c r="A578" s="77" t="inlineStr">
        <is>
          <t>RG21-S12-R1</t>
        </is>
      </c>
      <c r="B578" s="77" t="inlineStr">
        <is>
          <t>RG21</t>
        </is>
      </c>
      <c r="C578" s="77" t="inlineStr">
        <is>
          <t>RG21-S12</t>
        </is>
      </c>
      <c r="D578" s="77" t="inlineStr">
        <is>
          <t>The Sustainability Professional (MSc) (GGES6008)</t>
        </is>
      </c>
      <c r="E578" s="77" t="inlineStr">
        <is>
          <t>project; group; employer; status</t>
        </is>
      </c>
      <c r="F578" s="77" t="inlineStr">
        <is>
          <t>https://www.southampton.ac.uk/courses/2026-27/modules/gges6008</t>
        </is>
      </c>
      <c r="G578" s="77" t="inlineStr">
        <is>
          <t>2026-27 - GGES6008 - The Sustainability Professional (MSc)</t>
        </is>
      </c>
      <c r="H578" s="77" t="inlineStr">
        <is>
          <t>Module overview</t>
        </is>
      </c>
      <c r="I578" s="77" t="inlineStr">
        <is>
          <t>2026-27</t>
        </is>
      </c>
      <c r="J578" s="77" t="inlineStr">
        <is>
          <t>2026-10-12</t>
        </is>
      </c>
      <c r="K578" s="77" t="inlineStr">
        <is>
          <t>search-summary paraphrase</t>
        </is>
      </c>
      <c r="L578" s="77" t="inlineStr">
        <is>
          <t>Run with a range of local and regional environmental and sustainability consultancies; students work in groups to submit one full consultancy report as the primary assessment.</t>
        </is>
      </c>
    </row>
    <row r="579">
      <c r="A579" s="77" t="inlineStr">
        <is>
          <t>RG21-S13-R1</t>
        </is>
      </c>
      <c r="B579" s="77" t="inlineStr">
        <is>
          <t>RG21</t>
        </is>
      </c>
      <c r="C579" s="77" t="inlineStr">
        <is>
          <t>RG21-S13</t>
        </is>
      </c>
      <c r="D579" s="77" t="inlineStr">
        <is>
          <t>Collaborate (Creative Computing) (ARTD2145)</t>
        </is>
      </c>
      <c r="E579" s="77" t="inlineStr">
        <is>
          <t>project; group; employer; status; participation</t>
        </is>
      </c>
      <c r="F579" s="77" t="inlineStr">
        <is>
          <t>https://www.southampton.ac.uk/courses/2026-27/modules/artd2145</t>
        </is>
      </c>
      <c r="G579" s="77" t="inlineStr">
        <is>
          <t>2026-27 - ARTD2145 - Collaborate (Creative Computing)</t>
        </is>
      </c>
      <c r="H579" s="77" t="inlineStr">
        <is>
          <t>Module overview</t>
        </is>
      </c>
      <c r="I579" s="77" t="inlineStr">
        <is>
          <t>2026-27</t>
        </is>
      </c>
      <c r="J579" s="77" t="inlineStr">
        <is>
          <t>2026-10-12</t>
        </is>
      </c>
      <c r="K579" s="77" t="inlineStr">
        <is>
          <t>search-summary paraphrase</t>
        </is>
      </c>
      <c r="L579" s="77" t="inlineStr">
        <is>
          <t>Students will collaborate with students and/or practitioners from other disciplines or be set briefs from professional partners in the creative and cultural industries.</t>
        </is>
      </c>
    </row>
    <row r="580">
      <c r="A580" s="77" t="inlineStr">
        <is>
          <t>RG21-S14-R1</t>
        </is>
      </c>
      <c r="B580" s="77" t="inlineStr">
        <is>
          <t>RG21</t>
        </is>
      </c>
      <c r="C580" s="77" t="inlineStr">
        <is>
          <t>RG21-S14</t>
        </is>
      </c>
      <c r="D580" s="77" t="inlineStr">
        <is>
          <t>Advertising and Branding in Action (ARTD6240)</t>
        </is>
      </c>
      <c r="E580" s="77" t="inlineStr">
        <is>
          <t>project; employer; status</t>
        </is>
      </c>
      <c r="F580" s="77" t="inlineStr">
        <is>
          <t>https://www.southampton.ac.uk/courses/2026-27/modules/artd6240</t>
        </is>
      </c>
      <c r="G580" s="77" t="inlineStr">
        <is>
          <t>2026-27 - ARTD6240 - Advertising and Branding in Action</t>
        </is>
      </c>
      <c r="H580" s="77" t="inlineStr">
        <is>
          <t>Module overview</t>
        </is>
      </c>
      <c r="I580" s="77" t="inlineStr">
        <is>
          <t>2026-27</t>
        </is>
      </c>
      <c r="J580" s="77" t="inlineStr">
        <is>
          <t>2026-10-12</t>
        </is>
      </c>
      <c r="K580" s="77" t="inlineStr">
        <is>
          <t>search-summary paraphrase</t>
        </is>
      </c>
      <c r="L580" s="77" t="inlineStr">
        <is>
          <t>Students work to live briefs, acting in agency or in-house strategic account management roles; real client briefs in a simulated agency environment.</t>
        </is>
      </c>
    </row>
    <row r="581">
      <c r="A581" s="77" t="inlineStr">
        <is>
          <t>RG21-S15-R1</t>
        </is>
      </c>
      <c r="B581" s="77" t="inlineStr">
        <is>
          <t>RG21</t>
        </is>
      </c>
      <c r="C581" s="77" t="inlineStr">
        <is>
          <t>RG21-S15</t>
        </is>
      </c>
      <c r="D581" s="77" t="inlineStr">
        <is>
          <t>Industry Consultancy Projects (Centre for Risk Research)</t>
        </is>
      </c>
      <c r="E581" s="77" t="inlineStr">
        <is>
          <t>project</t>
        </is>
      </c>
      <c r="F581" s="77" t="inlineStr">
        <is>
          <t>https://www.southampton.ac.uk/research/institutes-centres/centre-for-risk-research-crr/industry-consultancy-projects</t>
        </is>
      </c>
      <c r="G581" s="77" t="inlineStr">
        <is>
          <t>Industry Consultancy Projects (CRR)</t>
        </is>
      </c>
      <c r="H581" s="77" t="inlineStr">
        <is>
          <t>Page</t>
        </is>
      </c>
      <c r="I581" s="77" t="inlineStr">
        <is>
          <t>undated</t>
        </is>
      </c>
      <c r="J581" s="77" t="inlineStr">
        <is>
          <t>2026-10-12</t>
        </is>
      </c>
      <c r="K581" s="77" t="inlineStr">
        <is>
          <t>not retrieved (URL from legacy file)</t>
        </is>
      </c>
      <c r="L581" s="77" t="inlineStr">
        <is>
          <t>Page exists in legacy research; search tool returned only a link, no extract.</t>
        </is>
      </c>
    </row>
    <row r="582">
      <c r="A582" s="77" t="inlineStr">
        <is>
          <t>RG21-S15-R2</t>
        </is>
      </c>
      <c r="B582" s="77" t="inlineStr">
        <is>
          <t>RG21</t>
        </is>
      </c>
      <c r="C582" s="77" t="inlineStr">
        <is>
          <t>RG21-S15</t>
        </is>
      </c>
      <c r="D582" s="77" t="inlineStr">
        <is>
          <t>Industry Consultancy Projects (Centre for Risk Research)</t>
        </is>
      </c>
      <c r="E582" s="77" t="inlineStr">
        <is>
          <t>employer</t>
        </is>
      </c>
      <c r="F582" s="77" t="inlineStr">
        <is>
          <t>https://www.southampton.ac.uk/research/institutes-centres/centre-for-risk-research-crr/news-events</t>
        </is>
      </c>
      <c r="G582" s="77" t="inlineStr">
        <is>
          <t>CRR News and Events</t>
        </is>
      </c>
      <c r="H582" s="77" t="inlineStr">
        <is>
          <t>News</t>
        </is>
      </c>
      <c r="I582" s="77" t="inlineStr">
        <is>
          <t>undated</t>
        </is>
      </c>
      <c r="J582" s="77" t="inlineStr">
        <is>
          <t>2026-10-12</t>
        </is>
      </c>
      <c r="K582" s="77" t="inlineStr">
        <is>
          <t>search-summary paraphrase</t>
        </is>
      </c>
      <c r="L582" s="77" t="inlineStr">
        <is>
          <t>Headline: 'The CRR grows its industry-led dissertation projects'.</t>
        </is>
      </c>
    </row>
    <row r="583">
      <c r="A583" s="77" t="inlineStr">
        <is>
          <t>RG22-S01-R1</t>
        </is>
      </c>
      <c r="B583" s="77" t="inlineStr">
        <is>
          <t>RG22</t>
        </is>
      </c>
      <c r="C583" s="77" t="inlineStr">
        <is>
          <t>RG22-S01</t>
        </is>
      </c>
      <c r="D583" s="77" t="inlineStr">
        <is>
          <t>Systems Engineering (COMP0016) - UCL IXN team project</t>
        </is>
      </c>
      <c r="E583" s="77" t="inlineStr">
        <is>
          <t>project; group; employer; credit; eligibility</t>
        </is>
      </c>
      <c r="F583" s="77" t="inlineStr">
        <is>
          <t>https://www.ucl.ac.uk/module-catalogue/modules/systems-engineering/COMP0016</t>
        </is>
      </c>
      <c r="G583" s="77" t="inlineStr">
        <is>
          <t>Systems Engineering (COMP0016)</t>
        </is>
      </c>
      <c r="H583" s="77" t="inlineStr">
        <is>
          <t>Module catalogue entry (page updated 10 Mar 2026)</t>
        </is>
      </c>
      <c r="I583" s="77" t="inlineStr">
        <is>
          <t>2026/27 entry</t>
        </is>
      </c>
      <c r="J583" s="77" t="inlineStr">
        <is>
          <t>2026-10-12</t>
        </is>
      </c>
      <c r="K583" s="77" t="inlineStr">
        <is>
          <t>search-index extract</t>
        </is>
      </c>
      <c r="L583" s="77" t="inlineStr">
        <is>
          <t>30-credit Level 5 module: groups build a proof-of-concept design and prototype implementation for requirements from an external partner; each group allocated a different project and meets regularly with the external partner; 100% group activity assessment; restricted to BSc/MEng Computer Science.</t>
        </is>
      </c>
    </row>
    <row r="584">
      <c r="A584" s="77" t="inlineStr">
        <is>
          <t>RG22-S01-R2</t>
        </is>
      </c>
      <c r="B584" s="77" t="inlineStr">
        <is>
          <t>RG22</t>
        </is>
      </c>
      <c r="C584" s="77" t="inlineStr">
        <is>
          <t>RG22-S01</t>
        </is>
      </c>
      <c r="D584" s="77" t="inlineStr">
        <is>
          <t>Systems Engineering (COMP0016) - UCL IXN team project</t>
        </is>
      </c>
      <c r="E584" s="77" t="inlineStr">
        <is>
          <t>employer; group; participation</t>
        </is>
      </c>
      <c r="F584" s="77" t="inlineStr">
        <is>
          <t>https://www.ucl.ac.uk/study/prospective-students/undergraduate/courses/computer-science-bsc</t>
        </is>
      </c>
      <c r="G584" s="77" t="inlineStr">
        <is>
          <t>Computer Science BSc</t>
        </is>
      </c>
      <c r="H584" s="77" t="inlineStr">
        <is>
          <t>Course page</t>
        </is>
      </c>
      <c r="I584" s="77" t="inlineStr">
        <is>
          <t>undated</t>
        </is>
      </c>
      <c r="J584" s="77" t="inlineStr">
        <is>
          <t>2026-10-12</t>
        </is>
      </c>
      <c r="K584" s="77" t="inlineStr">
        <is>
          <t>search-index extract</t>
        </is>
      </c>
      <c r="L584" s="77" t="inlineStr">
        <is>
          <t>'You'll also complete a team project set by one of our industry partners as part of the Industry Exchange Network (IXN).'</t>
        </is>
      </c>
    </row>
    <row r="585">
      <c r="A585" s="77" t="inlineStr">
        <is>
          <t>RG22-S01-R3</t>
        </is>
      </c>
      <c r="B585" s="77" t="inlineStr">
        <is>
          <t>RG22</t>
        </is>
      </c>
      <c r="C585" s="77" t="inlineStr">
        <is>
          <t>RG22-S01</t>
        </is>
      </c>
      <c r="D585" s="77" t="inlineStr">
        <is>
          <t>Systems Engineering (COMP0016) - UCL IXN team project</t>
        </is>
      </c>
      <c r="E585" s="77" t="inlineStr">
        <is>
          <t>status</t>
        </is>
      </c>
      <c r="F585" s="77" t="inlineStr">
        <is>
          <t>https://www.ucl.ac.uk/engineering/news/2026/jan/ucl-computer-science-students-work-schools-tackle-recycling-challenges</t>
        </is>
      </c>
      <c r="G585" s="77" t="inlineStr">
        <is>
          <t>UCL Computer Science students work with schools to tackle recycling challenges</t>
        </is>
      </c>
      <c r="H585" s="77" t="inlineStr">
        <is>
          <t>News, Jan 2026</t>
        </is>
      </c>
      <c r="I585" s="77" t="inlineStr">
        <is>
          <t>2026</t>
        </is>
      </c>
      <c r="J585" s="77" t="inlineStr">
        <is>
          <t>2026-10-12</t>
        </is>
      </c>
      <c r="K585" s="77" t="inlineStr">
        <is>
          <t>search-index extract</t>
        </is>
      </c>
      <c r="L585" s="77" t="inlineStr">
        <is>
          <t>Second-year COMP0016 students (2025/26 cohort) worked on a project with Tower Hamlets schools / Recycling Lab partners (an outreach variant, not a standard client brief).</t>
        </is>
      </c>
    </row>
    <row r="586">
      <c r="A586" s="77" t="inlineStr">
        <is>
          <t>RG22-S01-R4</t>
        </is>
      </c>
      <c r="B586" s="77" t="inlineStr">
        <is>
          <t>RG22</t>
        </is>
      </c>
      <c r="C586" s="77" t="inlineStr">
        <is>
          <t>RG22-S01</t>
        </is>
      </c>
      <c r="D586" s="77" t="inlineStr">
        <is>
          <t>Systems Engineering (COMP0016) - UCL IXN team project</t>
        </is>
      </c>
      <c r="E586" s="77" t="inlineStr">
        <is>
          <t>group; participation</t>
        </is>
      </c>
      <c r="F586" s="77" t="inlineStr">
        <is>
          <t>https://www.ucl.ac.uk/computer-science/collaborate/ucl-industry-exchange-network-ucl-ixn/frequently-asked-questions</t>
        </is>
      </c>
      <c r="G586" s="77" t="inlineStr">
        <is>
          <t>UCL IXN FAQ</t>
        </is>
      </c>
      <c r="H586" s="77" t="inlineStr">
        <is>
          <t>FAQ</t>
        </is>
      </c>
      <c r="I586" s="77" t="inlineStr">
        <is>
          <t>undated (c. 5 years old)</t>
        </is>
      </c>
      <c r="J586" s="77" t="inlineStr">
        <is>
          <t>2026-10-12</t>
        </is>
      </c>
      <c r="K586" s="77" t="inlineStr">
        <is>
          <t>search-index extract</t>
        </is>
      </c>
      <c r="L586" s="77" t="inlineStr">
        <is>
          <t>In the second year there are IXN group projects and in the final year individual projects, each taking approximately 25% of learning time.</t>
        </is>
      </c>
    </row>
    <row r="587">
      <c r="A587" s="77" t="inlineStr">
        <is>
          <t>RG22-S02-R1</t>
        </is>
      </c>
      <c r="B587" s="77" t="inlineStr">
        <is>
          <t>RG22</t>
        </is>
      </c>
      <c r="C587" s="77" t="inlineStr">
        <is>
          <t>RG22-S02</t>
        </is>
      </c>
      <c r="D587" s="77" t="inlineStr">
        <is>
          <t>Industry supervised MSc &amp; Undergraduate projects (EEE-IXN) - final-year team projects</t>
        </is>
      </c>
      <c r="E587" s="77" t="inlineStr">
        <is>
          <t>project; group; employer; status</t>
        </is>
      </c>
      <c r="F587" s="77" t="inlineStr">
        <is>
          <t>https://www.ucl.ac.uk/electronic-electrical-engineering/collaborate/industry-supervised-msc-undergraduate-projects</t>
        </is>
      </c>
      <c r="G587" s="77" t="inlineStr">
        <is>
          <t>Industry supervised MSc &amp; Undergraduate projects</t>
        </is>
      </c>
      <c r="H587" s="77" t="inlineStr">
        <is>
          <t>Partner guidance</t>
        </is>
      </c>
      <c r="I587" s="77" t="inlineStr">
        <is>
          <t>2025/26 timeline shown</t>
        </is>
      </c>
      <c r="J587" s="77" t="inlineStr">
        <is>
          <t>2026-10-12</t>
        </is>
      </c>
      <c r="K587" s="77" t="inlineStr">
        <is>
          <t>search-index extract</t>
        </is>
      </c>
      <c r="L587" s="77" t="inlineStr">
        <is>
          <t>Fourth-year projects should be team projects of typically 4 or 5 students, interdependence expected; company names lead contact and mentors; student liaison officer; proof of concept not for deployment; undergraduate brief deadline 30 March 2025 with project work Oct 2025 to Mar 2026.</t>
        </is>
      </c>
    </row>
    <row r="588">
      <c r="A588" s="77" t="inlineStr">
        <is>
          <t>RG22-S02-R2</t>
        </is>
      </c>
      <c r="B588" s="77" t="inlineStr">
        <is>
          <t>RG22</t>
        </is>
      </c>
      <c r="C588" s="77" t="inlineStr">
        <is>
          <t>RG22-S02</t>
        </is>
      </c>
      <c r="D588" s="77" t="inlineStr">
        <is>
          <t>Industry supervised MSc &amp; Undergraduate projects (EEE-IXN) - final-year team projects</t>
        </is>
      </c>
      <c r="E588" s="77" t="inlineStr">
        <is>
          <t>project; group</t>
        </is>
      </c>
      <c r="F588" s="77" t="inlineStr">
        <is>
          <t>https://www.ucl.ac.uk/engineering/centre-for-engineering-education/study/integrated-engineering-programme/scenario-weeks</t>
        </is>
      </c>
      <c r="G588" s="77" t="inlineStr">
        <is>
          <t>Scenario weeks / IEP</t>
        </is>
      </c>
      <c r="H588" s="77" t="inlineStr">
        <is>
          <t>IEP pages</t>
        </is>
      </c>
      <c r="I588" s="77" t="inlineStr">
        <is>
          <t>undated</t>
        </is>
      </c>
      <c r="J588" s="77" t="inlineStr">
        <is>
          <t>2026-10-12</t>
        </is>
      </c>
      <c r="K588" s="77" t="inlineStr">
        <is>
          <t>search-summary paraphrase</t>
        </is>
      </c>
      <c r="L588" s="77" t="inlineStr">
        <is>
          <t>Summary of search result: fourth-year EEE undergraduates do a six-month part-time team project via IXN.</t>
        </is>
      </c>
    </row>
    <row r="589">
      <c r="A589" s="77" t="inlineStr">
        <is>
          <t>RG22-S03-R1</t>
        </is>
      </c>
      <c r="B589" s="77" t="inlineStr">
        <is>
          <t>RG22</t>
        </is>
      </c>
      <c r="C589" s="77" t="inlineStr">
        <is>
          <t>RG22-S03</t>
        </is>
      </c>
      <c r="D589" s="77" t="inlineStr">
        <is>
          <t>Integrated Engineering Programme (IEP)</t>
        </is>
      </c>
      <c r="E589" s="77" t="inlineStr">
        <is>
          <t>project; group</t>
        </is>
      </c>
      <c r="F589" s="77" t="inlineStr">
        <is>
          <t>https://www.ucl.ac.uk/engineering/centre-for-engineering-education/study/integrated-engineering-programme</t>
        </is>
      </c>
      <c r="G589" s="77" t="inlineStr">
        <is>
          <t>Integrated Engineering Programme</t>
        </is>
      </c>
      <c r="H589" s="77" t="inlineStr">
        <is>
          <t>IEP overview</t>
        </is>
      </c>
      <c r="I589" s="77" t="inlineStr">
        <is>
          <t>undated</t>
        </is>
      </c>
      <c r="J589" s="77" t="inlineStr">
        <is>
          <t>2026-10-12</t>
        </is>
      </c>
      <c r="K589" s="77" t="inlineStr">
        <is>
          <t>search-summary paraphrase</t>
        </is>
      </c>
      <c r="L589" s="77" t="inlineStr">
        <is>
          <t>IEP comprises Scenario weeks and How to Change the World as team-based projects.</t>
        </is>
      </c>
    </row>
    <row r="590">
      <c r="A590" s="77" t="inlineStr">
        <is>
          <t>RG22-S04-R1</t>
        </is>
      </c>
      <c r="B590" s="77" t="inlineStr">
        <is>
          <t>RG22</t>
        </is>
      </c>
      <c r="C590" s="77" t="inlineStr">
        <is>
          <t>RG22-S04</t>
        </is>
      </c>
      <c r="D590" s="77" t="inlineStr">
        <is>
          <t>IEP Scenario weeks</t>
        </is>
      </c>
      <c r="E590" s="77" t="inlineStr">
        <is>
          <t>project; group; employer</t>
        </is>
      </c>
      <c r="F590" s="77" t="inlineStr">
        <is>
          <t>https://www.ucl.ac.uk/engineering/centre-for-engineering-education/study/integrated-engineering-programme/scenario-weeks</t>
        </is>
      </c>
      <c r="G590" s="77" t="inlineStr">
        <is>
          <t>Scenario weeks</t>
        </is>
      </c>
      <c r="H590" s="77" t="inlineStr">
        <is>
          <t>IEP pages</t>
        </is>
      </c>
      <c r="I590" s="77" t="inlineStr">
        <is>
          <t>undated</t>
        </is>
      </c>
      <c r="J590" s="77" t="inlineStr">
        <is>
          <t>2026-10-12</t>
        </is>
      </c>
      <c r="K590" s="77" t="inlineStr">
        <is>
          <t>search-index extract</t>
        </is>
      </c>
      <c r="L590" s="77" t="inlineStr">
        <is>
          <t>Scenario weeks are intensive project-based learning; each department runs its own; some occasionally collaborate with industry (start-ups to established companies), third-sector professionals and/or regional communities.</t>
        </is>
      </c>
    </row>
    <row r="591">
      <c r="A591" s="77" t="inlineStr">
        <is>
          <t>RG22-S05-R1</t>
        </is>
      </c>
      <c r="B591" s="77" t="inlineStr">
        <is>
          <t>RG22</t>
        </is>
      </c>
      <c r="C591" s="77" t="inlineStr">
        <is>
          <t>RG22-S05</t>
        </is>
      </c>
      <c r="D591" s="77" t="inlineStr">
        <is>
          <t>How to Change the World (IEP)</t>
        </is>
      </c>
      <c r="E591" s="77" t="inlineStr">
        <is>
          <t>project; group; employer; eligibility</t>
        </is>
      </c>
      <c r="F591" s="77" t="inlineStr">
        <is>
          <t>https://www.ucl.ac.uk/engineering/centre-for-engineering-education/study/integrated-engineering-programme/how-change-world</t>
        </is>
      </c>
      <c r="G591" s="77" t="inlineStr">
        <is>
          <t>How to Change the World</t>
        </is>
      </c>
      <c r="H591" s="77" t="inlineStr">
        <is>
          <t>IEP page</t>
        </is>
      </c>
      <c r="I591" s="77" t="inlineStr">
        <is>
          <t>undated</t>
        </is>
      </c>
      <c r="J591" s="77" t="inlineStr">
        <is>
          <t>2026-10-12</t>
        </is>
      </c>
      <c r="K591" s="77" t="inlineStr">
        <is>
          <t>search-summary paraphrase</t>
        </is>
      </c>
      <c r="L591" s="77" t="inlineStr">
        <is>
          <t>Two-week project at end of Year 2; teams of up to six disciplines; supported by industrial partners; pitch to panel; external partners incl. DfT, ARUP, EWB UK, Motorola Solutions, Lloyds Banking Group.</t>
        </is>
      </c>
    </row>
    <row r="592">
      <c r="A592" s="77" t="inlineStr">
        <is>
          <t>RG22-S05-R2</t>
        </is>
      </c>
      <c r="B592" s="77" t="inlineStr">
        <is>
          <t>RG22</t>
        </is>
      </c>
      <c r="C592" s="77" t="inlineStr">
        <is>
          <t>RG22-S05</t>
        </is>
      </c>
      <c r="D592" s="77" t="inlineStr">
        <is>
          <t>How to Change the World (IEP)</t>
        </is>
      </c>
      <c r="E592" s="77" t="inlineStr">
        <is>
          <t>status</t>
        </is>
      </c>
      <c r="F592" s="77" t="inlineStr">
        <is>
          <t>https://www.ucl.ac.uk/engineering/news/2025/nov/ucl-chemical-engineering-students-shine-2025-cee-fes-education-awards</t>
        </is>
      </c>
      <c r="G592" s="77" t="inlineStr">
        <is>
          <t>UCL Chemical Engineering Students Shine at 2025 CEE-FES Education Awards</t>
        </is>
      </c>
      <c r="H592" s="77" t="inlineStr">
        <is>
          <t>News, Nov 2025</t>
        </is>
      </c>
      <c r="I592" s="77" t="inlineStr">
        <is>
          <t>2025</t>
        </is>
      </c>
      <c r="J592" s="77" t="inlineStr">
        <is>
          <t>2026-10-12</t>
        </is>
      </c>
      <c r="K592" s="77" t="inlineStr">
        <is>
          <t>search-summary paraphrase</t>
        </is>
      </c>
      <c r="L592" s="77" t="inlineStr">
        <is>
          <t>Chemical Engineering students were part of interdisciplinary winning teams in the How to Change the World Student Awards.</t>
        </is>
      </c>
    </row>
    <row r="593">
      <c r="A593" s="77" t="inlineStr">
        <is>
          <t>RG22-S06-R1</t>
        </is>
      </c>
      <c r="B593" s="77" t="inlineStr">
        <is>
          <t>RG22</t>
        </is>
      </c>
      <c r="C593" s="77" t="inlineStr">
        <is>
          <t>RG22-S06</t>
        </is>
      </c>
      <c r="D593" s="77" t="inlineStr">
        <is>
          <t>Building a Better Future (BABF) consultancy project</t>
        </is>
      </c>
      <c r="E593" s="77" t="inlineStr">
        <is>
          <t>project; group; employer; status; eligibility</t>
        </is>
      </c>
      <c r="F593" s="77" t="inlineStr">
        <is>
          <t>https://www.ucl.ac.uk/bartlett/news/2026/jul/bartlett-students-gain-industry-experience-through-building-better-future-consultancy-project</t>
        </is>
      </c>
      <c r="G593" s="77" t="inlineStr">
        <is>
          <t>Bartlett students gain industry experience through 'Building a Better Future' consultancy project</t>
        </is>
      </c>
      <c r="H593" s="77" t="inlineStr">
        <is>
          <t>News, Jul 2026</t>
        </is>
      </c>
      <c r="I593" s="77" t="inlineStr">
        <is>
          <t>2026</t>
        </is>
      </c>
      <c r="J593" s="77" t="inlineStr">
        <is>
          <t>2026-10-12</t>
        </is>
      </c>
      <c r="K593" s="77" t="inlineStr">
        <is>
          <t>search-index extract</t>
        </is>
      </c>
      <c r="L593" s="77" t="inlineStr">
        <is>
          <t>83 students in third edition; students ranked partner organisations and were assigned to teams of five to eight; briefs set by AtkinsRealis, Buro Happold, Hereworks UK, Turner &amp; Townsend, Gensler, LB Islington and Sutton; 10-minute presentation with Q&amp;A to judging panel and host organisations.</t>
        </is>
      </c>
    </row>
    <row r="594">
      <c r="A594" s="77" t="inlineStr">
        <is>
          <t>RG22-S06-R2</t>
        </is>
      </c>
      <c r="B594" s="77" t="inlineStr">
        <is>
          <t>RG22</t>
        </is>
      </c>
      <c r="C594" s="77" t="inlineStr">
        <is>
          <t>RG22-S06</t>
        </is>
      </c>
      <c r="D594" s="77" t="inlineStr">
        <is>
          <t>Building a Better Future (BABF) consultancy project</t>
        </is>
      </c>
      <c r="E594" s="77" t="inlineStr">
        <is>
          <t>status; eligibility; duration</t>
        </is>
      </c>
      <c r="F594" s="77" t="inlineStr">
        <is>
          <t>https://www.ucl.ac.uk/study/current-students/academic-support-and-skills/extended-learning/202526-programme/supercharge-your-career</t>
        </is>
      </c>
      <c r="G594" s="77" t="inlineStr">
        <is>
          <t>Supercharge your Career (ExtendED 2025/26)</t>
        </is>
      </c>
      <c r="H594" s="77" t="inlineStr">
        <is>
          <t>Programme listing</t>
        </is>
      </c>
      <c r="I594" s="77" t="inlineStr">
        <is>
          <t>2025/26</t>
        </is>
      </c>
      <c r="J594" s="77" t="inlineStr">
        <is>
          <t>2026-10-12</t>
        </is>
      </c>
      <c r="K594" s="77" t="inlineStr">
        <is>
          <t>search-summary paraphrase</t>
        </is>
      </c>
      <c r="L594" s="77" t="inlineStr">
        <is>
          <t>Listing gives 1-17 June 2026 and states activity open only to Bartlett students (per search summary).</t>
        </is>
      </c>
    </row>
    <row r="595">
      <c r="A595" s="77" t="inlineStr">
        <is>
          <t>RG22-S07-R1</t>
        </is>
      </c>
      <c r="B595" s="77" t="inlineStr">
        <is>
          <t>RG22</t>
        </is>
      </c>
      <c r="C595" s="77" t="inlineStr">
        <is>
          <t>RG22-S07</t>
        </is>
      </c>
      <c r="D595" s="77" t="inlineStr">
        <is>
          <t>International Industry Challenges (Practera Nano Projects) - ExtendED Learning</t>
        </is>
      </c>
      <c r="E595" s="77" t="inlineStr">
        <is>
          <t>project; group; employer; status; duration</t>
        </is>
      </c>
      <c r="F595" s="77" t="inlineStr">
        <is>
          <t>https://www.ucl.ac.uk/study/current-students/academic-support-and-skills/extended-learning/202526-programme/supercharge-your-career</t>
        </is>
      </c>
      <c r="G595" s="77" t="inlineStr">
        <is>
          <t>Supercharge your Career (ExtendED 2025/26)</t>
        </is>
      </c>
      <c r="H595" s="77" t="inlineStr">
        <is>
          <t>International Industry Challenges</t>
        </is>
      </c>
      <c r="I595" s="77" t="inlineStr">
        <is>
          <t>2025/26</t>
        </is>
      </c>
      <c r="J595" s="77" t="inlineStr">
        <is>
          <t>2026-10-12</t>
        </is>
      </c>
      <c r="K595" s="77" t="inlineStr">
        <is>
          <t>search-summary paraphrase</t>
        </is>
      </c>
      <c r="L595" s="77" t="inlineStr">
        <is>
          <t>Teams respond to a single challenge/brief provided by a real international industry partner, meet clients at a briefing session, mid-project Q&amp;A, finish with pitch and client feedback; ran 26 May-15 June 2026, 25 hours.</t>
        </is>
      </c>
    </row>
    <row r="596">
      <c r="A596" s="77" t="inlineStr">
        <is>
          <t>RG22-S07-R2</t>
        </is>
      </c>
      <c r="B596" s="77" t="inlineStr">
        <is>
          <t>RG22</t>
        </is>
      </c>
      <c r="C596" s="77" t="inlineStr">
        <is>
          <t>RG22-S07</t>
        </is>
      </c>
      <c r="D596" s="77" t="inlineStr">
        <is>
          <t>International Industry Challenges (Practera Nano Projects) - ExtendED Learning</t>
        </is>
      </c>
      <c r="E596" s="77" t="inlineStr">
        <is>
          <t>employer; eligibility</t>
        </is>
      </c>
      <c r="F596" s="77" t="inlineStr">
        <is>
          <t>https://www.ucl.ac.uk/careers/events/2025/apr/nano-projects-industry-challenge-teams-information-session</t>
        </is>
      </c>
      <c r="G596" s="77" t="inlineStr">
        <is>
          <t>Nano Projects: Industry Challenge - Teams Information Session</t>
        </is>
      </c>
      <c r="H596" s="77" t="inlineStr">
        <is>
          <t>Event page</t>
        </is>
      </c>
      <c r="I596" s="77" t="inlineStr">
        <is>
          <t>2025</t>
        </is>
      </c>
      <c r="J596" s="77" t="inlineStr">
        <is>
          <t>2026-10-12</t>
        </is>
      </c>
      <c r="K596" s="77" t="inlineStr">
        <is>
          <t>search-summary paraphrase</t>
        </is>
      </c>
      <c r="L596" s="77" t="inlineStr">
        <is>
          <t>Briefs sourced from real-world organisations by delivery partner Practera; up to 150 spots; some places reserved for Careers Extra students.</t>
        </is>
      </c>
    </row>
    <row r="597">
      <c r="A597" s="77" t="inlineStr">
        <is>
          <t>RG22-S07-R3</t>
        </is>
      </c>
      <c r="B597" s="77" t="inlineStr">
        <is>
          <t>RG22</t>
        </is>
      </c>
      <c r="C597" s="77" t="inlineStr">
        <is>
          <t>RG22-S07</t>
        </is>
      </c>
      <c r="D597" s="77" t="inlineStr">
        <is>
          <t>International Industry Challenges (Practera Nano Projects) - ExtendED Learning</t>
        </is>
      </c>
      <c r="E597" s="77" t="inlineStr">
        <is>
          <t>reach; eligibility</t>
        </is>
      </c>
      <c r="F597" s="77" t="inlineStr">
        <is>
          <t>https://www.ucl.ac.uk/news/2025/oct/register-your-interest-now-term-3-skills-development-programme</t>
        </is>
      </c>
      <c r="G597" s="77" t="inlineStr">
        <is>
          <t>Register your interest now for Term 3 skills development programme</t>
        </is>
      </c>
      <c r="H597" s="77" t="inlineStr">
        <is>
          <t>News, Oct 2025</t>
        </is>
      </c>
      <c r="I597" s="77" t="inlineStr">
        <is>
          <t>2025</t>
        </is>
      </c>
      <c r="J597" s="77" t="inlineStr">
        <is>
          <t>2026-10-12</t>
        </is>
      </c>
      <c r="K597" s="77" t="inlineStr">
        <is>
          <t>search-summary paraphrase</t>
        </is>
      </c>
      <c r="L597" s="77" t="inlineStr">
        <is>
          <t>ExtendED Learning is open to all UG and PGT students at UCL.</t>
        </is>
      </c>
    </row>
    <row r="598">
      <c r="A598" s="77" t="inlineStr">
        <is>
          <t>RG22-S08-R1</t>
        </is>
      </c>
      <c r="B598" s="77" t="inlineStr">
        <is>
          <t>RG22</t>
        </is>
      </c>
      <c r="C598" s="77" t="inlineStr">
        <is>
          <t>RG22-S08</t>
        </is>
      </c>
      <c r="D598" s="77" t="inlineStr">
        <is>
          <t>Business Project (MSIN0314), MSc Marketing Science</t>
        </is>
      </c>
      <c r="E598" s="77" t="inlineStr">
        <is>
          <t>project; group; employer; credit</t>
        </is>
      </c>
      <c r="F598" s="77" t="inlineStr">
        <is>
          <t>https://www.ucl.ac.uk/prospective-students/graduate/taught-degrees/marketing-science-msc</t>
        </is>
      </c>
      <c r="G598" s="77" t="inlineStr">
        <is>
          <t>Marketing Science MSc</t>
        </is>
      </c>
      <c r="H598" s="77" t="inlineStr">
        <is>
          <t>Programme page</t>
        </is>
      </c>
      <c r="I598" s="77" t="inlineStr">
        <is>
          <t>undated</t>
        </is>
      </c>
      <c r="J598" s="77" t="inlineStr">
        <is>
          <t>2026-10-12</t>
        </is>
      </c>
      <c r="K598" s="77" t="inlineStr">
        <is>
          <t>search-summary paraphrase</t>
        </is>
      </c>
      <c r="L598" s="77" t="inlineStr">
        <is>
          <t>Term 3 Business Project is 45 credits, team-based consultancy-style project with an external client; students in groups under faculty supervision work with real-world external organisations; assessed on individual and group components.</t>
        </is>
      </c>
    </row>
    <row r="599">
      <c r="A599" s="77" t="inlineStr">
        <is>
          <t>RG22-S08-R2</t>
        </is>
      </c>
      <c r="B599" s="77" t="inlineStr">
        <is>
          <t>RG22</t>
        </is>
      </c>
      <c r="C599" s="77" t="inlineStr">
        <is>
          <t>RG22-S08</t>
        </is>
      </c>
      <c r="D599" s="77" t="inlineStr">
        <is>
          <t>Business Project (MSIN0314), MSc Marketing Science</t>
        </is>
      </c>
      <c r="E599" s="77" t="inlineStr">
        <is>
          <t>project; duration</t>
        </is>
      </c>
      <c r="F599" s="77" t="inlineStr">
        <is>
          <t>https://www.mgmt.ucl.ac.uk/msc-marketing-science</t>
        </is>
      </c>
      <c r="G599" s="77" t="inlineStr">
        <is>
          <t>MSc Marketing Science</t>
        </is>
      </c>
      <c r="H599" s="77" t="inlineStr">
        <is>
          <t>School of Management programme page</t>
        </is>
      </c>
      <c r="I599" s="77" t="inlineStr">
        <is>
          <t>undated</t>
        </is>
      </c>
      <c r="J599" s="77" t="inlineStr">
        <is>
          <t>2026-10-12</t>
        </is>
      </c>
      <c r="K599" s="77" t="inlineStr">
        <is>
          <t>search-summary paraphrase</t>
        </is>
      </c>
      <c r="L599" s="77" t="inlineStr">
        <is>
          <t>Over approximately 10 weeks students apply analytical and strategic skills to a real marketing challenge; past projects range from product line expansion to optimising multimillion-pound campaigns.</t>
        </is>
      </c>
    </row>
    <row r="600">
      <c r="A600" s="77" t="inlineStr">
        <is>
          <t>RG22-S09-R1</t>
        </is>
      </c>
      <c r="B600" s="77" t="inlineStr">
        <is>
          <t>RG22</t>
        </is>
      </c>
      <c r="C600" s="77" t="inlineStr">
        <is>
          <t>RG22-S09</t>
        </is>
      </c>
      <c r="D600" s="77" t="inlineStr">
        <is>
          <t>Centre for Data Intensive Science and Industry (DISI) CDT group projects</t>
        </is>
      </c>
      <c r="E600" s="77" t="inlineStr">
        <is>
          <t>project; group; employer; status</t>
        </is>
      </c>
      <c r="F600" s="77" t="inlineStr">
        <is>
          <t>https://www.ucl.ac.uk/data-intensive-science-industry/group-projects-industry-placements</t>
        </is>
      </c>
      <c r="G600" s="77" t="inlineStr">
        <is>
          <t>Group Projects &amp; Industry Placements</t>
        </is>
      </c>
      <c r="H600" s="77" t="inlineStr">
        <is>
          <t>Group projects</t>
        </is>
      </c>
      <c r="I600" s="77" t="inlineStr">
        <is>
          <t>list runs 2019-2026</t>
        </is>
      </c>
      <c r="J600" s="77" t="inlineStr">
        <is>
          <t>2026-10-12</t>
        </is>
      </c>
      <c r="K600" s="77" t="inlineStr">
        <is>
          <t>search-summary paraphrase</t>
        </is>
      </c>
      <c r="L600" s="77" t="inlineStr">
        <is>
          <t>Partners bring real-world problems to small teams of first-year PhD students (3-4); January-April; past partners ASOS, The Guardian, NCC Group, UKAEA, Fathom, Peak AI; partners pitch at annual event.</t>
        </is>
      </c>
    </row>
    <row r="601">
      <c r="A601" s="77" t="inlineStr">
        <is>
          <t>RG22-S09-R2</t>
        </is>
      </c>
      <c r="B601" s="77" t="inlineStr">
        <is>
          <t>RG22</t>
        </is>
      </c>
      <c r="C601" s="77" t="inlineStr">
        <is>
          <t>RG22-S09</t>
        </is>
      </c>
      <c r="D601" s="77" t="inlineStr">
        <is>
          <t>Centre for Data Intensive Science and Industry (DISI) CDT group projects</t>
        </is>
      </c>
      <c r="E601" s="77" t="inlineStr">
        <is>
          <t>status</t>
        </is>
      </c>
      <c r="F601" s="77" t="inlineStr">
        <is>
          <t>https://www.ucl.ac.uk/mathematical-physical-sciences/high-energy-physics/9th-round-cdt-group-projects-completed</t>
        </is>
      </c>
      <c r="G601" s="77" t="inlineStr">
        <is>
          <t>9th Round of CDT Group Projects Completed</t>
        </is>
      </c>
      <c r="H601" s="77" t="inlineStr">
        <is>
          <t>News</t>
        </is>
      </c>
      <c r="I601" s="77" t="inlineStr">
        <is>
          <t>undated</t>
        </is>
      </c>
      <c r="J601" s="77" t="inlineStr">
        <is>
          <t>2026-10-12</t>
        </is>
      </c>
      <c r="K601" s="77" t="inlineStr">
        <is>
          <t>search-summary paraphrase</t>
        </is>
      </c>
      <c r="L601" s="77" t="inlineStr">
        <is>
          <t>Ninth round of CDT group projects completed.</t>
        </is>
      </c>
    </row>
    <row r="602">
      <c r="A602" s="77" t="inlineStr">
        <is>
          <t>RG22-S10-R1</t>
        </is>
      </c>
      <c r="B602" s="77" t="inlineStr">
        <is>
          <t>RG22</t>
        </is>
      </c>
      <c r="C602" s="77" t="inlineStr">
        <is>
          <t>RG22-S10</t>
        </is>
      </c>
      <c r="D602" s="77" t="inlineStr">
        <is>
          <t>MPA Group Project (STEaPP)</t>
        </is>
      </c>
      <c r="E602" s="77" t="inlineStr">
        <is>
          <t>project; group; employer; duration</t>
        </is>
      </c>
      <c r="F602" s="77" t="inlineStr">
        <is>
          <t>https://www.ucl.ac.uk/steapp/study/masters-public-administration-mpa/mpa-group-and-individual-project</t>
        </is>
      </c>
      <c r="G602" s="77" t="inlineStr">
        <is>
          <t>MPA Group and Individual Project</t>
        </is>
      </c>
      <c r="H602" s="77" t="inlineStr">
        <is>
          <t>Project page</t>
        </is>
      </c>
      <c r="I602" s="77" t="inlineStr">
        <is>
          <t>undated</t>
        </is>
      </c>
      <c r="J602" s="77" t="inlineStr">
        <is>
          <t>2026-10-12</t>
        </is>
      </c>
      <c r="K602" s="77" t="inlineStr">
        <is>
          <t>search-summary paraphrase</t>
        </is>
      </c>
      <c r="L602" s="77" t="inlineStr">
        <is>
          <t>Group Project lets students apply skills to a real-world policy challenge in an interdisciplinary team with STEaPP faculty support; default major component; nine-month projects for external clients; listed clients include Alan Turing Institute and UK Government Office for Science.</t>
        </is>
      </c>
    </row>
    <row r="603">
      <c r="A603" s="77" t="inlineStr">
        <is>
          <t>RG22-S10-R2</t>
        </is>
      </c>
      <c r="B603" s="77" t="inlineStr">
        <is>
          <t>RG22</t>
        </is>
      </c>
      <c r="C603" s="77" t="inlineStr">
        <is>
          <t>RG22-S10</t>
        </is>
      </c>
      <c r="D603" s="77" t="inlineStr">
        <is>
          <t>MPA Group Project (STEaPP)</t>
        </is>
      </c>
      <c r="E603" s="77" t="inlineStr">
        <is>
          <t>status</t>
        </is>
      </c>
      <c r="F603" s="77" t="inlineStr">
        <is>
          <t>https://www.ucl.ac.uk/module-catalogue/modules/mpa-individual-project-STEP0036</t>
        </is>
      </c>
      <c r="G603" s="77" t="inlineStr">
        <is>
          <t>MPA Individual Project (STEP0036)</t>
        </is>
      </c>
      <c r="H603" s="77" t="inlineStr">
        <is>
          <t>Module catalogue</t>
        </is>
      </c>
      <c r="I603" s="77" t="inlineStr">
        <is>
          <t>updated 25 Aug 2026</t>
        </is>
      </c>
      <c r="J603" s="77" t="inlineStr">
        <is>
          <t>2026-10-12</t>
        </is>
      </c>
      <c r="K603" s="77" t="inlineStr">
        <is>
          <t>search-summary paraphrase</t>
        </is>
      </c>
      <c r="L603" s="77" t="inlineStr">
        <is>
          <t>Individual project module entry (80% reports, 20% viva) - evidences programme still running but is not the group route.</t>
        </is>
      </c>
    </row>
    <row r="604">
      <c r="A604" s="77" t="inlineStr">
        <is>
          <t>RG22-S11-R1</t>
        </is>
      </c>
      <c r="B604" s="77" t="inlineStr">
        <is>
          <t>RG22</t>
        </is>
      </c>
      <c r="C604" s="77" t="inlineStr">
        <is>
          <t>RG22-S11</t>
        </is>
      </c>
      <c r="D604" s="77" t="inlineStr">
        <is>
          <t>Urban Economic Development MSc - UK Practice Engagement (London Project)</t>
        </is>
      </c>
      <c r="E604" s="77" t="inlineStr">
        <is>
          <t>project; group; employer; status</t>
        </is>
      </c>
      <c r="F604" s="77" t="inlineStr">
        <is>
          <t>https://www.ucl.ac.uk/bartlett/development/study/urban-economic-development-msc/urban-economic-development-msc-uk-practice-engagement</t>
        </is>
      </c>
      <c r="G604" s="77" t="inlineStr">
        <is>
          <t>Urban Economic Development MSc UK Practice Engagement</t>
        </is>
      </c>
      <c r="H604" s="77" t="inlineStr">
        <is>
          <t>London Project page</t>
        </is>
      </c>
      <c r="I604" s="77" t="inlineStr">
        <is>
          <t>2025-26</t>
        </is>
      </c>
      <c r="J604" s="77" t="inlineStr">
        <is>
          <t>2026-10-12</t>
        </is>
      </c>
      <c r="K604" s="77" t="inlineStr">
        <is>
          <t>search-summary paraphrase</t>
        </is>
      </c>
      <c r="L604" s="77" t="inlineStr">
        <is>
          <t>London Project 2025-26 with The Fitzrovia Partnership: six applied research projects; 2024-25 partners GLA, TfL, OPDC; groups produced final policy-facing report.</t>
        </is>
      </c>
    </row>
    <row r="605">
      <c r="A605" s="77" t="inlineStr">
        <is>
          <t>RG22-S12-R1</t>
        </is>
      </c>
      <c r="B605" s="77" t="inlineStr">
        <is>
          <t>RG22</t>
        </is>
      </c>
      <c r="C605" s="77" t="inlineStr">
        <is>
          <t>RG22-S12</t>
        </is>
      </c>
      <c r="D605" s="77" t="inlineStr">
        <is>
          <t>Urban Development Planning MSc - London Project</t>
        </is>
      </c>
      <c r="E605" s="77" t="inlineStr">
        <is>
          <t>project; group; employer; status</t>
        </is>
      </c>
      <c r="F605" s="77" t="inlineStr">
        <is>
          <t>https://www.ucl.ac.uk/bartlett/development/study/masters/urban-development-planning-msc/urban-development-planning-msc-london-projects</t>
        </is>
      </c>
      <c r="G605" s="77" t="inlineStr">
        <is>
          <t>Urban Development Planning MSc London projects</t>
        </is>
      </c>
      <c r="H605" s="77" t="inlineStr">
        <is>
          <t>Project page</t>
        </is>
      </c>
      <c r="I605" s="77" t="inlineStr">
        <is>
          <t>2023-2025</t>
        </is>
      </c>
      <c r="J605" s="77" t="inlineStr">
        <is>
          <t>2026-10-12</t>
        </is>
      </c>
      <c r="K605" s="77" t="inlineStr">
        <is>
          <t>search-summary paraphrase</t>
        </is>
      </c>
      <c r="L605" s="77" t="inlineStr">
        <is>
          <t>Project runs each year Oct-Dec in the core practice module; partnership with Just Space since 2014; most recent project 2023-2025 with Just Space Fairville London lab.</t>
        </is>
      </c>
    </row>
    <row r="606">
      <c r="A606" s="77" t="inlineStr">
        <is>
          <t>RG22-S13-R1</t>
        </is>
      </c>
      <c r="B606" s="77" t="inlineStr">
        <is>
          <t>RG22</t>
        </is>
      </c>
      <c r="C606" s="77" t="inlineStr">
        <is>
          <t>RG22-S13</t>
        </is>
      </c>
      <c r="D606" s="77" t="inlineStr">
        <is>
          <t>Community-engaged Planning Projects (BPLN0033)</t>
        </is>
      </c>
      <c r="E606" s="77" t="inlineStr">
        <is>
          <t>project; group; credit; eligibility</t>
        </is>
      </c>
      <c r="F606" s="77" t="inlineStr">
        <is>
          <t>https://www.ucl.ac.uk/module-catalogue/modules/collaborative-city-planning-strategies-BPLN0033</t>
        </is>
      </c>
      <c r="G606" s="77" t="inlineStr">
        <is>
          <t>Community-engaged Planning Projects (BPLN0033)</t>
        </is>
      </c>
      <c r="H606" s="77" t="inlineStr">
        <is>
          <t>Module catalogue</t>
        </is>
      </c>
      <c r="I606" s="77" t="inlineStr">
        <is>
          <t>undated</t>
        </is>
      </c>
      <c r="J606" s="77" t="inlineStr">
        <is>
          <t>2026-10-12</t>
        </is>
      </c>
      <c r="K606" s="77" t="inlineStr">
        <is>
          <t>search-summary paraphrase</t>
        </is>
      </c>
      <c r="L606" s="77" t="inlineStr">
        <is>
          <t>15-credit Term 2 module; participatory research project; 80% group activity, 20% coursework; priority for Bartlett School of Planning students.</t>
        </is>
      </c>
    </row>
    <row r="607">
      <c r="A607" s="77" t="inlineStr">
        <is>
          <t>RG22-S13-R2</t>
        </is>
      </c>
      <c r="B607" s="77" t="inlineStr">
        <is>
          <t>RG22</t>
        </is>
      </c>
      <c r="C607" s="77" t="inlineStr">
        <is>
          <t>RG22-S13</t>
        </is>
      </c>
      <c r="D607" s="77" t="inlineStr">
        <is>
          <t>Community-engaged Planning Projects (BPLN0033)</t>
        </is>
      </c>
      <c r="E607" s="77" t="inlineStr">
        <is>
          <t>employer</t>
        </is>
      </c>
      <c r="F607" s="77" t="inlineStr">
        <is>
          <t>https://www.ucl.ac.uk/teaching-learning/teaching-resources/community-engaged-learning/cel-ucl-staff</t>
        </is>
      </c>
      <c r="G607" s="77" t="inlineStr">
        <is>
          <t>CEL for UCL Staff</t>
        </is>
      </c>
      <c r="H607" s="77" t="inlineStr">
        <is>
          <t>CEL module list</t>
        </is>
      </c>
      <c r="I607" s="77" t="inlineStr">
        <is>
          <t>undated</t>
        </is>
      </c>
      <c r="J607" s="77" t="inlineStr">
        <is>
          <t>2026-10-12</t>
        </is>
      </c>
      <c r="K607" s="77" t="inlineStr">
        <is>
          <t>search-summary paraphrase</t>
        </is>
      </c>
      <c r="L607" s="77" t="inlineStr">
        <is>
          <t>Lists BPLN0033 with CEL elements: assessment co-designed with community partners; community-based research.</t>
        </is>
      </c>
    </row>
    <row r="608">
      <c r="A608" s="77" t="inlineStr">
        <is>
          <t>RG22-S14-R1</t>
        </is>
      </c>
      <c r="B608" s="77" t="inlineStr">
        <is>
          <t>RG22</t>
        </is>
      </c>
      <c r="C608" s="77" t="inlineStr">
        <is>
          <t>RG22-S14</t>
        </is>
      </c>
      <c r="D608" s="77" t="inlineStr">
        <is>
          <t>The Collaborative Economy (BASC0070)</t>
        </is>
      </c>
      <c r="E608" s="77" t="inlineStr">
        <is>
          <t>project; group; employer; participation</t>
        </is>
      </c>
      <c r="F608" s="77" t="inlineStr">
        <is>
          <t>https://www.ucl.ac.uk/module-catalogue/modules/the-collaborative-economy-BASC0070</t>
        </is>
      </c>
      <c r="G608" s="77" t="inlineStr">
        <is>
          <t>The Collaborative Economy (BASC0070)</t>
        </is>
      </c>
      <c r="H608" s="77" t="inlineStr">
        <is>
          <t>Module catalogue</t>
        </is>
      </c>
      <c r="I608" s="77" t="inlineStr">
        <is>
          <t>undated</t>
        </is>
      </c>
      <c r="J608" s="77" t="inlineStr">
        <is>
          <t>2026-10-12</t>
        </is>
      </c>
      <c r="K608" s="77" t="inlineStr">
        <is>
          <t>search-summary paraphrase</t>
        </is>
      </c>
      <c r="L608" s="77" t="inlineStr">
        <is>
          <t>Teams work on a prompt, question or provocation set by an outside group; compulsory in year 2 of BA Creative Arts and Humanities.</t>
        </is>
      </c>
    </row>
    <row r="609">
      <c r="A609" s="77" t="inlineStr">
        <is>
          <t>RG22-S14-R2</t>
        </is>
      </c>
      <c r="B609" s="77" t="inlineStr">
        <is>
          <t>RG22</t>
        </is>
      </c>
      <c r="C609" s="77" t="inlineStr">
        <is>
          <t>RG22-S14</t>
        </is>
      </c>
      <c r="D609" s="77" t="inlineStr">
        <is>
          <t>The Collaborative Economy (BASC0070)</t>
        </is>
      </c>
      <c r="E609" s="77" t="inlineStr">
        <is>
          <t>employer; status</t>
        </is>
      </c>
      <c r="F609" s="77" t="inlineStr">
        <is>
          <t>https://www.ucl.ac.uk/creative-cultural-industries/news/2024/aug/supporting-collaborative-economy-work-ucl-solve-your-organisational-challenges</t>
        </is>
      </c>
      <c r="G609" s="77" t="inlineStr">
        <is>
          <t>Supporting a Collaborative Economy: Work with UCL to solve your organisational challenges</t>
        </is>
      </c>
      <c r="H609" s="77" t="inlineStr">
        <is>
          <t>News, Aug 2024</t>
        </is>
      </c>
      <c r="I609" s="77" t="inlineStr">
        <is>
          <t>2024</t>
        </is>
      </c>
      <c r="J609" s="77" t="inlineStr">
        <is>
          <t>2026-10-12</t>
        </is>
      </c>
      <c r="K609" s="77" t="inlineStr">
        <is>
          <t>search-summary paraphrase</t>
        </is>
      </c>
      <c r="L609" s="77" t="inlineStr">
        <is>
          <t>Timeline: January briefing, March collaborative event, evaluation by students and organisations.</t>
        </is>
      </c>
    </row>
    <row r="610">
      <c r="A610" s="77" t="inlineStr">
        <is>
          <t>RG22-S15-R1</t>
        </is>
      </c>
      <c r="B610" s="77" t="inlineStr">
        <is>
          <t>RG22</t>
        </is>
      </c>
      <c r="C610" s="77" t="inlineStr">
        <is>
          <t>RG22-S15</t>
        </is>
      </c>
      <c r="D610" s="77" t="inlineStr">
        <is>
          <t>Innovation and Group Design Project (MECH0049)</t>
        </is>
      </c>
      <c r="E610" s="77" t="inlineStr">
        <is>
          <t>project; group; employer; credit; status</t>
        </is>
      </c>
      <c r="F610" s="77" t="inlineStr">
        <is>
          <t>https://www.ucl.ac.uk/module-catalogue/modules/innovation-and-group-design-project-MECH0049</t>
        </is>
      </c>
      <c r="G610" s="77" t="inlineStr">
        <is>
          <t>Innovation and Group Design Project (MECH0049)</t>
        </is>
      </c>
      <c r="H610" s="77" t="inlineStr">
        <is>
          <t>Module catalogue</t>
        </is>
      </c>
      <c r="I610" s="77" t="inlineStr">
        <is>
          <t>2026/27</t>
        </is>
      </c>
      <c r="J610" s="77" t="inlineStr">
        <is>
          <t>2026-10-12</t>
        </is>
      </c>
      <c r="K610" s="77" t="inlineStr">
        <is>
          <t>search-summary paraphrase</t>
        </is>
      </c>
      <c r="L610" s="77" t="inlineStr">
        <is>
          <t>30 credits; groups design product/system; 100% group assessment; industry liaison 'where possible'; ~80 students previous year.</t>
        </is>
      </c>
    </row>
    <row r="611">
      <c r="A611" s="77" t="inlineStr">
        <is>
          <t>RG22-S16-R1</t>
        </is>
      </c>
      <c r="B611" s="77" t="inlineStr">
        <is>
          <t>RG22</t>
        </is>
      </c>
      <c r="C611" s="77" t="inlineStr">
        <is>
          <t>RG22-S16</t>
        </is>
      </c>
      <c r="D611" s="77" t="inlineStr">
        <is>
          <t>MBA Health consultancy project (Global Business School for Health)</t>
        </is>
      </c>
      <c r="E611" s="77" t="inlineStr">
        <is>
          <t>project; group; employer</t>
        </is>
      </c>
      <c r="F611" s="77" t="inlineStr">
        <is>
          <t>https://www.ucl.ac.uk/global-business-school-health/study/ucl-mba-health/projects</t>
        </is>
      </c>
      <c r="G611" s="77" t="inlineStr">
        <is>
          <t>MBA Health</t>
        </is>
      </c>
      <c r="H611" s="77" t="inlineStr">
        <is>
          <t>Projects</t>
        </is>
      </c>
      <c r="I611" s="77" t="inlineStr">
        <is>
          <t>undated</t>
        </is>
      </c>
      <c r="J611" s="77" t="inlineStr">
        <is>
          <t>2026-10-12</t>
        </is>
      </c>
      <c r="K611" s="77" t="inlineStr">
        <is>
          <t>search-summary paraphrase</t>
        </is>
      </c>
      <c r="L611" s="77" t="inlineStr">
        <is>
          <t>Final term includes consultancy project with a real client in the health sector; students work independently or in small teams with academic supervisor and industry mentor.</t>
        </is>
      </c>
    </row>
    <row r="612">
      <c r="A612" s="77" t="inlineStr">
        <is>
          <t>RG22-S17-R1</t>
        </is>
      </c>
      <c r="B612" s="77" t="inlineStr">
        <is>
          <t>RG22</t>
        </is>
      </c>
      <c r="C612" s="77" t="inlineStr">
        <is>
          <t>RG22-S17</t>
        </is>
      </c>
      <c r="D612" s="77" t="inlineStr">
        <is>
          <t>UCL Researcher Consultancy Challenge</t>
        </is>
      </c>
      <c r="E612" s="77" t="inlineStr">
        <is>
          <t>project; group; employer; status</t>
        </is>
      </c>
      <c r="F612" s="77" t="inlineStr">
        <is>
          <t>https://www.ucl.ac.uk/careers/work-experience-researchers</t>
        </is>
      </c>
      <c r="G612" s="77" t="inlineStr">
        <is>
          <t>Work Experience for Researchers</t>
        </is>
      </c>
      <c r="H612" s="77" t="inlineStr">
        <is>
          <t>Consultancy Challenge</t>
        </is>
      </c>
      <c r="I612" s="77" t="inlineStr">
        <is>
          <t>2026</t>
        </is>
      </c>
      <c r="J612" s="77" t="inlineStr">
        <is>
          <t>2026-10-12</t>
        </is>
      </c>
      <c r="K612" s="77" t="inlineStr">
        <is>
          <t>search-summary paraphrase</t>
        </is>
      </c>
      <c r="L612" s="77" t="inlineStr">
        <is>
          <t>Week-long programme: training day then groups of researchers work on a real industry partner's problem, presentations and feedback; 2026 training day likely 3 July 2026.</t>
        </is>
      </c>
    </row>
    <row r="613">
      <c r="A613" s="77" t="inlineStr">
        <is>
          <t>RG22-S18-R1</t>
        </is>
      </c>
      <c r="B613" s="77" t="inlineStr">
        <is>
          <t>RG22</t>
        </is>
      </c>
      <c r="C613" s="77" t="inlineStr">
        <is>
          <t>RG22-S18</t>
        </is>
      </c>
      <c r="D613" s="77" t="inlineStr">
        <is>
          <t>Grand Challenges x ChangeMakers</t>
        </is>
      </c>
      <c r="E613" s="77" t="inlineStr">
        <is>
          <t>project; group; eligibility; status</t>
        </is>
      </c>
      <c r="F613" s="77" t="inlineStr">
        <is>
          <t>https://www.ucl.ac.uk/grand-challenges/news/2025/dec/grand-challenges-x-changemakers-applications-now-open</t>
        </is>
      </c>
      <c r="G613" s="77" t="inlineStr">
        <is>
          <t>Grand Challenges x ChangeMakers: Applications Now Open</t>
        </is>
      </c>
      <c r="H613" s="77" t="inlineStr">
        <is>
          <t>News, Dec 2025</t>
        </is>
      </c>
      <c r="I613" s="77" t="inlineStr">
        <is>
          <t>2025</t>
        </is>
      </c>
      <c r="J613" s="77" t="inlineStr">
        <is>
          <t>2026-10-12</t>
        </is>
      </c>
      <c r="K613" s="77" t="inlineStr">
        <is>
          <t>search-summary paraphrase</t>
        </is>
      </c>
      <c r="L613" s="77" t="inlineStr">
        <is>
          <t>Teams at least two students and one staff member; up to GBP 1,560; ~12 weeks; four themes; deadline 23 Jan 2026.</t>
        </is>
      </c>
    </row>
    <row r="614">
      <c r="A614" s="77" t="inlineStr">
        <is>
          <t>RG22-S18-R2</t>
        </is>
      </c>
      <c r="B614" s="77" t="inlineStr">
        <is>
          <t>RG22</t>
        </is>
      </c>
      <c r="C614" s="77" t="inlineStr">
        <is>
          <t>RG22-S18</t>
        </is>
      </c>
      <c r="D614" s="77" t="inlineStr">
        <is>
          <t>Grand Challenges x ChangeMakers</t>
        </is>
      </c>
      <c r="E614" s="77" t="inlineStr">
        <is>
          <t>status; participation</t>
        </is>
      </c>
      <c r="F614" s="77" t="inlineStr">
        <is>
          <t>https://www.ucl.ac.uk/research-innovation/news/2026/sep/ideas-impact-how-ucl-students-are-driving-change-through-grand-challenges-x-changemakers</t>
        </is>
      </c>
      <c r="G614" s="77" t="inlineStr">
        <is>
          <t>From ideas to impact: how UCL students are driving change through Grand Challenges x ChangeMakers</t>
        </is>
      </c>
      <c r="H614" s="77" t="inlineStr">
        <is>
          <t>News, Sep 2026</t>
        </is>
      </c>
      <c r="I614" s="77" t="inlineStr">
        <is>
          <t>2026</t>
        </is>
      </c>
      <c r="J614" s="77" t="inlineStr">
        <is>
          <t>2026-10-12</t>
        </is>
      </c>
      <c r="K614" s="77" t="inlineStr">
        <is>
          <t>search-summary paraphrase</t>
        </is>
      </c>
      <c r="L614" s="77" t="inlineStr">
        <is>
          <t>15 funded projects, 35 student partners in 2025-26; next programme launches soon.</t>
        </is>
      </c>
    </row>
    <row r="615">
      <c r="A615" s="77" t="inlineStr">
        <is>
          <t>RG23-S01-R1</t>
        </is>
      </c>
      <c r="B615" s="77" t="inlineStr">
        <is>
          <t>RG23</t>
        </is>
      </c>
      <c r="C615" s="77" t="inlineStr">
        <is>
          <t>RG23-S01</t>
        </is>
      </c>
      <c r="D615" s="77" t="inlineStr">
        <is>
          <t>TeamWork International Experience Programme</t>
        </is>
      </c>
      <c r="E615" s="77" t="inlineStr">
        <is>
          <t>project; employer; reach; status; duration</t>
        </is>
      </c>
      <c r="F615" s="77" t="inlineStr">
        <is>
          <t>https://warwick.ac.uk/services/careers/employers/international/teamwork/</t>
        </is>
      </c>
      <c r="G615" s="77" t="inlineStr">
        <is>
          <t>TeamWork International Experience Programme</t>
        </is>
      </c>
      <c r="H615" s="77" t="inlineStr">
        <is>
          <t>Employer-facing programme page</t>
        </is>
      </c>
      <c r="I615" s="77" t="inlineStr">
        <is>
          <t>undated (states next programme March 2027)</t>
        </is>
      </c>
      <c r="J615" s="77" t="inlineStr">
        <is>
          <t>2026-10-12</t>
        </is>
      </c>
      <c r="K615" s="77" t="inlineStr">
        <is>
          <t>page text (WebFetch)</t>
        </is>
      </c>
      <c r="L615" s="77" t="inlineStr">
        <is>
          <t>Four-week, part-time online programme in which multi-disciplinary student teams collaborate on a project provided by an external organisation and present to it; 'The next programme will take place in March 2027'; particularly keen to work with organisations whose main focus is within sectors such as sustainability, global health, charity, finance, technology, arts, media, and engineering; described as open to all students. WebFetch 2026-10-13: 'The next programme will take place from 22 February - 19 March 2027'; organisation provides 'A mentor for the student team' giving initial briefing, weekly online guidance over four weeks, and feedback on outcomes; page states no team size (FAQ says up to 6).</t>
        </is>
      </c>
    </row>
    <row r="616">
      <c r="A616" s="77" t="inlineStr">
        <is>
          <t>RG23-S01-R2</t>
        </is>
      </c>
      <c r="B616" s="77" t="inlineStr">
        <is>
          <t>RG23</t>
        </is>
      </c>
      <c r="C616" s="77" t="inlineStr">
        <is>
          <t>RG23-S01</t>
        </is>
      </c>
      <c r="D616" s="77" t="inlineStr">
        <is>
          <t>TeamWork International Experience Programme</t>
        </is>
      </c>
      <c r="E616" s="77" t="inlineStr">
        <is>
          <t>project; group; employer; eligibility; duration</t>
        </is>
      </c>
      <c r="F616" s="77" t="inlineStr">
        <is>
          <t>https://warwick.ac.uk/services/careers/employers/international/teamwork/teamwork-questions/</t>
        </is>
      </c>
      <c r="G616" s="77" t="inlineStr">
        <is>
          <t>TeamWork FAQs</t>
        </is>
      </c>
      <c r="H616" s="77" t="inlineStr">
        <is>
          <t>FAQ</t>
        </is>
      </c>
      <c r="I616" s="77" t="inlineStr">
        <is>
          <t>undated</t>
        </is>
      </c>
      <c r="J616" s="77" t="inlineStr">
        <is>
          <t>2026-10-12</t>
        </is>
      </c>
      <c r="K616" s="77" t="inlineStr">
        <is>
          <t>search-index extract (quoted)</t>
        </is>
      </c>
      <c r="L616" s="77" t="inlineStr">
        <is>
          <t>Teams have 'up to 6 students that we will assign to you based on the project detail you have given'; organisation commitment of about 2 hours per week during the 4 week project phase, including 'an online pre-project briefing with your student team, regular check ins – and a final project presentation meeting'; 'Students will have to have applied for a place and undergone a detailed induction programme'.</t>
        </is>
      </c>
    </row>
    <row r="617">
      <c r="A617" s="77" t="inlineStr">
        <is>
          <t>RG23-S01-R3</t>
        </is>
      </c>
      <c r="B617" s="77" t="inlineStr">
        <is>
          <t>RG23</t>
        </is>
      </c>
      <c r="C617" s="77" t="inlineStr">
        <is>
          <t>RG23-S01</t>
        </is>
      </c>
      <c r="D617" s="77" t="inlineStr">
        <is>
          <t>TeamWork International Experience Programme</t>
        </is>
      </c>
      <c r="E617" s="77" t="inlineStr">
        <is>
          <t>status; employer</t>
        </is>
      </c>
      <c r="F617" s="77" t="inlineStr">
        <is>
          <t>https://warwick.ac.uk/services/careers/employers/international/teamwork/employer_feedback/</t>
        </is>
      </c>
      <c r="G617" s="77" t="inlineStr">
        <is>
          <t>TeamWork Employer Feedback</t>
        </is>
      </c>
      <c r="H617" s="77" t="inlineStr">
        <is>
          <t>Employer feedback</t>
        </is>
      </c>
      <c r="I617" s="77" t="inlineStr">
        <is>
          <t>2024 and 2025 rounds</t>
        </is>
      </c>
      <c r="J617" s="77" t="inlineStr">
        <is>
          <t>2026-10-12</t>
        </is>
      </c>
      <c r="K617" s="77" t="inlineStr">
        <is>
          <t>search-summary paraphrase</t>
        </is>
      </c>
      <c r="L617" s="77" t="inlineStr">
        <is>
          <t>Employer feedback from the 2024 and 2025 rounds praising team presentations.</t>
        </is>
      </c>
    </row>
    <row r="618">
      <c r="A618" s="77" t="inlineStr">
        <is>
          <t>RG23-S02-R1</t>
        </is>
      </c>
      <c r="B618" s="77" t="inlineStr">
        <is>
          <t>RG23</t>
        </is>
      </c>
      <c r="C618" s="77" t="inlineStr">
        <is>
          <t>RG23-S02</t>
        </is>
      </c>
      <c r="D618" s="77" t="inlineStr">
        <is>
          <t>Strategic Consulting Project (group SCP) - MBA</t>
        </is>
      </c>
      <c r="E618" s="77" t="inlineStr">
        <is>
          <t>project; group; employer; eligibility; status; duration</t>
        </is>
      </c>
      <c r="F618" s="77" t="inlineStr">
        <is>
          <t>https://www.wbs.ac.uk/sites/wbs2020/assets/pdf/FAQs_Student_Consultancy_Projects_2026.pdf</t>
        </is>
      </c>
      <c r="G618" s="77" t="inlineStr">
        <is>
          <t>MBA &amp; Masters Projects 2026 Frequently Asked Questions</t>
        </is>
      </c>
      <c r="H618" s="77" t="inlineStr">
        <is>
          <t>FAQ PDF</t>
        </is>
      </c>
      <c r="I618" s="77" t="inlineStr">
        <is>
          <t>2026</t>
        </is>
      </c>
      <c r="J618" s="77" t="inlineStr">
        <is>
          <t>2026-10-12</t>
        </is>
      </c>
      <c r="K618" s="77" t="inlineStr">
        <is>
          <t>search-index extract (quoted)</t>
        </is>
      </c>
      <c r="L618" s="77" t="inlineStr">
        <is>
          <t>'A group SCP consists of 3 students who will present themselves as a self-formed group'; MBA students can undertake either an SCP or an Individual Project; 'Masters students can only be offered Individual Projects'; clients 'will need to allocate an employee as a mentor or point of contact'; projects typically 10 to 12 weeks between June and September; deliverables such as a presentation or management report defined in the Project Agreement; no more than two group projects from any one organisation for full-time MBA SCPs.</t>
        </is>
      </c>
    </row>
    <row r="619">
      <c r="A619" s="77" t="inlineStr">
        <is>
          <t>RG23-S02-R2</t>
        </is>
      </c>
      <c r="B619" s="77" t="inlineStr">
        <is>
          <t>RG23</t>
        </is>
      </c>
      <c r="C619" s="77" t="inlineStr">
        <is>
          <t>RG23-S02</t>
        </is>
      </c>
      <c r="D619" s="77" t="inlineStr">
        <is>
          <t>Strategic Consulting Project (group SCP) - MBA</t>
        </is>
      </c>
      <c r="E619" s="77" t="inlineStr">
        <is>
          <t>project; group; employer; status</t>
        </is>
      </c>
      <c r="F619" s="77" t="inlineStr">
        <is>
          <t>https://www.wbs.ac.uk/courses/mba/global-online/january-2027-programme-structure1/</t>
        </is>
      </c>
      <c r="G619" s="77" t="inlineStr">
        <is>
          <t>January 2027 Programme Structure (Global Online MBA)</t>
        </is>
      </c>
      <c r="H619" s="77" t="inlineStr">
        <is>
          <t>Strategic Consulting Project</t>
        </is>
      </c>
      <c r="I619" s="77" t="inlineStr">
        <is>
          <t>2027 intake</t>
        </is>
      </c>
      <c r="J619" s="77" t="inlineStr">
        <is>
          <t>2026-10-12</t>
        </is>
      </c>
      <c r="K619" s="77" t="inlineStr">
        <is>
          <t>search-index extract (quoted)</t>
        </is>
      </c>
      <c r="L619" s="77" t="inlineStr">
        <is>
          <t>Strategic Consulting Project where 'as a group of three, you'll engage with an organisation, addressing at least one topic posed by the Client'.</t>
        </is>
      </c>
    </row>
    <row r="620">
      <c r="A620" s="77" t="inlineStr">
        <is>
          <t>RG23-S03-R1</t>
        </is>
      </c>
      <c r="B620" s="77" t="inlineStr">
        <is>
          <t>RG23</t>
        </is>
      </c>
      <c r="C620" s="77" t="inlineStr">
        <is>
          <t>RG23-S03</t>
        </is>
      </c>
      <c r="D620" s="77" t="inlineStr">
        <is>
          <t>LeadershipPlus group consultancy project (Full-time MBA)</t>
        </is>
      </c>
      <c r="E620" s="77" t="inlineStr">
        <is>
          <t>project; group; employer; duration</t>
        </is>
      </c>
      <c r="F620" s="77" t="inlineStr">
        <is>
          <t>https://www.wbs.ac.uk/working-with-wbs/student-consultancy-projects/</t>
        </is>
      </c>
      <c r="G620" s="77" t="inlineStr">
        <is>
          <t>Student Consultancy Projects</t>
        </is>
      </c>
      <c r="H620" s="77" t="inlineStr">
        <is>
          <t>Employer-facing page (LeadershipPlus group projects)</t>
        </is>
      </c>
      <c r="I620" s="77" t="inlineStr">
        <is>
          <t>undated</t>
        </is>
      </c>
      <c r="J620" s="77" t="inlineStr">
        <is>
          <t>2026-10-12</t>
        </is>
      </c>
      <c r="K620" s="77" t="inlineStr">
        <is>
          <t>search-summary paraphrase</t>
        </is>
      </c>
      <c r="L620" s="77" t="inlineStr">
        <is>
          <t>LeadershipPlus group projects run January to March with groups of six to eight Full-time MBA students; corporate, SME or not-for-profit clients have a current business issue investigated and receive practical recommendations.</t>
        </is>
      </c>
    </row>
    <row r="621">
      <c r="A621" s="77" t="inlineStr">
        <is>
          <t>RG23-S03-R2</t>
        </is>
      </c>
      <c r="B621" s="77" t="inlineStr">
        <is>
          <t>RG23</t>
        </is>
      </c>
      <c r="C621" s="77" t="inlineStr">
        <is>
          <t>RG23-S03</t>
        </is>
      </c>
      <c r="D621" s="77" t="inlineStr">
        <is>
          <t>LeadershipPlus group consultancy project (Full-time MBA)</t>
        </is>
      </c>
      <c r="E621" s="77" t="inlineStr">
        <is>
          <t>project; group; employer; duration</t>
        </is>
      </c>
      <c r="F621" s="77" t="inlineStr">
        <is>
          <t>https://www.wbs.ac.uk/blogs/student/mba/how-to-use-consultancy-and-group-projects-to-accelerate-your-career/</t>
        </is>
      </c>
      <c r="G621" s="77" t="inlineStr">
        <is>
          <t>How to use consultancy and group projects to accelerate your career</t>
        </is>
      </c>
      <c r="H621" s="77" t="inlineStr">
        <is>
          <t>WBS student blog</t>
        </is>
      </c>
      <c r="I621" s="77" t="inlineStr">
        <is>
          <t>undated</t>
        </is>
      </c>
      <c r="J621" s="77" t="inlineStr">
        <is>
          <t>2026-10-12</t>
        </is>
      </c>
      <c r="K621" s="77" t="inlineStr">
        <is>
          <t>search-summary paraphrase</t>
        </is>
      </c>
      <c r="L621" s="77" t="inlineStr">
        <is>
          <t>LeadershipPlus group project runs for 10 weeks, working on a consultancy project as a group and ending with findings presented to the client and staff.</t>
        </is>
      </c>
    </row>
    <row r="622">
      <c r="A622" s="77" t="inlineStr">
        <is>
          <t>RG23-S03-R3</t>
        </is>
      </c>
      <c r="B622" s="77" t="inlineStr">
        <is>
          <t>RG23</t>
        </is>
      </c>
      <c r="C622" s="77" t="inlineStr">
        <is>
          <t>RG23-S03</t>
        </is>
      </c>
      <c r="D622" s="77" t="inlineStr">
        <is>
          <t>LeadershipPlus group consultancy project (Full-time MBA)</t>
        </is>
      </c>
      <c r="E622" s="77" t="inlineStr">
        <is>
          <t>duration</t>
        </is>
      </c>
      <c r="F622" s="77" t="inlineStr">
        <is>
          <t>https://www.wbs.ac.uk/courses/mba/full-time/careers/</t>
        </is>
      </c>
      <c r="G622" s="77" t="inlineStr">
        <is>
          <t>Careers (Full-time MBA)</t>
        </is>
      </c>
      <c r="H622" s="77" t="inlineStr">
        <is>
          <t>Careers page</t>
        </is>
      </c>
      <c r="I622" s="77" t="inlineStr">
        <is>
          <t>undated</t>
        </is>
      </c>
      <c r="J622" s="77" t="inlineStr">
        <is>
          <t>2026-10-12</t>
        </is>
      </c>
      <c r="K622" s="77" t="inlineStr">
        <is>
          <t>search-summary paraphrase</t>
        </is>
      </c>
      <c r="L622" s="77" t="inlineStr">
        <is>
          <t>Describes the group project as nine weeks.</t>
        </is>
      </c>
    </row>
    <row r="623">
      <c r="A623" s="77" t="inlineStr">
        <is>
          <t>RG23-S04-R1</t>
        </is>
      </c>
      <c r="B623" s="77" t="inlineStr">
        <is>
          <t>RG23</t>
        </is>
      </c>
      <c r="C623" s="77" t="inlineStr">
        <is>
          <t>RG23-S04</t>
        </is>
      </c>
      <c r="D623" s="77" t="inlineStr">
        <is>
          <t>Business with Consulting MSc - live client consulting projects</t>
        </is>
      </c>
      <c r="E623" s="77" t="inlineStr">
        <is>
          <t>project; employer</t>
        </is>
      </c>
      <c r="F623" s="77" t="inlineStr">
        <is>
          <t>https://wbs.ac.uk/blogs/student/postgraduate/one-year-on-from-my-msc-business-with-consulting-course</t>
        </is>
      </c>
      <c r="G623" s="77" t="inlineStr">
        <is>
          <t>One year on from my MSc Business with Consulting course</t>
        </is>
      </c>
      <c r="H623" s="77" t="inlineStr">
        <is>
          <t>Student blog</t>
        </is>
      </c>
      <c r="I623" s="77" t="inlineStr">
        <is>
          <t>undated</t>
        </is>
      </c>
      <c r="J623" s="77" t="inlineStr">
        <is>
          <t>2026-10-12</t>
        </is>
      </c>
      <c r="K623" s="77" t="inlineStr">
        <is>
          <t>search-index extract (quoted)</t>
        </is>
      </c>
      <c r="L623" s="77" t="inlineStr">
        <is>
          <t>'the consulting projects in the first two terms involved real clients and we got to experience the full experience of a live project'.</t>
        </is>
      </c>
    </row>
    <row r="624">
      <c r="A624" s="77" t="inlineStr">
        <is>
          <t>RG23-S04-R2</t>
        </is>
      </c>
      <c r="B624" s="77" t="inlineStr">
        <is>
          <t>RG23</t>
        </is>
      </c>
      <c r="C624" s="77" t="inlineStr">
        <is>
          <t>RG23-S04</t>
        </is>
      </c>
      <c r="D624" s="77" t="inlineStr">
        <is>
          <t>Business with Consulting MSc - live client consulting projects</t>
        </is>
      </c>
      <c r="E624" s="77" t="inlineStr">
        <is>
          <t>project; employer</t>
        </is>
      </c>
      <c r="F624" s="77" t="inlineStr">
        <is>
          <t>https://www.wbs.ac.uk/blogs/alumni/my-consultancy-journey-since-completing-my-msc/</t>
        </is>
      </c>
      <c r="G624" s="77" t="inlineStr">
        <is>
          <t>My consultancy journey since completing my MSc</t>
        </is>
      </c>
      <c r="H624" s="77" t="inlineStr">
        <is>
          <t>Alumni blog</t>
        </is>
      </c>
      <c r="I624" s="77" t="inlineStr">
        <is>
          <t>undated</t>
        </is>
      </c>
      <c r="J624" s="77" t="inlineStr">
        <is>
          <t>2026-10-12</t>
        </is>
      </c>
      <c r="K624" s="77" t="inlineStr">
        <is>
          <t>search-index extract (quoted)</t>
        </is>
      </c>
      <c r="L624" s="77" t="inlineStr">
        <is>
          <t>Live client projects let students 'work with real clients to simulate a project proposal'.</t>
        </is>
      </c>
    </row>
    <row r="625">
      <c r="A625" s="77" t="inlineStr">
        <is>
          <t>RG23-S04-R3</t>
        </is>
      </c>
      <c r="B625" s="77" t="inlineStr">
        <is>
          <t>RG23</t>
        </is>
      </c>
      <c r="C625" s="77" t="inlineStr">
        <is>
          <t>RG23-S04</t>
        </is>
      </c>
      <c r="D625" s="77" t="inlineStr">
        <is>
          <t>Business with Consulting MSc - live client consulting projects</t>
        </is>
      </c>
      <c r="E625" s="77" t="inlineStr">
        <is>
          <t>eligibility</t>
        </is>
      </c>
      <c r="F625" s="77" t="inlineStr">
        <is>
          <t>https://warwick.ac.uk/study/postgraduate/courses/msc-business-consulting/</t>
        </is>
      </c>
      <c r="G625" s="77" t="inlineStr">
        <is>
          <t>Business with Consulting (MSc)</t>
        </is>
      </c>
      <c r="H625" s="77" t="inlineStr">
        <is>
          <t>Course page (2027 entry)</t>
        </is>
      </c>
      <c r="I625" s="77" t="inlineStr">
        <is>
          <t>2027 entry</t>
        </is>
      </c>
      <c r="J625" s="77" t="inlineStr">
        <is>
          <t>2026-10-12</t>
        </is>
      </c>
      <c r="K625" s="77" t="inlineStr">
        <is>
          <t>search-summary paraphrase</t>
        </is>
      </c>
      <c r="L625" s="77" t="inlineStr">
        <is>
          <t>Eight compulsory modules and one optional module over three terms; Professional communication module aimed at teamwork and client skills.</t>
        </is>
      </c>
    </row>
    <row r="626">
      <c r="A626" s="77" t="inlineStr">
        <is>
          <t>RG23-S05-R1</t>
        </is>
      </c>
      <c r="B626" s="77" t="inlineStr">
        <is>
          <t>RG23</t>
        </is>
      </c>
      <c r="C626" s="77" t="inlineStr">
        <is>
          <t>RG23-S05</t>
        </is>
      </c>
      <c r="D626" s="77" t="inlineStr">
        <is>
          <t>Business Consulting</t>
        </is>
      </c>
      <c r="E626" s="77" t="inlineStr">
        <is>
          <t>project; group; credit</t>
        </is>
      </c>
      <c r="F626" s="77" t="inlineStr">
        <is>
          <t>https://courses.warwick.ac.uk/modules/2024/IB013-15</t>
        </is>
      </c>
      <c r="G626" s="77" t="inlineStr">
        <is>
          <t>IB013-15 Business Consulting - Module Catalogue</t>
        </is>
      </c>
      <c r="H626" s="77" t="inlineStr">
        <is>
          <t>Module catalogue 2024</t>
        </is>
      </c>
      <c r="I626" s="77" t="inlineStr">
        <is>
          <t>2024</t>
        </is>
      </c>
      <c r="J626" s="77" t="inlineStr">
        <is>
          <t>2026-10-12</t>
        </is>
      </c>
      <c r="K626" s="77" t="inlineStr">
        <is>
          <t>search-index extract (quoted)</t>
        </is>
      </c>
      <c r="L626" s="77" t="inlineStr">
        <is>
          <t>'Students will work on a business consulting project with an organisation which could include primary and secondary research'; aims include writing a formal report on a placement or chosen business; assessment 70% individual assignment, 20% group presentation, 10% individual contribution report and minutes.</t>
        </is>
      </c>
    </row>
    <row r="627">
      <c r="A627" s="77" t="inlineStr">
        <is>
          <t>RG23-S05-R2</t>
        </is>
      </c>
      <c r="B627" s="77" t="inlineStr">
        <is>
          <t>RG23</t>
        </is>
      </c>
      <c r="C627" s="77" t="inlineStr">
        <is>
          <t>RG23-S05</t>
        </is>
      </c>
      <c r="D627" s="77" t="inlineStr">
        <is>
          <t>Business Consulting</t>
        </is>
      </c>
      <c r="E627" s="77" t="inlineStr">
        <is>
          <t>project; employer</t>
        </is>
      </c>
      <c r="F627" s="77" t="inlineStr">
        <is>
          <t>https://warwick.ac.uk/study/undergraduate/courses/bsc-business-management-foundation-year/</t>
        </is>
      </c>
      <c r="G627" s="77" t="inlineStr">
        <is>
          <t>Business and Management with Foundation Year BSc</t>
        </is>
      </c>
      <c r="H627" s="77" t="inlineStr">
        <is>
          <t>Course page</t>
        </is>
      </c>
      <c r="I627" s="77" t="inlineStr">
        <is>
          <t>undated</t>
        </is>
      </c>
      <c r="J627" s="77" t="inlineStr">
        <is>
          <t>2026-10-12</t>
        </is>
      </c>
      <c r="K627" s="77" t="inlineStr">
        <is>
          <t>search-summary paraphrase</t>
        </is>
      </c>
      <c r="L627" s="77" t="inlineStr">
        <is>
          <t>In the third term, students will complete a project working with an organisation to identify an issue or challenge.</t>
        </is>
      </c>
    </row>
    <row r="628">
      <c r="A628" s="77" t="inlineStr">
        <is>
          <t>RG23-S06-R1</t>
        </is>
      </c>
      <c r="B628" s="77" t="inlineStr">
        <is>
          <t>RG23</t>
        </is>
      </c>
      <c r="C628" s="77" t="inlineStr">
        <is>
          <t>RG23-S06</t>
        </is>
      </c>
      <c r="D628" s="77" t="inlineStr">
        <is>
          <t>Group Project</t>
        </is>
      </c>
      <c r="E628" s="77" t="inlineStr">
        <is>
          <t>project; group; employer; credit; duration</t>
        </is>
      </c>
      <c r="F628" s="77" t="inlineStr">
        <is>
          <t>https://courses.warwick.ac.uk/modules/2022/ES410-30</t>
        </is>
      </c>
      <c r="G628" s="77" t="inlineStr">
        <is>
          <t>ES410-30 Group Project - Module Catalogue</t>
        </is>
      </c>
      <c r="H628" s="77" t="inlineStr">
        <is>
          <t>Module catalogue 2022</t>
        </is>
      </c>
      <c r="I628" s="77" t="inlineStr">
        <is>
          <t>2022</t>
        </is>
      </c>
      <c r="J628" s="77" t="inlineStr">
        <is>
          <t>2026-10-12</t>
        </is>
      </c>
      <c r="K628" s="77" t="inlineStr">
        <is>
          <t>search-summary paraphrase</t>
        </is>
      </c>
      <c r="L628" s="77" t="inlineStr">
        <is>
          <t>30 credits, 25 weeks, 100% coursework; teams normally six students from different degree streams; tasks set by the School's Project Director; projects ideally have industrial backing or can at least show industrial applicability, where possible; core for Year 4 of many MEng programmes.</t>
        </is>
      </c>
    </row>
    <row r="629">
      <c r="A629" s="77" t="inlineStr">
        <is>
          <t>RG23-S06-R2</t>
        </is>
      </c>
      <c r="B629" s="77" t="inlineStr">
        <is>
          <t>RG23</t>
        </is>
      </c>
      <c r="C629" s="77" t="inlineStr">
        <is>
          <t>RG23-S06</t>
        </is>
      </c>
      <c r="D629" s="77" t="inlineStr">
        <is>
          <t>Group Project</t>
        </is>
      </c>
      <c r="E629" s="77" t="inlineStr">
        <is>
          <t>project</t>
        </is>
      </c>
      <c r="F629" s="77" t="inlineStr">
        <is>
          <t>https://warwick.ac.uk/fac/sci/eng/undergraduate/manufacturing_and_mechanical_engineering/</t>
        </is>
      </c>
      <c r="G629" s="77" t="inlineStr">
        <is>
          <t>Manufacturing and Mechanical Engineering - Undergraduate degrees</t>
        </is>
      </c>
      <c r="H629" s="77" t="inlineStr">
        <is>
          <t>Course page</t>
        </is>
      </c>
      <c r="I629" s="77" t="inlineStr">
        <is>
          <t>undated</t>
        </is>
      </c>
      <c r="J629" s="77" t="inlineStr">
        <is>
          <t>2026-10-12</t>
        </is>
      </c>
      <c r="K629" s="77" t="inlineStr">
        <is>
          <t>search-summary paraphrase</t>
        </is>
      </c>
      <c r="L629" s="77" t="inlineStr">
        <is>
          <t>Group project examples include the IMechE Formula Student racing car competition, Severn Trent reservoir design, or creating a human-powered submarine.</t>
        </is>
      </c>
    </row>
    <row r="630">
      <c r="A630" s="77" t="inlineStr">
        <is>
          <t>RG23-S07-R1</t>
        </is>
      </c>
      <c r="B630" s="77" t="inlineStr">
        <is>
          <t>RG23</t>
        </is>
      </c>
      <c r="C630" s="77" t="inlineStr">
        <is>
          <t>RG23-S07</t>
        </is>
      </c>
      <c r="D630" s="77" t="inlineStr">
        <is>
          <t>Group Project</t>
        </is>
      </c>
      <c r="E630" s="77" t="inlineStr">
        <is>
          <t>project; group; employer; credit</t>
        </is>
      </c>
      <c r="F630" s="77" t="inlineStr">
        <is>
          <t>https://courses.warwick.ac.uk/modules/2024/ES3H7-30</t>
        </is>
      </c>
      <c r="G630" s="77" t="inlineStr">
        <is>
          <t>ES3H7-30 Group Project - Module Catalogue</t>
        </is>
      </c>
      <c r="H630" s="77" t="inlineStr">
        <is>
          <t>Module catalogue 2024</t>
        </is>
      </c>
      <c r="I630" s="77" t="inlineStr">
        <is>
          <t>2024</t>
        </is>
      </c>
      <c r="J630" s="77" t="inlineStr">
        <is>
          <t>2026-10-12</t>
        </is>
      </c>
      <c r="K630" s="77" t="inlineStr">
        <is>
          <t>search-index extract (quoted)</t>
        </is>
      </c>
      <c r="L630" s="77" t="inlineStr">
        <is>
          <t>'Tasks will be predetermined by the School of Engineering Project Director in conjunction with industry (employers) each year to match the skills and mix of the students'; groups normally six students; 30 credits, 100% coursework; core for Year 4 of DESA-H360.</t>
        </is>
      </c>
    </row>
    <row r="631">
      <c r="A631" s="77" t="inlineStr">
        <is>
          <t>RG23-S08-R1</t>
        </is>
      </c>
      <c r="B631" s="77" t="inlineStr">
        <is>
          <t>RG23</t>
        </is>
      </c>
      <c r="C631" s="77" t="inlineStr">
        <is>
          <t>RG23-S08</t>
        </is>
      </c>
      <c r="D631" s="77" t="inlineStr">
        <is>
          <t>Group Project</t>
        </is>
      </c>
      <c r="E631" s="77" t="inlineStr">
        <is>
          <t>project; group; employer</t>
        </is>
      </c>
      <c r="F631" s="77" t="inlineStr">
        <is>
          <t>https://warwick.ac.uk/fac/sci/dcs/teaching/modules/cs407/</t>
        </is>
      </c>
      <c r="G631" s="77" t="inlineStr">
        <is>
          <t>CS407-30 Group Project</t>
        </is>
      </c>
      <c r="H631" s="77" t="inlineStr">
        <is>
          <t>Module page</t>
        </is>
      </c>
      <c r="I631" s="77" t="inlineStr">
        <is>
          <t>undated</t>
        </is>
      </c>
      <c r="J631" s="77" t="inlineStr">
        <is>
          <t>2026-10-12</t>
        </is>
      </c>
      <c r="K631" s="77" t="inlineStr">
        <is>
          <t>search-summary paraphrase</t>
        </is>
      </c>
      <c r="L631" s="77" t="inlineStr">
        <is>
          <t>Students learn to engineer complex software systems or conduct research projects 'according to the requirements of a customer'; customer may be an academic or an industrial partner; each group has between 4 and 6 students.</t>
        </is>
      </c>
    </row>
    <row r="632">
      <c r="A632" s="77" t="inlineStr">
        <is>
          <t>RG23-S08-R2</t>
        </is>
      </c>
      <c r="B632" s="77" t="inlineStr">
        <is>
          <t>RG23</t>
        </is>
      </c>
      <c r="C632" s="77" t="inlineStr">
        <is>
          <t>RG23-S08</t>
        </is>
      </c>
      <c r="D632" s="77" t="inlineStr">
        <is>
          <t>Group Project</t>
        </is>
      </c>
      <c r="E632" s="77" t="inlineStr">
        <is>
          <t>employer</t>
        </is>
      </c>
      <c r="F632" s="77" t="inlineStr">
        <is>
          <t>https://warwick.ac.uk/services/aro/dar/quality/modules/undergraduate/cs/cs407/</t>
        </is>
      </c>
      <c r="G632" s="77" t="inlineStr">
        <is>
          <t>CS407 - Group Project (archived catalogue)</t>
        </is>
      </c>
      <c r="H632" s="77" t="inlineStr">
        <is>
          <t>Archived module catalogue (pre-2019/20)</t>
        </is>
      </c>
      <c r="I632" s="77" t="inlineStr">
        <is>
          <t>pre-2019/20</t>
        </is>
      </c>
      <c r="J632" s="77" t="inlineStr">
        <is>
          <t>2026-10-12</t>
        </is>
      </c>
      <c r="K632" s="77" t="inlineStr">
        <is>
          <t>search-index extract (quoted)</t>
        </is>
      </c>
      <c r="L632" s="77" t="inlineStr">
        <is>
          <t>'the customer will normally be an industrial partner, or may alternatively be an academic'.</t>
        </is>
      </c>
    </row>
    <row r="633">
      <c r="A633" s="77" t="inlineStr">
        <is>
          <t>RG23-S09-R1</t>
        </is>
      </c>
      <c r="B633" s="77" t="inlineStr">
        <is>
          <t>RG23</t>
        </is>
      </c>
      <c r="C633" s="77" t="inlineStr">
        <is>
          <t>RG23-S09</t>
        </is>
      </c>
      <c r="D633" s="77" t="inlineStr">
        <is>
          <t>Industry Impact Projects (MSc International Trade, Strategy and Operations)</t>
        </is>
      </c>
      <c r="E633" s="77" t="inlineStr">
        <is>
          <t>project; group; employer</t>
        </is>
      </c>
      <c r="F633" s="77" t="inlineStr">
        <is>
          <t>https://warwick.ac.uk/fac/sci/wmg/study/masters-degrees/international-trade/</t>
        </is>
      </c>
      <c r="G633" s="77" t="inlineStr">
        <is>
          <t>MSc International Trade, Strategy and Operations</t>
        </is>
      </c>
      <c r="H633" s="77" t="inlineStr">
        <is>
          <t>Programme page</t>
        </is>
      </c>
      <c r="I633" s="77" t="inlineStr">
        <is>
          <t>undated</t>
        </is>
      </c>
      <c r="J633" s="77" t="inlineStr">
        <is>
          <t>2026-10-12</t>
        </is>
      </c>
      <c r="K633" s="77" t="inlineStr">
        <is>
          <t>search-summary paraphrase</t>
        </is>
      </c>
      <c r="L633" s="77" t="inlineStr">
        <is>
          <t>Industry Impact Projects where groups of students work on a pre-defined industrial challenge provided by a corporate partner; students have worked with Tata companies (Tata Motors, Tata Steel, Tata AutoComp Systems) on EV lifecycle assessment and steel logistics; individual Company Collaboration Projects also offered.</t>
        </is>
      </c>
    </row>
    <row r="634">
      <c r="A634" s="77" t="inlineStr">
        <is>
          <t>RG23-S10-R1</t>
        </is>
      </c>
      <c r="B634" s="77" t="inlineStr">
        <is>
          <t>RG23</t>
        </is>
      </c>
      <c r="C634" s="77" t="inlineStr">
        <is>
          <t>RG23-S10</t>
        </is>
      </c>
      <c r="D634" s="77" t="inlineStr">
        <is>
          <t>Industry Collaboration Project (MSc Innovation and Entrepreneurship)</t>
        </is>
      </c>
      <c r="E634" s="77" t="inlineStr">
        <is>
          <t>project; employer</t>
        </is>
      </c>
      <c r="F634" s="77" t="inlineStr">
        <is>
          <t>https://warwick.ac.uk/fac/sci/wmg/study/masters-degrees/entrepreneurship/</t>
        </is>
      </c>
      <c r="G634" s="77" t="inlineStr">
        <is>
          <t>MSc Innovation and Entrepreneurship</t>
        </is>
      </c>
      <c r="H634" s="77" t="inlineStr">
        <is>
          <t>Programme page</t>
        </is>
      </c>
      <c r="I634" s="77" t="inlineStr">
        <is>
          <t>undated</t>
        </is>
      </c>
      <c r="J634" s="77" t="inlineStr">
        <is>
          <t>2026-10-12</t>
        </is>
      </c>
      <c r="K634" s="77" t="inlineStr">
        <is>
          <t>search-summary paraphrase</t>
        </is>
      </c>
      <c r="L634" s="77" t="inlineStr">
        <is>
          <t>Industry Collaboration Project asks students to develop solutions to a real-world industry problem set in consultation with a WMG partner organisation; assessed by supervisor plus independent assessor.</t>
        </is>
      </c>
    </row>
    <row r="635">
      <c r="A635" s="77" t="inlineStr">
        <is>
          <t>RG23-S11-R1</t>
        </is>
      </c>
      <c r="B635" s="77" t="inlineStr">
        <is>
          <t>RG23</t>
        </is>
      </c>
      <c r="C635" s="77" t="inlineStr">
        <is>
          <t>RG23-S11</t>
        </is>
      </c>
      <c r="D635" s="77" t="inlineStr">
        <is>
          <t>Practice-based Project</t>
        </is>
      </c>
      <c r="E635" s="77" t="inlineStr">
        <is>
          <t>project; group; employer</t>
        </is>
      </c>
      <c r="F635" s="77" t="inlineStr">
        <is>
          <t>https://courses.warwick.ac.uk/modules/2021/GD903-60</t>
        </is>
      </c>
      <c r="G635" s="77" t="inlineStr">
        <is>
          <t>GD903-60 Practice-based Project - Module Catalogue</t>
        </is>
      </c>
      <c r="H635" s="77" t="inlineStr">
        <is>
          <t>Module catalogue 2021</t>
        </is>
      </c>
      <c r="I635" s="77" t="inlineStr">
        <is>
          <t>2021</t>
        </is>
      </c>
      <c r="J635" s="77" t="inlineStr">
        <is>
          <t>2026-10-12</t>
        </is>
      </c>
      <c r="K635" s="77" t="inlineStr">
        <is>
          <t>search-summary paraphrase</t>
        </is>
      </c>
      <c r="L635" s="77" t="inlineStr">
        <is>
          <t>Capstone module for Masters students: teams work on a 'client' project brief for promoting sustainable development; partner may be external organisations identified by the student or the School's Placement Officer.</t>
        </is>
      </c>
    </row>
    <row r="636">
      <c r="A636" s="77" t="inlineStr">
        <is>
          <t>RG23-S12-R1</t>
        </is>
      </c>
      <c r="B636" s="77" t="inlineStr">
        <is>
          <t>RG23</t>
        </is>
      </c>
      <c r="C636" s="77" t="inlineStr">
        <is>
          <t>RG23-S12</t>
        </is>
      </c>
      <c r="D636" s="77" t="inlineStr">
        <is>
          <t>Applied Communication Project</t>
        </is>
      </c>
      <c r="E636" s="77" t="inlineStr">
        <is>
          <t>project; group; employer</t>
        </is>
      </c>
      <c r="F636" s="77" t="inlineStr">
        <is>
          <t>https://courses.warwick.ac.uk/modules/2024/LP916-15</t>
        </is>
      </c>
      <c r="G636" s="77" t="inlineStr">
        <is>
          <t>LP916-15 Applied Communication Project - Module Catalogue</t>
        </is>
      </c>
      <c r="H636" s="77" t="inlineStr">
        <is>
          <t>Module catalogue 2024</t>
        </is>
      </c>
      <c r="I636" s="77" t="inlineStr">
        <is>
          <t>2024</t>
        </is>
      </c>
      <c r="J636" s="77" t="inlineStr">
        <is>
          <t>2026-10-12</t>
        </is>
      </c>
      <c r="K636" s="77" t="inlineStr">
        <is>
          <t>search-summary paraphrase</t>
        </is>
      </c>
      <c r="L636" s="77" t="inlineStr">
        <is>
          <t>Teams work on a live brief and present a strategic proposal to the client at the end of the module.</t>
        </is>
      </c>
    </row>
    <row r="637">
      <c r="A637" s="77" t="inlineStr">
        <is>
          <t>RG24-S01-R1</t>
        </is>
      </c>
      <c r="B637" s="77" t="inlineStr">
        <is>
          <t>RG24</t>
        </is>
      </c>
      <c r="C637" s="77" t="inlineStr">
        <is>
          <t>RG24-S01</t>
        </is>
      </c>
      <c r="D637" s="77" t="inlineStr">
        <is>
          <t>York Interdisciplinary Modules (YIMs)</t>
        </is>
      </c>
      <c r="E637" s="77" t="inlineStr">
        <is>
          <t>project; group; employer; reach; eligibility; status; credit</t>
        </is>
      </c>
      <c r="F637" s="77" t="inlineStr">
        <is>
          <t>https://www.york.ac.uk/about/sustainability/teaching-learning/york-interdisciplinary-modules/</t>
        </is>
      </c>
      <c r="G637" s="77" t="inlineStr">
        <is>
          <t>York Interdisciplinary Modules - Teaching and learning</t>
        </is>
      </c>
      <c r="H637" s="77" t="inlineStr">
        <is>
          <t>YIM overview</t>
        </is>
      </c>
      <c r="I637" s="77" t="inlineStr">
        <is>
          <t>undated (2026/27 application dates shown)</t>
        </is>
      </c>
      <c r="J637" s="77" t="inlineStr">
        <is>
          <t>2026-10-12</t>
        </is>
      </c>
      <c r="K637" s="77" t="inlineStr">
        <is>
          <t>search-summary paraphrase</t>
        </is>
      </c>
      <c r="L637" s="77" t="inlineStr">
        <is>
          <t>YIMs are elective modules worth 20 credits; students work in multi-disciplinary teams; only in some YIMs do students work with outside organisations; 2026/27 undergraduate application deadline 24 August 2026.</t>
        </is>
      </c>
    </row>
    <row r="638">
      <c r="A638" s="77" t="inlineStr">
        <is>
          <t>RG24-S01-R2</t>
        </is>
      </c>
      <c r="B638" s="77" t="inlineStr">
        <is>
          <t>RG24</t>
        </is>
      </c>
      <c r="C638" s="77" t="inlineStr">
        <is>
          <t>RG24-S01</t>
        </is>
      </c>
      <c r="D638" s="77" t="inlineStr">
        <is>
          <t>York Interdisciplinary Modules (YIMs)</t>
        </is>
      </c>
      <c r="E638" s="77" t="inlineStr">
        <is>
          <t>reach; eligibility; status</t>
        </is>
      </c>
      <c r="F638" s="77" t="inlineStr">
        <is>
          <t>https://features.york.ac.uk/york-interdisciplinary-modules/</t>
        </is>
      </c>
      <c r="G638" s="77" t="inlineStr">
        <is>
          <t>York Interdisciplinary Modules (YIMs)</t>
        </is>
      </c>
      <c r="H638" s="77" t="inlineStr">
        <is>
          <t>overview</t>
        </is>
      </c>
      <c r="I638" s="77" t="inlineStr">
        <is>
          <t>undated</t>
        </is>
      </c>
      <c r="J638" s="77" t="inlineStr">
        <is>
          <t>2026-10-12</t>
        </is>
      </c>
      <c r="K638" s="77" t="inlineStr">
        <is>
          <t>search-index extract (quoted)</t>
        </is>
      </c>
      <c r="L638" s="77" t="inlineStr">
        <is>
          <t>Sustainability Clinic available as an elective in 2026/27 to 3rd year undergraduates (semester 1, repeated semester 2) and postgraduates (semester 2), subject to timetable and department availability.</t>
        </is>
      </c>
    </row>
    <row r="639">
      <c r="A639" s="77" t="inlineStr">
        <is>
          <t>RG24-S02-R1</t>
        </is>
      </c>
      <c r="B639" s="77" t="inlineStr">
        <is>
          <t>RG24</t>
        </is>
      </c>
      <c r="C639" s="77" t="inlineStr">
        <is>
          <t>RG24-S02</t>
        </is>
      </c>
      <c r="D639" s="77" t="inlineStr">
        <is>
          <t>Sustainability Clinic</t>
        </is>
      </c>
      <c r="E639" s="77" t="inlineStr">
        <is>
          <t>project; group; employer; credit; status; reach</t>
        </is>
      </c>
      <c r="F639" s="77" t="inlineStr">
        <is>
          <t>https://www.york.ac.uk/students/studying/manage/programmes/module-catalogue/module/ESA00001H/latest</t>
        </is>
      </c>
      <c r="G639" s="77" t="inlineStr">
        <is>
          <t>Sustainability Clinic (B: Semester 2) (ESA00001H) - Module Catalogue</t>
        </is>
      </c>
      <c r="H639" s="77" t="inlineStr">
        <is>
          <t>Module summary</t>
        </is>
      </c>
      <c r="I639" s="77" t="inlineStr">
        <is>
          <t>2026-27 (latest listed; 2025-26 content)</t>
        </is>
      </c>
      <c r="J639" s="77" t="inlineStr">
        <is>
          <t>2026-10-12</t>
        </is>
      </c>
      <c r="K639" s="77" t="inlineStr">
        <is>
          <t>search-index extract (quoted)</t>
        </is>
      </c>
      <c r="L639" s="77" t="inlineStr">
        <is>
          <t>Students work on behalf of clients on live real-world sustainability problems; projects tackled by multi-disciplinary student teams drawn from a range of Departments; clients could be members of the general public, local government, community groups, charities or businesses; 20 credits; 2000 word reflective report.</t>
        </is>
      </c>
    </row>
    <row r="640">
      <c r="A640" s="77" t="inlineStr">
        <is>
          <t>RG24-S02-R2</t>
        </is>
      </c>
      <c r="B640" s="77" t="inlineStr">
        <is>
          <t>RG24</t>
        </is>
      </c>
      <c r="C640" s="77" t="inlineStr">
        <is>
          <t>RG24-S02</t>
        </is>
      </c>
      <c r="D640" s="77" t="inlineStr">
        <is>
          <t>Sustainability Clinic</t>
        </is>
      </c>
      <c r="E640" s="77" t="inlineStr">
        <is>
          <t>employer</t>
        </is>
      </c>
      <c r="F640" s="77" t="inlineStr">
        <is>
          <t>https://www.york.ac.uk/about/sustainability/teaching-learning/sustainability-clinic/</t>
        </is>
      </c>
      <c r="G640" s="77" t="inlineStr">
        <is>
          <t>Sustainability Clinic - Teaching and learning</t>
        </is>
      </c>
      <c r="H640" s="77" t="inlineStr">
        <is>
          <t>overview</t>
        </is>
      </c>
      <c r="I640" s="77" t="inlineStr">
        <is>
          <t>undated</t>
        </is>
      </c>
      <c r="J640" s="77" t="inlineStr">
        <is>
          <t>2026-10-12</t>
        </is>
      </c>
      <c r="K640" s="77" t="inlineStr">
        <is>
          <t>search-summary paraphrase</t>
        </is>
      </c>
      <c r="L640" s="77" t="inlineStr">
        <is>
          <t>Past partners include Yorkshire Wildlife Trust, York Minster and North Yorkshire Moors Railway; over 450 students and 65 partner organisations have taken part.</t>
        </is>
      </c>
    </row>
    <row r="641">
      <c r="A641" s="77" t="inlineStr">
        <is>
          <t>RG24-S02-R3</t>
        </is>
      </c>
      <c r="B641" s="77" t="inlineStr">
        <is>
          <t>RG24</t>
        </is>
      </c>
      <c r="C641" s="77" t="inlineStr">
        <is>
          <t>RG24-S02</t>
        </is>
      </c>
      <c r="D641" s="77" t="inlineStr">
        <is>
          <t>Sustainability Clinic</t>
        </is>
      </c>
      <c r="E641" s="77" t="inlineStr">
        <is>
          <t>status; credit; eligibility</t>
        </is>
      </c>
      <c r="F641" s="77" t="inlineStr">
        <is>
          <t>https://www.york.ac.uk/students/studying/manage/programmes/module-catalogue/module/ENV00111M/latest</t>
        </is>
      </c>
      <c r="G641" s="77" t="inlineStr">
        <is>
          <t>Sustainability Clinic (Environment &amp; Geography) (ENV00111M) 2026-27</t>
        </is>
      </c>
      <c r="H641" s="77" t="inlineStr">
        <is>
          <t>Module catalogue</t>
        </is>
      </c>
      <c r="I641" s="77" t="inlineStr">
        <is>
          <t>2026-27</t>
        </is>
      </c>
      <c r="J641" s="77" t="inlineStr">
        <is>
          <t>2026-10-12</t>
        </is>
      </c>
      <c r="K641" s="77" t="inlineStr">
        <is>
          <t>search-summary paraphrase</t>
        </is>
      </c>
      <c r="L641" s="77" t="inlineStr">
        <is>
          <t>Postgraduate version, Semester 2 2026-27; 3000 word reflective report.</t>
        </is>
      </c>
    </row>
    <row r="642">
      <c r="A642" s="77" t="inlineStr">
        <is>
          <t>RG24-S02-R4</t>
        </is>
      </c>
      <c r="B642" s="77" t="inlineStr">
        <is>
          <t>RG24</t>
        </is>
      </c>
      <c r="C642" s="77" t="inlineStr">
        <is>
          <t>RG24-S02</t>
        </is>
      </c>
      <c r="D642" s="77" t="inlineStr">
        <is>
          <t>Sustainability Clinic</t>
        </is>
      </c>
      <c r="E642" s="77" t="inlineStr">
        <is>
          <t>reach; eligibility; status</t>
        </is>
      </c>
      <c r="F642" s="77" t="inlineStr">
        <is>
          <t>https://features.york.ac.uk/york-interdisciplinary-modules/</t>
        </is>
      </c>
      <c r="G642" s="77" t="inlineStr">
        <is>
          <t>York Interdisciplinary Modules (YIMs)</t>
        </is>
      </c>
      <c r="H642" s="77" t="inlineStr">
        <is>
          <t>overview</t>
        </is>
      </c>
      <c r="I642" s="77" t="inlineStr">
        <is>
          <t>undated</t>
        </is>
      </c>
      <c r="J642" s="77" t="inlineStr">
        <is>
          <t>2026-10-12</t>
        </is>
      </c>
      <c r="K642" s="77" t="inlineStr">
        <is>
          <t>search-index extract (quoted)</t>
        </is>
      </c>
      <c r="L642" s="77" t="inlineStr">
        <is>
          <t>Available as an elective in 2026/27 to 3rd year undergraduates in semester 1 (repeated in semester 2) and postgraduates in semester 2, subject to timetable and department availability.</t>
        </is>
      </c>
    </row>
    <row r="643">
      <c r="A643" s="77" t="inlineStr">
        <is>
          <t>RG24-S03-R1</t>
        </is>
      </c>
      <c r="B643" s="77" t="inlineStr">
        <is>
          <t>RG24</t>
        </is>
      </c>
      <c r="C643" s="77" t="inlineStr">
        <is>
          <t>RG24-S03</t>
        </is>
      </c>
      <c r="D643" s="77" t="inlineStr">
        <is>
          <t>Climate Crisis Action Lab (Climate Crisis: Advocacy and Action YIM)</t>
        </is>
      </c>
      <c r="E643" s="77" t="inlineStr">
        <is>
          <t>project; group; employer; credit; status</t>
        </is>
      </c>
      <c r="F643" s="77" t="inlineStr">
        <is>
          <t>https://www.york.ac.uk/students/studying/manage/programmes/module-catalogue/module/ESA00003H/latest</t>
        </is>
      </c>
      <c r="G643" s="77" t="inlineStr">
        <is>
          <t>Climate Crisis Action Lab (ESA00003H) 2025-26 - Module Catalogue</t>
        </is>
      </c>
      <c r="H643" s="77" t="inlineStr">
        <is>
          <t>Module description</t>
        </is>
      </c>
      <c r="I643" s="77" t="inlineStr">
        <is>
          <t>2025-26</t>
        </is>
      </c>
      <c r="J643" s="77" t="inlineStr">
        <is>
          <t>2026-10-12</t>
        </is>
      </c>
      <c r="K643" s="77" t="inlineStr">
        <is>
          <t>search-index extract (quoted)</t>
        </is>
      </c>
      <c r="L643" s="77" t="inlineStr">
        <is>
          <t>Teams of students from Chemistry, Environment and Geography and York Law School; an outside organisation, likely a campaign group, gives a brief each year; group output assessed; separate non-assessed client-facing output.</t>
        </is>
      </c>
    </row>
    <row r="644">
      <c r="A644" s="77" t="inlineStr">
        <is>
          <t>RG24-S03-R2</t>
        </is>
      </c>
      <c r="B644" s="77" t="inlineStr">
        <is>
          <t>RG24</t>
        </is>
      </c>
      <c r="C644" s="77" t="inlineStr">
        <is>
          <t>RG24-S03</t>
        </is>
      </c>
      <c r="D644" s="77" t="inlineStr">
        <is>
          <t>Climate Crisis Action Lab (Climate Crisis: Advocacy and Action YIM)</t>
        </is>
      </c>
      <c r="E644" s="77" t="inlineStr">
        <is>
          <t>status</t>
        </is>
      </c>
      <c r="F644" s="77" t="inlineStr">
        <is>
          <t>https://www.york.ac.uk/about/sustainability/teaching-learning/york-interdisciplinary-modules/</t>
        </is>
      </c>
      <c r="G644" s="77" t="inlineStr">
        <is>
          <t>York Interdisciplinary Modules - Teaching and learning</t>
        </is>
      </c>
      <c r="H644" s="77" t="inlineStr">
        <is>
          <t>Current offering</t>
        </is>
      </c>
      <c r="I644" s="77" t="inlineStr">
        <is>
          <t>undated (refers to 2026/27)</t>
        </is>
      </c>
      <c r="J644" s="77" t="inlineStr">
        <is>
          <t>2026-10-12</t>
        </is>
      </c>
      <c r="K644" s="77" t="inlineStr">
        <is>
          <t>search-summary paraphrase</t>
        </is>
      </c>
      <c r="L644" s="77" t="inlineStr">
        <is>
          <t>Climate Crisis: Advocacy and Action YIM will not be running in 2026/27.</t>
        </is>
      </c>
    </row>
    <row r="645">
      <c r="A645" s="77" t="inlineStr">
        <is>
          <t>RG24-S04-R1</t>
        </is>
      </c>
      <c r="B645" s="77" t="inlineStr">
        <is>
          <t>RG24</t>
        </is>
      </c>
      <c r="C645" s="77" t="inlineStr">
        <is>
          <t>RG24-S04</t>
        </is>
      </c>
      <c r="D645" s="77" t="inlineStr">
        <is>
          <t>Community Engaged Learning (CEL)</t>
        </is>
      </c>
      <c r="E645" s="77" t="inlineStr">
        <is>
          <t>project; group; employer; status</t>
        </is>
      </c>
      <c r="F645" s="77" t="inlineStr">
        <is>
          <t>https://www.york.ac.uk/staff/teaching/community-engaged-learning/our-projects/</t>
        </is>
      </c>
      <c r="G645" s="77" t="inlineStr">
        <is>
          <t>Our projects - Community Engaged Learning</t>
        </is>
      </c>
      <c r="H645" s="77" t="inlineStr">
        <is>
          <t>overview</t>
        </is>
      </c>
      <c r="I645" s="77" t="inlineStr">
        <is>
          <t>undated (2024/25 figures)</t>
        </is>
      </c>
      <c r="J645" s="77" t="inlineStr">
        <is>
          <t>2026-10-12</t>
        </is>
      </c>
      <c r="K645" s="77" t="inlineStr">
        <is>
          <t>search-summary paraphrase</t>
        </is>
      </c>
      <c r="L645" s="77" t="inlineStr">
        <is>
          <t>CEL integrates experiential learning into the curriculum, enabling students to collaborate with external partners on real-world challenges; 2024/25: 158 community partners, 1,424 students and 61 projects.</t>
        </is>
      </c>
    </row>
    <row r="646">
      <c r="A646" s="77" t="inlineStr">
        <is>
          <t>RG24-S05-R1</t>
        </is>
      </c>
      <c r="B646" s="77" t="inlineStr">
        <is>
          <t>RG24</t>
        </is>
      </c>
      <c r="C646" s="77" t="inlineStr">
        <is>
          <t>RG24-S05</t>
        </is>
      </c>
      <c r="D646" s="77" t="inlineStr">
        <is>
          <t>Public History Project</t>
        </is>
      </c>
      <c r="E646" s="77" t="inlineStr">
        <is>
          <t>project; group; employer; credit; status</t>
        </is>
      </c>
      <c r="F646" s="77" t="inlineStr">
        <is>
          <t>https://www.york.ac.uk/students/studying/manage/programmes/module-catalogue/module/HIS00130I/latest</t>
        </is>
      </c>
      <c r="G646" s="77" t="inlineStr">
        <is>
          <t>Public History Project (HIS00130I) 2025-26 - Module Catalogue</t>
        </is>
      </c>
      <c r="H646" s="77" t="inlineStr">
        <is>
          <t>Module description</t>
        </is>
      </c>
      <c r="I646" s="77" t="inlineStr">
        <is>
          <t>2025-26</t>
        </is>
      </c>
      <c r="J646" s="77" t="inlineStr">
        <is>
          <t>2026-10-12</t>
        </is>
      </c>
      <c r="K646" s="77" t="inlineStr">
        <is>
          <t>search-index extract (quoted)</t>
        </is>
      </c>
      <c r="L646" s="77" t="inlineStr">
        <is>
          <t>Students work in small teams on a public history project to a brief from an external partner organisation such as a museum or community group; Semester 1 2025-26; 20 credits; group presentation plus 1,500-word reflection.</t>
        </is>
      </c>
    </row>
    <row r="647">
      <c r="A647" s="77" t="inlineStr">
        <is>
          <t>RG24-S05-R2</t>
        </is>
      </c>
      <c r="B647" s="77" t="inlineStr">
        <is>
          <t>RG24</t>
        </is>
      </c>
      <c r="C647" s="77" t="inlineStr">
        <is>
          <t>RG24-S05</t>
        </is>
      </c>
      <c r="D647" s="77" t="inlineStr">
        <is>
          <t>Public History Project</t>
        </is>
      </c>
      <c r="E647" s="77" t="inlineStr">
        <is>
          <t>reach; participation</t>
        </is>
      </c>
      <c r="F647" s="77" t="inlineStr">
        <is>
          <t>https://www.york.ac.uk/study/undergraduate/courses/ba-history/</t>
        </is>
      </c>
      <c r="G647" s="77" t="inlineStr">
        <is>
          <t>History (BA) - Undergraduate</t>
        </is>
      </c>
      <c r="H647" s="77" t="inlineStr">
        <is>
          <t>Course structure</t>
        </is>
      </c>
      <c r="I647" s="77" t="inlineStr">
        <is>
          <t>undated</t>
        </is>
      </c>
      <c r="J647" s="77" t="inlineStr">
        <is>
          <t>2026-10-12</t>
        </is>
      </c>
      <c r="K647" s="77" t="inlineStr">
        <is>
          <t>search-summary paraphrase</t>
        </is>
      </c>
      <c r="L647" s="77" t="inlineStr">
        <is>
          <t>Public History Project listed as one of two Year 2 core modules; students work on a brief from an organisation.</t>
        </is>
      </c>
    </row>
    <row r="648">
      <c r="A648" s="77" t="inlineStr">
        <is>
          <t>RG24-S06-R1</t>
        </is>
      </c>
      <c r="B648" s="77" t="inlineStr">
        <is>
          <t>RG24</t>
        </is>
      </c>
      <c r="C648" s="77" t="inlineStr">
        <is>
          <t>RG24-S06</t>
        </is>
      </c>
      <c r="D648" s="77" t="inlineStr">
        <is>
          <t>Community Action Project</t>
        </is>
      </c>
      <c r="E648" s="77" t="inlineStr">
        <is>
          <t>project; group; employer; status; credit</t>
        </is>
      </c>
      <c r="F648" s="77" t="inlineStr">
        <is>
          <t>https://www.york.ac.uk/students/studying/manage/programmes/module-catalogue/module/PSY00075H/2025-26</t>
        </is>
      </c>
      <c r="G648" s="77" t="inlineStr">
        <is>
          <t>Community Action Project (PSY00075H) 2025-26 - Module Catalogue</t>
        </is>
      </c>
      <c r="H648" s="77" t="inlineStr">
        <is>
          <t>Module description</t>
        </is>
      </c>
      <c r="I648" s="77" t="inlineStr">
        <is>
          <t>2025-26</t>
        </is>
      </c>
      <c r="J648" s="77" t="inlineStr">
        <is>
          <t>2026-10-12</t>
        </is>
      </c>
      <c r="K648" s="77" t="inlineStr">
        <is>
          <t>search-index extract (quoted)</t>
        </is>
      </c>
      <c r="L648" s="77" t="inlineStr">
        <is>
          <t>Students will work in small teams to a brief provided by an external partner organisation; projects typically on mental health or wellbeing; project facilitators support teams.</t>
        </is>
      </c>
    </row>
    <row r="649">
      <c r="A649" s="77" t="inlineStr">
        <is>
          <t>RG24-S06-R2</t>
        </is>
      </c>
      <c r="B649" s="77" t="inlineStr">
        <is>
          <t>RG24</t>
        </is>
      </c>
      <c r="C649" s="77" t="inlineStr">
        <is>
          <t>RG24-S06</t>
        </is>
      </c>
      <c r="D649" s="77" t="inlineStr">
        <is>
          <t>Community Action Project</t>
        </is>
      </c>
      <c r="E649" s="77" t="inlineStr">
        <is>
          <t>employer</t>
        </is>
      </c>
      <c r="F649" s="77" t="inlineStr">
        <is>
          <t>https://www.york.ac.uk/staff/teaching/community-engaged-learning/our-projects/</t>
        </is>
      </c>
      <c r="G649" s="77" t="inlineStr">
        <is>
          <t>Our projects - Community Engaged Learning</t>
        </is>
      </c>
      <c r="H649" s="77" t="inlineStr">
        <is>
          <t>Psychology</t>
        </is>
      </c>
      <c r="I649" s="77" t="inlineStr">
        <is>
          <t>undated</t>
        </is>
      </c>
      <c r="J649" s="77" t="inlineStr">
        <is>
          <t>2026-10-12</t>
        </is>
      </c>
      <c r="K649" s="77" t="inlineStr">
        <is>
          <t>search-summary paraphrase</t>
        </is>
      </c>
      <c r="L649" s="77" t="inlineStr">
        <is>
          <t>Student teams in Psychology's Community Action Projects work with local charities to help them capture and analyse evidence of their impact.</t>
        </is>
      </c>
    </row>
    <row r="650">
      <c r="A650" s="77" t="inlineStr">
        <is>
          <t>RG24-S07-R1</t>
        </is>
      </c>
      <c r="B650" s="77" t="inlineStr">
        <is>
          <t>RG24</t>
        </is>
      </c>
      <c r="C650" s="77" t="inlineStr">
        <is>
          <t>RG24-S07</t>
        </is>
      </c>
      <c r="D650" s="77" t="inlineStr">
        <is>
          <t>Beyond the Book: Community Projects - Semester 1</t>
        </is>
      </c>
      <c r="E650" s="77" t="inlineStr">
        <is>
          <t>project; group; employer; status</t>
        </is>
      </c>
      <c r="F650" s="77" t="inlineStr">
        <is>
          <t>https://www.york.ac.uk/students/studying/manage/programmes/module-catalogue/module/ENG00175I/latest</t>
        </is>
      </c>
      <c r="G650" s="77" t="inlineStr">
        <is>
          <t>Beyond the Book: Community Projects -- Semester 1 (ENG00175I) 2026-27 - Module Catalogue</t>
        </is>
      </c>
      <c r="H650" s="77" t="inlineStr">
        <is>
          <t>Module description</t>
        </is>
      </c>
      <c r="I650" s="77" t="inlineStr">
        <is>
          <t>2026-27</t>
        </is>
      </c>
      <c r="J650" s="77" t="inlineStr">
        <is>
          <t>2026-10-12</t>
        </is>
      </c>
      <c r="K650" s="77" t="inlineStr">
        <is>
          <t>search-summary paraphrase</t>
        </is>
      </c>
      <c r="L650" s="77" t="inlineStr">
        <is>
          <t>CEL team works with partner organisations each semester; students rank projects and are allocated to teams; pilot projects with Borthwick Institute, York City of Sanctuary, York Festival of Ideas, York Mystery Plays.</t>
        </is>
      </c>
    </row>
    <row r="651">
      <c r="A651" s="77" t="inlineStr">
        <is>
          <t>RG24-S08-R1</t>
        </is>
      </c>
      <c r="B651" s="77" t="inlineStr">
        <is>
          <t>RG24</t>
        </is>
      </c>
      <c r="C651" s="77" t="inlineStr">
        <is>
          <t>RG24-S08</t>
        </is>
      </c>
      <c r="D651" s="77" t="inlineStr">
        <is>
          <t>Student consultancy projects / Business Consultancy Project</t>
        </is>
      </c>
      <c r="E651" s="77" t="inlineStr">
        <is>
          <t>project; group; credit; status</t>
        </is>
      </c>
      <c r="F651" s="77" t="inlineStr">
        <is>
          <t>https://www.york.ac.uk/students/studying/manage/programmes/module-catalogue/module/MAN00019H/latest</t>
        </is>
      </c>
      <c r="G651" s="77" t="inlineStr">
        <is>
          <t>Business Consultancy Project (MAN00019H) 2026-27 - Module Catalogue</t>
        </is>
      </c>
      <c r="H651" s="77" t="inlineStr">
        <is>
          <t>Module description</t>
        </is>
      </c>
      <c r="I651" s="77" t="inlineStr">
        <is>
          <t>2026-27</t>
        </is>
      </c>
      <c r="J651" s="77" t="inlineStr">
        <is>
          <t>2026-10-12</t>
        </is>
      </c>
      <c r="K651" s="77" t="inlineStr">
        <is>
          <t>search-summary paraphrase</t>
        </is>
      </c>
      <c r="L651" s="77" t="inlineStr">
        <is>
          <t>20-credit Level H module in Semester 2 2026-27; syllabus includes managing client relations and presenting conclusions; 60% coursework, 40% groupwork.</t>
        </is>
      </c>
    </row>
    <row r="652">
      <c r="A652" s="77" t="inlineStr">
        <is>
          <t>RG24-S08-R2</t>
        </is>
      </c>
      <c r="B652" s="77" t="inlineStr">
        <is>
          <t>RG24</t>
        </is>
      </c>
      <c r="C652" s="77" t="inlineStr">
        <is>
          <t>RG24-S08</t>
        </is>
      </c>
      <c r="D652" s="77" t="inlineStr">
        <is>
          <t>Student consultancy projects / Business Consultancy Project</t>
        </is>
      </c>
      <c r="E652" s="77" t="inlineStr">
        <is>
          <t>project; group; employer</t>
        </is>
      </c>
      <c r="F652" s="77" t="inlineStr">
        <is>
          <t>https://www.york.ac.uk/business-society/external-engagement/consultancy/</t>
        </is>
      </c>
      <c r="G652" s="77" t="inlineStr">
        <is>
          <t>Student consultancy projects - School for Business and Society</t>
        </is>
      </c>
      <c r="H652" s="77" t="inlineStr">
        <is>
          <t>Undergraduate consultancy</t>
        </is>
      </c>
      <c r="I652" s="77" t="inlineStr">
        <is>
          <t>undated</t>
        </is>
      </c>
      <c r="J652" s="77" t="inlineStr">
        <is>
          <t>2026-10-12</t>
        </is>
      </c>
      <c r="K652" s="77" t="inlineStr">
        <is>
          <t>search-summary paraphrase</t>
        </is>
      </c>
      <c r="L652" s="77" t="inlineStr">
        <is>
          <t>Six-week part-time consultancy assignment in groups for individual clients; businesses, charities and public sector organisations; set-up Nov-Dec, start January, delivery March.</t>
        </is>
      </c>
    </row>
    <row r="653">
      <c r="A653" s="77" t="inlineStr">
        <is>
          <t>RG24-S08-R3</t>
        </is>
      </c>
      <c r="B653" s="77" t="inlineStr">
        <is>
          <t>RG24</t>
        </is>
      </c>
      <c r="C653" s="77" t="inlineStr">
        <is>
          <t>RG24-S08</t>
        </is>
      </c>
      <c r="D653" s="77" t="inlineStr">
        <is>
          <t>Student consultancy projects / Business Consultancy Project</t>
        </is>
      </c>
      <c r="E653" s="77" t="inlineStr">
        <is>
          <t>eligibility; participation</t>
        </is>
      </c>
      <c r="F653" s="77" t="inlineStr">
        <is>
          <t>https://www.york.ac.uk/study/undergraduate/courses/ba-business-society/</t>
        </is>
      </c>
      <c r="G653" s="77" t="inlineStr">
        <is>
          <t>Business and Society (BA)</t>
        </is>
      </c>
      <c r="H653" s="77" t="inlineStr">
        <is>
          <t>Year 3 options</t>
        </is>
      </c>
      <c r="I653" s="77" t="inlineStr">
        <is>
          <t>undated</t>
        </is>
      </c>
      <c r="J653" s="77" t="inlineStr">
        <is>
          <t>2026-10-12</t>
        </is>
      </c>
      <c r="K653" s="77" t="inlineStr">
        <is>
          <t>search-summary paraphrase</t>
        </is>
      </c>
      <c r="L653" s="77" t="inlineStr">
        <is>
          <t>Business Consultancy Project listed among option modules.</t>
        </is>
      </c>
    </row>
    <row r="654">
      <c r="A654" s="77" t="inlineStr">
        <is>
          <t>RG24-S09-R1</t>
        </is>
      </c>
      <c r="B654" s="77" t="inlineStr">
        <is>
          <t>RG24</t>
        </is>
      </c>
      <c r="C654" s="77" t="inlineStr">
        <is>
          <t>RG24-S09</t>
        </is>
      </c>
      <c r="D654" s="77" t="inlineStr">
        <is>
          <t>MSc Management applied (work-based) dissertation with live business projects</t>
        </is>
      </c>
      <c r="E654" s="77" t="inlineStr">
        <is>
          <t>project; group; employer; status</t>
        </is>
      </c>
      <c r="F654" s="77" t="inlineStr">
        <is>
          <t>https://www.york.ac.uk/study/postgraduate-taught/courses/msc-management/</t>
        </is>
      </c>
      <c r="G654" s="77" t="inlineStr">
        <is>
          <t>Management (MSc) - Postgraduate taught</t>
        </is>
      </c>
      <c r="H654" s="77" t="inlineStr">
        <is>
          <t>Dissertation options</t>
        </is>
      </c>
      <c r="I654" s="77" t="inlineStr">
        <is>
          <t>undated</t>
        </is>
      </c>
      <c r="J654" s="77" t="inlineStr">
        <is>
          <t>2026-10-12</t>
        </is>
      </c>
      <c r="K654" s="77" t="inlineStr">
        <is>
          <t>search-summary paraphrase</t>
        </is>
      </c>
      <c r="L654" s="77" t="inlineStr">
        <is>
          <t>Applied route places students with employers; actual, live challenges set by businesses; working in small groups with a single company; project coordinator; past partners Optio Group, Think Consulting Solutions, Gong Cha Global.</t>
        </is>
      </c>
    </row>
    <row r="655">
      <c r="A655" s="77" t="inlineStr">
        <is>
          <t>RG24-S10-R1</t>
        </is>
      </c>
      <c r="B655" s="77" t="inlineStr">
        <is>
          <t>RG24</t>
        </is>
      </c>
      <c r="C655" s="77" t="inlineStr">
        <is>
          <t>RG24-S10</t>
        </is>
      </c>
      <c r="D655" s="77" t="inlineStr">
        <is>
          <t>Group Sustainable Business Project</t>
        </is>
      </c>
      <c r="E655" s="77" t="inlineStr">
        <is>
          <t>project; group; employer; status; credit</t>
        </is>
      </c>
      <c r="F655" s="77" t="inlineStr">
        <is>
          <t>https://www.york.ac.uk/students/studying/manage/programmes/module-catalogue/module/ENV00120M/2025-26</t>
        </is>
      </c>
      <c r="G655" s="77" t="inlineStr">
        <is>
          <t>Group Sustainable Business Project (ENV00120M) 2025-26 - Module Catalogue</t>
        </is>
      </c>
      <c r="H655" s="77" t="inlineStr">
        <is>
          <t>Module description</t>
        </is>
      </c>
      <c r="I655" s="77" t="inlineStr">
        <is>
          <t>2025-26</t>
        </is>
      </c>
      <c r="J655" s="77" t="inlineStr">
        <is>
          <t>2026-10-12</t>
        </is>
      </c>
      <c r="K655" s="77" t="inlineStr">
        <is>
          <t>search-summary paraphrase</t>
        </is>
      </c>
      <c r="L655" s="77" t="inlineStr">
        <is>
          <t>Developed and implemented by student groups from broad project ideas defined by business partners; weekly one-hour meetings with business partners; seminars where staff and industry partners review the report; Semester 2.</t>
        </is>
      </c>
    </row>
    <row r="656">
      <c r="A656" s="77" t="inlineStr">
        <is>
          <t>RG24-S10-R2</t>
        </is>
      </c>
      <c r="B656" s="77" t="inlineStr">
        <is>
          <t>RG24</t>
        </is>
      </c>
      <c r="C656" s="77" t="inlineStr">
        <is>
          <t>RG24-S10</t>
        </is>
      </c>
      <c r="D656" s="77" t="inlineStr">
        <is>
          <t>Group Sustainable Business Project</t>
        </is>
      </c>
      <c r="E656" s="77" t="inlineStr">
        <is>
          <t>employer; participation</t>
        </is>
      </c>
      <c r="F656" s="77" t="inlineStr">
        <is>
          <t>https://www.york.ac.uk/study/postgraduate-taught/courses/msc-sustainable-business/</t>
        </is>
      </c>
      <c r="G656" s="77" t="inlineStr">
        <is>
          <t>Sustainable Business: Leadership, Innovation and Management (MSc)</t>
        </is>
      </c>
      <c r="H656" s="77" t="inlineStr">
        <is>
          <t>Course overview</t>
        </is>
      </c>
      <c r="I656" s="77" t="inlineStr">
        <is>
          <t>undated</t>
        </is>
      </c>
      <c r="J656" s="77" t="inlineStr">
        <is>
          <t>2026-10-12</t>
        </is>
      </c>
      <c r="K656" s="77" t="inlineStr">
        <is>
          <t>search-summary paraphrase</t>
        </is>
      </c>
      <c r="L656" s="77" t="inlineStr">
        <is>
          <t>Group project gives experience of collaborating with an external organisation committed to sustainable business.</t>
        </is>
      </c>
    </row>
    <row r="657">
      <c r="A657" s="77" t="inlineStr">
        <is>
          <t>RG24-S11-R1</t>
        </is>
      </c>
      <c r="B657" s="77" t="inlineStr">
        <is>
          <t>RG24</t>
        </is>
      </c>
      <c r="C657" s="77" t="inlineStr">
        <is>
          <t>RG24-S11</t>
        </is>
      </c>
      <c r="D657" s="77" t="inlineStr">
        <is>
          <t>Migrants' Rights: Law and Policy Clinic</t>
        </is>
      </c>
      <c r="E657" s="77" t="inlineStr">
        <is>
          <t>project; group; employer; status</t>
        </is>
      </c>
      <c r="F657" s="77" t="inlineStr">
        <is>
          <t>https://www.york.ac.uk/students/studying/manage/programmes/module-catalogue/module/LAW00093H/2024-25</t>
        </is>
      </c>
      <c r="G657" s="77" t="inlineStr">
        <is>
          <t>Migrants' Rights: Law and Policy Clinic (LAW00093H) 2024-25 - Module Catalogue</t>
        </is>
      </c>
      <c r="H657" s="77" t="inlineStr">
        <is>
          <t>Module description</t>
        </is>
      </c>
      <c r="I657" s="77" t="inlineStr">
        <is>
          <t>2024-25</t>
        </is>
      </c>
      <c r="J657" s="77" t="inlineStr">
        <is>
          <t>2026-10-12</t>
        </is>
      </c>
      <c r="K657" s="77" t="inlineStr">
        <is>
          <t>search-index extract (quoted)</t>
        </is>
      </c>
      <c r="L657" s="77" t="inlineStr">
        <is>
          <t>Cases likely from charities and organisations working with migrants, treated as clients; each group advises on two cases; written advice letters; briefing on potential change to law or policy.</t>
        </is>
      </c>
    </row>
    <row r="658">
      <c r="A658" s="77" t="inlineStr">
        <is>
          <t>RG24-S11-R2</t>
        </is>
      </c>
      <c r="B658" s="77" t="inlineStr">
        <is>
          <t>RG24</t>
        </is>
      </c>
      <c r="C658" s="77" t="inlineStr">
        <is>
          <t>RG24-S11</t>
        </is>
      </c>
      <c r="D658" s="77" t="inlineStr">
        <is>
          <t>Migrants' Rights: Law and Policy Clinic</t>
        </is>
      </c>
      <c r="E658" s="77" t="inlineStr">
        <is>
          <t>project</t>
        </is>
      </c>
      <c r="F658" s="77" t="inlineStr">
        <is>
          <t>https://www.york.ac.uk/law/legal-clinic/migrants-rights-law-policy-clinic/</t>
        </is>
      </c>
      <c r="G658" s="77" t="inlineStr">
        <is>
          <t>Migrants' Rights: Law and Policy Clinic - York Law School</t>
        </is>
      </c>
      <c r="H658" s="77" t="inlineStr">
        <is>
          <t>Clinic page</t>
        </is>
      </c>
      <c r="I658" s="77" t="inlineStr">
        <is>
          <t>undated</t>
        </is>
      </c>
      <c r="J658" s="77" t="inlineStr">
        <is>
          <t>2026-10-12</t>
        </is>
      </c>
      <c r="K658" s="77" t="inlineStr">
        <is>
          <t>search-summary paraphrase</t>
        </is>
      </c>
      <c r="L658" s="77" t="inlineStr">
        <is>
          <t>Clinic provides written advice only; does not provide immigration advice.</t>
        </is>
      </c>
    </row>
    <row r="659">
      <c r="A659" s="77" t="inlineStr">
        <is>
          <t>RG24-S12-R1</t>
        </is>
      </c>
      <c r="B659" s="77" t="inlineStr">
        <is>
          <t>RG24</t>
        </is>
      </c>
      <c r="C659" s="77" t="inlineStr">
        <is>
          <t>RG24-S12</t>
        </is>
      </c>
      <c r="D659" s="77" t="inlineStr">
        <is>
          <t>Education STEP 1 programme</t>
        </is>
      </c>
      <c r="E659" s="77" t="inlineStr">
        <is>
          <t>project; group; employer; eligibility</t>
        </is>
      </c>
      <c r="F659" s="77" t="inlineStr">
        <is>
          <t>https://www.york.ac.uk/education/undergraduate/careers/developing/</t>
        </is>
      </c>
      <c r="G659" s="77" t="inlineStr">
        <is>
          <t>Developing your skills - Education</t>
        </is>
      </c>
      <c r="H659" s="77" t="inlineStr">
        <is>
          <t>STEP 1</t>
        </is>
      </c>
      <c r="I659" s="77" t="inlineStr">
        <is>
          <t>undated</t>
        </is>
      </c>
      <c r="J659" s="77" t="inlineStr">
        <is>
          <t>2026-10-12</t>
        </is>
      </c>
      <c r="K659" s="77" t="inlineStr">
        <is>
          <t>search-summary paraphrase</t>
        </is>
      </c>
      <c r="L659" s="77" t="inlineStr">
        <is>
          <t>First year students solve a real-world educational problem in teams with the assistance of an industry employer; students research and present a solution to the partner.</t>
        </is>
      </c>
    </row>
    <row r="660">
      <c r="A660" s="77" t="inlineStr">
        <is>
          <t>RG24-S13-R1</t>
        </is>
      </c>
      <c r="B660" s="77" t="inlineStr">
        <is>
          <t>RG24</t>
        </is>
      </c>
      <c r="C660" s="77" t="inlineStr">
        <is>
          <t>RG24-S13</t>
        </is>
      </c>
      <c r="D660" s="77" t="inlineStr">
        <is>
          <t>Group Project (Integrated Masters) - Computer Science</t>
        </is>
      </c>
      <c r="E660" s="77" t="inlineStr">
        <is>
          <t>project; group; employer; credit; status</t>
        </is>
      </c>
      <c r="F660" s="77" t="inlineStr">
        <is>
          <t>https://www.york.ac.uk/students/studying/manage/programmes/module-catalogue/module/COM00138M/latest</t>
        </is>
      </c>
      <c r="G660" s="77" t="inlineStr">
        <is>
          <t>Group Project (Integrated Masters) (COM00138M) 2026-27 - Module Catalogue</t>
        </is>
      </c>
      <c r="H660" s="77" t="inlineStr">
        <is>
          <t>Aims / feedback</t>
        </is>
      </c>
      <c r="I660" s="77" t="inlineStr">
        <is>
          <t>2026-27</t>
        </is>
      </c>
      <c r="J660" s="77" t="inlineStr">
        <is>
          <t>2026-10-12</t>
        </is>
      </c>
      <c r="K660" s="77" t="inlineStr">
        <is>
          <t>search-summary paraphrase</t>
        </is>
      </c>
      <c r="L660" s="77" t="inlineStr">
        <is>
          <t>Participate in a software engineering project under conditions that simulate real-world industrial projects; teams meet module leader or external customer or both; Groupwork 20% and 70%.</t>
        </is>
      </c>
    </row>
    <row r="661">
      <c r="A661" s="77" t="inlineStr">
        <is>
          <t>AU01-S01-R1</t>
        </is>
      </c>
      <c r="B661" s="77" t="inlineStr">
        <is>
          <t>AU01</t>
        </is>
      </c>
      <c r="C661" s="77" t="inlineStr">
        <is>
          <t>AU01-S01</t>
        </is>
      </c>
      <c r="D661" s="77" t="inlineStr">
        <is>
          <t>CDEV3000 / CDEV6000 Practice of Work</t>
        </is>
      </c>
      <c r="E661" s="77" t="inlineStr">
        <is>
          <t>project; group; employer; reach; eligibility; credit; status; duration</t>
        </is>
      </c>
      <c r="F661" s="77" t="inlineStr">
        <is>
          <t>https://www.unsw.edu.au/employability/courses/practice-of-work</t>
        </is>
      </c>
      <c r="G661" s="77" t="inlineStr">
        <is>
          <t>CDEV3000/6000 Practice of Work</t>
        </is>
      </c>
      <c r="H661" s="77" t="inlineStr">
        <is>
          <t>Course page</t>
        </is>
      </c>
      <c r="I661" s="77" t="inlineStr">
        <is>
          <t>2026/27 (terms 2027 listed)</t>
        </is>
      </c>
      <c r="J661" s="77" t="inlineStr">
        <is>
          <t>2026-10-13</t>
        </is>
      </c>
      <c r="K661" s="77" t="inlineStr">
        <is>
          <t>page text</t>
        </is>
      </c>
      <c r="L661" s="77" t="inlineStr">
        <is>
          <t>Interdisciplinary teams with project partner and academic project supervisor; partners provide a real-world project brief; 6 UOC; Summer Term 2027 11 January-4 February (4-week intensive); Term 1 2027 15 February-23 April (10 weeks); applications for both terms closed; example deliverable 'A concise slide deck that communicates the research, proposed solution, proof of concept and anticipated impact' (Commonwealth Bank of Australia project). (Paraphrased by the fetch tool, not verbatim throughout.)</t>
        </is>
      </c>
    </row>
    <row r="662">
      <c r="A662" s="77" t="inlineStr">
        <is>
          <t>AU01-S02-R1</t>
        </is>
      </c>
      <c r="B662" s="77" t="inlineStr">
        <is>
          <t>AU01</t>
        </is>
      </c>
      <c r="C662" s="77" t="inlineStr">
        <is>
          <t>AU01-S02</t>
        </is>
      </c>
      <c r="D662" s="77" t="inlineStr">
        <is>
          <t>CSE Industry Capstone Program (Capstone Project courses)</t>
        </is>
      </c>
      <c r="E662" s="77" t="inlineStr">
        <is>
          <t>project; group; employer; status; duration; participation</t>
        </is>
      </c>
      <c r="F662" s="77" t="inlineStr">
        <is>
          <t>https://www.unsw.edu.au/content/dam/pdfs/engineering/computer-sci-eng/events/2026-08-capstone-cse/unsw-cse-industrycapstoneprojects--flyer-2026.pdf</t>
        </is>
      </c>
      <c r="G662" s="77" t="inlineStr">
        <is>
          <t>Industry Capstone Projects: UNSW School of Computer Science and Engineering (2026 flyer)</t>
        </is>
      </c>
      <c r="H662" s="77" t="inlineStr">
        <is>
          <t>Capstone Project Overview</t>
        </is>
      </c>
      <c r="I662" s="77" t="inlineStr">
        <is>
          <t>2026</t>
        </is>
      </c>
      <c r="J662" s="77" t="inlineStr">
        <is>
          <t>2026-10-13</t>
        </is>
      </c>
      <c r="K662" s="77" t="inlineStr">
        <is>
          <t>page text</t>
        </is>
      </c>
      <c r="L662" s="77" t="inlineStr">
        <is>
          <t>'The Capstone Project is a core, project-based course... Structure: Teams of 6 students, guided by experienced mentors and supervised by you (the project client/owner). Clients provide on-going feedback... Timeline: Projects will run for 1 term (10-weeks)... Scope: Projects focus on software/system design, PoC/prototype development, and/or model/algorithm implementation. Intellectual property: You as the client, retain the rights.'</t>
        </is>
      </c>
    </row>
    <row r="663">
      <c r="A663" s="77" t="inlineStr">
        <is>
          <t>AU01-S03-R1</t>
        </is>
      </c>
      <c r="B663" s="77" t="inlineStr">
        <is>
          <t>AU01</t>
        </is>
      </c>
      <c r="C663" s="77" t="inlineStr">
        <is>
          <t>AU01-S03</t>
        </is>
      </c>
      <c r="D663" s="77" t="inlineStr">
        <is>
          <t>SCIF3000 Science Industry Project</t>
        </is>
      </c>
      <c r="E663" s="77" t="inlineStr">
        <is>
          <t>project; group; employer; eligibility; credit</t>
        </is>
      </c>
      <c r="F663" s="77" t="inlineStr">
        <is>
          <t>https://www.unsw.edu.au/science/student-life-resources/student-opportunities/work-integrated-learning-wil/science-industry-project</t>
        </is>
      </c>
      <c r="G663" s="77" t="inlineStr">
        <is>
          <t>Science industry project</t>
        </is>
      </c>
      <c r="H663" s="77" t="inlineStr">
        <is>
          <t>Course page</t>
        </is>
      </c>
      <c r="I663" s="77" t="inlineStr">
        <is>
          <t>undated</t>
        </is>
      </c>
      <c r="J663" s="77" t="inlineStr">
        <is>
          <t>2026-10-13</t>
        </is>
      </c>
      <c r="K663" s="77" t="inlineStr">
        <is>
          <t>page text</t>
        </is>
      </c>
      <c r="L663" s="77" t="inlineStr">
        <is>
          <t>'Tackling a live, real-world science project offered by an external organisation from industry, government or not-for-profit sector'; 'work collaboratively in multidisciplinary science teams'; academic supervisors and industry mentors; WAM 65+, 60 UOC; 6 UOC science or free elective credit; weekly 3-hour workshops. (Fetch tool quotes partly paraphrased.)</t>
        </is>
      </c>
    </row>
    <row r="664">
      <c r="A664" s="77" t="inlineStr">
        <is>
          <t>AU01-S03-R2</t>
        </is>
      </c>
      <c r="B664" s="77" t="inlineStr">
        <is>
          <t>AU01</t>
        </is>
      </c>
      <c r="C664" s="77" t="inlineStr">
        <is>
          <t>AU01-S03</t>
        </is>
      </c>
      <c r="D664" s="77" t="inlineStr">
        <is>
          <t>SCIF3000 Science Industry Project</t>
        </is>
      </c>
      <c r="E664" s="77" t="inlineStr">
        <is>
          <t>status</t>
        </is>
      </c>
      <c r="F664" s="77" t="inlineStr">
        <is>
          <t>https://www.student.unsw.edu.au/notices/2023/07/scif3000-science-industry-project</t>
        </is>
      </c>
      <c r="G664" s="77" t="inlineStr">
        <is>
          <t>SCIF3000: Science Industry Project</t>
        </is>
      </c>
      <c r="H664" s="77" t="inlineStr">
        <is>
          <t>Student notice</t>
        </is>
      </c>
      <c r="I664" s="77" t="inlineStr">
        <is>
          <t>2023</t>
        </is>
      </c>
      <c r="J664" s="77" t="inlineStr">
        <is>
          <t>2026-10-13</t>
        </is>
      </c>
      <c r="K664" s="77" t="inlineStr">
        <is>
          <t>search-summary paraphrase</t>
        </is>
      </c>
      <c r="L664" s="77" t="inlineStr">
        <is>
          <t>Term 3 intake notice (2023), per search summary only.</t>
        </is>
      </c>
    </row>
    <row r="665">
      <c r="A665" s="77" t="inlineStr">
        <is>
          <t>AU01-S04-R1</t>
        </is>
      </c>
      <c r="B665" s="77" t="inlineStr">
        <is>
          <t>AU01</t>
        </is>
      </c>
      <c r="C665" s="77" t="inlineStr">
        <is>
          <t>AU01-S04</t>
        </is>
      </c>
      <c r="D665" s="77" t="inlineStr">
        <is>
          <t>Industry Consulting Project (COMM2233)</t>
        </is>
      </c>
      <c r="E665" s="77" t="inlineStr">
        <is>
          <t>project; group; employer; eligibility; credit; status</t>
        </is>
      </c>
      <c r="F665" s="77" t="inlineStr">
        <is>
          <t>https://www.unsw.edu.au/business/student-life/career-accelerator/undergraduate/undergraduate-internships/industry-consulting-project-comm2233</t>
        </is>
      </c>
      <c r="G665" s="77" t="inlineStr">
        <is>
          <t>Industry Consulting Project (COMM2233)</t>
        </is>
      </c>
      <c r="H665" s="77" t="inlineStr">
        <is>
          <t>Course page</t>
        </is>
      </c>
      <c r="I665" s="77" t="inlineStr">
        <is>
          <t>2024 content</t>
        </is>
      </c>
      <c r="J665" s="77" t="inlineStr">
        <is>
          <t>2026-10-13</t>
        </is>
      </c>
      <c r="K665" s="77" t="inlineStr">
        <is>
          <t>page text</t>
        </is>
      </c>
      <c r="L665" s="77" t="inlineStr">
        <is>
          <t>'work in small teams to tackle a project'; partner with host organisation and industry mentor; 'pitch your solution to senior members of the organisation'; 6 units of credit; 48 UOC prerequisite; offered Term 1, 2, 3. Testimonials Term 3 2024.</t>
        </is>
      </c>
    </row>
    <row r="666">
      <c r="A666" s="77" t="inlineStr">
        <is>
          <t>AU01-S05-R1</t>
        </is>
      </c>
      <c r="B666" s="77" t="inlineStr">
        <is>
          <t>AU01</t>
        </is>
      </c>
      <c r="C666" s="77" t="inlineStr">
        <is>
          <t>AU01-S05</t>
        </is>
      </c>
      <c r="D666" s="77" t="inlineStr">
        <is>
          <t>Business Experience Projects (Global Scope Business Project Program)</t>
        </is>
      </c>
      <c r="E666" s="77" t="inlineStr">
        <is>
          <t>project; group; employer; eligibility; duration</t>
        </is>
      </c>
      <c r="F666" s="77" t="inlineStr">
        <is>
          <t>https://www.unsw.edu.au/business/student-life/career-accelerator/postgraduate/internships/business-experience/global-scope-business-project-program</t>
        </is>
      </c>
      <c r="G666" s="77" t="inlineStr">
        <is>
          <t>Business Experience Projects</t>
        </is>
      </c>
      <c r="H666" s="77" t="inlineStr">
        <is>
          <t>Program page</t>
        </is>
      </c>
      <c r="I666" s="77" t="inlineStr">
        <is>
          <t>undated</t>
        </is>
      </c>
      <c r="J666" s="77" t="inlineStr">
        <is>
          <t>2026-10-13</t>
        </is>
      </c>
      <c r="K666" s="77" t="inlineStr">
        <is>
          <t>page text</t>
        </is>
      </c>
      <c r="L666" s="77" t="inlineStr">
        <is>
          <t>'Approximately 25 hours over 2 weeks'; 'a small team of UNSW students'; 'a business challenge defined by an industry partner'; recommendations for an industry partner; enrolled at UNSW Business School and completed Career Accelerator: Essentials.</t>
        </is>
      </c>
    </row>
    <row r="667">
      <c r="A667" s="77" t="inlineStr">
        <is>
          <t>AU02-S01-R1</t>
        </is>
      </c>
      <c r="B667" s="77" t="inlineStr">
        <is>
          <t>AU02</t>
        </is>
      </c>
      <c r="C667" s="77" t="inlineStr">
        <is>
          <t>AU02-S01</t>
        </is>
      </c>
      <c r="D667" s="77" t="inlineStr">
        <is>
          <t>Industry Project</t>
        </is>
      </c>
      <c r="E667" s="77" t="inlineStr">
        <is>
          <t>project; group; employer; eligibility</t>
        </is>
      </c>
      <c r="F667" s="77" t="inlineStr">
        <is>
          <t>https://arts.unimelb.edu.au/students/experiential-learning/industry-project</t>
        </is>
      </c>
      <c r="G667" s="77" t="inlineStr">
        <is>
          <t>Industry Project (ARTS30001) - Faculty of Arts</t>
        </is>
      </c>
      <c r="H667" s="77" t="inlineStr">
        <is>
          <t>Student page</t>
        </is>
      </c>
      <c r="I667" s="77" t="inlineStr">
        <is>
          <t>undated</t>
        </is>
      </c>
      <c r="J667" s="77" t="inlineStr">
        <is>
          <t>2026-10-12</t>
        </is>
      </c>
      <c r="K667" s="77" t="inlineStr">
        <is>
          <t>search-index extract</t>
        </is>
      </c>
      <c r="L667" s="77" t="inlineStr">
        <is>
          <t>In this subject you will collaborate on a real project for an actual industry partner as part of a small consulting team. ... available to Bachelor of Arts students and is eligible as a breadth option for approved courses.</t>
        </is>
      </c>
    </row>
    <row r="668">
      <c r="A668" s="77" t="inlineStr">
        <is>
          <t>AU02-S01-R2</t>
        </is>
      </c>
      <c r="B668" s="77" t="inlineStr">
        <is>
          <t>AU02</t>
        </is>
      </c>
      <c r="C668" s="77" t="inlineStr">
        <is>
          <t>AU02-S01</t>
        </is>
      </c>
      <c r="D668" s="77" t="inlineStr">
        <is>
          <t>Industry Project</t>
        </is>
      </c>
      <c r="E668" s="77" t="inlineStr">
        <is>
          <t>project; group; employer</t>
        </is>
      </c>
      <c r="F668" s="77" t="inlineStr">
        <is>
          <t>https://arts.unimelb.edu.au/engage/partner-with-us/work-with-our-students/industry-projects</t>
        </is>
      </c>
      <c r="G668" s="77" t="inlineStr">
        <is>
          <t>Industry projects - Faculty of Arts</t>
        </is>
      </c>
      <c r="H668" s="77" t="inlineStr">
        <is>
          <t>Partner-facing page</t>
        </is>
      </c>
      <c r="I668" s="77" t="inlineStr">
        <is>
          <t>undated</t>
        </is>
      </c>
      <c r="J668" s="77" t="inlineStr">
        <is>
          <t>2026-10-12</t>
        </is>
      </c>
      <c r="K668" s="77" t="inlineStr">
        <is>
          <t>search-index extract</t>
        </is>
      </c>
      <c r="L668" s="77" t="inlineStr">
        <is>
          <t>You will be able to collaborate with a small team of our students on a project or concept that you identify as of interest. ... Hosts meet students at the start of semester, students check in about six weeks later, and students present in person at semester's end. Previous projects produced marketing strategies, advertising materials, website design, program appraisals and event proposals.</t>
        </is>
      </c>
    </row>
    <row r="669">
      <c r="A669" s="77" t="inlineStr">
        <is>
          <t>AU02-S01-R3</t>
        </is>
      </c>
      <c r="B669" s="77" t="inlineStr">
        <is>
          <t>AU02</t>
        </is>
      </c>
      <c r="C669" s="77" t="inlineStr">
        <is>
          <t>AU02-S01</t>
        </is>
      </c>
      <c r="D669" s="77" t="inlineStr">
        <is>
          <t>Industry Project</t>
        </is>
      </c>
      <c r="E669" s="77" t="inlineStr">
        <is>
          <t>status; credit</t>
        </is>
      </c>
      <c r="F669" s="77" t="inlineStr">
        <is>
          <t>https://handbook.unimelb.edu.au/2026/courses/b-arts/course-structure</t>
        </is>
      </c>
      <c r="G669" s="77" t="inlineStr">
        <is>
          <t>Course structure: Bachelor of Arts (B-ARTS) 2026</t>
        </is>
      </c>
      <c r="H669" s="77" t="inlineStr">
        <is>
          <t>Course structure</t>
        </is>
      </c>
      <c r="I669" s="77" t="inlineStr">
        <is>
          <t>2026</t>
        </is>
      </c>
      <c r="J669" s="77" t="inlineStr">
        <is>
          <t>2026-10-12</t>
        </is>
      </c>
      <c r="K669" s="77" t="inlineStr">
        <is>
          <t>search-index extract</t>
        </is>
      </c>
      <c r="L669" s="77" t="inlineStr">
        <is>
          <t>Lists ARTS30001 as a 12.5-point Semester 2 subject at Parkville (paraphrase of search extract).</t>
        </is>
      </c>
    </row>
    <row r="670">
      <c r="A670" s="77" t="inlineStr">
        <is>
          <t>AU02-S01-R4</t>
        </is>
      </c>
      <c r="B670" s="77" t="inlineStr">
        <is>
          <t>AU02</t>
        </is>
      </c>
      <c r="C670" s="77" t="inlineStr">
        <is>
          <t>AU02-S01</t>
        </is>
      </c>
      <c r="D670" s="77" t="inlineStr">
        <is>
          <t>Industry Project</t>
        </is>
      </c>
      <c r="E670" s="77" t="inlineStr">
        <is>
          <t>credit</t>
        </is>
      </c>
      <c r="F670" s="77" t="inlineStr">
        <is>
          <t>https://handbook.unimelb.edu.au/2020/subjects/arts30001/assessment</t>
        </is>
      </c>
      <c r="G670" s="77" t="inlineStr">
        <is>
          <t>Assessment: Industry Project (ARTS30001) 2020</t>
        </is>
      </c>
      <c r="H670" s="77" t="inlineStr">
        <is>
          <t>Assessment</t>
        </is>
      </c>
      <c r="I670" s="77" t="inlineStr">
        <is>
          <t>2020</t>
        </is>
      </c>
      <c r="J670" s="77" t="inlineStr">
        <is>
          <t>2026-10-12</t>
        </is>
      </c>
      <c r="K670" s="77" t="inlineStr">
        <is>
          <t>search-index extract</t>
        </is>
      </c>
      <c r="L670" s="77" t="inlineStr">
        <is>
          <t>10-minute presentation (20%), 1,500-word project summary (40%), 1,500-word project proposal (40%); students must attend a minimum of 80% of seminars in order to pass.</t>
        </is>
      </c>
    </row>
    <row r="671">
      <c r="A671" s="77" t="inlineStr">
        <is>
          <t>AU02-S01-R5</t>
        </is>
      </c>
      <c r="B671" s="77" t="inlineStr">
        <is>
          <t>AU02</t>
        </is>
      </c>
      <c r="C671" s="77" t="inlineStr">
        <is>
          <t>AU02-S01</t>
        </is>
      </c>
      <c r="D671" s="77" t="inlineStr">
        <is>
          <t>Industry Project</t>
        </is>
      </c>
      <c r="E671" s="77" t="inlineStr">
        <is>
          <t>eligibility</t>
        </is>
      </c>
      <c r="F671" s="77" t="inlineStr">
        <is>
          <t>https://handbook.unimelb.edu.au/2018/subjects/arts30001/eligibility-and-requirements</t>
        </is>
      </c>
      <c r="G671" s="77" t="inlineStr">
        <is>
          <t>Eligibility and requirements: ARTS30001 2018</t>
        </is>
      </c>
      <c r="H671" s="77" t="inlineStr">
        <is>
          <t>Eligibility</t>
        </is>
      </c>
      <c r="I671" s="77" t="inlineStr">
        <is>
          <t>2018</t>
        </is>
      </c>
      <c r="J671" s="77" t="inlineStr">
        <is>
          <t>2026-10-12</t>
        </is>
      </c>
      <c r="K671" s="77" t="inlineStr">
        <is>
          <t>search-index extract</t>
        </is>
      </c>
      <c r="L671" s="77" t="inlineStr">
        <is>
          <t>Prerequisite: completion of 150 points of the Bachelor of Arts.</t>
        </is>
      </c>
    </row>
    <row r="672">
      <c r="A672" s="77" t="inlineStr">
        <is>
          <t>AU02-S02-R1</t>
        </is>
      </c>
      <c r="B672" s="77" t="inlineStr">
        <is>
          <t>AU02</t>
        </is>
      </c>
      <c r="C672" s="77" t="inlineStr">
        <is>
          <t>AU02-S02</t>
        </is>
      </c>
      <c r="D672" s="77" t="inlineStr">
        <is>
          <t>Interdisciplinary Industry Project 2 (and Interdisciplinary Industry Project 1)</t>
        </is>
      </c>
      <c r="E672" s="77" t="inlineStr">
        <is>
          <t>project; group; employer; credit</t>
        </is>
      </c>
      <c r="F672" s="77" t="inlineStr">
        <is>
          <t>https://handbook.unimelb.edu.au/2021/subjects/arts90027</t>
        </is>
      </c>
      <c r="G672" s="77" t="inlineStr">
        <is>
          <t>Interdisciplinary Industry Project 2 (ARTS90027) 2021</t>
        </is>
      </c>
      <c r="H672" s="77" t="inlineStr">
        <is>
          <t>Overview</t>
        </is>
      </c>
      <c r="I672" s="77" t="inlineStr">
        <is>
          <t>2021</t>
        </is>
      </c>
      <c r="J672" s="77" t="inlineStr">
        <is>
          <t>2026-10-12</t>
        </is>
      </c>
      <c r="K672" s="77" t="inlineStr">
        <is>
          <t>search-index extract</t>
        </is>
      </c>
      <c r="L672" s="77" t="inlineStr">
        <is>
          <t>students work individually, in smaller teams or a combination of the two modes of project management, whilst under academic and industry supervision. Graduate coursework Points: 25</t>
        </is>
      </c>
    </row>
    <row r="673">
      <c r="A673" s="77" t="inlineStr">
        <is>
          <t>AU02-S02-R2</t>
        </is>
      </c>
      <c r="B673" s="77" t="inlineStr">
        <is>
          <t>AU02</t>
        </is>
      </c>
      <c r="C673" s="77" t="inlineStr">
        <is>
          <t>AU02-S02</t>
        </is>
      </c>
      <c r="D673" s="77" t="inlineStr">
        <is>
          <t>Interdisciplinary Industry Project 2 (and Interdisciplinary Industry Project 1)</t>
        </is>
      </c>
      <c r="E673" s="77" t="inlineStr">
        <is>
          <t>eligibility; employer</t>
        </is>
      </c>
      <c r="F673" s="77" t="inlineStr">
        <is>
          <t>https://handbook.unimelb.edu.au/2024/subjects/arts90027/eligibility-and-requirements</t>
        </is>
      </c>
      <c r="G673" s="77" t="inlineStr">
        <is>
          <t>Eligibility and requirements: ARTS90027 2024</t>
        </is>
      </c>
      <c r="H673" s="77" t="inlineStr">
        <is>
          <t>Eligibility</t>
        </is>
      </c>
      <c r="I673" s="77" t="inlineStr">
        <is>
          <t>2024</t>
        </is>
      </c>
      <c r="J673" s="77" t="inlineStr">
        <is>
          <t>2026-10-12</t>
        </is>
      </c>
      <c r="K673" s="77" t="inlineStr">
        <is>
          <t>search-index extract</t>
        </is>
      </c>
      <c r="L673" s="77" t="inlineStr">
        <is>
          <t>selection process by subject coordinator(s) and application process which will be tailored to industry prerequisites, prior knowledge/ skills and compliance.</t>
        </is>
      </c>
    </row>
    <row r="674">
      <c r="A674" s="77" t="inlineStr">
        <is>
          <t>AU02-S02-R3</t>
        </is>
      </c>
      <c r="B674" s="77" t="inlineStr">
        <is>
          <t>AU02</t>
        </is>
      </c>
      <c r="C674" s="77" t="inlineStr">
        <is>
          <t>AU02-S02</t>
        </is>
      </c>
      <c r="D674" s="77" t="inlineStr">
        <is>
          <t>Interdisciplinary Industry Project 2 (and Interdisciplinary Industry Project 1)</t>
        </is>
      </c>
      <c r="E674" s="77" t="inlineStr">
        <is>
          <t>status</t>
        </is>
      </c>
      <c r="F674" s="77" t="inlineStr">
        <is>
          <t>https://handbook.unimelb.edu.au/2026/subjects?page=154&amp;sid=l3ldj%27</t>
        </is>
      </c>
      <c r="G674" s="77" t="inlineStr">
        <is>
          <t>Subjects - UniMelb Handbook 2026 (listing)</t>
        </is>
      </c>
      <c r="H674" s="77" t="inlineStr">
        <is>
          <t>Subject listing</t>
        </is>
      </c>
      <c r="I674" s="77" t="inlineStr">
        <is>
          <t>2026</t>
        </is>
      </c>
      <c r="J674" s="77" t="inlineStr">
        <is>
          <t>2026-10-12</t>
        </is>
      </c>
      <c r="K674" s="77" t="inlineStr">
        <is>
          <t>search-index extract</t>
        </is>
      </c>
      <c r="L674" s="77" t="inlineStr">
        <is>
          <t>ARTS90027 offered Semester 2 2026, teaching period 27 July-25 October 2026, coordinator Kristian Camilleri, On Campus (Parkville); ARTS90026 not available in 2026 (search summary; exact attribution uncertain).</t>
        </is>
      </c>
    </row>
    <row r="675">
      <c r="A675" s="77" t="inlineStr">
        <is>
          <t>AU02-S02-R4</t>
        </is>
      </c>
      <c r="B675" s="77" t="inlineStr">
        <is>
          <t>AU02</t>
        </is>
      </c>
      <c r="C675" s="77" t="inlineStr">
        <is>
          <t>AU02-S02</t>
        </is>
      </c>
      <c r="D675" s="77" t="inlineStr">
        <is>
          <t>Interdisciplinary Industry Project 2 (and Interdisciplinary Industry Project 1)</t>
        </is>
      </c>
      <c r="E675" s="77" t="inlineStr">
        <is>
          <t>status; eligibility</t>
        </is>
      </c>
      <c r="F675" s="77" t="inlineStr">
        <is>
          <t>https://handbook.unimelb.edu.au/subjects/arts90026</t>
        </is>
      </c>
      <c r="G675" s="77" t="inlineStr">
        <is>
          <t>Interdisciplinary Industry Project 1 (ARTS90026)</t>
        </is>
      </c>
      <c r="H675" s="77" t="inlineStr">
        <is>
          <t>Overview</t>
        </is>
      </c>
      <c r="I675" s="77" t="inlineStr">
        <is>
          <t>2026 (current page)</t>
        </is>
      </c>
      <c r="J675" s="77" t="inlineStr">
        <is>
          <t>2026-10-12</t>
        </is>
      </c>
      <c r="K675" s="77" t="inlineStr">
        <is>
          <t>search-index extract</t>
        </is>
      </c>
      <c r="L675" s="77" t="inlineStr">
        <is>
          <t>Not available in 2026; there may be further eligibility criteria as requested by the industry partner.</t>
        </is>
      </c>
    </row>
    <row r="676">
      <c r="A676" s="77" t="inlineStr">
        <is>
          <t>AU02-S03-R1</t>
        </is>
      </c>
      <c r="B676" s="77" t="inlineStr">
        <is>
          <t>AU02</t>
        </is>
      </c>
      <c r="C676" s="77" t="inlineStr">
        <is>
          <t>AU02-S03</t>
        </is>
      </c>
      <c r="D676" s="77" t="inlineStr">
        <is>
          <t>Capstone Projects (School of Computing and Information Systems industry projects)</t>
        </is>
      </c>
      <c r="E676" s="77" t="inlineStr">
        <is>
          <t>project; employer; reach</t>
        </is>
      </c>
      <c r="F676" s="77" t="inlineStr">
        <is>
          <t>https://cis.unimelb.edu.au/engage/industry-projects/capstone-projects</t>
        </is>
      </c>
      <c r="G676" s="77" t="inlineStr">
        <is>
          <t>Capstone Projects - CIS</t>
        </is>
      </c>
      <c r="H676" s="77" t="inlineStr">
        <is>
          <t>Partner page</t>
        </is>
      </c>
      <c r="I676" s="77" t="inlineStr">
        <is>
          <t>undated</t>
        </is>
      </c>
      <c r="J676" s="77" t="inlineStr">
        <is>
          <t>2026-10-12</t>
        </is>
      </c>
      <c r="K676" s="77" t="inlineStr">
        <is>
          <t>search-index extract</t>
        </is>
      </c>
      <c r="L676" s="77" t="inlineStr">
        <is>
          <t>Industry clients work with Master of Information Technology students on real software projects (COMP90082, Semesters 1 and 2); Masters Advanced Software Project (SWEN90017/SWEN90018) year-long with Master of Software Engineering students; Data Science MAST90106/MAST90107 year-long; industry partners can submit a project proposal; projects end with a final presentation.</t>
        </is>
      </c>
    </row>
    <row r="677">
      <c r="A677" s="77" t="inlineStr">
        <is>
          <t>AU02-S04-R1</t>
        </is>
      </c>
      <c r="B677" s="77" t="inlineStr">
        <is>
          <t>AU02</t>
        </is>
      </c>
      <c r="C677" s="77" t="inlineStr">
        <is>
          <t>AU02-S04</t>
        </is>
      </c>
      <c r="D677" s="77" t="inlineStr">
        <is>
          <t>Software Project</t>
        </is>
      </c>
      <c r="E677" s="77" t="inlineStr">
        <is>
          <t>project; employer</t>
        </is>
      </c>
      <c r="F677" s="77" t="inlineStr">
        <is>
          <t>https://cis.unimelb.edu.au/engage/industry-projects/capstone-projects</t>
        </is>
      </c>
      <c r="G677" s="77" t="inlineStr">
        <is>
          <t>Capstone Projects - CIS</t>
        </is>
      </c>
      <c r="H677" s="77" t="inlineStr">
        <is>
          <t>Software Project (COMP90082)</t>
        </is>
      </c>
      <c r="I677" s="77" t="inlineStr">
        <is>
          <t>undated</t>
        </is>
      </c>
      <c r="J677" s="77" t="inlineStr">
        <is>
          <t>2026-10-12</t>
        </is>
      </c>
      <c r="K677" s="77" t="inlineStr">
        <is>
          <t>search-index extract</t>
        </is>
      </c>
      <c r="L677" s="77" t="inlineStr">
        <is>
          <t>industry clients engage with Master of Information Technology students on real-world software development projects; students apply their expertise in analysing, designing, implementing, and managing software solutions aligned with their IT specialisation.</t>
        </is>
      </c>
    </row>
    <row r="678">
      <c r="A678" s="77" t="inlineStr">
        <is>
          <t>AU02-S04-R2</t>
        </is>
      </c>
      <c r="B678" s="77" t="inlineStr">
        <is>
          <t>AU02</t>
        </is>
      </c>
      <c r="C678" s="77" t="inlineStr">
        <is>
          <t>AU02-S04</t>
        </is>
      </c>
      <c r="D678" s="77" t="inlineStr">
        <is>
          <t>Software Project</t>
        </is>
      </c>
      <c r="E678" s="77" t="inlineStr">
        <is>
          <t>project; group; status; credit; eligibility</t>
        </is>
      </c>
      <c r="F678" s="77" t="inlineStr">
        <is>
          <t>https://handbook.unimelb.edu.au/2026/subjects/comp90082</t>
        </is>
      </c>
      <c r="G678" s="77" t="inlineStr">
        <is>
          <t>Software Project (COMP90082) 2026</t>
        </is>
      </c>
      <c r="H678" s="77" t="inlineStr">
        <is>
          <t>Overview/Eligibility/Assessment</t>
        </is>
      </c>
      <c r="I678" s="77" t="inlineStr">
        <is>
          <t>2026</t>
        </is>
      </c>
      <c r="J678" s="77" t="inlineStr">
        <is>
          <t>2026-10-12</t>
        </is>
      </c>
      <c r="K678" s="77" t="inlineStr">
        <is>
          <t>search-index extract</t>
        </is>
      </c>
      <c r="L678" s="77" t="inlineStr">
        <is>
          <t>Students work in small teams to conceive, analyse, design, implement, test, and maintain a software product for a group of stakeholders. 25 points, On Campus (Parkville), both semesters; prerequisite SWEN90016 and no more than 75 points short of completion; team artefacts 40%, final product 20%, individual 40%.</t>
        </is>
      </c>
    </row>
    <row r="679">
      <c r="A679" s="77" t="inlineStr">
        <is>
          <t>AU02-S05-R1</t>
        </is>
      </c>
      <c r="B679" s="77" t="inlineStr">
        <is>
          <t>AU02</t>
        </is>
      </c>
      <c r="C679" s="77" t="inlineStr">
        <is>
          <t>AU02-S05</t>
        </is>
      </c>
      <c r="D679" s="77" t="inlineStr">
        <is>
          <t>Masters Advanced Software Project Part 1 / Part 2</t>
        </is>
      </c>
      <c r="E679" s="77" t="inlineStr">
        <is>
          <t>project; group; employer; status</t>
        </is>
      </c>
      <c r="F679" s="77" t="inlineStr">
        <is>
          <t>https://handbook.unimelb.edu.au/2026/subjects/swen90017</t>
        </is>
      </c>
      <c r="G679" s="77" t="inlineStr">
        <is>
          <t>Masters Advanced Software Project Part 1 (SWEN90017) 2026</t>
        </is>
      </c>
      <c r="H679" s="77" t="inlineStr">
        <is>
          <t>Overview</t>
        </is>
      </c>
      <c r="I679" s="77" t="inlineStr">
        <is>
          <t>2026</t>
        </is>
      </c>
      <c r="J679" s="77" t="inlineStr">
        <is>
          <t>2026-10-12</t>
        </is>
      </c>
      <c r="K679" s="77" t="inlineStr">
        <is>
          <t>search-index extract</t>
        </is>
      </c>
      <c r="L679" s="77" t="inlineStr">
        <is>
          <t>Students will work in large teams to develop a non-trivial software system for an external client using agile software engineering methods.</t>
        </is>
      </c>
    </row>
    <row r="680">
      <c r="A680" s="77" t="inlineStr">
        <is>
          <t>AU02-S05-R2</t>
        </is>
      </c>
      <c r="B680" s="77" t="inlineStr">
        <is>
          <t>AU02</t>
        </is>
      </c>
      <c r="C680" s="77" t="inlineStr">
        <is>
          <t>AU02-S05</t>
        </is>
      </c>
      <c r="D680" s="77" t="inlineStr">
        <is>
          <t>Masters Advanced Software Project Part 1 / Part 2</t>
        </is>
      </c>
      <c r="E680" s="77" t="inlineStr">
        <is>
          <t>employer; reach</t>
        </is>
      </c>
      <c r="F680" s="77" t="inlineStr">
        <is>
          <t>https://cis.unimelb.edu.au/engage/industry-projects/capstone-projects</t>
        </is>
      </c>
      <c r="G680" s="77" t="inlineStr">
        <is>
          <t>Capstone Projects - CIS</t>
        </is>
      </c>
      <c r="H680" s="77" t="inlineStr">
        <is>
          <t>Software engineering</t>
        </is>
      </c>
      <c r="I680" s="77" t="inlineStr">
        <is>
          <t>undated</t>
        </is>
      </c>
      <c r="J680" s="77" t="inlineStr">
        <is>
          <t>2026-10-12</t>
        </is>
      </c>
      <c r="K680" s="77" t="inlineStr">
        <is>
          <t>search-index extract</t>
        </is>
      </c>
      <c r="L680" s="77" t="inlineStr">
        <is>
          <t>Masters Advanced Software Project (SWEN90017 &amp; SWEN90018) for year-long projects with Master of Software Engineering students; industry partners can submit a project proposal.</t>
        </is>
      </c>
    </row>
    <row r="681">
      <c r="A681" s="77" t="inlineStr">
        <is>
          <t>AU02-S05-R3</t>
        </is>
      </c>
      <c r="B681" s="77" t="inlineStr">
        <is>
          <t>AU02</t>
        </is>
      </c>
      <c r="C681" s="77" t="inlineStr">
        <is>
          <t>AU02-S05</t>
        </is>
      </c>
      <c r="D681" s="77" t="inlineStr">
        <is>
          <t>Masters Advanced Software Project Part 1 / Part 2</t>
        </is>
      </c>
      <c r="E681" s="77" t="inlineStr">
        <is>
          <t>eligibility</t>
        </is>
      </c>
      <c r="F681" s="77" t="inlineStr">
        <is>
          <t>https://handbook.unimelb.edu.au/2026/subjects/swen90017/eligibility-and-requirements</t>
        </is>
      </c>
      <c r="G681" s="77" t="inlineStr">
        <is>
          <t>Eligibility: SWEN90017 2026</t>
        </is>
      </c>
      <c r="H681" s="77" t="inlineStr">
        <is>
          <t>Eligibility</t>
        </is>
      </c>
      <c r="I681" s="77" t="inlineStr">
        <is>
          <t>2026</t>
        </is>
      </c>
      <c r="J681" s="77" t="inlineStr">
        <is>
          <t>2026-10-12</t>
        </is>
      </c>
      <c r="K681" s="77" t="inlineStr">
        <is>
          <t>search-index extract</t>
        </is>
      </c>
      <c r="L681" s="77" t="inlineStr">
        <is>
          <t>Prerequisites SWEN90006, SWEN90014, SWEN90009 and ENGR90051.</t>
        </is>
      </c>
    </row>
    <row r="682">
      <c r="A682" s="77" t="inlineStr">
        <is>
          <t>AU02-S05-R4</t>
        </is>
      </c>
      <c r="B682" s="77" t="inlineStr">
        <is>
          <t>AU02</t>
        </is>
      </c>
      <c r="C682" s="77" t="inlineStr">
        <is>
          <t>AU02-S05</t>
        </is>
      </c>
      <c r="D682" s="77" t="inlineStr">
        <is>
          <t>Masters Advanced Software Project Part 1 / Part 2</t>
        </is>
      </c>
      <c r="E682" s="77" t="inlineStr">
        <is>
          <t>employer</t>
        </is>
      </c>
      <c r="F682" s="77" t="inlineStr">
        <is>
          <t>https://cis-projects.carrd.co/</t>
        </is>
      </c>
      <c r="G682" s="77" t="inlineStr">
        <is>
          <t>CIS Projects (unofficial)</t>
        </is>
      </c>
      <c r="H682" s="77" t="inlineStr"/>
      <c r="I682" s="77" t="inlineStr">
        <is>
          <t>undated</t>
        </is>
      </c>
      <c r="J682" s="77" t="inlineStr">
        <is>
          <t>2026-10-12</t>
        </is>
      </c>
      <c r="K682" s="77" t="inlineStr">
        <is>
          <t>search-index extract</t>
        </is>
      </c>
      <c r="L682" s="77" t="inlineStr">
        <is>
          <t>Subject has run with industry partners since 2016; partners include Royal Melbourne Hospital, Big Issue, NDIS and Grok Learning.</t>
        </is>
      </c>
    </row>
    <row r="683">
      <c r="A683" s="77" t="inlineStr">
        <is>
          <t>AU02-S06-R1</t>
        </is>
      </c>
      <c r="B683" s="77" t="inlineStr">
        <is>
          <t>AU02</t>
        </is>
      </c>
      <c r="C683" s="77" t="inlineStr">
        <is>
          <t>AU02-S06</t>
        </is>
      </c>
      <c r="D683" s="77" t="inlineStr">
        <is>
          <t>IT Project</t>
        </is>
      </c>
      <c r="E683" s="77" t="inlineStr">
        <is>
          <t>project; group; status; reach</t>
        </is>
      </c>
      <c r="F683" s="77" t="inlineStr">
        <is>
          <t>https://handbook.unimelb.edu.au/2026/subjects/comp30022</t>
        </is>
      </c>
      <c r="G683" s="77" t="inlineStr">
        <is>
          <t>IT Project (COMP30022) 2026</t>
        </is>
      </c>
      <c r="H683" s="77" t="inlineStr">
        <is>
          <t>Overview</t>
        </is>
      </c>
      <c r="I683" s="77" t="inlineStr">
        <is>
          <t>2026</t>
        </is>
      </c>
      <c r="J683" s="77" t="inlineStr">
        <is>
          <t>2026-10-12</t>
        </is>
      </c>
      <c r="K683" s="77" t="inlineStr">
        <is>
          <t>search-index extract</t>
        </is>
      </c>
      <c r="L683" s="77" t="inlineStr">
        <is>
          <t>Capstone project for the Informatics major and the Computing and Software Systems major; small teams; communicate with stakeholders including clients and team members to build a system that meets client needs; Semester 2 2026, 27 July-25 October.</t>
        </is>
      </c>
    </row>
    <row r="684">
      <c r="A684" s="77" t="inlineStr">
        <is>
          <t>AU02-S06-R2</t>
        </is>
      </c>
      <c r="B684" s="77" t="inlineStr">
        <is>
          <t>AU02</t>
        </is>
      </c>
      <c r="C684" s="77" t="inlineStr">
        <is>
          <t>AU02-S06</t>
        </is>
      </c>
      <c r="D684" s="77" t="inlineStr">
        <is>
          <t>IT Project</t>
        </is>
      </c>
      <c r="E684" s="77" t="inlineStr">
        <is>
          <t>credit; group</t>
        </is>
      </c>
      <c r="F684" s="77" t="inlineStr">
        <is>
          <t>https://handbook.unimelb.edu.au/2024/subjects/comp30022/assessment</t>
        </is>
      </c>
      <c r="G684" s="77" t="inlineStr">
        <is>
          <t>Assessment: COMP30022 2024</t>
        </is>
      </c>
      <c r="H684" s="77" t="inlineStr">
        <is>
          <t>Assessment</t>
        </is>
      </c>
      <c r="I684" s="77" t="inlineStr">
        <is>
          <t>2024</t>
        </is>
      </c>
      <c r="J684" s="77" t="inlineStr">
        <is>
          <t>2026-10-12</t>
        </is>
      </c>
      <c r="K684" s="77" t="inlineStr">
        <is>
          <t>search-index extract</t>
        </is>
      </c>
      <c r="L684" s="77" t="inlineStr">
        <is>
          <t>Team project management (50%), final product release in week 12 (30%), individual contribution (20%).</t>
        </is>
      </c>
    </row>
    <row r="685">
      <c r="A685" s="77" t="inlineStr">
        <is>
          <t>AU02-S07-R1</t>
        </is>
      </c>
      <c r="B685" s="77" t="inlineStr">
        <is>
          <t>AU02</t>
        </is>
      </c>
      <c r="C685" s="77" t="inlineStr">
        <is>
          <t>AU02-S07</t>
        </is>
      </c>
      <c r="D685" s="77" t="inlineStr">
        <is>
          <t>Engineering Capstone Project Part 1 / Part 2</t>
        </is>
      </c>
      <c r="E685" s="77" t="inlineStr">
        <is>
          <t>project; group; employer; credit</t>
        </is>
      </c>
      <c r="F685" s="77" t="inlineStr">
        <is>
          <t>https://handbook.unimelb.edu.au/subjects/engr90037</t>
        </is>
      </c>
      <c r="G685" s="77" t="inlineStr">
        <is>
          <t>Engineering Capstone Project Part 1 (ENGR90037)</t>
        </is>
      </c>
      <c r="H685" s="77" t="inlineStr">
        <is>
          <t>Overview</t>
        </is>
      </c>
      <c r="I685" s="77" t="inlineStr">
        <is>
          <t>2026 (current page)</t>
        </is>
      </c>
      <c r="J685" s="77" t="inlineStr">
        <is>
          <t>2026-10-12</t>
        </is>
      </c>
      <c r="K685" s="77" t="inlineStr">
        <is>
          <t>search-index extract</t>
        </is>
      </c>
      <c r="L685" s="77" t="inlineStr">
        <is>
          <t>Projects are group-based, and each project is supervised by a member of academic staff and, where appropriate, an industry partner. 12.5 points; 200-hour time commitment, or 400 hours across Parts 1 and 2.</t>
        </is>
      </c>
    </row>
    <row r="686">
      <c r="A686" s="77" t="inlineStr">
        <is>
          <t>AU02-S07-R2</t>
        </is>
      </c>
      <c r="B686" s="77" t="inlineStr">
        <is>
          <t>AU02</t>
        </is>
      </c>
      <c r="C686" s="77" t="inlineStr">
        <is>
          <t>AU02-S07</t>
        </is>
      </c>
      <c r="D686" s="77" t="inlineStr">
        <is>
          <t>Engineering Capstone Project Part 1 / Part 2</t>
        </is>
      </c>
      <c r="E686" s="77" t="inlineStr">
        <is>
          <t>status</t>
        </is>
      </c>
      <c r="F686" s="77" t="inlineStr">
        <is>
          <t>https://handbook.unimelb.edu.au/2026/subjects/engr90037/dates-times</t>
        </is>
      </c>
      <c r="G686" s="77" t="inlineStr">
        <is>
          <t>Dates and times: ENGR90037 2026</t>
        </is>
      </c>
      <c r="H686" s="77" t="inlineStr">
        <is>
          <t>Dates</t>
        </is>
      </c>
      <c r="I686" s="77" t="inlineStr">
        <is>
          <t>2026</t>
        </is>
      </c>
      <c r="J686" s="77" t="inlineStr">
        <is>
          <t>2026-10-12</t>
        </is>
      </c>
      <c r="K686" s="77" t="inlineStr">
        <is>
          <t>search-index extract</t>
        </is>
      </c>
      <c r="L686" s="77" t="inlineStr">
        <is>
          <t>Semester 1 runs 2 March to 30 June 2026; Semester 2 runs 27 July to 24 December 2026.</t>
        </is>
      </c>
    </row>
    <row r="687">
      <c r="A687" s="77" t="inlineStr">
        <is>
          <t>AU02-S08-R1</t>
        </is>
      </c>
      <c r="B687" s="77" t="inlineStr">
        <is>
          <t>AU02</t>
        </is>
      </c>
      <c r="C687" s="77" t="inlineStr">
        <is>
          <t>AU02-S08</t>
        </is>
      </c>
      <c r="D687" s="77" t="inlineStr">
        <is>
          <t>Electrical and Electronic Engineering industry-based capstone projects</t>
        </is>
      </c>
      <c r="E687" s="77" t="inlineStr">
        <is>
          <t>project; group; employer</t>
        </is>
      </c>
      <c r="F687" s="77" t="inlineStr">
        <is>
          <t>https://electrical.eng.unimelb.edu.au/industry/student-projects</t>
        </is>
      </c>
      <c r="G687" s="77" t="inlineStr">
        <is>
          <t>Student industry projects - Electrical and Electronic Engineering</t>
        </is>
      </c>
      <c r="H687" s="77" t="inlineStr">
        <is>
          <t>Introduction</t>
        </is>
      </c>
      <c r="I687" s="77" t="inlineStr">
        <is>
          <t>undated</t>
        </is>
      </c>
      <c r="J687" s="77" t="inlineStr">
        <is>
          <t>2026-10-12</t>
        </is>
      </c>
      <c r="K687" s="77" t="inlineStr">
        <is>
          <t>search-index extract</t>
        </is>
      </c>
      <c r="L687" s="77" t="inlineStr">
        <is>
          <t>industry-based projects are run in small teams under the supervision of an industry supervisor and a member of academic staff; an agreement at the start of the project assigns all project IP to the industry partner.</t>
        </is>
      </c>
    </row>
    <row r="688">
      <c r="A688" s="77" t="inlineStr">
        <is>
          <t>AU02-S09-R1</t>
        </is>
      </c>
      <c r="B688" s="77" t="inlineStr">
        <is>
          <t>AU02</t>
        </is>
      </c>
      <c r="C688" s="77" t="inlineStr">
        <is>
          <t>AU02-S09</t>
        </is>
      </c>
      <c r="D688" s="77" t="inlineStr">
        <is>
          <t>Industry projects for graduate students (Faculty of Science)</t>
        </is>
      </c>
      <c r="E688" s="77" t="inlineStr">
        <is>
          <t>project; group; employer; reach</t>
        </is>
      </c>
      <c r="F688" s="77" t="inlineStr">
        <is>
          <t>https://science.unimelb.edu.au/students/enrich-your-studies/industry-projects</t>
        </is>
      </c>
      <c r="G688" s="77" t="inlineStr">
        <is>
          <t>Industry projects for graduate students - Faculty of Science</t>
        </is>
      </c>
      <c r="H688" s="77" t="inlineStr">
        <is>
          <t>Main page</t>
        </is>
      </c>
      <c r="I688" s="77" t="inlineStr">
        <is>
          <t>undated</t>
        </is>
      </c>
      <c r="J688" s="77" t="inlineStr">
        <is>
          <t>2026-10-12</t>
        </is>
      </c>
      <c r="K688" s="77" t="inlineStr">
        <is>
          <t>search-index extract</t>
        </is>
      </c>
      <c r="L688" s="77" t="inlineStr">
        <is>
          <t>Students in the Master of Biotechnology, Data Science, Environmental Science or Climate Science complete a capstone Industry Project subject ... students collaboratively work in teams to deliver solutions to participating organisations' real-world challenges, supervised by University of Melbourne academic staff. A dedicated team of 3-5 students are assigned to each project, supported by an academic supervisor. Our partners submit a project brief.</t>
        </is>
      </c>
    </row>
    <row r="689">
      <c r="A689" s="77" t="inlineStr">
        <is>
          <t>AU02-S10-R1</t>
        </is>
      </c>
      <c r="B689" s="77" t="inlineStr">
        <is>
          <t>AU02</t>
        </is>
      </c>
      <c r="C689" s="77" t="inlineStr">
        <is>
          <t>AU02-S10</t>
        </is>
      </c>
      <c r="D689" s="77" t="inlineStr">
        <is>
          <t>Industry Project in Biotechnology</t>
        </is>
      </c>
      <c r="E689" s="77" t="inlineStr">
        <is>
          <t>project; group; employer; credit</t>
        </is>
      </c>
      <c r="F689" s="77" t="inlineStr">
        <is>
          <t>https://handbook.unimelb.edu.au/subjects/scie90015</t>
        </is>
      </c>
      <c r="G689" s="77" t="inlineStr">
        <is>
          <t>Industry Project in Biotechnology (SCIE90015)</t>
        </is>
      </c>
      <c r="H689" s="77" t="inlineStr">
        <is>
          <t>Overview</t>
        </is>
      </c>
      <c r="I689" s="77" t="inlineStr">
        <is>
          <t>undated (current URL)</t>
        </is>
      </c>
      <c r="J689" s="77" t="inlineStr">
        <is>
          <t>2026-10-12</t>
        </is>
      </c>
      <c r="K689" s="77" t="inlineStr">
        <is>
          <t>search-index extract</t>
        </is>
      </c>
      <c r="L689" s="77" t="inlineStr">
        <is>
          <t>Students will be assigned to syndicate groups to address a practical industry challenge/issue which has been identified by industry. Year Long (On Campus - Parkville), 25 credit points.</t>
        </is>
      </c>
    </row>
    <row r="690">
      <c r="A690" s="77" t="inlineStr">
        <is>
          <t>AU02-S10-R2</t>
        </is>
      </c>
      <c r="B690" s="77" t="inlineStr">
        <is>
          <t>AU02</t>
        </is>
      </c>
      <c r="C690" s="77" t="inlineStr">
        <is>
          <t>AU02-S10</t>
        </is>
      </c>
      <c r="D690" s="77" t="inlineStr">
        <is>
          <t>Industry Project in Biotechnology</t>
        </is>
      </c>
      <c r="E690" s="77" t="inlineStr">
        <is>
          <t>group; employer</t>
        </is>
      </c>
      <c r="F690" s="77" t="inlineStr">
        <is>
          <t>https://science.unimelb.edu.au/students/enrich-your-studies/industry-projects</t>
        </is>
      </c>
      <c r="G690" s="77" t="inlineStr">
        <is>
          <t>Industry projects for graduate students</t>
        </is>
      </c>
      <c r="H690" s="77" t="inlineStr"/>
      <c r="I690" s="77" t="inlineStr">
        <is>
          <t>undated</t>
        </is>
      </c>
      <c r="J690" s="77" t="inlineStr">
        <is>
          <t>2026-10-12</t>
        </is>
      </c>
      <c r="K690" s="77" t="inlineStr">
        <is>
          <t>search-index extract</t>
        </is>
      </c>
      <c r="L690" s="77" t="inlineStr">
        <is>
          <t>a dedicated team of 3-5 students are assigned to each project ... Our partners submit a project brief ... New biomaterials for a medical device; Determine regulatory landscapes for new drugs.</t>
        </is>
      </c>
    </row>
    <row r="691">
      <c r="A691" s="77" t="inlineStr">
        <is>
          <t>AU02-S11-R1</t>
        </is>
      </c>
      <c r="B691" s="77" t="inlineStr">
        <is>
          <t>AU02</t>
        </is>
      </c>
      <c r="C691" s="77" t="inlineStr">
        <is>
          <t>AU02-S11</t>
        </is>
      </c>
      <c r="D691" s="77" t="inlineStr">
        <is>
          <t>Data Science Project Part 1 / Part 2</t>
        </is>
      </c>
      <c r="E691" s="77" t="inlineStr">
        <is>
          <t>group; status</t>
        </is>
      </c>
      <c r="F691" s="77" t="inlineStr">
        <is>
          <t>https://handbook.unimelb.edu.au/2026/subjects/mast90106</t>
        </is>
      </c>
      <c r="G691" s="77" t="inlineStr">
        <is>
          <t>Data Science Project Pt1 (MAST90106) 2026</t>
        </is>
      </c>
      <c r="H691" s="77" t="inlineStr">
        <is>
          <t>Overview</t>
        </is>
      </c>
      <c r="I691" s="77" t="inlineStr">
        <is>
          <t>2026</t>
        </is>
      </c>
      <c r="J691" s="77" t="inlineStr">
        <is>
          <t>2026-10-12</t>
        </is>
      </c>
      <c r="K691" s="77" t="inlineStr">
        <is>
          <t>search-index extract</t>
        </is>
      </c>
      <c r="L691" s="77" t="inlineStr">
        <is>
          <t>students work in teams under only general guidance from staff members.</t>
        </is>
      </c>
    </row>
    <row r="692">
      <c r="A692" s="77" t="inlineStr">
        <is>
          <t>AU02-S11-R2</t>
        </is>
      </c>
      <c r="B692" s="77" t="inlineStr">
        <is>
          <t>AU02</t>
        </is>
      </c>
      <c r="C692" s="77" t="inlineStr">
        <is>
          <t>AU02-S11</t>
        </is>
      </c>
      <c r="D692" s="77" t="inlineStr">
        <is>
          <t>Data Science Project Part 1 / Part 2</t>
        </is>
      </c>
      <c r="E692" s="77" t="inlineStr">
        <is>
          <t>project; group; employer</t>
        </is>
      </c>
      <c r="F692" s="77" t="inlineStr">
        <is>
          <t>https://science.unimelb.edu.au/students/enrich-your-studies/industry-projects</t>
        </is>
      </c>
      <c r="G692" s="77" t="inlineStr">
        <is>
          <t>Industry projects for graduate students</t>
        </is>
      </c>
      <c r="H692" s="77" t="inlineStr"/>
      <c r="I692" s="77" t="inlineStr">
        <is>
          <t>undated</t>
        </is>
      </c>
      <c r="J692" s="77" t="inlineStr">
        <is>
          <t>2026-10-12</t>
        </is>
      </c>
      <c r="K692" s="77" t="inlineStr">
        <is>
          <t>search-index extract</t>
        </is>
      </c>
      <c r="L692" s="77" t="inlineStr">
        <is>
          <t>capstone Industry Project subject for Master of Data Science students ... students collaboratively work in teams to deliver solutions to participating organisations' real-world challenges.</t>
        </is>
      </c>
    </row>
    <row r="693">
      <c r="A693" s="77" t="inlineStr">
        <is>
          <t>AU02-S11-R3</t>
        </is>
      </c>
      <c r="B693" s="77" t="inlineStr">
        <is>
          <t>AU02</t>
        </is>
      </c>
      <c r="C693" s="77" t="inlineStr">
        <is>
          <t>AU02-S11</t>
        </is>
      </c>
      <c r="D693" s="77" t="inlineStr">
        <is>
          <t>Data Science Project Part 1 / Part 2</t>
        </is>
      </c>
      <c r="E693" s="77" t="inlineStr">
        <is>
          <t>employer; credit</t>
        </is>
      </c>
      <c r="F693" s="77" t="inlineStr">
        <is>
          <t>https://cis.unimelb.edu.au/engage/industry-projects/capstone-projects</t>
        </is>
      </c>
      <c r="G693" s="77" t="inlineStr">
        <is>
          <t>Capstone Projects - CIS</t>
        </is>
      </c>
      <c r="H693" s="77" t="inlineStr">
        <is>
          <t>Data Science</t>
        </is>
      </c>
      <c r="I693" s="77" t="inlineStr">
        <is>
          <t>undated</t>
        </is>
      </c>
      <c r="J693" s="77" t="inlineStr">
        <is>
          <t>2026-10-12</t>
        </is>
      </c>
      <c r="K693" s="77" t="inlineStr">
        <is>
          <t>search-index extract</t>
        </is>
      </c>
      <c r="L693" s="77" t="inlineStr">
        <is>
          <t>Data Science entry for MAST90106 and MAST90107, year-long project, commencing in Semester 1 only.</t>
        </is>
      </c>
    </row>
    <row r="694">
      <c r="A694" s="77" t="inlineStr">
        <is>
          <t>AU02-S11-R4</t>
        </is>
      </c>
      <c r="B694" s="77" t="inlineStr">
        <is>
          <t>AU02</t>
        </is>
      </c>
      <c r="C694" s="77" t="inlineStr">
        <is>
          <t>AU02-S11</t>
        </is>
      </c>
      <c r="D694" s="77" t="inlineStr">
        <is>
          <t>Data Science Project Part 1 / Part 2</t>
        </is>
      </c>
      <c r="E694" s="77" t="inlineStr">
        <is>
          <t>group; credit</t>
        </is>
      </c>
      <c r="F694" s="77" t="inlineStr">
        <is>
          <t>https://handbook.unimelb.edu.au/2024/subjects/mast90107</t>
        </is>
      </c>
      <c r="G694" s="77" t="inlineStr">
        <is>
          <t>Data Science Project Pt2 (MAST90107) 2024</t>
        </is>
      </c>
      <c r="H694" s="77" t="inlineStr">
        <is>
          <t>Overview</t>
        </is>
      </c>
      <c r="I694" s="77" t="inlineStr">
        <is>
          <t>2024</t>
        </is>
      </c>
      <c r="J694" s="77" t="inlineStr">
        <is>
          <t>2026-10-12</t>
        </is>
      </c>
      <c r="K694" s="77" t="inlineStr">
        <is>
          <t>search-index extract</t>
        </is>
      </c>
      <c r="L694" s="77" t="inlineStr">
        <is>
          <t>Teams continue from Part 1; students present a group project report and oral presentation; individual contribution logged via diaries.</t>
        </is>
      </c>
    </row>
    <row r="695">
      <c r="A695" s="77" t="inlineStr">
        <is>
          <t>AU02-S12-R1</t>
        </is>
      </c>
      <c r="B695" s="77" t="inlineStr">
        <is>
          <t>AU02</t>
        </is>
      </c>
      <c r="C695" s="77" t="inlineStr">
        <is>
          <t>AU02-S12</t>
        </is>
      </c>
      <c r="D695" s="77" t="inlineStr">
        <is>
          <t>Industry Project in Environmental Science Pt1 &amp; Pt2</t>
        </is>
      </c>
      <c r="E695" s="77" t="inlineStr">
        <is>
          <t>status; project; participation</t>
        </is>
      </c>
      <c r="F695" s="77" t="inlineStr">
        <is>
          <t>https://handbook.unimelb.edu.au/2026/courses/mc-envsc/course-structure</t>
        </is>
      </c>
      <c r="G695" s="77" t="inlineStr">
        <is>
          <t>Course structure: Master of Environmental Science (MC-ENVSC) 2026</t>
        </is>
      </c>
      <c r="H695" s="77" t="inlineStr">
        <is>
          <t>Course structure</t>
        </is>
      </c>
      <c r="I695" s="77" t="inlineStr">
        <is>
          <t>2026</t>
        </is>
      </c>
      <c r="J695" s="77" t="inlineStr">
        <is>
          <t>2026-10-12</t>
        </is>
      </c>
      <c r="K695" s="77" t="inlineStr">
        <is>
          <t>search-index extract</t>
        </is>
      </c>
      <c r="L695" s="77" t="inlineStr">
        <is>
          <t>EVSC90019 Graduate Seminar: Environmental Science and Industry Project in EnvironmentalSci Pt1 &amp; Pt2 will be taken in the second year of study ... Outstanding students may replace the Industry Project with EVSC90034 ... and EVSC90035.</t>
        </is>
      </c>
    </row>
    <row r="696">
      <c r="A696" s="77" t="inlineStr">
        <is>
          <t>AU02-S12-R2</t>
        </is>
      </c>
      <c r="B696" s="77" t="inlineStr">
        <is>
          <t>AU02</t>
        </is>
      </c>
      <c r="C696" s="77" t="inlineStr">
        <is>
          <t>AU02-S12</t>
        </is>
      </c>
      <c r="D696" s="77" t="inlineStr">
        <is>
          <t>Industry Project in Environmental Science Pt1 &amp; Pt2</t>
        </is>
      </c>
      <c r="E696" s="77" t="inlineStr">
        <is>
          <t>employer</t>
        </is>
      </c>
      <c r="F696" s="77" t="inlineStr">
        <is>
          <t>https://study.unimelb.edu.au/find/courses/graduate/master-of-environmental-science/structure/</t>
        </is>
      </c>
      <c r="G696" s="77" t="inlineStr">
        <is>
          <t>Master of Environmental Science: Course structure</t>
        </is>
      </c>
      <c r="H696" s="77" t="inlineStr"/>
      <c r="I696" s="77" t="inlineStr">
        <is>
          <t>undated</t>
        </is>
      </c>
      <c r="J696" s="77" t="inlineStr">
        <is>
          <t>2026-10-12</t>
        </is>
      </c>
      <c r="K696" s="77" t="inlineStr">
        <is>
          <t>search-index extract</t>
        </is>
      </c>
      <c r="L696" s="77" t="inlineStr">
        <is>
          <t>year-long industry project where students spend time at the workplace of their assigned industry client.</t>
        </is>
      </c>
    </row>
    <row r="697">
      <c r="A697" s="77" t="inlineStr">
        <is>
          <t>AU02-S13-R1</t>
        </is>
      </c>
      <c r="B697" s="77" t="inlineStr">
        <is>
          <t>AU02</t>
        </is>
      </c>
      <c r="C697" s="77" t="inlineStr">
        <is>
          <t>AU02-S13</t>
        </is>
      </c>
      <c r="D697" s="77" t="inlineStr">
        <is>
          <t>Management Consulting</t>
        </is>
      </c>
      <c r="E697" s="77" t="inlineStr">
        <is>
          <t>project; group; employer; credit</t>
        </is>
      </c>
      <c r="F697" s="77" t="inlineStr">
        <is>
          <t>https://handbook.unimelb.edu.au/subjects/mgmt30012</t>
        </is>
      </c>
      <c r="G697" s="77" t="inlineStr">
        <is>
          <t>Management Consulting (MGMT30012)</t>
        </is>
      </c>
      <c r="H697" s="77" t="inlineStr">
        <is>
          <t>Overview</t>
        </is>
      </c>
      <c r="I697" s="77" t="inlineStr">
        <is>
          <t>2026 (current page)</t>
        </is>
      </c>
      <c r="J697" s="77" t="inlineStr">
        <is>
          <t>2026-10-12</t>
        </is>
      </c>
      <c r="K697" s="77" t="inlineStr">
        <is>
          <t>search-index extract</t>
        </is>
      </c>
      <c r="L697" s="77" t="inlineStr">
        <is>
          <t>Working in cross-disciplinary teams, students will be assigned to a client organisation ... Undergraduate level 3 Points: 12.5 On Campus (Parkville); Semester 1 and Semester 2.</t>
        </is>
      </c>
    </row>
    <row r="698">
      <c r="A698" s="77" t="inlineStr">
        <is>
          <t>AU02-S13-R2</t>
        </is>
      </c>
      <c r="B698" s="77" t="inlineStr">
        <is>
          <t>AU02</t>
        </is>
      </c>
      <c r="C698" s="77" t="inlineStr">
        <is>
          <t>AU02-S13</t>
        </is>
      </c>
      <c r="D698" s="77" t="inlineStr">
        <is>
          <t>Management Consulting</t>
        </is>
      </c>
      <c r="E698" s="77" t="inlineStr">
        <is>
          <t>credit; group</t>
        </is>
      </c>
      <c r="F698" s="77" t="inlineStr">
        <is>
          <t>https://handbook.unimelb.edu.au/2023/subjects/mgmt30012/assessment</t>
        </is>
      </c>
      <c r="G698" s="77" t="inlineStr">
        <is>
          <t>Assessment: MGMT30012 2023</t>
        </is>
      </c>
      <c r="H698" s="77" t="inlineStr">
        <is>
          <t>Assessment</t>
        </is>
      </c>
      <c r="I698" s="77" t="inlineStr">
        <is>
          <t>2023</t>
        </is>
      </c>
      <c r="J698" s="77" t="inlineStr">
        <is>
          <t>2026-10-12</t>
        </is>
      </c>
      <c r="K698" s="77" t="inlineStr">
        <is>
          <t>search-index extract</t>
        </is>
      </c>
      <c r="L698" s="77" t="inlineStr">
        <is>
          <t>workshop participation hurdle, team progress notes, team presentation, team report, reflective essay, peer evaluation.</t>
        </is>
      </c>
    </row>
    <row r="699">
      <c r="A699" s="77" t="inlineStr">
        <is>
          <t>AU02-S13-R3</t>
        </is>
      </c>
      <c r="B699" s="77" t="inlineStr">
        <is>
          <t>AU02</t>
        </is>
      </c>
      <c r="C699" s="77" t="inlineStr">
        <is>
          <t>AU02-S13</t>
        </is>
      </c>
      <c r="D699" s="77" t="inlineStr">
        <is>
          <t>Management Consulting</t>
        </is>
      </c>
      <c r="E699" s="77" t="inlineStr">
        <is>
          <t>eligibility; participation</t>
        </is>
      </c>
      <c r="F699" s="77" t="inlineStr">
        <is>
          <t>https://handbook.unimelb.edu.au/2024/subjects/mgmt30012/eligibility-and-requirements</t>
        </is>
      </c>
      <c r="G699" s="77" t="inlineStr">
        <is>
          <t>Eligibility: MGMT30012 2024</t>
        </is>
      </c>
      <c r="H699" s="77" t="inlineStr">
        <is>
          <t>Eligibility</t>
        </is>
      </c>
      <c r="I699" s="77" t="inlineStr">
        <is>
          <t>2024</t>
        </is>
      </c>
      <c r="J699" s="77" t="inlineStr">
        <is>
          <t>2026-10-12</t>
        </is>
      </c>
      <c r="K699" s="77" t="inlineStr">
        <is>
          <t>search-index extract</t>
        </is>
      </c>
      <c r="L699" s="77" t="inlineStr">
        <is>
          <t>quota of 60 students, selection by application; from Semester 2 2024 at least 150 credit points and permission of the Subject Coordinator.</t>
        </is>
      </c>
    </row>
    <row r="700">
      <c r="A700" s="77" t="inlineStr">
        <is>
          <t>AU02-S13-R4</t>
        </is>
      </c>
      <c r="B700" s="77" t="inlineStr">
        <is>
          <t>AU02</t>
        </is>
      </c>
      <c r="C700" s="77" t="inlineStr">
        <is>
          <t>AU02-S13</t>
        </is>
      </c>
      <c r="D700" s="77" t="inlineStr">
        <is>
          <t>Management Consulting</t>
        </is>
      </c>
      <c r="E700" s="77" t="inlineStr">
        <is>
          <t>status</t>
        </is>
      </c>
      <c r="F700" s="77" t="inlineStr">
        <is>
          <t>https://handbook.unimelb.edu.au/2026/components/b-com-major-6/course-structure</t>
        </is>
      </c>
      <c r="G700" s="77" t="inlineStr">
        <is>
          <t>Structure: Management (BCom major) 2026</t>
        </is>
      </c>
      <c r="H700" s="77" t="inlineStr">
        <is>
          <t>Course structure</t>
        </is>
      </c>
      <c r="I700" s="77" t="inlineStr">
        <is>
          <t>2026</t>
        </is>
      </c>
      <c r="J700" s="77" t="inlineStr">
        <is>
          <t>2026-10-12</t>
        </is>
      </c>
      <c r="K700" s="77" t="inlineStr">
        <is>
          <t>search-index extract</t>
        </is>
      </c>
      <c r="L700" s="77" t="inlineStr">
        <is>
          <t>Appeared in results for MGMT30012 in 2026 Management major; no verbatim extract obtained.</t>
        </is>
      </c>
    </row>
    <row r="701">
      <c r="A701" s="77" t="inlineStr">
        <is>
          <t>AU02-S14-R1</t>
        </is>
      </c>
      <c r="B701" s="77" t="inlineStr">
        <is>
          <t>AU02</t>
        </is>
      </c>
      <c r="C701" s="77" t="inlineStr">
        <is>
          <t>AU02-S14</t>
        </is>
      </c>
      <c r="D701" s="77" t="inlineStr">
        <is>
          <t>Industry Projects (FBE partner offer)</t>
        </is>
      </c>
      <c r="E701" s="77" t="inlineStr">
        <is>
          <t>project; group; employer; credit</t>
        </is>
      </c>
      <c r="F701" s="77" t="inlineStr">
        <is>
          <t>https://fbe.unimelb.edu.au/engage/partnerships/opportunities/industry-projects</t>
        </is>
      </c>
      <c r="G701" s="77" t="inlineStr">
        <is>
          <t>Industry Projects - Faculty of Business and Economics</t>
        </is>
      </c>
      <c r="H701" s="77" t="inlineStr">
        <is>
          <t>Partner page</t>
        </is>
      </c>
      <c r="I701" s="77" t="inlineStr">
        <is>
          <t>undated</t>
        </is>
      </c>
      <c r="J701" s="77" t="inlineStr">
        <is>
          <t>2026-10-12</t>
        </is>
      </c>
      <c r="K701" s="77" t="inlineStr">
        <is>
          <t>search-index extract</t>
        </is>
      </c>
      <c r="L701" s="77" t="inlineStr">
        <is>
          <t>connect you with groups of 5-30 talented students who will analyse your business challenge and deliver practical, implementable recommendations ... each project is embedded in undergraduate or postgraduate programs, ensuring structured, for-credit learning.</t>
        </is>
      </c>
    </row>
    <row r="702">
      <c r="A702" s="77" t="inlineStr">
        <is>
          <t>AU02-S15-R1</t>
        </is>
      </c>
      <c r="B702" s="77" t="inlineStr">
        <is>
          <t>AU02</t>
        </is>
      </c>
      <c r="C702" s="77" t="inlineStr">
        <is>
          <t>AU02-S15</t>
        </is>
      </c>
      <c r="D702" s="77" t="inlineStr">
        <is>
          <t>Business Innovation Challenge</t>
        </is>
      </c>
      <c r="E702" s="77" t="inlineStr">
        <is>
          <t>project; group; employer; eligibility; status</t>
        </is>
      </c>
      <c r="F702" s="77" t="inlineStr">
        <is>
          <t>https://mbs.unimelb.edu.au/career/expertise/business-innovation-challenge</t>
        </is>
      </c>
      <c r="G702" s="77" t="inlineStr">
        <is>
          <t>Business Innovation Challenge - Melbourne Business School</t>
        </is>
      </c>
      <c r="H702" s="77" t="inlineStr">
        <is>
          <t>Program page</t>
        </is>
      </c>
      <c r="I702" s="77" t="inlineStr">
        <is>
          <t>2026</t>
        </is>
      </c>
      <c r="J702" s="77" t="inlineStr">
        <is>
          <t>2026-10-12</t>
        </is>
      </c>
      <c r="K702" s="77" t="inlineStr">
        <is>
          <t>search-index extract</t>
        </is>
      </c>
      <c r="L702" s="77" t="inlineStr">
        <is>
          <t>small cross-disciplinary teams working on a challenge set by a real organisation ... teams pitch to a judging panel for a chance at a $2000 cash prize. To participate, you must be enrolled in the Faculty of Business and Economics, have not completed the program previously, and be available for the full two days in person on campus. Applications close 30 August 2026; delivery 29 September-2 October 2026.</t>
        </is>
      </c>
    </row>
    <row r="703">
      <c r="A703" s="77" t="inlineStr">
        <is>
          <t>AU02-S15-R2</t>
        </is>
      </c>
      <c r="B703" s="77" t="inlineStr">
        <is>
          <t>AU02</t>
        </is>
      </c>
      <c r="C703" s="77" t="inlineStr">
        <is>
          <t>AU02-S15</t>
        </is>
      </c>
      <c r="D703" s="77" t="inlineStr">
        <is>
          <t>Business Innovation Challenge</t>
        </is>
      </c>
      <c r="E703" s="77" t="inlineStr">
        <is>
          <t>status</t>
        </is>
      </c>
      <c r="F703" s="77" t="inlineStr">
        <is>
          <t>https://fbe.unimelb.edu.au/bcom/career/fbe-student-calendar/sep/semester-2-business-innovation-challenge-applications-open</t>
        </is>
      </c>
      <c r="G703" s="77" t="inlineStr">
        <is>
          <t>Semester 2 Business Innovation Challenge Applications Open</t>
        </is>
      </c>
      <c r="H703" s="77" t="inlineStr">
        <is>
          <t>Calendar</t>
        </is>
      </c>
      <c r="I703" s="77" t="inlineStr">
        <is>
          <t>2026</t>
        </is>
      </c>
      <c r="J703" s="77" t="inlineStr">
        <is>
          <t>2026-10-12</t>
        </is>
      </c>
      <c r="K703" s="77" t="inlineStr">
        <is>
          <t>search-index extract</t>
        </is>
      </c>
      <c r="L703" s="77" t="inlineStr">
        <is>
          <t>Applications for the semester 2 Business Innovation Challenge open 17 Aug 2026.</t>
        </is>
      </c>
    </row>
    <row r="704">
      <c r="A704" s="77" t="inlineStr">
        <is>
          <t>AU02-S16-R1</t>
        </is>
      </c>
      <c r="B704" s="77" t="inlineStr">
        <is>
          <t>AU02</t>
        </is>
      </c>
      <c r="C704" s="77" t="inlineStr">
        <is>
          <t>AU02-S16</t>
        </is>
      </c>
      <c r="D704" s="77" t="inlineStr">
        <is>
          <t>Virtual Industry Projects</t>
        </is>
      </c>
      <c r="E704" s="77" t="inlineStr">
        <is>
          <t>project; group; employer; eligibility; status</t>
        </is>
      </c>
      <c r="F704" s="77" t="inlineStr">
        <is>
          <t>https://mbs.unimelb.edu.au/career/expertise/virtual-industry-projects</t>
        </is>
      </c>
      <c r="G704" s="77" t="inlineStr">
        <is>
          <t>Virtual Industry Projects - Melbourne Business School</t>
        </is>
      </c>
      <c r="H704" s="77" t="inlineStr">
        <is>
          <t>Program page</t>
        </is>
      </c>
      <c r="I704" s="77" t="inlineStr">
        <is>
          <t>2026</t>
        </is>
      </c>
      <c r="J704" s="77" t="inlineStr">
        <is>
          <t>2026-10-12</t>
        </is>
      </c>
      <c r="K704" s="77" t="inlineStr">
        <is>
          <t>search-index extract</t>
        </is>
      </c>
      <c r="L704" s="77" t="inlineStr">
        <is>
          <t>take on a 'consultant' role, solving a real-world business problem for a client ... collaborate in a small, diverse team to develop and present a solution, getting feedback from the client throughout ... minimum of 25 hours ... The matching process is done by Practera and not The University of Melbourne. Winter 2026: project 29 June-10 July 2026.</t>
        </is>
      </c>
    </row>
    <row r="705">
      <c r="A705" s="77" t="inlineStr">
        <is>
          <t>AU02-S16-R2</t>
        </is>
      </c>
      <c r="B705" s="77" t="inlineStr">
        <is>
          <t>AU02</t>
        </is>
      </c>
      <c r="C705" s="77" t="inlineStr">
        <is>
          <t>AU02-S16</t>
        </is>
      </c>
      <c r="D705" s="77" t="inlineStr">
        <is>
          <t>Virtual Industry Projects</t>
        </is>
      </c>
      <c r="E705" s="77" t="inlineStr">
        <is>
          <t>status</t>
        </is>
      </c>
      <c r="F705" s="77" t="inlineStr">
        <is>
          <t>https://fbe.unimelb.edu.au/bcom/career/fbe-student-calendar/oct/virtual-industry-projects-summer-applications-open</t>
        </is>
      </c>
      <c r="G705" s="77" t="inlineStr">
        <is>
          <t>Virtual Industry Projects Summer Applications Open</t>
        </is>
      </c>
      <c r="H705" s="77" t="inlineStr">
        <is>
          <t>Calendar</t>
        </is>
      </c>
      <c r="I705" s="77" t="inlineStr">
        <is>
          <t>2026</t>
        </is>
      </c>
      <c r="J705" s="77" t="inlineStr">
        <is>
          <t>2026-10-12</t>
        </is>
      </c>
      <c r="K705" s="77" t="inlineStr">
        <is>
          <t>search-index extract</t>
        </is>
      </c>
      <c r="L705" s="77" t="inlineStr">
        <is>
          <t>Summer 2026 applications open 5-25 October 2026.</t>
        </is>
      </c>
    </row>
    <row r="706">
      <c r="A706" s="77" t="inlineStr">
        <is>
          <t>AU02-S17-R1</t>
        </is>
      </c>
      <c r="B706" s="77" t="inlineStr">
        <is>
          <t>AU02</t>
        </is>
      </c>
      <c r="C706" s="77" t="inlineStr">
        <is>
          <t>AU02-S17</t>
        </is>
      </c>
      <c r="D706" s="77" t="inlineStr">
        <is>
          <t>Group Project</t>
        </is>
      </c>
      <c r="E706" s="77" t="inlineStr">
        <is>
          <t>project; group; employer; credit</t>
        </is>
      </c>
      <c r="F706" s="77" t="inlineStr">
        <is>
          <t>https://handbook.unimelb.edu.au/subjects/mgmt90129/</t>
        </is>
      </c>
      <c r="G706" s="77" t="inlineStr">
        <is>
          <t>Group Project (MGMT90129)</t>
        </is>
      </c>
      <c r="H706" s="77" t="inlineStr">
        <is>
          <t>Overview/Assessment (2024 data)</t>
        </is>
      </c>
      <c r="I706" s="77" t="inlineStr">
        <is>
          <t>2024</t>
        </is>
      </c>
      <c r="J706" s="77" t="inlineStr">
        <is>
          <t>2026-10-12</t>
        </is>
      </c>
      <c r="K706" s="77" t="inlineStr">
        <is>
          <t>search-index extract</t>
        </is>
      </c>
      <c r="L706" s="77" t="inlineStr">
        <is>
          <t>The Group Project is a group research project, undertaken for an external organisation. ... group presentation worth 15% ... Each student in the group is awarded the same result.</t>
        </is>
      </c>
    </row>
    <row r="707">
      <c r="A707" s="77" t="inlineStr">
        <is>
          <t>AU02-S18-R1</t>
        </is>
      </c>
      <c r="B707" s="77" t="inlineStr">
        <is>
          <t>AU02</t>
        </is>
      </c>
      <c r="C707" s="77" t="inlineStr">
        <is>
          <t>AU02-S18</t>
        </is>
      </c>
      <c r="D707" s="77" t="inlineStr">
        <is>
          <t>Analytics Lab (Master of Business Analytics)</t>
        </is>
      </c>
      <c r="E707" s="77" t="inlineStr">
        <is>
          <t>project; employer</t>
        </is>
      </c>
      <c r="F707" s="77" t="inlineStr">
        <is>
          <t>https://mbs.edu/centres/centre-for-business-analytics/about-us</t>
        </is>
      </c>
      <c r="G707" s="77" t="inlineStr">
        <is>
          <t>About Us - Centre for Business Analytics</t>
        </is>
      </c>
      <c r="H707" s="77" t="inlineStr"/>
      <c r="I707" s="77" t="inlineStr">
        <is>
          <t>undated</t>
        </is>
      </c>
      <c r="J707" s="77" t="inlineStr">
        <is>
          <t>2026-10-12</t>
        </is>
      </c>
      <c r="K707" s="77" t="inlineStr">
        <is>
          <t>search-index extract</t>
        </is>
      </c>
      <c r="L707" s="77" t="inlineStr">
        <is>
          <t>five-week project that combines academic learning with practical data analytics challenges inside an organisation; REA Group host for the past two years; Off-Market Rental Analysis Project generated strategic insights for REA's product and analytics teams.</t>
        </is>
      </c>
    </row>
    <row r="708">
      <c r="A708" s="77" t="inlineStr">
        <is>
          <t>AU02-S18-R2</t>
        </is>
      </c>
      <c r="B708" s="77" t="inlineStr">
        <is>
          <t>AU02</t>
        </is>
      </c>
      <c r="C708" s="77" t="inlineStr">
        <is>
          <t>AU02-S18</t>
        </is>
      </c>
      <c r="D708" s="77" t="inlineStr">
        <is>
          <t>Analytics Lab (Master of Business Analytics)</t>
        </is>
      </c>
      <c r="E708" s="77" t="inlineStr">
        <is>
          <t>employer</t>
        </is>
      </c>
      <c r="F708" s="77" t="inlineStr">
        <is>
          <t>https://mbs.edu/-/media/PDF/Brochures/Degree-Programs/Master-of-Business-Analytics-Brochure---Melbourne-Business-School.ashx</t>
        </is>
      </c>
      <c r="G708" s="77" t="inlineStr">
        <is>
          <t>Master of Business Analytics brochure</t>
        </is>
      </c>
      <c r="H708" s="77" t="inlineStr">
        <is>
          <t>Analytics Lab</t>
        </is>
      </c>
      <c r="I708" s="77" t="inlineStr">
        <is>
          <t>undated</t>
        </is>
      </c>
      <c r="J708" s="77" t="inlineStr">
        <is>
          <t>2026-10-12</t>
        </is>
      </c>
      <c r="K708" s="77" t="inlineStr">
        <is>
          <t>search-index extract</t>
        </is>
      </c>
      <c r="L708" s="77" t="inlineStr">
        <is>
          <t>students work within an organisation to help solve pressing business challenges in that five-week lab; snapshots for EY, Suncorp, Downer and L'Oreal Australia.</t>
        </is>
      </c>
    </row>
    <row r="709">
      <c r="A709" s="77" t="inlineStr">
        <is>
          <t>AU02-S19-R1</t>
        </is>
      </c>
      <c r="B709" s="77" t="inlineStr">
        <is>
          <t>AU02</t>
        </is>
      </c>
      <c r="C709" s="77" t="inlineStr">
        <is>
          <t>AU02-S19</t>
        </is>
      </c>
      <c r="D709" s="77" t="inlineStr">
        <is>
          <t>Creating Innovative Professionals (IPP Spark)</t>
        </is>
      </c>
      <c r="E709" s="77" t="inlineStr">
        <is>
          <t>project; group; employer; status; credit</t>
        </is>
      </c>
      <c r="F709" s="77" t="inlineStr">
        <is>
          <t>https://handbook.unimelb.edu.au/subjects/engr90039</t>
        </is>
      </c>
      <c r="G709" s="77" t="inlineStr">
        <is>
          <t>Creating Innovative Professionals (ENGR90039)</t>
        </is>
      </c>
      <c r="H709" s="77" t="inlineStr">
        <is>
          <t>Overview</t>
        </is>
      </c>
      <c r="I709" s="77" t="inlineStr">
        <is>
          <t>2026</t>
        </is>
      </c>
      <c r="J709" s="77" t="inlineStr">
        <is>
          <t>2026-10-12</t>
        </is>
      </c>
      <c r="K709" s="77" t="inlineStr">
        <is>
          <t>search-index extract</t>
        </is>
      </c>
      <c r="L709" s="77" t="inlineStr">
        <is>
          <t>Graduate coursework, 12.5 points, On Campus (Parkville), Semester 2 with quotas; students work in multidisciplinary teams on an innovation challenge set by an industry organisation; all project sponsors will require students to maintain the confidentiality of their proprietary information.</t>
        </is>
      </c>
    </row>
    <row r="710">
      <c r="A710" s="77" t="inlineStr">
        <is>
          <t>AU02-S19-R2</t>
        </is>
      </c>
      <c r="B710" s="77" t="inlineStr">
        <is>
          <t>AU02</t>
        </is>
      </c>
      <c r="C710" s="77" t="inlineStr">
        <is>
          <t>AU02-S19</t>
        </is>
      </c>
      <c r="D710" s="77" t="inlineStr">
        <is>
          <t>Creating Innovative Professionals (IPP Spark)</t>
        </is>
      </c>
      <c r="E710" s="77" t="inlineStr">
        <is>
          <t>eligibility; reach</t>
        </is>
      </c>
      <c r="F710" s="77" t="inlineStr">
        <is>
          <t>https://handbook.unimelb.edu.au/2026/subjects/engr90039/eligibility-and-requirements</t>
        </is>
      </c>
      <c r="G710" s="77" t="inlineStr">
        <is>
          <t>Eligibility: ENGR90039 2026</t>
        </is>
      </c>
      <c r="H710" s="77" t="inlineStr">
        <is>
          <t>Eligibility</t>
        </is>
      </c>
      <c r="I710" s="77" t="inlineStr">
        <is>
          <t>2026</t>
        </is>
      </c>
      <c r="J710" s="77" t="inlineStr">
        <is>
          <t>2026-10-12</t>
        </is>
      </c>
      <c r="K710" s="77" t="inlineStr">
        <is>
          <t>search-index extract</t>
        </is>
      </c>
      <c r="L710" s="77" t="inlineStr">
        <is>
          <t>Lists specified masters programs plus approved programs in FBE and the School of Design; it is not possible to self-enrol in CIP. All enrolments are by application and are subject to a variable quota.</t>
        </is>
      </c>
    </row>
    <row r="711">
      <c r="A711" s="77" t="inlineStr">
        <is>
          <t>AU02-S19-R3</t>
        </is>
      </c>
      <c r="B711" s="77" t="inlineStr">
        <is>
          <t>AU02</t>
        </is>
      </c>
      <c r="C711" s="77" t="inlineStr">
        <is>
          <t>AU02-S19</t>
        </is>
      </c>
      <c r="D711" s="77" t="inlineStr">
        <is>
          <t>Creating Innovative Professionals (IPP Spark)</t>
        </is>
      </c>
      <c r="E711" s="77" t="inlineStr">
        <is>
          <t>participation</t>
        </is>
      </c>
      <c r="F711" s="77" t="inlineStr">
        <is>
          <t>https://ipp.eng.unimelb.edu.au/home/ipp-wins-feit-excellence-award</t>
        </is>
      </c>
      <c r="G711" s="77" t="inlineStr">
        <is>
          <t>IPP wins FEIT Excellence Award</t>
        </is>
      </c>
      <c r="H711" s="77" t="inlineStr"/>
      <c r="I711" s="77" t="inlineStr">
        <is>
          <t>undated</t>
        </is>
      </c>
      <c r="J711" s="77" t="inlineStr">
        <is>
          <t>2026-10-12</t>
        </is>
      </c>
      <c r="K711" s="77" t="inlineStr">
        <is>
          <t>search-index extract</t>
        </is>
      </c>
      <c r="L711" s="77" t="inlineStr">
        <is>
          <t>delivered more than 300 innovation projects with over 130 industry sponsors in six years.</t>
        </is>
      </c>
    </row>
    <row r="712">
      <c r="A712" s="77" t="inlineStr">
        <is>
          <t>AU02-S19-R4</t>
        </is>
      </c>
      <c r="B712" s="77" t="inlineStr">
        <is>
          <t>AU02</t>
        </is>
      </c>
      <c r="C712" s="77" t="inlineStr">
        <is>
          <t>AU02-S19</t>
        </is>
      </c>
      <c r="D712" s="77" t="inlineStr">
        <is>
          <t>Creating Innovative Professionals (IPP Spark)</t>
        </is>
      </c>
      <c r="E712" s="77" t="inlineStr">
        <is>
          <t>status</t>
        </is>
      </c>
      <c r="F712" s="77" t="inlineStr">
        <is>
          <t>https://mbs.unimelb.edu.au/career/apply-your-learning/creating-innovative-professionals</t>
        </is>
      </c>
      <c r="G712" s="77" t="inlineStr">
        <is>
          <t>Creating Innovative Professionals - MBS</t>
        </is>
      </c>
      <c r="H712" s="77" t="inlineStr"/>
      <c r="I712" s="77" t="inlineStr">
        <is>
          <t>2026</t>
        </is>
      </c>
      <c r="J712" s="77" t="inlineStr">
        <is>
          <t>2026-10-12</t>
        </is>
      </c>
      <c r="K712" s="77" t="inlineStr">
        <is>
          <t>search-index extract</t>
        </is>
      </c>
      <c r="L712" s="77" t="inlineStr">
        <is>
          <t>States CIP is not running in 2026 and limits eligibility to Master of International Business and Master of Management (conflicts with handbook).</t>
        </is>
      </c>
    </row>
    <row r="713">
      <c r="A713" s="77" t="inlineStr">
        <is>
          <t>AU02-S20-R1</t>
        </is>
      </c>
      <c r="B713" s="77" t="inlineStr">
        <is>
          <t>AU02</t>
        </is>
      </c>
      <c r="C713" s="77" t="inlineStr">
        <is>
          <t>AU02-S20</t>
        </is>
      </c>
      <c r="D713" s="77" t="inlineStr">
        <is>
          <t>Ignite (Opportunity Lab / O-Lab)</t>
        </is>
      </c>
      <c r="E713" s="77" t="inlineStr">
        <is>
          <t>project; group; employer; participation</t>
        </is>
      </c>
      <c r="F713" s="77" t="inlineStr">
        <is>
          <t>https://ipp.eng.unimelb.edu.au/for-industry/o-lab</t>
        </is>
      </c>
      <c r="G713" s="77" t="inlineStr">
        <is>
          <t>Ignite - Innovation Practice Program</t>
        </is>
      </c>
      <c r="H713" s="77" t="inlineStr">
        <is>
          <t>For industry</t>
        </is>
      </c>
      <c r="I713" s="77" t="inlineStr">
        <is>
          <t>undated (refers to 2021-2022)</t>
        </is>
      </c>
      <c r="J713" s="77" t="inlineStr">
        <is>
          <t>2026-10-12</t>
        </is>
      </c>
      <c r="K713" s="77" t="inlineStr">
        <is>
          <t>search-index extract</t>
        </is>
      </c>
      <c r="L713" s="77" t="inlineStr">
        <is>
          <t>Each project runs with a team of three postgraduate students, a specialist from the sponsor organisation, and O-Lab Innovation Mentors ... about 36 person-weeks ... three to six months; sponsor support includes funded internships and space at Melbourne Connect; aim for 2021-2022 at least 20 projects.</t>
        </is>
      </c>
    </row>
    <row r="714">
      <c r="A714" s="77" t="inlineStr">
        <is>
          <t>AU02-S20-R2</t>
        </is>
      </c>
      <c r="B714" s="77" t="inlineStr">
        <is>
          <t>AU02</t>
        </is>
      </c>
      <c r="C714" s="77" t="inlineStr">
        <is>
          <t>AU02-S20</t>
        </is>
      </c>
      <c r="D714" s="77" t="inlineStr">
        <is>
          <t>Ignite (Opportunity Lab / O-Lab)</t>
        </is>
      </c>
      <c r="E714" s="77" t="inlineStr">
        <is>
          <t>reach; eligibility</t>
        </is>
      </c>
      <c r="F714" s="77" t="inlineStr">
        <is>
          <t>https://ipp.eng.unimelb.edu.au/for-students/o-lab</t>
        </is>
      </c>
      <c r="G714" s="77" t="inlineStr">
        <is>
          <t>Ignite (O-Lab) for Students</t>
        </is>
      </c>
      <c r="H714" s="77" t="inlineStr"/>
      <c r="I714" s="77" t="inlineStr">
        <is>
          <t>undated</t>
        </is>
      </c>
      <c r="J714" s="77" t="inlineStr">
        <is>
          <t>2026-10-12</t>
        </is>
      </c>
      <c r="K714" s="77" t="inlineStr">
        <is>
          <t>search-index extract</t>
        </is>
      </c>
      <c r="L714" s="77" t="inlineStr">
        <is>
          <t>O-Lab is open to postgraduate students across the University of Melbourne.</t>
        </is>
      </c>
    </row>
    <row r="715">
      <c r="A715" s="77" t="inlineStr">
        <is>
          <t>AU02-S21-R1</t>
        </is>
      </c>
      <c r="B715" s="77" t="inlineStr">
        <is>
          <t>AU02</t>
        </is>
      </c>
      <c r="C715" s="77" t="inlineStr">
        <is>
          <t>AU02-S21</t>
        </is>
      </c>
      <c r="D715" s="77" t="inlineStr">
        <is>
          <t>SCOUT (Students Consulting on University Translation)</t>
        </is>
      </c>
      <c r="E715" s="77" t="inlineStr">
        <is>
          <t>project; group; employer; status</t>
        </is>
      </c>
      <c r="F715" s="77" t="inlineStr">
        <is>
          <t>https://about.unimelb.edu.au/education-melbourne/our-people-in-action/university-students-lead-greenhouse-project-and-gain-industry-experience</t>
        </is>
      </c>
      <c r="G715" s="77" t="inlineStr">
        <is>
          <t>University students lead greenhouse project and gain industry experience</t>
        </is>
      </c>
      <c r="H715" s="77" t="inlineStr">
        <is>
          <t>News</t>
        </is>
      </c>
      <c r="I715" s="77" t="inlineStr">
        <is>
          <t>2026</t>
        </is>
      </c>
      <c r="J715" s="77" t="inlineStr">
        <is>
          <t>2026-10-12</t>
        </is>
      </c>
      <c r="K715" s="77" t="inlineStr">
        <is>
          <t>search-index extract</t>
        </is>
      </c>
      <c r="L715" s="77" t="inlineStr">
        <is>
          <t>Students in SCOUT worked with CAS Energy during Semester 1 2026 on a smart greenhouse and living lab concept; team from architecture, science, engineering, IT and business; direct experience working in multidisciplinary teams ... delivering tangible outcomes within real constraints; a new SCOUT team will continue the project in Semester 2, 2026.</t>
        </is>
      </c>
    </row>
    <row r="716">
      <c r="A716" s="77" t="inlineStr">
        <is>
          <t>AU02-S21-R2</t>
        </is>
      </c>
      <c r="B716" s="77" t="inlineStr">
        <is>
          <t>AU02</t>
        </is>
      </c>
      <c r="C716" s="77" t="inlineStr">
        <is>
          <t>AU02-S21</t>
        </is>
      </c>
      <c r="D716" s="77" t="inlineStr">
        <is>
          <t>SCOUT (Students Consulting on University Translation)</t>
        </is>
      </c>
      <c r="E716" s="77" t="inlineStr">
        <is>
          <t>group; reach; eligibility</t>
        </is>
      </c>
      <c r="F716" s="77" t="inlineStr">
        <is>
          <t>https://www.tagcaustralia.com/blog/scout-internship-program-provides-students-with-diverse-real-world-insight</t>
        </is>
      </c>
      <c r="G716" s="77" t="inlineStr">
        <is>
          <t>SCOUT internship program provides students with diverse real-world insight</t>
        </is>
      </c>
      <c r="H716" s="77" t="inlineStr">
        <is>
          <t>Blog</t>
        </is>
      </c>
      <c r="I716" s="77" t="inlineStr">
        <is>
          <t>2025 (approx.)</t>
        </is>
      </c>
      <c r="J716" s="77" t="inlineStr">
        <is>
          <t>2026-10-12</t>
        </is>
      </c>
      <c r="K716" s="77" t="inlineStr">
        <is>
          <t>search-index extract</t>
        </is>
      </c>
      <c r="L716" s="77" t="inlineStr">
        <is>
          <t>Launched in Semester 2, 2024, SCOUT is a work-integrated learning initiative that brings together students from diverse faculties to work collaboratively ... semester one 2025 cohort applications open to Science, MDHS (Masters of Genomics and Health), Engineering and IT, Business and Economics, and Arts.</t>
        </is>
      </c>
    </row>
    <row r="717">
      <c r="A717" s="77" t="inlineStr">
        <is>
          <t>AU02-S22-R1</t>
        </is>
      </c>
      <c r="B717" s="77" t="inlineStr">
        <is>
          <t>AU02</t>
        </is>
      </c>
      <c r="C717" s="77" t="inlineStr">
        <is>
          <t>AU02-S22</t>
        </is>
      </c>
      <c r="D717" s="77" t="inlineStr">
        <is>
          <t>Indigenous Legal Advocacy Clinic</t>
        </is>
      </c>
      <c r="E717" s="77" t="inlineStr">
        <is>
          <t>project; group; employer</t>
        </is>
      </c>
      <c r="F717" s="77" t="inlineStr">
        <is>
          <t>https://law.unimelb.edu.au/students/jd/enrichment/mls-clinics/subjects/indigenous-legal-advocacy-clinic</t>
        </is>
      </c>
      <c r="G717" s="77" t="inlineStr">
        <is>
          <t>Indigenous Legal Advocacy Clinic - Melbourne Law School</t>
        </is>
      </c>
      <c r="H717" s="77" t="inlineStr">
        <is>
          <t>Subject page</t>
        </is>
      </c>
      <c r="I717" s="77" t="inlineStr">
        <is>
          <t>undated (repeats 2023 description)</t>
        </is>
      </c>
      <c r="J717" s="77" t="inlineStr">
        <is>
          <t>2026-10-12</t>
        </is>
      </c>
      <c r="K717" s="77" t="inlineStr">
        <is>
          <t>search-index extract</t>
        </is>
      </c>
      <c r="L717" s="77" t="inlineStr">
        <is>
          <t>Students will work in small groups in partnership with an Aboriginal legal service or related body on an issue of law or justice identified by the partner organisation. Clinical projects may include legislative submissions, amicus briefs and law and policy analysis.</t>
        </is>
      </c>
    </row>
    <row r="718">
      <c r="A718" s="77" t="inlineStr">
        <is>
          <t>AU02-S22-R2</t>
        </is>
      </c>
      <c r="B718" s="77" t="inlineStr">
        <is>
          <t>AU02</t>
        </is>
      </c>
      <c r="C718" s="77" t="inlineStr">
        <is>
          <t>AU02-S22</t>
        </is>
      </c>
      <c r="D718" s="77" t="inlineStr">
        <is>
          <t>Indigenous Legal Advocacy Clinic</t>
        </is>
      </c>
      <c r="E718" s="77" t="inlineStr">
        <is>
          <t>project; employer; status</t>
        </is>
      </c>
      <c r="F718" s="77" t="inlineStr">
        <is>
          <t>https://handbook.unimelb.edu.au/2025/subjects/laws90209</t>
        </is>
      </c>
      <c r="G718" s="77" t="inlineStr">
        <is>
          <t>Indigenous Legal Advocacy Clinic (LAWS90209) 2025</t>
        </is>
      </c>
      <c r="H718" s="77" t="inlineStr">
        <is>
          <t>Overview</t>
        </is>
      </c>
      <c r="I718" s="77" t="inlineStr">
        <is>
          <t>2025</t>
        </is>
      </c>
      <c r="J718" s="77" t="inlineStr">
        <is>
          <t>2026-10-12</t>
        </is>
      </c>
      <c r="K718" s="77" t="inlineStr">
        <is>
          <t>search-index extract</t>
        </is>
      </c>
      <c r="L718" s="77" t="inlineStr">
        <is>
          <t>On campus (Parkville), Semester 1; students work with an Indigenous organisation or campaign and produce a major project from a research brief the partner supplies (paraphrase; small-group wording absent).</t>
        </is>
      </c>
    </row>
    <row r="719">
      <c r="A719" s="77" t="inlineStr">
        <is>
          <t>AU02-S23-R1</t>
        </is>
      </c>
      <c r="B719" s="77" t="inlineStr">
        <is>
          <t>AU02</t>
        </is>
      </c>
      <c r="C719" s="77" t="inlineStr">
        <is>
          <t>AU02-S23</t>
        </is>
      </c>
      <c r="D719" s="77" t="inlineStr">
        <is>
          <t>Industry Partner project Studio</t>
        </is>
      </c>
      <c r="E719" s="77" t="inlineStr">
        <is>
          <t>project; group; credit</t>
        </is>
      </c>
      <c r="F719" s="77" t="inlineStr">
        <is>
          <t>https://handbook.unimelb.edu.au/2019/subjects/abpl30044</t>
        </is>
      </c>
      <c r="G719" s="77" t="inlineStr">
        <is>
          <t>Industry Partner project Studio (ABPL30044) 2019</t>
        </is>
      </c>
      <c r="H719" s="77" t="inlineStr">
        <is>
          <t>Overview</t>
        </is>
      </c>
      <c r="I719" s="77" t="inlineStr">
        <is>
          <t>2019</t>
        </is>
      </c>
      <c r="J719" s="77" t="inlineStr">
        <is>
          <t>2026-10-12</t>
        </is>
      </c>
      <c r="K719" s="77" t="inlineStr">
        <is>
          <t>search-index extract</t>
        </is>
      </c>
      <c r="L719" s="77" t="inlineStr">
        <is>
          <t>Semester 2, 12.5-point capstone, formerly Project Planning Studio; students translate a design proposal into operational construction and project management plans; teams work on projects selected from industry; tenderers prepare a project development proposal based on client requirements.</t>
        </is>
      </c>
    </row>
    <row r="720">
      <c r="A720" s="77" t="inlineStr">
        <is>
          <t>AU02-S23-R2</t>
        </is>
      </c>
      <c r="B720" s="77" t="inlineStr">
        <is>
          <t>AU02</t>
        </is>
      </c>
      <c r="C720" s="77" t="inlineStr">
        <is>
          <t>AU02-S23</t>
        </is>
      </c>
      <c r="D720" s="77" t="inlineStr">
        <is>
          <t>Industry Partner project Studio</t>
        </is>
      </c>
      <c r="E720" s="77" t="inlineStr">
        <is>
          <t>status</t>
        </is>
      </c>
      <c r="F720" s="77" t="inlineStr">
        <is>
          <t>https://students.unimelb.edu.au/__data/assets/pdf_file/0005/5407196/Course-based-fees_AF-and-OF_20260305.pdf</t>
        </is>
      </c>
      <c r="G720" s="77" t="inlineStr">
        <is>
          <t>UoM Fees, EFTSL values and Census (2026)</t>
        </is>
      </c>
      <c r="H720" s="77" t="inlineStr">
        <is>
          <t>Fee list</t>
        </is>
      </c>
      <c r="I720" s="77" t="inlineStr">
        <is>
          <t>2026</t>
        </is>
      </c>
      <c r="J720" s="77" t="inlineStr">
        <is>
          <t>2026-10-12</t>
        </is>
      </c>
      <c r="K720" s="77" t="inlineStr">
        <is>
          <t>search-index extract</t>
        </is>
      </c>
      <c r="L720" s="77" t="inlineStr">
        <is>
          <t>ABPL30044 listed at 0.125 EFTSL.</t>
        </is>
      </c>
    </row>
    <row r="721">
      <c r="A721" s="77" t="inlineStr">
        <is>
          <t>AU03-S01-R1</t>
        </is>
      </c>
      <c r="B721" s="77" t="inlineStr">
        <is>
          <t>AU03</t>
        </is>
      </c>
      <c r="C721" s="77" t="inlineStr">
        <is>
          <t>AU03-S01</t>
        </is>
      </c>
      <c r="D721" s="77" t="inlineStr">
        <is>
          <t>Industry and Community Project Units (ICPUs)</t>
        </is>
      </c>
      <c r="E721" s="77" t="inlineStr">
        <is>
          <t>employer; status</t>
        </is>
      </c>
      <c r="F721" s="77" t="inlineStr">
        <is>
          <t>https://www.sydney.edu.au/students/industry-and-community-projects.html</t>
        </is>
      </c>
      <c r="G721" s="77" t="inlineStr">
        <is>
          <t>Industry and community projects - The University of Sydney</t>
        </is>
      </c>
      <c r="H721" s="77" t="inlineStr">
        <is>
          <t>Overview</t>
        </is>
      </c>
      <c r="I721" s="77" t="inlineStr">
        <is>
          <t>undated</t>
        </is>
      </c>
      <c r="J721" s="77" t="inlineStr">
        <is>
          <t>2026-10-12</t>
        </is>
      </c>
      <c r="K721" s="77" t="inlineStr">
        <is>
          <t>search-index extract (quoted)</t>
        </is>
      </c>
      <c r="L721" s="77" t="inlineStr">
        <is>
          <t>Industry and community projects are run in collaboration with partners outside of the University; project partner and topic details are subject to change prior to the start of teaching.</t>
        </is>
      </c>
    </row>
    <row r="722">
      <c r="A722" s="77" t="inlineStr">
        <is>
          <t>AU03-S01-R2</t>
        </is>
      </c>
      <c r="B722" s="77" t="inlineStr">
        <is>
          <t>AU03</t>
        </is>
      </c>
      <c r="C722" s="77" t="inlineStr">
        <is>
          <t>AU03-S01</t>
        </is>
      </c>
      <c r="D722" s="77" t="inlineStr">
        <is>
          <t>Industry and Community Project Units (ICPUs)</t>
        </is>
      </c>
      <c r="E722" s="77" t="inlineStr">
        <is>
          <t>project; group; employer; reach</t>
        </is>
      </c>
      <c r="F722" s="77" t="inlineStr">
        <is>
          <t>https://educational-innovation.sydney.edu.au/teaching@sydney/industry-and-community-project-units-preparing-our-students-for-the-real-world/</t>
        </is>
      </c>
      <c r="G722" s="77" t="inlineStr">
        <is>
          <t>Industry and Community Project Units - teaching@sydney</t>
        </is>
      </c>
      <c r="H722" s="77" t="inlineStr">
        <is>
          <t>Article</t>
        </is>
      </c>
      <c r="I722" s="77" t="inlineStr">
        <is>
          <t>undated</t>
        </is>
      </c>
      <c r="J722" s="77" t="inlineStr">
        <is>
          <t>2026-10-12</t>
        </is>
      </c>
      <c r="K722" s="77" t="inlineStr">
        <is>
          <t>search-index extract (quoted)</t>
        </is>
      </c>
      <c r="L722" s="77" t="inlineStr">
        <is>
          <t>'ICPUs are semester-long or intensive units of study, where students are given a brief of a real-world problem from an industry partner and must work in interdisciplinary teams'; 'Students from all faculties across the University are involved'; partners include Westpac, Accenture, AGL, NSW Farmers Association, the Public Service Commission, Thales and NSW Health.</t>
        </is>
      </c>
    </row>
    <row r="723">
      <c r="A723" s="77" t="inlineStr">
        <is>
          <t>AU03-S01-R3</t>
        </is>
      </c>
      <c r="B723" s="77" t="inlineStr">
        <is>
          <t>AU03</t>
        </is>
      </c>
      <c r="C723" s="77" t="inlineStr">
        <is>
          <t>AU03-S01</t>
        </is>
      </c>
      <c r="D723" s="77" t="inlineStr">
        <is>
          <t>Industry and Community Project Units (ICPUs)</t>
        </is>
      </c>
      <c r="E723" s="77" t="inlineStr">
        <is>
          <t>group; employer</t>
        </is>
      </c>
      <c r="F723" s="77" t="inlineStr">
        <is>
          <t>https://www.sydney.edu.au/students/industry-and-community-projects/types-of-project-units.html</t>
        </is>
      </c>
      <c r="G723" s="77" t="inlineStr">
        <is>
          <t>3000 level - types of project units</t>
        </is>
      </c>
      <c r="H723" s="77" t="inlineStr">
        <is>
          <t>Types of project units</t>
        </is>
      </c>
      <c r="I723" s="77" t="inlineStr">
        <is>
          <t>undated</t>
        </is>
      </c>
      <c r="J723" s="77" t="inlineStr">
        <is>
          <t>2026-10-12</t>
        </is>
      </c>
      <c r="K723" s="77" t="inlineStr">
        <is>
          <t>search-summary paraphrase</t>
        </is>
      </c>
      <c r="L723" s="77" t="inlineStr">
        <is>
          <t>Partners set a real business challenge; 'Project supervisors will allocate the groups to ensure an interdisciplinary mix of students.'</t>
        </is>
      </c>
    </row>
    <row r="724">
      <c r="A724" s="77" t="inlineStr">
        <is>
          <t>AU03-S01-R4</t>
        </is>
      </c>
      <c r="B724" s="77" t="inlineStr">
        <is>
          <t>AU03</t>
        </is>
      </c>
      <c r="C724" s="77" t="inlineStr">
        <is>
          <t>AU03-S01</t>
        </is>
      </c>
      <c r="D724" s="77" t="inlineStr">
        <is>
          <t>Industry and Community Project Units (ICPUs)</t>
        </is>
      </c>
      <c r="E724" s="77" t="inlineStr">
        <is>
          <t>employer; group; participation</t>
        </is>
      </c>
      <c r="F724" s="77" t="inlineStr">
        <is>
          <t>https://www.sydney.edu.au/engage/industry-business-partnerships/work-with-our-students/real-world-projects.html</t>
        </is>
      </c>
      <c r="G724" s="77" t="inlineStr">
        <is>
          <t>Collaborate on real-world projects - The University of Sydney</t>
        </is>
      </c>
      <c r="H724" s="77" t="inlineStr">
        <is>
          <t>Partner-facing page</t>
        </is>
      </c>
      <c r="I724" s="77" t="inlineStr">
        <is>
          <t>undated</t>
        </is>
      </c>
      <c r="J724" s="77" t="inlineStr">
        <is>
          <t>2026-10-12</t>
        </is>
      </c>
      <c r="K724" s="77" t="inlineStr">
        <is>
          <t>search-summary paraphrase</t>
        </is>
      </c>
      <c r="L724" s="77" t="inlineStr">
        <is>
          <t>ICPU students work in interdisciplinary teams on a partner brief and present findings; partner supplies the problem, students research, analyse and present recommended solutions; partners can give feedback; one listing describes groups of five within a cohort of 45-60; more than 85 business, government and community organisations.</t>
        </is>
      </c>
    </row>
    <row r="725">
      <c r="A725" s="77" t="inlineStr">
        <is>
          <t>AU03-S02-R1</t>
        </is>
      </c>
      <c r="B725" s="77" t="inlineStr">
        <is>
          <t>AU03</t>
        </is>
      </c>
      <c r="C725" s="77" t="inlineStr">
        <is>
          <t>AU03-S02</t>
        </is>
      </c>
      <c r="D725" s="77" t="inlineStr">
        <is>
          <t>Industry and Community Project (3000 level ICPU)</t>
        </is>
      </c>
      <c r="E725" s="77" t="inlineStr">
        <is>
          <t>employer</t>
        </is>
      </c>
      <c r="F725" s="77" t="inlineStr">
        <is>
          <t>https://www.sydney.edu.au/students/industry-and-community-projects.html</t>
        </is>
      </c>
      <c r="G725" s="77" t="inlineStr">
        <is>
          <t>Industry and community projects</t>
        </is>
      </c>
      <c r="H725" s="77" t="inlineStr">
        <is>
          <t>Overview</t>
        </is>
      </c>
      <c r="I725" s="77" t="inlineStr">
        <is>
          <t>undated</t>
        </is>
      </c>
      <c r="J725" s="77" t="inlineStr">
        <is>
          <t>2026-10-12</t>
        </is>
      </c>
      <c r="K725" s="77" t="inlineStr">
        <is>
          <t>search-index extract (quoted)</t>
        </is>
      </c>
      <c r="L725" s="77" t="inlineStr">
        <is>
          <t>Projects are run in collaboration with partners outside of the University.</t>
        </is>
      </c>
    </row>
    <row r="726">
      <c r="A726" s="77" t="inlineStr">
        <is>
          <t>AU03-S02-R2</t>
        </is>
      </c>
      <c r="B726" s="77" t="inlineStr">
        <is>
          <t>AU03</t>
        </is>
      </c>
      <c r="C726" s="77" t="inlineStr">
        <is>
          <t>AU03-S02</t>
        </is>
      </c>
      <c r="D726" s="77" t="inlineStr">
        <is>
          <t>Industry and Community Project (3000 level ICPU)</t>
        </is>
      </c>
      <c r="E726" s="77" t="inlineStr">
        <is>
          <t>eligibility; reach; status</t>
        </is>
      </c>
      <c r="F726" s="77" t="inlineStr">
        <is>
          <t>https://www.sydney.edu.au/students/industry-and-community-projects/enrol-icpu.html</t>
        </is>
      </c>
      <c r="G726" s="77" t="inlineStr">
        <is>
          <t>3000 level - eligibility and how to enrol</t>
        </is>
      </c>
      <c r="H726" s="77" t="inlineStr">
        <is>
          <t>Eligibility; registration dates</t>
        </is>
      </c>
      <c r="I726" s="77" t="inlineStr">
        <is>
          <t>2026/27</t>
        </is>
      </c>
      <c r="J726" s="77" t="inlineStr">
        <is>
          <t>2026-10-12</t>
        </is>
      </c>
      <c r="K726" s="77" t="inlineStr">
        <is>
          <t>search-index extract (quoted)</t>
        </is>
      </c>
      <c r="L726" s="77" t="inlineStr">
        <is>
          <t>'To be eligible to enrol in a 3000 level Industry and Community Project Unit (ICPU) you need to be an undergraduate student'; confirm the shell unit is offered in your course; 'Places are limited'; Deed Poll compulsory; Semester 1 window 11 January 2027 - 21 February 2027; intensive window opens 30 November 2026; ENGG3801 needs departmental permission; SCPU3001 changed for 2026.</t>
        </is>
      </c>
    </row>
    <row r="727">
      <c r="A727" s="77" t="inlineStr">
        <is>
          <t>AU03-S02-R3</t>
        </is>
      </c>
      <c r="B727" s="77" t="inlineStr">
        <is>
          <t>AU03</t>
        </is>
      </c>
      <c r="C727" s="77" t="inlineStr">
        <is>
          <t>AU03-S02</t>
        </is>
      </c>
      <c r="D727" s="77" t="inlineStr">
        <is>
          <t>Industry and Community Project (3000 level ICPU)</t>
        </is>
      </c>
      <c r="E727" s="77" t="inlineStr">
        <is>
          <t>project; group; employer</t>
        </is>
      </c>
      <c r="F727" s="77" t="inlineStr">
        <is>
          <t>https://www.sydney.edu.au/students/industry-and-community-projects/types-of-project-units.html</t>
        </is>
      </c>
      <c r="G727" s="77" t="inlineStr">
        <is>
          <t>3000 level - types of project units</t>
        </is>
      </c>
      <c r="H727" s="77" t="inlineStr">
        <is>
          <t>Types</t>
        </is>
      </c>
      <c r="I727" s="77" t="inlineStr">
        <is>
          <t>undated</t>
        </is>
      </c>
      <c r="J727" s="77" t="inlineStr">
        <is>
          <t>2026-10-12</t>
        </is>
      </c>
      <c r="K727" s="77" t="inlineStr">
        <is>
          <t>search-summary paraphrase</t>
        </is>
      </c>
      <c r="L727" s="77" t="inlineStr">
        <is>
          <t>Partners set a real business challenge; 'Project supervisors will allocate the groups to ensure an interdisciplinary mix of students.'</t>
        </is>
      </c>
    </row>
    <row r="728">
      <c r="A728" s="77" t="inlineStr">
        <is>
          <t>AU03-S02-R4</t>
        </is>
      </c>
      <c r="B728" s="77" t="inlineStr">
        <is>
          <t>AU03</t>
        </is>
      </c>
      <c r="C728" s="77" t="inlineStr">
        <is>
          <t>AU03-S02</t>
        </is>
      </c>
      <c r="D728" s="77" t="inlineStr">
        <is>
          <t>Industry and Community Project (3000 level ICPU)</t>
        </is>
      </c>
      <c r="E728" s="77" t="inlineStr">
        <is>
          <t>group; employer</t>
        </is>
      </c>
      <c r="F728" s="77" t="inlineStr">
        <is>
          <t>https://www.sydney.edu.au/engage/industry-business-partnerships/work-with-our-students/real-world-projects.html</t>
        </is>
      </c>
      <c r="G728" s="77" t="inlineStr">
        <is>
          <t>Collaborate on real-world projects</t>
        </is>
      </c>
      <c r="H728" s="77" t="inlineStr">
        <is>
          <t>Partner-facing page</t>
        </is>
      </c>
      <c r="I728" s="77" t="inlineStr">
        <is>
          <t>undated</t>
        </is>
      </c>
      <c r="J728" s="77" t="inlineStr">
        <is>
          <t>2026-10-12</t>
        </is>
      </c>
      <c r="K728" s="77" t="inlineStr">
        <is>
          <t>search-summary paraphrase</t>
        </is>
      </c>
      <c r="L728" s="77" t="inlineStr">
        <is>
          <t>Teams vary by project; one listing describes smaller groups of five within a larger cohort of 45 to 60 students; partners can give feedback.</t>
        </is>
      </c>
    </row>
    <row r="729">
      <c r="A729" s="77" t="inlineStr">
        <is>
          <t>AU03-S02-R5</t>
        </is>
      </c>
      <c r="B729" s="77" t="inlineStr">
        <is>
          <t>AU03</t>
        </is>
      </c>
      <c r="C729" s="77" t="inlineStr">
        <is>
          <t>AU03-S02</t>
        </is>
      </c>
      <c r="D729" s="77" t="inlineStr">
        <is>
          <t>Industry and Community Project (3000 level ICPU)</t>
        </is>
      </c>
      <c r="E729" s="77" t="inlineStr">
        <is>
          <t>project; employer; status; duration</t>
        </is>
      </c>
      <c r="F729" s="77" t="inlineStr">
        <is>
          <t>https://www.sydney.edu.au/units/FASS3333</t>
        </is>
      </c>
      <c r="G729" s="77" t="inlineStr">
        <is>
          <t>FASS3333: Industry and Community Project</t>
        </is>
      </c>
      <c r="H729" s="77" t="inlineStr">
        <is>
          <t>Unit page</t>
        </is>
      </c>
      <c r="I729" s="77" t="inlineStr">
        <is>
          <t>2026 (Semester 2 2026 offering listed)</t>
        </is>
      </c>
      <c r="J729" s="77" t="inlineStr">
        <is>
          <t>2026-10-12</t>
        </is>
      </c>
      <c r="K729" s="77" t="inlineStr">
        <is>
          <t>search-summary paraphrase</t>
        </is>
      </c>
      <c r="L729" s="77" t="inlineStr">
        <is>
          <t>Students present their ideas and solutions to the industry partner; Semester 2 2026 offering listed; 120-150 hours effort for the intensive unit and 90% attendance requirement (as summarised).</t>
        </is>
      </c>
    </row>
    <row r="730">
      <c r="A730" s="77" t="inlineStr">
        <is>
          <t>AU03-S02-R6</t>
        </is>
      </c>
      <c r="B730" s="77" t="inlineStr">
        <is>
          <t>AU03</t>
        </is>
      </c>
      <c r="C730" s="77" t="inlineStr">
        <is>
          <t>AU03-S02</t>
        </is>
      </c>
      <c r="D730" s="77" t="inlineStr">
        <is>
          <t>Industry and Community Project (3000 level ICPU)</t>
        </is>
      </c>
      <c r="E730" s="77" t="inlineStr">
        <is>
          <t>group; employer; eligibility; reach</t>
        </is>
      </c>
      <c r="F730" s="77" t="inlineStr">
        <is>
          <t>https://www.sydney.edu.au/law/study-law/student-experience/industry-and-community-engagement.html</t>
        </is>
      </c>
      <c r="G730" s="77" t="inlineStr">
        <is>
          <t>Industry and community engagement (Law)</t>
        </is>
      </c>
      <c r="H730" s="77" t="inlineStr">
        <is>
          <t>ICPU / Interdisciplinary Project</t>
        </is>
      </c>
      <c r="I730" s="77" t="inlineStr">
        <is>
          <t>undated</t>
        </is>
      </c>
      <c r="J730" s="77" t="inlineStr">
        <is>
          <t>2026-10-13</t>
        </is>
      </c>
      <c r="K730" s="77" t="inlineStr">
        <is>
          <t>page text</t>
        </is>
      </c>
      <c r="L730" s="77" t="inlineStr">
        <is>
          <t>Students "work in interdisciplinary groups" addressing "real-world problems for industry partners"; LLB/JD final or penultimate year students with 48 credit points of core law can enrol in an Interdisciplinary Project.</t>
        </is>
      </c>
    </row>
    <row r="731">
      <c r="A731" s="77" t="inlineStr">
        <is>
          <t>AU03-S03-R1</t>
        </is>
      </c>
      <c r="B731" s="77" t="inlineStr">
        <is>
          <t>AU03</t>
        </is>
      </c>
      <c r="C731" s="77" t="inlineStr">
        <is>
          <t>AU03-S03</t>
        </is>
      </c>
      <c r="D731" s="77" t="inlineStr">
        <is>
          <t>Advanced Industry and Community Project A and B (4000 level ICPU)</t>
        </is>
      </c>
      <c r="E731" s="77" t="inlineStr">
        <is>
          <t>project; employer; status; credit; duration</t>
        </is>
      </c>
      <c r="F731" s="77" t="inlineStr">
        <is>
          <t>https://www.sydney.edu.au/students/industry-and-community-projects/4000-level-projects.html</t>
        </is>
      </c>
      <c r="G731" s="77" t="inlineStr">
        <is>
          <t>4000 level - projects and how to enrol</t>
        </is>
      </c>
      <c r="H731" s="77" t="inlineStr">
        <is>
          <t>Projects; dates</t>
        </is>
      </c>
      <c r="I731" s="77" t="inlineStr">
        <is>
          <t>2026</t>
        </is>
      </c>
      <c r="J731" s="77" t="inlineStr">
        <is>
          <t>2026-10-12</t>
        </is>
      </c>
      <c r="K731" s="77" t="inlineStr">
        <is>
          <t>search-index extract (quoted)</t>
        </is>
      </c>
      <c r="L731" s="77" t="inlineStr">
        <is>
          <t>12 cp projects accessed through 'two co-requisite 6 credit point faculty-based shell units (Projects A and B)'; Project B Semester 2 registration closes 2 August 2026, project dates 3 August - 8 November 2026; Semester 2 industry projects: AMP (climate transition planning for financial services; uses AMP's publicly available climate-related disclosures as a case study) and PTW Architects (sustainable urban environments); students use systems thinking and self-directed inquiry-based research to produce final recommendations.</t>
        </is>
      </c>
    </row>
    <row r="732">
      <c r="A732" s="77" t="inlineStr">
        <is>
          <t>AU03-S03-R2</t>
        </is>
      </c>
      <c r="B732" s="77" t="inlineStr">
        <is>
          <t>AU03</t>
        </is>
      </c>
      <c r="C732" s="77" t="inlineStr">
        <is>
          <t>AU03-S03</t>
        </is>
      </c>
      <c r="D732" s="77" t="inlineStr">
        <is>
          <t>Advanced Industry and Community Project A and B (4000 level ICPU)</t>
        </is>
      </c>
      <c r="E732" s="77" t="inlineStr">
        <is>
          <t>project; group; employer</t>
        </is>
      </c>
      <c r="F732" s="77" t="inlineStr">
        <is>
          <t>https://www.sydney.edu.au/units/ARCH4108</t>
        </is>
      </c>
      <c r="G732" s="77" t="inlineStr">
        <is>
          <t>ARCH4108: Industry and Community Project Unit A</t>
        </is>
      </c>
      <c r="H732" s="77" t="inlineStr">
        <is>
          <t>Unit page</t>
        </is>
      </c>
      <c r="I732" s="77" t="inlineStr">
        <is>
          <t>undated</t>
        </is>
      </c>
      <c r="J732" s="77" t="inlineStr">
        <is>
          <t>2026-10-12</t>
        </is>
      </c>
      <c r="K732" s="77" t="inlineStr">
        <is>
          <t>search-summary paraphrase</t>
        </is>
      </c>
      <c r="L732" s="77" t="inlineStr">
        <is>
          <t>Teams work on a complex real-world problem identified by industry, community and government organisations.</t>
        </is>
      </c>
    </row>
    <row r="733">
      <c r="A733" s="77" t="inlineStr">
        <is>
          <t>AU03-S03-R3</t>
        </is>
      </c>
      <c r="B733" s="77" t="inlineStr">
        <is>
          <t>AU03</t>
        </is>
      </c>
      <c r="C733" s="77" t="inlineStr">
        <is>
          <t>AU03-S03</t>
        </is>
      </c>
      <c r="D733" s="77" t="inlineStr">
        <is>
          <t>Advanced Industry and Community Project A and B (4000 level ICPU)</t>
        </is>
      </c>
      <c r="E733" s="77" t="inlineStr">
        <is>
          <t>group; employer</t>
        </is>
      </c>
      <c r="F733" s="77" t="inlineStr">
        <is>
          <t>https://www.sydney.edu.au/units/SCPU4001</t>
        </is>
      </c>
      <c r="G733" s="77" t="inlineStr">
        <is>
          <t>SCPU4001: Industry and Community Science Project A</t>
        </is>
      </c>
      <c r="H733" s="77" t="inlineStr">
        <is>
          <t>Unit page</t>
        </is>
      </c>
      <c r="I733" s="77" t="inlineStr">
        <is>
          <t>undated</t>
        </is>
      </c>
      <c r="J733" s="77" t="inlineStr">
        <is>
          <t>2026-10-12</t>
        </is>
      </c>
      <c r="K733" s="77" t="inlineStr">
        <is>
          <t>search-index extract (quoted)</t>
        </is>
      </c>
      <c r="L733" s="77" t="inlineStr">
        <is>
          <t>'In collaboration with a major industry partner and an academic lead, students integrate their academic skills and knowledge by working in teams.'</t>
        </is>
      </c>
    </row>
    <row r="734">
      <c r="A734" s="77" t="inlineStr">
        <is>
          <t>AU03-S03-R4</t>
        </is>
      </c>
      <c r="B734" s="77" t="inlineStr">
        <is>
          <t>AU03</t>
        </is>
      </c>
      <c r="C734" s="77" t="inlineStr">
        <is>
          <t>AU03-S03</t>
        </is>
      </c>
      <c r="D734" s="77" t="inlineStr">
        <is>
          <t>Advanced Industry and Community Project A and B (4000 level ICPU)</t>
        </is>
      </c>
      <c r="E734" s="77" t="inlineStr">
        <is>
          <t>status</t>
        </is>
      </c>
      <c r="F734" s="77" t="inlineStr">
        <is>
          <t>https://www.sydney.edu.au/units/FASS4902</t>
        </is>
      </c>
      <c r="G734" s="77" t="inlineStr">
        <is>
          <t>FASS4902: Advanced Industry and Community Project B</t>
        </is>
      </c>
      <c r="H734" s="77" t="inlineStr">
        <is>
          <t>Unit page</t>
        </is>
      </c>
      <c r="I734" s="77" t="inlineStr">
        <is>
          <t>2026</t>
        </is>
      </c>
      <c r="J734" s="77" t="inlineStr">
        <is>
          <t>2026-10-12</t>
        </is>
      </c>
      <c r="K734" s="77" t="inlineStr">
        <is>
          <t>search-summary paraphrase</t>
        </is>
      </c>
      <c r="L734" s="77" t="inlineStr">
        <is>
          <t>Semester 2 2026 offering listed.</t>
        </is>
      </c>
    </row>
    <row r="735">
      <c r="A735" s="77" t="inlineStr">
        <is>
          <t>AU03-S03-R5</t>
        </is>
      </c>
      <c r="B735" s="77" t="inlineStr">
        <is>
          <t>AU03</t>
        </is>
      </c>
      <c r="C735" s="77" t="inlineStr">
        <is>
          <t>AU03-S03</t>
        </is>
      </c>
      <c r="D735" s="77" t="inlineStr">
        <is>
          <t>Advanced Industry and Community Project A and B (4000 level ICPU)</t>
        </is>
      </c>
      <c r="E735" s="77" t="inlineStr">
        <is>
          <t>group; employer; eligibility; reach; status</t>
        </is>
      </c>
      <c r="F735" s="77" t="inlineStr">
        <is>
          <t>https://www.sydney.edu.au/students/industry-and-community-projects/4000-level-projects.html</t>
        </is>
      </c>
      <c r="G735" s="77" t="inlineStr">
        <is>
          <t>4000 level projects</t>
        </is>
      </c>
      <c r="H735" s="77" t="inlineStr">
        <is>
          <t>Eligibility, teams, dates</t>
        </is>
      </c>
      <c r="I735" s="77" t="inlineStr">
        <is>
          <t>2026/27</t>
        </is>
      </c>
      <c r="J735" s="77" t="inlineStr">
        <is>
          <t>2026-10-13</t>
        </is>
      </c>
      <c r="K735" s="77" t="inlineStr">
        <is>
          <t>page text</t>
        </is>
      </c>
      <c r="L735" s="77" t="inlineStr">
        <is>
          <t>are available for students enrolled in a Bachelor of Advanced Studies; Project teams, comprised of around five 4000 level students from multiple disciplines; students will interact with multiple industry and community partners who will set the project scope; Project B Semester 1 22 Feb-30 May 2027.</t>
        </is>
      </c>
    </row>
    <row r="736">
      <c r="A736" s="77" t="inlineStr">
        <is>
          <t>AU03-S04-R1</t>
        </is>
      </c>
      <c r="B736" s="77" t="inlineStr">
        <is>
          <t>AU03</t>
        </is>
      </c>
      <c r="C736" s="77" t="inlineStr">
        <is>
          <t>AU03-S04</t>
        </is>
      </c>
      <c r="D736" s="77" t="inlineStr">
        <is>
          <t>Business Consulting Practicum (Undergraduate)</t>
        </is>
      </c>
      <c r="E736" s="77" t="inlineStr">
        <is>
          <t>group; project; eligibility; reach</t>
        </is>
      </c>
      <c r="F736" s="77" t="inlineStr">
        <is>
          <t>https://www.sydney.edu.au/students/business-placements/business-consulting-practicum.html</t>
        </is>
      </c>
      <c r="G736" s="77" t="inlineStr">
        <is>
          <t>Business Consulting Practicum - The University of Sydney</t>
        </is>
      </c>
      <c r="H736" s="77" t="inlineStr">
        <is>
          <t>Programme page; eligibility</t>
        </is>
      </c>
      <c r="I736" s="77" t="inlineStr">
        <is>
          <t>undated</t>
        </is>
      </c>
      <c r="J736" s="77" t="inlineStr">
        <is>
          <t>2026-10-12</t>
        </is>
      </c>
      <c r="K736" s="77" t="inlineStr">
        <is>
          <t>search-index extract (quoted)</t>
        </is>
      </c>
      <c r="L736" s="77" t="inlineStr">
        <is>
          <t>'you'll form a student consultancy with your classmates and collaborate on a live industry project throughout the semester'; available as BWIL1300 (Undergraduate) or BWIL6300 (Postgraduate); UG applicants need six credit points of space and 'a minimum of 24 credit points of undergraduate business units'; cannot count towards major/minor; no minimum credit points for PG; must be enrolled in specified Business School degrees (e.g. Bachelor of Commerce incl. combined, Master of Commerce, Master of Professional Accounting); minimum enrolment needed or unit may be cancelled.</t>
        </is>
      </c>
    </row>
    <row r="737">
      <c r="A737" s="77" t="inlineStr">
        <is>
          <t>AU03-S04-R2</t>
        </is>
      </c>
      <c r="B737" s="77" t="inlineStr">
        <is>
          <t>AU03</t>
        </is>
      </c>
      <c r="C737" s="77" t="inlineStr">
        <is>
          <t>AU03-S04</t>
        </is>
      </c>
      <c r="D737" s="77" t="inlineStr">
        <is>
          <t>Business Consulting Practicum (Undergraduate)</t>
        </is>
      </c>
      <c r="E737" s="77" t="inlineStr">
        <is>
          <t>project; employer</t>
        </is>
      </c>
      <c r="F737" s="77" t="inlineStr">
        <is>
          <t>https://www.sydney.edu.au/units/BWIL6300</t>
        </is>
      </c>
      <c r="G737" s="77" t="inlineStr">
        <is>
          <t>BWIL6300: Business Consulting Practicum</t>
        </is>
      </c>
      <c r="H737" s="77" t="inlineStr">
        <is>
          <t>Unit description</t>
        </is>
      </c>
      <c r="I737" s="77" t="inlineStr">
        <is>
          <t>2026</t>
        </is>
      </c>
      <c r="J737" s="77" t="inlineStr">
        <is>
          <t>2026-10-12</t>
        </is>
      </c>
      <c r="K737" s="77" t="inlineStr">
        <is>
          <t>search-summary paraphrase</t>
        </is>
      </c>
      <c r="L737" s="77" t="inlineStr">
        <is>
          <t>Students work with a sponsor (corporate, SME, not-for-profit or government) on a project examining the sponsor's activities, challenges and aspirations; scope and key deliverables determined in consultation with the sponsor; 'culminates' in a written report to the sponsor.</t>
        </is>
      </c>
    </row>
    <row r="738">
      <c r="A738" s="77" t="inlineStr">
        <is>
          <t>AU03-S04-R3</t>
        </is>
      </c>
      <c r="B738" s="77" t="inlineStr">
        <is>
          <t>AU03</t>
        </is>
      </c>
      <c r="C738" s="77" t="inlineStr">
        <is>
          <t>AU03-S04</t>
        </is>
      </c>
      <c r="D738" s="77" t="inlineStr">
        <is>
          <t>Business Consulting Practicum (Undergraduate)</t>
        </is>
      </c>
      <c r="E738" s="77" t="inlineStr">
        <is>
          <t>status</t>
        </is>
      </c>
      <c r="F738" s="77" t="inlineStr">
        <is>
          <t>https://www.sydney.edu.au/units/BWIL1300</t>
        </is>
      </c>
      <c r="G738" s="77" t="inlineStr">
        <is>
          <t>BWIL1300: Business Consulting Practicum</t>
        </is>
      </c>
      <c r="H738" s="77" t="inlineStr">
        <is>
          <t>Unit page</t>
        </is>
      </c>
      <c r="I738" s="77" t="inlineStr">
        <is>
          <t>2026</t>
        </is>
      </c>
      <c r="J738" s="77" t="inlineStr">
        <is>
          <t>2026-10-12</t>
        </is>
      </c>
      <c r="K738" s="77" t="inlineStr">
        <is>
          <t>search-summary paraphrase</t>
        </is>
      </c>
      <c r="L738" s="77" t="inlineStr">
        <is>
          <t>Undergraduate equivalent; 2026 listing shows Semester 2 2026.</t>
        </is>
      </c>
    </row>
    <row r="739">
      <c r="A739" s="77" t="inlineStr">
        <is>
          <t>AU03-S05-R1</t>
        </is>
      </c>
      <c r="B739" s="77" t="inlineStr">
        <is>
          <t>AU03</t>
        </is>
      </c>
      <c r="C739" s="77" t="inlineStr">
        <is>
          <t>AU03-S05</t>
        </is>
      </c>
      <c r="D739" s="77" t="inlineStr">
        <is>
          <t>Business Consulting Practicum (Postgraduate)</t>
        </is>
      </c>
      <c r="E739" s="77" t="inlineStr">
        <is>
          <t>project; employer; status</t>
        </is>
      </c>
      <c r="F739" s="77" t="inlineStr">
        <is>
          <t>https://www.sydney.edu.au/units/BWIL6300</t>
        </is>
      </c>
      <c r="G739" s="77" t="inlineStr">
        <is>
          <t>BWIL6300: Business Consulting Practicum</t>
        </is>
      </c>
      <c r="H739" s="77" t="inlineStr">
        <is>
          <t>Unit description; sessions</t>
        </is>
      </c>
      <c r="I739" s="77" t="inlineStr">
        <is>
          <t>2026</t>
        </is>
      </c>
      <c r="J739" s="77" t="inlineStr">
        <is>
          <t>2026-10-12</t>
        </is>
      </c>
      <c r="K739" s="77" t="inlineStr">
        <is>
          <t>search-summary paraphrase</t>
        </is>
      </c>
      <c r="L739" s="77" t="inlineStr">
        <is>
          <t>Students work with a sponsor, which may be a corporate, SME, not-for-profit or government organisation; determine scope and key deliverables in consultation with the sponsor; ends with a written report to the sponsor; offerings Semester 1 2026 and Semester 2 2026, Camperdown/Darlington.</t>
        </is>
      </c>
    </row>
    <row r="740">
      <c r="A740" s="77" t="inlineStr">
        <is>
          <t>AU03-S05-R2</t>
        </is>
      </c>
      <c r="B740" s="77" t="inlineStr">
        <is>
          <t>AU03</t>
        </is>
      </c>
      <c r="C740" s="77" t="inlineStr">
        <is>
          <t>AU03-S05</t>
        </is>
      </c>
      <c r="D740" s="77" t="inlineStr">
        <is>
          <t>Business Consulting Practicum (Postgraduate)</t>
        </is>
      </c>
      <c r="E740" s="77" t="inlineStr">
        <is>
          <t>group; eligibility</t>
        </is>
      </c>
      <c r="F740" s="77" t="inlineStr">
        <is>
          <t>https://www.sydney.edu.au/students/business-placements/business-consulting-practicum.html</t>
        </is>
      </c>
      <c r="G740" s="77" t="inlineStr">
        <is>
          <t>Business Consulting Practicum - The University of Sydney</t>
        </is>
      </c>
      <c r="H740" s="77" t="inlineStr">
        <is>
          <t>Programme page</t>
        </is>
      </c>
      <c r="I740" s="77" t="inlineStr">
        <is>
          <t>undated</t>
        </is>
      </c>
      <c r="J740" s="77" t="inlineStr">
        <is>
          <t>2026-10-12</t>
        </is>
      </c>
      <c r="K740" s="77" t="inlineStr">
        <is>
          <t>search-index extract (quoted)</t>
        </is>
      </c>
      <c r="L740" s="77" t="inlineStr">
        <is>
          <t>'you'll form a student consultancy with your classmates and collaborate on a live industry project throughout the semester'; available as BWIL1300 (Undergraduate) or BWIL6300 (Postgraduate); UG applicants need six credit points of space and 'a minimum of 24 credit points of undergraduate business units'; cannot count towards major/minor; no minimum credit points for PG; must be enrolled in specified Business School degrees (e.g. Bachelor of Commerce incl. combined, Master of Commerce, Master of Professional Accounting); minimum enrolment needed or unit may be cancelled.</t>
        </is>
      </c>
    </row>
    <row r="741">
      <c r="A741" s="77" t="inlineStr">
        <is>
          <t>AU03-S06-R1</t>
        </is>
      </c>
      <c r="B741" s="77" t="inlineStr">
        <is>
          <t>AU03</t>
        </is>
      </c>
      <c r="C741" s="77" t="inlineStr">
        <is>
          <t>AU03-S06</t>
        </is>
      </c>
      <c r="D741" s="77" t="inlineStr">
        <is>
          <t>MMGT Business Project</t>
        </is>
      </c>
      <c r="E741" s="77" t="inlineStr">
        <is>
          <t>project; group; employer; credit; duration</t>
        </is>
      </c>
      <c r="F741" s="77" t="inlineStr">
        <is>
          <t>https://www.sydney.edu.au/units/MMGT6101</t>
        </is>
      </c>
      <c r="G741" s="77" t="inlineStr">
        <is>
          <t>MMGT6101: MMGT Business Project</t>
        </is>
      </c>
      <c r="H741" s="77" t="inlineStr">
        <is>
          <t>Unit page / handbook description</t>
        </is>
      </c>
      <c r="I741" s="77" t="inlineStr">
        <is>
          <t>undated</t>
        </is>
      </c>
      <c r="J741" s="77" t="inlineStr">
        <is>
          <t>2026-10-12</t>
        </is>
      </c>
      <c r="K741" s="77" t="inlineStr">
        <is>
          <t>search-summary paraphrase</t>
        </is>
      </c>
      <c r="L741" s="77" t="inlineStr">
        <is>
          <t>Students work in small groups of four or five and partner with a real organisation over a ten-week period to research and recommend solutions to a business problem identified with the partner; projects range from social entrepreneurship programs with community groups and NGOs to consultancy for large multinationals; consulting mentor; assessment: scoping document 0%, business project report 45%, presentation 25%, thought leadership piece and learning portfolio 30%; 12 cp; Semester 1, Semester 2.</t>
        </is>
      </c>
    </row>
    <row r="742">
      <c r="A742" s="77" t="inlineStr">
        <is>
          <t>AU03-S06-R2</t>
        </is>
      </c>
      <c r="B742" s="77" t="inlineStr">
        <is>
          <t>AU03</t>
        </is>
      </c>
      <c r="C742" s="77" t="inlineStr">
        <is>
          <t>AU03-S06</t>
        </is>
      </c>
      <c r="D742" s="77" t="inlineStr">
        <is>
          <t>MMGT Business Project</t>
        </is>
      </c>
      <c r="E742" s="77" t="inlineStr">
        <is>
          <t>project; group</t>
        </is>
      </c>
      <c r="F742" s="77" t="inlineStr">
        <is>
          <t>https://www.sydney.edu.au/handbooks/business_school_PG/coursework/management/management_descriptions.shtml</t>
        </is>
      </c>
      <c r="G742" s="77" t="inlineStr">
        <is>
          <t>Master of Management - Business School Postgraduate</t>
        </is>
      </c>
      <c r="H742" s="77" t="inlineStr">
        <is>
          <t>Unit descriptions</t>
        </is>
      </c>
      <c r="I742" s="77" t="inlineStr">
        <is>
          <t>undated (legacy handbook format)</t>
        </is>
      </c>
      <c r="J742" s="77" t="inlineStr">
        <is>
          <t>2026-10-12</t>
        </is>
      </c>
      <c r="K742" s="77" t="inlineStr">
        <is>
          <t>search-summary paraphrase</t>
        </is>
      </c>
      <c r="L742" s="77" t="inlineStr">
        <is>
          <t>MMGT6101 described as a business project with a real organisation in groups.</t>
        </is>
      </c>
    </row>
    <row r="743">
      <c r="A743" s="77" t="inlineStr">
        <is>
          <t>AU03-S06-R3</t>
        </is>
      </c>
      <c r="B743" s="77" t="inlineStr">
        <is>
          <t>AU03</t>
        </is>
      </c>
      <c r="C743" s="77" t="inlineStr">
        <is>
          <t>AU03-S06</t>
        </is>
      </c>
      <c r="D743" s="77" t="inlineStr">
        <is>
          <t>MMGT Business Project</t>
        </is>
      </c>
      <c r="E743" s="77" t="inlineStr">
        <is>
          <t>eligibility</t>
        </is>
      </c>
      <c r="F743" s="77" t="inlineStr">
        <is>
          <t>https://rp-handbooks.sydney.edu.au/handbooks/archive/2016/business_school_PG/coursework/management/management_units.shtml.html</t>
        </is>
      </c>
      <c r="G743" s="77" t="inlineStr">
        <is>
          <t>Units of study for the Master of Management (2016 archive)</t>
        </is>
      </c>
      <c r="H743" s="77" t="inlineStr">
        <is>
          <t>Units</t>
        </is>
      </c>
      <c r="I743" s="77" t="inlineStr">
        <is>
          <t>2016</t>
        </is>
      </c>
      <c r="J743" s="77" t="inlineStr">
        <is>
          <t>2026-10-12</t>
        </is>
      </c>
      <c r="K743" s="77" t="inlineStr">
        <is>
          <t>search-summary paraphrase</t>
        </is>
      </c>
      <c r="L743" s="77" t="inlineStr">
        <is>
          <t>Students must complete 24 credit points of core units before enrolling; department permission required.</t>
        </is>
      </c>
    </row>
    <row r="744">
      <c r="A744" s="77" t="inlineStr">
        <is>
          <t>AU03-S07-R1</t>
        </is>
      </c>
      <c r="B744" s="77" t="inlineStr">
        <is>
          <t>AU03</t>
        </is>
      </c>
      <c r="C744" s="77" t="inlineStr">
        <is>
          <t>AU03-S07</t>
        </is>
      </c>
      <c r="D744" s="77" t="inlineStr">
        <is>
          <t>Strategy, Innovation and Management Capstone</t>
        </is>
      </c>
      <c r="E744" s="77" t="inlineStr">
        <is>
          <t>project; employer; status; credit</t>
        </is>
      </c>
      <c r="F744" s="77" t="inlineStr">
        <is>
          <t>https://www.sydney.edu.au/units/SIEN6600</t>
        </is>
      </c>
      <c r="G744" s="77" t="inlineStr">
        <is>
          <t>SIEN6600: Strategy, Innovation and Management Capstone</t>
        </is>
      </c>
      <c r="H744" s="77" t="inlineStr">
        <is>
          <t>Unit page</t>
        </is>
      </c>
      <c r="I744" s="77" t="inlineStr">
        <is>
          <t>2026</t>
        </is>
      </c>
      <c r="J744" s="77" t="inlineStr">
        <is>
          <t>2026-10-12</t>
        </is>
      </c>
      <c r="K744" s="77" t="inlineStr">
        <is>
          <t>search-summary paraphrase</t>
        </is>
      </c>
      <c r="L744" s="77" t="inlineStr">
        <is>
          <t>Theories and concepts are tested in real-life business projects offered by participating partner organisations; offered Semester 1 2026 and Semester 2 2026 at Camperdown/Darlington.</t>
        </is>
      </c>
    </row>
    <row r="745">
      <c r="A745" s="77" t="inlineStr">
        <is>
          <t>AU03-S07-R2</t>
        </is>
      </c>
      <c r="B745" s="77" t="inlineStr">
        <is>
          <t>AU03</t>
        </is>
      </c>
      <c r="C745" s="77" t="inlineStr">
        <is>
          <t>AU03-S07</t>
        </is>
      </c>
      <c r="D745" s="77" t="inlineStr">
        <is>
          <t>Strategy, Innovation and Management Capstone</t>
        </is>
      </c>
      <c r="E745" s="77" t="inlineStr">
        <is>
          <t>group; employer; status</t>
        </is>
      </c>
      <c r="F745" s="77" t="inlineStr">
        <is>
          <t>https://www.sydney.edu.au/units/SIEN6600</t>
        </is>
      </c>
      <c r="G745" s="77" t="inlineStr">
        <is>
          <t>SIEN6600 (page text)</t>
        </is>
      </c>
      <c r="H745" s="77" t="inlineStr">
        <is>
          <t>Description; learning outcomes; sessions</t>
        </is>
      </c>
      <c r="I745" s="77" t="inlineStr">
        <is>
          <t>2026</t>
        </is>
      </c>
      <c r="J745" s="77" t="inlineStr">
        <is>
          <t>2026-10-13</t>
        </is>
      </c>
      <c r="K745" s="77" t="inlineStr">
        <is>
          <t>page text</t>
        </is>
      </c>
      <c r="L745" s="77" t="inlineStr">
        <is>
          <t>This unit serves as the capstone unit for the Strategy, Innovation and Management Specialisation. LO4: collaborating on group projects and interacting with business partners. Offered S1 and S2 2026, also 2022-2025.</t>
        </is>
      </c>
    </row>
    <row r="746">
      <c r="A746" s="77" t="inlineStr">
        <is>
          <t>AU03-S08-R1</t>
        </is>
      </c>
      <c r="B746" s="77" t="inlineStr">
        <is>
          <t>AU03</t>
        </is>
      </c>
      <c r="C746" s="77" t="inlineStr">
        <is>
          <t>AU03-S08</t>
        </is>
      </c>
      <c r="D746" s="77" t="inlineStr">
        <is>
          <t>Master of Commerce Business Information Systems (BIS) capstone</t>
        </is>
      </c>
      <c r="E746" s="77" t="inlineStr">
        <is>
          <t>project; employer; status</t>
        </is>
      </c>
      <c r="F746" s="77" t="inlineStr">
        <is>
          <t>https://www.sydney.edu.au/business/news-and-events/news/2024/07/17/-master-of-commerce-students-navigate-real-world-projects-with-p.html</t>
        </is>
      </c>
      <c r="G746" s="77" t="inlineStr">
        <is>
          <t>BIS Capstone Unit Students Navigate Real-World Projects with Prezzee</t>
        </is>
      </c>
      <c r="H746" s="77" t="inlineStr">
        <is>
          <t>News</t>
        </is>
      </c>
      <c r="I746" s="77" t="inlineStr">
        <is>
          <t>2024</t>
        </is>
      </c>
      <c r="J746" s="77" t="inlineStr">
        <is>
          <t>2026-10-12</t>
        </is>
      </c>
      <c r="K746" s="77" t="inlineStr">
        <is>
          <t>search-summary paraphrase</t>
        </is>
      </c>
      <c r="L746" s="77" t="inlineStr">
        <is>
          <t>Students work with industry partners such as Prezzee on real business cases over 13 weeks with mid-term deliverables and a final report and presentation; a student valued working with a real client.</t>
        </is>
      </c>
    </row>
    <row r="747">
      <c r="A747" s="77" t="inlineStr">
        <is>
          <t>AU03-S09-R1</t>
        </is>
      </c>
      <c r="B747" s="77" t="inlineStr">
        <is>
          <t>AU03</t>
        </is>
      </c>
      <c r="C747" s="77" t="inlineStr">
        <is>
          <t>AU03-S09</t>
        </is>
      </c>
      <c r="D747" s="77" t="inlineStr">
        <is>
          <t>Computer Science Project</t>
        </is>
      </c>
      <c r="E747" s="77" t="inlineStr">
        <is>
          <t>project; group; employer; status; participation</t>
        </is>
      </c>
      <c r="F747" s="77" t="inlineStr">
        <is>
          <t>https://www.sydney.edu.au/units/COMP3888</t>
        </is>
      </c>
      <c r="G747" s="77" t="inlineStr">
        <is>
          <t>COMP3888: Computer Science Project</t>
        </is>
      </c>
      <c r="H747" s="77" t="inlineStr">
        <is>
          <t>Unit page</t>
        </is>
      </c>
      <c r="I747" s="77" t="inlineStr">
        <is>
          <t>2026</t>
        </is>
      </c>
      <c r="J747" s="77" t="inlineStr">
        <is>
          <t>2026-10-12</t>
        </is>
      </c>
      <c r="K747" s="77" t="inlineStr">
        <is>
          <t>search-summary paraphrase</t>
        </is>
      </c>
      <c r="L747" s="77" t="inlineStr">
        <is>
          <t>Students work in groups for an external client, with academic supervision, covering the full development cycle (XP methodology); outcome: 'Demonstrate analytic and problem solving skills through working with clients to discover their needs'; core for CS major, 'may be replaced by advanced unit COMP3988'; Semester 2 2026.</t>
        </is>
      </c>
    </row>
    <row r="748">
      <c r="A748" s="77" t="inlineStr">
        <is>
          <t>AU03-S09-R2</t>
        </is>
      </c>
      <c r="B748" s="77" t="inlineStr">
        <is>
          <t>AU03</t>
        </is>
      </c>
      <c r="C748" s="77" t="inlineStr">
        <is>
          <t>AU03-S09</t>
        </is>
      </c>
      <c r="D748" s="77" t="inlineStr">
        <is>
          <t>Computer Science Project</t>
        </is>
      </c>
      <c r="E748" s="77" t="inlineStr">
        <is>
          <t>employer</t>
        </is>
      </c>
      <c r="F748" s="77" t="inlineStr">
        <is>
          <t>https://www.sydney.edu.au/engage/industry-business-partnerships/work-with-our-students/real-world-projects.html</t>
        </is>
      </c>
      <c r="G748" s="77" t="inlineStr">
        <is>
          <t>Collaborate on real-world projects</t>
        </is>
      </c>
      <c r="H748" s="77" t="inlineStr">
        <is>
          <t>Computer science capstone</t>
        </is>
      </c>
      <c r="I748" s="77" t="inlineStr">
        <is>
          <t>undated</t>
        </is>
      </c>
      <c r="J748" s="77" t="inlineStr">
        <is>
          <t>2026-10-12</t>
        </is>
      </c>
      <c r="K748" s="77" t="inlineStr">
        <is>
          <t>search-summary paraphrase</t>
        </is>
      </c>
      <c r="L748" s="77" t="inlineStr">
        <is>
          <t>In computer science, a partner can provide a project scope describing a real-world problem and expected deliverables for a twelve-week capstone.</t>
        </is>
      </c>
    </row>
    <row r="749">
      <c r="A749" s="77" t="inlineStr">
        <is>
          <t>AU03-S10-R1</t>
        </is>
      </c>
      <c r="B749" s="77" t="inlineStr">
        <is>
          <t>AU03</t>
        </is>
      </c>
      <c r="C749" s="77" t="inlineStr">
        <is>
          <t>AU03-S10</t>
        </is>
      </c>
      <c r="D749" s="77" t="inlineStr">
        <is>
          <t>Jacaranda Flame Consulting (JFC)</t>
        </is>
      </c>
      <c r="E749" s="77" t="inlineStr">
        <is>
          <t>project; group; employer; eligibility; duration</t>
        </is>
      </c>
      <c r="F749" s="77" t="inlineStr">
        <is>
          <t>https://www.sydney.edu.au/engineering/study/student-experience/industry-placements-and-internships/jacaranda-flame-consulting.html</t>
        </is>
      </c>
      <c r="G749" s="77" t="inlineStr">
        <is>
          <t>Jacaranda Flame Consulting - The University of Sydney</t>
        </is>
      </c>
      <c r="H749" s="77" t="inlineStr">
        <is>
          <t>Programme page</t>
        </is>
      </c>
      <c r="I749" s="77" t="inlineStr">
        <is>
          <t>undated</t>
        </is>
      </c>
      <c r="J749" s="77" t="inlineStr">
        <is>
          <t>2026-10-12</t>
        </is>
      </c>
      <c r="K749" s="77" t="inlineStr">
        <is>
          <t>search-summary paraphrase</t>
        </is>
      </c>
      <c r="L749" s="77" t="inlineStr">
        <is>
          <t>Engineering consulting experience for 6 weeks full time over winter or 9 weeks full time over summer; unpaid, offered twice a year; 'project teams of 4 to 5 students from across all engineering disciplines'; problems submitted by leading commercial engineering companies and government organisations; meet client to clarify needs, timeframes and deliverables, progress meetings, present outcomes for client sign-off; aimed at third- and fourth-year and Master of Professional Engineering students; clients include Ampol, Transport for NSW, Laing O'Rourke, Robert Bird Group, IPWEA.</t>
        </is>
      </c>
    </row>
    <row r="750">
      <c r="A750" s="77" t="inlineStr">
        <is>
          <t>AU03-S10-R2</t>
        </is>
      </c>
      <c r="B750" s="77" t="inlineStr">
        <is>
          <t>AU03</t>
        </is>
      </c>
      <c r="C750" s="77" t="inlineStr">
        <is>
          <t>AU03-S10</t>
        </is>
      </c>
      <c r="D750" s="77" t="inlineStr">
        <is>
          <t>Jacaranda Flame Consulting (JFC)</t>
        </is>
      </c>
      <c r="E750" s="77" t="inlineStr">
        <is>
          <t>status</t>
        </is>
      </c>
      <c r="F750" s="77" t="inlineStr">
        <is>
          <t>https://www.sydney.edu.au/news-opinion/news/2023/12/01/university-of-sydney-and-uts-collaborate-on-digital-central.html</t>
        </is>
      </c>
      <c r="G750" s="77" t="inlineStr">
        <is>
          <t>University of Sydney and UTS collaborate on Digital Central</t>
        </is>
      </c>
      <c r="H750" s="77" t="inlineStr">
        <is>
          <t>News</t>
        </is>
      </c>
      <c r="I750" s="77" t="inlineStr">
        <is>
          <t>2023</t>
        </is>
      </c>
      <c r="J750" s="77" t="inlineStr">
        <is>
          <t>2026-10-12</t>
        </is>
      </c>
      <c r="K750" s="77" t="inlineStr">
        <is>
          <t>search-summary paraphrase</t>
        </is>
      </c>
      <c r="L750" s="77" t="inlineStr">
        <is>
          <t>JFC and UTS Optik: high-performing students from both faculties of engineering form consulting teams for industry clients; first project Green Gate Consulting.</t>
        </is>
      </c>
    </row>
    <row r="751">
      <c r="A751" s="77" t="inlineStr">
        <is>
          <t>AU04-S01-R1</t>
        </is>
      </c>
      <c r="B751" s="77" t="inlineStr">
        <is>
          <t>AU04</t>
        </is>
      </c>
      <c r="C751" s="77" t="inlineStr">
        <is>
          <t>AU04-S01</t>
        </is>
      </c>
      <c r="D751" s="77" t="inlineStr">
        <is>
          <t>TechLauncher</t>
        </is>
      </c>
      <c r="E751" s="77" t="inlineStr">
        <is>
          <t>project; group; employer; status</t>
        </is>
      </c>
      <c r="F751" s="77" t="inlineStr">
        <is>
          <t>https://comp.anu.edu.au/engage/techlauncher/</t>
        </is>
      </c>
      <c r="G751" s="77" t="inlineStr">
        <is>
          <t>TechLauncher</t>
        </is>
      </c>
      <c r="H751" s="77" t="inlineStr">
        <is>
          <t>Host information</t>
        </is>
      </c>
      <c r="I751" s="77" t="inlineStr">
        <is>
          <t>2026</t>
        </is>
      </c>
      <c r="J751" s="77" t="inlineStr">
        <is>
          <t>2026-10-13</t>
        </is>
      </c>
      <c r="K751" s="77" t="inlineStr">
        <is>
          <t>page text</t>
        </is>
      </c>
      <c r="L751" s="77" t="inlineStr">
        <is>
          <t>Students 'working in teams of 4-7'; '2 consecutive semesters', 8 hours per week; hosts must 'dedicate at least 1 hour per week to meet with and support their student team'; hosts from 'industry, government, community, or within ANU'; Semester 2 2026: proposals due 15 July 2026, students begin with hosts week of 17 Aug 2026.</t>
        </is>
      </c>
    </row>
    <row r="752">
      <c r="A752" s="77" t="inlineStr">
        <is>
          <t>AU04-S01-R2</t>
        </is>
      </c>
      <c r="B752" s="77" t="inlineStr">
        <is>
          <t>AU04</t>
        </is>
      </c>
      <c r="C752" s="77" t="inlineStr">
        <is>
          <t>AU04-S01</t>
        </is>
      </c>
      <c r="D752" s="77" t="inlineStr">
        <is>
          <t>TechLauncher</t>
        </is>
      </c>
      <c r="E752" s="77" t="inlineStr">
        <is>
          <t>project; group; employer; credit; participation</t>
        </is>
      </c>
      <c r="F752" s="77" t="inlineStr">
        <is>
          <t>https://programsandcourses.anu.edu.au/course/comp4500</t>
        </is>
      </c>
      <c r="G752" s="77" t="inlineStr">
        <is>
          <t>Software Engineering Team Project (COMP4500)</t>
        </is>
      </c>
      <c r="H752" s="77" t="inlineStr">
        <is>
          <t>Course page</t>
        </is>
      </c>
      <c r="I752" s="77" t="inlineStr">
        <is>
          <t>2027-28 offerings</t>
        </is>
      </c>
      <c r="J752" s="77" t="inlineStr">
        <is>
          <t>2026-10-13</t>
        </is>
      </c>
      <c r="K752" s="77" t="inlineStr">
        <is>
          <t>page text</t>
        </is>
      </c>
      <c r="L752" s="77" t="inlineStr">
        <is>
          <t>Project developed 'for an industry, government or university based customer'; 'Students will lead small teams'; 6 units; 'must be completed twice, in consecutive semesters'; 'delivered under TechLauncher'.</t>
        </is>
      </c>
    </row>
    <row r="753">
      <c r="A753" s="77" t="inlineStr">
        <is>
          <t>AU04-S01-R3</t>
        </is>
      </c>
      <c r="B753" s="77" t="inlineStr">
        <is>
          <t>AU04</t>
        </is>
      </c>
      <c r="C753" s="77" t="inlineStr">
        <is>
          <t>AU04-S01</t>
        </is>
      </c>
      <c r="D753" s="77" t="inlineStr">
        <is>
          <t>TechLauncher</t>
        </is>
      </c>
      <c r="E753" s="77" t="inlineStr">
        <is>
          <t>employer; credit</t>
        </is>
      </c>
      <c r="F753" s="77" t="inlineStr">
        <is>
          <t>https://systems.anu.edu.au/students/student-employability/industry/</t>
        </is>
      </c>
      <c r="G753" s="77" t="inlineStr">
        <is>
          <t>Industry Group Projects</t>
        </is>
      </c>
      <c r="H753" s="77" t="inlineStr">
        <is>
          <t>Overview</t>
        </is>
      </c>
      <c r="I753" s="77" t="inlineStr">
        <is>
          <t>undated</t>
        </is>
      </c>
      <c r="J753" s="77" t="inlineStr">
        <is>
          <t>2026-10-13</t>
        </is>
      </c>
      <c r="K753" s="77" t="inlineStr">
        <is>
          <t>page text</t>
        </is>
      </c>
      <c r="L753" s="77" t="inlineStr">
        <is>
          <t>Engineering Capstone and TechLauncher are completed for academic credit; students work with a Host who could be from private sector, government departments, NGOs or not-for-profits.</t>
        </is>
      </c>
    </row>
    <row r="754">
      <c r="A754" s="77" t="inlineStr">
        <is>
          <t>AU04-S02-R1</t>
        </is>
      </c>
      <c r="B754" s="77" t="inlineStr">
        <is>
          <t>AU04</t>
        </is>
      </c>
      <c r="C754" s="77" t="inlineStr">
        <is>
          <t>AU04-S02</t>
        </is>
      </c>
      <c r="D754" s="77" t="inlineStr">
        <is>
          <t>Capstone Design Project (Engineering Capstone)</t>
        </is>
      </c>
      <c r="E754" s="77" t="inlineStr">
        <is>
          <t>project; group; employer; credit; eligibility; status</t>
        </is>
      </c>
      <c r="F754" s="77" t="inlineStr">
        <is>
          <t>https://programsandcourses.anu.edu.au/course/ENGN4300</t>
        </is>
      </c>
      <c r="G754" s="77" t="inlineStr">
        <is>
          <t>Capstone Design Project (ENGN4300)</t>
        </is>
      </c>
      <c r="H754" s="77" t="inlineStr">
        <is>
          <t>Course page</t>
        </is>
      </c>
      <c r="I754" s="77" t="inlineStr">
        <is>
          <t>2027 offerings listed</t>
        </is>
      </c>
      <c r="J754" s="77" t="inlineStr">
        <is>
          <t>2026-10-13</t>
        </is>
      </c>
      <c r="K754" s="77" t="inlineStr">
        <is>
          <t>page text</t>
        </is>
      </c>
      <c r="L754" s="77" t="inlineStr">
        <is>
          <t>'you will work as an independent group to deliver value on a real-world project'; teams formed at Team Formation event; define project 'in consultation with project hosts'; 6 to 12 units; Design Project 70, Presentation 10, Reflections 20; offerings 2027 S1/S2.</t>
        </is>
      </c>
    </row>
    <row r="755">
      <c r="A755" s="77" t="inlineStr">
        <is>
          <t>AU04-S02-R2</t>
        </is>
      </c>
      <c r="B755" s="77" t="inlineStr">
        <is>
          <t>AU04</t>
        </is>
      </c>
      <c r="C755" s="77" t="inlineStr">
        <is>
          <t>AU04-S02</t>
        </is>
      </c>
      <c r="D755" s="77" t="inlineStr">
        <is>
          <t>Capstone Design Project (Engineering Capstone)</t>
        </is>
      </c>
      <c r="E755" s="77" t="inlineStr">
        <is>
          <t>project; group; employer; status</t>
        </is>
      </c>
      <c r="F755" s="77" t="inlineStr">
        <is>
          <t>https://eng.anu.edu.au/courses/engn4300/get_involved/host_guide/</t>
        </is>
      </c>
      <c r="G755" s="77" t="inlineStr">
        <is>
          <t>Project Host Information - Capstone Design Project</t>
        </is>
      </c>
      <c r="H755" s="77" t="inlineStr">
        <is>
          <t>Host guide</t>
        </is>
      </c>
      <c r="I755" s="77" t="inlineStr">
        <is>
          <t>v2025 S1.1.0</t>
        </is>
      </c>
      <c r="J755" s="77" t="inlineStr">
        <is>
          <t>2026-10-13</t>
        </is>
      </c>
      <c r="K755" s="77" t="inlineStr">
        <is>
          <t>page text</t>
        </is>
      </c>
      <c r="L755" s="77" t="inlineStr">
        <is>
          <t>Hosts 'Propose a project brief', 'Complete a Project Agreement with the ANU', weekly or fortnightly meetings, 'Provide feedback to the team through our audit process', attend Project Showcase; 'Teams typically consist of 4-6 members'; 'year-long, two-semester course undertaken by 4th-year students'; hosts external or internal to ANU.</t>
        </is>
      </c>
    </row>
    <row r="756">
      <c r="A756" s="77" t="inlineStr">
        <is>
          <t>AU04-S02-R3</t>
        </is>
      </c>
      <c r="B756" s="77" t="inlineStr">
        <is>
          <t>AU04</t>
        </is>
      </c>
      <c r="C756" s="77" t="inlineStr">
        <is>
          <t>AU04-S02</t>
        </is>
      </c>
      <c r="D756" s="77" t="inlineStr">
        <is>
          <t>Capstone Design Project (Engineering Capstone)</t>
        </is>
      </c>
      <c r="E756" s="77" t="inlineStr">
        <is>
          <t>employer; credit</t>
        </is>
      </c>
      <c r="F756" s="77" t="inlineStr">
        <is>
          <t>https://systems.anu.edu.au/students/student-employability/industry/</t>
        </is>
      </c>
      <c r="G756" s="77" t="inlineStr">
        <is>
          <t>Industry Group Projects</t>
        </is>
      </c>
      <c r="H756" s="77" t="inlineStr">
        <is>
          <t>Overview</t>
        </is>
      </c>
      <c r="I756" s="77" t="inlineStr">
        <is>
          <t>undated</t>
        </is>
      </c>
      <c r="J756" s="77" t="inlineStr">
        <is>
          <t>2026-10-13</t>
        </is>
      </c>
      <c r="K756" s="77" t="inlineStr">
        <is>
          <t>page text</t>
        </is>
      </c>
      <c r="L756" s="77" t="inlineStr">
        <is>
          <t>Engineering Capstone: for academic credit; students work with a Host from private sector, government departments, NGOs or not-for-profits.</t>
        </is>
      </c>
    </row>
    <row r="757">
      <c r="A757" s="77" t="inlineStr">
        <is>
          <t>AU04-S03-R1</t>
        </is>
      </c>
      <c r="B757" s="77" t="inlineStr">
        <is>
          <t>AU04</t>
        </is>
      </c>
      <c r="C757" s="77" t="inlineStr">
        <is>
          <t>AU04-S03</t>
        </is>
      </c>
      <c r="D757" s="77" t="inlineStr">
        <is>
          <t>Special Industry Project (CBEA3001 undergraduate / WILC6001 postgraduate)</t>
        </is>
      </c>
      <c r="E757" s="77" t="inlineStr">
        <is>
          <t>project; group; employer; eligibility; credit</t>
        </is>
      </c>
      <c r="F757" s="77" t="inlineStr">
        <is>
          <t>https://cbe.anu.edu.au/current-students/opportunities-and-careers/special-industry-project-course</t>
        </is>
      </c>
      <c r="G757" s="77" t="inlineStr">
        <is>
          <t>Special Industry Project Course</t>
        </is>
      </c>
      <c r="H757" s="77" t="inlineStr">
        <is>
          <t>Course page</t>
        </is>
      </c>
      <c r="I757" s="77" t="inlineStr">
        <is>
          <t>undated (2025/2026 course URLs)</t>
        </is>
      </c>
      <c r="J757" s="77" t="inlineStr">
        <is>
          <t>2026-10-13</t>
        </is>
      </c>
      <c r="K757" s="77" t="inlineStr">
        <is>
          <t>page text</t>
        </is>
      </c>
      <c r="L757" s="77" t="inlineStr">
        <is>
          <t>'a work-integrated learning course'; 'working in teams to devise the best solution to a business case'; 'work closely with the client who provides the business case'; CBEA3001 requires 72 units, WILC6001 24 units; 6-unit course.</t>
        </is>
      </c>
    </row>
    <row r="758">
      <c r="A758" s="77" t="inlineStr">
        <is>
          <t>AU04-S03-R2</t>
        </is>
      </c>
      <c r="B758" s="77" t="inlineStr">
        <is>
          <t>AU04</t>
        </is>
      </c>
      <c r="C758" s="77" t="inlineStr">
        <is>
          <t>AU04-S03</t>
        </is>
      </c>
      <c r="D758" s="77" t="inlineStr">
        <is>
          <t>Special Industry Project (CBEA3001 undergraduate / WILC6001 postgraduate)</t>
        </is>
      </c>
      <c r="E758" s="77" t="inlineStr">
        <is>
          <t>employer; status</t>
        </is>
      </c>
      <c r="F758" s="77" t="inlineStr">
        <is>
          <t>https://cbe.anu.edu.au/current-students/opportunities-and-careers/cbe-special-industry-project-course/clients-and-mentors</t>
        </is>
      </c>
      <c r="G758" s="77" t="inlineStr">
        <is>
          <t>Become an industry client</t>
        </is>
      </c>
      <c r="H758" s="77" t="inlineStr">
        <is>
          <t>Past clients</t>
        </is>
      </c>
      <c r="I758" s="77" t="inlineStr">
        <is>
          <t>2026</t>
        </is>
      </c>
      <c r="J758" s="77" t="inlineStr">
        <is>
          <t>2026-10-13</t>
        </is>
      </c>
      <c r="K758" s="77" t="inlineStr">
        <is>
          <t>page text</t>
        </is>
      </c>
      <c r="L758" s="77" t="inlineStr">
        <is>
          <t>Semester 1 2026: ANU International and Future Students Division; 2025: ActewAGL; 2024: Aspen Medical; 2023: NDIS Quality &amp; Safeguards Commission, National Museum of Australia; 2022: CSIRO.</t>
        </is>
      </c>
    </row>
    <row r="759">
      <c r="A759" s="77" t="inlineStr">
        <is>
          <t>AU04-S03-R3</t>
        </is>
      </c>
      <c r="B759" s="77" t="inlineStr">
        <is>
          <t>AU04</t>
        </is>
      </c>
      <c r="C759" s="77" t="inlineStr">
        <is>
          <t>AU04-S03</t>
        </is>
      </c>
      <c r="D759" s="77" t="inlineStr">
        <is>
          <t>Special Industry Project (CBEA3001 undergraduate / WILC6001 postgraduate)</t>
        </is>
      </c>
      <c r="E759" s="77" t="inlineStr">
        <is>
          <t>status; project; group</t>
        </is>
      </c>
      <c r="F759" s="77" t="inlineStr">
        <is>
          <t>https://programsandcourses.anu.edu.au/2026/course/WILC6001</t>
        </is>
      </c>
      <c r="G759" s="77" t="inlineStr">
        <is>
          <t>College of Business and Economics Special Industry Project (PG)</t>
        </is>
      </c>
      <c r="H759" s="77" t="inlineStr">
        <is>
          <t>Course page</t>
        </is>
      </c>
      <c r="I759" s="77" t="inlineStr">
        <is>
          <t>2026</t>
        </is>
      </c>
      <c r="J759" s="77" t="inlineStr">
        <is>
          <t>2026-10-13</t>
        </is>
      </c>
      <c r="K759" s="77" t="inlineStr">
        <is>
          <t>search-index extract</t>
        </is>
      </c>
      <c r="L759" s="77" t="inlineStr">
        <is>
          <t>Search extract: offered Semester 1 and 2 2026; teams of postgraduate students work on live client problem; final report and pitch to client panel.</t>
        </is>
      </c>
    </row>
    <row r="760">
      <c r="A760" s="77" t="inlineStr">
        <is>
          <t>AU04-S04-R1</t>
        </is>
      </c>
      <c r="B760" s="77" t="inlineStr">
        <is>
          <t>AU04</t>
        </is>
      </c>
      <c r="C760" s="77" t="inlineStr">
        <is>
          <t>AU04-S04</t>
        </is>
      </c>
      <c r="D760" s="77" t="inlineStr">
        <is>
          <t>Group Project (Master of Engineering)</t>
        </is>
      </c>
      <c r="E760" s="77" t="inlineStr">
        <is>
          <t>project; group; employer; credit; eligibility; status</t>
        </is>
      </c>
      <c r="F760" s="77" t="inlineStr">
        <is>
          <t>https://programsandcourses.anu.edu.au/course/engn8170</t>
        </is>
      </c>
      <c r="G760" s="77" t="inlineStr">
        <is>
          <t>Group Project (ENGN8170)</t>
        </is>
      </c>
      <c r="H760" s="77" t="inlineStr">
        <is>
          <t>Course page</t>
        </is>
      </c>
      <c r="I760" s="77" t="inlineStr">
        <is>
          <t>2027 offerings listed</t>
        </is>
      </c>
      <c r="J760" s="77" t="inlineStr">
        <is>
          <t>2026-10-13</t>
        </is>
      </c>
      <c r="K760" s="77" t="inlineStr">
        <is>
          <t>page text</t>
        </is>
      </c>
      <c r="L760" s="77" t="inlineStr">
        <is>
          <t>'Project teams receive a client-drafted problem statement, which calls for engineering expertise'; 12 units; offered First and Second Semester 2027.</t>
        </is>
      </c>
    </row>
    <row r="761">
      <c r="A761" s="77" t="inlineStr">
        <is>
          <t>AU04-S05-R1</t>
        </is>
      </c>
      <c r="B761" s="77" t="inlineStr">
        <is>
          <t>AU04</t>
        </is>
      </c>
      <c r="C761" s="77" t="inlineStr">
        <is>
          <t>AU04-S05</t>
        </is>
      </c>
      <c r="D761" s="77" t="inlineStr">
        <is>
          <t>SoCIETIE Initiative</t>
        </is>
      </c>
      <c r="E761" s="77" t="inlineStr">
        <is>
          <t>project; group; employer; reach; eligibility; credit</t>
        </is>
      </c>
      <c r="F761" s="77" t="inlineStr">
        <is>
          <t>https://programsandcourses.anu.edu.au/course/aatd3001</t>
        </is>
      </c>
      <c r="G761" s="77" t="inlineStr">
        <is>
          <t>SoCIETIE Initiative (AATD3001)</t>
        </is>
      </c>
      <c r="H761" s="77" t="inlineStr">
        <is>
          <t>Course page</t>
        </is>
      </c>
      <c r="I761" s="77" t="inlineStr">
        <is>
          <t>2027-28 offerings listed</t>
        </is>
      </c>
      <c r="J761" s="77" t="inlineStr">
        <is>
          <t>2026-10-13</t>
        </is>
      </c>
      <c r="K761" s="77" t="inlineStr">
        <is>
          <t>page text</t>
        </is>
      </c>
      <c r="L761" s="77" t="inlineStr">
        <is>
          <t>'open to students from any degree'; 'KNoTs include real-world projects with campus and community partners'; 'All students will complete a collaborative project with a partner as part of this course'; 6 units; portfolio 50%.</t>
        </is>
      </c>
    </row>
    <row r="762">
      <c r="A762" s="77" t="inlineStr">
        <is>
          <t>AU04-S05-R2</t>
        </is>
      </c>
      <c r="B762" s="77" t="inlineStr">
        <is>
          <t>AU04</t>
        </is>
      </c>
      <c r="C762" s="77" t="inlineStr">
        <is>
          <t>AU04-S05</t>
        </is>
      </c>
      <c r="D762" s="77" t="inlineStr">
        <is>
          <t>SoCIETIE Initiative</t>
        </is>
      </c>
      <c r="E762" s="77" t="inlineStr">
        <is>
          <t>status</t>
        </is>
      </c>
      <c r="F762" s="77" t="inlineStr">
        <is>
          <t>https://programsandcourses.anu.edu.au/2026/course/AATD6001</t>
        </is>
      </c>
      <c r="G762" s="77" t="inlineStr">
        <is>
          <t>SoCIETIE Initiative (AATD6001)</t>
        </is>
      </c>
      <c r="H762" s="77" t="inlineStr">
        <is>
          <t>Course page</t>
        </is>
      </c>
      <c r="I762" s="77" t="inlineStr">
        <is>
          <t>2026</t>
        </is>
      </c>
      <c r="J762" s="77" t="inlineStr">
        <is>
          <t>2026-10-13</t>
        </is>
      </c>
      <c r="K762" s="77" t="inlineStr">
        <is>
          <t>search-index extract</t>
        </is>
      </c>
      <c r="L762" s="77" t="inlineStr">
        <is>
          <t>Search extract: 2026 offerings (Second Semester 27 July-30 October 2026).</t>
        </is>
      </c>
    </row>
    <row r="763">
      <c r="A763" s="77" t="inlineStr">
        <is>
          <t>AU04-S06-R1</t>
        </is>
      </c>
      <c r="B763" s="77" t="inlineStr">
        <is>
          <t>AU04</t>
        </is>
      </c>
      <c r="C763" s="77" t="inlineStr">
        <is>
          <t>AU04-S06</t>
        </is>
      </c>
      <c r="D763" s="77" t="inlineStr">
        <is>
          <t>Applied Policy Project</t>
        </is>
      </c>
      <c r="E763" s="77" t="inlineStr">
        <is>
          <t>project; group; employer; credit; status</t>
        </is>
      </c>
      <c r="F763" s="77" t="inlineStr">
        <is>
          <t>https://programsandcourses.anu.edu.au/2021/course/crwf7000</t>
        </is>
      </c>
      <c r="G763" s="77" t="inlineStr">
        <is>
          <t>Applied Policy Project (CRWF7000)</t>
        </is>
      </c>
      <c r="H763" s="77" t="inlineStr">
        <is>
          <t>Course page</t>
        </is>
      </c>
      <c r="I763" s="77" t="inlineStr">
        <is>
          <t>2021</t>
        </is>
      </c>
      <c r="J763" s="77" t="inlineStr">
        <is>
          <t>2026-10-13</t>
        </is>
      </c>
      <c r="K763" s="77" t="inlineStr">
        <is>
          <t>search-summary paraphrase</t>
        </is>
      </c>
      <c r="L763" s="77" t="inlineStr">
        <is>
          <t>Search extract: client-initiated project; individual or group basis; report for client; 6 units, 130 hours.</t>
        </is>
      </c>
    </row>
    <row r="764">
      <c r="A764" s="77" t="inlineStr">
        <is>
          <t>AU05-S01-R1</t>
        </is>
      </c>
      <c r="B764" s="77" t="inlineStr">
        <is>
          <t>AU05</t>
        </is>
      </c>
      <c r="C764" s="77" t="inlineStr">
        <is>
          <t>AU05-S01</t>
        </is>
      </c>
      <c r="D764" s="77" t="inlineStr">
        <is>
          <t>Monash Innovation Guarantee (MIG)</t>
        </is>
      </c>
      <c r="E764" s="77" t="inlineStr">
        <is>
          <t>project; group; employer; status</t>
        </is>
      </c>
      <c r="F764" s="77" t="inlineStr">
        <is>
          <t>https://www.monash.edu/flagship-rich-experiences/mig/about-the-unit</t>
        </is>
      </c>
      <c r="G764" s="77" t="inlineStr">
        <is>
          <t>About the unit - Flagship Rich Educational Experiences</t>
        </is>
      </c>
      <c r="H764" s="77" t="inlineStr">
        <is>
          <t>About</t>
        </is>
      </c>
      <c r="I764" s="77" t="inlineStr">
        <is>
          <t>undated</t>
        </is>
      </c>
      <c r="J764" s="77" t="inlineStr">
        <is>
          <t>2026-10-13</t>
        </is>
      </c>
      <c r="K764" s="77" t="inlineStr">
        <is>
          <t>search-summary paraphrase</t>
        </is>
      </c>
      <c r="L764" s="77" t="inlineStr">
        <is>
          <t>Students work in a small team to deliver a purpose-driven solution to a real-world challenge set by an industry partner organisation; three-week intensive in-person summer unit (Jan/Feb); partner touch points once each week, not exceeding 1.5 hours per week.</t>
        </is>
      </c>
    </row>
    <row r="765">
      <c r="A765" s="77" t="inlineStr">
        <is>
          <t>AU05-S01-R2</t>
        </is>
      </c>
      <c r="B765" s="77" t="inlineStr">
        <is>
          <t>AU05</t>
        </is>
      </c>
      <c r="C765" s="77" t="inlineStr">
        <is>
          <t>AU05-S01</t>
        </is>
      </c>
      <c r="D765" s="77" t="inlineStr">
        <is>
          <t>Monash Innovation Guarantee (MIG)</t>
        </is>
      </c>
      <c r="E765" s="77" t="inlineStr">
        <is>
          <t>project; employer; eligibility; credit; status</t>
        </is>
      </c>
      <c r="F765" s="77" t="inlineStr">
        <is>
          <t>https://enrich.monash.edu/programs/mon2750-monash-innovation-guarantee</t>
        </is>
      </c>
      <c r="G765" s="77" t="inlineStr">
        <is>
          <t>MON2750: Monash Innovation Guarantee</t>
        </is>
      </c>
      <c r="H765" s="77" t="inlineStr">
        <is>
          <t>Program page</t>
        </is>
      </c>
      <c r="I765" s="77" t="inlineStr">
        <is>
          <t>2026 (Summer B 2026 listing)</t>
        </is>
      </c>
      <c r="J765" s="77" t="inlineStr">
        <is>
          <t>2026-10-13</t>
        </is>
      </c>
      <c r="K765" s="77" t="inlineStr">
        <is>
          <t>search-summary paraphrase</t>
        </is>
      </c>
      <c r="L765" s="77" t="inlineStr">
        <is>
          <t>Challenge set by an industry partner (commercial or social enterprise, government or UN agency, or start-up); 6 credit points elective space; preferences then matched to a challenge; 100% in-semester assessment; 144 hours.</t>
        </is>
      </c>
    </row>
    <row r="766">
      <c r="A766" s="77" t="inlineStr">
        <is>
          <t>AU05-S01-R3</t>
        </is>
      </c>
      <c r="B766" s="77" t="inlineStr">
        <is>
          <t>AU05</t>
        </is>
      </c>
      <c r="C766" s="77" t="inlineStr">
        <is>
          <t>AU05-S01</t>
        </is>
      </c>
      <c r="D766" s="77" t="inlineStr">
        <is>
          <t>Monash Innovation Guarantee (MIG)</t>
        </is>
      </c>
      <c r="E766" s="77" t="inlineStr">
        <is>
          <t>reach; eligibility</t>
        </is>
      </c>
      <c r="F766" s="77" t="inlineStr">
        <is>
          <t>https://www.monash.edu/flagship-rich-experiences/mig/faqs</t>
        </is>
      </c>
      <c r="G766" s="77" t="inlineStr">
        <is>
          <t>FAQs - Flagship Rich Educational Experiences</t>
        </is>
      </c>
      <c r="H766" s="77" t="inlineStr">
        <is>
          <t>FAQ</t>
        </is>
      </c>
      <c r="I766" s="77" t="inlineStr">
        <is>
          <t>undated</t>
        </is>
      </c>
      <c r="J766" s="77" t="inlineStr">
        <is>
          <t>2026-10-13</t>
        </is>
      </c>
      <c r="K766" s="77" t="inlineStr">
        <is>
          <t>search-summary paraphrase</t>
        </is>
      </c>
      <c r="L766" s="77" t="inlineStr">
        <is>
          <t>MON2750 for second-year and MON3750 for third-year and above; enrolment open to students from any degree.</t>
        </is>
      </c>
    </row>
    <row r="767">
      <c r="A767" s="77" t="inlineStr">
        <is>
          <t>AU05-S02-R1</t>
        </is>
      </c>
      <c r="B767" s="77" t="inlineStr">
        <is>
          <t>AU05</t>
        </is>
      </c>
      <c r="C767" s="77" t="inlineStr">
        <is>
          <t>AU05-S02</t>
        </is>
      </c>
      <c r="D767" s="77" t="inlineStr">
        <is>
          <t>Monash Innovation Guarantee - Postgraduate (MIG-P)</t>
        </is>
      </c>
      <c r="E767" s="77" t="inlineStr">
        <is>
          <t>reach; eligibility; status</t>
        </is>
      </c>
      <c r="F767" s="77" t="inlineStr">
        <is>
          <t>https://www.monash.edu/flagship-rich-experiences/mig/postgraduate</t>
        </is>
      </c>
      <c r="G767" s="77" t="inlineStr">
        <is>
          <t>Postgraduate - Flagship Rich Educational Experiences</t>
        </is>
      </c>
      <c r="H767" s="77" t="inlineStr">
        <is>
          <t>Postgraduate</t>
        </is>
      </c>
      <c r="I767" s="77" t="inlineStr">
        <is>
          <t>2026</t>
        </is>
      </c>
      <c r="J767" s="77" t="inlineStr">
        <is>
          <t>2026-10-13</t>
        </is>
      </c>
      <c r="K767" s="77" t="inlineStr">
        <is>
          <t>search-summary paraphrase</t>
        </is>
      </c>
      <c r="L767" s="77" t="inlineStr">
        <is>
          <t>MIG-P is an intensive winter unit; 2026 schedule 6-23 July 2026; open to Monash postgraduate coursework students across all faculties.</t>
        </is>
      </c>
    </row>
    <row r="768">
      <c r="A768" s="77" t="inlineStr">
        <is>
          <t>AU05-S03-R1</t>
        </is>
      </c>
      <c r="B768" s="77" t="inlineStr">
        <is>
          <t>AU05</t>
        </is>
      </c>
      <c r="C768" s="77" t="inlineStr">
        <is>
          <t>AU05-S03</t>
        </is>
      </c>
      <c r="D768" s="77" t="inlineStr">
        <is>
          <t>Industry Consulting Projects (Business School consulting project units)</t>
        </is>
      </c>
      <c r="E768" s="77" t="inlineStr">
        <is>
          <t>project; group; employer; status; credit</t>
        </is>
      </c>
      <c r="F768" s="77" t="inlineStr">
        <is>
          <t>https://www.monash.edu/business/current-students/work-integrated-learning/industry-consulting-projects</t>
        </is>
      </c>
      <c r="G768" s="77" t="inlineStr">
        <is>
          <t>Industry consulting projects - Monash Business School</t>
        </is>
      </c>
      <c r="H768" s="77" t="inlineStr">
        <is>
          <t>Overview</t>
        </is>
      </c>
      <c r="I768" s="77" t="inlineStr">
        <is>
          <t>undated</t>
        </is>
      </c>
      <c r="J768" s="77" t="inlineStr">
        <is>
          <t>2026-10-13</t>
        </is>
      </c>
      <c r="K768" s="77" t="inlineStr">
        <is>
          <t>search-summary paraphrase</t>
        </is>
      </c>
      <c r="L768" s="77" t="inlineStr">
        <is>
          <t>Industry consulting projects involve teams of up to 5 students from various business degree specialisations working with industry partners to solve real business problems; units run in all semesters; 2027 applications open from October 2026.</t>
        </is>
      </c>
    </row>
    <row r="769">
      <c r="A769" s="77" t="inlineStr">
        <is>
          <t>AU05-S03-R2</t>
        </is>
      </c>
      <c r="B769" s="77" t="inlineStr">
        <is>
          <t>AU05</t>
        </is>
      </c>
      <c r="C769" s="77" t="inlineStr">
        <is>
          <t>AU05-S03</t>
        </is>
      </c>
      <c r="D769" s="77" t="inlineStr">
        <is>
          <t>Industry Consulting Projects (Business School consulting project units)</t>
        </is>
      </c>
      <c r="E769" s="77" t="inlineStr">
        <is>
          <t>group; employer; eligibility; participation</t>
        </is>
      </c>
      <c r="F769" s="77" t="inlineStr">
        <is>
          <t>https://www.monash.edu/business/current-students/wil/industry-consulting-projects/how-to-apply</t>
        </is>
      </c>
      <c r="G769" s="77" t="inlineStr">
        <is>
          <t>How to apply - Monash Business School</t>
        </is>
      </c>
      <c r="H769" s="77" t="inlineStr">
        <is>
          <t>How to apply</t>
        </is>
      </c>
      <c r="I769" s="77" t="inlineStr">
        <is>
          <t>2026</t>
        </is>
      </c>
      <c r="J769" s="77" t="inlineStr">
        <is>
          <t>2026-10-13</t>
        </is>
      </c>
      <c r="K769" s="77" t="inlineStr">
        <is>
          <t>search-summary paraphrase</t>
        </is>
      </c>
      <c r="L769" s="77" t="inlineStr">
        <is>
          <t>Faculty matches you with the project group best aligned to your preferences and the skills of group members; competitive; compulsory induction; student-sourced applications attach a host-organisation brief; UG 72 CP to apply.</t>
        </is>
      </c>
    </row>
    <row r="770">
      <c r="A770" s="77" t="inlineStr">
        <is>
          <t>AU05-S03-R3</t>
        </is>
      </c>
      <c r="B770" s="77" t="inlineStr">
        <is>
          <t>AU05</t>
        </is>
      </c>
      <c r="C770" s="77" t="inlineStr">
        <is>
          <t>AU05-S03</t>
        </is>
      </c>
      <c r="D770" s="77" t="inlineStr">
        <is>
          <t>Industry Consulting Projects (Business School consulting project units)</t>
        </is>
      </c>
      <c r="E770" s="77" t="inlineStr">
        <is>
          <t>credit; status</t>
        </is>
      </c>
      <c r="F770" s="77" t="inlineStr">
        <is>
          <t>https://handbook.monash.edu/2025/units/BEX3350</t>
        </is>
      </c>
      <c r="G770" s="77" t="inlineStr">
        <is>
          <t>BEX3350 - Consulting project</t>
        </is>
      </c>
      <c r="H770" s="77" t="inlineStr">
        <is>
          <t>Handbook entry</t>
        </is>
      </c>
      <c r="I770" s="77" t="inlineStr">
        <is>
          <t>2025</t>
        </is>
      </c>
      <c r="J770" s="77" t="inlineStr">
        <is>
          <t>2026-10-13</t>
        </is>
      </c>
      <c r="K770" s="77" t="inlineStr">
        <is>
          <t>search-summary paraphrase</t>
        </is>
      </c>
      <c r="L770" s="77" t="inlineStr">
        <is>
          <t>Consulting project unit listed in the 2025 handbook (BEX3450 and BEX5006 in the 2023 handbook).</t>
        </is>
      </c>
    </row>
    <row r="771">
      <c r="A771" s="77" t="inlineStr">
        <is>
          <t>AU05-S04-R1</t>
        </is>
      </c>
      <c r="B771" s="77" t="inlineStr">
        <is>
          <t>AU05</t>
        </is>
      </c>
      <c r="C771" s="77" t="inlineStr">
        <is>
          <t>AU05-S04</t>
        </is>
      </c>
      <c r="D771" s="77" t="inlineStr">
        <is>
          <t>Industry Innovation Program (IIP) - Final Year Project</t>
        </is>
      </c>
      <c r="E771" s="77" t="inlineStr">
        <is>
          <t>project; group; employer; credit</t>
        </is>
      </c>
      <c r="F771" s="77" t="inlineStr">
        <is>
          <t>https://www.monash.edu/industry-innovation-program/students</t>
        </is>
      </c>
      <c r="G771" s="77" t="inlineStr">
        <is>
          <t>Students - Industry Innovation Program</t>
        </is>
      </c>
      <c r="H771" s="77" t="inlineStr">
        <is>
          <t>Students</t>
        </is>
      </c>
      <c r="I771" s="77" t="inlineStr">
        <is>
          <t>undated</t>
        </is>
      </c>
      <c r="J771" s="77" t="inlineStr">
        <is>
          <t>2026-10-13</t>
        </is>
      </c>
      <c r="K771" s="77" t="inlineStr">
        <is>
          <t>search-summary paraphrase</t>
        </is>
      </c>
      <c r="L771" s="77" t="inlineStr">
        <is>
          <t>12-month industry project, credit via ENG4701/ENG4702; industry-sponsored scholarship; deliverables include project plan, reflective diary and final report; collaborate with an industry partner and other IIP students.</t>
        </is>
      </c>
    </row>
    <row r="772">
      <c r="A772" s="77" t="inlineStr">
        <is>
          <t>AU05-S04-R2</t>
        </is>
      </c>
      <c r="B772" s="77" t="inlineStr">
        <is>
          <t>AU05</t>
        </is>
      </c>
      <c r="C772" s="77" t="inlineStr">
        <is>
          <t>AU05-S04</t>
        </is>
      </c>
      <c r="D772" s="77" t="inlineStr">
        <is>
          <t>Industry Innovation Program (IIP) - Final Year Project</t>
        </is>
      </c>
      <c r="E772" s="77" t="inlineStr">
        <is>
          <t>project; employer; participation</t>
        </is>
      </c>
      <c r="F772" s="77" t="inlineStr">
        <is>
          <t>https://www.monash.edu/engineering/current-students/student-industry-engagement/final-year-project-options</t>
        </is>
      </c>
      <c r="G772" s="77" t="inlineStr">
        <is>
          <t>Final year project options - Engineering</t>
        </is>
      </c>
      <c r="H772" s="77" t="inlineStr">
        <is>
          <t>FYP options</t>
        </is>
      </c>
      <c r="I772" s="77" t="inlineStr">
        <is>
          <t>undated</t>
        </is>
      </c>
      <c r="J772" s="77" t="inlineStr">
        <is>
          <t>2026-10-13</t>
        </is>
      </c>
      <c r="K772" s="77" t="inlineStr">
        <is>
          <t>search-summary paraphrase</t>
        </is>
      </c>
      <c r="L772" s="77" t="inlineStr">
        <is>
          <t>IIP projects governed by a formal IIP Agreement; companies collaborate with a Monash academic supervisor to outline scope and milestones; interviews include Monash and the industry partner; also co-op and self-sourced industry FYPs.</t>
        </is>
      </c>
    </row>
    <row r="773">
      <c r="A773" s="77" t="inlineStr">
        <is>
          <t>AU05-S05-R1</t>
        </is>
      </c>
      <c r="B773" s="77" t="inlineStr">
        <is>
          <t>AU05</t>
        </is>
      </c>
      <c r="C773" s="77" t="inlineStr">
        <is>
          <t>AU05-S05</t>
        </is>
      </c>
      <c r="D773" s="77" t="inlineStr">
        <is>
          <t>Industry Experience Studio Project (FIT5120)</t>
        </is>
      </c>
      <c r="E773" s="77" t="inlineStr">
        <is>
          <t>project; group; employer; status</t>
        </is>
      </c>
      <c r="F773" s="77" t="inlineStr">
        <is>
          <t>https://www3.monash.edu/pubs/2019handbooks/units/FIT5120.html</t>
        </is>
      </c>
      <c r="G773" s="77" t="inlineStr">
        <is>
          <t>FIT5120: Industry experience studio project - 2019 Handbook</t>
        </is>
      </c>
      <c r="H773" s="77" t="inlineStr">
        <is>
          <t>Unit</t>
        </is>
      </c>
      <c r="I773" s="77" t="inlineStr">
        <is>
          <t>2019</t>
        </is>
      </c>
      <c r="J773" s="77" t="inlineStr">
        <is>
          <t>2026-10-13</t>
        </is>
      </c>
      <c r="K773" s="77" t="inlineStr">
        <is>
          <t>search-summary paraphrase</t>
        </is>
      </c>
      <c r="L773" s="77" t="inlineStr">
        <is>
          <t>Teams of four or five students build an IT solution for a real problem with mentoring from academic staff and senior industry clients; capstone unit.</t>
        </is>
      </c>
    </row>
    <row r="774">
      <c r="A774" s="77" t="inlineStr">
        <is>
          <t>AU05-S05-R2</t>
        </is>
      </c>
      <c r="B774" s="77" t="inlineStr">
        <is>
          <t>AU05</t>
        </is>
      </c>
      <c r="C774" s="77" t="inlineStr">
        <is>
          <t>AU05-S05</t>
        </is>
      </c>
      <c r="D774" s="77" t="inlineStr">
        <is>
          <t>Industry Experience Studio Project (FIT5120)</t>
        </is>
      </c>
      <c r="E774" s="77" t="inlineStr">
        <is>
          <t>project; group; employer</t>
        </is>
      </c>
      <c r="F774" s="77" t="inlineStr">
        <is>
          <t>https://www.monash.edu/it/industry-and-community/partnership-options</t>
        </is>
      </c>
      <c r="G774" s="77" t="inlineStr">
        <is>
          <t>Partnership options - Faculty of Information Technology</t>
        </is>
      </c>
      <c r="H774" s="77" t="inlineStr">
        <is>
          <t>Partnership options</t>
        </is>
      </c>
      <c r="I774" s="77" t="inlineStr">
        <is>
          <t>undated</t>
        </is>
      </c>
      <c r="J774" s="77" t="inlineStr">
        <is>
          <t>2026-10-13</t>
        </is>
      </c>
      <c r="K774" s="77" t="inlineStr">
        <is>
          <t>search-summary paraphrase</t>
        </is>
      </c>
      <c r="L774" s="77" t="inlineStr">
        <is>
          <t>Industry Experience Studio Projects: multidisciplinary student teams develop IT solutions for a real business problem or social good issue; partners assign a project, mentor (four visits per semester) and judge the expo.</t>
        </is>
      </c>
    </row>
    <row r="775">
      <c r="A775" s="77" t="inlineStr">
        <is>
          <t>AU06-S01-R1</t>
        </is>
      </c>
      <c r="B775" s="77" t="inlineStr">
        <is>
          <t>AU06</t>
        </is>
      </c>
      <c r="C775" s="77" t="inlineStr">
        <is>
          <t>AU06-S01</t>
        </is>
      </c>
      <c r="D775" s="77" t="inlineStr">
        <is>
          <t>Ventures Industry Challenge</t>
        </is>
      </c>
      <c r="E775" s="77" t="inlineStr">
        <is>
          <t>project; group; employer; reach; eligibility; status; participation</t>
        </is>
      </c>
      <c r="F775" s="77" t="inlineStr">
        <is>
          <t>https://ventures.uq.edu.au/industry-challenge</t>
        </is>
      </c>
      <c r="G775" s="77" t="inlineStr">
        <is>
          <t>Ventures Industry Challenge</t>
        </is>
      </c>
      <c r="H775" s="77" t="inlineStr">
        <is>
          <t>Main page</t>
        </is>
      </c>
      <c r="I775" s="77" t="inlineStr">
        <is>
          <t>2026 (page describes 2026 edition)</t>
        </is>
      </c>
      <c r="J775" s="77" t="inlineStr">
        <is>
          <t>2026-10-12</t>
        </is>
      </c>
      <c r="K775" s="77" t="inlineStr">
        <is>
          <t>search-summary paraphrase</t>
        </is>
      </c>
      <c r="L775" s="77" t="inlineStr">
        <is>
          <t>University-wide competition bringing together students 'from across every Faculty and discipline to tackle real-world problems'; 'open to teams of current UQ students'; guided by industry mentors from relevant organisations; inaugural 2020 with WaterStart, 'Over 40 cross-disciplinary teams'; 'For 2026, the challenge is partnering with UQ SEXtember'; register and attend the first panel session on 26 August to find your team.</t>
        </is>
      </c>
    </row>
    <row r="776">
      <c r="A776" s="77" t="inlineStr">
        <is>
          <t>AU06-S01-R2</t>
        </is>
      </c>
      <c r="B776" s="77" t="inlineStr">
        <is>
          <t>AU06</t>
        </is>
      </c>
      <c r="C776" s="77" t="inlineStr">
        <is>
          <t>AU06-S01</t>
        </is>
      </c>
      <c r="D776" s="77" t="inlineStr">
        <is>
          <t>Ventures Industry Challenge</t>
        </is>
      </c>
      <c r="E776" s="77" t="inlineStr">
        <is>
          <t>employer; status</t>
        </is>
      </c>
      <c r="F776" s="77" t="inlineStr">
        <is>
          <t>https://ventures.uq.edu.au/article/2024/10/ventures-industry-challenge-hooks-finalist-status-2024-excellence-awards</t>
        </is>
      </c>
      <c r="G776" s="77" t="inlineStr">
        <is>
          <t>Ventures Industry Challenge hooks finalist status in 2024 Excellence Awards</t>
        </is>
      </c>
      <c r="H776" s="77" t="inlineStr">
        <is>
          <t>News article</t>
        </is>
      </c>
      <c r="I776" s="77" t="inlineStr">
        <is>
          <t>2024</t>
        </is>
      </c>
      <c r="J776" s="77" t="inlineStr">
        <is>
          <t>2026-10-12</t>
        </is>
      </c>
      <c r="K776" s="77" t="inlineStr">
        <is>
          <t>search-summary paraphrase</t>
        </is>
      </c>
      <c r="L776" s="77" t="inlineStr">
        <is>
          <t>2024 edition used an Ocean Innovation theme with the Port of Brisbane; programme a Finalist in the Engagement Australia 2024 Excellence Awards.</t>
        </is>
      </c>
    </row>
    <row r="777">
      <c r="A777" s="77" t="inlineStr">
        <is>
          <t>AU06-S01-R3</t>
        </is>
      </c>
      <c r="B777" s="77" t="inlineStr">
        <is>
          <t>AU06</t>
        </is>
      </c>
      <c r="C777" s="77" t="inlineStr">
        <is>
          <t>AU06-S01</t>
        </is>
      </c>
      <c r="D777" s="77" t="inlineStr">
        <is>
          <t>Ventures Industry Challenge</t>
        </is>
      </c>
      <c r="E777" s="77" t="inlineStr">
        <is>
          <t>group; eligibility; duration; status</t>
        </is>
      </c>
      <c r="F777" s="77" t="inlineStr">
        <is>
          <t>https://ventures.uq.edu.au/industry-challenge</t>
        </is>
      </c>
      <c r="G777" s="77" t="inlineStr">
        <is>
          <t>Ventures Industry Challenge</t>
        </is>
      </c>
      <c r="H777" s="77" t="inlineStr">
        <is>
          <t>2026 details</t>
        </is>
      </c>
      <c r="I777" s="77" t="inlineStr">
        <is>
          <t>2026</t>
        </is>
      </c>
      <c r="J777" s="77" t="inlineStr">
        <is>
          <t>2026-10-12</t>
        </is>
      </c>
      <c r="K777" s="77" t="inlineStr">
        <is>
          <t>search-summary paraphrase</t>
        </is>
      </c>
      <c r="L777" s="77" t="inlineStr">
        <is>
          <t>Across September, student teams explore challenges related to sexual health and wellbeing; teams encouraged to be cross-disciplinary, 'no matter your discipline or year level'; 'Judging Criteria and Terms and Conditions apply to the pitch competition'.</t>
        </is>
      </c>
    </row>
    <row r="778">
      <c r="A778" s="77" t="inlineStr">
        <is>
          <t>AU06-S02-R1</t>
        </is>
      </c>
      <c r="B778" s="77" t="inlineStr">
        <is>
          <t>AU06</t>
        </is>
      </c>
      <c r="C778" s="77" t="inlineStr">
        <is>
          <t>AU06-S02</t>
        </is>
      </c>
      <c r="D778" s="77" t="inlineStr">
        <is>
          <t>Practera SAIEP - Industry Experience Projects</t>
        </is>
      </c>
      <c r="E778" s="77" t="inlineStr">
        <is>
          <t>project; group; employer; reach; eligibility; duration; status</t>
        </is>
      </c>
      <c r="F778" s="77" t="inlineStr">
        <is>
          <t>https://employability.uq.edu.au/practera-saiep-industry-experience-projects</t>
        </is>
      </c>
      <c r="G778" s="77" t="inlineStr">
        <is>
          <t>Practera SAIEP - Industry Experience Projects</t>
        </is>
      </c>
      <c r="H778" s="77" t="inlineStr">
        <is>
          <t>Main page</t>
        </is>
      </c>
      <c r="I778" s="77" t="inlineStr">
        <is>
          <t>2026/27 (Summer 2026/2027 orientation dates listed)</t>
        </is>
      </c>
      <c r="J778" s="77" t="inlineStr">
        <is>
          <t>2026-10-12</t>
        </is>
      </c>
      <c r="K778" s="77" t="inlineStr">
        <is>
          <t>search-summary paraphrase</t>
        </is>
      </c>
      <c r="L778" s="77" t="inlineStr">
        <is>
          <t>Two-week virtual project in which 'international and domestic tertiary student teams across Australian institutions work on real industry projects with Australian and global employers'; minimum 25 hours; no fee; requires current UQ enrolment, places limited; students respond to 'an export brief provided by an Australian organisation'; past clients Infosys, FlyFreely, Synapse Medical; 'direct feedback from their client on their project outcome'; Summer 2026/2027 orientation 16 November 2026 and 18 January 2027.</t>
        </is>
      </c>
    </row>
    <row r="779">
      <c r="A779" s="77" t="inlineStr">
        <is>
          <t>AU06-S03-R1</t>
        </is>
      </c>
      <c r="B779" s="77" t="inlineStr">
        <is>
          <t>AU06</t>
        </is>
      </c>
      <c r="C779" s="77" t="inlineStr">
        <is>
          <t>AU06-S03</t>
        </is>
      </c>
      <c r="D779" s="77" t="inlineStr">
        <is>
          <t>Industry Consulting Project (Business Industry Consultancy Project)</t>
        </is>
      </c>
      <c r="E779" s="77" t="inlineStr">
        <is>
          <t>project; group; employer; eligibility; status; duration</t>
        </is>
      </c>
      <c r="F779" s="77" t="inlineStr">
        <is>
          <t>https://bel.uq.edu.au/for-students/careers/wil/industry-project</t>
        </is>
      </c>
      <c r="G779" s="77" t="inlineStr">
        <is>
          <t>Industry consulting project - Faculty of Business, Economics &amp; Law</t>
        </is>
      </c>
      <c r="H779" s="77" t="inlineStr">
        <is>
          <t>Student page</t>
        </is>
      </c>
      <c r="I779" s="77" t="inlineStr">
        <is>
          <t>2026 (application deadlines for Summer 2026-27 and Semester 1 2027)</t>
        </is>
      </c>
      <c r="J779" s="77" t="inlineStr">
        <is>
          <t>2026-10-12</t>
        </is>
      </c>
      <c r="K779" s="77" t="inlineStr">
        <is>
          <t>search-summary paraphrase</t>
        </is>
      </c>
      <c r="L779" s="77" t="inlineStr">
        <is>
          <t>'currently only available for BEL Faculty students who are eligible to take RBUS3888, RBUS4888, RBUS7888, and BSAN7215'; final year, GPA 4; 'You will meet weekly to work with your project team and receive direction and support from a project mentor that is assigned to your group'; teams work on 'a professional response to a project brief provided by an industry partner'; final deliverable 'a team report for your client'; past partners Cancer Council Queensland and Netball Queensland; BEL WIL form closes 30 October 2026 (Summer 2026-27) and 22 January 2027 (Sem 1 2027).</t>
        </is>
      </c>
    </row>
    <row r="780">
      <c r="A780" s="77" t="inlineStr">
        <is>
          <t>AU06-S03-R2</t>
        </is>
      </c>
      <c r="B780" s="77" t="inlineStr">
        <is>
          <t>AU06</t>
        </is>
      </c>
      <c r="C780" s="77" t="inlineStr">
        <is>
          <t>AU06-S03</t>
        </is>
      </c>
      <c r="D780" s="77" t="inlineStr">
        <is>
          <t>Industry Consulting Project (Business Industry Consultancy Project)</t>
        </is>
      </c>
      <c r="E780" s="77" t="inlineStr">
        <is>
          <t>group; employer</t>
        </is>
      </c>
      <c r="F780" s="77" t="inlineStr">
        <is>
          <t>https://about.uq.edu.au/faculties-institutes/bel/partners-community/partnerships/work-with-students</t>
        </is>
      </c>
      <c r="G780" s="77" t="inlineStr">
        <is>
          <t>Work with our students (BEL)</t>
        </is>
      </c>
      <c r="H780" s="77" t="inlineStr">
        <is>
          <t>Partner-facing page</t>
        </is>
      </c>
      <c r="I780" s="77" t="inlineStr">
        <is>
          <t>undated</t>
        </is>
      </c>
      <c r="J780" s="77" t="inlineStr">
        <is>
          <t>2026-10-12</t>
        </is>
      </c>
      <c r="K780" s="77" t="inlineStr">
        <is>
          <t>search-summary paraphrase</t>
        </is>
      </c>
      <c r="L780" s="77" t="inlineStr">
        <is>
          <t>Consultancy projects in which students 'work in teams to develop a tailored response to your project brief with the support of a UQ mentor'.</t>
        </is>
      </c>
    </row>
    <row r="781">
      <c r="A781" s="77" t="inlineStr">
        <is>
          <t>AU06-S03-R3</t>
        </is>
      </c>
      <c r="B781" s="77" t="inlineStr">
        <is>
          <t>AU06</t>
        </is>
      </c>
      <c r="C781" s="77" t="inlineStr">
        <is>
          <t>AU06-S03</t>
        </is>
      </c>
      <c r="D781" s="77" t="inlineStr">
        <is>
          <t>Industry Consulting Project (Business Industry Consultancy Project)</t>
        </is>
      </c>
      <c r="E781" s="77" t="inlineStr">
        <is>
          <t>eligibility; credit</t>
        </is>
      </c>
      <c r="F781" s="77" t="inlineStr">
        <is>
          <t>https://programs-courses.uq.edu.au/course.html?course_code=RBUS3888</t>
        </is>
      </c>
      <c r="G781" s="77" t="inlineStr">
        <is>
          <t>Business Industry Consultancy Project (RBUS3888)</t>
        </is>
      </c>
      <c r="H781" s="77" t="inlineStr">
        <is>
          <t>Course page</t>
        </is>
      </c>
      <c r="I781" s="77" t="inlineStr">
        <is>
          <t>undated</t>
        </is>
      </c>
      <c r="J781" s="77" t="inlineStr">
        <is>
          <t>2026-10-12</t>
        </is>
      </c>
      <c r="K781" s="77" t="inlineStr">
        <is>
          <t>search-summary paraphrase</t>
        </is>
      </c>
      <c r="L781" s="77" t="inlineStr">
        <is>
          <t>Prerequisite GPA of 4.0 or higher and approval from Head of School via BEL Student Administration Team.</t>
        </is>
      </c>
    </row>
    <row r="782">
      <c r="A782" s="77" t="inlineStr">
        <is>
          <t>AU06-S04-R1</t>
        </is>
      </c>
      <c r="B782" s="77" t="inlineStr">
        <is>
          <t>AU06</t>
        </is>
      </c>
      <c r="C782" s="77" t="inlineStr">
        <is>
          <t>AU06-S04</t>
        </is>
      </c>
      <c r="D782" s="77" t="inlineStr">
        <is>
          <t>Learning by Doing in a Disruptive World</t>
        </is>
      </c>
      <c r="E782" s="77" t="inlineStr">
        <is>
          <t>project; group; employer; reach; status; credit</t>
        </is>
      </c>
      <c r="F782" s="77" t="inlineStr">
        <is>
          <t>https://programs-courses.uq.edu.au/course.html?course_code=PBEL3000</t>
        </is>
      </c>
      <c r="G782" s="77" t="inlineStr">
        <is>
          <t>Learning by Doing in a Disruptive World (PBEL3000)</t>
        </is>
      </c>
      <c r="H782" s="77" t="inlineStr">
        <is>
          <t>Course description</t>
        </is>
      </c>
      <c r="I782" s="77" t="inlineStr">
        <is>
          <t>Summer Semester 2025 offering listed</t>
        </is>
      </c>
      <c r="J782" s="77" t="inlineStr">
        <is>
          <t>2026-10-12</t>
        </is>
      </c>
      <c r="K782" s="77" t="inlineStr">
        <is>
          <t>search-index extract (quoted)</t>
        </is>
      </c>
      <c r="L782" s="77" t="inlineStr">
        <is>
          <t>'students partner with other students from across the Business, Economics and Law Faculty to work with an industry partner, with the focus on innovatively solving a novel, real and complex industry problem'; 'guided and advised by a team comprised of an academic lead, employability specialist and industry partners'; 2 units, 65 contact hours; most recent offering Summer Semester 2025.</t>
        </is>
      </c>
    </row>
    <row r="783">
      <c r="A783" s="77" t="inlineStr">
        <is>
          <t>AU06-S04-R2</t>
        </is>
      </c>
      <c r="B783" s="77" t="inlineStr">
        <is>
          <t>AU06</t>
        </is>
      </c>
      <c r="C783" s="77" t="inlineStr">
        <is>
          <t>AU06-S04</t>
        </is>
      </c>
      <c r="D783" s="77" t="inlineStr">
        <is>
          <t>Learning by Doing in a Disruptive World</t>
        </is>
      </c>
      <c r="E783" s="77" t="inlineStr">
        <is>
          <t>group; project; employer; credit</t>
        </is>
      </c>
      <c r="F783" s="77" t="inlineStr">
        <is>
          <t>https://course-profiles.uq.edu.au/course-profiles/PBEL3000-80098-7480</t>
        </is>
      </c>
      <c r="G783" s="77" t="inlineStr">
        <is>
          <t>PBEL3000 course profile</t>
        </is>
      </c>
      <c r="H783" s="77" t="inlineStr">
        <is>
          <t>Assessment</t>
        </is>
      </c>
      <c r="I783" s="77" t="inlineStr">
        <is>
          <t>2024</t>
        </is>
      </c>
      <c r="J783" s="77" t="inlineStr">
        <is>
          <t>2026-10-12</t>
        </is>
      </c>
      <c r="K783" s="77" t="inlineStr">
        <is>
          <t>search-summary paraphrase</t>
        </is>
      </c>
      <c r="L783" s="77" t="inlineStr">
        <is>
          <t>Teams of 3-5; team presentation (30%) pitches solution to partner, who questions team and gives feedback; final industry report (40%) 2,000-3,000 words.</t>
        </is>
      </c>
    </row>
    <row r="784">
      <c r="A784" s="77" t="inlineStr">
        <is>
          <t>AU06-S04-R3</t>
        </is>
      </c>
      <c r="B784" s="77" t="inlineStr">
        <is>
          <t>AU06</t>
        </is>
      </c>
      <c r="C784" s="77" t="inlineStr">
        <is>
          <t>AU06-S04</t>
        </is>
      </c>
      <c r="D784" s="77" t="inlineStr">
        <is>
          <t>Learning by Doing in a Disruptive World</t>
        </is>
      </c>
      <c r="E784" s="77" t="inlineStr">
        <is>
          <t>employer; status</t>
        </is>
      </c>
      <c r="F784" s="77" t="inlineStr">
        <is>
          <t>https://bel.uq.edu.au/blog/2022/11/staff-take-centre-stage-2022-bel-employee-excellence-awards</t>
        </is>
      </c>
      <c r="G784" s="77" t="inlineStr">
        <is>
          <t>2022 BEL Awards for Excellence</t>
        </is>
      </c>
      <c r="H784" s="77" t="inlineStr">
        <is>
          <t>Award notice</t>
        </is>
      </c>
      <c r="I784" s="77" t="inlineStr">
        <is>
          <t>2022</t>
        </is>
      </c>
      <c r="J784" s="77" t="inlineStr">
        <is>
          <t>2026-10-12</t>
        </is>
      </c>
      <c r="K784" s="77" t="inlineStr">
        <is>
          <t>search-summary paraphrase</t>
        </is>
      </c>
      <c r="L784" s="77" t="inlineStr">
        <is>
          <t>Course developed by Dr Frederik von Briel; first delivered Summer Semester 2021 as BEL Employability Capstone; helped four industry partners with innovative solutions.</t>
        </is>
      </c>
    </row>
    <row r="785">
      <c r="A785" s="77" t="inlineStr">
        <is>
          <t>AU06-S05-R1</t>
        </is>
      </c>
      <c r="B785" s="77" t="inlineStr">
        <is>
          <t>AU06</t>
        </is>
      </c>
      <c r="C785" s="77" t="inlineStr">
        <is>
          <t>AU06-S05</t>
        </is>
      </c>
      <c r="D785" s="77" t="inlineStr">
        <is>
          <t>Impact Academy 1: Discovering New Solutions for Complex Problems</t>
        </is>
      </c>
      <c r="E785" s="77" t="inlineStr">
        <is>
          <t>project; group; employer; status; credit</t>
        </is>
      </c>
      <c r="F785" s="77" t="inlineStr">
        <is>
          <t>https://programs-courses.uq.edu.au/course.html?course_code=MGTS7820</t>
        </is>
      </c>
      <c r="G785" s="77" t="inlineStr">
        <is>
          <t>Impact Academy 1: Discovering New Solutions for Complex Problems (MGTS7820)</t>
        </is>
      </c>
      <c r="H785" s="77" t="inlineStr">
        <is>
          <t>Course page / 2026 course profile (MGTS7820-60075-7560)</t>
        </is>
      </c>
      <c r="I785" s="77" t="inlineStr">
        <is>
          <t>2026 (Semester 1, 2026 offering)</t>
        </is>
      </c>
      <c r="J785" s="77" t="inlineStr">
        <is>
          <t>2026-10-12</t>
        </is>
      </c>
      <c r="K785" s="77" t="inlineStr">
        <is>
          <t>search-summary paraphrase</t>
        </is>
      </c>
      <c r="L785" s="77" t="inlineStr">
        <is>
          <t>First of three immersive learning experiences; students 'work in teams on projects that address complex business problems'; choose a project from a curated list of real, current complex problems; up to 100 stakeholder conversations per group; stakeholder/situation analysis 40%; final presentations to project sponsors in the 2026 offering; coordinator Prof Nicole Hartley.</t>
        </is>
      </c>
    </row>
    <row r="786">
      <c r="A786" s="77" t="inlineStr">
        <is>
          <t>AU06-S05-R2</t>
        </is>
      </c>
      <c r="B786" s="77" t="inlineStr">
        <is>
          <t>AU06</t>
        </is>
      </c>
      <c r="C786" s="77" t="inlineStr">
        <is>
          <t>AU06-S05</t>
        </is>
      </c>
      <c r="D786" s="77" t="inlineStr">
        <is>
          <t>Impact Academy 1: Discovering New Solutions for Complex Problems</t>
        </is>
      </c>
      <c r="E786" s="77" t="inlineStr">
        <is>
          <t>employer; duration</t>
        </is>
      </c>
      <c r="F786" s="77" t="inlineStr">
        <is>
          <t>https://business.uq.edu.au/current-students/mba-industry-projects</t>
        </is>
      </c>
      <c r="G786" s="77" t="inlineStr">
        <is>
          <t>MBA Industry Projects - UQ Business School</t>
        </is>
      </c>
      <c r="H786" s="77" t="inlineStr">
        <is>
          <t>Main page</t>
        </is>
      </c>
      <c r="I786" s="77" t="inlineStr">
        <is>
          <t>undated</t>
        </is>
      </c>
      <c r="J786" s="77" t="inlineStr">
        <is>
          <t>2026-10-12</t>
        </is>
      </c>
      <c r="K786" s="77" t="inlineStr">
        <is>
          <t>search-summary paraphrase</t>
        </is>
      </c>
      <c r="L786" s="77" t="inlineStr">
        <is>
          <t>Consulting projects free to partner organisations; teams work with client for three to four months; projects best address a genuine business problem.</t>
        </is>
      </c>
    </row>
    <row r="787">
      <c r="A787" s="77" t="inlineStr">
        <is>
          <t>AU06-S05-R3</t>
        </is>
      </c>
      <c r="B787" s="77" t="inlineStr">
        <is>
          <t>AU06</t>
        </is>
      </c>
      <c r="C787" s="77" t="inlineStr">
        <is>
          <t>AU06-S05</t>
        </is>
      </c>
      <c r="D787" s="77" t="inlineStr">
        <is>
          <t>Impact Academy 1: Discovering New Solutions for Complex Problems</t>
        </is>
      </c>
      <c r="E787" s="77" t="inlineStr">
        <is>
          <t>employer; participation</t>
        </is>
      </c>
      <c r="F787" s="77" t="inlineStr">
        <is>
          <t>https://study.uq.edu.au/stories/mba-capstone-projects-industry-experience</t>
        </is>
      </c>
      <c r="G787" s="77" t="inlineStr">
        <is>
          <t>UQ MBA Impact Academy</t>
        </is>
      </c>
      <c r="H787" s="77" t="inlineStr">
        <is>
          <t>Story</t>
        </is>
      </c>
      <c r="I787" s="77" t="inlineStr">
        <is>
          <t>undated</t>
        </is>
      </c>
      <c r="J787" s="77" t="inlineStr">
        <is>
          <t>2026-10-12</t>
        </is>
      </c>
      <c r="K787" s="77" t="inlineStr">
        <is>
          <t>search-summary paraphrase</t>
        </is>
      </c>
      <c r="L787" s="77" t="inlineStr">
        <is>
          <t>Optional 1, 2 or 3 Impact Academy courses working with an industry partner or on a new entrepreneurial venture; previously called MBA capstone projects; MBA students delivered consultancy projects for more than 70 industry partners; past partners incl. Suncorp, Hatch, Anglicare, Queensland Police, Boeing Research and Technology, Unity Water.</t>
        </is>
      </c>
    </row>
    <row r="788">
      <c r="A788" s="77" t="inlineStr">
        <is>
          <t>AU06-S06-R1</t>
        </is>
      </c>
      <c r="B788" s="77" t="inlineStr">
        <is>
          <t>AU06</t>
        </is>
      </c>
      <c r="C788" s="77" t="inlineStr">
        <is>
          <t>AU06-S06</t>
        </is>
      </c>
      <c r="D788" s="77" t="inlineStr">
        <is>
          <t>Industry Engagement Capstone</t>
        </is>
      </c>
      <c r="E788" s="77" t="inlineStr">
        <is>
          <t>project; group; employer; credit; status</t>
        </is>
      </c>
      <c r="F788" s="77" t="inlineStr">
        <is>
          <t>https://course-profiles.uq.edu.au/course-profiles/MGTS7818-60293-7460</t>
        </is>
      </c>
      <c r="G788" s="77" t="inlineStr">
        <is>
          <t>MGTS7818 course profile</t>
        </is>
      </c>
      <c r="H788" s="77" t="inlineStr">
        <is>
          <t>Course description and assessment</t>
        </is>
      </c>
      <c r="I788" s="77" t="inlineStr">
        <is>
          <t>2024</t>
        </is>
      </c>
      <c r="J788" s="77" t="inlineStr">
        <is>
          <t>2026-10-12</t>
        </is>
      </c>
      <c r="K788" s="77" t="inlineStr">
        <is>
          <t>search-summary paraphrase</t>
        </is>
      </c>
      <c r="L788" s="77" t="inlineStr">
        <is>
          <t>Teams work on a strategic project for an industry partner from the corporate, not-for-profit or startup sectors; teams must meet with their client within the first two weeks; proposal pitch 25%, final pitch and report 75%; each team has a mentor and faculty support.</t>
        </is>
      </c>
    </row>
    <row r="789">
      <c r="A789" s="77" t="inlineStr">
        <is>
          <t>AU06-S06-R2</t>
        </is>
      </c>
      <c r="B789" s="77" t="inlineStr">
        <is>
          <t>AU06</t>
        </is>
      </c>
      <c r="C789" s="77" t="inlineStr">
        <is>
          <t>AU06-S06</t>
        </is>
      </c>
      <c r="D789" s="77" t="inlineStr">
        <is>
          <t>Industry Engagement Capstone</t>
        </is>
      </c>
      <c r="E789" s="77" t="inlineStr">
        <is>
          <t>status</t>
        </is>
      </c>
      <c r="F789" s="77" t="inlineStr">
        <is>
          <t>https://my.uq.edu.au/programs-courses/course.html?course_code=MGTS7818</t>
        </is>
      </c>
      <c r="G789" s="77" t="inlineStr">
        <is>
          <t>Industry Engagement Capstone (MGTS7818)</t>
        </is>
      </c>
      <c r="H789" s="77" t="inlineStr">
        <is>
          <t>Course page</t>
        </is>
      </c>
      <c r="I789" s="77" t="inlineStr">
        <is>
          <t>undated</t>
        </is>
      </c>
      <c r="J789" s="77" t="inlineStr">
        <is>
          <t>2026-10-12</t>
        </is>
      </c>
      <c r="K789" s="77" t="inlineStr">
        <is>
          <t>search-summary paraphrase</t>
        </is>
      </c>
      <c r="L789" s="77" t="inlineStr">
        <is>
          <t>Most recent listed offerings Semester 1 and Semester 2 2024.</t>
        </is>
      </c>
    </row>
    <row r="790">
      <c r="A790" s="77" t="inlineStr">
        <is>
          <t>AU06-S07-R1</t>
        </is>
      </c>
      <c r="B790" s="77" t="inlineStr">
        <is>
          <t>AU06</t>
        </is>
      </c>
      <c r="C790" s="77" t="inlineStr">
        <is>
          <t>AU06-S07</t>
        </is>
      </c>
      <c r="D790" s="77" t="inlineStr">
        <is>
          <t>Sustainability Strategy and Leadership Capstone</t>
        </is>
      </c>
      <c r="E790" s="77" t="inlineStr">
        <is>
          <t>project; group; employer; status; credit</t>
        </is>
      </c>
      <c r="F790" s="77" t="inlineStr">
        <is>
          <t>https://course-profiles.uq.edu.au/course-profiles/TIMS7334-62523-7660</t>
        </is>
      </c>
      <c r="G790" s="77" t="inlineStr">
        <is>
          <t>TIMS7334 course profile</t>
        </is>
      </c>
      <c r="H790" s="77" t="inlineStr">
        <is>
          <t>Description and assessment</t>
        </is>
      </c>
      <c r="I790" s="77" t="inlineStr">
        <is>
          <t>2026 (Semester 2, 2026)</t>
        </is>
      </c>
      <c r="J790" s="77" t="inlineStr">
        <is>
          <t>2026-10-13</t>
        </is>
      </c>
      <c r="K790" s="77" t="inlineStr">
        <is>
          <t>page text</t>
        </is>
      </c>
      <c r="L790" s="77" t="inlineStr">
        <is>
          <t>Team Project (50%) 'Team or group-based'; teams work 'in collaboration with an industry partner'; partner presents challenges in Week 3, gives midpoint feedback in Week 8, attends final presentations in Week 11; Semester 2, 2026 (27/07/2026 - 21/11/2026), In Person.</t>
        </is>
      </c>
    </row>
    <row r="791">
      <c r="A791" s="77" t="inlineStr">
        <is>
          <t>AU06-S08-R1</t>
        </is>
      </c>
      <c r="B791" s="77" t="inlineStr">
        <is>
          <t>AU06</t>
        </is>
      </c>
      <c r="C791" s="77" t="inlineStr">
        <is>
          <t>AU06-S08</t>
        </is>
      </c>
      <c r="D791" s="77" t="inlineStr">
        <is>
          <t>Team Project (Bachelor of Advanced Finance and Economics (Honours))</t>
        </is>
      </c>
      <c r="E791" s="77" t="inlineStr">
        <is>
          <t>project; group; employer; credit; status</t>
        </is>
      </c>
      <c r="F791" s="77" t="inlineStr">
        <is>
          <t>https://course-profiles.uq.edu.au/course-profiles/FINM4411-60235-7460</t>
        </is>
      </c>
      <c r="G791" s="77" t="inlineStr">
        <is>
          <t>FINM4411 course profile</t>
        </is>
      </c>
      <c r="H791" s="77" t="inlineStr">
        <is>
          <t>Course description</t>
        </is>
      </c>
      <c r="I791" s="77" t="inlineStr">
        <is>
          <t>2024 profile; offerings 2026-27 on course page</t>
        </is>
      </c>
      <c r="J791" s="77" t="inlineStr">
        <is>
          <t>2026-10-13</t>
        </is>
      </c>
      <c r="K791" s="77" t="inlineStr">
        <is>
          <t>search-summary paraphrase</t>
        </is>
      </c>
      <c r="L791" s="77" t="inlineStr">
        <is>
          <t>Each group assigned a live problem from industry, government or the not-for-profit sector; teams of 3-4; final team report 45%.</t>
        </is>
      </c>
    </row>
    <row r="792">
      <c r="A792" s="77" t="inlineStr">
        <is>
          <t>AU06-S08-R2</t>
        </is>
      </c>
      <c r="B792" s="77" t="inlineStr">
        <is>
          <t>AU06</t>
        </is>
      </c>
      <c r="C792" s="77" t="inlineStr">
        <is>
          <t>AU06-S08</t>
        </is>
      </c>
      <c r="D792" s="77" t="inlineStr">
        <is>
          <t>Team Project (Bachelor of Advanced Finance and Economics (Honours))</t>
        </is>
      </c>
      <c r="E792" s="77" t="inlineStr">
        <is>
          <t>status; eligibility</t>
        </is>
      </c>
      <c r="F792" s="77" t="inlineStr">
        <is>
          <t>https://my.uq.edu.au/programs-courses/course.html?course_code=FINM4411</t>
        </is>
      </c>
      <c r="G792" s="77" t="inlineStr">
        <is>
          <t>Team Project (FINM4411)</t>
        </is>
      </c>
      <c r="H792" s="77" t="inlineStr">
        <is>
          <t>Course page</t>
        </is>
      </c>
      <c r="I792" s="77" t="inlineStr">
        <is>
          <t>undated; lists Sem 2 2026</t>
        </is>
      </c>
      <c r="J792" s="77" t="inlineStr">
        <is>
          <t>2026-10-13</t>
        </is>
      </c>
      <c r="K792" s="77" t="inlineStr">
        <is>
          <t>search-summary paraphrase</t>
        </is>
      </c>
      <c r="L792" s="77" t="inlineStr">
        <is>
          <t>Offered Semester 2, 2026 and Semester 1, 2027; restricted to BAdvFinEcon(Hons) final year.</t>
        </is>
      </c>
    </row>
    <row r="793">
      <c r="A793" s="77" t="inlineStr">
        <is>
          <t>AU06-S09-R1</t>
        </is>
      </c>
      <c r="B793" s="77" t="inlineStr">
        <is>
          <t>AU06</t>
        </is>
      </c>
      <c r="C793" s="77" t="inlineStr">
        <is>
          <t>AU06-S09</t>
        </is>
      </c>
      <c r="D793" s="77" t="inlineStr">
        <is>
          <t>Health Sciences Research Project: Service Development through Action Learning</t>
        </is>
      </c>
      <c r="E793" s="77" t="inlineStr">
        <is>
          <t>project; group; employer; credit</t>
        </is>
      </c>
      <c r="F793" s="77" t="inlineStr">
        <is>
          <t>https://course-profiles.uq.edu.au/course-profiles/HRSS4210-61790-7460</t>
        </is>
      </c>
      <c r="G793" s="77" t="inlineStr">
        <is>
          <t>HRSS4210 course profile</t>
        </is>
      </c>
      <c r="H793" s="77" t="inlineStr">
        <is>
          <t>Description and assessment</t>
        </is>
      </c>
      <c r="I793" s="77" t="inlineStr">
        <is>
          <t>2024</t>
        </is>
      </c>
      <c r="J793" s="77" t="inlineStr">
        <is>
          <t>2026-10-13</t>
        </is>
      </c>
      <c r="K793" s="77" t="inlineStr">
        <is>
          <t>page text</t>
        </is>
      </c>
      <c r="L793" s="77" t="inlineStr">
        <is>
          <t>'teams of 4 students (or 3 students)'; 'Working collaboratively within their field of practice with stakeholders who have identified a service need'; 'Clinicians are asked to provide feedback on students' professional behaviour, stakeholder consultation and project outcomes'; Project Outcome - Clinician Rating 25% (group).</t>
        </is>
      </c>
    </row>
    <row r="794">
      <c r="A794" s="77" t="inlineStr">
        <is>
          <t>AU06-S09-R2</t>
        </is>
      </c>
      <c r="B794" s="77" t="inlineStr">
        <is>
          <t>AU06</t>
        </is>
      </c>
      <c r="C794" s="77" t="inlineStr">
        <is>
          <t>AU06-S09</t>
        </is>
      </c>
      <c r="D794" s="77" t="inlineStr">
        <is>
          <t>Health Sciences Research Project: Service Development through Action Learning</t>
        </is>
      </c>
      <c r="E794" s="77" t="inlineStr">
        <is>
          <t>status; credit</t>
        </is>
      </c>
      <c r="F794" s="77" t="inlineStr">
        <is>
          <t>https://programs-courses.uq.edu.au/course.html?course_code=HRSS4210</t>
        </is>
      </c>
      <c r="G794" s="77" t="inlineStr">
        <is>
          <t>HRSS4210 course page</t>
        </is>
      </c>
      <c r="H794" s="77" t="inlineStr">
        <is>
          <t>Offering</t>
        </is>
      </c>
      <c r="I794" s="77" t="inlineStr">
        <is>
          <t>2026</t>
        </is>
      </c>
      <c r="J794" s="77" t="inlineStr">
        <is>
          <t>2026-10-13</t>
        </is>
      </c>
      <c r="K794" s="77" t="inlineStr">
        <is>
          <t>search-summary paraphrase</t>
        </is>
      </c>
      <c r="L794" s="77" t="inlineStr">
        <is>
          <t>Semester 2, 2026 offering, 2 units, in person St Lucia.</t>
        </is>
      </c>
    </row>
    <row r="795">
      <c r="A795" s="77" t="inlineStr">
        <is>
          <t>AU09-S01-R1</t>
        </is>
      </c>
      <c r="B795" s="77" t="inlineStr">
        <is>
          <t>AU09</t>
        </is>
      </c>
      <c r="C795" s="77" t="inlineStr">
        <is>
          <t>AU09-S01</t>
        </is>
      </c>
      <c r="D795" s="77" t="inlineStr">
        <is>
          <t>Transdisciplinary (TD) Electives</t>
        </is>
      </c>
      <c r="E795" s="77" t="inlineStr">
        <is>
          <t>project; group; employer; reach; eligibility</t>
        </is>
      </c>
      <c r="F795" s="77" t="inlineStr">
        <is>
          <t>https://www.uts.edu.au/for-students/transdisciplinary-innovation/transdisciplinary-electives</t>
        </is>
      </c>
      <c r="G795" s="77" t="inlineStr">
        <is>
          <t>Transdisciplinary Electives at UTS</t>
        </is>
      </c>
      <c r="H795" s="77" t="inlineStr">
        <is>
          <t>Student page</t>
        </is>
      </c>
      <c r="I795" s="77" t="inlineStr">
        <is>
          <t>undated</t>
        </is>
      </c>
      <c r="J795" s="77" t="inlineStr">
        <is>
          <t>2026-10-12</t>
        </is>
      </c>
      <c r="K795" s="77" t="inlineStr">
        <is>
          <t>page text (re-fetched 2026-10-13; see source 6)</t>
        </is>
      </c>
      <c r="L795" s="77" t="inlineStr">
        <is>
          <t>Each TD elective subject involves a real-world challenge presented by an industry partner organisation; students from across all faculties collaborate in teams; BCII students choose a different elective.</t>
        </is>
      </c>
    </row>
    <row r="796">
      <c r="A796" s="77" t="inlineStr">
        <is>
          <t>AU09-S01-R2</t>
        </is>
      </c>
      <c r="B796" s="77" t="inlineStr">
        <is>
          <t>AU09</t>
        </is>
      </c>
      <c r="C796" s="77" t="inlineStr">
        <is>
          <t>AU09-S01</t>
        </is>
      </c>
      <c r="D796" s="77" t="inlineStr">
        <is>
          <t>Transdisciplinary (TD) Electives</t>
        </is>
      </c>
      <c r="E796" s="77" t="inlineStr">
        <is>
          <t>project; employer</t>
        </is>
      </c>
      <c r="F796" s="77" t="inlineStr">
        <is>
          <t>https://www.uts.edu.au/about/faculties/transdisciplinary-school/partnerships/how-get-involved/project-based-engagements/td-electives</t>
        </is>
      </c>
      <c r="G796" s="77" t="inlineStr">
        <is>
          <t>TD electives (partner page)</t>
        </is>
      </c>
      <c r="H796" s="77" t="inlineStr">
        <is>
          <t>Partnerships &gt; Project-based engagements</t>
        </is>
      </c>
      <c r="I796" s="77" t="inlineStr">
        <is>
          <t>undated</t>
        </is>
      </c>
      <c r="J796" s="77" t="inlineStr">
        <is>
          <t>2026-10-12</t>
        </is>
      </c>
      <c r="K796" s="77" t="inlineStr">
        <is>
          <t>search-index extract (quoted)</t>
        </is>
      </c>
      <c r="L796" s="77" t="inlineStr">
        <is>
          <t>Partners are asked to codesign a learning question or themes of exploration that are strategic for the partner organisation over three years. Contribute to pre-recorded student learning modules. Participate in live engagements in subject for three years to help students develop their projects (e.g. Q&amp;A's, mentorship, and providing feedback on student ideas).</t>
        </is>
      </c>
    </row>
    <row r="797">
      <c r="A797" s="77" t="inlineStr">
        <is>
          <t>AU09-S01-R3</t>
        </is>
      </c>
      <c r="B797" s="77" t="inlineStr">
        <is>
          <t>AU09</t>
        </is>
      </c>
      <c r="C797" s="77" t="inlineStr">
        <is>
          <t>AU09-S01</t>
        </is>
      </c>
      <c r="D797" s="77" t="inlineStr">
        <is>
          <t>Transdisciplinary (TD) Electives</t>
        </is>
      </c>
      <c r="E797" s="77" t="inlineStr">
        <is>
          <t>project; employer; status</t>
        </is>
      </c>
      <c r="F797" s="77" t="inlineStr">
        <is>
          <t>https://www.uts.edu.au/globalassets/sites/default/files/article/downloads/td-electives-2026-brochure.pdf</t>
        </is>
      </c>
      <c r="G797" s="77" t="inlineStr">
        <is>
          <t>TD Electives Program (2026 brochure)</t>
        </is>
      </c>
      <c r="H797" s="77" t="inlineStr">
        <is>
          <t>Partner brochure</t>
        </is>
      </c>
      <c r="I797" s="77" t="inlineStr">
        <is>
          <t>2026</t>
        </is>
      </c>
      <c r="J797" s="77" t="inlineStr">
        <is>
          <t>2026-10-12</t>
        </is>
      </c>
      <c r="K797" s="77" t="inlineStr">
        <is>
          <t>search-index extract (quoted)</t>
        </is>
      </c>
      <c r="L797" s="77" t="inlineStr">
        <is>
          <t>In each TD elective subject, students work on a real-world challenge presented by an industry partner organisation; current partners UNICEF Australia, City of Sydney, Microsoft, Miro, Lane Cove Council and ServiceRocket; subjects paired with partners (e.g. UNICEF Australia for Reframing, Remixing, Reimagining Society).</t>
        </is>
      </c>
    </row>
    <row r="798">
      <c r="A798" s="77" t="inlineStr">
        <is>
          <t>AU09-S01-R4</t>
        </is>
      </c>
      <c r="B798" s="77" t="inlineStr">
        <is>
          <t>AU09</t>
        </is>
      </c>
      <c r="C798" s="77" t="inlineStr">
        <is>
          <t>AU09-S01</t>
        </is>
      </c>
      <c r="D798" s="77" t="inlineStr">
        <is>
          <t>Transdisciplinary (TD) Electives</t>
        </is>
      </c>
      <c r="E798" s="77" t="inlineStr">
        <is>
          <t>project; credit</t>
        </is>
      </c>
      <c r="F798" s="77" t="inlineStr">
        <is>
          <t>https://handbookpre2025.uts.edu.au/2024_1/subjects/details/95009.html</t>
        </is>
      </c>
      <c r="G798" s="77" t="inlineStr">
        <is>
          <t>UTS: 95009 TD: Change-making for social impact</t>
        </is>
      </c>
      <c r="H798" s="77" t="inlineStr">
        <is>
          <t>Assessment</t>
        </is>
      </c>
      <c r="I798" s="77" t="inlineStr">
        <is>
          <t>2024</t>
        </is>
      </c>
      <c r="J798" s="77" t="inlineStr">
        <is>
          <t>2026-10-12</t>
        </is>
      </c>
      <c r="K798" s="77" t="inlineStr">
        <is>
          <t>search-summary paraphrase</t>
        </is>
      </c>
      <c r="L798" s="77" t="inlineStr">
        <is>
          <t>Major task worth 40% includes a 10 minute presentation, a poster and a Miro board.</t>
        </is>
      </c>
    </row>
    <row r="799">
      <c r="A799" s="77" t="inlineStr">
        <is>
          <t>AU09-S01-R5</t>
        </is>
      </c>
      <c r="B799" s="77" t="inlineStr">
        <is>
          <t>AU09</t>
        </is>
      </c>
      <c r="C799" s="77" t="inlineStr">
        <is>
          <t>AU09-S01</t>
        </is>
      </c>
      <c r="D799" s="77" t="inlineStr">
        <is>
          <t>Transdisciplinary (TD) Electives</t>
        </is>
      </c>
      <c r="E799" s="77" t="inlineStr">
        <is>
          <t>status; credit</t>
        </is>
      </c>
      <c r="F799" s="77" t="inlineStr">
        <is>
          <t>https://coursehandbook.uts.edu.au/subject/2026/95010</t>
        </is>
      </c>
      <c r="G799" s="77" t="inlineStr">
        <is>
          <t>TD: Reframing, remixing, reimagining society +</t>
        </is>
      </c>
      <c r="H799" s="77" t="inlineStr">
        <is>
          <t>2026 handbook subject entry</t>
        </is>
      </c>
      <c r="I799" s="77" t="inlineStr">
        <is>
          <t>2026</t>
        </is>
      </c>
      <c r="J799" s="77" t="inlineStr">
        <is>
          <t>2026-10-12</t>
        </is>
      </c>
      <c r="K799" s="77" t="inlineStr">
        <is>
          <t>search-summary paraphrase</t>
        </is>
      </c>
      <c r="L799" s="77" t="inlineStr">
        <is>
          <t>95010, 8 credit points, listed in the 2026 handbook (assessment details not returned).</t>
        </is>
      </c>
    </row>
    <row r="800">
      <c r="A800" s="77" t="inlineStr">
        <is>
          <t>AU09-S01-R6</t>
        </is>
      </c>
      <c r="B800" s="77" t="inlineStr">
        <is>
          <t>AU09</t>
        </is>
      </c>
      <c r="C800" s="77" t="inlineStr">
        <is>
          <t>AU09-S01</t>
        </is>
      </c>
      <c r="D800" s="77" t="inlineStr">
        <is>
          <t>Transdisciplinary (TD) Electives</t>
        </is>
      </c>
      <c r="E800" s="77" t="inlineStr">
        <is>
          <t>project; group; employer; reach; eligibility</t>
        </is>
      </c>
      <c r="F800" s="77" t="inlineStr">
        <is>
          <t>https://www.uts.edu.au/for-students/transdisciplinary-innovation/transdisciplinary-electives</t>
        </is>
      </c>
      <c r="G800" s="77" t="inlineStr">
        <is>
          <t>Transdisciplinary Electives at UTS</t>
        </is>
      </c>
      <c r="H800" s="77" t="inlineStr">
        <is>
          <t>Student page</t>
        </is>
      </c>
      <c r="I800" s="77" t="inlineStr">
        <is>
          <t>undated</t>
        </is>
      </c>
      <c r="J800" s="77" t="inlineStr">
        <is>
          <t>2026-10-13</t>
        </is>
      </c>
      <c r="K800" s="77" t="inlineStr">
        <is>
          <t>page text</t>
        </is>
      </c>
      <c r="L800" s="77" t="inlineStr">
        <is>
          <t>"In each TD elective subject, you'll work on a real-world challenge presented by an industry partner organisation." "Collaborate in teams with students from all faculties across UTS." "Excludes students concurrently enrolled in the Bachelor of Creative Intelligence and Innovation."</t>
        </is>
      </c>
    </row>
    <row r="801">
      <c r="A801" s="77" t="inlineStr">
        <is>
          <t>AU09-S02-R1</t>
        </is>
      </c>
      <c r="B801" s="77" t="inlineStr">
        <is>
          <t>AU09</t>
        </is>
      </c>
      <c r="C801" s="77" t="inlineStr">
        <is>
          <t>AU09-S02</t>
        </is>
      </c>
      <c r="D801" s="77" t="inlineStr">
        <is>
          <t>Industry Innovation Project</t>
        </is>
      </c>
      <c r="E801" s="77" t="inlineStr">
        <is>
          <t>project; group; employer</t>
        </is>
      </c>
      <c r="F801" s="77" t="inlineStr">
        <is>
          <t>https://www.uts.edu.au/about/faculties/transdisciplinary-school/partnerships/how-get-involved/project-based-engagements/industry-innovation-project</t>
        </is>
      </c>
      <c r="G801" s="77" t="inlineStr">
        <is>
          <t>Industry Innovation Project (partner page)</t>
        </is>
      </c>
      <c r="H801" s="77" t="inlineStr">
        <is>
          <t>Partnerships &gt; Project-based engagements</t>
        </is>
      </c>
      <c r="I801" s="77" t="inlineStr">
        <is>
          <t>undated (timeframes from 2022)</t>
        </is>
      </c>
      <c r="J801" s="77" t="inlineStr">
        <is>
          <t>2026-10-12</t>
        </is>
      </c>
      <c r="K801" s="77" t="inlineStr">
        <is>
          <t>search-summary paraphrase</t>
        </is>
      </c>
      <c r="L801" s="77" t="inlineStr">
        <is>
          <t>Coordinator allocates students into multidisciplinary teams of 5-7; partners must assign a dedicated industry mentor; not an internship; partner time commitment 25 to 30 hours across semester; mentor attends weekly check-ins, midpoint check-in and final presentation; students present a reframed brief to the partner for feedback.</t>
        </is>
      </c>
    </row>
    <row r="802">
      <c r="A802" s="77" t="inlineStr">
        <is>
          <t>AU09-S02-R2</t>
        </is>
      </c>
      <c r="B802" s="77" t="inlineStr">
        <is>
          <t>AU09</t>
        </is>
      </c>
      <c r="C802" s="77" t="inlineStr">
        <is>
          <t>AU09-S02</t>
        </is>
      </c>
      <c r="D802" s="77" t="inlineStr">
        <is>
          <t>Industry Innovation Project</t>
        </is>
      </c>
      <c r="E802" s="77" t="inlineStr">
        <is>
          <t>project; employer; status; duration; eligibility</t>
        </is>
      </c>
      <c r="F802" s="77" t="inlineStr">
        <is>
          <t>https://www.uts.edu.au/globalassets/shared-media/documents/td-school/td-industry-innovation-project-2026-bcii-brochure.pdf</t>
        </is>
      </c>
      <c r="G802" s="77" t="inlineStr">
        <is>
          <t>Industry Innovation Project 2026 (BCII brochure)</t>
        </is>
      </c>
      <c r="H802" s="77" t="inlineStr">
        <is>
          <t>Partner brochure</t>
        </is>
      </c>
      <c r="I802" s="77" t="inlineStr">
        <is>
          <t>2026</t>
        </is>
      </c>
      <c r="J802" s="77" t="inlineStr">
        <is>
          <t>2026-10-12</t>
        </is>
      </c>
      <c r="K802" s="77" t="inlineStr">
        <is>
          <t>search-summary paraphrase</t>
        </is>
      </c>
      <c r="L802" s="77" t="inlineStr">
        <is>
          <t>Final-year BCII students; runs over a 13-week period from March to June 2026; competitive process with projects ultimately selected by student vote; students present initiatives, insights and prototypes in a final presentation with a report.</t>
        </is>
      </c>
    </row>
    <row r="803">
      <c r="A803" s="77" t="inlineStr">
        <is>
          <t>AU09-S03-R1</t>
        </is>
      </c>
      <c r="B803" s="77" t="inlineStr">
        <is>
          <t>AU09</t>
        </is>
      </c>
      <c r="C803" s="77" t="inlineStr">
        <is>
          <t>AU09-S03</t>
        </is>
      </c>
      <c r="D803" s="77" t="inlineStr">
        <is>
          <t>UTS Shopfront Community Program – community projects in coursework</t>
        </is>
      </c>
      <c r="E803" s="77" t="inlineStr">
        <is>
          <t>project; group; employer; eligibility; credit</t>
        </is>
      </c>
      <c r="F803" s="77" t="inlineStr">
        <is>
          <t>https://www.uts.edu.au/current-students/opportunities/community-and-leadership-programs/uts-shopfront/community-projects</t>
        </is>
      </c>
      <c r="G803" s="77" t="inlineStr">
        <is>
          <t>Community projects in coursework</t>
        </is>
      </c>
      <c r="H803" s="77" t="inlineStr">
        <is>
          <t>Student page</t>
        </is>
      </c>
      <c r="I803" s="77" t="inlineStr">
        <is>
          <t>undated</t>
        </is>
      </c>
      <c r="J803" s="77" t="inlineStr">
        <is>
          <t>2026-10-12</t>
        </is>
      </c>
      <c r="K803" s="77" t="inlineStr">
        <is>
          <t>search-summary paraphrase</t>
        </is>
      </c>
      <c r="L803" s="77" t="inlineStr">
        <is>
          <t>Community organisations identify the projects that matter to them; students work in teams as external consultants, usually in their final year or as postgraduates, and receive course credit; sessions Autumn (March–June) and Spring (August–November).</t>
        </is>
      </c>
    </row>
    <row r="804">
      <c r="A804" s="77" t="inlineStr">
        <is>
          <t>AU09-S03-R2</t>
        </is>
      </c>
      <c r="B804" s="77" t="inlineStr">
        <is>
          <t>AU09</t>
        </is>
      </c>
      <c r="C804" s="77" t="inlineStr">
        <is>
          <t>AU09-S03</t>
        </is>
      </c>
      <c r="D804" s="77" t="inlineStr">
        <is>
          <t>UTS Shopfront Community Program – community projects in coursework</t>
        </is>
      </c>
      <c r="E804" s="77" t="inlineStr">
        <is>
          <t>employer</t>
        </is>
      </c>
      <c r="F804" s="77" t="inlineStr">
        <is>
          <t>https://www.uts.edu.au/about/uts-vision/initiatives/social-justice-uts/uts-shopfront-community-program/community-groups/submit-shopfront-project</t>
        </is>
      </c>
      <c r="G804" s="77" t="inlineStr">
        <is>
          <t>Submit a Shopfront project</t>
        </is>
      </c>
      <c r="H804" s="77" t="inlineStr">
        <is>
          <t>Community groups</t>
        </is>
      </c>
      <c r="I804" s="77" t="inlineStr">
        <is>
          <t>undated</t>
        </is>
      </c>
      <c r="J804" s="77" t="inlineStr">
        <is>
          <t>2026-10-12</t>
        </is>
      </c>
      <c r="K804" s="77" t="inlineStr">
        <is>
          <t>search-summary paraphrase</t>
        </is>
      </c>
      <c r="L804" s="77" t="inlineStr">
        <is>
          <t>Pro bono program with no fee for community organisations; each organisation nominates a key contact able to dedicate up to two hours per week.</t>
        </is>
      </c>
    </row>
    <row r="805">
      <c r="A805" s="77" t="inlineStr">
        <is>
          <t>AU09-S03-R3</t>
        </is>
      </c>
      <c r="B805" s="77" t="inlineStr">
        <is>
          <t>AU09</t>
        </is>
      </c>
      <c r="C805" s="77" t="inlineStr">
        <is>
          <t>AU09-S03</t>
        </is>
      </c>
      <c r="D805" s="77" t="inlineStr">
        <is>
          <t>UTS Shopfront Community Program – community projects in coursework</t>
        </is>
      </c>
      <c r="E805" s="77" t="inlineStr">
        <is>
          <t>employer; status</t>
        </is>
      </c>
      <c r="F805" s="77" t="inlineStr">
        <is>
          <t>https://educationexpress.uts.edu.au/blog/2024/08/22/uts-shopfront-connects-students-and-community/</t>
        </is>
      </c>
      <c r="G805" s="77" t="inlineStr">
        <is>
          <t>UTS Shopfront connects students and community</t>
        </is>
      </c>
      <c r="H805" s="77" t="inlineStr">
        <is>
          <t>Blog</t>
        </is>
      </c>
      <c r="I805" s="77" t="inlineStr">
        <is>
          <t>2024</t>
        </is>
      </c>
      <c r="J805" s="77" t="inlineStr">
        <is>
          <t>2026-10-12</t>
        </is>
      </c>
      <c r="K805" s="77" t="inlineStr">
        <is>
          <t>search-summary paraphrase</t>
        </is>
      </c>
      <c r="L805" s="77" t="inlineStr">
        <is>
          <t>Examples of past work include research for the HIV/AIDS Legal Centre (NSW) and a music program with Glebe Youth Service.</t>
        </is>
      </c>
    </row>
    <row r="806">
      <c r="A806" s="77" t="inlineStr">
        <is>
          <t>AU09-S04-R1</t>
        </is>
      </c>
      <c r="B806" s="77" t="inlineStr">
        <is>
          <t>AU09</t>
        </is>
      </c>
      <c r="C806" s="77" t="inlineStr">
        <is>
          <t>AU09-S04</t>
        </is>
      </c>
      <c r="D806" s="77" t="inlineStr">
        <is>
          <t>Software Development Studio (FEIT Industry Studio)</t>
        </is>
      </c>
      <c r="E806" s="77" t="inlineStr">
        <is>
          <t>project; group; employer; eligibility; credit; duration</t>
        </is>
      </c>
      <c r="F806" s="77" t="inlineStr">
        <is>
          <t>https://www.uts.edu.au/current-students/current-students-information-faculty-engineering-and-it/undergraduate/industry-studio/software-development-studio</t>
        </is>
      </c>
      <c r="G806" s="77" t="inlineStr">
        <is>
          <t>Software Development Studio</t>
        </is>
      </c>
      <c r="H806" s="77" t="inlineStr">
        <is>
          <t>Industry Studio page</t>
        </is>
      </c>
      <c r="I806" s="77" t="inlineStr">
        <is>
          <t>undated (copyright 2026)</t>
        </is>
      </c>
      <c r="J806" s="77" t="inlineStr">
        <is>
          <t>2026-10-13</t>
        </is>
      </c>
      <c r="K806" s="77" t="inlineStr">
        <is>
          <t>page text</t>
        </is>
      </c>
      <c r="L806" s="77" t="inlineStr">
        <is>
          <t>"One brief, 12 weeks, teams of 4-6 students"; teams "deliver solutions for problems posed by industry"; "half-a-dozen industry mentors who spend one to two hours weekly, face-to-face".</t>
        </is>
      </c>
    </row>
    <row r="807">
      <c r="A807" s="77" t="inlineStr">
        <is>
          <t>AU09-S05-R1</t>
        </is>
      </c>
      <c r="B807" s="77" t="inlineStr">
        <is>
          <t>AU09</t>
        </is>
      </c>
      <c r="C807" s="77" t="inlineStr">
        <is>
          <t>AU09-S05</t>
        </is>
      </c>
      <c r="D807" s="77" t="inlineStr">
        <is>
          <t>Strategic Communication capstone (client brief)</t>
        </is>
      </c>
      <c r="E807" s="77" t="inlineStr">
        <is>
          <t>project; employer</t>
        </is>
      </c>
      <c r="F807" s="77" t="inlineStr">
        <is>
          <t>https://www.uts.edu.au/for-students/communication-and-social-sciences/strategic-communication</t>
        </is>
      </c>
      <c r="G807" s="77" t="inlineStr">
        <is>
          <t>Strategic Communication degrees</t>
        </is>
      </c>
      <c r="H807" s="77" t="inlineStr">
        <is>
          <t>Capstone</t>
        </is>
      </c>
      <c r="I807" s="77" t="inlineStr">
        <is>
          <t>undated</t>
        </is>
      </c>
      <c r="J807" s="77" t="inlineStr">
        <is>
          <t>2026-10-13</t>
        </is>
      </c>
      <c r="K807" s="77" t="inlineStr">
        <is>
          <t>page text</t>
        </is>
      </c>
      <c r="L807" s="77" t="inlineStr">
        <is>
          <t>"In the capstone subject, you'll spend an entire semester working on a brief from a real client." "Past clients include NSW Multicultural Health, Dropbox, Isentia, City of Sydney and The Hunger Project, to name a few."</t>
        </is>
      </c>
    </row>
    <row r="808">
      <c r="A808" s="77" t="inlineStr">
        <is>
          <t>AU09-S05-R2</t>
        </is>
      </c>
      <c r="B808" s="77" t="inlineStr">
        <is>
          <t>AU09</t>
        </is>
      </c>
      <c r="C808" s="77" t="inlineStr">
        <is>
          <t>AU09-S05</t>
        </is>
      </c>
      <c r="D808" s="77" t="inlineStr">
        <is>
          <t>Strategic Communication capstone (client brief)</t>
        </is>
      </c>
      <c r="E808" s="77" t="inlineStr">
        <is>
          <t>group</t>
        </is>
      </c>
      <c r="F808" s="77" t="inlineStr">
        <is>
          <t>https://www.uts.edu.au/about/faculty-arts-and-social-sciences/news/public-communication-students-pitch-industry</t>
        </is>
      </c>
      <c r="G808" s="77" t="inlineStr">
        <is>
          <t>Public Communication students pitch to industry</t>
        </is>
      </c>
      <c r="H808" s="77" t="inlineStr">
        <is>
          <t>News</t>
        </is>
      </c>
      <c r="I808" s="77" t="inlineStr">
        <is>
          <t>undated (older)</t>
        </is>
      </c>
      <c r="J808" s="77" t="inlineStr">
        <is>
          <t>2026-10-13</t>
        </is>
      </c>
      <c r="K808" s="77" t="inlineStr">
        <is>
          <t>search-summary paraphrase</t>
        </is>
      </c>
      <c r="L808" s="77" t="inlineStr">
        <is>
          <t>Capstone teams of 4-6 developed an integrated communication campaign for one of five clients and pitched to the client.</t>
        </is>
      </c>
    </row>
    <row r="809">
      <c r="A809" s="77" t="inlineStr">
        <is>
          <t>AU10-S01-R1</t>
        </is>
      </c>
      <c r="B809" s="77" t="inlineStr">
        <is>
          <t>AU10</t>
        </is>
      </c>
      <c r="C809" s="77" t="inlineStr">
        <is>
          <t>AU10-S01</t>
        </is>
      </c>
      <c r="D809" s="77" t="inlineStr">
        <is>
          <t>Engineering Capstone Project (Part A and Part B), School of Engineering</t>
        </is>
      </c>
      <c r="E809" s="77" t="inlineStr">
        <is>
          <t>project; employer; duration; eligibility</t>
        </is>
      </c>
      <c r="F809" s="77" t="inlineStr">
        <is>
          <t>https://www.rmit.edu.au/about/schools-colleges/engineering/industry/engineering-capstone-projects</t>
        </is>
      </c>
      <c r="G809" s="77" t="inlineStr">
        <is>
          <t>Engineering Capstone Projects</t>
        </is>
      </c>
      <c r="H809" s="77" t="inlineStr">
        <is>
          <t>main</t>
        </is>
      </c>
      <c r="I809" s="77" t="inlineStr">
        <is>
          <t>undated</t>
        </is>
      </c>
      <c r="J809" s="77" t="inlineStr">
        <is>
          <t>2026-10-13</t>
        </is>
      </c>
      <c r="K809" s="77" t="inlineStr">
        <is>
          <t>page text</t>
        </is>
      </c>
      <c r="L809" s="77" t="inlineStr">
        <is>
          <t>'Final year engineering students undertake a Capstone Project with industry'; 'Capstone Projects run for an academic year'; 'A Work Integrated Learning (WIL) Agreement must be signed by the industry partner'; 'Delivery of a tangible outcome is expected, preferably a physical product.'</t>
        </is>
      </c>
    </row>
    <row r="810">
      <c r="A810" s="77" t="inlineStr">
        <is>
          <t>AU10-S01-R2</t>
        </is>
      </c>
      <c r="B810" s="77" t="inlineStr">
        <is>
          <t>AU10</t>
        </is>
      </c>
      <c r="C810" s="77" t="inlineStr">
        <is>
          <t>AU10-S01</t>
        </is>
      </c>
      <c r="D810" s="77" t="inlineStr">
        <is>
          <t>Engineering Capstone Project (Part A and Part B), School of Engineering</t>
        </is>
      </c>
      <c r="E810" s="77" t="inlineStr">
        <is>
          <t>employer; participation</t>
        </is>
      </c>
      <c r="F810" s="77" t="inlineStr">
        <is>
          <t>https://www.rmit.edu.au/study-with-us/levels-of-study/undergraduate-study/honours-degrees/bachelor-of-engineering-electronic-and-computer-systems-engineering-honours-bh073</t>
        </is>
      </c>
      <c r="G810" s="77" t="inlineStr">
        <is>
          <t>BEng (Electronic and Computer Systems) (Honours)</t>
        </is>
      </c>
      <c r="H810" s="77" t="inlineStr">
        <is>
          <t>search summary</t>
        </is>
      </c>
      <c r="I810" s="77" t="inlineStr">
        <is>
          <t>undated</t>
        </is>
      </c>
      <c r="J810" s="77" t="inlineStr">
        <is>
          <t>2026-10-13</t>
        </is>
      </c>
      <c r="K810" s="77" t="inlineStr">
        <is>
          <t>search-summary paraphrase</t>
        </is>
      </c>
      <c r="L810" s="77" t="inlineStr">
        <is>
          <t>Summary says students may be able to undertake an industry-sponsored design project in final year as part of Engineering Capstone Project Part A and Part B.</t>
        </is>
      </c>
    </row>
    <row r="811">
      <c r="A811" s="77" t="inlineStr">
        <is>
          <t>AU10-S01-R3</t>
        </is>
      </c>
      <c r="B811" s="77" t="inlineStr">
        <is>
          <t>AU10</t>
        </is>
      </c>
      <c r="C811" s="77" t="inlineStr">
        <is>
          <t>AU10-S01</t>
        </is>
      </c>
      <c r="D811" s="77" t="inlineStr">
        <is>
          <t>Engineering Capstone Project (Part A and Part B), School of Engineering</t>
        </is>
      </c>
      <c r="E811" s="77" t="inlineStr">
        <is>
          <t>status</t>
        </is>
      </c>
      <c r="F811" s="77" t="inlineStr">
        <is>
          <t>https://www.rmit.edu.au/students/student-life/events/2026/oct/engenius-engineering-capstone-showcase</t>
        </is>
      </c>
      <c r="G811" s="77" t="inlineStr">
        <is>
          <t>EnGenius: Engineering Capstone Project Showcase</t>
        </is>
      </c>
      <c r="H811" s="77" t="inlineStr">
        <is>
          <t>event</t>
        </is>
      </c>
      <c r="I811" s="77" t="inlineStr">
        <is>
          <t>2026</t>
        </is>
      </c>
      <c r="J811" s="77" t="inlineStr">
        <is>
          <t>2026-10-13</t>
        </is>
      </c>
      <c r="K811" s="77" t="inlineStr">
        <is>
          <t>page text</t>
        </is>
      </c>
      <c r="L811" s="77" t="inlineStr">
        <is>
          <t>'EnGenius showcases undergraduate engineering capstone projects'; 'Thursday 22 October 2026'; '9am - 1pm: Project Showcase and Assessment'.</t>
        </is>
      </c>
    </row>
    <row r="812">
      <c r="A812" s="77" t="inlineStr">
        <is>
          <t>AU10-S02-R1</t>
        </is>
      </c>
      <c r="B812" s="77" t="inlineStr">
        <is>
          <t>AU10</t>
        </is>
      </c>
      <c r="C812" s="77" t="inlineStr">
        <is>
          <t>AU10-S02</t>
        </is>
      </c>
      <c r="D812" s="77" t="inlineStr">
        <is>
          <t>Impact Academy 1 (Bachelor of Business (Professional Practice) core subject)</t>
        </is>
      </c>
      <c r="E812" s="77" t="inlineStr">
        <is>
          <t>project; group; employer; participation; status</t>
        </is>
      </c>
      <c r="F812" s="77" t="inlineStr">
        <is>
          <t>https://www.rmit.edu.au/study-with-us/levels-of-study/undergraduate-study/bachelor-degrees/bachelor-of-business-professional-practice-bp344</t>
        </is>
      </c>
      <c r="G812" s="77" t="inlineStr">
        <is>
          <t>Bachelor of Business Professional Practice</t>
        </is>
      </c>
      <c r="H812" s="77" t="inlineStr">
        <is>
          <t>Professional Practice core subjects</t>
        </is>
      </c>
      <c r="I812" s="77" t="inlineStr">
        <is>
          <t>undated (2027 fee shown)</t>
        </is>
      </c>
      <c r="J812" s="77" t="inlineStr">
        <is>
          <t>2026-10-13</t>
        </is>
      </c>
      <c r="K812" s="77" t="inlineStr">
        <is>
          <t>page text</t>
        </is>
      </c>
      <c r="L812" s="77" t="inlineStr">
        <is>
          <t>Impact Academy 1 'uses the principles of design thinking and problem-based learning pedagogy'; teams 'prepare a professional response in teams'; 'a real challenge set by a live industry partner's client'. Next intakes 'February, July'.</t>
        </is>
      </c>
    </row>
    <row r="813">
      <c r="A813" s="77" t="inlineStr">
        <is>
          <t>AU10-S02-R2</t>
        </is>
      </c>
      <c r="B813" s="77" t="inlineStr">
        <is>
          <t>AU10</t>
        </is>
      </c>
      <c r="C813" s="77" t="inlineStr">
        <is>
          <t>AU10-S02</t>
        </is>
      </c>
      <c r="D813" s="77" t="inlineStr">
        <is>
          <t>Impact Academy 1 (Bachelor of Business (Professional Practice) core subject)</t>
        </is>
      </c>
      <c r="E813" s="77" t="inlineStr">
        <is>
          <t>employer</t>
        </is>
      </c>
      <c r="F813" s="77" t="inlineStr">
        <is>
          <t>https://www.rmit.edu.au/about/schools-colleges/college-of-business-and-law/industry</t>
        </is>
      </c>
      <c r="G813" s="77" t="inlineStr">
        <is>
          <t>Industry Engagement (College of Business and Law)</t>
        </is>
      </c>
      <c r="H813" s="77" t="inlineStr">
        <is>
          <t>Meals With Impact</t>
        </is>
      </c>
      <c r="I813" s="77" t="inlineStr">
        <is>
          <t>2023 reference</t>
        </is>
      </c>
      <c r="J813" s="77" t="inlineStr">
        <is>
          <t>2026-10-13</t>
        </is>
      </c>
      <c r="K813" s="77" t="inlineStr">
        <is>
          <t>page text</t>
        </is>
      </c>
      <c r="L813" s="77" t="inlineStr">
        <is>
          <t>'A subject run with RMIT Activator in the Bachelor of Business (Professional Practice)... worked with Meals With Impact, a social enterprise.'</t>
        </is>
      </c>
    </row>
    <row r="814">
      <c r="A814" s="77" t="inlineStr">
        <is>
          <t>AU10-S03-R1</t>
        </is>
      </c>
      <c r="B814" s="77" t="inlineStr">
        <is>
          <t>AU10</t>
        </is>
      </c>
      <c r="C814" s="77" t="inlineStr">
        <is>
          <t>AU10-S03</t>
        </is>
      </c>
      <c r="D814" s="77" t="inlineStr">
        <is>
          <t>Integrated Perspectives on Business Problems (IPBP), Bachelor of Business</t>
        </is>
      </c>
      <c r="E814" s="77" t="inlineStr">
        <is>
          <t>project; group; employer</t>
        </is>
      </c>
      <c r="F814" s="77" t="inlineStr">
        <is>
          <t>https://www.rmit.edu.au/about/schools-colleges/college-of-business-and-law/industry</t>
        </is>
      </c>
      <c r="G814" s="77" t="inlineStr">
        <is>
          <t>Industry Engagement (College of Business and Law)</t>
        </is>
      </c>
      <c r="H814" s="77" t="inlineStr">
        <is>
          <t>Medibank / Red Cross</t>
        </is>
      </c>
      <c r="I814" s="77" t="inlineStr">
        <is>
          <t>2023 reference</t>
        </is>
      </c>
      <c r="J814" s="77" t="inlineStr">
        <is>
          <t>2026-10-13</t>
        </is>
      </c>
      <c r="K814" s="77" t="inlineStr">
        <is>
          <t>page text</t>
        </is>
      </c>
      <c r="L814" s="77" t="inlineStr">
        <is>
          <t>'Five groups' presented solutions to a 'real-industry challenge posed by Medibank' (IPBP, Bachelor of Business); Red Cross challenge on engaging students as research volunteers, with some solutions since implemented.</t>
        </is>
      </c>
    </row>
    <row r="815">
      <c r="A815" s="77" t="inlineStr">
        <is>
          <t>AU10-S04-R1</t>
        </is>
      </c>
      <c r="B815" s="77" t="inlineStr">
        <is>
          <t>AU10</t>
        </is>
      </c>
      <c r="C815" s="77" t="inlineStr">
        <is>
          <t>AU10-S04</t>
        </is>
      </c>
      <c r="D815" s="77" t="inlineStr">
        <is>
          <t>Software engineering project with industry partner as client (Computer Science / Software Engineering)</t>
        </is>
      </c>
      <c r="E815" s="77" t="inlineStr">
        <is>
          <t>project; group; employer; duration</t>
        </is>
      </c>
      <c r="F815" s="77" t="inlineStr">
        <is>
          <t>https://www.rmit.edu.au/about/schools-colleges/computing-technologies/our-teaching-areas/software-engineering</t>
        </is>
      </c>
      <c r="G815" s="77" t="inlineStr">
        <is>
          <t>Software engineering</t>
        </is>
      </c>
      <c r="H815" s="77" t="inlineStr">
        <is>
          <t>teaching area</t>
        </is>
      </c>
      <c r="I815" s="77" t="inlineStr">
        <is>
          <t>undated</t>
        </is>
      </c>
      <c r="J815" s="77" t="inlineStr">
        <is>
          <t>2026-10-13</t>
        </is>
      </c>
      <c r="K815" s="77" t="inlineStr">
        <is>
          <t>page text</t>
        </is>
      </c>
      <c r="L815" s="77" t="inlineStr">
        <is>
          <t>'a one-year internship and a further full-semester supervised SE project with an industry partner as “client”'; SE projects 'invariably performed in teams'.</t>
        </is>
      </c>
    </row>
    <row r="816">
      <c r="A816" s="77" t="inlineStr">
        <is>
          <t>AU10-S05-R1</t>
        </is>
      </c>
      <c r="B816" s="77" t="inlineStr">
        <is>
          <t>AU10</t>
        </is>
      </c>
      <c r="C816" s="77" t="inlineStr">
        <is>
          <t>AU10-S05</t>
        </is>
      </c>
      <c r="D816" s="77" t="inlineStr">
        <is>
          <t>Public Relations Campaigns / Public Relations Capstone Project (Bachelor of Professional Communication)</t>
        </is>
      </c>
      <c r="E816" s="77" t="inlineStr">
        <is>
          <t>project; employer; participation</t>
        </is>
      </c>
      <c r="F816" s="77" t="inlineStr">
        <is>
          <t>https://www.rmit.edu.au/study-with-us/levels-of-study/undergraduate-study/bachelor-degrees/bachelor-of-professional-communication-bp354</t>
        </is>
      </c>
      <c r="G816" s="77" t="inlineStr">
        <is>
          <t>Bachelor of Professional Communication</t>
        </is>
      </c>
      <c r="H816" s="77" t="inlineStr">
        <is>
          <t>Year 3 capstone</t>
        </is>
      </c>
      <c r="I816" s="77" t="inlineStr">
        <is>
          <t>undated</t>
        </is>
      </c>
      <c r="J816" s="77" t="inlineStr">
        <is>
          <t>2026-10-13</t>
        </is>
      </c>
      <c r="K816" s="77" t="inlineStr">
        <is>
          <t>search-summary paraphrase</t>
        </is>
      </c>
      <c r="L816" s="77" t="inlineStr">
        <is>
          <t>Capstone 'commissioned by one of our industry, government or community organisation partners'; PR campaign for a real client. (WebFetch of the page confirmed teamwork and 'respond to real client challenges' but did not reach the capstone text.)</t>
        </is>
      </c>
    </row>
    <row r="817">
      <c r="A817" s="77" t="inlineStr">
        <is>
          <t>AU10-S05-R2</t>
        </is>
      </c>
      <c r="B817" s="77" t="inlineStr">
        <is>
          <t>AU10</t>
        </is>
      </c>
      <c r="C817" s="77" t="inlineStr">
        <is>
          <t>AU10-S05</t>
        </is>
      </c>
      <c r="D817" s="77" t="inlineStr">
        <is>
          <t>Public Relations Campaigns / Public Relations Capstone Project (Bachelor of Professional Communication)</t>
        </is>
      </c>
      <c r="E817" s="77" t="inlineStr">
        <is>
          <t>group; employer</t>
        </is>
      </c>
      <c r="F817" s="77" t="inlineStr">
        <is>
          <t>http://www1.rmit.edu.au/courses/050367</t>
        </is>
      </c>
      <c r="G817" s="77" t="inlineStr">
        <is>
          <t>Public Relations Campaigns</t>
        </is>
      </c>
      <c r="H817" s="77" t="inlineStr">
        <is>
          <t>course page</t>
        </is>
      </c>
      <c r="I817" s="77" t="inlineStr">
        <is>
          <t>undated</t>
        </is>
      </c>
      <c r="J817" s="77" t="inlineStr">
        <is>
          <t>2026-10-13</t>
        </is>
      </c>
      <c r="K817" s="77" t="inlineStr">
        <is>
          <t>search-summary paraphrase</t>
        </is>
      </c>
      <c r="L817" s="77" t="inlineStr">
        <is>
          <t>Client brief in teams that mirror a consultancy; designated work-integrated learning course with industry/community feedback.</t>
        </is>
      </c>
    </row>
    <row r="818">
      <c r="A818" s="77" t="inlineStr">
        <is>
          <t>AU10-S06-R1</t>
        </is>
      </c>
      <c r="B818" s="77" t="inlineStr">
        <is>
          <t>AU10</t>
        </is>
      </c>
      <c r="C818" s="77" t="inlineStr">
        <is>
          <t>AU10-S06</t>
        </is>
      </c>
      <c r="D818" s="77" t="inlineStr">
        <is>
          <t>Buyer Behaviour cross-cluster industry project (Associate Degree in Business)</t>
        </is>
      </c>
      <c r="E818" s="77" t="inlineStr">
        <is>
          <t>project; group; employer; status</t>
        </is>
      </c>
      <c r="F818" s="77" t="inlineStr">
        <is>
          <t>https://www.rmit.edu.au/news/next-in-teaching/2023/aug/interdisciplinary-industry-project</t>
        </is>
      </c>
      <c r="G818" s="77" t="inlineStr">
        <is>
          <t>Encouraging interdisciplinary experiences through a unique industry project</t>
        </is>
      </c>
      <c r="H818" s="77" t="inlineStr">
        <is>
          <t>article</t>
        </is>
      </c>
      <c r="I818" s="77" t="inlineStr">
        <is>
          <t>2023</t>
        </is>
      </c>
      <c r="J818" s="77" t="inlineStr">
        <is>
          <t>2026-10-13</t>
        </is>
      </c>
      <c r="K818" s="77" t="inlineStr">
        <is>
          <t>page text</t>
        </is>
      </c>
      <c r="L818" s="77" t="inlineStr">
        <is>
          <t>Cross-cluster industry project with a 'real-world client' brief in Buyer Behaviour, Associate Degree in Business; the partner acts as the client and receives pitches; Pattysmiths in Semester 1, 2023.</t>
        </is>
      </c>
    </row>
    <row r="819">
      <c r="A819" s="77" t="inlineStr">
        <is>
          <t>UK01-S01-R1</t>
        </is>
      </c>
      <c r="B819" s="77" t="inlineStr">
        <is>
          <t>UK01</t>
        </is>
      </c>
      <c r="C819" s="77" t="inlineStr">
        <is>
          <t>UK01-S01</t>
        </is>
      </c>
      <c r="D819" s="77" t="inlineStr">
        <is>
          <t>Vertically Integrated Projects (VIP)</t>
        </is>
      </c>
      <c r="E819" s="77" t="inlineStr">
        <is>
          <t>project; group; employer; reach; eligibility; participation; credit; status</t>
        </is>
      </c>
      <c r="F819" s="77" t="inlineStr">
        <is>
          <t>https://www.bath.ac.uk/guides/vertically-integrated-projects/</t>
        </is>
      </c>
      <c r="G819" s="77" t="inlineStr">
        <is>
          <t>Vertically Integrated Projects</t>
        </is>
      </c>
      <c r="H819" s="77" t="inlineStr">
        <is>
          <t>Whole page</t>
        </is>
      </c>
      <c r="I819" s="77" t="inlineStr">
        <is>
          <t>2025/26</t>
        </is>
      </c>
      <c r="J819" s="77" t="inlineStr">
        <is>
          <t>2026-10-12</t>
        </is>
      </c>
      <c r="K819" s="77" t="inlineStr">
        <is>
          <t>page text</t>
        </is>
      </c>
      <c r="L819" s="77" t="inlineStr">
        <is>
          <t>'VIPs are innovative research-based projects that enable students and staff to collaborate on long-term real-world issues'; 'There may be the opportunity for external organisations to contribute to existing or new VIPs'; 'VIPS are currently extra-curricular'; 'open to all undergraduate, postgraduate and doctoral students'; 'In 2025/26, 250 students took part'; 'eleven project teams'.</t>
        </is>
      </c>
    </row>
    <row r="820">
      <c r="A820" s="77" t="inlineStr">
        <is>
          <t>UK01-S02-R1</t>
        </is>
      </c>
      <c r="B820" s="77" t="inlineStr">
        <is>
          <t>UK01</t>
        </is>
      </c>
      <c r="C820" s="77" t="inlineStr">
        <is>
          <t>UK01-S02</t>
        </is>
      </c>
      <c r="D820" s="77" t="inlineStr">
        <is>
          <t>Group Design and Business Project (MEng Mechanical; MEng Electronic &amp; Electrical)</t>
        </is>
      </c>
      <c r="E820" s="77" t="inlineStr">
        <is>
          <t>project; group; employer; eligibility; duration</t>
        </is>
      </c>
      <c r="F820" s="77" t="inlineStr">
        <is>
          <t>https://www.bath.ac.uk/campaigns/partner-with-us-on-group-design-and-business-projects/</t>
        </is>
      </c>
      <c r="G820" s="77" t="inlineStr">
        <is>
          <t>Partner with us on Group Design and Business Projects</t>
        </is>
      </c>
      <c r="H820" s="77" t="inlineStr">
        <is>
          <t>Partner page</t>
        </is>
      </c>
      <c r="I820" s="77" t="inlineStr">
        <is>
          <t>undated</t>
        </is>
      </c>
      <c r="J820" s="77" t="inlineStr">
        <is>
          <t>2026-10-12</t>
        </is>
      </c>
      <c r="K820" s="77" t="inlineStr">
        <is>
          <t>page text</t>
        </is>
      </c>
      <c r="L820" s="77" t="inlineStr">
        <is>
          <t>'Your company provides the project brief, and we match you with a suitable student team'; over 14 weeks, Feb launch to July final presentation; 'detailed technical and commercial solutions'; partners listed incl. Airbus, NCC, UKAEA; part of MEng mechanical and MEng electronic and electrical.</t>
        </is>
      </c>
    </row>
    <row r="821">
      <c r="A821" s="77" t="inlineStr">
        <is>
          <t>UK01-S03-R1</t>
        </is>
      </c>
      <c r="B821" s="77" t="inlineStr">
        <is>
          <t>UK01</t>
        </is>
      </c>
      <c r="C821" s="77" t="inlineStr">
        <is>
          <t>UK01-S03</t>
        </is>
      </c>
      <c r="D821" s="77" t="inlineStr">
        <is>
          <t>MSc Practice Track (School of Management)</t>
        </is>
      </c>
      <c r="E821" s="77" t="inlineStr">
        <is>
          <t>project; group; employer; participation; eligibility</t>
        </is>
      </c>
      <c r="F821" s="77" t="inlineStr">
        <is>
          <t>https://www.bath.ac.uk/campaigns/your-year-studying-a-school-of-management-msc/</t>
        </is>
      </c>
      <c r="G821" s="77" t="inlineStr">
        <is>
          <t>Your year studying a School of Management MSc</t>
        </is>
      </c>
      <c r="H821" s="77" t="inlineStr">
        <is>
          <t>Summer options</t>
        </is>
      </c>
      <c r="I821" s="77" t="inlineStr">
        <is>
          <t>undated (2027 entry links)</t>
        </is>
      </c>
      <c r="J821" s="77" t="inlineStr">
        <is>
          <t>2026-10-12</t>
        </is>
      </c>
      <c r="K821" s="77" t="inlineStr">
        <is>
          <t>page text</t>
        </is>
      </c>
      <c r="L821" s="77" t="inlineStr">
        <is>
          <t>'Work in teams on a project with an external client organisation'; summer option; most MSc courses 'give you the flexibility to choose how to spend your summer'.</t>
        </is>
      </c>
    </row>
    <row r="822">
      <c r="A822" s="77" t="inlineStr">
        <is>
          <t>UK01-S03-R2</t>
        </is>
      </c>
      <c r="B822" s="77" t="inlineStr">
        <is>
          <t>UK01</t>
        </is>
      </c>
      <c r="C822" s="77" t="inlineStr">
        <is>
          <t>UK01-S03</t>
        </is>
      </c>
      <c r="D822" s="77" t="inlineStr">
        <is>
          <t>MSc Practice Track (School of Management)</t>
        </is>
      </c>
      <c r="E822" s="77" t="inlineStr">
        <is>
          <t>group; employer; duration</t>
        </is>
      </c>
      <c r="F822" s="77" t="inlineStr">
        <is>
          <t>https://www.bath.ac.uk/campaigns/work-with-our-postgraduate-students-on-a-consultancy-project/</t>
        </is>
      </c>
      <c r="G822" s="77" t="inlineStr">
        <is>
          <t>Work with our postgraduate students on a consultancy project</t>
        </is>
      </c>
      <c r="H822" s="77" t="inlineStr">
        <is>
          <t>Partner page</t>
        </is>
      </c>
      <c r="I822" s="77" t="inlineStr">
        <is>
          <t>undated</t>
        </is>
      </c>
      <c r="J822" s="77" t="inlineStr">
        <is>
          <t>2026-10-12</t>
        </is>
      </c>
      <c r="K822" s="77" t="inlineStr">
        <is>
          <t>page text</t>
        </is>
      </c>
      <c r="L822" s="77" t="inlineStr">
        <is>
          <t>MSc Practice Track students work 'in teams'; full-time seven to eight weeks in June and July; 'We welcome partners from all sectors and of all sizes'; 'no fee for postgraduate student projects'.</t>
        </is>
      </c>
    </row>
    <row r="823">
      <c r="A823" s="77" t="inlineStr">
        <is>
          <t>UK01-S04-R1</t>
        </is>
      </c>
      <c r="B823" s="77" t="inlineStr">
        <is>
          <t>UK01</t>
        </is>
      </c>
      <c r="C823" s="77" t="inlineStr">
        <is>
          <t>UK01-S04</t>
        </is>
      </c>
      <c r="D823" s="77" t="inlineStr">
        <is>
          <t>MSc Consulting Project (six-week team project, Semester 2)</t>
        </is>
      </c>
      <c r="E823" s="77" t="inlineStr">
        <is>
          <t>project; group; employer; duration</t>
        </is>
      </c>
      <c r="F823" s="77" t="inlineStr">
        <is>
          <t>https://www.bath.ac.uk/campaigns/your-year-studying-a-school-of-management-msc/</t>
        </is>
      </c>
      <c r="G823" s="77" t="inlineStr">
        <is>
          <t>Your year studying a School of Management MSc</t>
        </is>
      </c>
      <c r="H823" s="77" t="inlineStr">
        <is>
          <t>Semester 2 timeline</t>
        </is>
      </c>
      <c r="I823" s="77" t="inlineStr">
        <is>
          <t>undated (2027 entry links)</t>
        </is>
      </c>
      <c r="J823" s="77" t="inlineStr">
        <is>
          <t>2026-10-12</t>
        </is>
      </c>
      <c r="K823" s="77" t="inlineStr">
        <is>
          <t>page text</t>
        </is>
      </c>
      <c r="L823" s="77" t="inlineStr">
        <is>
          <t>'A six-week team consulting project with a local organisation', February to March; 'Counts towards a University of Bath Award'.</t>
        </is>
      </c>
    </row>
    <row r="824">
      <c r="A824" s="77" t="inlineStr">
        <is>
          <t>UK01-S05-R1</t>
        </is>
      </c>
      <c r="B824" s="77" t="inlineStr">
        <is>
          <t>UK01</t>
        </is>
      </c>
      <c r="C824" s="77" t="inlineStr">
        <is>
          <t>UK01-S05</t>
        </is>
      </c>
      <c r="D824" s="77" t="inlineStr">
        <is>
          <t>Big Team Challenge (employer-set first-week challenge)</t>
        </is>
      </c>
      <c r="E824" s="77" t="inlineStr">
        <is>
          <t>project; group; employer</t>
        </is>
      </c>
      <c r="F824" s="77" t="inlineStr">
        <is>
          <t>https://www.bath.ac.uk/campaigns/your-year-studying-a-school-of-management-msc/</t>
        </is>
      </c>
      <c r="G824" s="77" t="inlineStr">
        <is>
          <t>Your year studying a School of Management MSc / School of Management Welcome Week guide</t>
        </is>
      </c>
      <c r="H824" s="77" t="inlineStr">
        <is>
          <t>Search summary</t>
        </is>
      </c>
      <c r="I824" s="77" t="inlineStr">
        <is>
          <t>undated</t>
        </is>
      </c>
      <c r="J824" s="77" t="inlineStr">
        <is>
          <t>2026-10-12</t>
        </is>
      </c>
      <c r="K824" s="77" t="inlineStr">
        <is>
          <t>search-summary paraphrase</t>
        </is>
      </c>
      <c r="L824" s="77" t="inlineStr">
        <is>
          <t>Search summary: 'work with one of our Employability Partners on an activity during the first two weeks'; UG: 'work together to solve ... a real-world business challenge provided by a partner employer', present ideas back.</t>
        </is>
      </c>
    </row>
    <row r="825">
      <c r="A825" s="77" t="inlineStr">
        <is>
          <t>UK01-S06-R1</t>
        </is>
      </c>
      <c r="B825" s="77" t="inlineStr">
        <is>
          <t>UK01</t>
        </is>
      </c>
      <c r="C825" s="77" t="inlineStr">
        <is>
          <t>UK01-S06</t>
        </is>
      </c>
      <c r="D825" s="77" t="inlineStr">
        <is>
          <t>180 Degrees Consulting, Bath branch</t>
        </is>
      </c>
      <c r="E825" s="77" t="inlineStr">
        <is>
          <t>project; group; employer</t>
        </is>
      </c>
      <c r="F825" s="77" t="inlineStr">
        <is>
          <t>https://www.bath.ac.uk/case-studies/gaining-consulting-experience-while-studying-for-my-degree/</t>
        </is>
      </c>
      <c r="G825" s="77" t="inlineStr">
        <is>
          <t>Gaining consulting experience while studying for my degree</t>
        </is>
      </c>
      <c r="H825" s="77" t="inlineStr">
        <is>
          <t>Case study</t>
        </is>
      </c>
      <c r="I825" s="77" t="inlineStr">
        <is>
          <t>undated (page footer 2026)</t>
        </is>
      </c>
      <c r="J825" s="77" t="inlineStr">
        <is>
          <t>2026-10-12</t>
        </is>
      </c>
      <c r="K825" s="77" t="inlineStr">
        <is>
          <t>page text</t>
        </is>
      </c>
      <c r="L825" s="77" t="inlineStr">
        <is>
          <t>180DC described as 'a university-based organisation which aims to make a positive social impact'; he 'worked with a Devon-based physiotherapy clinic to develop their search engine optimisation (SEO) strategy'; later led projects for a Canadian animal sanctuary and a global humanitarian charity.</t>
        </is>
      </c>
    </row>
    <row r="826">
      <c r="A826" s="77" t="inlineStr">
        <is>
          <t>UK01-S07-R1</t>
        </is>
      </c>
      <c r="B826" s="77" t="inlineStr">
        <is>
          <t>UK01</t>
        </is>
      </c>
      <c r="C826" s="77" t="inlineStr">
        <is>
          <t>UK01-S07</t>
        </is>
      </c>
      <c r="D826" s="77" t="inlineStr">
        <is>
          <t>Postgraduate consultancy projects in lieu of dissertation (Engineering &amp; Design; Humanities &amp; Social Sciences)</t>
        </is>
      </c>
      <c r="E826" s="77" t="inlineStr">
        <is>
          <t>project; group; employer; participation; duration</t>
        </is>
      </c>
      <c r="F826" s="77" t="inlineStr">
        <is>
          <t>https://www.bath.ac.uk/campaigns/consultancy-projects-solve-a-real-world-business-challenge-as-part-of-your-degree/</t>
        </is>
      </c>
      <c r="G826" s="77" t="inlineStr">
        <is>
          <t>Consultancy projects: solve a real-world business challenge</t>
        </is>
      </c>
      <c r="H826" s="77" t="inlineStr">
        <is>
          <t>Whole page</t>
        </is>
      </c>
      <c r="I826" s="77" t="inlineStr">
        <is>
          <t>undated</t>
        </is>
      </c>
      <c r="J826" s="77" t="inlineStr">
        <is>
          <t>2026-10-12</t>
        </is>
      </c>
      <c r="K826" s="77" t="inlineStr">
        <is>
          <t>page text</t>
        </is>
      </c>
      <c r="L826" s="77" t="inlineStr">
        <is>
          <t>'you can work as part of a small group or on your own'; 'usually last around three months'; 'Some of our courses offer you the chance to complete a consultancy project instead of a dissertation'.</t>
        </is>
      </c>
    </row>
    <row r="827">
      <c r="A827" s="77" t="inlineStr">
        <is>
          <t>UK02-S01-R1</t>
        </is>
      </c>
      <c r="B827" s="77" t="inlineStr">
        <is>
          <t>UK02</t>
        </is>
      </c>
      <c r="C827" s="77" t="inlineStr">
        <is>
          <t>UK02-S01</t>
        </is>
      </c>
      <c r="D827" s="77" t="inlineStr">
        <is>
          <t>Vertically Integrated Projects (VIP)</t>
        </is>
      </c>
      <c r="E827" s="77" t="inlineStr">
        <is>
          <t>status</t>
        </is>
      </c>
      <c r="F827" s="77" t="inlineStr">
        <is>
          <t>https://memos.wp.st-andrews.ac.uk/2026/04/15/applications-for-2026-2027-vip-modules-open-now/</t>
        </is>
      </c>
      <c r="G827" s="77" t="inlineStr">
        <is>
          <t>Applications for 2026-2027 VIP modules open now !</t>
        </is>
      </c>
      <c r="H827" s="77" t="inlineStr">
        <is>
          <t>Memo, April 2026</t>
        </is>
      </c>
      <c r="I827" s="77" t="inlineStr">
        <is>
          <t>2026</t>
        </is>
      </c>
      <c r="J827" s="77" t="inlineStr">
        <is>
          <t>2026-10-12</t>
        </is>
      </c>
      <c r="K827" s="77" t="inlineStr">
        <is>
          <t>search-summary paraphrase</t>
        </is>
      </c>
      <c r="L827" s="77" t="inlineStr">
        <is>
          <t>Applications for 2026-27 VIP modules open; deadline 9am, Monday 11th of May.</t>
        </is>
      </c>
    </row>
    <row r="828">
      <c r="A828" s="77" t="inlineStr">
        <is>
          <t>UK02-S01-R2</t>
        </is>
      </c>
      <c r="B828" s="77" t="inlineStr">
        <is>
          <t>UK02</t>
        </is>
      </c>
      <c r="C828" s="77" t="inlineStr">
        <is>
          <t>UK02-S01</t>
        </is>
      </c>
      <c r="D828" s="77" t="inlineStr">
        <is>
          <t>Vertically Integrated Projects (VIP)</t>
        </is>
      </c>
      <c r="E828" s="77" t="inlineStr">
        <is>
          <t>project; group; credit; participation</t>
        </is>
      </c>
      <c r="F828" s="77" t="inlineStr">
        <is>
          <t>https://www.st-andrews.ac.uk/education/vip/students/</t>
        </is>
      </c>
      <c r="G828" s="77" t="inlineStr">
        <is>
          <t>Information for students - Education - University of St Andrews</t>
        </is>
      </c>
      <c r="H828" s="77" t="inlineStr">
        <is>
          <t>Students page</t>
        </is>
      </c>
      <c r="I828" s="77" t="inlineStr">
        <is>
          <t>undated</t>
        </is>
      </c>
      <c r="J828" s="77" t="inlineStr">
        <is>
          <t>2026-10-12</t>
        </is>
      </c>
      <c r="K828" s="77" t="inlineStr">
        <is>
          <t>search-index extract (quoted)</t>
        </is>
      </c>
      <c r="L828" s="77" t="inlineStr">
        <is>
          <t>'Students can enrol in one Vertically Integrated Project (VIP) per semester.' 'The team addresses genuine research questions with inevitable setbacks and opportunities for reflection.' VIP 'modules' available at 10, 15, 20 and 30 credits per semester; 5 credits for students returning to a project; 'VIP modules are taught modules that appear on your transcript, so must be taken for credit.'</t>
        </is>
      </c>
    </row>
    <row r="829">
      <c r="A829" s="77" t="inlineStr">
        <is>
          <t>UK02-S01-R3</t>
        </is>
      </c>
      <c r="B829" s="77" t="inlineStr">
        <is>
          <t>UK02</t>
        </is>
      </c>
      <c r="C829" s="77" t="inlineStr">
        <is>
          <t>UK02-S01</t>
        </is>
      </c>
      <c r="D829" s="77" t="inlineStr">
        <is>
          <t>Vertically Integrated Projects (VIP)</t>
        </is>
      </c>
      <c r="E829" s="77" t="inlineStr">
        <is>
          <t>group; project</t>
        </is>
      </c>
      <c r="F829" s="77" t="inlineStr">
        <is>
          <t>https://education.wp.st-andrews.ac.uk/2021/02/23/vertically-integrated-projects-at-st-andrews/</t>
        </is>
      </c>
      <c r="G829" s="77" t="inlineStr">
        <is>
          <t>Vertically Integrated Projects at St Andrews</t>
        </is>
      </c>
      <c r="H829" s="77" t="inlineStr">
        <is>
          <t>Education blog</t>
        </is>
      </c>
      <c r="I829" s="77" t="inlineStr">
        <is>
          <t>2021</t>
        </is>
      </c>
      <c r="J829" s="77" t="inlineStr">
        <is>
          <t>2026-10-12</t>
        </is>
      </c>
      <c r="K829" s="77" t="inlineStr">
        <is>
          <t>search-index extract (quoted)</t>
        </is>
      </c>
      <c r="L829" s="77" t="inlineStr">
        <is>
          <t>'A VIP brings together a student team formed from different disciplines and levels of study to contribute to an ongoing research project for credit and grades.'</t>
        </is>
      </c>
    </row>
    <row r="830">
      <c r="A830" s="77" t="inlineStr">
        <is>
          <t>UK02-S01-R4</t>
        </is>
      </c>
      <c r="B830" s="77" t="inlineStr">
        <is>
          <t>UK02</t>
        </is>
      </c>
      <c r="C830" s="77" t="inlineStr">
        <is>
          <t>UK02-S01</t>
        </is>
      </c>
      <c r="D830" s="77" t="inlineStr">
        <is>
          <t>Vertically Integrated Projects (VIP)</t>
        </is>
      </c>
      <c r="E830" s="77" t="inlineStr">
        <is>
          <t>project; employer</t>
        </is>
      </c>
      <c r="F830" s="77" t="inlineStr">
        <is>
          <t>https://vip.wp.st-andrews.ac.uk/projectoverviews/st-andrews-forest/</t>
        </is>
      </c>
      <c r="G830" s="77" t="inlineStr">
        <is>
          <t>St Andrews Forest</t>
        </is>
      </c>
      <c r="H830" s="77" t="inlineStr">
        <is>
          <t>VIP project overview</t>
        </is>
      </c>
      <c r="I830" s="77" t="inlineStr">
        <is>
          <t>undated</t>
        </is>
      </c>
      <c r="J830" s="77" t="inlineStr">
        <is>
          <t>2026-10-12</t>
        </is>
      </c>
      <c r="K830" s="77" t="inlineStr">
        <is>
          <t>search-summary paraphrase</t>
        </is>
      </c>
      <c r="L830" s="77" t="inlineStr">
        <is>
          <t>Aims to join 'academics, practitioners and our neighbours to plan, implement and monitor the forest'; output is a commissioned report (and group presentation) to the University's Environmental Sustainability Board.</t>
        </is>
      </c>
    </row>
    <row r="831">
      <c r="A831" s="77" t="inlineStr">
        <is>
          <t>UK02-S01-R5</t>
        </is>
      </c>
      <c r="B831" s="77" t="inlineStr">
        <is>
          <t>UK02</t>
        </is>
      </c>
      <c r="C831" s="77" t="inlineStr">
        <is>
          <t>UK02-S01</t>
        </is>
      </c>
      <c r="D831" s="77" t="inlineStr">
        <is>
          <t>Vertically Integrated Projects (VIP)</t>
        </is>
      </c>
      <c r="E831" s="77" t="inlineStr">
        <is>
          <t>eligibility</t>
        </is>
      </c>
      <c r="F831" s="77" t="inlineStr">
        <is>
          <t>https://www.st-andrews.ac.uk/education/vip/projects/</t>
        </is>
      </c>
      <c r="G831" s="77" t="inlineStr">
        <is>
          <t>Projects - Education - University of St Andrews</t>
        </is>
      </c>
      <c r="H831" s="77" t="inlineStr">
        <is>
          <t>Projects list</t>
        </is>
      </c>
      <c r="I831" s="77" t="inlineStr">
        <is>
          <t>undated</t>
        </is>
      </c>
      <c r="J831" s="77" t="inlineStr">
        <is>
          <t>2026-10-12</t>
        </is>
      </c>
      <c r="K831" s="77" t="inlineStr">
        <is>
          <t>search-summary paraphrase</t>
        </is>
      </c>
      <c r="L831" s="77" t="inlineStr">
        <is>
          <t>Projects accept applications on a rolling basis and may close once desired numbers are reached.</t>
        </is>
      </c>
    </row>
    <row r="832">
      <c r="A832" s="77" t="inlineStr">
        <is>
          <t>UK02-S01-R6</t>
        </is>
      </c>
      <c r="B832" s="77" t="inlineStr">
        <is>
          <t>UK02</t>
        </is>
      </c>
      <c r="C832" s="77" t="inlineStr">
        <is>
          <t>UK02-S01</t>
        </is>
      </c>
      <c r="D832" s="77" t="inlineStr">
        <is>
          <t>Vertically Integrated Projects (VIP)</t>
        </is>
      </c>
      <c r="E832" s="77" t="inlineStr">
        <is>
          <t>employer; eligibility</t>
        </is>
      </c>
      <c r="F832" s="77" t="inlineStr">
        <is>
          <t>https://www.st-andrews.ac.uk/education/vip/projects/</t>
        </is>
      </c>
      <c r="G832" s="77" t="inlineStr">
        <is>
          <t>VIP projects list</t>
        </is>
      </c>
      <c r="H832" s="77" t="inlineStr">
        <is>
          <t>Projects</t>
        </is>
      </c>
      <c r="I832" s="77" t="inlineStr">
        <is>
          <t>undated</t>
        </is>
      </c>
      <c r="J832" s="77" t="inlineStr">
        <is>
          <t>2026-10-13</t>
        </is>
      </c>
      <c r="K832" s="77" t="inlineStr">
        <is>
          <t>page text (WebFetch summary)</t>
        </is>
      </c>
      <c r="L832" s="77" t="inlineStr">
        <is>
          <t>Lists 17 closed and 2 forthcoming projects; no external partner organisation named in any project description; no faculty eligibility stated.</t>
        </is>
      </c>
    </row>
    <row r="833">
      <c r="A833" s="77" t="inlineStr">
        <is>
          <t>UK02-S02-R1</t>
        </is>
      </c>
      <c r="B833" s="77" t="inlineStr">
        <is>
          <t>UK02</t>
        </is>
      </c>
      <c r="C833" s="77" t="inlineStr">
        <is>
          <t>UK02-S02</t>
        </is>
      </c>
      <c r="D833" s="77" t="inlineStr">
        <is>
          <t>Summer Team Enterprise Programme (STEP)</t>
        </is>
      </c>
      <c r="E833" s="77" t="inlineStr">
        <is>
          <t>project; group; employer; status; duration; credit</t>
        </is>
      </c>
      <c r="F833" s="77" t="inlineStr">
        <is>
          <t>https://www.st-andrews.ac.uk/education/handbook/step/</t>
        </is>
      </c>
      <c r="G833" s="77" t="inlineStr">
        <is>
          <t>Summer Team Enterprise Programme - Education - University of St Andrews</t>
        </is>
      </c>
      <c r="H833" s="77" t="inlineStr">
        <is>
          <t>Handbook page incl. 2026 timetable</t>
        </is>
      </c>
      <c r="I833" s="77" t="inlineStr">
        <is>
          <t>2026</t>
        </is>
      </c>
      <c r="J833" s="77" t="inlineStr">
        <is>
          <t>2026-10-12</t>
        </is>
      </c>
      <c r="K833" s="77" t="inlineStr">
        <is>
          <t>search-index extract (quoted)</t>
        </is>
      </c>
      <c r="L833" s="77" t="inlineStr">
        <is>
          <t>'fully-online skills development programme where students work on a real-life project designed and supported by University staff'; remote project team of six or seven undergraduates; 'typical minimum time commitment is 4-6 hours/week over the course of 7 weeks'; 2026 applications close 4 May, core work 25 May-13 July; listed on HEAR; outputs such as 'a research report, video, creating an educational resource which will be used at the University, a piece of creative work or a website'; 'not an internship and not paid'.</t>
        </is>
      </c>
    </row>
    <row r="834">
      <c r="A834" s="77" t="inlineStr">
        <is>
          <t>UK02-S02-R2</t>
        </is>
      </c>
      <c r="B834" s="77" t="inlineStr">
        <is>
          <t>UK02</t>
        </is>
      </c>
      <c r="C834" s="77" t="inlineStr">
        <is>
          <t>UK02-S02</t>
        </is>
      </c>
      <c r="D834" s="77" t="inlineStr">
        <is>
          <t>Summer Team Enterprise Programme (STEP)</t>
        </is>
      </c>
      <c r="E834" s="77" t="inlineStr">
        <is>
          <t>project; employer; reach</t>
        </is>
      </c>
      <c r="F834" s="77" t="inlineStr">
        <is>
          <t>https://www.st-andrews.ac.uk/careers/career-options/sectors/business/</t>
        </is>
      </c>
      <c r="G834" s="77" t="inlineStr">
        <is>
          <t>Business, consulting and management - Careers - University of St Andrews</t>
        </is>
      </c>
      <c r="H834" s="77" t="inlineStr">
        <is>
          <t>Gaining experience</t>
        </is>
      </c>
      <c r="I834" s="77" t="inlineStr">
        <is>
          <t>undated</t>
        </is>
      </c>
      <c r="J834" s="77" t="inlineStr">
        <is>
          <t>2026-10-12</t>
        </is>
      </c>
      <c r="K834" s="77" t="inlineStr">
        <is>
          <t>search-index extract (quoted)</t>
        </is>
      </c>
      <c r="L834" s="77" t="inlineStr">
        <is>
          <t>'Take part in the St Andrews Summer Team Enterprise programme (STEP). This allows St Andrews students to work on a real consulting project for various University academic Schools and professional service units. These projects last for six weeks over the summer vacation.'</t>
        </is>
      </c>
    </row>
    <row r="835">
      <c r="A835" s="77" t="inlineStr">
        <is>
          <t>UK02-S03-R1</t>
        </is>
      </c>
      <c r="B835" s="77" t="inlineStr">
        <is>
          <t>UK02</t>
        </is>
      </c>
      <c r="C835" s="77" t="inlineStr">
        <is>
          <t>UK02-S03</t>
        </is>
      </c>
      <c r="D835" s="77" t="inlineStr">
        <is>
          <t>CS3099 Software Engineering Team Project</t>
        </is>
      </c>
      <c r="E835" s="77" t="inlineStr">
        <is>
          <t>project; group; credit; eligibility</t>
        </is>
      </c>
      <c r="F835" s="77" t="inlineStr">
        <is>
          <t>https://www.st-andrews.ac.uk/subjects/modules/catalogue/?code=CS3099</t>
        </is>
      </c>
      <c r="G835" s="77" t="inlineStr">
        <is>
          <t>CS3099 Software Engineering Team Project</t>
        </is>
      </c>
      <c r="H835" s="77" t="inlineStr">
        <is>
          <t>Module catalogue</t>
        </is>
      </c>
      <c r="I835" s="77" t="inlineStr">
        <is>
          <t>undated</t>
        </is>
      </c>
      <c r="J835" s="77" t="inlineStr">
        <is>
          <t>2026-10-12</t>
        </is>
      </c>
      <c r="K835" s="77" t="inlineStr">
        <is>
          <t>search-index extract (quoted)</t>
        </is>
      </c>
      <c r="L835" s="77" t="inlineStr">
        <is>
          <t>30 SCOTCAT / 15 ECTS; coursework 100%, no reassessment; prerequisites CS2002 and (CS2101 or CS2001); teams 'specify, plan, design, implement, test and document a medium-sized software system, under the guidance of a member of staff'.</t>
        </is>
      </c>
    </row>
    <row r="836">
      <c r="A836" s="77" t="inlineStr">
        <is>
          <t>UK02-S03-R2</t>
        </is>
      </c>
      <c r="B836" s="77" t="inlineStr">
        <is>
          <t>UK02</t>
        </is>
      </c>
      <c r="C836" s="77" t="inlineStr">
        <is>
          <t>UK02-S03</t>
        </is>
      </c>
      <c r="D836" s="77" t="inlineStr">
        <is>
          <t>CS3099 Software Engineering Team Project</t>
        </is>
      </c>
      <c r="E836" s="77" t="inlineStr">
        <is>
          <t>group; employer</t>
        </is>
      </c>
      <c r="F836" s="77" t="inlineStr">
        <is>
          <t>https://blogs.cs.st-andrews.ac.uk/csblog/2025/04/25/keeping-doors-open-connection-collaboration-and-opportunities/</t>
        </is>
      </c>
      <c r="G836" s="77" t="inlineStr">
        <is>
          <t>Keeping Doors Open: Connection, Collaboration and Opportunities</t>
        </is>
      </c>
      <c r="H836" s="77" t="inlineStr">
        <is>
          <t>School of Computer Science blog</t>
        </is>
      </c>
      <c r="I836" s="77" t="inlineStr">
        <is>
          <t>2025</t>
        </is>
      </c>
      <c r="J836" s="77" t="inlineStr">
        <is>
          <t>2026-10-12</t>
        </is>
      </c>
      <c r="K836" s="77" t="inlineStr">
        <is>
          <t>search-index extract (quoted)</t>
        </is>
      </c>
      <c r="L836" s="77" t="inlineStr">
        <is>
          <t>Previous Doors Open events 'have led to projects including the involvement of Experian and Skyscanner in the third-year module CS3099: Software Engineering Team Project', where third-year undergraduates work in groups to create a software product; accessibility 'has been built into the module in collaboration with Skyscanner'.</t>
        </is>
      </c>
    </row>
    <row r="837">
      <c r="A837" s="77" t="inlineStr">
        <is>
          <t>UK02-S03-R3</t>
        </is>
      </c>
      <c r="B837" s="77" t="inlineStr">
        <is>
          <t>UK02</t>
        </is>
      </c>
      <c r="C837" s="77" t="inlineStr">
        <is>
          <t>UK02-S03</t>
        </is>
      </c>
      <c r="D837" s="77" t="inlineStr">
        <is>
          <t>CS3099 Software Engineering Team Project</t>
        </is>
      </c>
      <c r="E837" s="77" t="inlineStr">
        <is>
          <t>status</t>
        </is>
      </c>
      <c r="F837" s="77" t="inlineStr">
        <is>
          <t>https://info.cs.st-andrews.ac.uk/student-handbook/modules/</t>
        </is>
      </c>
      <c r="G837" s="77" t="inlineStr">
        <is>
          <t>Modules in the School of Computer Science for 2026-27</t>
        </is>
      </c>
      <c r="H837" s="77" t="inlineStr">
        <is>
          <t>Student handbook module list</t>
        </is>
      </c>
      <c r="I837" s="77" t="inlineStr">
        <is>
          <t>2026/27</t>
        </is>
      </c>
      <c r="J837" s="77" t="inlineStr">
        <is>
          <t>2026-10-12</t>
        </is>
      </c>
      <c r="K837" s="77" t="inlineStr">
        <is>
          <t>search-summary paraphrase</t>
        </is>
      </c>
      <c r="L837" s="77" t="inlineStr">
        <is>
          <t>CS3099 listed among School of Computer Science modules for 2026-27.</t>
        </is>
      </c>
    </row>
    <row r="838">
      <c r="A838" s="77" t="inlineStr">
        <is>
          <t>UK02-S04-R1</t>
        </is>
      </c>
      <c r="B838" s="77" t="inlineStr">
        <is>
          <t>UK02</t>
        </is>
      </c>
      <c r="C838" s="77" t="inlineStr">
        <is>
          <t>UK02-S04</t>
        </is>
      </c>
      <c r="D838" s="77" t="inlineStr">
        <is>
          <t>Management MSc - consultancy projects with local organisations</t>
        </is>
      </c>
      <c r="E838" s="77" t="inlineStr">
        <is>
          <t>project; employer</t>
        </is>
      </c>
      <c r="F838" s="77" t="inlineStr">
        <is>
          <t>https://www.st-andrews.ac.uk/subjects/management/management-msc/</t>
        </is>
      </c>
      <c r="G838" s="77" t="inlineStr">
        <is>
          <t>Management MSc - Subjects - University of St Andrews</t>
        </is>
      </c>
      <c r="H838" s="77" t="inlineStr">
        <is>
          <t>Course overview (2027 entry)</t>
        </is>
      </c>
      <c r="I838" s="77" t="inlineStr">
        <is>
          <t>2027 entry</t>
        </is>
      </c>
      <c r="J838" s="77" t="inlineStr">
        <is>
          <t>2026-10-12</t>
        </is>
      </c>
      <c r="K838" s="77" t="inlineStr">
        <is>
          <t>page text (WebFetch summary)</t>
        </is>
      </c>
      <c r="L838" s="77" t="inlineStr">
        <is>
          <t>Includes practical elements where students apply theory to real organisations, and 'the opportunity to work on consultancy projects with local organisations'.</t>
        </is>
      </c>
    </row>
    <row r="839">
      <c r="A839" s="77" t="inlineStr">
        <is>
          <t>UK02-S04-R2</t>
        </is>
      </c>
      <c r="B839" s="77" t="inlineStr">
        <is>
          <t>UK02</t>
        </is>
      </c>
      <c r="C839" s="77" t="inlineStr">
        <is>
          <t>UK02-S04</t>
        </is>
      </c>
      <c r="D839" s="77" t="inlineStr">
        <is>
          <t>Management MSc - consultancy projects with local organisations</t>
        </is>
      </c>
      <c r="E839" s="77" t="inlineStr">
        <is>
          <t>project</t>
        </is>
      </c>
      <c r="F839" s="77" t="inlineStr">
        <is>
          <t>https://archive.st-andrews.ac.uk/courses/2025-2026/pg/management-mlitt/</t>
        </is>
      </c>
      <c r="G839" s="77" t="inlineStr">
        <is>
          <t>Management MLitt - Courses archive - University of St Andrews</t>
        </is>
      </c>
      <c r="H839" s="77" t="inlineStr">
        <is>
          <t>Course overview</t>
        </is>
      </c>
      <c r="I839" s="77" t="inlineStr">
        <is>
          <t>2025/26</t>
        </is>
      </c>
      <c r="J839" s="77" t="inlineStr">
        <is>
          <t>2026-10-12</t>
        </is>
      </c>
      <c r="K839" s="77" t="inlineStr">
        <is>
          <t>search-index extract (quoted)</t>
        </is>
      </c>
      <c r="L839" s="77" t="inlineStr">
        <is>
          <t>Lists 'opportunities to take part in consultancy projects, and team activities'.</t>
        </is>
      </c>
    </row>
    <row r="840">
      <c r="A840" s="77" t="inlineStr">
        <is>
          <t>UK02-S05-R1</t>
        </is>
      </c>
      <c r="B840" s="77" t="inlineStr">
        <is>
          <t>UK02</t>
        </is>
      </c>
      <c r="C840" s="77" t="inlineStr">
        <is>
          <t>UK02-S05</t>
        </is>
      </c>
      <c r="D840" s="77" t="inlineStr">
        <is>
          <t>St Andrews Playfair Consultancy Group</t>
        </is>
      </c>
      <c r="E840" s="77" t="inlineStr">
        <is>
          <t>project; group; employer; duration</t>
        </is>
      </c>
      <c r="F840" s="77" t="inlineStr">
        <is>
          <t>https://www.gradcracker.com/student-societies/4370/st-andrews-playfair-consultancy-group</t>
        </is>
      </c>
      <c r="G840" s="77" t="inlineStr">
        <is>
          <t>St Andrews Playfair Consultancy Group</t>
        </is>
      </c>
      <c r="H840" s="77" t="inlineStr">
        <is>
          <t>Society profile</t>
        </is>
      </c>
      <c r="I840" s="77" t="inlineStr">
        <is>
          <t>undated</t>
        </is>
      </c>
      <c r="J840" s="77" t="inlineStr">
        <is>
          <t>2026-10-13</t>
        </is>
      </c>
      <c r="K840" s="77" t="inlineStr">
        <is>
          <t>search-summary paraphrase</t>
        </is>
      </c>
      <c r="L840" s="77" t="inlineStr">
        <is>
          <t>Student-run consulting firm providing pro-bono services to local, national and international organisations; teams of approximately 5 to 6 consultants; two project cycles a year of about 10 weeks; recent clients include Kidscape and Streetbox.</t>
        </is>
      </c>
    </row>
    <row r="841">
      <c r="A841" s="77" t="inlineStr">
        <is>
          <t>UK02-S05-R2</t>
        </is>
      </c>
      <c r="B841" s="77" t="inlineStr">
        <is>
          <t>UK02</t>
        </is>
      </c>
      <c r="C841" s="77" t="inlineStr">
        <is>
          <t>UK02-S05</t>
        </is>
      </c>
      <c r="D841" s="77" t="inlineStr">
        <is>
          <t>St Andrews Playfair Consultancy Group</t>
        </is>
      </c>
      <c r="E841" s="77" t="inlineStr">
        <is>
          <t>status</t>
        </is>
      </c>
      <c r="F841" s="77" t="inlineStr">
        <is>
          <t>https://www.st-andrews.ac.uk/graduation/archive/2023/principals-medal-isabelle-molinari/</t>
        </is>
      </c>
      <c r="G841" s="77" t="inlineStr">
        <is>
          <t>Principal's Medal Isabelle Molinari</t>
        </is>
      </c>
      <c r="H841" s="77" t="inlineStr">
        <is>
          <t>Citation</t>
        </is>
      </c>
      <c r="I841" s="77" t="inlineStr">
        <is>
          <t>2023</t>
        </is>
      </c>
      <c r="J841" s="77" t="inlineStr">
        <is>
          <t>2026-10-13</t>
        </is>
      </c>
      <c r="K841" s="77" t="inlineStr">
        <is>
          <t>search-summary paraphrase</t>
        </is>
      </c>
      <c r="L841" s="77" t="inlineStr">
        <is>
          <t>Society rebuilt after the pandemic and completed ten projects over the year.</t>
        </is>
      </c>
    </row>
    <row r="842">
      <c r="A842" s="77" t="inlineStr">
        <is>
          <t>UK03-S01-R1</t>
        </is>
      </c>
      <c r="B842" s="77" t="inlineStr">
        <is>
          <t>UK03</t>
        </is>
      </c>
      <c r="C842" s="77" t="inlineStr">
        <is>
          <t>UK03-S01</t>
        </is>
      </c>
      <c r="D842" s="77" t="inlineStr">
        <is>
          <t>LUMS Company Projects / Consultancy Projects (Management School consultancy project modules)</t>
        </is>
      </c>
      <c r="E842" s="77" t="inlineStr">
        <is>
          <t>project; group; employer; eligibility; participation</t>
        </is>
      </c>
      <c r="F842" s="77" t="inlineStr">
        <is>
          <t>https://www.lancaster.ac.uk/lums/careers/students/consultancy-projects/</t>
        </is>
      </c>
      <c r="G842" s="77" t="inlineStr">
        <is>
          <t>Consultancy projects</t>
        </is>
      </c>
      <c r="H842" s="77" t="inlineStr">
        <is>
          <t>student page</t>
        </is>
      </c>
      <c r="I842" s="77" t="inlineStr">
        <is>
          <t>undated</t>
        </is>
      </c>
      <c r="J842" s="77" t="inlineStr">
        <is>
          <t>2026-10-12</t>
        </is>
      </c>
      <c r="K842" s="77" t="inlineStr">
        <is>
          <t>search-summary paraphrase</t>
        </is>
      </c>
      <c r="L842" s="77" t="inlineStr">
        <is>
          <t>Students work in small teams with partner companies on a real-world challenge; teams negotiate the scope of the brief with the client, collect/analyse data and make recommendations; compulsory in some degrees, optional in others.</t>
        </is>
      </c>
    </row>
    <row r="843">
      <c r="A843" s="77" t="inlineStr">
        <is>
          <t>UK03-S01-R2</t>
        </is>
      </c>
      <c r="B843" s="77" t="inlineStr">
        <is>
          <t>UK03</t>
        </is>
      </c>
      <c r="C843" s="77" t="inlineStr">
        <is>
          <t>UK03-S01</t>
        </is>
      </c>
      <c r="D843" s="77" t="inlineStr">
        <is>
          <t>LUMS Company Projects / Consultancy Projects (Management School consultancy project modules)</t>
        </is>
      </c>
      <c r="E843" s="77" t="inlineStr">
        <is>
          <t>employer; project</t>
        </is>
      </c>
      <c r="F843" s="77" t="inlineStr">
        <is>
          <t>https://www.lancaster.ac.uk/lums/careers/employers/company-projects/</t>
        </is>
      </c>
      <c r="G843" s="77" t="inlineStr">
        <is>
          <t>Company projects</t>
        </is>
      </c>
      <c r="H843" s="77" t="inlineStr">
        <is>
          <t>employer page</t>
        </is>
      </c>
      <c r="I843" s="77" t="inlineStr">
        <is>
          <t>undated</t>
        </is>
      </c>
      <c r="J843" s="77" t="inlineStr">
        <is>
          <t>2026-10-12</t>
        </is>
      </c>
      <c r="K843" s="77" t="inlineStr">
        <is>
          <t>search-summary paraphrase</t>
        </is>
      </c>
      <c r="L843" s="77" t="inlineStr">
        <is>
          <t>Company Projects team sources and scopes real-world projects for undergraduate and postgraduate consultancy project modules; hosts must be registered on Companies House for 1+ year and commit roughly 5-10 hours.</t>
        </is>
      </c>
    </row>
    <row r="844">
      <c r="A844" s="77" t="inlineStr">
        <is>
          <t>UK03-S01-R3</t>
        </is>
      </c>
      <c r="B844" s="77" t="inlineStr">
        <is>
          <t>UK03</t>
        </is>
      </c>
      <c r="C844" s="77" t="inlineStr">
        <is>
          <t>UK03-S01</t>
        </is>
      </c>
      <c r="D844" s="77" t="inlineStr">
        <is>
          <t>LUMS Company Projects / Consultancy Projects (Management School consultancy project modules)</t>
        </is>
      </c>
      <c r="E844" s="77" t="inlineStr">
        <is>
          <t>employer; status</t>
        </is>
      </c>
      <c r="F844" s="77" t="inlineStr">
        <is>
          <t>https://www.lancaster.ac.uk/lums/news/management-school-careers-service-recognised-for-excellence-in-work-related-learning</t>
        </is>
      </c>
      <c r="G844" s="77" t="inlineStr">
        <is>
          <t>Management School Careers Service recognised for excellence in work-related learning</t>
        </is>
      </c>
      <c r="H844" s="77" t="inlineStr">
        <is>
          <t>news</t>
        </is>
      </c>
      <c r="I844" s="77" t="inlineStr">
        <is>
          <t>c.2025</t>
        </is>
      </c>
      <c r="J844" s="77" t="inlineStr">
        <is>
          <t>2026-10-12</t>
        </is>
      </c>
      <c r="K844" s="77" t="inlineStr">
        <is>
          <t>search-summary paraphrase</t>
        </is>
      </c>
      <c r="L844" s="77" t="inlineStr">
        <is>
          <t>Careers Projects Team delivered &gt;150 bespoke projects; since 2023, 668 students and &gt;160 employer partners have taken part.</t>
        </is>
      </c>
    </row>
    <row r="845">
      <c r="A845" s="77" t="inlineStr">
        <is>
          <t>UK03-S02-R1</t>
        </is>
      </c>
      <c r="B845" s="77" t="inlineStr">
        <is>
          <t>UK03</t>
        </is>
      </c>
      <c r="C845" s="77" t="inlineStr">
        <is>
          <t>UK03-S02</t>
        </is>
      </c>
      <c r="D845" s="77" t="inlineStr">
        <is>
          <t>Research Consultancy Project (BSc Marketing and related Marketing degrees)</t>
        </is>
      </c>
      <c r="E845" s="77" t="inlineStr">
        <is>
          <t>project; group; employer; status</t>
        </is>
      </c>
      <c r="F845" s="77" t="inlineStr">
        <is>
          <t>https://www.lancaster.ac.uk/study/undergraduate/courses/marketing-bsc-hons-n500/2026/</t>
        </is>
      </c>
      <c r="G845" s="77" t="inlineStr">
        <is>
          <t>Marketing BSc Hons (N500)</t>
        </is>
      </c>
      <c r="H845" s="77" t="inlineStr">
        <is>
          <t>Core modules</t>
        </is>
      </c>
      <c r="I845" s="77" t="inlineStr">
        <is>
          <t>2026 entry</t>
        </is>
      </c>
      <c r="J845" s="77" t="inlineStr">
        <is>
          <t>2026-10-12</t>
        </is>
      </c>
      <c r="K845" s="77" t="inlineStr">
        <is>
          <t>search-summary paraphrase</t>
        </is>
      </c>
      <c r="L845" s="77" t="inlineStr">
        <is>
          <t>Core module Research Consultancy Project: consultancy-style research project, small team, live client project.</t>
        </is>
      </c>
    </row>
    <row r="846">
      <c r="A846" s="77" t="inlineStr">
        <is>
          <t>UK03-S02-R2</t>
        </is>
      </c>
      <c r="B846" s="77" t="inlineStr">
        <is>
          <t>UK03</t>
        </is>
      </c>
      <c r="C846" s="77" t="inlineStr">
        <is>
          <t>UK03-S02</t>
        </is>
      </c>
      <c r="D846" s="77" t="inlineStr">
        <is>
          <t>Research Consultancy Project (BSc Marketing and related Marketing degrees)</t>
        </is>
      </c>
      <c r="E846" s="77" t="inlineStr">
        <is>
          <t>employer; project</t>
        </is>
      </c>
      <c r="F846" s="77" t="inlineStr">
        <is>
          <t>https://www.lancaster.ac.uk/lums/careers/students/consultancy-projects/</t>
        </is>
      </c>
      <c r="G846" s="77" t="inlineStr">
        <is>
          <t>Consultancy projects</t>
        </is>
      </c>
      <c r="H846" s="77" t="inlineStr">
        <is>
          <t>student page</t>
        </is>
      </c>
      <c r="I846" s="77" t="inlineStr">
        <is>
          <t>undated</t>
        </is>
      </c>
      <c r="J846" s="77" t="inlineStr">
        <is>
          <t>2026-10-12</t>
        </is>
      </c>
      <c r="K846" s="77" t="inlineStr">
        <is>
          <t>search-summary paraphrase</t>
        </is>
      </c>
      <c r="L846" s="77" t="inlineStr">
        <is>
          <t>Groups negotiate scope of the brief with client; marketing research/analytics themes.</t>
        </is>
      </c>
    </row>
    <row r="847">
      <c r="A847" s="77" t="inlineStr">
        <is>
          <t>UK03-S02-R3</t>
        </is>
      </c>
      <c r="B847" s="77" t="inlineStr">
        <is>
          <t>UK03</t>
        </is>
      </c>
      <c r="C847" s="77" t="inlineStr">
        <is>
          <t>UK03-S02</t>
        </is>
      </c>
      <c r="D847" s="77" t="inlineStr">
        <is>
          <t>Research Consultancy Project (BSc Marketing and related Marketing degrees)</t>
        </is>
      </c>
      <c r="E847" s="77" t="inlineStr">
        <is>
          <t>employer</t>
        </is>
      </c>
      <c r="F847" s="77" t="inlineStr">
        <is>
          <t>https://www.lancaster.ac.uk/study/undergraduate/courses/marketing-with-psychology-industry-bsc-hons-n5c9/2027/</t>
        </is>
      </c>
      <c r="G847" s="77" t="inlineStr">
        <is>
          <t>Marketing with Psychology (Industry) BSc Hons (N5C9)</t>
        </is>
      </c>
      <c r="H847" s="77" t="inlineStr">
        <is>
          <t>course page</t>
        </is>
      </c>
      <c r="I847" s="77" t="inlineStr">
        <is>
          <t>2027 entry</t>
        </is>
      </c>
      <c r="J847" s="77" t="inlineStr">
        <is>
          <t>2026-10-12</t>
        </is>
      </c>
      <c r="K847" s="77" t="inlineStr">
        <is>
          <t>search-summary paraphrase</t>
        </is>
      </c>
      <c r="L847" s="77" t="inlineStr">
        <is>
          <t>Past clients include MOBO Awards, Saatchi &amp; Saatchi, Tesco, Lake District Tourism, SMEs and charities.</t>
        </is>
      </c>
    </row>
    <row r="848">
      <c r="A848" s="77" t="inlineStr">
        <is>
          <t>UK03-S03-R1</t>
        </is>
      </c>
      <c r="B848" s="77" t="inlineStr">
        <is>
          <t>UK03</t>
        </is>
      </c>
      <c r="C848" s="77" t="inlineStr">
        <is>
          <t>UK03-S03</t>
        </is>
      </c>
      <c r="D848" s="77" t="inlineStr">
        <is>
          <t>Design Consultancy (BA Design; Marketing and Design BSc)</t>
        </is>
      </c>
      <c r="E848" s="77" t="inlineStr">
        <is>
          <t>project; group; employer; status</t>
        </is>
      </c>
      <c r="F848" s="77" t="inlineStr">
        <is>
          <t>https://www.lancaster.ac.uk/study/undergraduate/courses/design-ba-hons-w281/2026/</t>
        </is>
      </c>
      <c r="G848" s="77" t="inlineStr">
        <is>
          <t>Design BA Hons (W281)</t>
        </is>
      </c>
      <c r="H848" s="77" t="inlineStr">
        <is>
          <t>Core modules</t>
        </is>
      </c>
      <c r="I848" s="77" t="inlineStr">
        <is>
          <t>2026 entry</t>
        </is>
      </c>
      <c r="J848" s="77" t="inlineStr">
        <is>
          <t>2026-10-12</t>
        </is>
      </c>
      <c r="K848" s="77" t="inlineStr">
        <is>
          <t>search-summary paraphrase</t>
        </is>
      </c>
      <c r="L848" s="77" t="inlineStr">
        <is>
          <t>Design Consultancy: live project with a real client; in a team tackle real business challenges; briefs shaped collaboratively with client.</t>
        </is>
      </c>
    </row>
    <row r="849">
      <c r="A849" s="77" t="inlineStr">
        <is>
          <t>UK03-S03-R2</t>
        </is>
      </c>
      <c r="B849" s="77" t="inlineStr">
        <is>
          <t>UK03</t>
        </is>
      </c>
      <c r="C849" s="77" t="inlineStr">
        <is>
          <t>UK03-S03</t>
        </is>
      </c>
      <c r="D849" s="77" t="inlineStr">
        <is>
          <t>Design Consultancy (BA Design; Marketing and Design BSc)</t>
        </is>
      </c>
      <c r="E849" s="77" t="inlineStr">
        <is>
          <t>duration; employer</t>
        </is>
      </c>
      <c r="F849" s="77" t="inlineStr">
        <is>
          <t>https://www.lancaster.ac.uk/study/undergraduate/courses/design-study-abroad-ba-hons-w283/2026/</t>
        </is>
      </c>
      <c r="G849" s="77" t="inlineStr">
        <is>
          <t>Design (Study Abroad) BA Hons (W283)</t>
        </is>
      </c>
      <c r="H849" s="77" t="inlineStr">
        <is>
          <t>course page</t>
        </is>
      </c>
      <c r="I849" s="77" t="inlineStr">
        <is>
          <t>2026 entry</t>
        </is>
      </c>
      <c r="J849" s="77" t="inlineStr">
        <is>
          <t>2026-10-12</t>
        </is>
      </c>
      <c r="K849" s="77" t="inlineStr">
        <is>
          <t>search-summary paraphrase</t>
        </is>
      </c>
      <c r="L849" s="77" t="inlineStr">
        <is>
          <t>In your final year, our Design Consultancy module enables you to work with a real client for the entire year.</t>
        </is>
      </c>
    </row>
    <row r="850">
      <c r="A850" s="77" t="inlineStr">
        <is>
          <t>UK03-S03-R3</t>
        </is>
      </c>
      <c r="B850" s="77" t="inlineStr">
        <is>
          <t>UK03</t>
        </is>
      </c>
      <c r="C850" s="77" t="inlineStr">
        <is>
          <t>UK03-S03</t>
        </is>
      </c>
      <c r="D850" s="77" t="inlineStr">
        <is>
          <t>Design Consultancy (BA Design; Marketing and Design BSc)</t>
        </is>
      </c>
      <c r="E850" s="77" t="inlineStr">
        <is>
          <t>project; group</t>
        </is>
      </c>
      <c r="F850" s="77" t="inlineStr">
        <is>
          <t>https://www.lancaster.ac.uk/study/undergraduate/courses/marketing-and-design-bsc-hons-nw52/2027/</t>
        </is>
      </c>
      <c r="G850" s="77" t="inlineStr">
        <is>
          <t>Marketing and Design BSc Hons (NW52)</t>
        </is>
      </c>
      <c r="H850" s="77" t="inlineStr">
        <is>
          <t>course page</t>
        </is>
      </c>
      <c r="I850" s="77" t="inlineStr">
        <is>
          <t>2027 entry</t>
        </is>
      </c>
      <c r="J850" s="77" t="inlineStr">
        <is>
          <t>2026-10-12</t>
        </is>
      </c>
      <c r="K850" s="77" t="inlineStr">
        <is>
          <t>search-summary paraphrase</t>
        </is>
      </c>
      <c r="L850" s="77" t="inlineStr">
        <is>
          <t>Final-year consultancy module in a design team conducting research using design methods.</t>
        </is>
      </c>
    </row>
    <row r="851">
      <c r="A851" s="77" t="inlineStr">
        <is>
          <t>UK03-S04-R1</t>
        </is>
      </c>
      <c r="B851" s="77" t="inlineStr">
        <is>
          <t>UK03</t>
        </is>
      </c>
      <c r="C851" s="77" t="inlineStr">
        <is>
          <t>UK03-S04</t>
        </is>
      </c>
      <c r="D851" s="77" t="inlineStr">
        <is>
          <t>MBA Consultancy Challenge and Corporate Challenge (Lancaster MBA)</t>
        </is>
      </c>
      <c r="E851" s="77" t="inlineStr">
        <is>
          <t>project; group; employer</t>
        </is>
      </c>
      <c r="F851" s="77" t="inlineStr">
        <is>
          <t>https://www.lancaster.ac.uk/lums/news/mba-consultancy-challenge</t>
        </is>
      </c>
      <c r="G851" s="77" t="inlineStr">
        <is>
          <t>MBA Consultancy Challenge</t>
        </is>
      </c>
      <c r="H851" s="77" t="inlineStr">
        <is>
          <t>news/programme</t>
        </is>
      </c>
      <c r="I851" s="77" t="inlineStr">
        <is>
          <t>undated</t>
        </is>
      </c>
      <c r="J851" s="77" t="inlineStr">
        <is>
          <t>2026-10-12</t>
        </is>
      </c>
      <c r="K851" s="77" t="inlineStr">
        <is>
          <t>search-summary paraphrase</t>
        </is>
      </c>
      <c r="L851" s="77" t="inlineStr">
        <is>
          <t>Third action-learning challenge; teams of consultants analyse a problem for a client organisation and develop implementable recommendations.</t>
        </is>
      </c>
    </row>
    <row r="852">
      <c r="A852" s="77" t="inlineStr">
        <is>
          <t>UK03-S04-R2</t>
        </is>
      </c>
      <c r="B852" s="77" t="inlineStr">
        <is>
          <t>UK03</t>
        </is>
      </c>
      <c r="C852" s="77" t="inlineStr">
        <is>
          <t>UK03-S04</t>
        </is>
      </c>
      <c r="D852" s="77" t="inlineStr">
        <is>
          <t>MBA Consultancy Challenge and Corporate Challenge (Lancaster MBA)</t>
        </is>
      </c>
      <c r="E852" s="77" t="inlineStr">
        <is>
          <t>employer</t>
        </is>
      </c>
      <c r="F852" s="77" t="inlineStr">
        <is>
          <t>https://www.lancaster.ac.uk/lums/business/</t>
        </is>
      </c>
      <c r="G852" s="77" t="inlineStr">
        <is>
          <t>LUMS for business</t>
        </is>
      </c>
      <c r="H852" s="77" t="inlineStr">
        <is>
          <t>testimonial</t>
        </is>
      </c>
      <c r="I852" s="77" t="inlineStr">
        <is>
          <t>undated</t>
        </is>
      </c>
      <c r="J852" s="77" t="inlineStr">
        <is>
          <t>2026-10-12</t>
        </is>
      </c>
      <c r="K852" s="77" t="inlineStr">
        <is>
          <t>search-summary paraphrase</t>
        </is>
      </c>
      <c r="L852" s="77" t="inlineStr">
        <is>
          <t>RSPCA testimonial praising an MBA student team as professional and well structured.</t>
        </is>
      </c>
    </row>
    <row r="853">
      <c r="A853" s="77" t="inlineStr">
        <is>
          <t>UK03-S05-R1</t>
        </is>
      </c>
      <c r="B853" s="77" t="inlineStr">
        <is>
          <t>UK03</t>
        </is>
      </c>
      <c r="C853" s="77" t="inlineStr">
        <is>
          <t>UK03-S05</t>
        </is>
      </c>
      <c r="D853" s="77" t="inlineStr">
        <is>
          <t>Company-based group project (MSc Advanced Management, Consulting and Change)</t>
        </is>
      </c>
      <c r="E853" s="77" t="inlineStr">
        <is>
          <t>project; group; employer; status; eligibility</t>
        </is>
      </c>
      <c r="F853" s="77" t="inlineStr">
        <is>
          <t>https://www.lancaster.ac.uk/study/postgraduate/postgraduate-courses/advanced-management-consulting-and-change-msc/2026/</t>
        </is>
      </c>
      <c r="G853" s="77" t="inlineStr">
        <is>
          <t>Advanced Management, Consulting and Change MSc</t>
        </is>
      </c>
      <c r="H853" s="77" t="inlineStr">
        <is>
          <t>Dissertation options</t>
        </is>
      </c>
      <c r="I853" s="77" t="inlineStr">
        <is>
          <t>2026 entry</t>
        </is>
      </c>
      <c r="J853" s="77" t="inlineStr">
        <is>
          <t>2026-10-12</t>
        </is>
      </c>
      <c r="K853" s="77" t="inlineStr">
        <is>
          <t>search-summary paraphrase</t>
        </is>
      </c>
      <c r="L853" s="77" t="inlineStr">
        <is>
          <t>Two options: company-based project, working in groups and in collaboration with an industry partner; or individual literature-review dissertation.</t>
        </is>
      </c>
    </row>
    <row r="854">
      <c r="A854" s="77" t="inlineStr">
        <is>
          <t>UK03-S06-R1</t>
        </is>
      </c>
      <c r="B854" s="77" t="inlineStr">
        <is>
          <t>UK03</t>
        </is>
      </c>
      <c r="C854" s="77" t="inlineStr">
        <is>
          <t>UK03-S06</t>
        </is>
      </c>
      <c r="D854" s="77" t="inlineStr">
        <is>
          <t>Organisational Diagnosis and Consulting live project (MA Human Resources and Consulting)</t>
        </is>
      </c>
      <c r="E854" s="77" t="inlineStr">
        <is>
          <t>project; group; employer; status</t>
        </is>
      </c>
      <c r="F854" s="77" t="inlineStr">
        <is>
          <t>https://www.lancaster.ac.uk/study/postgraduate/postgraduate-courses/human-resources-and-consulting-ma/2025/</t>
        </is>
      </c>
      <c r="G854" s="77" t="inlineStr">
        <is>
          <t>Human Resources and Consulting MA</t>
        </is>
      </c>
      <c r="H854" s="77" t="inlineStr">
        <is>
          <t>Project</t>
        </is>
      </c>
      <c r="I854" s="77" t="inlineStr">
        <is>
          <t>2025 entry</t>
        </is>
      </c>
      <c r="J854" s="77" t="inlineStr">
        <is>
          <t>2026-10-12</t>
        </is>
      </c>
      <c r="K854" s="77" t="inlineStr">
        <is>
          <t>search-summary paraphrase</t>
        </is>
      </c>
      <c r="L854" s="77" t="inlineStr">
        <is>
          <t>Eight-week Term 2 project, teams of six-eight, live consultancy brief for a client; client relationship managed by the student group.</t>
        </is>
      </c>
    </row>
    <row r="855">
      <c r="A855" s="77" t="inlineStr">
        <is>
          <t>UK03-S06-R2</t>
        </is>
      </c>
      <c r="B855" s="77" t="inlineStr">
        <is>
          <t>UK03</t>
        </is>
      </c>
      <c r="C855" s="77" t="inlineStr">
        <is>
          <t>UK03-S06</t>
        </is>
      </c>
      <c r="D855" s="77" t="inlineStr">
        <is>
          <t>Organisational Diagnosis and Consulting live project (MA Human Resources and Consulting)</t>
        </is>
      </c>
      <c r="E855" s="77" t="inlineStr">
        <is>
          <t>employer</t>
        </is>
      </c>
      <c r="F855" s="77" t="inlineStr">
        <is>
          <t>https://www.lancaster.ac.uk/lums/our-departments/organisation-work-and-technology/masters/ma-human-resources-and-consulting/</t>
        </is>
      </c>
      <c r="G855" s="77" t="inlineStr">
        <is>
          <t>MA Human Resources and Consulting</t>
        </is>
      </c>
      <c r="H855" s="77" t="inlineStr">
        <is>
          <t>department page</t>
        </is>
      </c>
      <c r="I855" s="77" t="inlineStr">
        <is>
          <t>undated</t>
        </is>
      </c>
      <c r="J855" s="77" t="inlineStr">
        <is>
          <t>2026-10-12</t>
        </is>
      </c>
      <c r="K855" s="77" t="inlineStr">
        <is>
          <t>search-summary paraphrase</t>
        </is>
      </c>
      <c r="L855" s="77" t="inlineStr">
        <is>
          <t>Clients typically from private and public sectors, large and small.</t>
        </is>
      </c>
    </row>
    <row r="856">
      <c r="A856" s="77" t="inlineStr">
        <is>
          <t>UK03-S07-R1</t>
        </is>
      </c>
      <c r="B856" s="77" t="inlineStr">
        <is>
          <t>UK03</t>
        </is>
      </c>
      <c r="C856" s="77" t="inlineStr">
        <is>
          <t>UK03-S07</t>
        </is>
      </c>
      <c r="D856" s="77" t="inlineStr">
        <is>
          <t>Company-based project (MSc Management)</t>
        </is>
      </c>
      <c r="E856" s="77" t="inlineStr">
        <is>
          <t>project; group; employer</t>
        </is>
      </c>
      <c r="F856" s="77" t="inlineStr">
        <is>
          <t>https://www.lancaster.ac.uk/lums/postgraduate/msc-management/</t>
        </is>
      </c>
      <c r="G856" s="77" t="inlineStr">
        <is>
          <t>MSc Management (MiM)</t>
        </is>
      </c>
      <c r="H856" s="77" t="inlineStr">
        <is>
          <t>company project</t>
        </is>
      </c>
      <c r="I856" s="77" t="inlineStr">
        <is>
          <t>undated</t>
        </is>
      </c>
      <c r="J856" s="77" t="inlineStr">
        <is>
          <t>2026-10-12</t>
        </is>
      </c>
      <c r="K856" s="77" t="inlineStr">
        <is>
          <t>search-summary paraphrase</t>
        </is>
      </c>
      <c r="L856" s="77" t="inlineStr">
        <is>
          <t>Company project is a team of four students solving a live business issue for a local firm with an assessed company report; alternative is independent research project.</t>
        </is>
      </c>
    </row>
    <row r="857">
      <c r="A857" s="77" t="inlineStr">
        <is>
          <t>UK03-S07-R2</t>
        </is>
      </c>
      <c r="B857" s="77" t="inlineStr">
        <is>
          <t>UK03</t>
        </is>
      </c>
      <c r="C857" s="77" t="inlineStr">
        <is>
          <t>UK03-S07</t>
        </is>
      </c>
      <c r="D857" s="77" t="inlineStr">
        <is>
          <t>Company-based project (MSc Management)</t>
        </is>
      </c>
      <c r="E857" s="77" t="inlineStr">
        <is>
          <t>group; employer</t>
        </is>
      </c>
      <c r="F857" s="77" t="inlineStr">
        <is>
          <t>https://www.lancaster.ac.uk/lums/blogs/my-experience-of-msc-managements-company-based-project</t>
        </is>
      </c>
      <c r="G857" s="77" t="inlineStr">
        <is>
          <t>My experience of MSc Management's company-based project</t>
        </is>
      </c>
      <c r="H857" s="77" t="inlineStr">
        <is>
          <t>blog</t>
        </is>
      </c>
      <c r="I857" s="77" t="inlineStr">
        <is>
          <t>undated</t>
        </is>
      </c>
      <c r="J857" s="77" t="inlineStr">
        <is>
          <t>2026-10-12</t>
        </is>
      </c>
      <c r="K857" s="77" t="inlineStr">
        <is>
          <t>search-summary paraphrase</t>
        </is>
      </c>
      <c r="L857" s="77" t="inlineStr">
        <is>
          <t>Students choose teammates, are interviewed, submit company preferences; clients assigned by department.</t>
        </is>
      </c>
    </row>
    <row r="858">
      <c r="A858" s="77" t="inlineStr">
        <is>
          <t>UK03-S08-R1</t>
        </is>
      </c>
      <c r="B858" s="77" t="inlineStr">
        <is>
          <t>UK03</t>
        </is>
      </c>
      <c r="C858" s="77" t="inlineStr">
        <is>
          <t>UK03-S08</t>
        </is>
      </c>
      <c r="D858" s="77" t="inlineStr">
        <is>
          <t>Action project / consultancy project (MSc Project Management)</t>
        </is>
      </c>
      <c r="E858" s="77" t="inlineStr">
        <is>
          <t>project; group; employer; status</t>
        </is>
      </c>
      <c r="F858" s="77" t="inlineStr">
        <is>
          <t>https://www.lancaster.ac.uk/study/postgraduate/postgraduate-courses/project-management-msc/2026/</t>
        </is>
      </c>
      <c r="G858" s="77" t="inlineStr">
        <is>
          <t>Project Management MSc</t>
        </is>
      </c>
      <c r="H858" s="77" t="inlineStr">
        <is>
          <t>dissertation options</t>
        </is>
      </c>
      <c r="I858" s="77" t="inlineStr">
        <is>
          <t>2026 entry</t>
        </is>
      </c>
      <c r="J858" s="77" t="inlineStr">
        <is>
          <t>2026-10-12</t>
        </is>
      </c>
      <c r="K858" s="77" t="inlineStr">
        <is>
          <t>search-summary paraphrase</t>
        </is>
      </c>
      <c r="L858" s="77" t="inlineStr">
        <is>
          <t>Choose desk-based dissertation or consultancy project with SMEs; action project usually in groups of two to three.</t>
        </is>
      </c>
    </row>
    <row r="859">
      <c r="A859" s="77" t="inlineStr">
        <is>
          <t>UK03-S08-R2</t>
        </is>
      </c>
      <c r="B859" s="77" t="inlineStr">
        <is>
          <t>UK03</t>
        </is>
      </c>
      <c r="C859" s="77" t="inlineStr">
        <is>
          <t>UK03-S08</t>
        </is>
      </c>
      <c r="D859" s="77" t="inlineStr">
        <is>
          <t>Action project / consultancy project (MSc Project Management)</t>
        </is>
      </c>
      <c r="E859" s="77" t="inlineStr">
        <is>
          <t>group; employer</t>
        </is>
      </c>
      <c r="F859" s="77" t="inlineStr">
        <is>
          <t>https://www.lancaster.ac.uk/study/postgraduate/postgraduate-courses/project-management-msc/2027/</t>
        </is>
      </c>
      <c r="G859" s="77" t="inlineStr">
        <is>
          <t>Project Management MSc</t>
        </is>
      </c>
      <c r="H859" s="77" t="inlineStr">
        <is>
          <t>course page</t>
        </is>
      </c>
      <c r="I859" s="77" t="inlineStr">
        <is>
          <t>2027 entry</t>
        </is>
      </c>
      <c r="J859" s="77" t="inlineStr">
        <is>
          <t>2026-10-12</t>
        </is>
      </c>
      <c r="K859" s="77" t="inlineStr">
        <is>
          <t>search-summary paraphrase</t>
        </is>
      </c>
      <c r="L859" s="77" t="inlineStr">
        <is>
          <t>Optional module: small student team delivers real-world project with an industry partner.</t>
        </is>
      </c>
    </row>
    <row r="860">
      <c r="A860" s="77" t="inlineStr">
        <is>
          <t>UK03-S09-R1</t>
        </is>
      </c>
      <c r="B860" s="77" t="inlineStr">
        <is>
          <t>UK03</t>
        </is>
      </c>
      <c r="C860" s="77" t="inlineStr">
        <is>
          <t>UK03-S09</t>
        </is>
      </c>
      <c r="D860" s="77" t="inlineStr">
        <is>
          <t>Company Commissioned Dissertation (MSc Digital and Social Media Marketing)</t>
        </is>
      </c>
      <c r="E860" s="77" t="inlineStr">
        <is>
          <t>project; group; employer; status</t>
        </is>
      </c>
      <c r="F860" s="77" t="inlineStr">
        <is>
          <t>https://www.lancaster.ac.uk/study/postgraduate/postgraduate-courses/digital-and-social-media-marketing-msc/2026/</t>
        </is>
      </c>
      <c r="G860" s="77" t="inlineStr">
        <is>
          <t>Digital and Social Media Marketing MSc</t>
        </is>
      </c>
      <c r="H860" s="77" t="inlineStr">
        <is>
          <t>final project</t>
        </is>
      </c>
      <c r="I860" s="77" t="inlineStr">
        <is>
          <t>2026 entry</t>
        </is>
      </c>
      <c r="J860" s="77" t="inlineStr">
        <is>
          <t>2026-10-12</t>
        </is>
      </c>
      <c r="K860" s="77" t="inlineStr">
        <is>
          <t>search-summary paraphrase</t>
        </is>
      </c>
      <c r="L860" s="77" t="inlineStr">
        <is>
          <t>Company Commissioned Dissertation: self-selected team with a company client; live client consultancy as final assessment.</t>
        </is>
      </c>
    </row>
    <row r="861">
      <c r="A861" s="77" t="inlineStr">
        <is>
          <t>UK03-S10-R1</t>
        </is>
      </c>
      <c r="B861" s="77" t="inlineStr">
        <is>
          <t>UK03</t>
        </is>
      </c>
      <c r="C861" s="77" t="inlineStr">
        <is>
          <t>UK03-S10</t>
        </is>
      </c>
      <c r="D861" s="77" t="inlineStr">
        <is>
          <t>LUMS annual hackathon (MSc Digital Business, Innovation and Management) with Fujitsu/Heathrow</t>
        </is>
      </c>
      <c r="E861" s="77" t="inlineStr">
        <is>
          <t>project; group; employer; status; duration</t>
        </is>
      </c>
      <c r="F861" s="77" t="inlineStr">
        <is>
          <t>https://www.lancaster.ac.uk/lums/news/lancaster-students-work-with-fujitsu-and-heathrow-airport-on-hackathon-event</t>
        </is>
      </c>
      <c r="G861" s="77" t="inlineStr">
        <is>
          <t>Lancaster students work with Fujitsu and Heathrow Airport on Hackathon event</t>
        </is>
      </c>
      <c r="H861" s="77" t="inlineStr">
        <is>
          <t>news</t>
        </is>
      </c>
      <c r="I861" s="77" t="inlineStr">
        <is>
          <t>22 April 2026</t>
        </is>
      </c>
      <c r="J861" s="77" t="inlineStr">
        <is>
          <t>2026-10-12</t>
        </is>
      </c>
      <c r="K861" s="77" t="inlineStr">
        <is>
          <t>search-summary paraphrase</t>
        </is>
      </c>
      <c r="L861" s="77" t="inlineStr">
        <is>
          <t>Two-day hackathon, 32 students from MSc PM, DBIM and Cyber Security; challenge involving AI and cybersecurity with Heathrow as client; talks from Fujitsu and Heathrow.</t>
        </is>
      </c>
    </row>
    <row r="862">
      <c r="A862" s="77" t="inlineStr">
        <is>
          <t>UK03-S11-R1</t>
        </is>
      </c>
      <c r="B862" s="77" t="inlineStr">
        <is>
          <t>UK03</t>
        </is>
      </c>
      <c r="C862" s="77" t="inlineStr">
        <is>
          <t>UK03-S11</t>
        </is>
      </c>
      <c r="D862" s="77" t="inlineStr">
        <is>
          <t>Industrial Group Projects (Physics)</t>
        </is>
      </c>
      <c r="E862" s="77" t="inlineStr">
        <is>
          <t>project; group; employer; credit; eligibility</t>
        </is>
      </c>
      <c r="F862" s="77" t="inlineStr">
        <is>
          <t>https://www.lancaster.ac.uk/physics/business/student-engagement/industrial-group-projects/</t>
        </is>
      </c>
      <c r="G862" s="77" t="inlineStr">
        <is>
          <t>Industrial Group Projects</t>
        </is>
      </c>
      <c r="H862" s="77" t="inlineStr">
        <is>
          <t>scheme page</t>
        </is>
      </c>
      <c r="I862" s="77" t="inlineStr">
        <is>
          <t>undated</t>
        </is>
      </c>
      <c r="J862" s="77" t="inlineStr">
        <is>
          <t>2026-10-12</t>
        </is>
      </c>
      <c r="K862" s="77" t="inlineStr">
        <is>
          <t>search-summary paraphrase</t>
        </is>
      </c>
      <c r="L862" s="77" t="inlineStr">
        <is>
          <t>Students work in small groups of 3-6, projects account for 25% of marks; companies provide briefing, meet students, receive reports.</t>
        </is>
      </c>
    </row>
    <row r="863">
      <c r="A863" s="77" t="inlineStr">
        <is>
          <t>UK03-S11-R2</t>
        </is>
      </c>
      <c r="B863" s="77" t="inlineStr">
        <is>
          <t>UK03</t>
        </is>
      </c>
      <c r="C863" s="77" t="inlineStr">
        <is>
          <t>UK03-S11</t>
        </is>
      </c>
      <c r="D863" s="77" t="inlineStr">
        <is>
          <t>Industrial Group Projects (Physics)</t>
        </is>
      </c>
      <c r="E863" s="77" t="inlineStr">
        <is>
          <t>employer; status</t>
        </is>
      </c>
      <c r="F863" s="77" t="inlineStr">
        <is>
          <t>https://www.lancaster.ac.uk/study/undergraduate/courses/physics-bsc-hons-f300/2026/</t>
        </is>
      </c>
      <c r="G863" s="77" t="inlineStr">
        <is>
          <t>Physics BSc Hons (F300)</t>
        </is>
      </c>
      <c r="H863" s="77" t="inlineStr">
        <is>
          <t>course page</t>
        </is>
      </c>
      <c r="I863" s="77" t="inlineStr">
        <is>
          <t>2026 entry</t>
        </is>
      </c>
      <c r="J863" s="77" t="inlineStr">
        <is>
          <t>2026-10-12</t>
        </is>
      </c>
      <c r="K863" s="77" t="inlineStr">
        <is>
          <t>search-summary paraphrase</t>
        </is>
      </c>
      <c r="L863" s="77" t="inlineStr">
        <is>
          <t>Describes recent Siemens Energy project on recycling a high-performance plastic.</t>
        </is>
      </c>
    </row>
    <row r="864">
      <c r="A864" s="77" t="inlineStr">
        <is>
          <t>UK03-S12-R1</t>
        </is>
      </c>
      <c r="B864" s="77" t="inlineStr">
        <is>
          <t>UK03</t>
        </is>
      </c>
      <c r="C864" s="77" t="inlineStr">
        <is>
          <t>UK03-S12</t>
        </is>
      </c>
      <c r="D864" s="77" t="inlineStr">
        <is>
          <t>Industry-based group projects (ENGR 445 and short team projects), School of Engineering</t>
        </is>
      </c>
      <c r="E864" s="77" t="inlineStr">
        <is>
          <t>project; group; employer; eligibility; participation</t>
        </is>
      </c>
      <c r="F864" s="77" t="inlineStr">
        <is>
          <t>https://www.lancaster.ac.uk/engineering/business/collaborating-with-our-students/</t>
        </is>
      </c>
      <c r="G864" s="77" t="inlineStr">
        <is>
          <t>Collaborating with our Students</t>
        </is>
      </c>
      <c r="H864" s="77" t="inlineStr">
        <is>
          <t>scheme page</t>
        </is>
      </c>
      <c r="I864" s="77" t="inlineStr">
        <is>
          <t>undated</t>
        </is>
      </c>
      <c r="J864" s="77" t="inlineStr">
        <is>
          <t>2026-10-12</t>
        </is>
      </c>
      <c r="K864" s="77" t="inlineStr">
        <is>
          <t>search-summary paraphrase</t>
        </is>
      </c>
      <c r="L864" s="77" t="inlineStr">
        <is>
          <t>Team projects typically four to six students; two weeks in March; nine-month fourth-year project; ENGR 445 core for integrated MEng; real-life company problems.</t>
        </is>
      </c>
    </row>
    <row r="865">
      <c r="A865" s="77" t="inlineStr">
        <is>
          <t>UK03-S12-R2</t>
        </is>
      </c>
      <c r="B865" s="77" t="inlineStr">
        <is>
          <t>UK03</t>
        </is>
      </c>
      <c r="C865" s="77" t="inlineStr">
        <is>
          <t>UK03-S12</t>
        </is>
      </c>
      <c r="D865" s="77" t="inlineStr">
        <is>
          <t>Industry-based group projects (ENGR 445 and short team projects), School of Engineering</t>
        </is>
      </c>
      <c r="E865" s="77" t="inlineStr">
        <is>
          <t>employer; project</t>
        </is>
      </c>
      <c r="F865" s="77" t="inlineStr">
        <is>
          <t>https://www.lancaster.ac.uk/engineering/study/industrial-projects/</t>
        </is>
      </c>
      <c r="G865" s="77" t="inlineStr">
        <is>
          <t>Industrial Projects</t>
        </is>
      </c>
      <c r="H865" s="77" t="inlineStr">
        <is>
          <t>scheme page</t>
        </is>
      </c>
      <c r="I865" s="77" t="inlineStr">
        <is>
          <t>undated</t>
        </is>
      </c>
      <c r="J865" s="77" t="inlineStr">
        <is>
          <t>2026-10-12</t>
        </is>
      </c>
      <c r="K865" s="77" t="inlineStr">
        <is>
          <t>search-summary paraphrase</t>
        </is>
      </c>
      <c r="L865" s="77" t="inlineStr">
        <is>
          <t>MEng industrial projects with external organisations.</t>
        </is>
      </c>
    </row>
    <row r="866">
      <c r="A866" s="77" t="inlineStr">
        <is>
          <t>UK03-S12-R3</t>
        </is>
      </c>
      <c r="B866" s="77" t="inlineStr">
        <is>
          <t>UK03</t>
        </is>
      </c>
      <c r="C866" s="77" t="inlineStr">
        <is>
          <t>UK03-S12</t>
        </is>
      </c>
      <c r="D866" s="77" t="inlineStr">
        <is>
          <t>Industry-based group projects (ENGR 445 and short team projects), School of Engineering</t>
        </is>
      </c>
      <c r="E866" s="77" t="inlineStr">
        <is>
          <t>employer; group</t>
        </is>
      </c>
      <c r="F866" s="77" t="inlineStr">
        <is>
          <t>https://www.lancaster.ac.uk/engineering/business/case-studies/wasp-ltd/</t>
        </is>
      </c>
      <c r="G866" s="77" t="inlineStr">
        <is>
          <t>WASP Ltd</t>
        </is>
      </c>
      <c r="H866" s="77" t="inlineStr">
        <is>
          <t>case study</t>
        </is>
      </c>
      <c r="I866" s="77" t="inlineStr">
        <is>
          <t>undated</t>
        </is>
      </c>
      <c r="J866" s="77" t="inlineStr">
        <is>
          <t>2026-10-12</t>
        </is>
      </c>
      <c r="K866" s="77" t="inlineStr">
        <is>
          <t>search-summary paraphrase</t>
        </is>
      </c>
      <c r="L866" s="77" t="inlineStr">
        <is>
          <t>Group of eight MEng students developed and tested prototype tidal turbine for Wasp (Cumbria) Ltd.</t>
        </is>
      </c>
    </row>
    <row r="867">
      <c r="A867" s="77" t="inlineStr">
        <is>
          <t>UK03-S13-R1</t>
        </is>
      </c>
      <c r="B867" s="77" t="inlineStr">
        <is>
          <t>UK03</t>
        </is>
      </c>
      <c r="C867" s="77" t="inlineStr">
        <is>
          <t>UK03-S13</t>
        </is>
      </c>
      <c r="D867" s="77" t="inlineStr">
        <is>
          <t>Group project with industry-set briefs (MSc Data Science, Term 1)</t>
        </is>
      </c>
      <c r="E867" s="77" t="inlineStr">
        <is>
          <t>group; employer; project</t>
        </is>
      </c>
      <c r="F867" s="77" t="inlineStr">
        <is>
          <t>https://www.lancaster.ac.uk/sci-tech/msc-data-science-apply-now/</t>
        </is>
      </c>
      <c r="G867" s="77" t="inlineStr">
        <is>
          <t>MSc Data Science apply now</t>
        </is>
      </c>
      <c r="H867" s="77" t="inlineStr">
        <is>
          <t>Term 1</t>
        </is>
      </c>
      <c r="I867" s="77" t="inlineStr">
        <is>
          <t>undated</t>
        </is>
      </c>
      <c r="J867" s="77" t="inlineStr">
        <is>
          <t>2026-10-12</t>
        </is>
      </c>
      <c r="K867" s="77" t="inlineStr">
        <is>
          <t>search-summary paraphrase</t>
        </is>
      </c>
      <c r="L867" s="77" t="inlineStr">
        <is>
          <t>Group project work on project briefs from industrial speakers in multi-skilled teams.</t>
        </is>
      </c>
    </row>
    <row r="868">
      <c r="A868" s="77" t="inlineStr">
        <is>
          <t>UK03-S13-R2</t>
        </is>
      </c>
      <c r="B868" s="77" t="inlineStr">
        <is>
          <t>UK03</t>
        </is>
      </c>
      <c r="C868" s="77" t="inlineStr">
        <is>
          <t>UK03-S13</t>
        </is>
      </c>
      <c r="D868" s="77" t="inlineStr">
        <is>
          <t>Group project with industry-set briefs (MSc Data Science, Term 1)</t>
        </is>
      </c>
      <c r="E868" s="77" t="inlineStr">
        <is>
          <t>project; group</t>
        </is>
      </c>
      <c r="F868" s="77" t="inlineStr">
        <is>
          <t>https://www.lancaster.ac.uk/scc/study/masters/data-science-msc-term-one/</t>
        </is>
      </c>
      <c r="G868" s="77" t="inlineStr">
        <is>
          <t>Data Science MSc - Term 1</t>
        </is>
      </c>
      <c r="H868" s="77" t="inlineStr">
        <is>
          <t>Term 1</t>
        </is>
      </c>
      <c r="I868" s="77" t="inlineStr">
        <is>
          <t>undated</t>
        </is>
      </c>
      <c r="J868" s="77" t="inlineStr">
        <is>
          <t>2026-10-12</t>
        </is>
      </c>
      <c r="K868" s="77" t="inlineStr">
        <is>
          <t>search-summary paraphrase</t>
        </is>
      </c>
      <c r="L868" s="77" t="inlineStr">
        <is>
          <t>Introduction to AI and Data Science promotes teamwork through hands-on projects supported by industry talks.</t>
        </is>
      </c>
    </row>
    <row r="869">
      <c r="A869" s="77" t="inlineStr">
        <is>
          <t>UK03-S14-R1</t>
        </is>
      </c>
      <c r="B869" s="77" t="inlineStr">
        <is>
          <t>UK03</t>
        </is>
      </c>
      <c r="C869" s="77" t="inlineStr">
        <is>
          <t>UK03-S14</t>
        </is>
      </c>
      <c r="D869" s="77" t="inlineStr">
        <is>
          <t>Applied Learning Studios 1 and 2 (MA Sustainability and Global Environmental Futures)</t>
        </is>
      </c>
      <c r="E869" s="77" t="inlineStr">
        <is>
          <t>project; group; employer; status</t>
        </is>
      </c>
      <c r="F869" s="77" t="inlineStr">
        <is>
          <t>https://www.lancaster.ac.uk/study/postgraduate/postgraduate-courses/sustainability-and-global-environmental-futures-ma/2026/</t>
        </is>
      </c>
      <c r="G869" s="77" t="inlineStr">
        <is>
          <t>Sustainability and Global Environmental Futures MA</t>
        </is>
      </c>
      <c r="H869" s="77" t="inlineStr">
        <is>
          <t>studio modules</t>
        </is>
      </c>
      <c r="I869" s="77" t="inlineStr">
        <is>
          <t>2026 entry</t>
        </is>
      </c>
      <c r="J869" s="77" t="inlineStr">
        <is>
          <t>2026-10-12</t>
        </is>
      </c>
      <c r="K869" s="77" t="inlineStr">
        <is>
          <t>search-summary paraphrase</t>
        </is>
      </c>
      <c r="L869" s="77" t="inlineStr">
        <is>
          <t>You will be given a live brief ... work with others in a group project; may be linked to 'real world' issues and external clients.</t>
        </is>
      </c>
    </row>
    <row r="870">
      <c r="A870" s="77" t="inlineStr">
        <is>
          <t>UK03-S15-R1</t>
        </is>
      </c>
      <c r="B870" s="77" t="inlineStr">
        <is>
          <t>UK03</t>
        </is>
      </c>
      <c r="C870" s="77" t="inlineStr">
        <is>
          <t>UK03-S15</t>
        </is>
      </c>
      <c r="D870" s="77" t="inlineStr">
        <is>
          <t>Second-year live client project (BA Architecture)</t>
        </is>
      </c>
      <c r="E870" s="77" t="inlineStr">
        <is>
          <t>project; employer; status</t>
        </is>
      </c>
      <c r="F870" s="77" t="inlineStr">
        <is>
          <t>https://www.lancaster.ac.uk/study/undergraduate/courses/architecture-ba-hons-k100/2026/</t>
        </is>
      </c>
      <c r="G870" s="77" t="inlineStr">
        <is>
          <t>Architecture BA Hons (K100)</t>
        </is>
      </c>
      <c r="H870" s="77" t="inlineStr">
        <is>
          <t>Year 2</t>
        </is>
      </c>
      <c r="I870" s="77" t="inlineStr">
        <is>
          <t>2026 entry</t>
        </is>
      </c>
      <c r="J870" s="77" t="inlineStr">
        <is>
          <t>2026-10-12</t>
        </is>
      </c>
      <c r="K870" s="77" t="inlineStr">
        <is>
          <t>search-summary paraphrase</t>
        </is>
      </c>
      <c r="L870" s="77" t="inlineStr">
        <is>
          <t>Second year: design a retrofit live project and work directly with a client such as Lancaster Music Co Op or Queen's Market Morecambe.</t>
        </is>
      </c>
    </row>
    <row r="871">
      <c r="A871" s="77" t="inlineStr">
        <is>
          <t>UK03-S16-R1</t>
        </is>
      </c>
      <c r="B871" s="77" t="inlineStr">
        <is>
          <t>UK03</t>
        </is>
      </c>
      <c r="C871" s="77" t="inlineStr">
        <is>
          <t>UK03-S16</t>
        </is>
      </c>
      <c r="D871" s="77" t="inlineStr">
        <is>
          <t>Software Engineering Studio III / Software Design Studio Project III (Live Studio)</t>
        </is>
      </c>
      <c r="E871" s="77" t="inlineStr">
        <is>
          <t>project; group; employer</t>
        </is>
      </c>
      <c r="F871" s="77" t="inlineStr">
        <is>
          <t>https://www.lancaster.ac.uk/study/undergraduate/courses/software-engineering-bsc-hons-g602/2027/</t>
        </is>
      </c>
      <c r="G871" s="77" t="inlineStr">
        <is>
          <t>Software Engineering BSc Hons (G602)</t>
        </is>
      </c>
      <c r="H871" s="77" t="inlineStr">
        <is>
          <t>Year 3</t>
        </is>
      </c>
      <c r="I871" s="77" t="inlineStr">
        <is>
          <t>2027 entry</t>
        </is>
      </c>
      <c r="J871" s="77" t="inlineStr">
        <is>
          <t>2026-10-12</t>
        </is>
      </c>
      <c r="K871" s="77" t="inlineStr">
        <is>
          <t>search-summary paraphrase</t>
        </is>
      </c>
      <c r="L871" s="77" t="inlineStr">
        <is>
          <t>Software Engineering Studio III: groups build system that goes live with real users; industry involvement; working closely with clients.</t>
        </is>
      </c>
    </row>
    <row r="872">
      <c r="A872" s="77" t="inlineStr">
        <is>
          <t>UK03-S16-R2</t>
        </is>
      </c>
      <c r="B872" s="77" t="inlineStr">
        <is>
          <t>UK03</t>
        </is>
      </c>
      <c r="C872" s="77" t="inlineStr">
        <is>
          <t>UK03-S16</t>
        </is>
      </c>
      <c r="D872" s="77" t="inlineStr">
        <is>
          <t>Software Engineering Studio III / Software Design Studio Project III (Live Studio)</t>
        </is>
      </c>
      <c r="E872" s="77" t="inlineStr">
        <is>
          <t>credit; group; employer</t>
        </is>
      </c>
      <c r="F872" s="77" t="inlineStr">
        <is>
          <t>https://www.lancaster.ac.uk/study/course-information/modules/016901/</t>
        </is>
      </c>
      <c r="G872" s="77" t="inlineStr">
        <is>
          <t>Software Design Studio Project III (Live Studio)</t>
        </is>
      </c>
      <c r="H872" s="77" t="inlineStr">
        <is>
          <t>module page</t>
        </is>
      </c>
      <c r="I872" s="77" t="inlineStr">
        <is>
          <t>2016 handbook</t>
        </is>
      </c>
      <c r="J872" s="77" t="inlineStr">
        <is>
          <t>2026-10-12</t>
        </is>
      </c>
      <c r="K872" s="77" t="inlineStr">
        <is>
          <t>search-summary paraphrase</t>
        </is>
      </c>
      <c r="L872" s="77" t="inlineStr">
        <is>
          <t>30-credit module; working closely with clients; teams submit weekly progress reports.</t>
        </is>
      </c>
    </row>
    <row r="873">
      <c r="A873" s="77" t="inlineStr">
        <is>
          <t>UK04-S01-R1</t>
        </is>
      </c>
      <c r="B873" s="77" t="inlineStr">
        <is>
          <t>UK04</t>
        </is>
      </c>
      <c r="C873" s="77" t="inlineStr">
        <is>
          <t>UK04-S01</t>
        </is>
      </c>
      <c r="D873" s="77" t="inlineStr">
        <is>
          <t>Collaborative Project (Loughborough University London)</t>
        </is>
      </c>
      <c r="E873" s="77" t="inlineStr">
        <is>
          <t>project; group; employer; status; participation</t>
        </is>
      </c>
      <c r="F873" s="77" t="inlineStr">
        <is>
          <t>https://www.lboro.ac.uk/news-events/news/2026/july/collaborative-project-show-london/</t>
        </is>
      </c>
      <c r="G873" s="77" t="inlineStr">
        <is>
          <t>10th Anniversary Collaborative Project Show celebrates 10 years and over 200 collaborations</t>
        </is>
      </c>
      <c r="H873" s="77" t="inlineStr">
        <is>
          <t>News article</t>
        </is>
      </c>
      <c r="I873" s="77" t="inlineStr">
        <is>
          <t>2026 (July)</t>
        </is>
      </c>
      <c r="J873" s="77" t="inlineStr">
        <is>
          <t>2026-10-12</t>
        </is>
      </c>
      <c r="K873" s="77" t="inlineStr">
        <is>
          <t>search-index extract</t>
        </is>
      </c>
      <c r="L873" s="77" t="inlineStr">
        <is>
          <t>'The Collaborative Project Show completes Loughborough University London's Collaborative Project module, in which students create solutions to real business challenges provided by organisations'; 'They work in teams'; nine organisations took part including Sports Interactive, Workplace Futures Group, West Ham United Foundation, Sysdoc, The Commonwealth Secretariat and Plexal; guaranteed in programme of studies.</t>
        </is>
      </c>
    </row>
    <row r="874">
      <c r="A874" s="77" t="inlineStr">
        <is>
          <t>UK04-S01-R2</t>
        </is>
      </c>
      <c r="B874" s="77" t="inlineStr">
        <is>
          <t>UK04</t>
        </is>
      </c>
      <c r="C874" s="77" t="inlineStr">
        <is>
          <t>UK04-S01</t>
        </is>
      </c>
      <c r="D874" s="77" t="inlineStr">
        <is>
          <t>Collaborative Project (Loughborough University London)</t>
        </is>
      </c>
      <c r="E874" s="77" t="inlineStr">
        <is>
          <t>group; employer; eligibility; reach</t>
        </is>
      </c>
      <c r="F874" s="77" t="inlineStr">
        <is>
          <t>https://www.lboro.ac.uk/news-events/news/2019/april/london-collaborative-project-success/</t>
        </is>
      </c>
      <c r="G874" s="77" t="inlineStr">
        <is>
          <t>Students celebrated by renowned national and international organisations for their solutions to real business challenges</t>
        </is>
      </c>
      <c r="H874" s="77" t="inlineStr">
        <is>
          <t>News article</t>
        </is>
      </c>
      <c r="I874" s="77" t="inlineStr">
        <is>
          <t>2019</t>
        </is>
      </c>
      <c r="J874" s="77" t="inlineStr">
        <is>
          <t>2026-10-12</t>
        </is>
      </c>
      <c r="K874" s="77" t="inlineStr">
        <is>
          <t>search-summary paraphrase</t>
        </is>
      </c>
      <c r="L874" s="77" t="inlineStr">
        <is>
          <t>'The Collaborative Project is open to all full-time and part-time students at Loughborough University London'; students from across the University form interdisciplinary teams to solve a real business problem provided by a corporate partner.</t>
        </is>
      </c>
    </row>
    <row r="875">
      <c r="A875" s="77" t="inlineStr">
        <is>
          <t>UK04-S01-R3</t>
        </is>
      </c>
      <c r="B875" s="77" t="inlineStr">
        <is>
          <t>UK04</t>
        </is>
      </c>
      <c r="C875" s="77" t="inlineStr">
        <is>
          <t>UK04-S01</t>
        </is>
      </c>
      <c r="D875" s="77" t="inlineStr">
        <is>
          <t>Collaborative Project (Loughborough University London)</t>
        </is>
      </c>
      <c r="E875" s="77" t="inlineStr">
        <is>
          <t>project; group; employer; credit; participation</t>
        </is>
      </c>
      <c r="F875" s="77" t="inlineStr">
        <is>
          <t>https://www.lboro.ac.uk/study/postgraduate/masters-degrees/computer-science-london/</t>
        </is>
      </c>
      <c r="G875" s="77" t="inlineStr">
        <is>
          <t>Computer Science (London) Degree</t>
        </is>
      </c>
      <c r="H875" s="77" t="inlineStr">
        <is>
          <t>What you'll study</t>
        </is>
      </c>
      <c r="I875" s="77" t="inlineStr">
        <is>
          <t>undated</t>
        </is>
      </c>
      <c r="J875" s="77" t="inlineStr">
        <is>
          <t>2026-10-12</t>
        </is>
      </c>
      <c r="K875" s="77" t="inlineStr">
        <is>
          <t>search-index extract</t>
        </is>
      </c>
      <c r="L875" s="77" t="inlineStr">
        <is>
          <t>Collaborative Project (15 credits): students work in a multidisciplinary team to tackle a real-world challenge set by an industry partner.</t>
        </is>
      </c>
    </row>
    <row r="876">
      <c r="A876" s="77" t="inlineStr">
        <is>
          <t>UK04-S01-R4</t>
        </is>
      </c>
      <c r="B876" s="77" t="inlineStr">
        <is>
          <t>UK04</t>
        </is>
      </c>
      <c r="C876" s="77" t="inlineStr">
        <is>
          <t>UK04-S01</t>
        </is>
      </c>
      <c r="D876" s="77" t="inlineStr">
        <is>
          <t>Collaborative Project (Loughborough University London)</t>
        </is>
      </c>
      <c r="E876" s="77" t="inlineStr">
        <is>
          <t>participation; group</t>
        </is>
      </c>
      <c r="F876" s="77" t="inlineStr">
        <is>
          <t>https://www.lboro.ac.uk/media-centre/press-releases/2018/march/collaborative-project-show-2018/</t>
        </is>
      </c>
      <c r="G876" s="77" t="inlineStr">
        <is>
          <t>London project that saw over 660 students tackle real business challenges is celebrated at event</t>
        </is>
      </c>
      <c r="H876" s="77" t="inlineStr">
        <is>
          <t>Press release</t>
        </is>
      </c>
      <c r="I876" s="77" t="inlineStr">
        <is>
          <t>2018</t>
        </is>
      </c>
      <c r="J876" s="77" t="inlineStr">
        <is>
          <t>2026-10-12</t>
        </is>
      </c>
      <c r="K876" s="77" t="inlineStr">
        <is>
          <t>search-summary paraphrase</t>
        </is>
      </c>
      <c r="L876" s="77" t="inlineStr">
        <is>
          <t>Over 660 postgraduate students worked in 122 multi-disciplinary teams on tasks set by 19 organisations.</t>
        </is>
      </c>
    </row>
    <row r="877">
      <c r="A877" s="77" t="inlineStr">
        <is>
          <t>UK04-S02-R1</t>
        </is>
      </c>
      <c r="B877" s="77" t="inlineStr">
        <is>
          <t>UK04</t>
        </is>
      </c>
      <c r="C877" s="77" t="inlineStr">
        <is>
          <t>UK04-S02</t>
        </is>
      </c>
      <c r="D877" s="77" t="inlineStr">
        <is>
          <t>Industry Experience Project (Loughborough Business School MSc programmes)</t>
        </is>
      </c>
      <c r="E877" s="77" t="inlineStr">
        <is>
          <t>project; group; employer; credit</t>
        </is>
      </c>
      <c r="F877" s="77" t="inlineStr">
        <is>
          <t>https://www.lboro.ac.uk/study/postgraduate/masters-degrees/a-z/management/</t>
        </is>
      </c>
      <c r="G877" s="77" t="inlineStr">
        <is>
          <t>Management Degree</t>
        </is>
      </c>
      <c r="H877" s="77" t="inlineStr">
        <is>
          <t>What you'll study</t>
        </is>
      </c>
      <c r="I877" s="77" t="inlineStr">
        <is>
          <t>undated</t>
        </is>
      </c>
      <c r="J877" s="77" t="inlineStr">
        <is>
          <t>2026-10-12</t>
        </is>
      </c>
      <c r="K877" s="77" t="inlineStr">
        <is>
          <t>search-index extract</t>
        </is>
      </c>
      <c r="L877" s="77" t="inlineStr">
        <is>
          <t>Industry Experience Project (45 credits): tackle a real organisational problem in a specific discipline, as prescribed by a 'client' company, working in a group; aims include business consultancy across the project lifecycle, working effectively in a group, delivering agreed outputs to a deadline; past work with GB Snowsport and Cross Country Trains.</t>
        </is>
      </c>
    </row>
    <row r="878">
      <c r="A878" s="77" t="inlineStr">
        <is>
          <t>UK04-S02-R2</t>
        </is>
      </c>
      <c r="B878" s="77" t="inlineStr">
        <is>
          <t>UK04</t>
        </is>
      </c>
      <c r="C878" s="77" t="inlineStr">
        <is>
          <t>UK04-S02</t>
        </is>
      </c>
      <c r="D878" s="77" t="inlineStr">
        <is>
          <t>Industry Experience Project (Loughborough Business School MSc programmes)</t>
        </is>
      </c>
      <c r="E878" s="77" t="inlineStr">
        <is>
          <t>project; group; employer; duration; credit</t>
        </is>
      </c>
      <c r="F878" s="77" t="inlineStr">
        <is>
          <t>https://www.lboro.ac.uk/study/postgraduate/masters-degrees/finance/</t>
        </is>
      </c>
      <c r="G878" s="77" t="inlineStr">
        <is>
          <t>Finance Degree</t>
        </is>
      </c>
      <c r="H878" s="77" t="inlineStr">
        <is>
          <t>What you'll study</t>
        </is>
      </c>
      <c r="I878" s="77" t="inlineStr">
        <is>
          <t>undated</t>
        </is>
      </c>
      <c r="J878" s="77" t="inlineStr">
        <is>
          <t>2026-10-12</t>
        </is>
      </c>
      <c r="K878" s="77" t="inlineStr">
        <is>
          <t>search-index extract</t>
        </is>
      </c>
      <c r="L878" s="77" t="inlineStr">
        <is>
          <t>Summer-semester practical Industry Experience Project (45 credits), group project; students have worked with organisations such as Vector Consumer and TISA.</t>
        </is>
      </c>
    </row>
    <row r="879">
      <c r="A879" s="77" t="inlineStr">
        <is>
          <t>UK04-S02-R3</t>
        </is>
      </c>
      <c r="B879" s="77" t="inlineStr">
        <is>
          <t>UK04</t>
        </is>
      </c>
      <c r="C879" s="77" t="inlineStr">
        <is>
          <t>UK04-S02</t>
        </is>
      </c>
      <c r="D879" s="77" t="inlineStr">
        <is>
          <t>Industry Experience Project (Loughborough Business School MSc programmes)</t>
        </is>
      </c>
      <c r="E879" s="77" t="inlineStr">
        <is>
          <t>employer</t>
        </is>
      </c>
      <c r="F879" s="77" t="inlineStr">
        <is>
          <t>https://www.lboro.ac.uk/schools/business-school/collaborate/work-with-our-students/</t>
        </is>
      </c>
      <c r="G879" s="77" t="inlineStr">
        <is>
          <t>Work with our students</t>
        </is>
      </c>
      <c r="H879" s="77" t="inlineStr">
        <is>
          <t>Collaborate</t>
        </is>
      </c>
      <c r="I879" s="77" t="inlineStr">
        <is>
          <t>undated</t>
        </is>
      </c>
      <c r="J879" s="77" t="inlineStr">
        <is>
          <t>2026-10-12</t>
        </is>
      </c>
      <c r="K879" s="77" t="inlineStr">
        <is>
          <t>search-summary paraphrase</t>
        </is>
      </c>
      <c r="L879" s="77" t="inlineStr">
        <is>
          <t>Organisations can work with a master's student on a consultancy project to address a particular issue; MBA live projects with groups of students.</t>
        </is>
      </c>
    </row>
    <row r="880">
      <c r="A880" s="77" t="inlineStr">
        <is>
          <t>UK04-S03-R1</t>
        </is>
      </c>
      <c r="B880" s="77" t="inlineStr">
        <is>
          <t>UK04</t>
        </is>
      </c>
      <c r="C880" s="77" t="inlineStr">
        <is>
          <t>UK04-S03</t>
        </is>
      </c>
      <c r="D880" s="77" t="inlineStr">
        <is>
          <t>MBA Consultancy Project / Managing Innovation live projects (Loughborough full-time MBA)</t>
        </is>
      </c>
      <c r="E880" s="77" t="inlineStr">
        <is>
          <t>project; group; employer</t>
        </is>
      </c>
      <c r="F880" s="77" t="inlineStr">
        <is>
          <t>https://www.lboro.ac.uk/study/postgraduate/masters-degrees/full-time-mba/</t>
        </is>
      </c>
      <c r="G880" s="77" t="inlineStr">
        <is>
          <t>The Loughborough Full-Time MBA Degree</t>
        </is>
      </c>
      <c r="H880" s="77" t="inlineStr">
        <is>
          <t>What you'll study</t>
        </is>
      </c>
      <c r="I880" s="77" t="inlineStr">
        <is>
          <t>undated</t>
        </is>
      </c>
      <c r="J880" s="77" t="inlineStr">
        <is>
          <t>2026-10-12</t>
        </is>
      </c>
      <c r="K880" s="77" t="inlineStr">
        <is>
          <t>search-summary paraphrase</t>
        </is>
      </c>
      <c r="L880" s="77" t="inlineStr">
        <is>
          <t>Choose between Business Administration Project, Consultancy Project or Work Based Learning Project; Consultancy Project: work as part of a team to apply theory and research-led knowledge and address a client organisation's real-world challenges.</t>
        </is>
      </c>
    </row>
    <row r="881">
      <c r="A881" s="77" t="inlineStr">
        <is>
          <t>UK04-S03-R2</t>
        </is>
      </c>
      <c r="B881" s="77" t="inlineStr">
        <is>
          <t>UK04</t>
        </is>
      </c>
      <c r="C881" s="77" t="inlineStr">
        <is>
          <t>UK04-S03</t>
        </is>
      </c>
      <c r="D881" s="77" t="inlineStr">
        <is>
          <t>MBA Consultancy Project / Managing Innovation live projects (Loughborough full-time MBA)</t>
        </is>
      </c>
      <c r="E881" s="77" t="inlineStr">
        <is>
          <t>employer</t>
        </is>
      </c>
      <c r="F881" s="77" t="inlineStr">
        <is>
          <t>https://www.lboro.ac.uk/study/pg-offer/business-school/advance-your-career-mba/</t>
        </is>
      </c>
      <c r="G881" s="77" t="inlineStr">
        <is>
          <t>Advance your career</t>
        </is>
      </c>
      <c r="H881" s="77" t="inlineStr">
        <is>
          <t>MBA offer page</t>
        </is>
      </c>
      <c r="I881" s="77" t="inlineStr">
        <is>
          <t>undated</t>
        </is>
      </c>
      <c r="J881" s="77" t="inlineStr">
        <is>
          <t>2026-10-12</t>
        </is>
      </c>
      <c r="K881" s="77" t="inlineStr">
        <is>
          <t>search-summary paraphrase</t>
        </is>
      </c>
      <c r="L881" s="77" t="inlineStr">
        <is>
          <t>Managing Innovation: work on live projects alongside innovation partners and present strategies to the company directors.</t>
        </is>
      </c>
    </row>
    <row r="882">
      <c r="A882" s="77" t="inlineStr">
        <is>
          <t>UK04-S04-R1</t>
        </is>
      </c>
      <c r="B882" s="77" t="inlineStr">
        <is>
          <t>UK04</t>
        </is>
      </c>
      <c r="C882" s="77" t="inlineStr">
        <is>
          <t>UK04-S04</t>
        </is>
      </c>
      <c r="D882" s="77" t="inlineStr">
        <is>
          <t>Talent Match Consultancy Programme</t>
        </is>
      </c>
      <c r="E882" s="77" t="inlineStr">
        <is>
          <t>project; group; employer; status; eligibility; duration</t>
        </is>
      </c>
      <c r="F882" s="77" t="inlineStr">
        <is>
          <t>https://www.lboro.ac.uk/internal/news/2026/august/talent-match-consultancy-applications/</t>
        </is>
      </c>
      <c r="G882" s="77" t="inlineStr">
        <is>
          <t>Apply now: deadline approaches for Talent Match Consultancy Programme</t>
        </is>
      </c>
      <c r="H882" s="77" t="inlineStr">
        <is>
          <t>News</t>
        </is>
      </c>
      <c r="I882" s="77" t="inlineStr">
        <is>
          <t>2026 (August)</t>
        </is>
      </c>
      <c r="J882" s="77" t="inlineStr">
        <is>
          <t>2026-10-12</t>
        </is>
      </c>
      <c r="K882" s="77" t="inlineStr">
        <is>
          <t>search-index extract</t>
        </is>
      </c>
      <c r="L882" s="77" t="inlineStr">
        <is>
          <t>'paid three-week, virtual consultancy opportunity starting late August 2026'; 'work as part of a consulting team to undertake a project for a real business based in the UK, whether that be a start-up, SME or non-profit'; team receives a project brief and presents findings in a professional report; applications via Target Connect close 9 August.</t>
        </is>
      </c>
    </row>
    <row r="883">
      <c r="A883" s="77" t="inlineStr">
        <is>
          <t>UK04-S05-R1</t>
        </is>
      </c>
      <c r="B883" s="77" t="inlineStr">
        <is>
          <t>UK04</t>
        </is>
      </c>
      <c r="C883" s="77" t="inlineStr">
        <is>
          <t>UK04-S05</t>
        </is>
      </c>
      <c r="D883" s="77" t="inlineStr">
        <is>
          <t>Physics industry group projects (Year 3 group project and final-year year-long group project)</t>
        </is>
      </c>
      <c r="E883" s="77" t="inlineStr">
        <is>
          <t>project; group; employer; status</t>
        </is>
      </c>
      <c r="F883" s="77" t="inlineStr">
        <is>
          <t>https://arxiv.org/html/2601.10219</t>
        </is>
      </c>
      <c r="G883" s="77" t="inlineStr">
        <is>
          <t>Systemically Designed Degrees for Real-World Challenges: A case study on Physics curriculum design at Loughborough University</t>
        </is>
      </c>
      <c r="H883" s="77" t="inlineStr">
        <is>
          <t>Curriculum design / group projects</t>
        </is>
      </c>
      <c r="I883" s="77" t="inlineStr">
        <is>
          <t>2026 (arXiv Jan 2026)</t>
        </is>
      </c>
      <c r="J883" s="77" t="inlineStr">
        <is>
          <t>2026-10-12</t>
        </is>
      </c>
      <c r="K883" s="77" t="inlineStr">
        <is>
          <t>search-summary paraphrase</t>
        </is>
      </c>
      <c r="L883" s="77" t="inlineStr">
        <is>
          <t>In year three students collaborate with an industrial partner to agree a user requirement specification; in the final year they manage a year-long project with an external stakeholder; staff mentors meet each group &lt;10 hours over the year; 2024/25 cohort; many external partners reprise their role across years.</t>
        </is>
      </c>
    </row>
    <row r="884">
      <c r="A884" s="77" t="inlineStr">
        <is>
          <t>UK04-S05-R2</t>
        </is>
      </c>
      <c r="B884" s="77" t="inlineStr">
        <is>
          <t>UK04</t>
        </is>
      </c>
      <c r="C884" s="77" t="inlineStr">
        <is>
          <t>UK04-S05</t>
        </is>
      </c>
      <c r="D884" s="77" t="inlineStr">
        <is>
          <t>Physics industry group projects (Year 3 group project and final-year year-long group project)</t>
        </is>
      </c>
      <c r="E884" s="77" t="inlineStr">
        <is>
          <t>project; group; employer</t>
        </is>
      </c>
      <c r="F884" s="77" t="inlineStr">
        <is>
          <t>https://www.lboro.ac.uk/departments/physics/undergraduate/careers-employability/industry-projects/</t>
        </is>
      </c>
      <c r="G884" s="77" t="inlineStr">
        <is>
          <t>Industry projects</t>
        </is>
      </c>
      <c r="H884" s="77" t="inlineStr">
        <is>
          <t>Department of Physics</t>
        </is>
      </c>
      <c r="I884" s="77" t="inlineStr">
        <is>
          <t>undated</t>
        </is>
      </c>
      <c r="J884" s="77" t="inlineStr">
        <is>
          <t>2026-10-12</t>
        </is>
      </c>
      <c r="K884" s="77" t="inlineStr">
        <is>
          <t>search-summary paraphrase</t>
        </is>
      </c>
      <c r="L884" s="77" t="inlineStr">
        <is>
          <t>'all students have the opportunity of conducting an industry-based group project'; examples: seabed man-made object detection (NLA Blue), AR/AI showcase (IBM), BEIS Technical Energy Specialist team.</t>
        </is>
      </c>
    </row>
    <row r="885">
      <c r="A885" s="77" t="inlineStr">
        <is>
          <t>UK04-S06-R1</t>
        </is>
      </c>
      <c r="B885" s="77" t="inlineStr">
        <is>
          <t>UK04</t>
        </is>
      </c>
      <c r="C885" s="77" t="inlineStr">
        <is>
          <t>UK04-S06</t>
        </is>
      </c>
      <c r="D885" s="77" t="inlineStr">
        <is>
          <t>Wolfson School Industry Collaboration Programme (Teaching Contract Scheme)</t>
        </is>
      </c>
      <c r="E885" s="77" t="inlineStr">
        <is>
          <t>project; group; employer; eligibility</t>
        </is>
      </c>
      <c r="F885" s="77" t="inlineStr">
        <is>
          <t>https://www.lboro.ac.uk/schools/meme/undergraduate/employability/recruiting-placement-students-benefit-business/wolfson-school-engagement-opportunities/</t>
        </is>
      </c>
      <c r="G885" s="77" t="inlineStr">
        <is>
          <t>Other Wolfson School engagement opportunities</t>
        </is>
      </c>
      <c r="H885" s="77" t="inlineStr">
        <is>
          <t>Industry Collaboration Programme</t>
        </is>
      </c>
      <c r="I885" s="77" t="inlineStr">
        <is>
          <t>undated</t>
        </is>
      </c>
      <c r="J885" s="77" t="inlineStr">
        <is>
          <t>2026-10-12</t>
        </is>
      </c>
      <c r="K885" s="77" t="inlineStr">
        <is>
          <t>search-index extract</t>
        </is>
      </c>
      <c r="L885" s="77" t="inlineStr">
        <is>
          <t>Opportunities to offer real-life group projects to students in 2nd or 4th year; support from an industry tutor through 3 focussed visits including the final project presentations, whilst supervised by an academic.</t>
        </is>
      </c>
    </row>
    <row r="886">
      <c r="A886" s="77" t="inlineStr">
        <is>
          <t>UK04-S06-R2</t>
        </is>
      </c>
      <c r="B886" s="77" t="inlineStr">
        <is>
          <t>UK04</t>
        </is>
      </c>
      <c r="C886" s="77" t="inlineStr">
        <is>
          <t>UK04-S06</t>
        </is>
      </c>
      <c r="D886" s="77" t="inlineStr">
        <is>
          <t>Wolfson School Industry Collaboration Programme (Teaching Contract Scheme)</t>
        </is>
      </c>
      <c r="E886" s="77" t="inlineStr">
        <is>
          <t>project; group; employer; status</t>
        </is>
      </c>
      <c r="F886" s="77" t="inlineStr">
        <is>
          <t>https://www.lboro.ac.uk/departments/meme/business/what-we-offer/teaching-contract-scheme/</t>
        </is>
      </c>
      <c r="G886" s="77" t="inlineStr">
        <is>
          <t>Teaching Contract Scheme</t>
        </is>
      </c>
      <c r="H886" s="77" t="inlineStr">
        <is>
          <t>Scheme page</t>
        </is>
      </c>
      <c r="I886" s="77" t="inlineStr">
        <is>
          <t>2015-16 (company list)</t>
        </is>
      </c>
      <c r="J886" s="77" t="inlineStr">
        <is>
          <t>2026-10-12</t>
        </is>
      </c>
      <c r="K886" s="77" t="inlineStr">
        <is>
          <t>search-summary paraphrase</t>
        </is>
      </c>
      <c r="L886" s="77" t="inlineStr">
        <is>
          <t>Consortium of companies provides projects within the curriculum; small student teams work on real problems; written report and oral presentation to the company; second- or final-year students.</t>
        </is>
      </c>
    </row>
    <row r="887">
      <c r="A887" s="77" t="inlineStr">
        <is>
          <t>UK04-S07-R1</t>
        </is>
      </c>
      <c r="B887" s="77" t="inlineStr">
        <is>
          <t>UK04</t>
        </is>
      </c>
      <c r="C887" s="77" t="inlineStr">
        <is>
          <t>UK04-S07</t>
        </is>
      </c>
      <c r="D887" s="77" t="inlineStr">
        <is>
          <t>Industry Project (MSc User Experience Design / MA User Experience and Service Design)</t>
        </is>
      </c>
      <c r="E887" s="77" t="inlineStr">
        <is>
          <t>project; group; employer; status</t>
        </is>
      </c>
      <c r="F887" s="77" t="inlineStr">
        <is>
          <t>https://sdcapgshow2023.lboro.ac.uk/industry-collaborations/user-experience-industry-project/</t>
        </is>
      </c>
      <c r="G887" s="77" t="inlineStr">
        <is>
          <t>User Experience Industry Project</t>
        </is>
      </c>
      <c r="H887" s="77" t="inlineStr">
        <is>
          <t>PG Degree Showcase 2023</t>
        </is>
      </c>
      <c r="I887" s="77" t="inlineStr">
        <is>
          <t>2023</t>
        </is>
      </c>
      <c r="J887" s="77" t="inlineStr">
        <is>
          <t>2026-10-12</t>
        </is>
      </c>
      <c r="K887" s="77" t="inlineStr">
        <is>
          <t>search-index extract</t>
        </is>
      </c>
      <c r="L887" s="77" t="inlineStr">
        <is>
          <t>Small teams of students work on a creative problem-oriented brief with a partnering organisation; partners create briefs with support from the school; students present responses directly to their briefing company; Sainsbury's and SCS partners.</t>
        </is>
      </c>
    </row>
    <row r="888">
      <c r="A888" s="77" t="inlineStr">
        <is>
          <t>UK04-S07-R2</t>
        </is>
      </c>
      <c r="B888" s="77" t="inlineStr">
        <is>
          <t>UK04</t>
        </is>
      </c>
      <c r="C888" s="77" t="inlineStr">
        <is>
          <t>UK04-S07</t>
        </is>
      </c>
      <c r="D888" s="77" t="inlineStr">
        <is>
          <t>Industry Project (MSc User Experience Design / MA User Experience and Service Design)</t>
        </is>
      </c>
      <c r="E888" s="77" t="inlineStr">
        <is>
          <t>project; employer; credit; participation</t>
        </is>
      </c>
      <c r="F888" s="77" t="inlineStr">
        <is>
          <t>https://www.lboro.ac.uk/study/postgraduate/masters-degrees/user-experience-design/</t>
        </is>
      </c>
      <c r="G888" s="77" t="inlineStr">
        <is>
          <t>User Experience Design Degree</t>
        </is>
      </c>
      <c r="H888" s="77" t="inlineStr">
        <is>
          <t>What you'll study</t>
        </is>
      </c>
      <c r="I888" s="77" t="inlineStr">
        <is>
          <t>undated</t>
        </is>
      </c>
      <c r="J888" s="77" t="inlineStr">
        <is>
          <t>2026-10-12</t>
        </is>
      </c>
      <c r="K888" s="77" t="inlineStr">
        <is>
          <t>search-summary paraphrase</t>
        </is>
      </c>
      <c r="L888" s="77" t="inlineStr">
        <is>
          <t>Industry Project (15 credits, compulsory): industry-set brief with evidence-based design outcome for a sponsoring organisation.</t>
        </is>
      </c>
    </row>
    <row r="889">
      <c r="A889" s="77" t="inlineStr">
        <is>
          <t>UK04-S08-R1</t>
        </is>
      </c>
      <c r="B889" s="77" t="inlineStr">
        <is>
          <t>UK04</t>
        </is>
      </c>
      <c r="C889" s="77" t="inlineStr">
        <is>
          <t>UK04-S08</t>
        </is>
      </c>
      <c r="D889" s="77" t="inlineStr">
        <is>
          <t>Cross-School Design Weeks (School of Architecture, Building and Civil Engineering)</t>
        </is>
      </c>
      <c r="E889" s="77" t="inlineStr">
        <is>
          <t>project; group; employer</t>
        </is>
      </c>
      <c r="F889" s="77" t="inlineStr">
        <is>
          <t>https://www.lboro.ac.uk/departments/abce/undergraduate/employability/design-weeks/</t>
        </is>
      </c>
      <c r="G889" s="77" t="inlineStr">
        <is>
          <t>Cross-School design weeks</t>
        </is>
      </c>
      <c r="H889" s="77" t="inlineStr">
        <is>
          <t>School page</t>
        </is>
      </c>
      <c r="I889" s="77" t="inlineStr">
        <is>
          <t>undated</t>
        </is>
      </c>
      <c r="J889" s="77" t="inlineStr">
        <is>
          <t>2026-10-12</t>
        </is>
      </c>
      <c r="K889" s="77" t="inlineStr">
        <is>
          <t>search-summary paraphrase</t>
        </is>
      </c>
      <c r="L889" s="77" t="inlineStr">
        <is>
          <t>Annual Cross School Design Week: work with students from different disciplines on real-world challenges; teams' ideas showcased to a panel of industry partners; past briefs include sustainability, a community hub, redesign of campus area.</t>
        </is>
      </c>
    </row>
    <row r="890">
      <c r="A890" s="77" t="inlineStr">
        <is>
          <t>UK04-S09-R1</t>
        </is>
      </c>
      <c r="B890" s="77" t="inlineStr">
        <is>
          <t>UK04</t>
        </is>
      </c>
      <c r="C890" s="77" t="inlineStr">
        <is>
          <t>UK04-S09</t>
        </is>
      </c>
      <c r="D890" s="77" t="inlineStr">
        <is>
          <t>Loughborough AI Challenge Camp</t>
        </is>
      </c>
      <c r="E890" s="77" t="inlineStr">
        <is>
          <t>project; group; employer; status; duration</t>
        </is>
      </c>
      <c r="F890" s="77" t="inlineStr">
        <is>
          <t>https://www.lboro.ac.uk/internal/news/2026/february/ai-challenge-camp-2026/</t>
        </is>
      </c>
      <c r="G890" s="77" t="inlineStr">
        <is>
          <t>Loughborough AI Challenge Camp 2026: Bridging the Talent Gap Through Collaborative Innovation</t>
        </is>
      </c>
      <c r="H890" s="77" t="inlineStr">
        <is>
          <t>News</t>
        </is>
      </c>
      <c r="I890" s="77" t="inlineStr">
        <is>
          <t>2026 (Feb)</t>
        </is>
      </c>
      <c r="J890" s="77" t="inlineStr">
        <is>
          <t>2026-10-12</t>
        </is>
      </c>
      <c r="K890" s="77" t="inlineStr">
        <is>
          <t>search-summary paraphrase</t>
        </is>
      </c>
      <c r="L890" s="77" t="inlineStr">
        <is>
          <t>26-30 Jan 2026; four teams each mentored by a PhD researcher on challenges set by industry and academic partners; winning challenge from These Hands Academy Ltd; final presentations to expert panel on 30 January.</t>
        </is>
      </c>
    </row>
    <row r="891">
      <c r="A891" s="77" t="inlineStr">
        <is>
          <t>UK04-S10-R1</t>
        </is>
      </c>
      <c r="B891" s="77" t="inlineStr">
        <is>
          <t>UK04</t>
        </is>
      </c>
      <c r="C891" s="77" t="inlineStr">
        <is>
          <t>UK04-S10</t>
        </is>
      </c>
      <c r="D891" s="77" t="inlineStr">
        <is>
          <t>School of Design and Creative Arts live industry briefs (Design Week; final-year 7-day project; Industrial Design design sprint)</t>
        </is>
      </c>
      <c r="E891" s="77" t="inlineStr">
        <is>
          <t>employer; project</t>
        </is>
      </c>
      <c r="F891" s="77" t="inlineStr">
        <is>
          <t>https://www.lboro.ac.uk/schools/design-creative-arts/study/employability/engage-with-industry/</t>
        </is>
      </c>
      <c r="G891" s="77" t="inlineStr">
        <is>
          <t>Engage with industry</t>
        </is>
      </c>
      <c r="H891" s="77" t="inlineStr">
        <is>
          <t>Employability</t>
        </is>
      </c>
      <c r="I891" s="77" t="inlineStr">
        <is>
          <t>undated</t>
        </is>
      </c>
      <c r="J891" s="77" t="inlineStr">
        <is>
          <t>2026-10-12</t>
        </is>
      </c>
      <c r="K891" s="77" t="inlineStr">
        <is>
          <t>search-summary paraphrase</t>
        </is>
      </c>
      <c r="L891" s="77" t="inlineStr">
        <is>
          <t>School arranges live projects with industry contacts; briefs created and reviewed by partners; companies including Milliken, Panasonic, Layer, DCA and Seymour Powell.</t>
        </is>
      </c>
    </row>
    <row r="892">
      <c r="A892" s="77" t="inlineStr">
        <is>
          <t>UK04-S10-R2</t>
        </is>
      </c>
      <c r="B892" s="77" t="inlineStr">
        <is>
          <t>UK04</t>
        </is>
      </c>
      <c r="C892" s="77" t="inlineStr">
        <is>
          <t>UK04-S10</t>
        </is>
      </c>
      <c r="D892" s="77" t="inlineStr">
        <is>
          <t>School of Design and Creative Arts live industry briefs (Design Week; final-year 7-day project; Industrial Design design sprint)</t>
        </is>
      </c>
      <c r="E892" s="77" t="inlineStr">
        <is>
          <t>project; employer; status</t>
        </is>
      </c>
      <c r="F892" s="77" t="inlineStr">
        <is>
          <t>https://www.lboro.ac.uk/schools/design-creative-arts/whats-happening/news/2025/designweek2025bringingindustrytoourstudents/</t>
        </is>
      </c>
      <c r="G892" s="77" t="inlineStr">
        <is>
          <t>Design Week 2025: Industrial Design and Product Design &amp; Technology students tackle live industry briefs</t>
        </is>
      </c>
      <c r="H892" s="77" t="inlineStr">
        <is>
          <t>News</t>
        </is>
      </c>
      <c r="I892" s="77" t="inlineStr">
        <is>
          <t>2025</t>
        </is>
      </c>
      <c r="J892" s="77" t="inlineStr">
        <is>
          <t>2026-10-12</t>
        </is>
      </c>
      <c r="K892" s="77" t="inlineStr">
        <is>
          <t>search-summary paraphrase</t>
        </is>
      </c>
      <c r="L892" s="77" t="inlineStr">
        <is>
          <t>Second-year students worked on live briefs from Cambridge Consultants, Joseph Joseph and Kohler Mira.</t>
        </is>
      </c>
    </row>
    <row r="893">
      <c r="A893" s="77" t="inlineStr">
        <is>
          <t>UK04-S10-R3</t>
        </is>
      </c>
      <c r="B893" s="77" t="inlineStr">
        <is>
          <t>UK04</t>
        </is>
      </c>
      <c r="C893" s="77" t="inlineStr">
        <is>
          <t>UK04-S10</t>
        </is>
      </c>
      <c r="D893" s="77" t="inlineStr">
        <is>
          <t>School of Design and Creative Arts live industry briefs (Design Week; final-year 7-day project; Industrial Design design sprint)</t>
        </is>
      </c>
      <c r="E893" s="77" t="inlineStr">
        <is>
          <t>group; employer</t>
        </is>
      </c>
      <c r="F893" s="77" t="inlineStr">
        <is>
          <t>https://www.lboro.ac.uk/study/undergraduate/courses/industrial-design/</t>
        </is>
      </c>
      <c r="G893" s="77" t="inlineStr">
        <is>
          <t>Industrial Design BA</t>
        </is>
      </c>
      <c r="H893" s="77" t="inlineStr">
        <is>
          <t>Course page</t>
        </is>
      </c>
      <c r="I893" s="77" t="inlineStr">
        <is>
          <t>undated</t>
        </is>
      </c>
      <c r="J893" s="77" t="inlineStr">
        <is>
          <t>2026-10-12</t>
        </is>
      </c>
      <c r="K893" s="77" t="inlineStr">
        <is>
          <t>search-summary paraphrase</t>
        </is>
      </c>
      <c r="L893" s="77" t="inlineStr">
        <is>
          <t>Design sprint module: each student selects one brief and creates a design proposal sent to respective companies for feedback.</t>
        </is>
      </c>
    </row>
    <row r="894">
      <c r="A894" s="77" t="inlineStr">
        <is>
          <t>UK04-S10-R4</t>
        </is>
      </c>
      <c r="B894" s="77" t="inlineStr">
        <is>
          <t>UK04</t>
        </is>
      </c>
      <c r="C894" s="77" t="inlineStr">
        <is>
          <t>UK04-S10</t>
        </is>
      </c>
      <c r="D894" s="77" t="inlineStr">
        <is>
          <t>School of Design and Creative Arts live industry briefs (Design Week; final-year 7-day project; Industrial Design design sprint)</t>
        </is>
      </c>
      <c r="E894" s="77" t="inlineStr">
        <is>
          <t>project; employer; status</t>
        </is>
      </c>
      <c r="F894" s="77" t="inlineStr">
        <is>
          <t>https://designshow.lboro.ac.uk/awards/</t>
        </is>
      </c>
      <c r="G894" s="77" t="inlineStr">
        <is>
          <t>Awards - Loughborough Design Digital Showcase 2020</t>
        </is>
      </c>
      <c r="H894" s="77" t="inlineStr">
        <is>
          <t>Awards</t>
        </is>
      </c>
      <c r="I894" s="77" t="inlineStr">
        <is>
          <t>2020</t>
        </is>
      </c>
      <c r="J894" s="77" t="inlineStr">
        <is>
          <t>2026-10-12</t>
        </is>
      </c>
      <c r="K894" s="77" t="inlineStr">
        <is>
          <t>search-summary paraphrase</t>
        </is>
      </c>
      <c r="L894" s="77" t="inlineStr">
        <is>
          <t>Intense 7-day project where final-year students respond to briefs from Panasonic, DCA and Seymour Powell; winners chosen by the brief-providing companies.</t>
        </is>
      </c>
    </row>
    <row r="895">
      <c r="A895" s="77" t="inlineStr">
        <is>
          <t>UK04-S11-R1</t>
        </is>
      </c>
      <c r="B895" s="77" t="inlineStr">
        <is>
          <t>UK04</t>
        </is>
      </c>
      <c r="C895" s="77" t="inlineStr">
        <is>
          <t>UK04-S11</t>
        </is>
      </c>
      <c r="D895" s="77" t="inlineStr">
        <is>
          <t>EnerHy Centre for Doctoral Training design-and-build project (Cadent)</t>
        </is>
      </c>
      <c r="E895" s="77" t="inlineStr">
        <is>
          <t>project; group; employer; status; duration</t>
        </is>
      </c>
      <c r="F895" s="77" t="inlineStr">
        <is>
          <t>https://www.lboro.ac.uk/news-events/news/2025/september/enerhy/</t>
        </is>
      </c>
      <c r="G895" s="77" t="inlineStr">
        <is>
          <t>EnerHy makes strides in public engagement and research collaboration</t>
        </is>
      </c>
      <c r="H895" s="77" t="inlineStr">
        <is>
          <t>News</t>
        </is>
      </c>
      <c r="I895" s="77" t="inlineStr">
        <is>
          <t>2025 (September)</t>
        </is>
      </c>
      <c r="J895" s="77" t="inlineStr">
        <is>
          <t>2026-10-12</t>
        </is>
      </c>
      <c r="K895" s="77" t="inlineStr">
        <is>
          <t>search-summary paraphrase</t>
        </is>
      </c>
      <c r="L895" s="77" t="inlineStr">
        <is>
          <t>Design and build project for this year posed by Cadent; students with varied science and engineering backgrounds worked as a 13-person multidisciplinary team on a six-month project and unveiled a prototype at the event.</t>
        </is>
      </c>
    </row>
    <row r="896">
      <c r="A896" s="77" t="inlineStr">
        <is>
          <t>UK04-S12-R1</t>
        </is>
      </c>
      <c r="B896" s="77" t="inlineStr">
        <is>
          <t>UK04</t>
        </is>
      </c>
      <c r="C896" s="77" t="inlineStr">
        <is>
          <t>UK04-S12</t>
        </is>
      </c>
      <c r="D896" s="77" t="inlineStr">
        <is>
          <t>Collaborate Sprint (Loughborough University London)</t>
        </is>
      </c>
      <c r="E896" s="77" t="inlineStr">
        <is>
          <t>project; group; employer; status; duration</t>
        </is>
      </c>
      <c r="F896" s="77" t="inlineStr">
        <is>
          <t>https://www.lboro.ac.uk/news-events/news/2022/july/ldn-team-deliver-first-collab-spring-with-ugs/</t>
        </is>
      </c>
      <c r="G896" s="77" t="inlineStr">
        <is>
          <t>Loughborough University London team deliver first ever 'Collaborate Sprint' with Loughborough undergraduates</t>
        </is>
      </c>
      <c r="H896" s="77" t="inlineStr">
        <is>
          <t>News</t>
        </is>
      </c>
      <c r="I896" s="77" t="inlineStr">
        <is>
          <t>2022</t>
        </is>
      </c>
      <c r="J896" s="77" t="inlineStr">
        <is>
          <t>2026-10-12</t>
        </is>
      </c>
      <c r="K896" s="77" t="inlineStr">
        <is>
          <t>search-summary paraphrase</t>
        </is>
      </c>
      <c r="L896" s="77" t="inlineStr">
        <is>
          <t>2-day experience working with a partner organisation on a real-world challenge; first edition end of June 2022 with Holland &amp; Barrett; students built teams and pitched solutions.</t>
        </is>
      </c>
    </row>
    <row r="897">
      <c r="A897" s="77" t="inlineStr">
        <is>
          <t>UK05-S01-R1</t>
        </is>
      </c>
      <c r="B897" s="77" t="inlineStr">
        <is>
          <t>UK05</t>
        </is>
      </c>
      <c r="C897" s="77" t="inlineStr">
        <is>
          <t>UK05-S01</t>
        </is>
      </c>
      <c r="D897" s="77" t="inlineStr">
        <is>
          <t>Work-Based Learning: Team Projects with Employer Partners</t>
        </is>
      </c>
      <c r="E897" s="77" t="inlineStr">
        <is>
          <t>project; group; employer; eligibility; credit; duration</t>
        </is>
      </c>
      <c r="F897" s="77" t="inlineStr">
        <is>
          <t>https://www.abdn.ac.uk/registry/courses/undergraduate/2025/professional_development/pd2503</t>
        </is>
      </c>
      <c r="G897" s="77" t="inlineStr">
        <is>
          <t>PD2503: Work-Based Learning: Team Projects with Employer Partners - Catalogue of Courses</t>
        </is>
      </c>
      <c r="H897" s="77" t="inlineStr">
        <is>
          <t>Course overview / assessment</t>
        </is>
      </c>
      <c r="I897" s="77" t="inlineStr">
        <is>
          <t>2024-2025 (page heading)</t>
        </is>
      </c>
      <c r="J897" s="77" t="inlineStr">
        <is>
          <t>2026-10-13</t>
        </is>
      </c>
      <c r="K897" s="77" t="inlineStr">
        <is>
          <t>page text</t>
        </is>
      </c>
      <c r="L897" s="77" t="inlineStr">
        <is>
          <t>"This course will give you an experience of working in a team on a real project." Students work in a team on a live project for a sponsoring organisation, from applying to presenting results; open to Level 2 students from any discipline; Project Plan draft signed off by sponsor (team); Project Pitch/Presentation (team); Report: Group 40%; 15 credits; Second Term; Academic session 2024-2025.</t>
        </is>
      </c>
    </row>
    <row r="898">
      <c r="A898" s="77" t="inlineStr">
        <is>
          <t>UK05-S01-R2</t>
        </is>
      </c>
      <c r="B898" s="77" t="inlineStr">
        <is>
          <t>UK05</t>
        </is>
      </c>
      <c r="C898" s="77" t="inlineStr">
        <is>
          <t>UK05-S01</t>
        </is>
      </c>
      <c r="D898" s="77" t="inlineStr">
        <is>
          <t>Work-Based Learning: Team Projects with Employer Partners</t>
        </is>
      </c>
      <c r="E898" s="77" t="inlineStr">
        <is>
          <t>reach; eligibility; group; employer</t>
        </is>
      </c>
      <c r="F898" s="77" t="inlineStr">
        <is>
          <t>https://www.abdn.ac.uk/careers/experience/placements-and-work-experience-and-in-the-curriculum/</t>
        </is>
      </c>
      <c r="G898" s="77" t="inlineStr">
        <is>
          <t>Placements and Work Experience and in the Curriculum</t>
        </is>
      </c>
      <c r="H898" s="77" t="inlineStr">
        <is>
          <t>Credit-bearing courses</t>
        </is>
      </c>
      <c r="I898" s="77" t="inlineStr">
        <is>
          <t>undated</t>
        </is>
      </c>
      <c r="J898" s="77" t="inlineStr">
        <is>
          <t>2026-10-12</t>
        </is>
      </c>
      <c r="K898" s="77" t="inlineStr">
        <is>
          <t>search-summary paraphrase</t>
        </is>
      </c>
      <c r="L898" s="77" t="inlineStr">
        <is>
          <t>Careers page lists PD2503 among courses open to undergraduate students from any degree discipline; course connects students with employers for hands-on experience working in a team on a real project.</t>
        </is>
      </c>
    </row>
    <row r="899">
      <c r="A899" s="77" t="inlineStr">
        <is>
          <t>UK05-S01-R3</t>
        </is>
      </c>
      <c r="B899" s="77" t="inlineStr">
        <is>
          <t>UK05</t>
        </is>
      </c>
      <c r="C899" s="77" t="inlineStr">
        <is>
          <t>UK05-S01</t>
        </is>
      </c>
      <c r="D899" s="77" t="inlineStr">
        <is>
          <t>Work-Based Learning: Team Projects with Employer Partners</t>
        </is>
      </c>
      <c r="E899" s="77" t="inlineStr">
        <is>
          <t>participation; status</t>
        </is>
      </c>
      <c r="F899" s="77" t="inlineStr">
        <is>
          <t>https://www.abdn.ac.uk/staffnet/education/blog/forget-about-the-grades-why-feedback-is-key-to-workplace-readiness/</t>
        </is>
      </c>
      <c r="G899" s="77" t="inlineStr">
        <is>
          <t>Forget about the grades: Why feedback is key to workplace readiness</t>
        </is>
      </c>
      <c r="H899" s="77" t="inlineStr">
        <is>
          <t>Staff education blog</t>
        </is>
      </c>
      <c r="I899" s="77" t="inlineStr">
        <is>
          <t>2025</t>
        </is>
      </c>
      <c r="J899" s="77" t="inlineStr">
        <is>
          <t>2026-10-12</t>
        </is>
      </c>
      <c r="K899" s="77" t="inlineStr">
        <is>
          <t>search-summary paraphrase</t>
        </is>
      </c>
      <c r="L899" s="77" t="inlineStr">
        <is>
          <t>Twenty-three undergraduate students from a range of degree disciplines enrolled when the course launched in January 2025; every assessment component was framed as a milestone to achieve, not a grade.</t>
        </is>
      </c>
    </row>
    <row r="900">
      <c r="A900" s="77" t="inlineStr">
        <is>
          <t>UK05-S02-R1</t>
        </is>
      </c>
      <c r="B900" s="77" t="inlineStr">
        <is>
          <t>UK05</t>
        </is>
      </c>
      <c r="C900" s="77" t="inlineStr">
        <is>
          <t>UK05-S02</t>
        </is>
      </c>
      <c r="D900" s="77" t="inlineStr">
        <is>
          <t>Employer-led Interdisciplinary Project</t>
        </is>
      </c>
      <c r="E900" s="77" t="inlineStr">
        <is>
          <t>project; group; employer</t>
        </is>
      </c>
      <c r="F900" s="77" t="inlineStr">
        <is>
          <t>https://www.abdn.ac.uk/registry/courses/undergraduate/2024/education/ed3537</t>
        </is>
      </c>
      <c r="G900" s="77" t="inlineStr">
        <is>
          <t>ED3537: Employer-led Interdisciplinary Project - Catalogue of Courses</t>
        </is>
      </c>
      <c r="H900" s="77" t="inlineStr">
        <is>
          <t>Course overview</t>
        </is>
      </c>
      <c r="I900" s="77" t="inlineStr">
        <is>
          <t>2023-24 (URL path /2024/)</t>
        </is>
      </c>
      <c r="J900" s="77" t="inlineStr">
        <is>
          <t>2026-10-13</t>
        </is>
      </c>
      <c r="K900" s="77" t="inlineStr">
        <is>
          <t>search-summary paraphrase</t>
        </is>
      </c>
      <c r="L900" s="77" t="inlineStr">
        <is>
          <t>Students work together in a small group on a consultancy-style project hosted by a micro-business, organisation, or charity.</t>
        </is>
      </c>
    </row>
    <row r="901">
      <c r="A901" s="77" t="inlineStr">
        <is>
          <t>UK05-S02-R2</t>
        </is>
      </c>
      <c r="B901" s="77" t="inlineStr">
        <is>
          <t>UK05</t>
        </is>
      </c>
      <c r="C901" s="77" t="inlineStr">
        <is>
          <t>UK05-S02</t>
        </is>
      </c>
      <c r="D901" s="77" t="inlineStr">
        <is>
          <t>Employer-led Interdisciplinary Project</t>
        </is>
      </c>
      <c r="E901" s="77" t="inlineStr">
        <is>
          <t>group; project; credit; eligibility; status</t>
        </is>
      </c>
      <c r="F901" s="77" t="inlineStr">
        <is>
          <t>https://www.abdn.ac.uk/registry/courses/undergraduate/2025-2026/education/ed3537</t>
        </is>
      </c>
      <c r="G901" s="77" t="inlineStr">
        <is>
          <t>ED3537: Employer-led Interdisciplinary Project (2025-2026)</t>
        </is>
      </c>
      <c r="H901" s="77" t="inlineStr">
        <is>
          <t>Course overview / assessment</t>
        </is>
      </c>
      <c r="I901" s="77" t="inlineStr">
        <is>
          <t>2025-2026</t>
        </is>
      </c>
      <c r="J901" s="77" t="inlineStr">
        <is>
          <t>2026-10-13</t>
        </is>
      </c>
      <c r="K901" s="77" t="inlineStr">
        <is>
          <t>page text</t>
        </is>
      </c>
      <c r="L901" s="77" t="inlineStr">
        <is>
          <t>"This course involves students working together in a small group to undertake a consultancy-style project"; 30 credits (15 ECTS); Oral Presentation: Group 30%; Report: Individual 50%; Literature Review 20%; prerequisites: Either Programme Level 3 or Programme Level 4, Any Undergraduate Programme.</t>
        </is>
      </c>
    </row>
    <row r="902">
      <c r="A902" s="77" t="inlineStr">
        <is>
          <t>UK05-S03-R1</t>
        </is>
      </c>
      <c r="B902" s="77" t="inlineStr">
        <is>
          <t>UK05</t>
        </is>
      </c>
      <c r="C902" s="77" t="inlineStr">
        <is>
          <t>UK05-S03</t>
        </is>
      </c>
      <c r="D902" s="77" t="inlineStr">
        <is>
          <t>Engineering Work Experience</t>
        </is>
      </c>
      <c r="E902" s="77" t="inlineStr">
        <is>
          <t>project; group; employer; eligibility; credit; status</t>
        </is>
      </c>
      <c r="F902" s="77" t="inlineStr">
        <is>
          <t>https://www.abdn.ac.uk/registry/courses/undergraduate/2025-2026/education/ed251a</t>
        </is>
      </c>
      <c r="G902" s="77" t="inlineStr">
        <is>
          <t>ed251a: engineering work experience (2025-2026)</t>
        </is>
      </c>
      <c r="H902" s="77" t="inlineStr">
        <is>
          <t>Course overview / entry requirements</t>
        </is>
      </c>
      <c r="I902" s="77" t="inlineStr">
        <is>
          <t>2025-26</t>
        </is>
      </c>
      <c r="J902" s="77" t="inlineStr">
        <is>
          <t>2026-10-13</t>
        </is>
      </c>
      <c r="K902" s="77" t="inlineStr">
        <is>
          <t>page text</t>
        </is>
      </c>
      <c r="L902" s="77" t="inlineStr">
        <is>
          <t>"undertake a group consultancy project for a local engineering organisation"; 15 credits (7.5 ECTS); Group Report 30%, Group Oral Presentation 30%, Reflective Report 40%; entry: Any Undergraduate Programme (Studied), Programme Level 2, Engineering (EG) (Studied); heading ED251A: ENGINEERING WORK EXPERIENCE (2025-2026).</t>
        </is>
      </c>
    </row>
    <row r="903">
      <c r="A903" s="77" t="inlineStr">
        <is>
          <t>UK05-S03-R2</t>
        </is>
      </c>
      <c r="B903" s="77" t="inlineStr">
        <is>
          <t>UK05</t>
        </is>
      </c>
      <c r="C903" s="77" t="inlineStr">
        <is>
          <t>UK05-S03</t>
        </is>
      </c>
      <c r="D903" s="77" t="inlineStr">
        <is>
          <t>Engineering Work Experience</t>
        </is>
      </c>
      <c r="E903" s="77" t="inlineStr">
        <is>
          <t>project; group; employer; duration</t>
        </is>
      </c>
      <c r="F903" s="77" t="inlineStr">
        <is>
          <t>https://www.abdn.ac.uk/staffnet/education/good-practice/other-learning--teaching-case-studies/employability/engineering-work-experience/</t>
        </is>
      </c>
      <c r="G903" s="77" t="inlineStr">
        <is>
          <t>Embedding Engineering Work Experience into the Second Year Curriculum</t>
        </is>
      </c>
      <c r="H903" s="77" t="inlineStr">
        <is>
          <t>Staff good-practice case study</t>
        </is>
      </c>
      <c r="I903" s="77" t="inlineStr">
        <is>
          <t>2018</t>
        </is>
      </c>
      <c r="J903" s="77" t="inlineStr">
        <is>
          <t>2026-10-12</t>
        </is>
      </c>
      <c r="K903" s="77" t="inlineStr">
        <is>
          <t>search-summary paraphrase</t>
        </is>
      </c>
      <c r="L903" s="77" t="inlineStr">
        <is>
          <t>10-week course with projects running January to March; consultancy-style group projects let students work on a real-life project brief.</t>
        </is>
      </c>
    </row>
    <row r="904">
      <c r="A904" s="77" t="inlineStr">
        <is>
          <t>UK05-S04-R1</t>
        </is>
      </c>
      <c r="B904" s="77" t="inlineStr">
        <is>
          <t>UK05</t>
        </is>
      </c>
      <c r="C904" s="77" t="inlineStr">
        <is>
          <t>UK05-S04</t>
        </is>
      </c>
      <c r="D904" s="77" t="inlineStr">
        <is>
          <t>Computing Science work-based learning course (Collaborate with Future Talent)</t>
        </is>
      </c>
      <c r="E904" s="77" t="inlineStr">
        <is>
          <t>project; employer; eligibility; duration</t>
        </is>
      </c>
      <c r="F904" s="77" t="inlineStr">
        <is>
          <t>https://www.abdn.ac.uk/ncs/departments/computing-science/work-based-learning-course/collaborate-with-future-talent/</t>
        </is>
      </c>
      <c r="G904" s="77" t="inlineStr">
        <is>
          <t>Collaborate with Future Talent</t>
        </is>
      </c>
      <c r="H904" s="77" t="inlineStr">
        <is>
          <t>Computing Science work-based learning course (employer page)</t>
        </is>
      </c>
      <c r="I904" s="77" t="inlineStr">
        <is>
          <t>undated</t>
        </is>
      </c>
      <c r="J904" s="77" t="inlineStr">
        <is>
          <t>2026-10-13</t>
        </is>
      </c>
      <c r="K904" s="77" t="inlineStr">
        <is>
          <t>page text</t>
        </is>
      </c>
      <c r="L904" s="77" t="inlineStr">
        <is>
          <t>"You'll supervise a student who contributes to your project as part of their degree programme." Project lasts 10 weeks, September to December, 10 hours a week; employer proposes project, meets weekly, completes end-of-project appraisal; access limited to Year 4 Computer Science students whose prior academic performance meets the required level.</t>
        </is>
      </c>
    </row>
    <row r="905">
      <c r="A905" s="77" t="inlineStr">
        <is>
          <t>UK05-S05-R1</t>
        </is>
      </c>
      <c r="B905" s="77" t="inlineStr">
        <is>
          <t>UK05</t>
        </is>
      </c>
      <c r="C905" s="77" t="inlineStr">
        <is>
          <t>UK05-S05</t>
        </is>
      </c>
      <c r="D905" s="77" t="inlineStr">
        <is>
          <t>ABDN Grad Challenge</t>
        </is>
      </c>
      <c r="E905" s="77" t="inlineStr">
        <is>
          <t>project; group; employer</t>
        </is>
      </c>
      <c r="F905" s="77" t="inlineStr">
        <is>
          <t>https://www.abdn.ac.uk/careers/skills-attributes/abdn-grad-challenge-1515.php</t>
        </is>
      </c>
      <c r="G905" s="77" t="inlineStr">
        <is>
          <t>ABDN Grad Challenge</t>
        </is>
      </c>
      <c r="H905" s="77" t="inlineStr">
        <is>
          <t>Careers skills and attributes</t>
        </is>
      </c>
      <c r="I905" s="77" t="inlineStr">
        <is>
          <t>undated</t>
        </is>
      </c>
      <c r="J905" s="77" t="inlineStr">
        <is>
          <t>2026-10-13</t>
        </is>
      </c>
      <c r="K905" s="77" t="inlineStr">
        <is>
          <t>search-index extract (quoted)</t>
        </is>
      </c>
      <c r="L905" s="77" t="inlineStr">
        <is>
          <t>Graduating students take part in project-based, virtual work experience as part of a cross-discipline team tackling real life challenges set by our employer partners.</t>
        </is>
      </c>
    </row>
    <row r="906">
      <c r="A906" s="77" t="inlineStr">
        <is>
          <t>UK05-S06-R1</t>
        </is>
      </c>
      <c r="B906" s="77" t="inlineStr">
        <is>
          <t>UK05</t>
        </is>
      </c>
      <c r="C906" s="77" t="inlineStr">
        <is>
          <t>UK05-S06</t>
        </is>
      </c>
      <c r="D906" s="77" t="inlineStr">
        <is>
          <t>Working Together: Employability for Arts &amp; Social Sciences</t>
        </is>
      </c>
      <c r="E906" s="77" t="inlineStr">
        <is>
          <t>project; group; employer</t>
        </is>
      </c>
      <c r="F906" s="77" t="inlineStr">
        <is>
          <t>https://www.abdn.ac.uk/staffnet/education/good-practice/other-learning--teaching-case-studies/employability/business-community-engagement-and-student-learning/</t>
        </is>
      </c>
      <c r="G906" s="77" t="inlineStr">
        <is>
          <t>Business Community Engagement and Student Learning</t>
        </is>
      </c>
      <c r="H906" s="77" t="inlineStr">
        <is>
          <t>Staff good-practice case study</t>
        </is>
      </c>
      <c r="I906" s="77" t="inlineStr">
        <is>
          <t>c.2018-2019</t>
        </is>
      </c>
      <c r="J906" s="77" t="inlineStr">
        <is>
          <t>2026-10-13</t>
        </is>
      </c>
      <c r="K906" s="77" t="inlineStr">
        <is>
          <t>page text (partial: first 100,000 characters read)</t>
        </is>
      </c>
      <c r="L906" s="77" t="inlineStr">
        <is>
          <t>"Working Together: Employability for Arts &amp; Social Sciences (ED3536)"; project "provided by a local business or charity"; "group, work-based project"; summative reflective report/group oral presentation.</t>
        </is>
      </c>
    </row>
    <row r="907">
      <c r="A907" s="77" t="inlineStr">
        <is>
          <t>UK06-S01-R1</t>
        </is>
      </c>
      <c r="B907" s="77" t="inlineStr">
        <is>
          <t>UK06</t>
        </is>
      </c>
      <c r="C907" s="77" t="inlineStr">
        <is>
          <t>UK06-S01</t>
        </is>
      </c>
      <c r="D907" s="77" t="inlineStr">
        <is>
          <t>Entrepreneurship and Innovation Consultancy Project</t>
        </is>
      </c>
      <c r="E907" s="77" t="inlineStr">
        <is>
          <t>project; group; employer; credit; status</t>
        </is>
      </c>
      <c r="F907" s="77" t="inlineStr">
        <is>
          <t>https://www.reading.ac.uk/modules/documents?acyear=2025%2F6&amp;modcode=MMM161&amp;schoolcode=HBS+DME+W%7CHBS+FIN+W%7CHBS+IBS+W%7CHBS+ICM+W%7CHBS+LOB+W%7CHBS+MGM+W%7CHBS+MKR+W%7CHBS+REP+W</t>
        </is>
      </c>
      <c r="G907" s="77" t="inlineStr">
        <is>
          <t>MMM161: Entrepreneurship and Innovation Consultancy Project (2025/6)</t>
        </is>
      </c>
      <c r="H907" s="77" t="inlineStr">
        <is>
          <t>Module description and assessment</t>
        </is>
      </c>
      <c r="I907" s="77" t="inlineStr">
        <is>
          <t>2025/6</t>
        </is>
      </c>
      <c r="J907" s="77" t="inlineStr">
        <is>
          <t>2026-10-12</t>
        </is>
      </c>
      <c r="K907" s="77" t="inlineStr">
        <is>
          <t>search-index extract (quoted)</t>
        </is>
      </c>
      <c r="L907" s="77" t="inlineStr">
        <is>
          <t>40-credit Level 7 module, Semester 2/Summer; Task 2 team oral presentation 30% (25 min plus questions); Task 3 individual project proposal for the host entrepreneur 50% (5,000 words).</t>
        </is>
      </c>
    </row>
    <row r="908">
      <c r="A908" s="77" t="inlineStr">
        <is>
          <t>UK06-S01-R2</t>
        </is>
      </c>
      <c r="B908" s="77" t="inlineStr">
        <is>
          <t>UK06</t>
        </is>
      </c>
      <c r="C908" s="77" t="inlineStr">
        <is>
          <t>UK06-S01</t>
        </is>
      </c>
      <c r="D908" s="77" t="inlineStr">
        <is>
          <t>Entrepreneurship and Innovation Consultancy Project</t>
        </is>
      </c>
      <c r="E908" s="77" t="inlineStr">
        <is>
          <t>project; group; employer</t>
        </is>
      </c>
      <c r="F908" s="77" t="inlineStr">
        <is>
          <t>https://www.reading.ac.uk/modules/documents?acyear=2024/5&amp;modcode=MMM161</t>
        </is>
      </c>
      <c r="G908" s="77" t="inlineStr">
        <is>
          <t>Entrepreneurship and Innovation Consultancy Project (2024/5)</t>
        </is>
      </c>
      <c r="H908" s="77" t="inlineStr">
        <is>
          <t>Module overview / summer semester</t>
        </is>
      </c>
      <c r="I908" s="77" t="inlineStr">
        <is>
          <t>2024/5</t>
        </is>
      </c>
      <c r="J908" s="77" t="inlineStr">
        <is>
          <t>2026-10-12</t>
        </is>
      </c>
      <c r="K908" s="77" t="inlineStr">
        <is>
          <t>search-index extract (quoted)</t>
        </is>
      </c>
      <c r="L908" s="77" t="inlineStr">
        <is>
          <t>Students practise on case studies in informal groups, then work for real entrepreneurs: 'not a case study... for real'; summer semester involves the consultancy team interacting with their project host from mid-June to late-July.</t>
        </is>
      </c>
    </row>
    <row r="909">
      <c r="A909" s="77" t="inlineStr">
        <is>
          <t>UK06-S01-R3</t>
        </is>
      </c>
      <c r="B909" s="77" t="inlineStr">
        <is>
          <t>UK06</t>
        </is>
      </c>
      <c r="C909" s="77" t="inlineStr">
        <is>
          <t>UK06-S01</t>
        </is>
      </c>
      <c r="D909" s="77" t="inlineStr">
        <is>
          <t>Entrepreneurship and Innovation Consultancy Project</t>
        </is>
      </c>
      <c r="E909" s="77" t="inlineStr">
        <is>
          <t>participation; eligibility</t>
        </is>
      </c>
      <c r="F909" s="77" t="inlineStr">
        <is>
          <t>https://www.reading.ac.uk/progspecs/pdf23/PFTZENTRINHM23.pdf</t>
        </is>
      </c>
      <c r="G909" s="77" t="inlineStr">
        <is>
          <t>Programme Specification MSc Entrepreneurship and Innovation (full-time)</t>
        </is>
      </c>
      <c r="H909" s="77" t="inlineStr">
        <is>
          <t>Assessment/classification</t>
        </is>
      </c>
      <c r="I909" s="77" t="inlineStr">
        <is>
          <t>2023</t>
        </is>
      </c>
      <c r="J909" s="77" t="inlineStr">
        <is>
          <t>2026-10-12</t>
        </is>
      </c>
      <c r="K909" s="77" t="inlineStr">
        <is>
          <t>search-summary paraphrase</t>
        </is>
      </c>
      <c r="L909" s="77" t="inlineStr">
        <is>
          <t>MMM161 is considered equivalent to a dissertation; a mark of 60+ in MMM161 is required for Distinction.</t>
        </is>
      </c>
    </row>
    <row r="910">
      <c r="A910" s="77" t="inlineStr">
        <is>
          <t>UK06-S02-R1</t>
        </is>
      </c>
      <c r="B910" s="77" t="inlineStr">
        <is>
          <t>UK06</t>
        </is>
      </c>
      <c r="C910" s="77" t="inlineStr">
        <is>
          <t>UK06-S02</t>
        </is>
      </c>
      <c r="D910" s="77" t="inlineStr">
        <is>
          <t>Capstone Project (ECM200)</t>
        </is>
      </c>
      <c r="E910" s="77" t="inlineStr">
        <is>
          <t>project; group; employer; status; credit</t>
        </is>
      </c>
      <c r="F910" s="77" t="inlineStr">
        <is>
          <t>https://www.reading.ac.uk/modules/documents?acyear=2025/6&amp;modcode=ECM200&amp;schoolcode=PPE+ECO%7CPPE+GIPIS%7CPPE+PHIL%7CPPE+POL</t>
        </is>
      </c>
      <c r="G910" s="77" t="inlineStr">
        <is>
          <t>ECM200: Capstone Project (2025/6)</t>
        </is>
      </c>
      <c r="H910" s="77" t="inlineStr">
        <is>
          <t>Module description</t>
        </is>
      </c>
      <c r="I910" s="77" t="inlineStr">
        <is>
          <t>2025/6</t>
        </is>
      </c>
      <c r="J910" s="77" t="inlineStr">
        <is>
          <t>2026-10-12</t>
        </is>
      </c>
      <c r="K910" s="77" t="inlineStr">
        <is>
          <t>search-index extract (quoted)</t>
        </is>
      </c>
      <c r="L910" s="77" t="inlineStr">
        <is>
          <t>Working in small groups and overseen by a faculty member, students complete a project on behalf of an external organisation (businesses, government agencies, not-for-profits, NGOs); individual written report 3,000-4,000 words, 100%.</t>
        </is>
      </c>
    </row>
    <row r="911">
      <c r="A911" s="77" t="inlineStr">
        <is>
          <t>UK06-S02-R2</t>
        </is>
      </c>
      <c r="B911" s="77" t="inlineStr">
        <is>
          <t>UK06</t>
        </is>
      </c>
      <c r="C911" s="77" t="inlineStr">
        <is>
          <t>UK06-S02</t>
        </is>
      </c>
      <c r="D911" s="77" t="inlineStr">
        <is>
          <t>Capstone Project (ECM200)</t>
        </is>
      </c>
      <c r="E911" s="77" t="inlineStr">
        <is>
          <t>project; group; employer; credit; duration</t>
        </is>
      </c>
      <c r="F911" s="77" t="inlineStr">
        <is>
          <t>https://www.reading.ac.uk/modules/documents?acyear=2024/5&amp;modcode=ECM200</t>
        </is>
      </c>
      <c r="G911" s="77" t="inlineStr">
        <is>
          <t>ECM200: Capstone Project (2024/5)</t>
        </is>
      </c>
      <c r="H911" s="77" t="inlineStr">
        <is>
          <t>Module description</t>
        </is>
      </c>
      <c r="I911" s="77" t="inlineStr">
        <is>
          <t>2024/5</t>
        </is>
      </c>
      <c r="J911" s="77" t="inlineStr">
        <is>
          <t>2026-10-12</t>
        </is>
      </c>
      <c r="K911" s="77" t="inlineStr">
        <is>
          <t>search-summary paraphrase</t>
        </is>
      </c>
      <c r="L911" s="77" t="inlineStr">
        <is>
          <t>Small-group project for an external organisation with academic supervisor; 20 credits; full year.</t>
        </is>
      </c>
    </row>
    <row r="912">
      <c r="A912" s="77" t="inlineStr">
        <is>
          <t>UK06-S02-R3</t>
        </is>
      </c>
      <c r="B912" s="77" t="inlineStr">
        <is>
          <t>UK06</t>
        </is>
      </c>
      <c r="C912" s="77" t="inlineStr">
        <is>
          <t>UK06-S02</t>
        </is>
      </c>
      <c r="D912" s="77" t="inlineStr">
        <is>
          <t>Capstone Project (ECM200)</t>
        </is>
      </c>
      <c r="E912" s="77" t="inlineStr">
        <is>
          <t>employer; participation; eligibility</t>
        </is>
      </c>
      <c r="F912" s="77" t="inlineStr">
        <is>
          <t>https://www.reading.ac.uk/economics/masters/how-youll-study</t>
        </is>
      </c>
      <c r="G912" s="77" t="inlineStr">
        <is>
          <t>Department of Economics - How you'll study</t>
        </is>
      </c>
      <c r="H912" s="77" t="inlineStr">
        <is>
          <t>Capstone Project</t>
        </is>
      </c>
      <c r="I912" s="77" t="inlineStr">
        <is>
          <t>undated</t>
        </is>
      </c>
      <c r="J912" s="77" t="inlineStr">
        <is>
          <t>2026-10-12</t>
        </is>
      </c>
      <c r="K912" s="77" t="inlineStr">
        <is>
          <t>search-summary paraphrase</t>
        </is>
      </c>
      <c r="L912" s="77" t="inlineStr">
        <is>
          <t>Teams work for an outside client; past clients include businesses, government agencies, not-for-profits, NGOs and start-ups; organisations contact capstone@reading.ac.uk.</t>
        </is>
      </c>
    </row>
    <row r="913">
      <c r="A913" s="77" t="inlineStr">
        <is>
          <t>UK06-S02-R4</t>
        </is>
      </c>
      <c r="B913" s="77" t="inlineStr">
        <is>
          <t>UK06</t>
        </is>
      </c>
      <c r="C913" s="77" t="inlineStr">
        <is>
          <t>UK06-S02</t>
        </is>
      </c>
      <c r="D913" s="77" t="inlineStr">
        <is>
          <t>Capstone Project (ECM200)</t>
        </is>
      </c>
      <c r="E913" s="77" t="inlineStr">
        <is>
          <t>eligibility; participation; status</t>
        </is>
      </c>
      <c r="F913" s="77" t="inlineStr">
        <is>
          <t>https://www.reading.ac.uk/ready-to-study/study/2026/economics-pg/msc-public-policy</t>
        </is>
      </c>
      <c r="G913" s="77" t="inlineStr">
        <is>
          <t>MSc in Public Policy - 2026/27</t>
        </is>
      </c>
      <c r="H913" s="77" t="inlineStr">
        <is>
          <t>Course structure</t>
        </is>
      </c>
      <c r="I913" s="77" t="inlineStr">
        <is>
          <t>2026/27</t>
        </is>
      </c>
      <c r="J913" s="77" t="inlineStr">
        <is>
          <t>2026-10-12</t>
        </is>
      </c>
      <c r="K913" s="77" t="inlineStr">
        <is>
          <t>search-summary paraphrase</t>
        </is>
      </c>
      <c r="L913" s="77" t="inlineStr">
        <is>
          <t>Capstone Project (group project for an external organisation) offered as an alternative to the Applied Research Project and Placement.</t>
        </is>
      </c>
    </row>
    <row r="914">
      <c r="A914" s="77" t="inlineStr">
        <is>
          <t>UK06-S03-R1</t>
        </is>
      </c>
      <c r="B914" s="77" t="inlineStr">
        <is>
          <t>UK06</t>
        </is>
      </c>
      <c r="C914" s="77" t="inlineStr">
        <is>
          <t>UK06-S03</t>
        </is>
      </c>
      <c r="D914" s="77" t="inlineStr">
        <is>
          <t>Real Estate Opportunities (Industry Challenge)</t>
        </is>
      </c>
      <c r="E914" s="77" t="inlineStr">
        <is>
          <t>project; group; employer; credit; status</t>
        </is>
      </c>
      <c r="F914" s="77" t="inlineStr">
        <is>
          <t>https://www.reading.ac.uk/modules/documents?acyear=2025%2F6&amp;modcode=REMF56&amp;schoolcode=HBS+DME+W%7CHBS+FIN+W%7CHBS+IBS+W%7CHBS+ICM+W%7CHBS+LOB+W%7CHBS+MGM+W%7CHBS+MKR+W%7CHBS+REP+W</t>
        </is>
      </c>
      <c r="G914" s="77" t="inlineStr">
        <is>
          <t>REMF56: Real Estate Opportunities (2025/6)</t>
        </is>
      </c>
      <c r="H914" s="77" t="inlineStr">
        <is>
          <t>Module description / assessment</t>
        </is>
      </c>
      <c r="I914" s="77" t="inlineStr">
        <is>
          <t>2025/6</t>
        </is>
      </c>
      <c r="J914" s="77" t="inlineStr">
        <is>
          <t>2026-10-12</t>
        </is>
      </c>
      <c r="K914" s="77" t="inlineStr">
        <is>
          <t>search-index extract (quoted)</t>
        </is>
      </c>
      <c r="L914" s="77" t="inlineStr">
        <is>
          <t>Teams of students are assigned a task by an industry partner; assessment: '20 Minute in person group client presentation to industry partner group report based on brief from Industry Partner (3,000 words)', 40%.</t>
        </is>
      </c>
    </row>
    <row r="915">
      <c r="A915" s="77" t="inlineStr">
        <is>
          <t>UK06-S03-R2</t>
        </is>
      </c>
      <c r="B915" s="77" t="inlineStr">
        <is>
          <t>UK06</t>
        </is>
      </c>
      <c r="C915" s="77" t="inlineStr">
        <is>
          <t>UK06-S03</t>
        </is>
      </c>
      <c r="D915" s="77" t="inlineStr">
        <is>
          <t>Real Estate Opportunities (Industry Challenge)</t>
        </is>
      </c>
      <c r="E915" s="77" t="inlineStr">
        <is>
          <t>employer; duration; participation</t>
        </is>
      </c>
      <c r="F915" s="77" t="inlineStr">
        <is>
          <t>https://henley.ac.uk/study/masters/msc-real-estate</t>
        </is>
      </c>
      <c r="G915" s="77" t="inlineStr">
        <is>
          <t>MSc Real Estate</t>
        </is>
      </c>
      <c r="H915" s="77" t="inlineStr">
        <is>
          <t>Programme page</t>
        </is>
      </c>
      <c r="I915" s="77" t="inlineStr">
        <is>
          <t>undated</t>
        </is>
      </c>
      <c r="J915" s="77" t="inlineStr">
        <is>
          <t>2026-10-12</t>
        </is>
      </c>
      <c r="K915" s="77" t="inlineStr">
        <is>
          <t>search-summary paraphrase</t>
        </is>
      </c>
      <c r="L915" s="77" t="inlineStr">
        <is>
          <t>Course described as industry-facing including executing a client brief for an assigned industry partner; capstone with one-week industry challenge.</t>
        </is>
      </c>
    </row>
    <row r="916">
      <c r="A916" s="77" t="inlineStr">
        <is>
          <t>UK06-S03-R3</t>
        </is>
      </c>
      <c r="B916" s="77" t="inlineStr">
        <is>
          <t>UK06</t>
        </is>
      </c>
      <c r="C916" s="77" t="inlineStr">
        <is>
          <t>UK06-S03</t>
        </is>
      </c>
      <c r="D916" s="77" t="inlineStr">
        <is>
          <t>Real Estate Opportunities (Industry Challenge)</t>
        </is>
      </c>
      <c r="E916" s="77" t="inlineStr">
        <is>
          <t>eligibility</t>
        </is>
      </c>
      <c r="F916" s="77" t="inlineStr">
        <is>
          <t>https://www.reading.ac.uk/progspecs/pdf24/PFTREALESTM24.pdf</t>
        </is>
      </c>
      <c r="G916" s="77" t="inlineStr">
        <is>
          <t>Programme Specification MSc in Real Estate (full-time)</t>
        </is>
      </c>
      <c r="H916" s="77" t="inlineStr">
        <is>
          <t>Programme structure</t>
        </is>
      </c>
      <c r="I916" s="77" t="inlineStr">
        <is>
          <t>2024</t>
        </is>
      </c>
      <c r="J916" s="77" t="inlineStr">
        <is>
          <t>2026-10-12</t>
        </is>
      </c>
      <c r="K916" s="77" t="inlineStr">
        <is>
          <t>search-summary paraphrase</t>
        </is>
      </c>
      <c r="L916" s="77" t="inlineStr">
        <is>
          <t>Programme specification for MSc Real Estate (module list).</t>
        </is>
      </c>
    </row>
    <row r="917">
      <c r="A917" s="77" t="inlineStr">
        <is>
          <t>UK06-S04-R1</t>
        </is>
      </c>
      <c r="B917" s="77" t="inlineStr">
        <is>
          <t>UK06</t>
        </is>
      </c>
      <c r="C917" s="77" t="inlineStr">
        <is>
          <t>UK06-S04</t>
        </is>
      </c>
      <c r="D917" s="77" t="inlineStr">
        <is>
          <t>Management Consultancy Project</t>
        </is>
      </c>
      <c r="E917" s="77" t="inlineStr">
        <is>
          <t>project; employer; credit</t>
        </is>
      </c>
      <c r="F917" s="77" t="inlineStr">
        <is>
          <t>https://www.henley.ac.uk/study/masters/msc-management</t>
        </is>
      </c>
      <c r="G917" s="77" t="inlineStr">
        <is>
          <t>MSc Management</t>
        </is>
      </c>
      <c r="H917" s="77" t="inlineStr">
        <is>
          <t>Modules / capstone</t>
        </is>
      </c>
      <c r="I917" s="77" t="inlineStr">
        <is>
          <t>undated</t>
        </is>
      </c>
      <c r="J917" s="77" t="inlineStr">
        <is>
          <t>2026-10-12</t>
        </is>
      </c>
      <c r="K917" s="77" t="inlineStr">
        <is>
          <t>search-summary paraphrase</t>
        </is>
      </c>
      <c r="L917" s="77" t="inlineStr">
        <is>
          <t>MMM190 Management Consultancy Project, 20 credits (10 ECTS), capstone including a consulting project with an organisation; projects developed in collaboration with specific organisations.</t>
        </is>
      </c>
    </row>
    <row r="918">
      <c r="A918" s="77" t="inlineStr">
        <is>
          <t>UK06-S05-R1</t>
        </is>
      </c>
      <c r="B918" s="77" t="inlineStr">
        <is>
          <t>UK06</t>
        </is>
      </c>
      <c r="C918" s="77" t="inlineStr">
        <is>
          <t>UK06-S05</t>
        </is>
      </c>
      <c r="D918" s="77" t="inlineStr">
        <is>
          <t>Assembling Strategy</t>
        </is>
      </c>
      <c r="E918" s="77" t="inlineStr">
        <is>
          <t>project; employer; credit</t>
        </is>
      </c>
      <c r="F918" s="77" t="inlineStr">
        <is>
          <t>https://www.henley.ac.uk/study/masters/msc-management-international-business</t>
        </is>
      </c>
      <c r="G918" s="77" t="inlineStr">
        <is>
          <t>MSc International Business</t>
        </is>
      </c>
      <c r="H918" s="77" t="inlineStr">
        <is>
          <t>Module list</t>
        </is>
      </c>
      <c r="I918" s="77" t="inlineStr">
        <is>
          <t>undated</t>
        </is>
      </c>
      <c r="J918" s="77" t="inlineStr">
        <is>
          <t>2026-10-12</t>
        </is>
      </c>
      <c r="K918" s="77" t="inlineStr">
        <is>
          <t>search-summary paraphrase</t>
        </is>
      </c>
      <c r="L918" s="77" t="inlineStr">
        <is>
          <t>MMM194 Assembling Strategy, 20 credits (10 ECTS): applies frameworks to a real-life consulting project with an external company; client communication and teamwork.</t>
        </is>
      </c>
    </row>
    <row r="919">
      <c r="A919" s="77" t="inlineStr">
        <is>
          <t>UK06-S06-R1</t>
        </is>
      </c>
      <c r="B919" s="77" t="inlineStr">
        <is>
          <t>UK06</t>
        </is>
      </c>
      <c r="C919" s="77" t="inlineStr">
        <is>
          <t>UK06-S06</t>
        </is>
      </c>
      <c r="D919" s="77" t="inlineStr">
        <is>
          <t>Executive MBA (Global) team consultancy projects</t>
        </is>
      </c>
      <c r="E919" s="77" t="inlineStr">
        <is>
          <t>project; group; employer</t>
        </is>
      </c>
      <c r="F919" s="77" t="inlineStr">
        <is>
          <t>https://henley.ac.uk/study/mba/executive-mba-global</t>
        </is>
      </c>
      <c r="G919" s="77" t="inlineStr">
        <is>
          <t>Executive MBA - Global</t>
        </is>
      </c>
      <c r="H919" s="77" t="inlineStr">
        <is>
          <t>Programme content</t>
        </is>
      </c>
      <c r="I919" s="77" t="inlineStr">
        <is>
          <t>undated</t>
        </is>
      </c>
      <c r="J919" s="77" t="inlineStr">
        <is>
          <t>2026-10-12</t>
        </is>
      </c>
      <c r="K919" s="77" t="inlineStr">
        <is>
          <t>search-summary paraphrase</t>
        </is>
      </c>
      <c r="L919" s="77" t="inlineStr">
        <is>
          <t>Team-based consultancy-style project with an emerging international business or start-up; team project for an NGO in South Africa.</t>
        </is>
      </c>
    </row>
    <row r="920">
      <c r="A920" s="77" t="inlineStr">
        <is>
          <t>UK06-S07-R1</t>
        </is>
      </c>
      <c r="B920" s="77" t="inlineStr">
        <is>
          <t>UK06</t>
        </is>
      </c>
      <c r="C920" s="77" t="inlineStr">
        <is>
          <t>UK06-S07</t>
        </is>
      </c>
      <c r="D920" s="77" t="inlineStr">
        <is>
          <t>New Product Development (FB3NPD)</t>
        </is>
      </c>
      <c r="E920" s="77" t="inlineStr">
        <is>
          <t>project; group; employer; status</t>
        </is>
      </c>
      <c r="F920" s="77" t="inlineStr">
        <is>
          <t>https://www.reading.ac.uk/ready-to-study/study/2026/food-and-nutrition-ug/bsc-food-technology-with-bioprocessing-with-industrial-training</t>
        </is>
      </c>
      <c r="G920" s="77" t="inlineStr">
        <is>
          <t>BSc Food Technology with Bioprocessing with Industrial Training - 2026/27</t>
        </is>
      </c>
      <c r="H920" s="77" t="inlineStr">
        <is>
          <t>Final year</t>
        </is>
      </c>
      <c r="I920" s="77" t="inlineStr">
        <is>
          <t>2026/27</t>
        </is>
      </c>
      <c r="J920" s="77" t="inlineStr">
        <is>
          <t>2026-10-12</t>
        </is>
      </c>
      <c r="K920" s="77" t="inlineStr">
        <is>
          <t>search-index extract (quoted)</t>
        </is>
      </c>
      <c r="L920" s="77" t="inlineStr">
        <is>
          <t>'Given a brief by industry experts, you'll work as a team to produce an original product, which you will showcase at an end-of-semester trade show'.</t>
        </is>
      </c>
    </row>
    <row r="921">
      <c r="A921" s="77" t="inlineStr">
        <is>
          <t>UK06-S07-R2</t>
        </is>
      </c>
      <c r="B921" s="77" t="inlineStr">
        <is>
          <t>UK06</t>
        </is>
      </c>
      <c r="C921" s="77" t="inlineStr">
        <is>
          <t>UK06-S07</t>
        </is>
      </c>
      <c r="D921" s="77" t="inlineStr">
        <is>
          <t>New Product Development (FB3NPD)</t>
        </is>
      </c>
      <c r="E921" s="77" t="inlineStr">
        <is>
          <t>group; credit</t>
        </is>
      </c>
      <c r="F921" s="77" t="inlineStr">
        <is>
          <t>https://www.reading.ac.uk/modules/documents?acyear=2023/4&amp;modcode=FB3FPD&amp;schoolcode=CFP+CHEM%7CCFP+FOODBI%7CCFP+PHARM</t>
        </is>
      </c>
      <c r="G921" s="77" t="inlineStr">
        <is>
          <t>FB3FPD - Food Product Development (2023/4)</t>
        </is>
      </c>
      <c r="H921" s="77" t="inlineStr">
        <is>
          <t>Assessment</t>
        </is>
      </c>
      <c r="I921" s="77" t="inlineStr">
        <is>
          <t>2023/4</t>
        </is>
      </c>
      <c r="J921" s="77" t="inlineStr">
        <is>
          <t>2026-10-12</t>
        </is>
      </c>
      <c r="K921" s="77" t="inlineStr">
        <is>
          <t>search-summary paraphrase</t>
        </is>
      </c>
      <c r="L921" s="77" t="inlineStr">
        <is>
          <t>Student groups receive a product concept; group presentation, group executive summary, final product presentation, peer assessment; 20 credits.</t>
        </is>
      </c>
    </row>
    <row r="922">
      <c r="A922" s="77" t="inlineStr">
        <is>
          <t>UK06-S07-R3</t>
        </is>
      </c>
      <c r="B922" s="77" t="inlineStr">
        <is>
          <t>UK06</t>
        </is>
      </c>
      <c r="C922" s="77" t="inlineStr">
        <is>
          <t>UK06-S07</t>
        </is>
      </c>
      <c r="D922" s="77" t="inlineStr">
        <is>
          <t>New Product Development (FB3NPD)</t>
        </is>
      </c>
      <c r="E922" s="77" t="inlineStr">
        <is>
          <t>credit; participation</t>
        </is>
      </c>
      <c r="F922" s="77" t="inlineStr">
        <is>
          <t>https://www.reading.ac.uk/progspecs/pdf25/UFFDTECHBIO325.pdf</t>
        </is>
      </c>
      <c r="G922" s="77" t="inlineStr">
        <is>
          <t>Programme Specification BSc Food Technology with Bio-processing (3 year)</t>
        </is>
      </c>
      <c r="H922" s="77" t="inlineStr">
        <is>
          <t>Part 3 modules</t>
        </is>
      </c>
      <c r="I922" s="77" t="inlineStr">
        <is>
          <t>2025</t>
        </is>
      </c>
      <c r="J922" s="77" t="inlineStr">
        <is>
          <t>2026-10-12</t>
        </is>
      </c>
      <c r="K922" s="77" t="inlineStr">
        <is>
          <t>search-summary paraphrase</t>
        </is>
      </c>
      <c r="L922" s="77" t="inlineStr">
        <is>
          <t>FB3NPD listed as 20-credit Level 6 module in Part 3.</t>
        </is>
      </c>
    </row>
    <row r="923">
      <c r="A923" s="77" t="inlineStr">
        <is>
          <t>UK06-S08-R1</t>
        </is>
      </c>
      <c r="B923" s="77" t="inlineStr">
        <is>
          <t>UK06</t>
        </is>
      </c>
      <c r="C923" s="77" t="inlineStr">
        <is>
          <t>UK06-S08</t>
        </is>
      </c>
      <c r="D923" s="77" t="inlineStr">
        <is>
          <t>Going Public: Presenting the Past, Planning the Future</t>
        </is>
      </c>
      <c r="E923" s="77" t="inlineStr">
        <is>
          <t>project; group; employer; credit</t>
        </is>
      </c>
      <c r="F923" s="77" t="inlineStr">
        <is>
          <t>https://www.reading.ac.uk/modules/documents?acyear=2023/4&amp;modcode=HS2GPP&amp;schoolcode=HUM+CLASS%7CHUM+GCMS%7CHUM+HIST%7CHUM+PHIL</t>
        </is>
      </c>
      <c r="G923" s="77" t="inlineStr">
        <is>
          <t>HS2GPP - Going Public (2023/4)</t>
        </is>
      </c>
      <c r="H923" s="77" t="inlineStr">
        <is>
          <t>Module description</t>
        </is>
      </c>
      <c r="I923" s="77" t="inlineStr">
        <is>
          <t>2023/4</t>
        </is>
      </c>
      <c r="J923" s="77" t="inlineStr">
        <is>
          <t>2026-10-12</t>
        </is>
      </c>
      <c r="K923" s="77" t="inlineStr">
        <is>
          <t>search-summary paraphrase</t>
        </is>
      </c>
      <c r="L923" s="77" t="inlineStr">
        <is>
          <t>Students work to a brief from an organisation outside the history department; portfolio 40% and presentation 40%, adjusted by peer assessment.</t>
        </is>
      </c>
    </row>
    <row r="924">
      <c r="A924" s="77" t="inlineStr">
        <is>
          <t>UK06-S08-R2</t>
        </is>
      </c>
      <c r="B924" s="77" t="inlineStr">
        <is>
          <t>UK06</t>
        </is>
      </c>
      <c r="C924" s="77" t="inlineStr">
        <is>
          <t>UK06-S08</t>
        </is>
      </c>
      <c r="D924" s="77" t="inlineStr">
        <is>
          <t>Going Public: Presenting the Past, Planning the Future</t>
        </is>
      </c>
      <c r="E924" s="77" t="inlineStr">
        <is>
          <t>group; employer; eligibility; participation</t>
        </is>
      </c>
      <c r="F924" s="77" t="inlineStr">
        <is>
          <t>https://www.reading.ac.uk/ready-to-study/study/2026/archaeology-ug/ba-archaeology-and-history</t>
        </is>
      </c>
      <c r="G924" s="77" t="inlineStr">
        <is>
          <t>BA Archaeology and History - 2026/27</t>
        </is>
      </c>
      <c r="H924" s="77" t="inlineStr">
        <is>
          <t>Course modules</t>
        </is>
      </c>
      <c r="I924" s="77" t="inlineStr">
        <is>
          <t>2026/27</t>
        </is>
      </c>
      <c r="J924" s="77" t="inlineStr">
        <is>
          <t>2026-10-12</t>
        </is>
      </c>
      <c r="K924" s="77" t="inlineStr">
        <is>
          <t>search-summary paraphrase</t>
        </is>
      </c>
      <c r="L924" s="77" t="inlineStr">
        <is>
          <t>Optional second-year module: students work collaboratively with external partners on a group project.</t>
        </is>
      </c>
    </row>
    <row r="925">
      <c r="A925" s="77" t="inlineStr">
        <is>
          <t>UK06-S09-R1</t>
        </is>
      </c>
      <c r="B925" s="77" t="inlineStr">
        <is>
          <t>UK06</t>
        </is>
      </c>
      <c r="C925" s="77" t="inlineStr">
        <is>
          <t>UK06-S09</t>
        </is>
      </c>
      <c r="D925" s="77" t="inlineStr">
        <is>
          <t>Real Jobs (Typography &amp; Graphic Communication)</t>
        </is>
      </c>
      <c r="E925" s="77" t="inlineStr">
        <is>
          <t>project; employer; group</t>
        </is>
      </c>
      <c r="F925" s="77" t="inlineStr">
        <is>
          <t>https://www.reading.ac.uk/typography/work-with-us</t>
        </is>
      </c>
      <c r="G925" s="77" t="inlineStr">
        <is>
          <t>Work with us - Typography &amp; Graphic Communication</t>
        </is>
      </c>
      <c r="H925" s="77" t="inlineStr">
        <is>
          <t>Real Jobs</t>
        </is>
      </c>
      <c r="I925" s="77" t="inlineStr">
        <is>
          <t>undated</t>
        </is>
      </c>
      <c r="J925" s="77" t="inlineStr">
        <is>
          <t>2026-10-12</t>
        </is>
      </c>
      <c r="K925" s="77" t="inlineStr">
        <is>
          <t>search-summary paraphrase</t>
        </is>
      </c>
      <c r="L925" s="77" t="inlineStr">
        <is>
          <t>Real Jobs scheme: students work one-on-one with real clients on live briefs; examples include rebranding for BASIC and packaging for Longhaul.</t>
        </is>
      </c>
    </row>
    <row r="926">
      <c r="A926" s="77" t="inlineStr">
        <is>
          <t>UK06-S09-R2</t>
        </is>
      </c>
      <c r="B926" s="77" t="inlineStr">
        <is>
          <t>UK06</t>
        </is>
      </c>
      <c r="C926" s="77" t="inlineStr">
        <is>
          <t>UK06-S09</t>
        </is>
      </c>
      <c r="D926" s="77" t="inlineStr">
        <is>
          <t>Real Jobs (Typography &amp; Graphic Communication)</t>
        </is>
      </c>
      <c r="E926" s="77" t="inlineStr">
        <is>
          <t>group; credit</t>
        </is>
      </c>
      <c r="F926" s="77" t="inlineStr">
        <is>
          <t>https://www.reading.ac.uk/modules/documents?acyear=2020/1&amp;modcode=TY3PRP</t>
        </is>
      </c>
      <c r="G926" s="77" t="inlineStr">
        <is>
          <t>TY3PRP Professional Practice (2020/1)</t>
        </is>
      </c>
      <c r="H926" s="77" t="inlineStr">
        <is>
          <t>Module description</t>
        </is>
      </c>
      <c r="I926" s="77" t="inlineStr">
        <is>
          <t>2020/1</t>
        </is>
      </c>
      <c r="J926" s="77" t="inlineStr">
        <is>
          <t>2026-10-12</t>
        </is>
      </c>
      <c r="K926" s="77" t="inlineStr">
        <is>
          <t>search-summary paraphrase</t>
        </is>
      </c>
      <c r="L926" s="77" t="inlineStr">
        <is>
          <t>Real Jobs assessed as completed by an agreed rubric; supervisors may require students to work in small teams.</t>
        </is>
      </c>
    </row>
    <row r="927">
      <c r="A927" s="77" t="inlineStr">
        <is>
          <t>UK06-S10-R1</t>
        </is>
      </c>
      <c r="B927" s="77" t="inlineStr">
        <is>
          <t>UK06</t>
        </is>
      </c>
      <c r="C927" s="77" t="inlineStr">
        <is>
          <t>UK06-S10</t>
        </is>
      </c>
      <c r="D927" s="77" t="inlineStr">
        <is>
          <t>Construction Live Project</t>
        </is>
      </c>
      <c r="E927" s="77" t="inlineStr">
        <is>
          <t>project; group; credit; duration</t>
        </is>
      </c>
      <c r="F927" s="77" t="inlineStr">
        <is>
          <t>https://www.reading.ac.uk/modules/documents?acyear=2024/5&amp;modcode=CE3CLP1&amp;schoolcode=BEN+ATC%7CBEN+CME</t>
        </is>
      </c>
      <c r="G927" s="77" t="inlineStr">
        <is>
          <t>CE3CLP1: Construction Live Project (2024/5)</t>
        </is>
      </c>
      <c r="H927" s="77" t="inlineStr">
        <is>
          <t>Module description</t>
        </is>
      </c>
      <c r="I927" s="77" t="inlineStr">
        <is>
          <t>2024/5</t>
        </is>
      </c>
      <c r="J927" s="77" t="inlineStr">
        <is>
          <t>2026-10-12</t>
        </is>
      </c>
      <c r="K927" s="77" t="inlineStr">
        <is>
          <t>search-index extract (quoted)</t>
        </is>
      </c>
      <c r="L927" s="77" t="inlineStr">
        <is>
          <t>Two-week intensive project supported by academics and industry staff to plan, schedule, cost, manage H&amp;S and build a scaled iconic structure; 20 credits.</t>
        </is>
      </c>
    </row>
    <row r="928">
      <c r="A928" s="77" t="inlineStr">
        <is>
          <t>UK06-S10-R2</t>
        </is>
      </c>
      <c r="B928" s="77" t="inlineStr">
        <is>
          <t>UK06</t>
        </is>
      </c>
      <c r="C928" s="77" t="inlineStr">
        <is>
          <t>UK06-S10</t>
        </is>
      </c>
      <c r="D928" s="77" t="inlineStr">
        <is>
          <t>Construction Live Project</t>
        </is>
      </c>
      <c r="E928" s="77" t="inlineStr">
        <is>
          <t>employer</t>
        </is>
      </c>
      <c r="F928" s="77" t="inlineStr">
        <is>
          <t>https://www.reading.ac.uk/modules/documents?acyear=2023/4&amp;modcode=CE3CLP&amp;schoolcode=BEN+ATC%7CBEN+CME</t>
        </is>
      </c>
      <c r="G928" s="77" t="inlineStr">
        <is>
          <t>CE3CLP: Construction Live Project (2023/4)</t>
        </is>
      </c>
      <c r="H928" s="77" t="inlineStr">
        <is>
          <t>Module description</t>
        </is>
      </c>
      <c r="I928" s="77" t="inlineStr">
        <is>
          <t>2023/4</t>
        </is>
      </c>
      <c r="J928" s="77" t="inlineStr">
        <is>
          <t>2026-10-12</t>
        </is>
      </c>
      <c r="K928" s="77" t="inlineStr">
        <is>
          <t>search-summary paraphrase</t>
        </is>
      </c>
      <c r="L928" s="77" t="inlineStr">
        <is>
          <t>Students worked with young professionals from the partner contractor and their supply chain.</t>
        </is>
      </c>
    </row>
    <row r="929">
      <c r="A929" s="77" t="inlineStr">
        <is>
          <t>UK06-S10-R3</t>
        </is>
      </c>
      <c r="B929" s="77" t="inlineStr">
        <is>
          <t>UK06</t>
        </is>
      </c>
      <c r="C929" s="77" t="inlineStr">
        <is>
          <t>UK06-S10</t>
        </is>
      </c>
      <c r="D929" s="77" t="inlineStr">
        <is>
          <t>Construction Live Project</t>
        </is>
      </c>
      <c r="E929" s="77" t="inlineStr">
        <is>
          <t>status</t>
        </is>
      </c>
      <c r="F929" s="77" t="inlineStr">
        <is>
          <t>https://www.reading.ac.uk/modules/module?acyear=2025%2F6&amp;school=BEN+ATC%7CBEN+CME</t>
        </is>
      </c>
      <c r="G929" s="77" t="inlineStr">
        <is>
          <t>Built Environment - Modules for 2025/6</t>
        </is>
      </c>
      <c r="H929" s="77" t="inlineStr">
        <is>
          <t>Module list</t>
        </is>
      </c>
      <c r="I929" s="77" t="inlineStr">
        <is>
          <t>2025/6</t>
        </is>
      </c>
      <c r="J929" s="77" t="inlineStr">
        <is>
          <t>2026-10-12</t>
        </is>
      </c>
      <c r="K929" s="77" t="inlineStr">
        <is>
          <t>search-summary paraphrase</t>
        </is>
      </c>
      <c r="L929" s="77" t="inlineStr">
        <is>
          <t>CE3CLP1 Construction Live Project listed, Level 3.</t>
        </is>
      </c>
    </row>
    <row r="930">
      <c r="A930" s="77" t="inlineStr">
        <is>
          <t>UK06-S11-R1</t>
        </is>
      </c>
      <c r="B930" s="77" t="inlineStr">
        <is>
          <t>UK06</t>
        </is>
      </c>
      <c r="C930" s="77" t="inlineStr">
        <is>
          <t>UK06-S11</t>
        </is>
      </c>
      <c r="D930" s="77" t="inlineStr">
        <is>
          <t>Business Management (Case Studies)</t>
        </is>
      </c>
      <c r="E930" s="77" t="inlineStr">
        <is>
          <t>project; group; employer</t>
        </is>
      </c>
      <c r="F930" s="77" t="inlineStr">
        <is>
          <t>https://www.reading.ac.uk/modules/documents?acyear=2023/4&amp;modcode=AP3A54</t>
        </is>
      </c>
      <c r="G930" s="77" t="inlineStr">
        <is>
          <t>AP3A54 Business Management (Case Studies) (2023/4)</t>
        </is>
      </c>
      <c r="H930" s="77" t="inlineStr">
        <is>
          <t>Module description</t>
        </is>
      </c>
      <c r="I930" s="77" t="inlineStr">
        <is>
          <t>2023/4</t>
        </is>
      </c>
      <c r="J930" s="77" t="inlineStr">
        <is>
          <t>2026-10-12</t>
        </is>
      </c>
      <c r="K930" s="77" t="inlineStr">
        <is>
          <t>search-summary paraphrase</t>
        </is>
      </c>
      <c r="L930" s="77" t="inlineStr">
        <is>
          <t>Case study work usually in small teams of 4/5; written and verbal reports presented, usually in the presence of the manager of the business studied.</t>
        </is>
      </c>
    </row>
    <row r="931">
      <c r="A931" s="77" t="inlineStr">
        <is>
          <t>UK07-S01-R1</t>
        </is>
      </c>
      <c r="B931" s="77" t="inlineStr">
        <is>
          <t>UK07</t>
        </is>
      </c>
      <c r="C931" s="77" t="inlineStr">
        <is>
          <t>UK07-S01</t>
        </is>
      </c>
      <c r="D931" s="77" t="inlineStr">
        <is>
          <t>Consulting Project (MANM448)</t>
        </is>
      </c>
      <c r="E931" s="77" t="inlineStr">
        <is>
          <t>project; group; employer; status; credit</t>
        </is>
      </c>
      <c r="F931" s="77" t="inlineStr">
        <is>
          <t>https://catalogue.surrey.ac.uk/2025-6/module/MANM448/SEMR2/2</t>
        </is>
      </c>
      <c r="G931" s="77" t="inlineStr">
        <is>
          <t>CONSULTING PROJECT - 2025/6</t>
        </is>
      </c>
      <c r="H931" s="77" t="inlineStr">
        <is>
          <t>Module descriptor</t>
        </is>
      </c>
      <c r="I931" s="77" t="inlineStr">
        <is>
          <t>2025/6</t>
        </is>
      </c>
      <c r="J931" s="77" t="inlineStr">
        <is>
          <t>2026-10-12</t>
        </is>
      </c>
      <c r="K931" s="77" t="inlineStr">
        <is>
          <t>search-index extract</t>
        </is>
      </c>
      <c r="L931" s="77" t="inlineStr">
        <is>
          <t>Student groups take on a brief set by a client organisation, responsible for planning the engagement incl. finding a client sponsor; two group assessments 50% each (presentation, report); short formative presentation to the client, whose oral and written feedback is meant to be included in the final report (search-index summary).</t>
        </is>
      </c>
    </row>
    <row r="932">
      <c r="A932" s="77" t="inlineStr">
        <is>
          <t>UK07-S01-R2</t>
        </is>
      </c>
      <c r="B932" s="77" t="inlineStr">
        <is>
          <t>UK07</t>
        </is>
      </c>
      <c r="C932" s="77" t="inlineStr">
        <is>
          <t>UK07-S01</t>
        </is>
      </c>
      <c r="D932" s="77" t="inlineStr">
        <is>
          <t>Consulting Project (MANM448)</t>
        </is>
      </c>
      <c r="E932" s="77" t="inlineStr">
        <is>
          <t>participation; employer</t>
        </is>
      </c>
      <c r="F932" s="77" t="inlineStr">
        <is>
          <t>https://catalogue.surrey.ac.uk/2020-1/module/MANM448</t>
        </is>
      </c>
      <c r="G932" s="77" t="inlineStr">
        <is>
          <t>CONSULTING PROJECT - 2020/1</t>
        </is>
      </c>
      <c r="H932" s="77" t="inlineStr">
        <is>
          <t>Module descriptor</t>
        </is>
      </c>
      <c r="I932" s="77" t="inlineStr">
        <is>
          <t>2020/1</t>
        </is>
      </c>
      <c r="J932" s="77" t="inlineStr">
        <is>
          <t>2026-10-12</t>
        </is>
      </c>
      <c r="K932" s="77" t="inlineStr">
        <is>
          <t>search-index extract</t>
        </is>
      </c>
      <c r="L932" s="77" t="inlineStr">
        <is>
          <t>Management MSc, Semester 2, Compulsory; teams prepare a consulting report and present it to the client organisation (older year; supports design/compulsory status only).</t>
        </is>
      </c>
    </row>
    <row r="933">
      <c r="A933" s="77" t="inlineStr">
        <is>
          <t>UK07-S02-R1</t>
        </is>
      </c>
      <c r="B933" s="77" t="inlineStr">
        <is>
          <t>UK07</t>
        </is>
      </c>
      <c r="C933" s="77" t="inlineStr">
        <is>
          <t>UK07-S02</t>
        </is>
      </c>
      <c r="D933" s="77" t="inlineStr">
        <is>
          <t>Dynamics of Business Consultancy (MSc Entrepreneurship &amp; Innovation Management)</t>
        </is>
      </c>
      <c r="E933" s="77" t="inlineStr">
        <is>
          <t>project; group; employer; participation</t>
        </is>
      </c>
      <c r="F933" s="77" t="inlineStr">
        <is>
          <t>https://www.surrey.ac.uk/news/entrepreneurial-experience-built</t>
        </is>
      </c>
      <c r="G933" s="77" t="inlineStr">
        <is>
          <t>Entrepreneurial experience built in</t>
        </is>
      </c>
      <c r="H933" s="77" t="inlineStr">
        <is>
          <t>News</t>
        </is>
      </c>
      <c r="I933" s="77" t="inlineStr">
        <is>
          <t>undated</t>
        </is>
      </c>
      <c r="J933" s="77" t="inlineStr">
        <is>
          <t>2026-10-12</t>
        </is>
      </c>
      <c r="K933" s="77" t="inlineStr">
        <is>
          <t>search-index extract</t>
        </is>
      </c>
      <c r="L933" s="77" t="inlineStr">
        <is>
          <t>In the compulsory module Dynamics of Business Consultancy, small student teams act as consultants for an external organisation; students receive a live client brief and develop practical, evidence-based recommendations.</t>
        </is>
      </c>
    </row>
    <row r="934">
      <c r="A934" s="77" t="inlineStr">
        <is>
          <t>UK07-S02-R2</t>
        </is>
      </c>
      <c r="B934" s="77" t="inlineStr">
        <is>
          <t>UK07</t>
        </is>
      </c>
      <c r="C934" s="77" t="inlineStr">
        <is>
          <t>UK07-S02</t>
        </is>
      </c>
      <c r="D934" s="77" t="inlineStr">
        <is>
          <t>Dynamics of Business Consultancy (MSc Entrepreneurship &amp; Innovation Management)</t>
        </is>
      </c>
      <c r="E934" s="77" t="inlineStr">
        <is>
          <t>status; participation</t>
        </is>
      </c>
      <c r="F934" s="77" t="inlineStr">
        <is>
          <t>https://catalogue.surrey.ac.uk/2026-7/programme/PKA61-5</t>
        </is>
      </c>
      <c r="G934" s="77" t="inlineStr">
        <is>
          <t>Entrepreneurship &amp; Innovation Management MSc - 2026/7</t>
        </is>
      </c>
      <c r="H934" s="77" t="inlineStr">
        <is>
          <t>Programme catalogue</t>
        </is>
      </c>
      <c r="I934" s="77" t="inlineStr">
        <is>
          <t>2026/7</t>
        </is>
      </c>
      <c r="J934" s="77" t="inlineStr">
        <is>
          <t>2026-10-12</t>
        </is>
      </c>
      <c r="K934" s="77" t="inlineStr">
        <is>
          <t>search-index extract</t>
        </is>
      </c>
      <c r="L934" s="77" t="inlineStr">
        <is>
          <t>Programme listing places a team live project challenge with an external organisation in Year 1, Semester 2 (search-index summary).</t>
        </is>
      </c>
    </row>
    <row r="935">
      <c r="A935" s="77" t="inlineStr">
        <is>
          <t>UK07-S03-R1</t>
        </is>
      </c>
      <c r="B935" s="77" t="inlineStr">
        <is>
          <t>UK07</t>
        </is>
      </c>
      <c r="C935" s="77" t="inlineStr">
        <is>
          <t>UK07-S03</t>
        </is>
      </c>
      <c r="D935" s="77" t="inlineStr">
        <is>
          <t>Digital Business Challenge / Digital Project Development (MANM468)</t>
        </is>
      </c>
      <c r="E935" s="77" t="inlineStr">
        <is>
          <t>project; group; employer</t>
        </is>
      </c>
      <c r="F935" s="77" t="inlineStr">
        <is>
          <t>https://www.surrey.ac.uk/digital-business-challenge</t>
        </is>
      </c>
      <c r="G935" s="77" t="inlineStr">
        <is>
          <t>Digital Business Challenge project</t>
        </is>
      </c>
      <c r="H935" s="77" t="inlineStr">
        <is>
          <t>Project page</t>
        </is>
      </c>
      <c r="I935" s="77" t="inlineStr">
        <is>
          <t>undated</t>
        </is>
      </c>
      <c r="J935" s="77" t="inlineStr">
        <is>
          <t>2026-10-12</t>
        </is>
      </c>
      <c r="K935" s="77" t="inlineStr">
        <is>
          <t>search-index extract</t>
        </is>
      </c>
      <c r="L935" s="77" t="inlineStr">
        <is>
          <t>Student teams work on digital marketing for partner companies; companies must have a specific digital marketing problem and commit at least two hours a week (weekly team meetings and the stakeholder presentation).</t>
        </is>
      </c>
    </row>
    <row r="936">
      <c r="A936" s="77" t="inlineStr">
        <is>
          <t>UK07-S03-R2</t>
        </is>
      </c>
      <c r="B936" s="77" t="inlineStr">
        <is>
          <t>UK07</t>
        </is>
      </c>
      <c r="C936" s="77" t="inlineStr">
        <is>
          <t>UK07-S03</t>
        </is>
      </c>
      <c r="D936" s="77" t="inlineStr">
        <is>
          <t>Digital Business Challenge / Digital Project Development (MANM468)</t>
        </is>
      </c>
      <c r="E936" s="77" t="inlineStr">
        <is>
          <t>status; participation; credit; group</t>
        </is>
      </c>
      <c r="F936" s="77" t="inlineStr">
        <is>
          <t>https://catalogue.surrey.ac.uk/2025-6/module/MANM468/SEMR2/2</t>
        </is>
      </c>
      <c r="G936" s="77" t="inlineStr">
        <is>
          <t>DIGITAL PROJECT DEVELOPMENT - 2025/6</t>
        </is>
      </c>
      <c r="H936" s="77" t="inlineStr">
        <is>
          <t>Module descriptor</t>
        </is>
      </c>
      <c r="I936" s="77" t="inlineStr">
        <is>
          <t>2025/6</t>
        </is>
      </c>
      <c r="J936" s="77" t="inlineStr">
        <is>
          <t>2026-10-12</t>
        </is>
      </c>
      <c r="K936" s="77" t="inlineStr">
        <is>
          <t>search-index extract</t>
        </is>
      </c>
      <c r="L936" s="77" t="inlineStr">
        <is>
          <t>15 credits, FHEQ L7, Semester 2, compulsory on Entrepreneurship &amp; Innovation Management MSc, module cap 60; 2024/5 entry: students work in teams on business challenge.</t>
        </is>
      </c>
    </row>
    <row r="937">
      <c r="A937" s="77" t="inlineStr">
        <is>
          <t>UK07-S04-R1</t>
        </is>
      </c>
      <c r="B937" s="77" t="inlineStr">
        <is>
          <t>UK07</t>
        </is>
      </c>
      <c r="C937" s="77" t="inlineStr">
        <is>
          <t>UK07-S04</t>
        </is>
      </c>
      <c r="D937" s="77" t="inlineStr">
        <is>
          <t>Employee Resourcing (MANM466) - client resourcing challenge</t>
        </is>
      </c>
      <c r="E937" s="77" t="inlineStr">
        <is>
          <t>project; group; employer; credit; status</t>
        </is>
      </c>
      <c r="F937" s="77" t="inlineStr">
        <is>
          <t>https://catalogue.surrey.ac.uk/2024-5/module/MANM466/SEMR2/2CF</t>
        </is>
      </c>
      <c r="G937" s="77" t="inlineStr">
        <is>
          <t>EMPLOYEE RESOURCING - 2024/5</t>
        </is>
      </c>
      <c r="H937" s="77" t="inlineStr">
        <is>
          <t>Module descriptor</t>
        </is>
      </c>
      <c r="I937" s="77" t="inlineStr">
        <is>
          <t>2024/5</t>
        </is>
      </c>
      <c r="J937" s="77" t="inlineStr">
        <is>
          <t>2026-10-12</t>
        </is>
      </c>
      <c r="K937" s="77" t="inlineStr">
        <is>
          <t>search-index extract</t>
        </is>
      </c>
      <c r="L937" s="77" t="inlineStr">
        <is>
          <t>Teams work on a real resourcing challenge presented by a client; each group mentored by a senior manager from the client organisation and coached by SBS staff; present to audience including HR senior professionals from the client; group presentation 40%, individual assignment 60%.</t>
        </is>
      </c>
    </row>
    <row r="938">
      <c r="A938" s="77" t="inlineStr">
        <is>
          <t>UK07-S05-R1</t>
        </is>
      </c>
      <c r="B938" s="77" t="inlineStr">
        <is>
          <t>UK07</t>
        </is>
      </c>
      <c r="C938" s="77" t="inlineStr">
        <is>
          <t>UK07-S05</t>
        </is>
      </c>
      <c r="D938" s="77" t="inlineStr">
        <is>
          <t>Hospitality, Tourism and Events Consultancy / Consultancy for the Visitor Economy (MAN3164 / MAN3251)</t>
        </is>
      </c>
      <c r="E938" s="77" t="inlineStr">
        <is>
          <t>project; group; employer; status</t>
        </is>
      </c>
      <c r="F938" s="77" t="inlineStr">
        <is>
          <t>https://catalogue.surrey.ac.uk/2025-6/module/MAN3164/SEMR2/2</t>
        </is>
      </c>
      <c r="G938" s="77" t="inlineStr">
        <is>
          <t>HOSPITALITY, TOURISM AND EVENTS CONSULTANCY - 2025/6</t>
        </is>
      </c>
      <c r="H938" s="77" t="inlineStr">
        <is>
          <t>Module descriptor</t>
        </is>
      </c>
      <c r="I938" s="77" t="inlineStr">
        <is>
          <t>2025/6</t>
        </is>
      </c>
      <c r="J938" s="77" t="inlineStr">
        <is>
          <t>2026-10-12</t>
        </is>
      </c>
      <c r="K938" s="77" t="inlineStr">
        <is>
          <t>search-index extract</t>
        </is>
      </c>
      <c r="L938" s="77" t="inlineStr">
        <is>
          <t>Gives students the opportunity to collaboratively undertake a real consultancy project on behalf of an external industry client, from inception until presenting recommendations; supported group work with dedicated tutor and regular self-organised client meetings.</t>
        </is>
      </c>
    </row>
    <row r="939">
      <c r="A939" s="77" t="inlineStr">
        <is>
          <t>UK07-S05-R2</t>
        </is>
      </c>
      <c r="B939" s="77" t="inlineStr">
        <is>
          <t>UK07</t>
        </is>
      </c>
      <c r="C939" s="77" t="inlineStr">
        <is>
          <t>UK07-S05</t>
        </is>
      </c>
      <c r="D939" s="77" t="inlineStr">
        <is>
          <t>Hospitality, Tourism and Events Consultancy / Consultancy for the Visitor Economy (MAN3164 / MAN3251)</t>
        </is>
      </c>
      <c r="E939" s="77" t="inlineStr">
        <is>
          <t>project; group; employer</t>
        </is>
      </c>
      <c r="F939" s="77" t="inlineStr">
        <is>
          <t>https://www.surrey.ac.uk/hospitality-tourism-and-events-consultancy</t>
        </is>
      </c>
      <c r="G939" s="77" t="inlineStr">
        <is>
          <t>Hospitality, Tourism &amp; Events Consultancy project</t>
        </is>
      </c>
      <c r="H939" s="77" t="inlineStr">
        <is>
          <t>Project page</t>
        </is>
      </c>
      <c r="I939" s="77" t="inlineStr">
        <is>
          <t>undated</t>
        </is>
      </c>
      <c r="J939" s="77" t="inlineStr">
        <is>
          <t>2026-10-12</t>
        </is>
      </c>
      <c r="K939" s="77" t="inlineStr">
        <is>
          <t>search-index extract</t>
        </is>
      </c>
      <c r="L939" s="77" t="inlineStr">
        <is>
          <t>Final-year student teams collaborate with business stakeholders for a designated organisation; contact available for at least four one-hour meetings; firms help define the brief; students present recommendations.</t>
        </is>
      </c>
    </row>
    <row r="940">
      <c r="A940" s="77" t="inlineStr">
        <is>
          <t>UK07-S05-R3</t>
        </is>
      </c>
      <c r="B940" s="77" t="inlineStr">
        <is>
          <t>UK07</t>
        </is>
      </c>
      <c r="C940" s="77" t="inlineStr">
        <is>
          <t>UK07-S05</t>
        </is>
      </c>
      <c r="D940" s="77" t="inlineStr">
        <is>
          <t>Hospitality, Tourism and Events Consultancy / Consultancy for the Visitor Economy (MAN3164 / MAN3251)</t>
        </is>
      </c>
      <c r="E940" s="77" t="inlineStr">
        <is>
          <t>employer; status</t>
        </is>
      </c>
      <c r="F940" s="77" t="inlineStr">
        <is>
          <t>https://www.surrey.ac.uk/news/surrey-students-collaborate-london-gatwick-visitor-economy-project</t>
        </is>
      </c>
      <c r="G940" s="77" t="inlineStr">
        <is>
          <t>Surrey students collaborate with London Gatwick on visitor economy project</t>
        </is>
      </c>
      <c r="H940" s="77" t="inlineStr">
        <is>
          <t>News</t>
        </is>
      </c>
      <c r="I940" s="77" t="inlineStr">
        <is>
          <t>undated</t>
        </is>
      </c>
      <c r="J940" s="77" t="inlineStr">
        <is>
          <t>2026-10-12</t>
        </is>
      </c>
      <c r="K940" s="77" t="inlineStr">
        <is>
          <t>search-index extract</t>
        </is>
      </c>
      <c r="L940" s="77" t="inlineStr">
        <is>
          <t>Final-year students work in teams on consultancy projects set by industry partners; report and presentation to Gatwick partners; MAN3251 Consultancy for the Visitor Economy.</t>
        </is>
      </c>
    </row>
    <row r="941">
      <c r="A941" s="77" t="inlineStr">
        <is>
          <t>UK07-S06-R1</t>
        </is>
      </c>
      <c r="B941" s="77" t="inlineStr">
        <is>
          <t>UK07</t>
        </is>
      </c>
      <c r="C941" s="77" t="inlineStr">
        <is>
          <t>UK07-S06</t>
        </is>
      </c>
      <c r="D941" s="77" t="inlineStr">
        <is>
          <t>Applied Business Project (MAN3213) - Semester 1 group partner project</t>
        </is>
      </c>
      <c r="E941" s="77" t="inlineStr">
        <is>
          <t>project; group; employer; status</t>
        </is>
      </c>
      <c r="F941" s="77" t="inlineStr">
        <is>
          <t>https://catalogue.surrey.ac.uk/2026-7/module/MAN3213</t>
        </is>
      </c>
      <c r="G941" s="77" t="inlineStr">
        <is>
          <t>APPLIED BUSINESS PROJECT - 2026/7</t>
        </is>
      </c>
      <c r="H941" s="77" t="inlineStr">
        <is>
          <t>Module descriptor</t>
        </is>
      </c>
      <c r="I941" s="77" t="inlineStr">
        <is>
          <t>2026/7</t>
        </is>
      </c>
      <c r="J941" s="77" t="inlineStr">
        <is>
          <t>2026-10-12</t>
        </is>
      </c>
      <c r="K941" s="77" t="inlineStr">
        <is>
          <t>search-index extract</t>
        </is>
      </c>
      <c r="L941" s="77" t="inlineStr">
        <is>
          <t>In Semester 1, students work in groups with an external business partner, typically an entrepreneurial start-up, to analyse the founder's journey, evaluate the current position of the business, and develop proposals for growth through new revenue opportunities; client-facing and requires interaction with the external business partner.</t>
        </is>
      </c>
    </row>
    <row r="942">
      <c r="A942" s="77" t="inlineStr">
        <is>
          <t>UK07-S06-R2</t>
        </is>
      </c>
      <c r="B942" s="77" t="inlineStr">
        <is>
          <t>UK07</t>
        </is>
      </c>
      <c r="C942" s="77" t="inlineStr">
        <is>
          <t>UK07-S06</t>
        </is>
      </c>
      <c r="D942" s="77" t="inlineStr">
        <is>
          <t>Applied Business Project (MAN3213) - Semester 1 group partner project</t>
        </is>
      </c>
      <c r="E942" s="77" t="inlineStr">
        <is>
          <t>status</t>
        </is>
      </c>
      <c r="F942" s="77" t="inlineStr">
        <is>
          <t>https://catalogue.surrey.ac.uk/2025-6/module/MAN3213</t>
        </is>
      </c>
      <c r="G942" s="77" t="inlineStr">
        <is>
          <t>APPLIED BUSINESS PROJECT - 2025/6</t>
        </is>
      </c>
      <c r="H942" s="77" t="inlineStr">
        <is>
          <t>Module descriptor</t>
        </is>
      </c>
      <c r="I942" s="77" t="inlineStr">
        <is>
          <t>2025/6</t>
        </is>
      </c>
      <c r="J942" s="77" t="inlineStr">
        <is>
          <t>2026-10-12</t>
        </is>
      </c>
      <c r="K942" s="77" t="inlineStr">
        <is>
          <t>search-index extract</t>
        </is>
      </c>
      <c r="L942" s="77" t="inlineStr">
        <is>
          <t>2025/6 entry describes an individual project built around the student's own business idea (differs from 2026/7).</t>
        </is>
      </c>
    </row>
    <row r="943">
      <c r="A943" s="77" t="inlineStr">
        <is>
          <t>UK07-S07-R1</t>
        </is>
      </c>
      <c r="B943" s="77" t="inlineStr">
        <is>
          <t>UK07</t>
        </is>
      </c>
      <c r="C943" s="77" t="inlineStr">
        <is>
          <t>UK07-S07</t>
        </is>
      </c>
      <c r="D943" s="77" t="inlineStr">
        <is>
          <t>Business Consultancy Project (B-Clinic)</t>
        </is>
      </c>
      <c r="E943" s="77" t="inlineStr">
        <is>
          <t>project; group; employer</t>
        </is>
      </c>
      <c r="F943" s="77" t="inlineStr">
        <is>
          <t>https://www.surrey.ac.uk/consultancy-project</t>
        </is>
      </c>
      <c r="G943" s="77" t="inlineStr">
        <is>
          <t>Consultancy Project</t>
        </is>
      </c>
      <c r="H943" s="77" t="inlineStr">
        <is>
          <t>Partner page</t>
        </is>
      </c>
      <c r="I943" s="77" t="inlineStr">
        <is>
          <t>undated</t>
        </is>
      </c>
      <c r="J943" s="77" t="inlineStr">
        <is>
          <t>2026-10-12</t>
        </is>
      </c>
      <c r="K943" s="77" t="inlineStr">
        <is>
          <t>search-index extract</t>
        </is>
      </c>
      <c r="L943" s="77" t="inlineStr">
        <is>
          <t>Kick-off attended by client, student and academic supervisor; client typically commits to at least four one-hour meetings; each student submits a 12,000-word report; partner may agree a practical output; projects individually or in groups.</t>
        </is>
      </c>
    </row>
    <row r="944">
      <c r="A944" s="77" t="inlineStr">
        <is>
          <t>UK07-S07-R2</t>
        </is>
      </c>
      <c r="B944" s="77" t="inlineStr">
        <is>
          <t>UK07</t>
        </is>
      </c>
      <c r="C944" s="77" t="inlineStr">
        <is>
          <t>UK07-S07</t>
        </is>
      </c>
      <c r="D944" s="77" t="inlineStr">
        <is>
          <t>Business Consultancy Project (B-Clinic)</t>
        </is>
      </c>
      <c r="E944" s="77" t="inlineStr">
        <is>
          <t>employer</t>
        </is>
      </c>
      <c r="F944" s="77" t="inlineStr">
        <is>
          <t>https://www.surrey.ac.uk/business-school/businesses/b-clinic</t>
        </is>
      </c>
      <c r="G944" s="77" t="inlineStr">
        <is>
          <t>The B-clinic</t>
        </is>
      </c>
      <c r="H944" s="77" t="inlineStr">
        <is>
          <t>B-Clinic page</t>
        </is>
      </c>
      <c r="I944" s="77" t="inlineStr">
        <is>
          <t>undated</t>
        </is>
      </c>
      <c r="J944" s="77" t="inlineStr">
        <is>
          <t>2026-10-12</t>
        </is>
      </c>
      <c r="K944" s="77" t="inlineStr">
        <is>
          <t>search-index extract</t>
        </is>
      </c>
      <c r="L944" s="77" t="inlineStr">
        <is>
          <t>B-Clinic offers supervised student consultancy projects for businesses.</t>
        </is>
      </c>
    </row>
    <row r="945">
      <c r="A945" s="77" t="inlineStr">
        <is>
          <t>UK07-S08-R1</t>
        </is>
      </c>
      <c r="B945" s="77" t="inlineStr">
        <is>
          <t>UK07</t>
        </is>
      </c>
      <c r="C945" s="77" t="inlineStr">
        <is>
          <t>UK07-S08</t>
        </is>
      </c>
      <c r="D945" s="77" t="inlineStr">
        <is>
          <t>Integrative Applied Project (MANM363) - consultancy option</t>
        </is>
      </c>
      <c r="E945" s="77" t="inlineStr">
        <is>
          <t>project; employer; credit; status</t>
        </is>
      </c>
      <c r="F945" s="77" t="inlineStr">
        <is>
          <t>https://catalogue.surrey.ac.uk/2025-6/module/MANM363/SEMR2/2R</t>
        </is>
      </c>
      <c r="G945" s="77" t="inlineStr">
        <is>
          <t>INTEGRATIVE APPLIED PROJECT - 2025/6</t>
        </is>
      </c>
      <c r="H945" s="77" t="inlineStr">
        <is>
          <t>Module descriptor</t>
        </is>
      </c>
      <c r="I945" s="77" t="inlineStr">
        <is>
          <t>2025/6</t>
        </is>
      </c>
      <c r="J945" s="77" t="inlineStr">
        <is>
          <t>2026-10-12</t>
        </is>
      </c>
      <c r="K945" s="77" t="inlineStr">
        <is>
          <t>search-index extract</t>
        </is>
      </c>
      <c r="L945" s="77" t="inlineStr">
        <is>
          <t>Not a taught module but an independent project; consultancy option: live business problem with a real company (corporate, public or third sector); outcomes actionable by the client.</t>
        </is>
      </c>
    </row>
    <row r="946">
      <c r="A946" s="77" t="inlineStr">
        <is>
          <t>UK07-S09-R1</t>
        </is>
      </c>
      <c r="B946" s="77" t="inlineStr">
        <is>
          <t>UK07</t>
        </is>
      </c>
      <c r="C946" s="77" t="inlineStr">
        <is>
          <t>UK07-S09</t>
        </is>
      </c>
      <c r="D946" s="77" t="inlineStr">
        <is>
          <t>Multi-Disciplinary Design Project (ENGM001)</t>
        </is>
      </c>
      <c r="E946" s="77" t="inlineStr">
        <is>
          <t>project; group; employer; eligibility; status; credit</t>
        </is>
      </c>
      <c r="F946" s="77" t="inlineStr">
        <is>
          <t>https://catalogue.surrey.ac.uk/2025-6/module/ENGM001/SEMR1/1R</t>
        </is>
      </c>
      <c r="G946" s="77" t="inlineStr">
        <is>
          <t>MULTI-DISCIPLINARY DESIGN PROJECT - 2025/6</t>
        </is>
      </c>
      <c r="H946" s="77" t="inlineStr">
        <is>
          <t>Module descriptor</t>
        </is>
      </c>
      <c r="I946" s="77" t="inlineStr">
        <is>
          <t>2025/6</t>
        </is>
      </c>
      <c r="J946" s="77" t="inlineStr">
        <is>
          <t>2026-10-12</t>
        </is>
      </c>
      <c r="K946" s="77" t="inlineStr">
        <is>
          <t>search-index extract</t>
        </is>
      </c>
      <c r="L946" s="77" t="inlineStr">
        <is>
          <t>Students from Aerospace, Civil, Chemical, Electronic, Mechanical and Medical Engineering work in groups of at least three disciplines; industry briefs from RAE Visiting Professors from Industry; weekly meetings with the visiting professor; teamwork/communication marks recorded by tutors and Visiting Professor; 30 credits, core across several MEng programmes.</t>
        </is>
      </c>
    </row>
    <row r="947">
      <c r="A947" s="77" t="inlineStr">
        <is>
          <t>UK07-S10-R1</t>
        </is>
      </c>
      <c r="B947" s="77" t="inlineStr">
        <is>
          <t>UK07</t>
        </is>
      </c>
      <c r="C947" s="77" t="inlineStr">
        <is>
          <t>UK07-S10</t>
        </is>
      </c>
      <c r="D947" s="77" t="inlineStr">
        <is>
          <t>Group Design Project (ENGM307 / ENG3162)</t>
        </is>
      </c>
      <c r="E947" s="77" t="inlineStr">
        <is>
          <t>project; group; employer</t>
        </is>
      </c>
      <c r="F947" s="77" t="inlineStr">
        <is>
          <t>https://catalogue.surrey.ac.uk/2025-6/module/ENGM307</t>
        </is>
      </c>
      <c r="G947" s="77" t="inlineStr">
        <is>
          <t>GROUP DESIGN PROJECT - 2025/6</t>
        </is>
      </c>
      <c r="H947" s="77" t="inlineStr">
        <is>
          <t>Module descriptor</t>
        </is>
      </c>
      <c r="I947" s="77" t="inlineStr">
        <is>
          <t>2025/6</t>
        </is>
      </c>
      <c r="J947" s="77" t="inlineStr">
        <is>
          <t>2026-10-12</t>
        </is>
      </c>
      <c r="K947" s="77" t="inlineStr">
        <is>
          <t>search-index extract</t>
        </is>
      </c>
      <c r="L947" s="77" t="inlineStr">
        <is>
          <t>Small groups tackle a design challenge; where feasible, projects will be proposed by Industrial partners.</t>
        </is>
      </c>
    </row>
    <row r="948">
      <c r="A948" s="77" t="inlineStr">
        <is>
          <t>UK07-S11-R1</t>
        </is>
      </c>
      <c r="B948" s="77" t="inlineStr">
        <is>
          <t>UK07</t>
        </is>
      </c>
      <c r="C948" s="77" t="inlineStr">
        <is>
          <t>UK07-S11</t>
        </is>
      </c>
      <c r="D948" s="77" t="inlineStr">
        <is>
          <t>Software Engineering Project (COM2027)</t>
        </is>
      </c>
      <c r="E948" s="77" t="inlineStr">
        <is>
          <t>project; group; employer</t>
        </is>
      </c>
      <c r="F948" s="77" t="inlineStr">
        <is>
          <t>https://catalogue.surrey.ac.uk/2026-7/module/COM2027</t>
        </is>
      </c>
      <c r="G948" s="77" t="inlineStr">
        <is>
          <t>SOFTWARE ENGINEERING PROJECT - 2026/7</t>
        </is>
      </c>
      <c r="H948" s="77" t="inlineStr">
        <is>
          <t>Module descriptor</t>
        </is>
      </c>
      <c r="I948" s="77" t="inlineStr">
        <is>
          <t>2026/7</t>
        </is>
      </c>
      <c r="J948" s="77" t="inlineStr">
        <is>
          <t>2026-10-12</t>
        </is>
      </c>
      <c r="K948" s="77" t="inlineStr">
        <is>
          <t>search-index extract</t>
        </is>
      </c>
      <c r="L948" s="77" t="inlineStr">
        <is>
          <t>Supervised group meetings with a member of the teaching team acting as project sponsor; student-led sessions present progress to the cohort and, potentially, external stakeholders (search summary).</t>
        </is>
      </c>
    </row>
    <row r="949">
      <c r="A949" s="77" t="inlineStr">
        <is>
          <t>UK07-S12-R1</t>
        </is>
      </c>
      <c r="B949" s="77" t="inlineStr">
        <is>
          <t>UK07</t>
        </is>
      </c>
      <c r="C949" s="77" t="inlineStr">
        <is>
          <t>UK07-S12</t>
        </is>
      </c>
      <c r="D949" s="77" t="inlineStr">
        <is>
          <t>IKEEP (Intrapreneurial Knowledge Exchange Enterprise Pathway)</t>
        </is>
      </c>
      <c r="E949" s="77" t="inlineStr">
        <is>
          <t>project; group; employer; duration</t>
        </is>
      </c>
      <c r="F949" s="77" t="inlineStr">
        <is>
          <t>https://www.surrey.ac.uk/innovation/business-partners/work-our-students</t>
        </is>
      </c>
      <c r="G949" s="77" t="inlineStr">
        <is>
          <t>Work with our students</t>
        </is>
      </c>
      <c r="H949" s="77" t="inlineStr">
        <is>
          <t>Partner page</t>
        </is>
      </c>
      <c r="I949" s="77" t="inlineStr">
        <is>
          <t>undated</t>
        </is>
      </c>
      <c r="J949" s="77" t="inlineStr">
        <is>
          <t>2026-10-12</t>
        </is>
      </c>
      <c r="K949" s="77" t="inlineStr">
        <is>
          <t>search-index extract</t>
        </is>
      </c>
      <c r="L949" s="77" t="inlineStr">
        <is>
          <t>IKEEP: funded programme letting students apply knowledge to an innovation challenge for a local business or charity; team of three students from a variety of disciplines; free for organisations; two or four weeks.</t>
        </is>
      </c>
    </row>
    <row r="950">
      <c r="A950" s="77" t="inlineStr">
        <is>
          <t>UK07-S12-R2</t>
        </is>
      </c>
      <c r="B950" s="77" t="inlineStr">
        <is>
          <t>UK07</t>
        </is>
      </c>
      <c r="C950" s="77" t="inlineStr">
        <is>
          <t>UK07-S12</t>
        </is>
      </c>
      <c r="D950" s="77" t="inlineStr">
        <is>
          <t>IKEEP (Intrapreneurial Knowledge Exchange Enterprise Pathway)</t>
        </is>
      </c>
      <c r="E950" s="77" t="inlineStr">
        <is>
          <t>group; duration; status</t>
        </is>
      </c>
      <c r="F950" s="77" t="inlineStr">
        <is>
          <t>https://blogs.surrey.ac.uk/student-enterprise/2021/06/01/setsquared-surreys-ikeep-programme-launching-again-in-2021/</t>
        </is>
      </c>
      <c r="G950" s="77" t="inlineStr">
        <is>
          <t>SETsquared Surrey's IKEEP Programme Launching Again in 2021!</t>
        </is>
      </c>
      <c r="H950" s="77" t="inlineStr">
        <is>
          <t>Blog</t>
        </is>
      </c>
      <c r="I950" s="77" t="inlineStr">
        <is>
          <t>2021</t>
        </is>
      </c>
      <c r="J950" s="77" t="inlineStr">
        <is>
          <t>2026-10-12</t>
        </is>
      </c>
      <c r="K950" s="77" t="inlineStr">
        <is>
          <t>search-index extract</t>
        </is>
      </c>
      <c r="L950" s="77" t="inlineStr">
        <is>
          <t>Mixed UG/PG teams of three; 4-week part-time projects totalling 210 hours; stipend GBP450.</t>
        </is>
      </c>
    </row>
    <row r="951">
      <c r="A951" s="77" t="inlineStr">
        <is>
          <t>UK07-S13-R1</t>
        </is>
      </c>
      <c r="B951" s="77" t="inlineStr">
        <is>
          <t>UK07</t>
        </is>
      </c>
      <c r="C951" s="77" t="inlineStr">
        <is>
          <t>UK07-S13</t>
        </is>
      </c>
      <c r="D951" s="77" t="inlineStr">
        <is>
          <t>iTEK (Ready4Innovation challenges, ERA Foundation funded)</t>
        </is>
      </c>
      <c r="E951" s="77" t="inlineStr">
        <is>
          <t>project; group; employer; status</t>
        </is>
      </c>
      <c r="F951" s="77" t="inlineStr">
        <is>
          <t>https://www.surrey.ac.uk/news/itek-programme-funded-era-foundation</t>
        </is>
      </c>
      <c r="G951" s="77" t="inlineStr">
        <is>
          <t>iTEK Programme funded by ERA Foundation</t>
        </is>
      </c>
      <c r="H951" s="77" t="inlineStr">
        <is>
          <t>News</t>
        </is>
      </c>
      <c r="I951" s="77" t="inlineStr">
        <is>
          <t>2022</t>
        </is>
      </c>
      <c r="J951" s="77" t="inlineStr">
        <is>
          <t>2026-10-12</t>
        </is>
      </c>
      <c r="K951" s="77" t="inlineStr">
        <is>
          <t>search-index extract</t>
        </is>
      </c>
      <c r="L951" s="77" t="inlineStr">
        <is>
          <t>iTEK connects SMEs and industry partners with small student teams drawn from the cohort attached to the relevant module; companies offered an innovation team for a short-term funded project; GBP195,600 from ERA Foundation, began with MSc AI.</t>
        </is>
      </c>
    </row>
    <row r="952">
      <c r="A952" s="77" t="inlineStr">
        <is>
          <t>UK07-S14-R1</t>
        </is>
      </c>
      <c r="B952" s="77" t="inlineStr">
        <is>
          <t>UK07</t>
        </is>
      </c>
      <c r="C952" s="77" t="inlineStr">
        <is>
          <t>UK07-S14</t>
        </is>
      </c>
      <c r="D952" s="77" t="inlineStr">
        <is>
          <t>Hackathon17</t>
        </is>
      </c>
      <c r="E952" s="77" t="inlineStr">
        <is>
          <t>group; project; duration</t>
        </is>
      </c>
      <c r="F952" s="77" t="inlineStr">
        <is>
          <t>https://blogs.surrey.ac.uk/student-enterprise/2022/05/14/hackathon17-hacking-the-sustainable-development-goals-for-a-better-future/</t>
        </is>
      </c>
      <c r="G952" s="77" t="inlineStr">
        <is>
          <t>HACKATHON17</t>
        </is>
      </c>
      <c r="H952" s="77" t="inlineStr">
        <is>
          <t>Blog</t>
        </is>
      </c>
      <c r="I952" s="77" t="inlineStr">
        <is>
          <t>2022</t>
        </is>
      </c>
      <c r="J952" s="77" t="inlineStr">
        <is>
          <t>2026-10-12</t>
        </is>
      </c>
      <c r="K952" s="77" t="inlineStr">
        <is>
          <t>search-index extract</t>
        </is>
      </c>
      <c r="L952" s="77" t="inlineStr">
        <is>
          <t>Three-day event; interdisciplinary teams create products and services for problem statements on SDGs.</t>
        </is>
      </c>
    </row>
    <row r="953">
      <c r="A953" s="77" t="inlineStr">
        <is>
          <t>UK07-S15-R1</t>
        </is>
      </c>
      <c r="B953" s="77" t="inlineStr">
        <is>
          <t>UK07</t>
        </is>
      </c>
      <c r="C953" s="77" t="inlineStr">
        <is>
          <t>UK07-S15</t>
        </is>
      </c>
      <c r="D953" s="77" t="inlineStr">
        <is>
          <t>Retail Consultancy Project (MAN3136)</t>
        </is>
      </c>
      <c r="E953" s="77" t="inlineStr">
        <is>
          <t>project; group; employer</t>
        </is>
      </c>
      <c r="F953" s="77" t="inlineStr">
        <is>
          <t>https://catalogue.surrey.ac.uk/2022-3/module/MAN3136</t>
        </is>
      </c>
      <c r="G953" s="77" t="inlineStr">
        <is>
          <t>RETAIL CONSULTANCY PROJECT - 2022/3</t>
        </is>
      </c>
      <c r="H953" s="77" t="inlineStr">
        <is>
          <t>Module descriptor</t>
        </is>
      </c>
      <c r="I953" s="77" t="inlineStr">
        <is>
          <t>2022/3</t>
        </is>
      </c>
      <c r="J953" s="77" t="inlineStr">
        <is>
          <t>2026-10-12</t>
        </is>
      </c>
      <c r="K953" s="77" t="inlineStr">
        <is>
          <t>search-index extract</t>
        </is>
      </c>
      <c r="L953" s="77" t="inlineStr">
        <is>
          <t>Small simulated consultancy project in retail with hypothetical or real client; written group project and group presentation to the client.</t>
        </is>
      </c>
    </row>
    <row r="954">
      <c r="A954" s="77" t="inlineStr">
        <is>
          <t>UK07-S15-R2</t>
        </is>
      </c>
      <c r="B954" s="77" t="inlineStr">
        <is>
          <t>UK07</t>
        </is>
      </c>
      <c r="C954" s="77" t="inlineStr">
        <is>
          <t>UK07-S15</t>
        </is>
      </c>
      <c r="D954" s="77" t="inlineStr">
        <is>
          <t>Retail Consultancy Project (MAN3136)</t>
        </is>
      </c>
      <c r="E954" s="77" t="inlineStr">
        <is>
          <t>employer</t>
        </is>
      </c>
      <c r="F954" s="77" t="inlineStr">
        <is>
          <t>https://www.surrey.ac.uk/news/students-work-business-launch-marketing-campaigns-and-boost-store-sales</t>
        </is>
      </c>
      <c r="G954" s="77" t="inlineStr">
        <is>
          <t>Students work with business to launch marketing campaigns and boost in-store sales</t>
        </is>
      </c>
      <c r="H954" s="77" t="inlineStr">
        <is>
          <t>News</t>
        </is>
      </c>
      <c r="I954" s="77" t="inlineStr">
        <is>
          <t>c.2020</t>
        </is>
      </c>
      <c r="J954" s="77" t="inlineStr">
        <is>
          <t>2026-10-12</t>
        </is>
      </c>
      <c r="K954" s="77" t="inlineStr">
        <is>
          <t>search-index extract</t>
        </is>
      </c>
      <c r="L954" s="77" t="inlineStr">
        <is>
          <t>Final-year groups ran live campaigns for Carabao in Simply Fresh store; presented to a panel including company representatives.</t>
        </is>
      </c>
    </row>
    <row r="955">
      <c r="A955" s="77" t="inlineStr">
        <is>
          <t>UK08-S01-R1</t>
        </is>
      </c>
      <c r="B955" s="77" t="inlineStr">
        <is>
          <t>UK08</t>
        </is>
      </c>
      <c r="C955" s="77" t="inlineStr">
        <is>
          <t>UK08-S01</t>
        </is>
      </c>
      <c r="D955" s="77" t="inlineStr">
        <is>
          <t>Career Lab Student Consultancy Programme</t>
        </is>
      </c>
      <c r="E955" s="77" t="inlineStr">
        <is>
          <t>project; group; employer; eligibility; reach; duration</t>
        </is>
      </c>
      <c r="F955" s="77" t="inlineStr">
        <is>
          <t>https://student.sussex.ac.uk/careers/career-lab/student-consultancy</t>
        </is>
      </c>
      <c r="G955" s="77" t="inlineStr">
        <is>
          <t>Student consultancy : University of Sussex</t>
        </is>
      </c>
      <c r="H955" s="77" t="inlineStr">
        <is>
          <t>Programme description / eligibility</t>
        </is>
      </c>
      <c r="I955" s="77" t="inlineStr">
        <is>
          <t>undated</t>
        </is>
      </c>
      <c r="J955" s="77" t="inlineStr">
        <is>
          <t>2026-10-13</t>
        </is>
      </c>
      <c r="K955" s="77" t="inlineStr">
        <is>
          <t>page text</t>
        </is>
      </c>
      <c r="L955" s="77" t="inlineStr">
        <is>
          <t>WebFetch 2026-10-13: 'Final-year undergraduate students and taught postgraduate students are eligible to apply.' 'You will be allocated to a team and project.' 'Project briefs are set by a range of organisations from different sectors.' 'Working flexible hours over a three to four-week period (approximately 20 hours in total).' Ends with 'a 10-15 minute team presentation highlighting your research and recommendations.'</t>
        </is>
      </c>
    </row>
    <row r="956">
      <c r="A956" s="77" t="inlineStr">
        <is>
          <t>UK08-S01-R2</t>
        </is>
      </c>
      <c r="B956" s="77" t="inlineStr">
        <is>
          <t>UK08</t>
        </is>
      </c>
      <c r="C956" s="77" t="inlineStr">
        <is>
          <t>UK08-S01</t>
        </is>
      </c>
      <c r="D956" s="77" t="inlineStr">
        <is>
          <t>Career Lab Student Consultancy Programme</t>
        </is>
      </c>
      <c r="E956" s="77" t="inlineStr">
        <is>
          <t>status; participation</t>
        </is>
      </c>
      <c r="F956" s="77" t="inlineStr">
        <is>
          <t>https://www.sussex.ac.uk/broadcast/read/71127</t>
        </is>
      </c>
      <c r="G956" s="77" t="inlineStr">
        <is>
          <t>Applications open now! Apply to take part in the Award-Winning Career Lab Student Consultancy Programme</t>
        </is>
      </c>
      <c r="H956" s="77" t="inlineStr">
        <is>
          <t>News item</t>
        </is>
      </c>
      <c r="I956" s="77" t="inlineStr">
        <is>
          <t>2026</t>
        </is>
      </c>
      <c r="J956" s="77" t="inlineStr">
        <is>
          <t>2026-10-12</t>
        </is>
      </c>
      <c r="K956" s="77" t="inlineStr">
        <is>
          <t>search-summary paraphrase</t>
        </is>
      </c>
      <c r="L956" s="77" t="inlineStr">
        <is>
          <t>Applications for 2026/27 opened 1 September 2026; programme runs three times in 2026-27 (winter, spring, summer).</t>
        </is>
      </c>
    </row>
    <row r="957">
      <c r="A957" s="77" t="inlineStr">
        <is>
          <t>UK08-S01-R3</t>
        </is>
      </c>
      <c r="B957" s="77" t="inlineStr">
        <is>
          <t>UK08</t>
        </is>
      </c>
      <c r="C957" s="77" t="inlineStr">
        <is>
          <t>UK08-S01</t>
        </is>
      </c>
      <c r="D957" s="77" t="inlineStr">
        <is>
          <t>Career Lab Student Consultancy Programme</t>
        </is>
      </c>
      <c r="E957" s="77" t="inlineStr">
        <is>
          <t>project; group; employer</t>
        </is>
      </c>
      <c r="F957" s="77" t="inlineStr">
        <is>
          <t>https://careerhub.sussex.ac.uk/docs/255/Hastings-Direct-Student-Consultancy-Case-Study.pdf</t>
        </is>
      </c>
      <c r="G957" s="77" t="inlineStr">
        <is>
          <t>Student Consultancy Programme: Five students inform real-world changes</t>
        </is>
      </c>
      <c r="H957" s="77" t="inlineStr">
        <is>
          <t>Case study</t>
        </is>
      </c>
      <c r="I957" s="77" t="inlineStr">
        <is>
          <t>2024</t>
        </is>
      </c>
      <c r="J957" s="77" t="inlineStr">
        <is>
          <t>2026-10-12</t>
        </is>
      </c>
      <c r="K957" s="77" t="inlineStr">
        <is>
          <t>search-summary paraphrase</t>
        </is>
      </c>
      <c r="L957" s="77" t="inlineStr">
        <is>
          <t>Hastings Direct gave a five-student team a brief on improving its UN SDG contributions; the company has since made changes, some aligned with the students' recommendations.</t>
        </is>
      </c>
    </row>
    <row r="958">
      <c r="A958" s="77" t="inlineStr">
        <is>
          <t>UK08-S01-R4</t>
        </is>
      </c>
      <c r="B958" s="77" t="inlineStr">
        <is>
          <t>UK08</t>
        </is>
      </c>
      <c r="C958" s="77" t="inlineStr">
        <is>
          <t>UK08-S01</t>
        </is>
      </c>
      <c r="D958" s="77" t="inlineStr">
        <is>
          <t>Career Lab Student Consultancy Programme</t>
        </is>
      </c>
      <c r="E958" s="77" t="inlineStr">
        <is>
          <t>employer</t>
        </is>
      </c>
      <c r="F958" s="77" t="inlineStr">
        <is>
          <t>https://www.sussex.ac.uk/study/careers/postgraduate-support/masters-careers-support/guaranteed-internships</t>
        </is>
      </c>
      <c r="G958" s="77" t="inlineStr">
        <is>
          <t>Guaranteed internships for Business School Masters students</t>
        </is>
      </c>
      <c r="H958" s="77" t="inlineStr">
        <is>
          <t>Past projects</t>
        </is>
      </c>
      <c r="I958" s="77" t="inlineStr">
        <is>
          <t>undated</t>
        </is>
      </c>
      <c r="J958" s="77" t="inlineStr">
        <is>
          <t>2026-10-12</t>
        </is>
      </c>
      <c r="K958" s="77" t="inlineStr">
        <is>
          <t>search-summary paraphrase</t>
        </is>
      </c>
      <c r="L958" s="77" t="inlineStr">
        <is>
          <t>Past consultancy teams worked with AECOM (net zero strategy), Komedia (YouTube channel) and Mindlab (marketing audiences).</t>
        </is>
      </c>
    </row>
    <row r="959">
      <c r="A959" s="77" t="inlineStr">
        <is>
          <t>UK08-S01-R5</t>
        </is>
      </c>
      <c r="B959" s="77" t="inlineStr">
        <is>
          <t>UK08</t>
        </is>
      </c>
      <c r="C959" s="77" t="inlineStr">
        <is>
          <t>UK08-S01</t>
        </is>
      </c>
      <c r="D959" s="77" t="inlineStr">
        <is>
          <t>Career Lab Student Consultancy Programme</t>
        </is>
      </c>
      <c r="E959" s="77" t="inlineStr">
        <is>
          <t>project; group; employer; reach</t>
        </is>
      </c>
      <c r="F959" s="77" t="inlineStr">
        <is>
          <t>https://www.sussex.ac.uk/study/masters/courses/media-and-cultural-studies-ma</t>
        </is>
      </c>
      <c r="G959" s="77" t="inlineStr">
        <is>
          <t>Media and Cultural Studies MA</t>
        </is>
      </c>
      <c r="H959" s="77" t="inlineStr">
        <is>
          <t>Careers: Paid project opportunities with UK employers</t>
        </is>
      </c>
      <c r="I959" s="77" t="inlineStr">
        <is>
          <t>undated (page covers Sept 2027 start)</t>
        </is>
      </c>
      <c r="J959" s="77" t="inlineStr">
        <is>
          <t>2026-10-13</t>
        </is>
      </c>
      <c r="K959" s="77" t="inlineStr">
        <is>
          <t>page text</t>
        </is>
      </c>
      <c r="L959" s="77" t="inlineStr">
        <is>
          <t>'Gain work experience by tackling a real-life challenge faced by an organisation.' 'Learn how to develop a project, work in a team and deliver your findings to a client in a supportive setting.' (same text appears on Physics MSc page)</t>
        </is>
      </c>
    </row>
    <row r="960">
      <c r="A960" s="77" t="inlineStr">
        <is>
          <t>UK08-S02-R1</t>
        </is>
      </c>
      <c r="B960" s="77" t="inlineStr">
        <is>
          <t>UK08</t>
        </is>
      </c>
      <c r="C960" s="77" t="inlineStr">
        <is>
          <t>UK08-S02</t>
        </is>
      </c>
      <c r="D960" s="77" t="inlineStr">
        <is>
          <t>Marketing Consultancy Project (Capstone)</t>
        </is>
      </c>
      <c r="E960" s="77" t="inlineStr">
        <is>
          <t>project; group; employer; credit</t>
        </is>
      </c>
      <c r="F960" s="77" t="inlineStr">
        <is>
          <t>https://www.sussex.ac.uk/study/modules/undergraduate/2025/105316-marketing-consultancy-project-capstone</t>
        </is>
      </c>
      <c r="G960" s="77" t="inlineStr">
        <is>
          <t>Marketing Consultancy Project (Capstone) module : University of Sussex</t>
        </is>
      </c>
      <c r="H960" s="77" t="inlineStr">
        <is>
          <t>Module overview / assessment</t>
        </is>
      </c>
      <c r="I960" s="77" t="inlineStr">
        <is>
          <t>2025</t>
        </is>
      </c>
      <c r="J960" s="77" t="inlineStr">
        <is>
          <t>2026-10-12</t>
        </is>
      </c>
      <c r="K960" s="77" t="inlineStr">
        <is>
          <t>search-index extract (quoted)</t>
        </is>
      </c>
      <c r="L960" s="77" t="inlineStr">
        <is>
          <t>Consultancy style project 'with inspiration and tips provided from a top consulting firm'; 15 credits, Level 6, spring; 'a brief to produce a recommendation to address a strategic marketing problem'; '60% coursework (group presentation), 40% written assessment (report)'.</t>
        </is>
      </c>
    </row>
    <row r="961">
      <c r="A961" s="77" t="inlineStr">
        <is>
          <t>UK08-S02-R2</t>
        </is>
      </c>
      <c r="B961" s="77" t="inlineStr">
        <is>
          <t>UK08</t>
        </is>
      </c>
      <c r="C961" s="77" t="inlineStr">
        <is>
          <t>UK08-S02</t>
        </is>
      </c>
      <c r="D961" s="77" t="inlineStr">
        <is>
          <t>Marketing Consultancy Project (Capstone)</t>
        </is>
      </c>
      <c r="E961" s="77" t="inlineStr">
        <is>
          <t>status</t>
        </is>
      </c>
      <c r="F961" s="77" t="inlineStr">
        <is>
          <t>https://www.sussex.ac.uk/study/modules/undergraduate/2026/105316-marketing-consultancy-project-capstone</t>
        </is>
      </c>
      <c r="G961" s="77" t="inlineStr">
        <is>
          <t>Marketing Consultancy Project (Capstone) module : University of Sussex</t>
        </is>
      </c>
      <c r="H961" s="77" t="inlineStr">
        <is>
          <t>Module catalogue 2026</t>
        </is>
      </c>
      <c r="I961" s="77" t="inlineStr">
        <is>
          <t>2026</t>
        </is>
      </c>
      <c r="J961" s="77" t="inlineStr">
        <is>
          <t>2026-10-12</t>
        </is>
      </c>
      <c r="K961" s="77" t="inlineStr">
        <is>
          <t>search-summary paraphrase</t>
        </is>
      </c>
      <c r="L961" s="77" t="inlineStr">
        <is>
          <t>Module page listed in the 2026 undergraduate module catalogue (title only seen in results).</t>
        </is>
      </c>
    </row>
    <row r="962">
      <c r="A962" s="77" t="inlineStr">
        <is>
          <t>UK08-S03-R1</t>
        </is>
      </c>
      <c r="B962" s="77" t="inlineStr">
        <is>
          <t>UK08</t>
        </is>
      </c>
      <c r="C962" s="77" t="inlineStr">
        <is>
          <t>UK08-S03</t>
        </is>
      </c>
      <c r="D962" s="77" t="inlineStr">
        <is>
          <t>Consultancy Project</t>
        </is>
      </c>
      <c r="E962" s="77" t="inlineStr">
        <is>
          <t>project; group; employer; credit; duration</t>
        </is>
      </c>
      <c r="F962" s="77" t="inlineStr">
        <is>
          <t>https://www.sussex.ac.uk/study/modules/postgraduate/2024/90902-consultancy-project</t>
        </is>
      </c>
      <c r="G962" s="77" t="inlineStr">
        <is>
          <t>Consultancy Project module : University of Sussex</t>
        </is>
      </c>
      <c r="H962" s="77" t="inlineStr">
        <is>
          <t>Module overview / assessment</t>
        </is>
      </c>
      <c r="I962" s="77" t="inlineStr">
        <is>
          <t>2024/25</t>
        </is>
      </c>
      <c r="J962" s="77" t="inlineStr">
        <is>
          <t>2026-10-12</t>
        </is>
      </c>
      <c r="K962" s="77" t="inlineStr">
        <is>
          <t>search-summary paraphrase</t>
        </is>
      </c>
      <c r="L962" s="77" t="inlineStr">
        <is>
          <t>Consultancy Project (111N1), 30 credits Level 7, summer; students work on a live consultancy project in a group; 'Consultancy teams will be supervised by an appropriate academic'; group presentation, group written submission and project; c.300 hours; details for 2024/25.</t>
        </is>
      </c>
    </row>
    <row r="963">
      <c r="A963" s="77" t="inlineStr">
        <is>
          <t>UK08-S03-R2</t>
        </is>
      </c>
      <c r="B963" s="77" t="inlineStr">
        <is>
          <t>UK08</t>
        </is>
      </c>
      <c r="C963" s="77" t="inlineStr">
        <is>
          <t>UK08-S03</t>
        </is>
      </c>
      <c r="D963" s="77" t="inlineStr">
        <is>
          <t>Consultancy Project</t>
        </is>
      </c>
      <c r="E963" s="77" t="inlineStr">
        <is>
          <t>project; group; employer; eligibility</t>
        </is>
      </c>
      <c r="F963" s="77" t="inlineStr">
        <is>
          <t>https://www.sussex.ac.uk/study/masters/courses/management-msc</t>
        </is>
      </c>
      <c r="G963" s="77" t="inlineStr">
        <is>
          <t>Management MSc at the University of Sussex</t>
        </is>
      </c>
      <c r="H963" s="77" t="inlineStr">
        <is>
          <t>Course overview / dissertation options</t>
        </is>
      </c>
      <c r="I963" s="77" t="inlineStr">
        <is>
          <t>undated</t>
        </is>
      </c>
      <c r="J963" s="77" t="inlineStr">
        <is>
          <t>2026-10-12</t>
        </is>
      </c>
      <c r="K963" s="77" t="inlineStr">
        <is>
          <t>search-summary paraphrase</t>
        </is>
      </c>
      <c r="L963" s="77" t="inlineStr">
        <is>
          <t>Students solve real challenges with local organisations in a live consultancy project; one dissertation option offers small groups of students the opportunity to prepare a consultancy project for a business.</t>
        </is>
      </c>
    </row>
    <row r="964">
      <c r="A964" s="77" t="inlineStr">
        <is>
          <t>UK09-S01-R1</t>
        </is>
      </c>
      <c r="B964" s="77" t="inlineStr">
        <is>
          <t>UK09</t>
        </is>
      </c>
      <c r="C964" s="77" t="inlineStr">
        <is>
          <t>UK09-S01</t>
        </is>
      </c>
      <c r="D964" s="77" t="inlineStr">
        <is>
          <t>Software Engineering Project (second-year team project, Computer Science / Software Engineering BSc)</t>
        </is>
      </c>
      <c r="E964" s="77" t="inlineStr">
        <is>
          <t>project; group; employer</t>
        </is>
      </c>
      <c r="F964" s="77" t="inlineStr">
        <is>
          <t>https://le.ac.uk/computing-and-mathematical-sciences/services-for-business/student-projects</t>
        </is>
      </c>
      <c r="G964" s="77" t="inlineStr">
        <is>
          <t>Student projects (Computing and Mathematical Sciences)</t>
        </is>
      </c>
      <c r="H964" s="77" t="inlineStr">
        <is>
          <t>Software engineering projects</t>
        </is>
      </c>
      <c r="I964" s="77" t="inlineStr">
        <is>
          <t>undated</t>
        </is>
      </c>
      <c r="J964" s="77" t="inlineStr">
        <is>
          <t>2026-10-12</t>
        </is>
      </c>
      <c r="K964" s="77" t="inlineStr">
        <is>
          <t>search-index extract</t>
        </is>
      </c>
      <c r="L964" s="77" t="inlineStr">
        <is>
          <t>Typical software engineering projects developed by teams of 2nd year students, focus on group work and project management; groups start in February and complete in May; projects supervised by staff with the client providing requirements, advice, technical support and feedback.</t>
        </is>
      </c>
    </row>
    <row r="965">
      <c r="A965" s="77" t="inlineStr">
        <is>
          <t>UK09-S01-R2</t>
        </is>
      </c>
      <c r="B965" s="77" t="inlineStr">
        <is>
          <t>UK09</t>
        </is>
      </c>
      <c r="C965" s="77" t="inlineStr">
        <is>
          <t>UK09-S01</t>
        </is>
      </c>
      <c r="D965" s="77" t="inlineStr">
        <is>
          <t>Software Engineering Project (second-year team project, Computer Science / Software Engineering BSc)</t>
        </is>
      </c>
      <c r="E965" s="77" t="inlineStr">
        <is>
          <t>project; group; employer; reach</t>
        </is>
      </c>
      <c r="F965" s="77" t="inlineStr">
        <is>
          <t>https://le.ac.uk/courses/computer-science-bsc/2027</t>
        </is>
      </c>
      <c r="G965" s="77" t="inlineStr">
        <is>
          <t>Computer Science BSc</t>
        </is>
      </c>
      <c r="H965" s="77" t="inlineStr">
        <is>
          <t>Course structure / Year 2</t>
        </is>
      </c>
      <c r="I965" s="77" t="inlineStr">
        <is>
          <t>2027 entry</t>
        </is>
      </c>
      <c r="J965" s="77" t="inlineStr">
        <is>
          <t>2026-10-12</t>
        </is>
      </c>
      <c r="K965" s="77" t="inlineStr">
        <is>
          <t>search-index extract</t>
        </is>
      </c>
      <c r="L965" s="77" t="inlineStr">
        <is>
          <t>In year two students are part of a team project, working together to develop software, typically commissioned by a real client.</t>
        </is>
      </c>
    </row>
    <row r="966">
      <c r="A966" s="77" t="inlineStr">
        <is>
          <t>UK09-S01-R3</t>
        </is>
      </c>
      <c r="B966" s="77" t="inlineStr">
        <is>
          <t>UK09</t>
        </is>
      </c>
      <c r="C966" s="77" t="inlineStr">
        <is>
          <t>UK09-S01</t>
        </is>
      </c>
      <c r="D966" s="77" t="inlineStr">
        <is>
          <t>Software Engineering Project (second-year team project, Computer Science / Software Engineering BSc)</t>
        </is>
      </c>
      <c r="E966" s="77" t="inlineStr">
        <is>
          <t>employer; credit; status</t>
        </is>
      </c>
      <c r="F966" s="77" t="inlineStr">
        <is>
          <t>https://le.ac.uk/course-doc-links/ug/s/23-24/software-engineering-bsc</t>
        </is>
      </c>
      <c r="G966" s="77" t="inlineStr">
        <is>
          <t>Software Engineering BSc programme specification</t>
        </is>
      </c>
      <c r="H966" s="77" t="inlineStr">
        <is>
          <t>Special features / module table</t>
        </is>
      </c>
      <c r="I966" s="77" t="inlineStr">
        <is>
          <t>2023/24</t>
        </is>
      </c>
      <c r="J966" s="77" t="inlineStr">
        <is>
          <t>2026-10-12</t>
        </is>
      </c>
      <c r="K966" s="77" t="inlineStr">
        <is>
          <t>search-summary paraphrase</t>
        </is>
      </c>
      <c r="L966" s="77" t="inlineStr">
        <is>
          <t>Programme specifications state aim for Software Engineering Projects involving an external client wherever possible; note that CO2201 was split from a 30-credit year-long module into semester versions for 2024/5.</t>
        </is>
      </c>
    </row>
    <row r="967">
      <c r="A967" s="77" t="inlineStr">
        <is>
          <t>UK09-S02-R1</t>
        </is>
      </c>
      <c r="B967" s="77" t="inlineStr">
        <is>
          <t>UK09</t>
        </is>
      </c>
      <c r="C967" s="77" t="inlineStr">
        <is>
          <t>UK09-S02</t>
        </is>
      </c>
      <c r="D967" s="77" t="inlineStr">
        <is>
          <t>Industrial Mathematics Project</t>
        </is>
      </c>
      <c r="E967" s="77" t="inlineStr">
        <is>
          <t>project; group; employer; duration</t>
        </is>
      </c>
      <c r="F967" s="77" t="inlineStr">
        <is>
          <t>https://le.ac.uk/computing-and-mathematical-sciences/services-for-business/student-projects</t>
        </is>
      </c>
      <c r="G967" s="77" t="inlineStr">
        <is>
          <t>Student projects (Computing and Mathematical Sciences)</t>
        </is>
      </c>
      <c r="H967" s="77" t="inlineStr">
        <is>
          <t>Industrial Mathematics</t>
        </is>
      </c>
      <c r="I967" s="77" t="inlineStr">
        <is>
          <t>undated</t>
        </is>
      </c>
      <c r="J967" s="77" t="inlineStr">
        <is>
          <t>2026-10-12</t>
        </is>
      </c>
      <c r="K967" s="77" t="inlineStr">
        <is>
          <t>search-index extract</t>
        </is>
      </c>
      <c r="L967" s="77" t="inlineStr">
        <is>
          <t>Third year undergraduate mathematics students apply modelling and data analytics skills to real business problems; students work in groups and in close collaboration with the industrial partners who provided the business problems; timeline mid-October to end of May.</t>
        </is>
      </c>
    </row>
    <row r="968">
      <c r="A968" s="77" t="inlineStr">
        <is>
          <t>UK09-S02-R2</t>
        </is>
      </c>
      <c r="B968" s="77" t="inlineStr">
        <is>
          <t>UK09</t>
        </is>
      </c>
      <c r="C968" s="77" t="inlineStr">
        <is>
          <t>UK09-S02</t>
        </is>
      </c>
      <c r="D968" s="77" t="inlineStr">
        <is>
          <t>Industrial Mathematics Project</t>
        </is>
      </c>
      <c r="E968" s="77" t="inlineStr">
        <is>
          <t>credit; eligibility; status</t>
        </is>
      </c>
      <c r="F968" s="77" t="inlineStr">
        <is>
          <t>https://le.ac.uk/-/media/uol/docs/course-documentation/documentation/2024-25/ug/cse/mathematics-bsc-mmath.pdf</t>
        </is>
      </c>
      <c r="G968" s="77" t="inlineStr">
        <is>
          <t>Mathematics BSc/MMath programme specification</t>
        </is>
      </c>
      <c r="H968" s="77" t="inlineStr">
        <is>
          <t>Module table</t>
        </is>
      </c>
      <c r="I968" s="77" t="inlineStr">
        <is>
          <t>2024/25</t>
        </is>
      </c>
      <c r="J968" s="77" t="inlineStr">
        <is>
          <t>2026-10-12</t>
        </is>
      </c>
      <c r="K968" s="77" t="inlineStr">
        <is>
          <t>search-summary paraphrase</t>
        </is>
      </c>
      <c r="L968" s="77" t="inlineStr">
        <is>
          <t>MA3513 Industrial Mathematics Project listed as year-long 30-credit module; only one of MA3516 or MA3513 can be taken.</t>
        </is>
      </c>
    </row>
    <row r="969">
      <c r="A969" s="77" t="inlineStr">
        <is>
          <t>UK09-S03-R1</t>
        </is>
      </c>
      <c r="B969" s="77" t="inlineStr">
        <is>
          <t>UK09</t>
        </is>
      </c>
      <c r="C969" s="77" t="inlineStr">
        <is>
          <t>UK09-S03</t>
        </is>
      </c>
      <c r="D969" s="77" t="inlineStr">
        <is>
          <t>Sustainability Enterprise Partnership Project (SEPP)</t>
        </is>
      </c>
      <c r="E969" s="77" t="inlineStr">
        <is>
          <t>project; group; employer</t>
        </is>
      </c>
      <c r="F969" s="77" t="inlineStr">
        <is>
          <t>https://le.ac.uk/news/2024/july/green-gown</t>
        </is>
      </c>
      <c r="G969" s="77" t="inlineStr">
        <is>
          <t>University of Leicester named as finalist in two Green Gown Award categories</t>
        </is>
      </c>
      <c r="H969" s="77" t="inlineStr">
        <is>
          <t>SEPP description</t>
        </is>
      </c>
      <c r="I969" s="77" t="inlineStr">
        <is>
          <t>2024</t>
        </is>
      </c>
      <c r="J969" s="77" t="inlineStr">
        <is>
          <t>2026-10-12</t>
        </is>
      </c>
      <c r="K969" s="77" t="inlineStr">
        <is>
          <t>search-summary paraphrase</t>
        </is>
      </c>
      <c r="L969" s="77" t="inlineStr">
        <is>
          <t>Credit-bearing course in which student 'sustainability advisors' from various disciplines collaborate with local businesses (mainly SMEs) on sustainability audits; Carbon Literacy Training; students work in groups first, then individually; deliverables: Written Industry Report (group) and Detailed Implementation Plan (individual).</t>
        </is>
      </c>
    </row>
    <row r="970">
      <c r="A970" s="77" t="inlineStr">
        <is>
          <t>UK09-S03-R2</t>
        </is>
      </c>
      <c r="B970" s="77" t="inlineStr">
        <is>
          <t>UK09</t>
        </is>
      </c>
      <c r="C970" s="77" t="inlineStr">
        <is>
          <t>UK09-S03</t>
        </is>
      </c>
      <c r="D970" s="77" t="inlineStr">
        <is>
          <t>Sustainability Enterprise Partnership Project (SEPP)</t>
        </is>
      </c>
      <c r="E970" s="77" t="inlineStr">
        <is>
          <t>employer; status</t>
        </is>
      </c>
      <c r="F970" s="77" t="inlineStr">
        <is>
          <t>https://le.ac.uk/news/2024/november/green-gown</t>
        </is>
      </c>
      <c r="G970" s="77" t="inlineStr">
        <is>
          <t>Double Green Gown win for the University of Leicester</t>
        </is>
      </c>
      <c r="H970" s="77" t="inlineStr">
        <is>
          <t>Tomorrow's Employees</t>
        </is>
      </c>
      <c r="I970" s="77" t="inlineStr">
        <is>
          <t>2024</t>
        </is>
      </c>
      <c r="J970" s="77" t="inlineStr">
        <is>
          <t>2026-10-12</t>
        </is>
      </c>
      <c r="K970" s="77" t="inlineStr">
        <is>
          <t>search-summary paraphrase</t>
        </is>
      </c>
      <c r="L970" s="77" t="inlineStr">
        <is>
          <t>Module won the 2024 Green Gown 'Tomorrow's Employees' category; innovative credit-bearing course enabling students to collaborate with local businesses.</t>
        </is>
      </c>
    </row>
    <row r="971">
      <c r="A971" s="77" t="inlineStr">
        <is>
          <t>UK09-S03-R3</t>
        </is>
      </c>
      <c r="B971" s="77" t="inlineStr">
        <is>
          <t>UK09</t>
        </is>
      </c>
      <c r="C971" s="77" t="inlineStr">
        <is>
          <t>UK09-S03</t>
        </is>
      </c>
      <c r="D971" s="77" t="inlineStr">
        <is>
          <t>Sustainability Enterprise Partnership Project (SEPP)</t>
        </is>
      </c>
      <c r="E971" s="77" t="inlineStr">
        <is>
          <t>project; group; employer; credit</t>
        </is>
      </c>
      <c r="F971" s="77" t="inlineStr">
        <is>
          <t>https://le.ac.uk/about/making-a-difference/sdgs/climate-change</t>
        </is>
      </c>
      <c r="G971" s="77" t="inlineStr">
        <is>
          <t>Goal 13: Climate Action</t>
        </is>
      </c>
      <c r="H971" s="77" t="inlineStr">
        <is>
          <t>NT3100</t>
        </is>
      </c>
      <c r="I971" s="77" t="inlineStr">
        <is>
          <t>undated</t>
        </is>
      </c>
      <c r="J971" s="77" t="inlineStr">
        <is>
          <t>2026-10-12</t>
        </is>
      </c>
      <c r="K971" s="77" t="inlineStr">
        <is>
          <t>search-index extract</t>
        </is>
      </c>
      <c r="L971" s="77" t="inlineStr">
        <is>
          <t>The Sustainable Enterprise Partnership Project (NT3100) module offers the chance to achieve Carbon Literacy Accreditation and then work with a partner organisation in groups to produce a sustainability audit report with recommendations.</t>
        </is>
      </c>
    </row>
    <row r="972">
      <c r="A972" s="77" t="inlineStr">
        <is>
          <t>UK09-S03-R4</t>
        </is>
      </c>
      <c r="B972" s="77" t="inlineStr">
        <is>
          <t>UK09</t>
        </is>
      </c>
      <c r="C972" s="77" t="inlineStr">
        <is>
          <t>UK09-S03</t>
        </is>
      </c>
      <c r="D972" s="77" t="inlineStr">
        <is>
          <t>Sustainability Enterprise Partnership Project (SEPP)</t>
        </is>
      </c>
      <c r="E972" s="77" t="inlineStr">
        <is>
          <t>credit; status; reach</t>
        </is>
      </c>
      <c r="F972" s="77" t="inlineStr">
        <is>
          <t>https://le.ac.uk/-/media/uol/docs/course-documentation/documentation/2025-26/ug/cls/medical-biochemistry-bsc.pdf</t>
        </is>
      </c>
      <c r="G972" s="77" t="inlineStr">
        <is>
          <t>Medical Biochemistry BSc programme specification</t>
        </is>
      </c>
      <c r="H972" s="77" t="inlineStr">
        <is>
          <t>Module table</t>
        </is>
      </c>
      <c r="I972" s="77" t="inlineStr">
        <is>
          <t>2025/26</t>
        </is>
      </c>
      <c r="J972" s="77" t="inlineStr">
        <is>
          <t>2026-10-12</t>
        </is>
      </c>
      <c r="K972" s="77" t="inlineStr">
        <is>
          <t>search-summary paraphrase</t>
        </is>
      </c>
      <c r="L972" s="77" t="inlineStr">
        <is>
          <t>NT3100 Sustainability Enterprise Partnership Project listed, 15 credits, Semester 1 (companion NT3200 Semester 2).</t>
        </is>
      </c>
    </row>
    <row r="973">
      <c r="A973" s="77" t="inlineStr">
        <is>
          <t>UK09-S03-R5</t>
        </is>
      </c>
      <c r="B973" s="77" t="inlineStr">
        <is>
          <t>UK09</t>
        </is>
      </c>
      <c r="C973" s="77" t="inlineStr">
        <is>
          <t>UK09-S03</t>
        </is>
      </c>
      <c r="D973" s="77" t="inlineStr">
        <is>
          <t>Sustainability Enterprise Partnership Project (SEPP)</t>
        </is>
      </c>
      <c r="E973" s="77" t="inlineStr">
        <is>
          <t>reach; eligibility</t>
        </is>
      </c>
      <c r="F973" s="77" t="inlineStr">
        <is>
          <t>https://le.ac.uk/courses/creative-computing-bsc/2027</t>
        </is>
      </c>
      <c r="G973" s="77" t="inlineStr">
        <is>
          <t>Creative Computing BSc</t>
        </is>
      </c>
      <c r="H973" s="77" t="inlineStr">
        <is>
          <t>Year 3 options</t>
        </is>
      </c>
      <c r="I973" s="77" t="inlineStr">
        <is>
          <t>2027 entry</t>
        </is>
      </c>
      <c r="J973" s="77" t="inlineStr">
        <is>
          <t>2026-10-12</t>
        </is>
      </c>
      <c r="K973" s="77" t="inlineStr">
        <is>
          <t>search-summary paraphrase</t>
        </is>
      </c>
      <c r="L973" s="77" t="inlineStr">
        <is>
          <t>SEPP listed as a final-year option; selectable only through Online Module Selection.</t>
        </is>
      </c>
    </row>
    <row r="974">
      <c r="A974" s="77" t="inlineStr">
        <is>
          <t>UK09-S04-R1</t>
        </is>
      </c>
      <c r="B974" s="77" t="inlineStr">
        <is>
          <t>UK09</t>
        </is>
      </c>
      <c r="C974" s="77" t="inlineStr">
        <is>
          <t>UK09-S04</t>
        </is>
      </c>
      <c r="D974" s="77" t="inlineStr">
        <is>
          <t>Client Led Media Production</t>
        </is>
      </c>
      <c r="E974" s="77" t="inlineStr">
        <is>
          <t>project; employer</t>
        </is>
      </c>
      <c r="F974" s="77" t="inlineStr">
        <is>
          <t>https://le.ac.uk/news/2023/july/nhs-media</t>
        </is>
      </c>
      <c r="G974" s="77" t="inlineStr">
        <is>
          <t>Media students join forces with NHS to produce a film for local mental health services</t>
        </is>
      </c>
      <c r="H974" s="77" t="inlineStr">
        <is>
          <t>News</t>
        </is>
      </c>
      <c r="I974" s="77" t="inlineStr">
        <is>
          <t>2023</t>
        </is>
      </c>
      <c r="J974" s="77" t="inlineStr">
        <is>
          <t>2026-10-12</t>
        </is>
      </c>
      <c r="K974" s="77" t="inlineStr">
        <is>
          <t>search-index extract</t>
        </is>
      </c>
      <c r="L974" s="77" t="inlineStr">
        <is>
          <t>Final year media students produced a short film for LPT's Child and Adolescent Mental Health Services as part of their Client Led Media Production Module; film to introduce young people to the team.</t>
        </is>
      </c>
    </row>
    <row r="975">
      <c r="A975" s="77" t="inlineStr">
        <is>
          <t>UK09-S04-R2</t>
        </is>
      </c>
      <c r="B975" s="77" t="inlineStr">
        <is>
          <t>UK09</t>
        </is>
      </c>
      <c r="C975" s="77" t="inlineStr">
        <is>
          <t>UK09-S04</t>
        </is>
      </c>
      <c r="D975" s="77" t="inlineStr">
        <is>
          <t>Client Led Media Production</t>
        </is>
      </c>
      <c r="E975" s="77" t="inlineStr">
        <is>
          <t>employer; status</t>
        </is>
      </c>
      <c r="F975" s="77" t="inlineStr">
        <is>
          <t>https://le.ac.uk/news/2025/april/media-journalism-prestigious-employability-awards</t>
        </is>
      </c>
      <c r="G975" s="77" t="inlineStr">
        <is>
          <t>Media and journalism degrees shortlisted for employability awards</t>
        </is>
      </c>
      <c r="H975" s="77" t="inlineStr">
        <is>
          <t>News</t>
        </is>
      </c>
      <c r="I975" s="77" t="inlineStr">
        <is>
          <t>2025</t>
        </is>
      </c>
      <c r="J975" s="77" t="inlineStr">
        <is>
          <t>2026-10-12</t>
        </is>
      </c>
      <c r="K975" s="77" t="inlineStr">
        <is>
          <t>search-summary paraphrase</t>
        </is>
      </c>
      <c r="L975" s="77" t="inlineStr">
        <is>
          <t>Students co-design and develop content that directly benefits the NHS; project nominated for an Employer and Community Partnership award.</t>
        </is>
      </c>
    </row>
    <row r="976">
      <c r="A976" s="77" t="inlineStr">
        <is>
          <t>UK09-S04-R3</t>
        </is>
      </c>
      <c r="B976" s="77" t="inlineStr">
        <is>
          <t>UK09</t>
        </is>
      </c>
      <c r="C976" s="77" t="inlineStr">
        <is>
          <t>UK09-S04</t>
        </is>
      </c>
      <c r="D976" s="77" t="inlineStr">
        <is>
          <t>Client Led Media Production</t>
        </is>
      </c>
      <c r="E976" s="77" t="inlineStr">
        <is>
          <t>credit; reach; status</t>
        </is>
      </c>
      <c r="F976" s="77" t="inlineStr">
        <is>
          <t>https://le.ac.uk/-/media/uol/docs/course-documentation/documentation/2025-26/ug/cssah/media-and-communication-ba.pdf</t>
        </is>
      </c>
      <c r="G976" s="77" t="inlineStr">
        <is>
          <t>Media and Communication BA programme specification</t>
        </is>
      </c>
      <c r="H976" s="77" t="inlineStr">
        <is>
          <t>Option modules</t>
        </is>
      </c>
      <c r="I976" s="77" t="inlineStr">
        <is>
          <t>2025/26</t>
        </is>
      </c>
      <c r="J976" s="77" t="inlineStr">
        <is>
          <t>2026-10-12</t>
        </is>
      </c>
      <c r="K976" s="77" t="inlineStr">
        <is>
          <t>search-summary paraphrase</t>
        </is>
      </c>
      <c r="L976" s="77" t="inlineStr">
        <is>
          <t>Client Led Media Production listed among final-year option modules (indicative list); MS3035, 15 credits, Semester 2 per other-year specs.</t>
        </is>
      </c>
    </row>
    <row r="977">
      <c r="A977" s="77" t="inlineStr">
        <is>
          <t>UK09-S05-R1</t>
        </is>
      </c>
      <c r="B977" s="77" t="inlineStr">
        <is>
          <t>UK09</t>
        </is>
      </c>
      <c r="C977" s="77" t="inlineStr">
        <is>
          <t>UK09-S05</t>
        </is>
      </c>
      <c r="D977" s="77" t="inlineStr">
        <is>
          <t>Space Science and Engineering MSc Major Project (Phase A mission study)</t>
        </is>
      </c>
      <c r="E977" s="77" t="inlineStr">
        <is>
          <t>project; group; employer</t>
        </is>
      </c>
      <c r="F977" s="77" t="inlineStr">
        <is>
          <t>https://le.ac.uk/courses/space-science-and-engineering-msc/2027</t>
        </is>
      </c>
      <c r="G977" s="77" t="inlineStr">
        <is>
          <t>Space Science and Engineering, MSc, PGDip</t>
        </is>
      </c>
      <c r="H977" s="77" t="inlineStr">
        <is>
          <t>Major Project</t>
        </is>
      </c>
      <c r="I977" s="77" t="inlineStr">
        <is>
          <t>2027 entry</t>
        </is>
      </c>
      <c r="J977" s="77" t="inlineStr">
        <is>
          <t>2026-10-12</t>
        </is>
      </c>
      <c r="K977" s="77" t="inlineStr">
        <is>
          <t>search-summary paraphrase</t>
        </is>
      </c>
      <c r="L977" s="77" t="inlineStr">
        <is>
          <t>Major Project in second half of year; teams carry out a Phase A study of a mission concept provided by one or more industry partners; three reviews to a panel of academic and industry experts; group executive summary and individual technical reports forming a Yellow Book.</t>
        </is>
      </c>
    </row>
    <row r="978">
      <c r="A978" s="77" t="inlineStr">
        <is>
          <t>UK09-S05-R2</t>
        </is>
      </c>
      <c r="B978" s="77" t="inlineStr">
        <is>
          <t>UK09</t>
        </is>
      </c>
      <c r="C978" s="77" t="inlineStr">
        <is>
          <t>UK09-S05</t>
        </is>
      </c>
      <c r="D978" s="77" t="inlineStr">
        <is>
          <t>Space Science and Engineering MSc Major Project (Phase A mission study)</t>
        </is>
      </c>
      <c r="E978" s="77" t="inlineStr">
        <is>
          <t>status</t>
        </is>
      </c>
      <c r="F978" s="77" t="inlineStr">
        <is>
          <t>https://le.ac.uk/-/media/uol/docs/course-documentation/documentation/2025-26/pg/cse/space-exploration-systems-msc.pdf</t>
        </is>
      </c>
      <c r="G978" s="77" t="inlineStr">
        <is>
          <t>Space Exploration Systems MSc programme specification</t>
        </is>
      </c>
      <c r="H978" s="77" t="inlineStr">
        <is>
          <t>Programme specification</t>
        </is>
      </c>
      <c r="I978" s="77" t="inlineStr">
        <is>
          <t>2025/26</t>
        </is>
      </c>
      <c r="J978" s="77" t="inlineStr">
        <is>
          <t>2026-10-12</t>
        </is>
      </c>
      <c r="K978" s="77" t="inlineStr">
        <is>
          <t>search-summary paraphrase</t>
        </is>
      </c>
      <c r="L978" s="77" t="inlineStr">
        <is>
          <t>2025/26 specification for the programme exists; earlier (2017-18, 2021-22) specifications describe same project arrangement.</t>
        </is>
      </c>
    </row>
    <row r="979">
      <c r="A979" s="77" t="inlineStr">
        <is>
          <t>UK09-S06-R1</t>
        </is>
      </c>
      <c r="B979" s="77" t="inlineStr">
        <is>
          <t>UK09</t>
        </is>
      </c>
      <c r="C979" s="77" t="inlineStr">
        <is>
          <t>UK09-S06</t>
        </is>
      </c>
      <c r="D979" s="77" t="inlineStr">
        <is>
          <t>Physics MPhys industrial group research project</t>
        </is>
      </c>
      <c r="E979" s="77" t="inlineStr">
        <is>
          <t>project; group; employer; duration</t>
        </is>
      </c>
      <c r="F979" s="77" t="inlineStr">
        <is>
          <t>https://le.ac.uk/courses/physics-mphys/2027</t>
        </is>
      </c>
      <c r="G979" s="77" t="inlineStr">
        <is>
          <t>Physics MPhys</t>
        </is>
      </c>
      <c r="H979" s="77" t="inlineStr">
        <is>
          <t>Year 3</t>
        </is>
      </c>
      <c r="I979" s="77" t="inlineStr">
        <is>
          <t>2027 entry</t>
        </is>
      </c>
      <c r="J979" s="77" t="inlineStr">
        <is>
          <t>2026-10-12</t>
        </is>
      </c>
      <c r="K979" s="77" t="inlineStr">
        <is>
          <t>search-summary paraphrase</t>
        </is>
      </c>
      <c r="L979" s="77" t="inlineStr">
        <is>
          <t>In year three students can take a ten-week group research project with an industrial partner such as Airbus Defence and Space, Jorin Ltd., Domino Printing or Weatherford International; offers project, budget and team management experience in a professional environment on a real project.</t>
        </is>
      </c>
    </row>
    <row r="980">
      <c r="A980" s="77" t="inlineStr">
        <is>
          <t>UK09-S07-R1</t>
        </is>
      </c>
      <c r="B980" s="77" t="inlineStr">
        <is>
          <t>UK09</t>
        </is>
      </c>
      <c r="C980" s="77" t="inlineStr">
        <is>
          <t>UK09-S07</t>
        </is>
      </c>
      <c r="D980" s="77" t="inlineStr">
        <is>
          <t>AI Agentic Solutions in Business Project (EMPAIP)</t>
        </is>
      </c>
      <c r="E980" s="77" t="inlineStr">
        <is>
          <t>project; employer; credit; status</t>
        </is>
      </c>
      <c r="F980" s="77" t="inlineStr">
        <is>
          <t>https://le.ac.uk/news/2026/september/businesses-university-leicester-students-ai-economy</t>
        </is>
      </c>
      <c r="G980" s="77" t="inlineStr">
        <is>
          <t>East Midlands businesses and University of Leicester students to work together in AI-enabled economy</t>
        </is>
      </c>
      <c r="H980" s="77" t="inlineStr">
        <is>
          <t>EMPAIP</t>
        </is>
      </c>
      <c r="I980" s="77" t="inlineStr">
        <is>
          <t>2026</t>
        </is>
      </c>
      <c r="J980" s="77" t="inlineStr">
        <is>
          <t>2026-10-12</t>
        </is>
      </c>
      <c r="K980" s="77" t="inlineStr">
        <is>
          <t>search-summary paraphrase</t>
        </is>
      </c>
      <c r="L980" s="77" t="inlineStr">
        <is>
          <t>45-month Innovate UK-funded EMPAIP led by School of Business; 60-credit AI Agentic Solutions in Business Project as alternative to dissertation, based on real employer briefs; ~180 students a year; 180 AI internships; AI for Business Accelerator.</t>
        </is>
      </c>
    </row>
    <row r="981">
      <c r="A981" s="77" t="inlineStr">
        <is>
          <t>UK09-S07-R2</t>
        </is>
      </c>
      <c r="B981" s="77" t="inlineStr">
        <is>
          <t>UK09</t>
        </is>
      </c>
      <c r="C981" s="77" t="inlineStr">
        <is>
          <t>UK09-S07</t>
        </is>
      </c>
      <c r="D981" s="77" t="inlineStr">
        <is>
          <t>AI Agentic Solutions in Business Project (EMPAIP)</t>
        </is>
      </c>
      <c r="E981" s="77" t="inlineStr">
        <is>
          <t>reach; credit</t>
        </is>
      </c>
      <c r="F981" s="77" t="inlineStr">
        <is>
          <t>https://le.ac.uk/courses/marketing-msc/2026</t>
        </is>
      </c>
      <c r="G981" s="77" t="inlineStr">
        <is>
          <t>Strategic Marketing MSc</t>
        </is>
      </c>
      <c r="H981" s="77" t="inlineStr">
        <is>
          <t>Final module options</t>
        </is>
      </c>
      <c r="I981" s="77" t="inlineStr">
        <is>
          <t>2026 entry</t>
        </is>
      </c>
      <c r="J981" s="77" t="inlineStr">
        <is>
          <t>2026-10-12</t>
        </is>
      </c>
      <c r="K981" s="77" t="inlineStr">
        <is>
          <t>search-summary paraphrase</t>
        </is>
      </c>
      <c r="L981" s="77" t="inlineStr">
        <is>
          <t>60-credit AI Agent Solutions in Business Project listed as an AI pathway option; no mention of teams.</t>
        </is>
      </c>
    </row>
    <row r="982">
      <c r="A982" s="77" t="inlineStr">
        <is>
          <t>UK09-S08-R1</t>
        </is>
      </c>
      <c r="B982" s="77" t="inlineStr">
        <is>
          <t>UK09</t>
        </is>
      </c>
      <c r="C982" s="77" t="inlineStr">
        <is>
          <t>UK09-S08</t>
        </is>
      </c>
      <c r="D982" s="77" t="inlineStr">
        <is>
          <t>EG4007 Group Project (Mechanical/General/Aerospace Engineering MEng)</t>
        </is>
      </c>
      <c r="E982" s="77" t="inlineStr">
        <is>
          <t>project; group; employer; credit</t>
        </is>
      </c>
      <c r="F982" s="77" t="inlineStr">
        <is>
          <t>https://le.ac.uk/courses/mechanical-engineering-meng/2026</t>
        </is>
      </c>
      <c r="G982" s="77" t="inlineStr">
        <is>
          <t>Mechanical Engineering MEng</t>
        </is>
      </c>
      <c r="H982" s="77" t="inlineStr">
        <is>
          <t>Final year</t>
        </is>
      </c>
      <c r="I982" s="77" t="inlineStr">
        <is>
          <t>2026 entry</t>
        </is>
      </c>
      <c r="J982" s="77" t="inlineStr">
        <is>
          <t>2026-10-12</t>
        </is>
      </c>
      <c r="K982" s="77" t="inlineStr">
        <is>
          <t>search-summary paraphrase</t>
        </is>
      </c>
      <c r="L982" s="77" t="inlineStr">
        <is>
          <t>EG4007 Group Project (year-long, 30 credits) alongside Leadership and Project Management; project work may also include output from an industrial partner.</t>
        </is>
      </c>
    </row>
    <row r="983">
      <c r="A983" s="77" t="inlineStr">
        <is>
          <t>UK09-S09-R1</t>
        </is>
      </c>
      <c r="B983" s="77" t="inlineStr">
        <is>
          <t>UK09</t>
        </is>
      </c>
      <c r="C983" s="77" t="inlineStr">
        <is>
          <t>UK09-S09</t>
        </is>
      </c>
      <c r="D983" s="77" t="inlineStr">
        <is>
          <t>Consultancy Challenge</t>
        </is>
      </c>
      <c r="E983" s="77" t="inlineStr">
        <is>
          <t>credit; status</t>
        </is>
      </c>
      <c r="F983" s="77" t="inlineStr">
        <is>
          <t>https://le.ac.uk/-/media/uol/docs/course-documentation/documentation/2024-25/ug/cssah/business-and-management-ba.pdf</t>
        </is>
      </c>
      <c r="G983" s="77" t="inlineStr">
        <is>
          <t>Business and Management BA programme specification</t>
        </is>
      </c>
      <c r="H983" s="77" t="inlineStr">
        <is>
          <t>Module table</t>
        </is>
      </c>
      <c r="I983" s="77" t="inlineStr">
        <is>
          <t>2024/25</t>
        </is>
      </c>
      <c r="J983" s="77" t="inlineStr">
        <is>
          <t>2026-10-12</t>
        </is>
      </c>
      <c r="K983" s="77" t="inlineStr">
        <is>
          <t>search-summary paraphrase</t>
        </is>
      </c>
      <c r="L983" s="77" t="inlineStr">
        <is>
          <t>Sem 2 MK2105 Consultancy Challenge 15 credits.</t>
        </is>
      </c>
    </row>
    <row r="984">
      <c r="A984" s="77" t="inlineStr">
        <is>
          <t>UK09-S09-R2</t>
        </is>
      </c>
      <c r="B984" s="77" t="inlineStr">
        <is>
          <t>UK09</t>
        </is>
      </c>
      <c r="C984" s="77" t="inlineStr">
        <is>
          <t>UK09-S09</t>
        </is>
      </c>
      <c r="D984" s="77" t="inlineStr">
        <is>
          <t>Consultancy Challenge</t>
        </is>
      </c>
      <c r="E984" s="77" t="inlineStr">
        <is>
          <t>employer</t>
        </is>
      </c>
      <c r="F984" s="77" t="inlineStr">
        <is>
          <t>https://le.ac.uk/enterprise/recruit-our-students/toolkit</t>
        </is>
      </c>
      <c r="G984" s="77" t="inlineStr">
        <is>
          <t>Employer toolkit</t>
        </is>
      </c>
      <c r="H984" s="77" t="inlineStr">
        <is>
          <t>Summer consultancy challenges</t>
        </is>
      </c>
      <c r="I984" s="77" t="inlineStr">
        <is>
          <t>undated</t>
        </is>
      </c>
      <c r="J984" s="77" t="inlineStr">
        <is>
          <t>2026-10-12</t>
        </is>
      </c>
      <c r="K984" s="77" t="inlineStr">
        <is>
          <t>search-summary paraphrase</t>
        </is>
      </c>
      <c r="L984" s="77" t="inlineStr">
        <is>
          <t>A consultancy project gives you the opportunity to receive responses to a specific brief (employer-facing page).</t>
        </is>
      </c>
    </row>
    <row r="985">
      <c r="A985" s="77" t="inlineStr">
        <is>
          <t>UK10-S01-R1</t>
        </is>
      </c>
      <c r="B985" s="77" t="inlineStr">
        <is>
          <t>UK10</t>
        </is>
      </c>
      <c r="C985" s="77" t="inlineStr">
        <is>
          <t>UK10-S01</t>
        </is>
      </c>
      <c r="D985" s="77" t="inlineStr">
        <is>
          <t>Vertically Integrated Projects for Sustainable Development (VIP4SD)</t>
        </is>
      </c>
      <c r="E985" s="77" t="inlineStr">
        <is>
          <t>project; group; credit; reach</t>
        </is>
      </c>
      <c r="F985" s="77" t="inlineStr">
        <is>
          <t>https://www.strath.ac.uk/studywithus/verticallyintegratedprojectsforsustainabledevelopment/abouttheprogramme/</t>
        </is>
      </c>
      <c r="G985" s="77" t="inlineStr">
        <is>
          <t>About Vertically Integrated Projects for Sustainable Development (VIP4SD)</t>
        </is>
      </c>
      <c r="H985" s="77" t="inlineStr">
        <is>
          <t>About the programme</t>
        </is>
      </c>
      <c r="I985" s="77" t="inlineStr">
        <is>
          <t>undated</t>
        </is>
      </c>
      <c r="J985" s="77" t="inlineStr">
        <is>
          <t>2026-10-12</t>
        </is>
      </c>
      <c r="K985" s="77" t="inlineStr">
        <is>
          <t>search-index extract</t>
        </is>
      </c>
      <c r="L985" s="77" t="inlineStr">
        <is>
          <t>Students gain academic credits while working to address real-world problems through collaborative projects; teams include students from different year groups and disciplines, academics and postgraduate researchers (search-index summary).</t>
        </is>
      </c>
    </row>
    <row r="986">
      <c r="A986" s="77" t="inlineStr">
        <is>
          <t>UK10-S01-R2</t>
        </is>
      </c>
      <c r="B986" s="77" t="inlineStr">
        <is>
          <t>UK10</t>
        </is>
      </c>
      <c r="C986" s="77" t="inlineStr">
        <is>
          <t>UK10-S01</t>
        </is>
      </c>
      <c r="D986" s="77" t="inlineStr">
        <is>
          <t>Vertically Integrated Projects for Sustainable Development (VIP4SD)</t>
        </is>
      </c>
      <c r="E986" s="77" t="inlineStr">
        <is>
          <t>project; employer</t>
        </is>
      </c>
      <c r="F986" s="77" t="inlineStr">
        <is>
          <t>https://www.strath.ac.uk/workwithus/centreforsustainabledevelopment/researchadvising/vip4sd/</t>
        </is>
      </c>
      <c r="G986" s="77" t="inlineStr">
        <is>
          <t>VIP4SD</t>
        </is>
      </c>
      <c r="H986" s="77" t="inlineStr">
        <is>
          <t>Programme page</t>
        </is>
      </c>
      <c r="I986" s="77" t="inlineStr">
        <is>
          <t>undated</t>
        </is>
      </c>
      <c r="J986" s="77" t="inlineStr">
        <is>
          <t>2026-10-12</t>
        </is>
      </c>
      <c r="K986" s="77" t="inlineStr">
        <is>
          <t>search-index extract</t>
        </is>
      </c>
      <c r="L986" s="77" t="inlineStr">
        <is>
          <t>Projects work with local schools, the NHS and partners in Malawi, Rwanda and the Gambia; Energy for Development project completed solar PV installations in schools and health clinics (search-index summary).</t>
        </is>
      </c>
    </row>
    <row r="987">
      <c r="A987" s="77" t="inlineStr">
        <is>
          <t>UK10-S01-R3</t>
        </is>
      </c>
      <c r="B987" s="77" t="inlineStr">
        <is>
          <t>UK10</t>
        </is>
      </c>
      <c r="C987" s="77" t="inlineStr">
        <is>
          <t>UK10-S01</t>
        </is>
      </c>
      <c r="D987" s="77" t="inlineStr">
        <is>
          <t>Vertically Integrated Projects for Sustainable Development (VIP4SD)</t>
        </is>
      </c>
      <c r="E987" s="77" t="inlineStr">
        <is>
          <t>reach; status</t>
        </is>
      </c>
      <c r="F987" s="77" t="inlineStr">
        <is>
          <t>https://www.strath.ac.uk/media/1newwebsite/documents/Strathclyde_SESS30_Nov25_-_Digital_(2).pdf</t>
        </is>
      </c>
      <c r="G987" s="77" t="inlineStr">
        <is>
          <t>The Place of Useful Learning: Social and Environmental Sustainability Strategy</t>
        </is>
      </c>
      <c r="H987" s="77" t="inlineStr">
        <is>
          <t>VIP4SD case study</t>
        </is>
      </c>
      <c r="I987" s="77" t="inlineStr">
        <is>
          <t>2025</t>
        </is>
      </c>
      <c r="J987" s="77" t="inlineStr">
        <is>
          <t>2026-10-12</t>
        </is>
      </c>
      <c r="K987" s="77" t="inlineStr">
        <is>
          <t>search-summary paraphrase</t>
        </is>
      </c>
      <c r="L987" s="77" t="inlineStr">
        <is>
          <t>Programme currently engages approximately 200 students working across 20 interdisciplinary research projects and is being introduced across all four University faculties (search-index summary).</t>
        </is>
      </c>
    </row>
    <row r="988">
      <c r="A988" s="77" t="inlineStr">
        <is>
          <t>UK10-S02-R1</t>
        </is>
      </c>
      <c r="B988" s="77" t="inlineStr">
        <is>
          <t>UK10</t>
        </is>
      </c>
      <c r="C988" s="77" t="inlineStr">
        <is>
          <t>UK10-S02</t>
        </is>
      </c>
      <c r="D988" s="77" t="inlineStr">
        <is>
          <t>DMEM Industrial Group Projects (IGP) / Industrial Projects scheme</t>
        </is>
      </c>
      <c r="E988" s="77" t="inlineStr">
        <is>
          <t>project; group; employer; eligibility</t>
        </is>
      </c>
      <c r="F988" s="77" t="inlineStr">
        <is>
          <t>https://www.strath.ac.uk/engineering/designmanufacturingengineeringmanagement/workingwithbusinessorganisations/interestedinparticipatingindmemsindustrialgroupprojects/</t>
        </is>
      </c>
      <c r="G988" s="77" t="inlineStr">
        <is>
          <t>Interested in Participating in DMEM's Individual and Industrial Group Projects?</t>
        </is>
      </c>
      <c r="H988" s="77" t="inlineStr">
        <is>
          <t>Scheme description</t>
        </is>
      </c>
      <c r="I988" s="77" t="inlineStr">
        <is>
          <t>undated</t>
        </is>
      </c>
      <c r="J988" s="77" t="inlineStr">
        <is>
          <t>2026-10-12</t>
        </is>
      </c>
      <c r="K988" s="77" t="inlineStr">
        <is>
          <t>search-index extract</t>
        </is>
      </c>
      <c r="L988" s="77" t="inlineStr">
        <is>
          <t>Once a brief has been finalised with the client company through preliminary discussions, the project is allocated to a suitable team of single-discipline or multi-discipline students; four stages with milestones; client expected to attend the presentation day in May or August; client gives formal feedback at each stage.</t>
        </is>
      </c>
    </row>
    <row r="989">
      <c r="A989" s="77" t="inlineStr">
        <is>
          <t>UK10-S02-R2</t>
        </is>
      </c>
      <c r="B989" s="77" t="inlineStr">
        <is>
          <t>UK10</t>
        </is>
      </c>
      <c r="C989" s="77" t="inlineStr">
        <is>
          <t>UK10-S02</t>
        </is>
      </c>
      <c r="D989" s="77" t="inlineStr">
        <is>
          <t>DMEM Industrial Group Projects (IGP) / Industrial Projects scheme</t>
        </is>
      </c>
      <c r="E989" s="77" t="inlineStr">
        <is>
          <t>project; group; employer; participation</t>
        </is>
      </c>
      <c r="F989" s="77" t="inlineStr">
        <is>
          <t>https://www.strath.ac.uk/courses/undergraduate/manufacturingengineeringwithmanagementmeng/</t>
        </is>
      </c>
      <c r="G989" s="77" t="inlineStr">
        <is>
          <t>MEng Manufacturing Engineering with Management</t>
        </is>
      </c>
      <c r="H989" s="77" t="inlineStr">
        <is>
          <t>Course content</t>
        </is>
      </c>
      <c r="I989" s="77" t="inlineStr">
        <is>
          <t>undated</t>
        </is>
      </c>
      <c r="J989" s="77" t="inlineStr">
        <is>
          <t>2026-10-12</t>
        </is>
      </c>
      <c r="K989" s="77" t="inlineStr">
        <is>
          <t>search-index extract</t>
        </is>
      </c>
      <c r="L989" s="77" t="inlineStr">
        <is>
          <t>Industrial Group Project is a team-based industrial project where an outline brief is set by an industrial client; the team manages all aspects through to a finished solution; teams meet academic staff and industrial clients regularly.</t>
        </is>
      </c>
    </row>
    <row r="990">
      <c r="A990" s="77" t="inlineStr">
        <is>
          <t>UK10-S02-R3</t>
        </is>
      </c>
      <c r="B990" s="77" t="inlineStr">
        <is>
          <t>UK10</t>
        </is>
      </c>
      <c r="C990" s="77" t="inlineStr">
        <is>
          <t>UK10-S02</t>
        </is>
      </c>
      <c r="D990" s="77" t="inlineStr">
        <is>
          <t>DMEM Industrial Group Projects (IGP) / Industrial Projects scheme</t>
        </is>
      </c>
      <c r="E990" s="77" t="inlineStr">
        <is>
          <t>credit; employer; project</t>
        </is>
      </c>
      <c r="F990" s="77" t="inlineStr">
        <is>
          <t>https://www.strath.ac.uk/courses/postgraduatetaught/systemsengineeringmanagement/</t>
        </is>
      </c>
      <c r="G990" s="77" t="inlineStr">
        <is>
          <t>MSc Systems Engineering Management</t>
        </is>
      </c>
      <c r="H990" s="77" t="inlineStr">
        <is>
          <t>Class content</t>
        </is>
      </c>
      <c r="I990" s="77" t="inlineStr">
        <is>
          <t>undated</t>
        </is>
      </c>
      <c r="J990" s="77" t="inlineStr">
        <is>
          <t>2026-10-12</t>
        </is>
      </c>
      <c r="K990" s="77" t="inlineStr">
        <is>
          <t>search-summary paraphrase</t>
        </is>
      </c>
      <c r="L990" s="77" t="inlineStr">
        <is>
          <t>40-credit team project working with an industrial client on a practical problem; deliverables include project report and presentation to the client; past clients listed include Babcock, BAE Systems, Rolls-Royce, Thales and Jacobs (search-index summary).</t>
        </is>
      </c>
    </row>
    <row r="991">
      <c r="A991" s="77" t="inlineStr">
        <is>
          <t>UK10-S02-R4</t>
        </is>
      </c>
      <c r="B991" s="77" t="inlineStr">
        <is>
          <t>UK10</t>
        </is>
      </c>
      <c r="C991" s="77" t="inlineStr">
        <is>
          <t>UK10-S02</t>
        </is>
      </c>
      <c r="D991" s="77" t="inlineStr">
        <is>
          <t>DMEM Industrial Group Projects (IGP) / Industrial Projects scheme</t>
        </is>
      </c>
      <c r="E991" s="77" t="inlineStr">
        <is>
          <t>status</t>
        </is>
      </c>
      <c r="F991" s="77" t="inlineStr">
        <is>
          <t>https://pureportal.strath.ac.uk/en/activities/dmem-industrial-group-projects-igp-presentation-day-2025/</t>
        </is>
      </c>
      <c r="G991" s="77" t="inlineStr">
        <is>
          <t>DMEM Industrial Group Projects (IGP) Presentation Day 2025</t>
        </is>
      </c>
      <c r="H991" s="77" t="inlineStr">
        <is>
          <t>Activity record</t>
        </is>
      </c>
      <c r="I991" s="77" t="inlineStr">
        <is>
          <t>2025</t>
        </is>
      </c>
      <c r="J991" s="77" t="inlineStr">
        <is>
          <t>2026-10-12</t>
        </is>
      </c>
      <c r="K991" s="77" t="inlineStr">
        <is>
          <t>search-summary paraphrase</t>
        </is>
      </c>
      <c r="L991" s="77" t="inlineStr">
        <is>
          <t>Presentation day recorded for 9 May 2025 (search-index summary).</t>
        </is>
      </c>
    </row>
    <row r="992">
      <c r="A992" s="77" t="inlineStr">
        <is>
          <t>UK10-S03-R1</t>
        </is>
      </c>
      <c r="B992" s="77" t="inlineStr">
        <is>
          <t>UK10</t>
        </is>
      </c>
      <c r="C992" s="77" t="inlineStr">
        <is>
          <t>UK10-S03</t>
        </is>
      </c>
      <c r="D992" s="77" t="inlineStr">
        <is>
          <t>MSc Civil Engineering industry-led Group Design Project</t>
        </is>
      </c>
      <c r="E992" s="77" t="inlineStr">
        <is>
          <t>project; group; employer; credit</t>
        </is>
      </c>
      <c r="F992" s="77" t="inlineStr">
        <is>
          <t>https://www.strath.ac.uk/courses/postgraduatetaught/civilengineering/</t>
        </is>
      </c>
      <c r="G992" s="77" t="inlineStr">
        <is>
          <t>MSc Civil Engineering Masters UK</t>
        </is>
      </c>
      <c r="H992" s="77" t="inlineStr">
        <is>
          <t>Course content</t>
        </is>
      </c>
      <c r="I992" s="77" t="inlineStr">
        <is>
          <t>undated</t>
        </is>
      </c>
      <c r="J992" s="77" t="inlineStr">
        <is>
          <t>2026-10-12</t>
        </is>
      </c>
      <c r="K992" s="77" t="inlineStr">
        <is>
          <t>search-summary paraphrase</t>
        </is>
      </c>
      <c r="L992" s="77" t="inlineStr">
        <is>
          <t>Industry-led Civil Engineering Group Design Project: work on real projects with continuous feedback from an industry mentor; 20-credit class on a renewable energy project; recent mentors Arcadis, Ocean Winds, AtkinsRealis, Amey, Skanska (search-index summary).</t>
        </is>
      </c>
    </row>
    <row r="993">
      <c r="A993" s="77" t="inlineStr">
        <is>
          <t>UK10-S04-R1</t>
        </is>
      </c>
      <c r="B993" s="77" t="inlineStr">
        <is>
          <t>UK10</t>
        </is>
      </c>
      <c r="C993" s="77" t="inlineStr">
        <is>
          <t>UK10-S04</t>
        </is>
      </c>
      <c r="D993" s="77" t="inlineStr">
        <is>
          <t>Becoming an Effective Business Analyst (BEBA) experiential learning class, MSc Business Analysis &amp; Consulting (and pathway variants)</t>
        </is>
      </c>
      <c r="E993" s="77" t="inlineStr">
        <is>
          <t>project; group; employer</t>
        </is>
      </c>
      <c r="F993" s="77" t="inlineStr">
        <is>
          <t>https://www.strath.ac.uk/courses/postgraduatetaught/businessanalysisconsulting/</t>
        </is>
      </c>
      <c r="G993" s="77" t="inlineStr">
        <is>
          <t>Business Analysis &amp; Consulting</t>
        </is>
      </c>
      <c r="H993" s="77" t="inlineStr">
        <is>
          <t>Experiential learning class</t>
        </is>
      </c>
      <c r="I993" s="77" t="inlineStr">
        <is>
          <t>undated</t>
        </is>
      </c>
      <c r="J993" s="77" t="inlineStr">
        <is>
          <t>2026-10-12</t>
        </is>
      </c>
      <c r="K993" s="77" t="inlineStr">
        <is>
          <t>search-summary paraphrase</t>
        </is>
      </c>
      <c r="L993" s="77" t="inlineStr">
        <is>
          <t>Clients, usually managers from outside organisations, bring semi-structured business problems; alumni describe being allocated team members and presenting recommendations back to the client (search-index summary).</t>
        </is>
      </c>
    </row>
    <row r="994">
      <c r="A994" s="77" t="inlineStr">
        <is>
          <t>UK10-S04-R2</t>
        </is>
      </c>
      <c r="B994" s="77" t="inlineStr">
        <is>
          <t>UK10</t>
        </is>
      </c>
      <c r="C994" s="77" t="inlineStr">
        <is>
          <t>UK10-S04</t>
        </is>
      </c>
      <c r="D994" s="77" t="inlineStr">
        <is>
          <t>Becoming an Effective Business Analyst (BEBA) experiential learning class, MSc Business Analysis &amp; Consulting (and pathway variants)</t>
        </is>
      </c>
      <c r="E994" s="77" t="inlineStr">
        <is>
          <t>group; employer</t>
        </is>
      </c>
      <c r="F994" s="77" t="inlineStr">
        <is>
          <t>https://www.strath.ac.uk/courses/postgraduatetaught/businessanalysisconsultingwithprojectmanagement/</t>
        </is>
      </c>
      <c r="G994" s="77" t="inlineStr">
        <is>
          <t>MSc Business Analysis &amp; Consulting with Project Management</t>
        </is>
      </c>
      <c r="H994" s="77" t="inlineStr">
        <is>
          <t>Course content</t>
        </is>
      </c>
      <c r="I994" s="77" t="inlineStr">
        <is>
          <t>undated</t>
        </is>
      </c>
      <c r="J994" s="77" t="inlineStr">
        <is>
          <t>2026-10-12</t>
        </is>
      </c>
      <c r="K994" s="77" t="inlineStr">
        <is>
          <t>search-summary paraphrase</t>
        </is>
      </c>
      <c r="L994" s="77" t="inlineStr">
        <is>
          <t>Assessment includes group report (search-index summary); work with industry partners across energy, healthcare and financial services.</t>
        </is>
      </c>
    </row>
    <row r="995">
      <c r="A995" s="77" t="inlineStr">
        <is>
          <t>UK10-S04-R3</t>
        </is>
      </c>
      <c r="B995" s="77" t="inlineStr">
        <is>
          <t>UK10</t>
        </is>
      </c>
      <c r="C995" s="77" t="inlineStr">
        <is>
          <t>UK10-S04</t>
        </is>
      </c>
      <c r="D995" s="77" t="inlineStr">
        <is>
          <t>Becoming an Effective Business Analyst (BEBA) experiential learning class, MSc Business Analysis &amp; Consulting (and pathway variants)</t>
        </is>
      </c>
      <c r="E995" s="77" t="inlineStr">
        <is>
          <t>employer; status</t>
        </is>
      </c>
      <c r="F995" s="77" t="inlineStr">
        <is>
          <t>https://www.sbs.strath.ac.uk/newsletter/2026-03/also-in-the-news/</t>
        </is>
      </c>
      <c r="G995" s="77" t="inlineStr">
        <is>
          <t>Also in the news - Strathclyde Business School</t>
        </is>
      </c>
      <c r="H995" s="77" t="inlineStr">
        <is>
          <t>Business Analysis and Consulting item</t>
        </is>
      </c>
      <c r="I995" s="77" t="inlineStr">
        <is>
          <t>2026-03</t>
        </is>
      </c>
      <c r="J995" s="77" t="inlineStr">
        <is>
          <t>2026-10-12</t>
        </is>
      </c>
      <c r="K995" s="77" t="inlineStr">
        <is>
          <t>search-index extract</t>
        </is>
      </c>
      <c r="L995" s="77" t="inlineStr">
        <is>
          <t>The Becoming an Effective Business Analyst experiential learning module has featured client case studies from Deloitte, StormID, Sphera software solutions, WB Alloys.</t>
        </is>
      </c>
    </row>
    <row r="996">
      <c r="A996" s="77" t="inlineStr">
        <is>
          <t>UK10-S05-R1</t>
        </is>
      </c>
      <c r="B996" s="77" t="inlineStr">
        <is>
          <t>UK10</t>
        </is>
      </c>
      <c r="C996" s="77" t="inlineStr">
        <is>
          <t>UK10-S05</t>
        </is>
      </c>
      <c r="D996" s="77" t="inlineStr">
        <is>
          <t>BA Business Analysis &amp; Technology: live business consultancy projects (second year) / Business Analysis and Practice</t>
        </is>
      </c>
      <c r="E996" s="77" t="inlineStr">
        <is>
          <t>project; group; employer</t>
        </is>
      </c>
      <c r="F996" s="77" t="inlineStr">
        <is>
          <t>https://www.strath.ac.uk/courses/undergraduate/businessanalysistechnology/</t>
        </is>
      </c>
      <c r="G996" s="77" t="inlineStr">
        <is>
          <t>BA Hons Business Analysis &amp; Technology</t>
        </is>
      </c>
      <c r="H996" s="77" t="inlineStr">
        <is>
          <t>Second year / Honours</t>
        </is>
      </c>
      <c r="I996" s="77" t="inlineStr">
        <is>
          <t>undated</t>
        </is>
      </c>
      <c r="J996" s="77" t="inlineStr">
        <is>
          <t>2026-10-12</t>
        </is>
      </c>
      <c r="K996" s="77" t="inlineStr">
        <is>
          <t>search-summary paraphrase</t>
        </is>
      </c>
      <c r="L996" s="77" t="inlineStr">
        <is>
          <t>Second year: two live business consultancy projects, one per semester; as a team of six, develop solutions for the local SME economy; clients introduce problems, provide information and listen to recommended solutions (search-index summary).</t>
        </is>
      </c>
    </row>
    <row r="997">
      <c r="A997" s="77" t="inlineStr">
        <is>
          <t>UK10-S05-R2</t>
        </is>
      </c>
      <c r="B997" s="77" t="inlineStr">
        <is>
          <t>UK10</t>
        </is>
      </c>
      <c r="C997" s="77" t="inlineStr">
        <is>
          <t>UK10-S05</t>
        </is>
      </c>
      <c r="D997" s="77" t="inlineStr">
        <is>
          <t>BA Business Analysis &amp; Technology: live business consultancy projects (second year) / Business Analysis and Practice</t>
        </is>
      </c>
      <c r="E997" s="77" t="inlineStr">
        <is>
          <t>employer; status</t>
        </is>
      </c>
      <c r="F997" s="77" t="inlineStr">
        <is>
          <t>https://www.sbs.strath.ac.uk/newsletter/2026-03/also-in-the-news/</t>
        </is>
      </c>
      <c r="G997" s="77" t="inlineStr">
        <is>
          <t>Also in the news - Strathclyde Business School</t>
        </is>
      </c>
      <c r="H997" s="77" t="inlineStr">
        <is>
          <t>BA Business Analysis and Technology item</t>
        </is>
      </c>
      <c r="I997" s="77" t="inlineStr">
        <is>
          <t>2026-03</t>
        </is>
      </c>
      <c r="J997" s="77" t="inlineStr">
        <is>
          <t>2026-10-12</t>
        </is>
      </c>
      <c r="K997" s="77" t="inlineStr">
        <is>
          <t>search-index extract</t>
        </is>
      </c>
      <c r="L997" s="77" t="inlineStr">
        <is>
          <t>The Business Analysis and Practice module used client cases from Barclays (scam detection and prevention strategy) and DSTL (defence spending options for the next 10 years).</t>
        </is>
      </c>
    </row>
    <row r="998">
      <c r="A998" s="77" t="inlineStr">
        <is>
          <t>UK10-S06-R1</t>
        </is>
      </c>
      <c r="B998" s="77" t="inlineStr">
        <is>
          <t>UK10</t>
        </is>
      </c>
      <c r="C998" s="77" t="inlineStr">
        <is>
          <t>UK10-S06</t>
        </is>
      </c>
      <c r="D998" s="77" t="inlineStr">
        <is>
          <t>Marketing Works (live project option), MSc Marketing / International Marketing / Tourism Marketing Management</t>
        </is>
      </c>
      <c r="E998" s="77" t="inlineStr">
        <is>
          <t>project; group; employer</t>
        </is>
      </c>
      <c r="F998" s="77" t="inlineStr">
        <is>
          <t>https://www.strath.ac.uk/business/faculty/engagewithourstudents/studentinternships/marketingworksproject/</t>
        </is>
      </c>
      <c r="G998" s="77" t="inlineStr">
        <is>
          <t>Marketing Works project</t>
        </is>
      </c>
      <c r="H998" s="77" t="inlineStr">
        <is>
          <t>Scheme description</t>
        </is>
      </c>
      <c r="I998" s="77" t="inlineStr">
        <is>
          <t>undated</t>
        </is>
      </c>
      <c r="J998" s="77" t="inlineStr">
        <is>
          <t>2026-10-12</t>
        </is>
      </c>
      <c r="K998" s="77" t="inlineStr">
        <is>
          <t>search-summary paraphrase</t>
        </is>
      </c>
      <c r="L998" s="77" t="inlineStr">
        <is>
          <t>Students work in groups on real-life projects put forward by various types of business, supervised by marketing academics (search-index summary).</t>
        </is>
      </c>
    </row>
    <row r="999">
      <c r="A999" s="77" t="inlineStr">
        <is>
          <t>UK10-S06-R2</t>
        </is>
      </c>
      <c r="B999" s="77" t="inlineStr">
        <is>
          <t>UK10</t>
        </is>
      </c>
      <c r="C999" s="77" t="inlineStr">
        <is>
          <t>UK10-S06</t>
        </is>
      </c>
      <c r="D999" s="77" t="inlineStr">
        <is>
          <t>Marketing Works (live project option), MSc Marketing / International Marketing / Tourism Marketing Management</t>
        </is>
      </c>
      <c r="E999" s="77" t="inlineStr">
        <is>
          <t>group; employer</t>
        </is>
      </c>
      <c r="F999" s="77" t="inlineStr">
        <is>
          <t>https://www.strath.ac.uk/business/marketing/industrylinks/</t>
        </is>
      </c>
      <c r="G999" s="77" t="inlineStr">
        <is>
          <t>Industry links</t>
        </is>
      </c>
      <c r="H999" s="77" t="inlineStr">
        <is>
          <t>Marketing Works</t>
        </is>
      </c>
      <c r="I999" s="77" t="inlineStr">
        <is>
          <t>undated</t>
        </is>
      </c>
      <c r="J999" s="77" t="inlineStr">
        <is>
          <t>2026-10-12</t>
        </is>
      </c>
      <c r="K999" s="77" t="inlineStr">
        <is>
          <t>search-summary paraphrase</t>
        </is>
      </c>
      <c r="L999" s="77" t="inlineStr">
        <is>
          <t>Students work in groups of five or six; projects begin in January; recent clients have included Sgurr Energy, Smith McLaurin, Microsoft, Thales, Strathclyde Police (search-index summary).</t>
        </is>
      </c>
    </row>
    <row r="1000">
      <c r="A1000" s="77" t="inlineStr">
        <is>
          <t>UK10-S06-R3</t>
        </is>
      </c>
      <c r="B1000" s="77" t="inlineStr">
        <is>
          <t>UK10</t>
        </is>
      </c>
      <c r="C1000" s="77" t="inlineStr">
        <is>
          <t>UK10-S06</t>
        </is>
      </c>
      <c r="D1000" s="77" t="inlineStr">
        <is>
          <t>Marketing Works (live project option), MSc Marketing / International Marketing / Tourism Marketing Management</t>
        </is>
      </c>
      <c r="E1000" s="77" t="inlineStr">
        <is>
          <t>participation</t>
        </is>
      </c>
      <c r="F1000" s="77" t="inlineStr">
        <is>
          <t>https://www.strath.ac.uk/courses/postgraduatetaught/marketing/</t>
        </is>
      </c>
      <c r="G1000" s="77" t="inlineStr">
        <is>
          <t>MSc Marketing Masters UK</t>
        </is>
      </c>
      <c r="H1000" s="77" t="inlineStr">
        <is>
          <t>Programme structure</t>
        </is>
      </c>
      <c r="I1000" s="77" t="inlineStr">
        <is>
          <t>undated</t>
        </is>
      </c>
      <c r="J1000" s="77" t="inlineStr">
        <is>
          <t>2026-10-12</t>
        </is>
      </c>
      <c r="K1000" s="77" t="inlineStr">
        <is>
          <t>search-summary paraphrase</t>
        </is>
      </c>
      <c r="L1000" s="77" t="inlineStr">
        <is>
          <t>Students choose either a theory-based marketing dissertation or a practice-based marketing-works live project (search-index summary).</t>
        </is>
      </c>
    </row>
    <row r="1001">
      <c r="A1001" s="77" t="inlineStr">
        <is>
          <t>UK10-S07-R1</t>
        </is>
      </c>
      <c r="B1001" s="77" t="inlineStr">
        <is>
          <t>UK10</t>
        </is>
      </c>
      <c r="C1001" s="77" t="inlineStr">
        <is>
          <t>UK10-S07</t>
        </is>
      </c>
      <c r="D1001" s="77" t="inlineStr">
        <is>
          <t>Consultancy in Practice (MSc Project Management &amp; Innovation; MSc International Management)</t>
        </is>
      </c>
      <c r="E1001" s="77" t="inlineStr">
        <is>
          <t>project; group; employer</t>
        </is>
      </c>
      <c r="F1001" s="77" t="inlineStr">
        <is>
          <t>https://www.strath.ac.uk/courses/postgraduatetaught/projectmanagementinnovation/</t>
        </is>
      </c>
      <c r="G1001" s="77" t="inlineStr">
        <is>
          <t>MSc Project Management &amp; Innovation</t>
        </is>
      </c>
      <c r="H1001" s="77" t="inlineStr">
        <is>
          <t>Consultancy in Practice</t>
        </is>
      </c>
      <c r="I1001" s="77" t="inlineStr">
        <is>
          <t>undated</t>
        </is>
      </c>
      <c r="J1001" s="77" t="inlineStr">
        <is>
          <t>2026-10-12</t>
        </is>
      </c>
      <c r="K1001" s="77" t="inlineStr">
        <is>
          <t>search-summary paraphrase</t>
        </is>
      </c>
      <c r="L1001" s="77" t="inlineStr">
        <is>
          <t>Students work in small teams to engage with live issues provided by client companies (search-index summary).</t>
        </is>
      </c>
    </row>
    <row r="1002">
      <c r="A1002" s="77" t="inlineStr">
        <is>
          <t>UK10-S07-R2</t>
        </is>
      </c>
      <c r="B1002" s="77" t="inlineStr">
        <is>
          <t>UK10</t>
        </is>
      </c>
      <c r="C1002" s="77" t="inlineStr">
        <is>
          <t>UK10-S07</t>
        </is>
      </c>
      <c r="D1002" s="77" t="inlineStr">
        <is>
          <t>Consultancy in Practice (MSc Project Management &amp; Innovation; MSc International Management)</t>
        </is>
      </c>
      <c r="E1002" s="77" t="inlineStr">
        <is>
          <t>project; group; employer</t>
        </is>
      </c>
      <c r="F1002" s="77" t="inlineStr">
        <is>
          <t>https://www.strath.ac.uk/courses/postgraduatetaught/internationalmanagement/</t>
        </is>
      </c>
      <c r="G1002" s="77" t="inlineStr">
        <is>
          <t>MSc International Management</t>
        </is>
      </c>
      <c r="H1002" s="77" t="inlineStr">
        <is>
          <t>Consultancy in Practice</t>
        </is>
      </c>
      <c r="I1002" s="77" t="inlineStr">
        <is>
          <t>undated</t>
        </is>
      </c>
      <c r="J1002" s="77" t="inlineStr">
        <is>
          <t>2026-10-12</t>
        </is>
      </c>
      <c r="K1002" s="77" t="inlineStr">
        <is>
          <t>search-summary paraphrase</t>
        </is>
      </c>
      <c r="L1002" s="77" t="inlineStr">
        <is>
          <t>Analysing the client's brief on the problem and expected outcome, then group activity; client supplies more detailed input at various stages (search-index summary).</t>
        </is>
      </c>
    </row>
    <row r="1003">
      <c r="A1003" s="77" t="inlineStr">
        <is>
          <t>UK10-S08-R1</t>
        </is>
      </c>
      <c r="B1003" s="77" t="inlineStr">
        <is>
          <t>UK10</t>
        </is>
      </c>
      <c r="C1003" s="77" t="inlineStr">
        <is>
          <t>UK10-S08</t>
        </is>
      </c>
      <c r="D1003" s="77" t="inlineStr">
        <is>
          <t>Management Development Programme (MDP)</t>
        </is>
      </c>
      <c r="E1003" s="77" t="inlineStr">
        <is>
          <t>group; employer; participation</t>
        </is>
      </c>
      <c r="F1003" s="77" t="inlineStr">
        <is>
          <t>https://www.strath.ac.uk/business/undergraduate/managementdevelopmentprogramme/</t>
        </is>
      </c>
      <c r="G1003" s="77" t="inlineStr">
        <is>
          <t>Management Development Programme</t>
        </is>
      </c>
      <c r="H1003" s="77" t="inlineStr">
        <is>
          <t>Programme description</t>
        </is>
      </c>
      <c r="I1003" s="77" t="inlineStr">
        <is>
          <t>undated</t>
        </is>
      </c>
      <c r="J1003" s="77" t="inlineStr">
        <is>
          <t>2026-10-12</t>
        </is>
      </c>
      <c r="K1003" s="77" t="inlineStr">
        <is>
          <t>search-summary paraphrase</t>
        </is>
      </c>
      <c r="L1003" s="77" t="inlineStr">
        <is>
          <t>Compulsory part of the first three years; project teams, active problem-based approach; prizes for best team projects sponsored by companies such as Deloitte, Procter &amp; Gamble, Screenmedia and Ernst &amp; Young; best teams present to sponsoring organisations' senior staff (search-index summary).</t>
        </is>
      </c>
    </row>
    <row r="1004">
      <c r="A1004" s="77" t="inlineStr">
        <is>
          <t>UK10-S08-R2</t>
        </is>
      </c>
      <c r="B1004" s="77" t="inlineStr">
        <is>
          <t>UK10</t>
        </is>
      </c>
      <c r="C1004" s="77" t="inlineStr">
        <is>
          <t>UK10-S08</t>
        </is>
      </c>
      <c r="D1004" s="77" t="inlineStr">
        <is>
          <t>Management Development Programme (MDP)</t>
        </is>
      </c>
      <c r="E1004" s="77" t="inlineStr">
        <is>
          <t>employer</t>
        </is>
      </c>
      <c r="F1004" s="77" t="inlineStr">
        <is>
          <t>https://www.sbs.strath.ac.uk/newsletter/2010-04/mdp.asp</t>
        </is>
      </c>
      <c r="G1004" s="77" t="inlineStr">
        <is>
          <t>Management Development Programme prizewinners</t>
        </is>
      </c>
      <c r="H1004" s="77" t="inlineStr">
        <is>
          <t>MDP 3 prize</t>
        </is>
      </c>
      <c r="I1004" s="77" t="inlineStr">
        <is>
          <t>2010</t>
        </is>
      </c>
      <c r="J1004" s="77" t="inlineStr">
        <is>
          <t>2026-10-12</t>
        </is>
      </c>
      <c r="K1004" s="77" t="inlineStr">
        <is>
          <t>search-summary paraphrase</t>
        </is>
      </c>
      <c r="L1004" s="77" t="inlineStr">
        <is>
          <t>Top three teams presented to staff at the Ernst &amp; Young Glasgow office (search-index summary).</t>
        </is>
      </c>
    </row>
    <row r="1005">
      <c r="A1005" s="77" t="inlineStr">
        <is>
          <t>UK10-S09-R1</t>
        </is>
      </c>
      <c r="B1005" s="77" t="inlineStr">
        <is>
          <t>UK10</t>
        </is>
      </c>
      <c r="C1005" s="77" t="inlineStr">
        <is>
          <t>UK10-S09</t>
        </is>
      </c>
      <c r="D1005" s="77" t="inlineStr">
        <is>
          <t>Architecture: Individual &amp; Industrial Group Projects (live projects)</t>
        </is>
      </c>
      <c r="E1005" s="77" t="inlineStr">
        <is>
          <t>project; group; employer</t>
        </is>
      </c>
      <c r="F1005" s="77" t="inlineStr">
        <is>
          <t>https://www.strath.ac.uk/engineering/architecture/workingwithbusinessorganisations/individualindustrialgroupprojects/</t>
        </is>
      </c>
      <c r="G1005" s="77" t="inlineStr">
        <is>
          <t>Individual &amp; Industrial Group Projects</t>
        </is>
      </c>
      <c r="H1005" s="77" t="inlineStr">
        <is>
          <t>Scheme description</t>
        </is>
      </c>
      <c r="I1005" s="77" t="inlineStr">
        <is>
          <t>undated</t>
        </is>
      </c>
      <c r="J1005" s="77" t="inlineStr">
        <is>
          <t>2026-10-12</t>
        </is>
      </c>
      <c r="K1005" s="77" t="inlineStr">
        <is>
          <t>search-summary paraphrase</t>
        </is>
      </c>
      <c r="L1005" s="77" t="inlineStr">
        <is>
          <t>Brief settled with the client through early discussions, then a student team assigned: individual students or multidisciplinary groups; partners can join mid-point and final reviews (search-index summary).</t>
        </is>
      </c>
    </row>
    <row r="1006">
      <c r="A1006" s="77" t="inlineStr">
        <is>
          <t>UK11-S01-R1</t>
        </is>
      </c>
      <c r="B1006" s="77" t="inlineStr">
        <is>
          <t>UK11</t>
        </is>
      </c>
      <c r="C1006" s="77" t="inlineStr">
        <is>
          <t>UK11-S01</t>
        </is>
      </c>
      <c r="D1006" s="77" t="inlineStr">
        <is>
          <t>Multidisciplinary Engineering Final Year Project (industrial-client design project)</t>
        </is>
      </c>
      <c r="E1006" s="77" t="inlineStr">
        <is>
          <t>project; employer; eligibility</t>
        </is>
      </c>
      <c r="F1006" s="77" t="inlineStr">
        <is>
          <t>https://researchportal.hw.ac.uk/en/publications/multidisciplinary-engineering-final-year-project-approaches-and-r/</t>
        </is>
      </c>
      <c r="G1006" s="77" t="inlineStr">
        <is>
          <t>Multidisciplinary Engineering Final Year Project: Approaches and Reflections</t>
        </is>
      </c>
      <c r="H1006" s="77" t="inlineStr">
        <is>
          <t>Abstract</t>
        </is>
      </c>
      <c r="I1006" s="77" t="inlineStr">
        <is>
          <t>undated</t>
        </is>
      </c>
      <c r="J1006" s="77" t="inlineStr">
        <is>
          <t>2026-10-12</t>
        </is>
      </c>
      <c r="K1006" s="77" t="inlineStr">
        <is>
          <t>search-index extract (quoted)</t>
        </is>
      </c>
      <c r="L1006" s="77" t="inlineStr">
        <is>
          <t>'The proposed design project belongs to the final year project, which is offered for the mechanical, electrical and electronics and robotics engineering disciplines at 4th year level. In this project, the students were asked to undertake a multidisciplinary engineering design project to fulfil the requirements specified by the industrial client and approved by the academic supervisor.'</t>
        </is>
      </c>
    </row>
    <row r="1007">
      <c r="A1007" s="77" t="inlineStr">
        <is>
          <t>UK11-S02-R1</t>
        </is>
      </c>
      <c r="B1007" s="77" t="inlineStr">
        <is>
          <t>UK11</t>
        </is>
      </c>
      <c r="C1007" s="77" t="inlineStr">
        <is>
          <t>UK11-S02</t>
        </is>
      </c>
      <c r="D1007" s="77" t="inlineStr">
        <is>
          <t>System Project</t>
        </is>
      </c>
      <c r="E1007" s="77" t="inlineStr">
        <is>
          <t>project; group; employer; status</t>
        </is>
      </c>
      <c r="F1007" s="77" t="inlineStr">
        <is>
          <t>https://curriculum.hw.ac.uk/coursedetails/B39VS?termcode=202223</t>
        </is>
      </c>
      <c r="G1007" s="77" t="inlineStr">
        <is>
          <t>System Project - Curriculum Explorer</t>
        </is>
      </c>
      <c r="H1007" s="77" t="inlineStr">
        <is>
          <t>Course details / learning outcomes</t>
        </is>
      </c>
      <c r="I1007" s="77" t="inlineStr">
        <is>
          <t>2022/23</t>
        </is>
      </c>
      <c r="J1007" s="77" t="inlineStr">
        <is>
          <t>2026-10-12</t>
        </is>
      </c>
      <c r="K1007" s="77" t="inlineStr">
        <is>
          <t>search-summary paraphrase</t>
        </is>
      </c>
      <c r="L1007" s="77" t="inlineStr">
        <is>
          <t>Teamwork-focused course; learning outcomes include a project demonstration to academic staff and staff from industry, and team documents such as meeting minutes and a final report.</t>
        </is>
      </c>
    </row>
    <row r="1008">
      <c r="A1008" s="77" t="inlineStr">
        <is>
          <t>UK11-S03-R1</t>
        </is>
      </c>
      <c r="B1008" s="77" t="inlineStr">
        <is>
          <t>UK11</t>
        </is>
      </c>
      <c r="C1008" s="77" t="inlineStr">
        <is>
          <t>UK11-S03</t>
        </is>
      </c>
      <c r="D1008" s="77" t="inlineStr">
        <is>
          <t>MSc International Business Management - company consultancy project</t>
        </is>
      </c>
      <c r="E1008" s="77" t="inlineStr">
        <is>
          <t>project</t>
        </is>
      </c>
      <c r="F1008" s="77" t="inlineStr">
        <is>
          <t>https://www.hw.ac.uk/study/postgraduate/international-business-management</t>
        </is>
      </c>
      <c r="G1008" s="77" t="inlineStr">
        <is>
          <t>MSc International Business Management</t>
        </is>
      </c>
      <c r="H1008" s="77" t="inlineStr">
        <is>
          <t>Programme structure</t>
        </is>
      </c>
      <c r="I1008" s="77" t="inlineStr">
        <is>
          <t>undated</t>
        </is>
      </c>
      <c r="J1008" s="77" t="inlineStr">
        <is>
          <t>2026-10-12</t>
        </is>
      </c>
      <c r="K1008" s="77" t="inlineStr">
        <is>
          <t>search-summary paraphrase</t>
        </is>
      </c>
      <c r="L1008" s="77" t="inlineStr">
        <is>
          <t>The final part of the degree includes 'a chance to work on a company consultancy project which allows you to understand business issues and apply concepts learnt during the programme'.</t>
        </is>
      </c>
    </row>
    <row r="1009">
      <c r="A1009" s="77" t="inlineStr">
        <is>
          <t>UK11-S04-R1</t>
        </is>
      </c>
      <c r="B1009" s="77" t="inlineStr">
        <is>
          <t>UK11</t>
        </is>
      </c>
      <c r="C1009" s="77" t="inlineStr">
        <is>
          <t>UK11-S04</t>
        </is>
      </c>
      <c r="D1009" s="77" t="inlineStr">
        <is>
          <t>BA (Hons) Design for Textiles - Year 3 collaborative industry project</t>
        </is>
      </c>
      <c r="E1009" s="77" t="inlineStr">
        <is>
          <t>project; employer; eligibility</t>
        </is>
      </c>
      <c r="F1009" s="77" t="inlineStr">
        <is>
          <t>https://www.hw.ac.uk/study/undergraduate/design-for-textiles-fashion-interior-art</t>
        </is>
      </c>
      <c r="G1009" s="77" t="inlineStr">
        <is>
          <t>BA (Hons) Design for Textiles (Fashion, Interior, Art)</t>
        </is>
      </c>
      <c r="H1009" s="77" t="inlineStr">
        <is>
          <t>Programme structure</t>
        </is>
      </c>
      <c r="I1009" s="77" t="inlineStr">
        <is>
          <t>undated (entry September 2027 shown)</t>
        </is>
      </c>
      <c r="J1009" s="77" t="inlineStr">
        <is>
          <t>2026-10-13</t>
        </is>
      </c>
      <c r="K1009" s="77" t="inlineStr">
        <is>
          <t>page text (WebFetch, quoted)</t>
        </is>
      </c>
      <c r="L1009" s="77" t="inlineStr">
        <is>
          <t>'either complete an industry placement or a collaborative industry project.' 'Staff will support you in securing placement opportunities or in answering the collaborative design brief.'</t>
        </is>
      </c>
    </row>
    <row r="1010">
      <c r="A1010" s="77" t="inlineStr">
        <is>
          <t>UK11-S05-R1</t>
        </is>
      </c>
      <c r="B1010" s="77" t="inlineStr">
        <is>
          <t>UK11</t>
        </is>
      </c>
      <c r="C1010" s="77" t="inlineStr">
        <is>
          <t>UK11-S05</t>
        </is>
      </c>
      <c r="D1010" s="77" t="inlineStr">
        <is>
          <t>BA (Hons) Fashion Branding and Promotion - live industry projects</t>
        </is>
      </c>
      <c r="E1010" s="77" t="inlineStr">
        <is>
          <t>project; employer</t>
        </is>
      </c>
      <c r="F1010" s="77" t="inlineStr">
        <is>
          <t>https://www.hw.ac.uk/study/undergraduate/fashion-branding-and-promotion</t>
        </is>
      </c>
      <c r="G1010" s="77" t="inlineStr">
        <is>
          <t>BA (Hons) Fashion Branding and Promotion</t>
        </is>
      </c>
      <c r="H1010" s="77" t="inlineStr">
        <is>
          <t>Programme overview</t>
        </is>
      </c>
      <c r="I1010" s="77" t="inlineStr">
        <is>
          <t>undated (entry September 2027 shown)</t>
        </is>
      </c>
      <c r="J1010" s="77" t="inlineStr">
        <is>
          <t>2026-10-13</t>
        </is>
      </c>
      <c r="K1010" s="77" t="inlineStr">
        <is>
          <t>page text (WebFetch, quoted)</t>
        </is>
      </c>
      <c r="L1010" s="77" t="inlineStr">
        <is>
          <t>'collaborate with industry on live projects with high-end industry brands. Our students have previously worked on industry projects with companies including Crisis, Louis Vuitton, Malton Young and Borland, and W.L Gore.'</t>
        </is>
      </c>
    </row>
    <row r="1011">
      <c r="A1011" s="77" t="inlineStr">
        <is>
          <t>UK12-S01-R1</t>
        </is>
      </c>
      <c r="B1011" s="77" t="inlineStr">
        <is>
          <t>UK12</t>
        </is>
      </c>
      <c r="C1011" s="77" t="inlineStr">
        <is>
          <t>UK12-S01</t>
        </is>
      </c>
      <c r="D1011" s="77" t="inlineStr">
        <is>
          <t>Employer Live Briefs (CareerCentral Employer Opportunities form)</t>
        </is>
      </c>
      <c r="E1011" s="77" t="inlineStr">
        <is>
          <t>project; group; employer; reach</t>
        </is>
      </c>
      <c r="F1011" s="77" t="inlineStr">
        <is>
          <t>https://mycareercentral.uea.ac.uk/Form.aspx?id=2319836</t>
        </is>
      </c>
      <c r="G1011" s="77" t="inlineStr">
        <is>
          <t>Employer Opportunities Expression of Interest Form</t>
        </is>
      </c>
      <c r="H1011" s="77" t="inlineStr">
        <is>
          <t>Employer Live Briefs section</t>
        </is>
      </c>
      <c r="I1011" s="77" t="inlineStr">
        <is>
          <t>undated</t>
        </is>
      </c>
      <c r="J1011" s="77" t="inlineStr">
        <is>
          <t>2026-10-12</t>
        </is>
      </c>
      <c r="K1011" s="77" t="inlineStr">
        <is>
          <t>search-summary paraphrase</t>
        </is>
      </c>
      <c r="L1011" s="77" t="inlineStr">
        <is>
          <t>Search summary: form section on employer live briefs where UEA students work on live group projects and briefs set by employers as part of their course; timing must correspond with planned course modules; employers can state target schools/courses; brief types include research tasks, marketing ideas, consultancy-style projects, data analysis, design concepts, campaigns, business challenges and presentations.</t>
        </is>
      </c>
    </row>
    <row r="1012">
      <c r="A1012" s="77" t="inlineStr">
        <is>
          <t>UK12-S02-R1</t>
        </is>
      </c>
      <c r="B1012" s="77" t="inlineStr">
        <is>
          <t>UK12</t>
        </is>
      </c>
      <c r="C1012" s="77" t="inlineStr">
        <is>
          <t>UK12-S02</t>
        </is>
      </c>
      <c r="D1012" s="77" t="inlineStr">
        <is>
          <t>BA Business Management: live marketing briefs (Norwich Business School)</t>
        </is>
      </c>
      <c r="E1012" s="77" t="inlineStr">
        <is>
          <t>project; employer; status</t>
        </is>
      </c>
      <c r="F1012" s="77" t="inlineStr">
        <is>
          <t>https://www.uea.ac.uk/course/undergraduate/ba-business-management</t>
        </is>
      </c>
      <c r="G1012" s="77" t="inlineStr">
        <is>
          <t>BA Business Management 2026/27</t>
        </is>
      </c>
      <c r="H1012" s="77" t="inlineStr">
        <is>
          <t>Course description / teaching</t>
        </is>
      </c>
      <c r="I1012" s="77" t="inlineStr">
        <is>
          <t>2026/27</t>
        </is>
      </c>
      <c r="J1012" s="77" t="inlineStr">
        <is>
          <t>2026-10-12</t>
        </is>
      </c>
      <c r="K1012" s="77" t="inlineStr">
        <is>
          <t>search-summary paraphrase</t>
        </is>
      </c>
      <c r="L1012" s="77" t="inlineStr">
        <is>
          <t>Search summary: students take on practical projects 'including tackling live marketing briefs for companies like Adnams Brewery and the East Anglian Zoological Society'; same wording on the 2025/26 page; Adnams sponsors a prize on the Marketing Communications module.</t>
        </is>
      </c>
    </row>
    <row r="1013">
      <c r="A1013" s="77" t="inlineStr">
        <is>
          <t>UK12-S03-R1</t>
        </is>
      </c>
      <c r="B1013" s="77" t="inlineStr">
        <is>
          <t>UK12</t>
        </is>
      </c>
      <c r="C1013" s="77" t="inlineStr">
        <is>
          <t>UK12-S03</t>
        </is>
      </c>
      <c r="D1013" s="77" t="inlineStr">
        <is>
          <t>Executive (Part-Time) MBA: group consultancy project with an external client</t>
        </is>
      </c>
      <c r="E1013" s="77" t="inlineStr">
        <is>
          <t>project; group; employer; status; duration</t>
        </is>
      </c>
      <c r="F1013" s="77" t="inlineStr">
        <is>
          <t>https://www.uea.ac.uk/course/postgraduate/mba-master-of-business-administration-executive-part-time</t>
        </is>
      </c>
      <c r="G1013" s="77" t="inlineStr">
        <is>
          <t>MBA Master of Business Administration (Executive Part Time) 2026/27</t>
        </is>
      </c>
      <c r="H1013" s="77" t="inlineStr">
        <is>
          <t>Course description/modules</t>
        </is>
      </c>
      <c r="I1013" s="77" t="inlineStr">
        <is>
          <t>2026/27</t>
        </is>
      </c>
      <c r="J1013" s="77" t="inlineStr">
        <is>
          <t>2026-10-13</t>
        </is>
      </c>
      <c r="K1013" s="77" t="inlineStr">
        <is>
          <t>page text</t>
        </is>
      </c>
      <c r="L1013" s="77" t="inlineStr">
        <is>
          <t>'You'll take part in a group-based consultancy project where you'll work with an external client organisation to deliver a substantive written report and presentation addressing a topic of strategic importance chosen by the client. This project is over the course of a month and includes a week in a European location.' ... 'This is an extended research-based project of around three months again, concluding with a report and presentation around the theme of "What can I change around here?"' Compulsory module: MANAGEMENT CONSULTANCY PROJECTS. NB the part-time page also describes acting as an internal consultant for the student's own employer for the second project.</t>
        </is>
      </c>
    </row>
    <row r="1014">
      <c r="A1014" s="77" t="inlineStr">
        <is>
          <t>UK12-S04-R1</t>
        </is>
      </c>
      <c r="B1014" s="77" t="inlineStr">
        <is>
          <t>UK12</t>
        </is>
      </c>
      <c r="C1014" s="77" t="inlineStr">
        <is>
          <t>UK12-S04</t>
        </is>
      </c>
      <c r="D1014" s="77" t="inlineStr">
        <is>
          <t>Full-time MBA: live consultancy projects (incl. Capstone Consultancy)</t>
        </is>
      </c>
      <c r="E1014" s="77" t="inlineStr">
        <is>
          <t>project; status</t>
        </is>
      </c>
      <c r="F1014" s="77" t="inlineStr">
        <is>
          <t>https://uatwww.uea.ac.uk/course/postgraduate/mba-master-of-business-administration</t>
        </is>
      </c>
      <c r="G1014" s="77" t="inlineStr">
        <is>
          <t>MBA Master of Business Administration 2025/26 (also 2027/28 page)</t>
        </is>
      </c>
      <c r="H1014" s="77" t="inlineStr">
        <is>
          <t>Course description</t>
        </is>
      </c>
      <c r="I1014" s="77" t="inlineStr">
        <is>
          <t>2025/26</t>
        </is>
      </c>
      <c r="J1014" s="77" t="inlineStr">
        <is>
          <t>2026-10-12</t>
        </is>
      </c>
      <c r="K1014" s="77" t="inlineStr">
        <is>
          <t>search-summary paraphrase</t>
        </is>
      </c>
      <c r="L1014" s="77" t="inlineStr">
        <is>
          <t>Search summary: opportunity to take part in two live consultancy projects to gain practical business experience; 2027/28 page: practical consultancy focus working on real organisational challenges.</t>
        </is>
      </c>
    </row>
    <row r="1015">
      <c r="A1015" s="77" t="inlineStr">
        <is>
          <t>UK12-S04-R2</t>
        </is>
      </c>
      <c r="B1015" s="77" t="inlineStr">
        <is>
          <t>UK12</t>
        </is>
      </c>
      <c r="C1015" s="77" t="inlineStr">
        <is>
          <t>UK12-S04</t>
        </is>
      </c>
      <c r="D1015" s="77" t="inlineStr">
        <is>
          <t>Full-time MBA: live consultancy projects (incl. Capstone Consultancy)</t>
        </is>
      </c>
      <c r="E1015" s="77" t="inlineStr">
        <is>
          <t>project</t>
        </is>
      </c>
      <c r="F1015" s="77" t="inlineStr">
        <is>
          <t>https://www.uea.ac.uk/about/news/article/norwich-business-school-achieves-the-highest-standard-of-achievement-in-post-graduate-business-education-with-re-accreditation</t>
        </is>
      </c>
      <c r="G1015" s="77" t="inlineStr">
        <is>
          <t>Norwich Business School re-accreditation news</t>
        </is>
      </c>
      <c r="H1015" s="77" t="inlineStr">
        <is>
          <t>AMBA panel comments</t>
        </is>
      </c>
      <c r="I1015" s="77" t="inlineStr">
        <is>
          <t>undated</t>
        </is>
      </c>
      <c r="J1015" s="77" t="inlineStr">
        <is>
          <t>2026-10-12</t>
        </is>
      </c>
      <c r="K1015" s="77" t="inlineStr">
        <is>
          <t>search-summary paraphrase</t>
        </is>
      </c>
      <c r="L1015" s="77" t="inlineStr">
        <is>
          <t>Search summary: AMBA panel noted the Capstone Consultancy project had an undeniable impact on the student learning experience.</t>
        </is>
      </c>
    </row>
    <row r="1016">
      <c r="A1016" s="77" t="inlineStr">
        <is>
          <t>UK12-S05-R1</t>
        </is>
      </c>
      <c r="B1016" s="77" t="inlineStr">
        <is>
          <t>UK12</t>
        </is>
      </c>
      <c r="C1016" s="77" t="inlineStr">
        <is>
          <t>UK12-S05</t>
        </is>
      </c>
      <c r="D1016" s="77" t="inlineStr">
        <is>
          <t>MEng final-year Engineering Group Project (industry client brief)</t>
        </is>
      </c>
      <c r="E1016" s="77" t="inlineStr">
        <is>
          <t>project; group; employer; status; participation</t>
        </is>
      </c>
      <c r="F1016" s="77" t="inlineStr">
        <is>
          <t>https://www.uea.ac.uk/course/undergraduate/meng-mechanical-engineering</t>
        </is>
      </c>
      <c r="G1016" s="77" t="inlineStr">
        <is>
          <t>MEng Mechanical Engineering 2026/27</t>
        </is>
      </c>
      <c r="H1016" s="77" t="inlineStr">
        <is>
          <t>Final year / group project</t>
        </is>
      </c>
      <c r="I1016" s="77" t="inlineStr">
        <is>
          <t>2026/27</t>
        </is>
      </c>
      <c r="J1016" s="77" t="inlineStr">
        <is>
          <t>2026-10-13</t>
        </is>
      </c>
      <c r="K1016" s="77" t="inlineStr">
        <is>
          <t>page text</t>
        </is>
      </c>
      <c r="L1016" s="77" t="inlineStr">
        <is>
          <t>'bring together all your training in a major multidisciplinary design project. This team-based project will encourage you to apply the breadth of your learning to a real industrial context. The project will typically be based on a real brief from an industry client, presented to you at the beginning of the year. You'll work with your team to review the brief, visit the site and develop proposals for presentation.'</t>
        </is>
      </c>
    </row>
    <row r="1017">
      <c r="A1017" s="77" t="inlineStr">
        <is>
          <t>UK12-S05-R2</t>
        </is>
      </c>
      <c r="B1017" s="77" t="inlineStr">
        <is>
          <t>UK12</t>
        </is>
      </c>
      <c r="C1017" s="77" t="inlineStr">
        <is>
          <t>UK12-S05</t>
        </is>
      </c>
      <c r="D1017" s="77" t="inlineStr">
        <is>
          <t>MEng final-year Engineering Group Project (industry client brief)</t>
        </is>
      </c>
      <c r="E1017" s="77" t="inlineStr">
        <is>
          <t>project; group; employer</t>
        </is>
      </c>
      <c r="F1017" s="77" t="inlineStr">
        <is>
          <t>https://www.uea.ac.uk/course/undergraduate/meng-energy-engineering</t>
        </is>
      </c>
      <c r="G1017" s="77" t="inlineStr">
        <is>
          <t>MEng Energy Engineering 2026/27 (and MEng Electrical and Electronic Engineering with a Year in Industry 2025/26)</t>
        </is>
      </c>
      <c r="H1017" s="77" t="inlineStr">
        <is>
          <t>Final-year group project</t>
        </is>
      </c>
      <c r="I1017" s="77" t="inlineStr">
        <is>
          <t>2026/27</t>
        </is>
      </c>
      <c r="J1017" s="77" t="inlineStr">
        <is>
          <t>2026-10-12</t>
        </is>
      </c>
      <c r="K1017" s="77" t="inlineStr">
        <is>
          <t>search-summary paraphrase</t>
        </is>
      </c>
      <c r="L1017" s="77" t="inlineStr">
        <is>
          <t>Search summary: Energy: project will often be completed in response to an industry brief, team visits the site and presents to professional engineers; EEE: students work as consultants to an industrial partner and work closely with a professional engineering organisation throughout.</t>
        </is>
      </c>
    </row>
    <row r="1018">
      <c r="A1018" s="77" t="inlineStr">
        <is>
          <t>UK12-S06-R1</t>
        </is>
      </c>
      <c r="B1018" s="77" t="inlineStr">
        <is>
          <t>UK12</t>
        </is>
      </c>
      <c r="C1018" s="77" t="inlineStr">
        <is>
          <t>UK12-S06</t>
        </is>
      </c>
      <c r="D1018" s="77" t="inlineStr">
        <is>
          <t>MComp final-year group project (CMP-7024Y MCOMP Project per 2022 catalogue)</t>
        </is>
      </c>
      <c r="E1018" s="77" t="inlineStr">
        <is>
          <t>project; group; employer; status</t>
        </is>
      </c>
      <c r="F1018" s="77" t="inlineStr">
        <is>
          <t>https://www.uea.ac.uk/course/undergraduate/mcomp-computing-science</t>
        </is>
      </c>
      <c r="G1018" s="77" t="inlineStr">
        <is>
          <t>MComp Computing Science 2026/27 (also MComp Computing Science with Study Abroad, MComp Artificial Intelligence)</t>
        </is>
      </c>
      <c r="H1018" s="77" t="inlineStr">
        <is>
          <t>Final year / assessment</t>
        </is>
      </c>
      <c r="I1018" s="77" t="inlineStr">
        <is>
          <t>2026/27</t>
        </is>
      </c>
      <c r="J1018" s="77" t="inlineStr">
        <is>
          <t>2026-10-12</t>
        </is>
      </c>
      <c r="K1018" s="77" t="inlineStr">
        <is>
          <t>search-summary paraphrase</t>
        </is>
      </c>
      <c r="L1018" s="77" t="inlineStr">
        <is>
          <t>Search summary: final-year group project either industry oriented or with a research focus; can be based on a problem from an active university research group or on a real problem rooted in industry or commerce; assessment is demonstration of the solution plus written report; AI MComp: team-based project on a real industry example or research-led brief.</t>
        </is>
      </c>
    </row>
    <row r="1019">
      <c r="A1019" s="77" t="inlineStr">
        <is>
          <t>UK12-S07-R1</t>
        </is>
      </c>
      <c r="B1019" s="77" t="inlineStr">
        <is>
          <t>UK12</t>
        </is>
      </c>
      <c r="C1019" s="77" t="inlineStr">
        <is>
          <t>UK12-S07</t>
        </is>
      </c>
      <c r="D1019" s="77" t="inlineStr">
        <is>
          <t>School of Economics final-year consulting project (alternative to dissertation)</t>
        </is>
      </c>
      <c r="E1019" s="77" t="inlineStr">
        <is>
          <t>project; employer; status; participation</t>
        </is>
      </c>
      <c r="F1019" s="77" t="inlineStr">
        <is>
          <t>https://www.uea.ac.uk/course/undergraduate/bsc-economics</t>
        </is>
      </c>
      <c r="G1019" s="77" t="inlineStr">
        <is>
          <t>BSc Economics 2026/27 (also Economics and Finance 2026/27; Business Economics 2026/27)</t>
        </is>
      </c>
      <c r="H1019" s="77" t="inlineStr">
        <is>
          <t>Final year options</t>
        </is>
      </c>
      <c r="I1019" s="77" t="inlineStr">
        <is>
          <t>2026/27</t>
        </is>
      </c>
      <c r="J1019" s="77" t="inlineStr">
        <is>
          <t>2026-10-13</t>
        </is>
      </c>
      <c r="K1019" s="77" t="inlineStr">
        <is>
          <t>page text</t>
        </is>
      </c>
      <c r="L1019" s="77" t="inlineStr">
        <is>
          <t>'A key feature of your final year is the opportunity to undertake an independent research dissertation or a consulting project in collaboration with an external organisation. This allows you to apply economic theory and data analysis to a substantial real-world problem' ; also 'option to undertake a dissertation or consulting project demonstrating independent research' and 'complete a final year consulting project as part of your dissertation module'.</t>
        </is>
      </c>
    </row>
    <row r="1020">
      <c r="A1020" s="77" t="inlineStr">
        <is>
          <t>UK12-S08-R1</t>
        </is>
      </c>
      <c r="B1020" s="77" t="inlineStr">
        <is>
          <t>UK12</t>
        </is>
      </c>
      <c r="C1020" s="77" t="inlineStr">
        <is>
          <t>UK12-S08</t>
        </is>
      </c>
      <c r="D1020" s="77" t="inlineStr">
        <is>
          <t>MA Media, Communication and Global Development: Media and Development in Practice live project</t>
        </is>
      </c>
      <c r="E1020" s="77" t="inlineStr">
        <is>
          <t>project; employer; status</t>
        </is>
      </c>
      <c r="F1020" s="77" t="inlineStr">
        <is>
          <t>https://www.uea.ac.uk/course/postgraduate/ma-media-and-global-development</t>
        </is>
      </c>
      <c r="G1020" s="77" t="inlineStr">
        <is>
          <t>MA Media, Communication and Global Development 2026/27</t>
        </is>
      </c>
      <c r="H1020" s="77" t="inlineStr">
        <is>
          <t>Course description</t>
        </is>
      </c>
      <c r="I1020" s="77" t="inlineStr">
        <is>
          <t>2026/27</t>
        </is>
      </c>
      <c r="J1020" s="77" t="inlineStr">
        <is>
          <t>2026-10-13</t>
        </is>
      </c>
      <c r="K1020" s="77" t="inlineStr">
        <is>
          <t>page text</t>
        </is>
      </c>
      <c r="L1020" s="77" t="inlineStr">
        <is>
          <t>'Later, you'll have the opportunity to gain practical experience by working on a live project that uses media to promote positive social change. You'll also critically reflect on the issues and processes involved in project design, development, and delivery. Recent project partners have included Action Aid, Amref Africa, Anti-Slavery International, BBC Radio Norfolk, Girl Effect, the Public Media Alliance, Save the Children and WaterAid.' MEDIA AND DEVELOPMENT IN PRACTICE is listed under Compulsory Modules.</t>
        </is>
      </c>
    </row>
    <row r="1021">
      <c r="A1021" s="77" t="inlineStr">
        <is>
          <t>UK12-S08-R2</t>
        </is>
      </c>
      <c r="B1021" s="77" t="inlineStr">
        <is>
          <t>UK12</t>
        </is>
      </c>
      <c r="C1021" s="77" t="inlineStr">
        <is>
          <t>UK12-S08</t>
        </is>
      </c>
      <c r="D1021" s="77" t="inlineStr">
        <is>
          <t>MA Media, Communication and Global Development: Media and Development in Practice live project</t>
        </is>
      </c>
      <c r="E1021" s="77" t="inlineStr">
        <is>
          <t>project; group</t>
        </is>
      </c>
      <c r="F1021" s="77" t="inlineStr">
        <is>
          <t>http://www.uea.ac.uk/international-development/postgraduate-taught-degrees/media-and-development-in-practice</t>
        </is>
      </c>
      <c r="G1021" s="77" t="inlineStr">
        <is>
          <t>School of International Development: Media and Development in Practice</t>
        </is>
      </c>
      <c r="H1021" s="77" t="inlineStr">
        <is>
          <t>Module description</t>
        </is>
      </c>
      <c r="I1021" s="77" t="inlineStr">
        <is>
          <t>undated</t>
        </is>
      </c>
      <c r="J1021" s="77" t="inlineStr">
        <is>
          <t>2026-10-12</t>
        </is>
      </c>
      <c r="K1021" s="77" t="inlineStr">
        <is>
          <t>search-summary paraphrase</t>
        </is>
      </c>
      <c r="L1021" s="77" t="inlineStr">
        <is>
          <t>Search summary: students work in the university and local community to design, implement and evaluate their own 'live' media and development project.</t>
        </is>
      </c>
    </row>
    <row r="1022">
      <c r="A1022" s="77" t="inlineStr">
        <is>
          <t>UK12-S09-R1</t>
        </is>
      </c>
      <c r="B1022" s="77" t="inlineStr">
        <is>
          <t>UK12</t>
        </is>
      </c>
      <c r="C1022" s="77" t="inlineStr">
        <is>
          <t>UK12-S09</t>
        </is>
      </c>
      <c r="D1022" s="77" t="inlineStr">
        <is>
          <t>Master's with a Placement Year: three structured industry projects (placement-partner route)</t>
        </is>
      </c>
      <c r="E1022" s="77" t="inlineStr">
        <is>
          <t>group; employer; participation; eligibility</t>
        </is>
      </c>
      <c r="F1022" s="77" t="inlineStr">
        <is>
          <t>https://www.uea.ac.uk/study/postgraduate/masters-with-placement</t>
        </is>
      </c>
      <c r="G1022" s="77" t="inlineStr">
        <is>
          <t>Master's degrees with a placement year</t>
        </is>
      </c>
      <c r="H1022" s="77" t="inlineStr">
        <is>
          <t>Comparison table</t>
        </is>
      </c>
      <c r="I1022" s="77" t="inlineStr">
        <is>
          <t>undated (2026 launch)</t>
        </is>
      </c>
      <c r="J1022" s="77" t="inlineStr">
        <is>
          <t>2026-10-12</t>
        </is>
      </c>
      <c r="K1022" s="77" t="inlineStr">
        <is>
          <t>search-summary paraphrase</t>
        </is>
      </c>
      <c r="L1022" s="77" t="inlineStr">
        <is>
          <t>Search summary: comparison table lists industry projects as part-time (approx. 20 hours per week), in a small group, unpaid and guaranteed; paid industry placement is full-time and not guaranteed.</t>
        </is>
      </c>
    </row>
    <row r="1023">
      <c r="A1023" s="77" t="inlineStr">
        <is>
          <t>UK12-S09-R2</t>
        </is>
      </c>
      <c r="B1023" s="77" t="inlineStr">
        <is>
          <t>UK12</t>
        </is>
      </c>
      <c r="C1023" s="77" t="inlineStr">
        <is>
          <t>UK12-S09</t>
        </is>
      </c>
      <c r="D1023" s="77" t="inlineStr">
        <is>
          <t>Master's with a Placement Year: three structured industry projects (placement-partner route)</t>
        </is>
      </c>
      <c r="E1023" s="77" t="inlineStr">
        <is>
          <t>reach; employer; status</t>
        </is>
      </c>
      <c r="F1023" s="77" t="inlineStr">
        <is>
          <t>https://www.uea.ac.uk/about/news/article/uea-launches-masters-degrees-with-guaranteed-placement-year-provision</t>
        </is>
      </c>
      <c r="G1023" s="77" t="inlineStr">
        <is>
          <t>UEA launches Master's degrees with guaranteed placement year provision</t>
        </is>
      </c>
      <c r="H1023" s="77" t="inlineStr">
        <is>
          <t>News article</t>
        </is>
      </c>
      <c r="I1023" s="77" t="inlineStr">
        <is>
          <t>2026</t>
        </is>
      </c>
      <c r="J1023" s="77" t="inlineStr">
        <is>
          <t>2026-10-12</t>
        </is>
      </c>
      <c r="K1023" s="77" t="inlineStr">
        <is>
          <t>search-summary paraphrase</t>
        </is>
      </c>
      <c r="L1023" s="77" t="inlineStr">
        <is>
          <t>Search summary: 60+ postgraduate programmes with placement pathway; partners Twin Group and Impact Consulting; guaranteed opportunity to complete three structured industry projects with different UK organisations.</t>
        </is>
      </c>
    </row>
    <row r="1024">
      <c r="A1024" s="77" t="inlineStr">
        <is>
          <t>UK12-S10-R1</t>
        </is>
      </c>
      <c r="B1024" s="77" t="inlineStr">
        <is>
          <t>UK12</t>
        </is>
      </c>
      <c r="C1024" s="77" t="inlineStr">
        <is>
          <t>UK12-S10</t>
        </is>
      </c>
      <c r="D1024" s="77" t="inlineStr">
        <is>
          <t>i-Teams (Norwich Research Park innovation teams)</t>
        </is>
      </c>
      <c r="E1024" s="77" t="inlineStr">
        <is>
          <t>project; group; employer; reach; eligibility; duration</t>
        </is>
      </c>
      <c r="F1024" s="77" t="inlineStr">
        <is>
          <t>https://www.uea.ac.uk/web/business/access-entrepreneurship-and-innovation/i-teams</t>
        </is>
      </c>
      <c r="G1024" s="77" t="inlineStr">
        <is>
          <t>i-Teams - Access Entrepreneurship and Innovation</t>
        </is>
      </c>
      <c r="H1024" s="77" t="inlineStr">
        <is>
          <t>Programme page</t>
        </is>
      </c>
      <c r="I1024" s="77" t="inlineStr">
        <is>
          <t>undated</t>
        </is>
      </c>
      <c r="J1024" s="77" t="inlineStr">
        <is>
          <t>2026-10-12</t>
        </is>
      </c>
      <c r="K1024" s="77" t="inlineStr">
        <is>
          <t>search-summary paraphrase</t>
        </is>
      </c>
      <c r="L1024" s="77" t="inlineStr">
        <is>
          <t>Search summary: 12-week programme; small teams work with industry mentors on business impact for Norwich Research Park innovations or heritage projects with regional organisations; open to postdocs, postgraduate and Master's students; final presentation to business leaders and employers.</t>
        </is>
      </c>
    </row>
    <row r="1025">
      <c r="A1025" s="77" t="inlineStr">
        <is>
          <t>UK12-S11-R1</t>
        </is>
      </c>
      <c r="B1025" s="77" t="inlineStr">
        <is>
          <t>UK12</t>
        </is>
      </c>
      <c r="C1025" s="77" t="inlineStr">
        <is>
          <t>UK12-S11</t>
        </is>
      </c>
      <c r="D1025" s="77" t="inlineStr">
        <is>
          <t>NBS MSc industry-sponsored / industry-focused project options (MSc Business Management; MSc Finance and Management)</t>
        </is>
      </c>
      <c r="E1025" s="77" t="inlineStr">
        <is>
          <t>project; employer; status; participation</t>
        </is>
      </c>
      <c r="F1025" s="77" t="inlineStr">
        <is>
          <t>https://www.uea.ac.uk/course/postgraduate/msc-business-management</t>
        </is>
      </c>
      <c r="G1025" s="77" t="inlineStr">
        <is>
          <t>MSc Business Management 2026/27 (and MSc Finance and Management 2026/27)</t>
        </is>
      </c>
      <c r="H1025" s="77" t="inlineStr">
        <is>
          <t>Course description</t>
        </is>
      </c>
      <c r="I1025" s="77" t="inlineStr">
        <is>
          <t>2026/27</t>
        </is>
      </c>
      <c r="J1025" s="77" t="inlineStr">
        <is>
          <t>2026-10-12</t>
        </is>
      </c>
      <c r="K1025" s="77" t="inlineStr">
        <is>
          <t>search-summary paraphrase</t>
        </is>
      </c>
      <c r="L1025" s="77" t="inlineStr">
        <is>
          <t>Search summary: choose a pathway via independent dissertation, an industry-sponsored project, or applied modules; Finance and Management: industry-focused project (subject to availability).</t>
        </is>
      </c>
    </row>
    <row r="1026">
      <c r="A1026" s="77" t="inlineStr">
        <is>
          <t>UK12-S12-R1</t>
        </is>
      </c>
      <c r="B1026" s="77" t="inlineStr">
        <is>
          <t>UK12</t>
        </is>
      </c>
      <c r="C1026" s="77" t="inlineStr">
        <is>
          <t>UK12-S12</t>
        </is>
      </c>
      <c r="D1026" s="77" t="inlineStr">
        <is>
          <t>MSc Sustainability and Society: partner-organisation practical work in core modules</t>
        </is>
      </c>
      <c r="E1026" s="77" t="inlineStr">
        <is>
          <t>employer; status</t>
        </is>
      </c>
      <c r="F1026" s="77" t="inlineStr">
        <is>
          <t>https://www.uea.ac.uk/course/postgraduate/msc-sustainability-and-society</t>
        </is>
      </c>
      <c r="G1026" s="77" t="inlineStr">
        <is>
          <t>MSc Sustainability and Society 2027/28</t>
        </is>
      </c>
      <c r="H1026" s="77" t="inlineStr">
        <is>
          <t>Course description</t>
        </is>
      </c>
      <c r="I1026" s="77" t="inlineStr">
        <is>
          <t>2027/28</t>
        </is>
      </c>
      <c r="J1026" s="77" t="inlineStr">
        <is>
          <t>2026-10-13</t>
        </is>
      </c>
      <c r="K1026" s="77" t="inlineStr">
        <is>
          <t>page text</t>
        </is>
      </c>
      <c r="L1026" s="77" t="inlineStr">
        <is>
          <t>'Core modules will introduce you to the key ideas and skills... These modules will include practical experiences where you'll work alongside partner organisations to apply the skills you've learnt to real-world problems and initiatives.'</t>
        </is>
      </c>
    </row>
    <row r="1027">
      <c r="A1027" s="77" t="inlineStr">
        <is>
          <t>UK13-S01-R1</t>
        </is>
      </c>
      <c r="B1027" s="77" t="inlineStr">
        <is>
          <t>UK13</t>
        </is>
      </c>
      <c r="C1027" s="77" t="inlineStr">
        <is>
          <t>UK13-S01</t>
        </is>
      </c>
      <c r="D1027" s="77" t="inlineStr">
        <is>
          <t>Industrial Team Project</t>
        </is>
      </c>
      <c r="E1027" s="77" t="inlineStr">
        <is>
          <t>project; group; employer; credit; eligibility</t>
        </is>
      </c>
      <c r="F1027" s="77" t="inlineStr">
        <is>
          <t>https://www.dundee.ac.uk/module/cs32002</t>
        </is>
      </c>
      <c r="G1027" s="77" t="inlineStr">
        <is>
          <t>Industrial Team Project module (CS32002)</t>
        </is>
      </c>
      <c r="H1027" s="77" t="inlineStr">
        <is>
          <t>Module page</t>
        </is>
      </c>
      <c r="I1027" s="77" t="inlineStr">
        <is>
          <t>undated</t>
        </is>
      </c>
      <c r="J1027" s="77" t="inlineStr">
        <is>
          <t>2026-10-13</t>
        </is>
      </c>
      <c r="K1027" s="77" t="inlineStr">
        <is>
          <t>page text (WebFetch, quoted)</t>
        </is>
      </c>
      <c r="L1027" s="77" t="inlineStr">
        <is>
          <t>'Plan and execute a software development project for a client using agile methods.' Client from industry proposes the project; in final three weeks students 'work in teams to develop a software system for an industrial client'; assessed via group portfolio, final presentation, peer reviews; software development team project 60%, written exam 40%; Level 3, Semester 2, 40 credits.</t>
        </is>
      </c>
    </row>
    <row r="1028">
      <c r="A1028" s="77" t="inlineStr">
        <is>
          <t>UK13-S02-R1</t>
        </is>
      </c>
      <c r="B1028" s="77" t="inlineStr">
        <is>
          <t>UK13</t>
        </is>
      </c>
      <c r="C1028" s="77" t="inlineStr">
        <is>
          <t>UK13-S02</t>
        </is>
      </c>
      <c r="D1028" s="77" t="inlineStr">
        <is>
          <t>Engineering Design II (industrial group project)</t>
        </is>
      </c>
      <c r="E1028" s="77" t="inlineStr">
        <is>
          <t>project; group; employer; credit</t>
        </is>
      </c>
      <c r="F1028" s="77" t="inlineStr">
        <is>
          <t>https://www.dundee.ac.uk/module/me32003</t>
        </is>
      </c>
      <c r="G1028" s="77" t="inlineStr">
        <is>
          <t>Engineering Design II module (ME32003)</t>
        </is>
      </c>
      <c r="H1028" s="77" t="inlineStr">
        <is>
          <t>Module page</t>
        </is>
      </c>
      <c r="I1028" s="77" t="inlineStr">
        <is>
          <t>undated</t>
        </is>
      </c>
      <c r="J1028" s="77" t="inlineStr">
        <is>
          <t>2026-10-13</t>
        </is>
      </c>
      <c r="K1028" s="77" t="inlineStr">
        <is>
          <t>page text (WebFetch, quoted)</t>
        </is>
      </c>
      <c r="L1028" s="77" t="inlineStr">
        <is>
          <t>'You will work directly with a local industry partner to design or develop a product or process.' Includes 'a 10-week group problem-solving task'; 'Problem-solving industrial visit report and presentation (60%)'; 15 credits, Level 3, Semester 2.</t>
        </is>
      </c>
    </row>
    <row r="1029">
      <c r="A1029" s="77" t="inlineStr">
        <is>
          <t>UK13-S03-R1</t>
        </is>
      </c>
      <c r="B1029" s="77" t="inlineStr">
        <is>
          <t>UK13</t>
        </is>
      </c>
      <c r="C1029" s="77" t="inlineStr">
        <is>
          <t>UK13-S03</t>
        </is>
      </c>
      <c r="D1029" s="77" t="inlineStr">
        <is>
          <t>Going Live</t>
        </is>
      </c>
      <c r="E1029" s="77" t="inlineStr">
        <is>
          <t>project; group; employer; credit</t>
        </is>
      </c>
      <c r="F1029" s="77" t="inlineStr">
        <is>
          <t>https://www.dundee.ac.uk/module/dj52027</t>
        </is>
      </c>
      <c r="G1029" s="77" t="inlineStr">
        <is>
          <t>Going Live module (DJ52027)</t>
        </is>
      </c>
      <c r="H1029" s="77" t="inlineStr">
        <is>
          <t>Module page</t>
        </is>
      </c>
      <c r="I1029" s="77" t="inlineStr">
        <is>
          <t>undated</t>
        </is>
      </c>
      <c r="J1029" s="77" t="inlineStr">
        <is>
          <t>2026-10-13</t>
        </is>
      </c>
      <c r="K1029" s="77" t="inlineStr">
        <is>
          <t>page text (WebFetch, quoted)</t>
        </is>
      </c>
      <c r="L1029" s="77" t="inlineStr">
        <is>
          <t>'Experience a professional animation pipeline. You will work with an industry client to deliver a live brief.' 'The project brief is provided by an industry partner.' 'Working collaboratively, you will research audiences and content.' Group tutorials, production meetings. 20 credits, Level 5, Semester 2, coursework 100%.</t>
        </is>
      </c>
    </row>
    <row r="1030">
      <c r="A1030" s="77" t="inlineStr">
        <is>
          <t>UK13-S03-R2</t>
        </is>
      </c>
      <c r="B1030" s="77" t="inlineStr">
        <is>
          <t>UK13</t>
        </is>
      </c>
      <c r="C1030" s="77" t="inlineStr">
        <is>
          <t>UK13-S03</t>
        </is>
      </c>
      <c r="D1030" s="77" t="inlineStr">
        <is>
          <t>Going Live</t>
        </is>
      </c>
      <c r="E1030" s="77" t="inlineStr">
        <is>
          <t>employer; eligibility</t>
        </is>
      </c>
      <c r="F1030" s="77" t="inlineStr">
        <is>
          <t>https://www.dundee.ac.uk/postgraduate/animation-vfx/teaching-and-assessment</t>
        </is>
      </c>
      <c r="G1030" s="77" t="inlineStr">
        <is>
          <t>Teaching and assessment - Animation &amp; VFX MSc</t>
        </is>
      </c>
      <c r="H1030" s="77" t="inlineStr">
        <is>
          <t>Modules</t>
        </is>
      </c>
      <c r="I1030" s="77" t="inlineStr">
        <is>
          <t>undated</t>
        </is>
      </c>
      <c r="J1030" s="77" t="inlineStr">
        <is>
          <t>2026-10-13</t>
        </is>
      </c>
      <c r="K1030" s="77" t="inlineStr">
        <is>
          <t>page text (WebFetch, quoted)</t>
        </is>
      </c>
      <c r="L1030" s="77" t="inlineStr">
        <is>
          <t>Page describes Going Live as collaboration with a real-world animation or VFX studio partner (Advanced Production DJ52026 is the core studio module).</t>
        </is>
      </c>
    </row>
    <row r="1031">
      <c r="A1031" s="77" t="inlineStr">
        <is>
          <t>UK13-S04-R1</t>
        </is>
      </c>
      <c r="B1031" s="77" t="inlineStr">
        <is>
          <t>UK13</t>
        </is>
      </c>
      <c r="C1031" s="77" t="inlineStr">
        <is>
          <t>UK13-S04</t>
        </is>
      </c>
      <c r="D1031" s="77" t="inlineStr">
        <is>
          <t>Marketing Research Project</t>
        </is>
      </c>
      <c r="E1031" s="77" t="inlineStr">
        <is>
          <t>project; group; employer; credit; eligibility</t>
        </is>
      </c>
      <c r="F1031" s="77" t="inlineStr">
        <is>
          <t>https://www.dundee.ac.uk/module/bu40025</t>
        </is>
      </c>
      <c r="G1031" s="77" t="inlineStr">
        <is>
          <t>Marketing Research Project module (BU40025)</t>
        </is>
      </c>
      <c r="H1031" s="77" t="inlineStr">
        <is>
          <t>Module page</t>
        </is>
      </c>
      <c r="I1031" s="77" t="inlineStr">
        <is>
          <t>undated</t>
        </is>
      </c>
      <c r="J1031" s="77" t="inlineStr">
        <is>
          <t>2026-10-13</t>
        </is>
      </c>
      <c r="K1031" s="77" t="inlineStr">
        <is>
          <t>page text (WebFetch, quoted)</t>
        </is>
      </c>
      <c r="L1031" s="77" t="inlineStr">
        <is>
          <t>'Gain experience of real-life market research'; each team serves an assigned client, 'either a University department or an external stakeholder'; 'Coursework in this module is group-based'; 15 credits, Level 4.</t>
        </is>
      </c>
    </row>
    <row r="1032">
      <c r="A1032" s="77" t="inlineStr">
        <is>
          <t>UK13-S05-R1</t>
        </is>
      </c>
      <c r="B1032" s="77" t="inlineStr">
        <is>
          <t>UK13</t>
        </is>
      </c>
      <c r="C1032" s="77" t="inlineStr">
        <is>
          <t>UK13-S05</t>
        </is>
      </c>
      <c r="D1032" s="77" t="inlineStr">
        <is>
          <t>MSc employer live projects (Employer Team offer)</t>
        </is>
      </c>
      <c r="E1032" s="77" t="inlineStr">
        <is>
          <t>project; group; employer</t>
        </is>
      </c>
      <c r="F1032" s="77" t="inlineStr">
        <is>
          <t>https://www.dundee.ac.uk/careers/employers/internships-work-experience</t>
        </is>
      </c>
      <c r="G1032" s="77" t="inlineStr">
        <is>
          <t>Employers: providing internships and work experience to students</t>
        </is>
      </c>
      <c r="H1032" s="77" t="inlineStr">
        <is>
          <t>Live projects</t>
        </is>
      </c>
      <c r="I1032" s="77" t="inlineStr">
        <is>
          <t>undated</t>
        </is>
      </c>
      <c r="J1032" s="77" t="inlineStr">
        <is>
          <t>2026-10-13</t>
        </is>
      </c>
      <c r="K1032" s="77" t="inlineStr">
        <is>
          <t>page text (WebFetch, quoted)</t>
        </is>
      </c>
      <c r="L1032" s="77" t="inlineStr">
        <is>
          <t>'MSc students can be tasked with your project/issue/problem/question/opportunity.' 'This can be a team effort with up to five students tackling your opportunity,' 'together as a group, although reporting individually.' 'We would agree a timeline and arrange on-site visits.'</t>
        </is>
      </c>
    </row>
    <row r="1033">
      <c r="A1033" s="77" t="inlineStr">
        <is>
          <t>UK13-S05-R2</t>
        </is>
      </c>
      <c r="B1033" s="77" t="inlineStr">
        <is>
          <t>UK13</t>
        </is>
      </c>
      <c r="C1033" s="77" t="inlineStr">
        <is>
          <t>UK13-S05</t>
        </is>
      </c>
      <c r="D1033" s="77" t="inlineStr">
        <is>
          <t>MSc employer live projects (Employer Team offer)</t>
        </is>
      </c>
      <c r="E1033" s="77" t="inlineStr">
        <is>
          <t>project; employer</t>
        </is>
      </c>
      <c r="F1033" s="77" t="inlineStr">
        <is>
          <t>https://www.dundee.ac.uk/business/internships-industry-projects</t>
        </is>
      </c>
      <c r="G1033" s="77" t="inlineStr">
        <is>
          <t>Internships and industry projects in the School of Business</t>
        </is>
      </c>
      <c r="H1033" s="77" t="inlineStr">
        <is>
          <t>Page text</t>
        </is>
      </c>
      <c r="I1033" s="77" t="inlineStr">
        <is>
          <t>undated</t>
        </is>
      </c>
      <c r="J1033" s="77" t="inlineStr">
        <is>
          <t>2026-10-13</t>
        </is>
      </c>
      <c r="K1033" s="77" t="inlineStr">
        <is>
          <t>page text (WebFetch, quoted)</t>
        </is>
      </c>
      <c r="L1033" s="77" t="inlineStr">
        <is>
          <t>'Many of our postgraduate students have spent short periods working with local companies on them real-life projects.' 'Many have used these projects as their MSc project.'</t>
        </is>
      </c>
    </row>
    <row r="1034">
      <c r="A1034" s="77" t="inlineStr">
        <is>
          <t>UK13-S06-R1</t>
        </is>
      </c>
      <c r="B1034" s="77" t="inlineStr">
        <is>
          <t>UK13</t>
        </is>
      </c>
      <c r="C1034" s="77" t="inlineStr">
        <is>
          <t>UK13-S06</t>
        </is>
      </c>
      <c r="D1034" s="77" t="inlineStr">
        <is>
          <t>Research Through Design</t>
        </is>
      </c>
      <c r="E1034" s="77" t="inlineStr">
        <is>
          <t>project; group; employer; credit</t>
        </is>
      </c>
      <c r="F1034" s="77" t="inlineStr">
        <is>
          <t>https://www.dundee.ac.uk/module/dj53010</t>
        </is>
      </c>
      <c r="G1034" s="77" t="inlineStr">
        <is>
          <t>Research Through Design module (DJ53010)</t>
        </is>
      </c>
      <c r="H1034" s="77" t="inlineStr">
        <is>
          <t>Module page</t>
        </is>
      </c>
      <c r="I1034" s="77" t="inlineStr">
        <is>
          <t>undated</t>
        </is>
      </c>
      <c r="J1034" s="77" t="inlineStr">
        <is>
          <t>2026-10-13</t>
        </is>
      </c>
      <c r="K1034" s="77" t="inlineStr">
        <is>
          <t>page text (WebFetch, quoted)</t>
        </is>
      </c>
      <c r="L1034" s="77" t="inlineStr">
        <is>
          <t>'students will work as a team alongside internationally-leading researchers'; addresses 'a specific brief set by an external problem holder'; 40 credits, Level 5, Semester 2.</t>
        </is>
      </c>
    </row>
    <row r="1035">
      <c r="A1035" s="77" t="inlineStr">
        <is>
          <t>UK14-S01-R1</t>
        </is>
      </c>
      <c r="B1035" s="77" t="inlineStr">
        <is>
          <t>UK14</t>
        </is>
      </c>
      <c r="C1035" s="77" t="inlineStr">
        <is>
          <t>UK14-S01</t>
        </is>
      </c>
      <c r="D1035" s="77" t="inlineStr">
        <is>
          <t>Civil Engineering MEng Level 7 group design exercise</t>
        </is>
      </c>
      <c r="E1035" s="77" t="inlineStr">
        <is>
          <t>project; group; employer; duration; credit; status</t>
        </is>
      </c>
      <c r="F1035" s="77" t="inlineStr">
        <is>
          <t>https://www.swansea.ac.uk/undergraduate/courses/aerospace-civil-electrical-mechanical-engineering/civil-engineering/beng-civil-engineering/</t>
        </is>
      </c>
      <c r="G1035" s="77" t="inlineStr">
        <is>
          <t>Civil Engineering, BEng (Hons) / MEng (Hons) - Swansea University</t>
        </is>
      </c>
      <c r="H1035" s="77" t="inlineStr">
        <is>
          <t>Course structure, Level 7 / student testimonial</t>
        </is>
      </c>
      <c r="I1035" s="77" t="inlineStr">
        <is>
          <t>undated</t>
        </is>
      </c>
      <c r="J1035" s="77" t="inlineStr">
        <is>
          <t>2026-10-13</t>
        </is>
      </c>
      <c r="K1035" s="77" t="inlineStr">
        <is>
          <t>page text (WebFetch)</t>
        </is>
      </c>
      <c r="L1035" s="77" t="inlineStr">
        <is>
          <t>Level 7: 'You can select from full design projects currently being carried out in industry as part of a year-long group design exercise that replicates the work of practising civil engineers.' Module list (26/27 links, Sept 2026 entry): 'Integrated Industrial Project - Preliminary Design' EG-M360, 'Integrated Industrial Project - Technical Design' EG-M390 (20 credits each).</t>
        </is>
      </c>
    </row>
    <row r="1036">
      <c r="A1036" s="77" t="inlineStr">
        <is>
          <t>UK14-S01-R2</t>
        </is>
      </c>
      <c r="B1036" s="77" t="inlineStr">
        <is>
          <t>UK14</t>
        </is>
      </c>
      <c r="C1036" s="77" t="inlineStr">
        <is>
          <t>UK14-S01</t>
        </is>
      </c>
      <c r="D1036" s="77" t="inlineStr">
        <is>
          <t>Civil Engineering MEng Level 7 group design exercise</t>
        </is>
      </c>
      <c r="E1036" s="77" t="inlineStr">
        <is>
          <t>reach</t>
        </is>
      </c>
      <c r="F1036" s="77" t="inlineStr">
        <is>
          <t>https://www.swansea.ac.uk/undergraduate/courses/engineering/civil-engineering/beng-civil-engineering-h200/</t>
        </is>
      </c>
      <c r="G1036" s="77" t="inlineStr">
        <is>
          <t>Civil Engineering, BEng (Hons) - Swansea University</t>
        </is>
      </c>
      <c r="H1036" s="77" t="inlineStr">
        <is>
          <t>Course page (possible alternate source of the same text)</t>
        </is>
      </c>
      <c r="I1036" s="77" t="inlineStr">
        <is>
          <t>undated</t>
        </is>
      </c>
      <c r="J1036" s="77" t="inlineStr">
        <is>
          <t>2026-10-12</t>
        </is>
      </c>
      <c r="K1036" s="77" t="inlineStr">
        <is>
          <t>search-summary paraphrase</t>
        </is>
      </c>
      <c r="L1036" s="77" t="inlineStr">
        <is>
          <t>Returned in the same search; the summary did not clearly tie the extract to this URL rather than [1].</t>
        </is>
      </c>
    </row>
    <row r="1037">
      <c r="A1037" s="77" t="inlineStr">
        <is>
          <t>UK14-S02-R1</t>
        </is>
      </c>
      <c r="B1037" s="77" t="inlineStr">
        <is>
          <t>UK14</t>
        </is>
      </c>
      <c r="C1037" s="77" t="inlineStr">
        <is>
          <t>UK14-S02</t>
        </is>
      </c>
      <c r="D1037" s="77" t="inlineStr">
        <is>
          <t>Civil Engineering BEng Level 6 design project</t>
        </is>
      </c>
      <c r="E1037" s="77" t="inlineStr">
        <is>
          <t>project; employer</t>
        </is>
      </c>
      <c r="F1037" s="77" t="inlineStr">
        <is>
          <t>https://www.swansea.ac.uk/undergraduate/courses/aerospace-civil-electrical-mechanical-engineering/civil-engineering/beng-civil-engineering/</t>
        </is>
      </c>
      <c r="G1037" s="77" t="inlineStr">
        <is>
          <t>Civil Engineering, BEng (Hons) / MEng (Hons) - Swansea University</t>
        </is>
      </c>
      <c r="H1037" s="77" t="inlineStr">
        <is>
          <t>Course structure, Level 6</t>
        </is>
      </c>
      <c r="I1037" s="77" t="inlineStr">
        <is>
          <t>undated</t>
        </is>
      </c>
      <c r="J1037" s="77" t="inlineStr">
        <is>
          <t>2026-10-13</t>
        </is>
      </c>
      <c r="K1037" s="77" t="inlineStr">
        <is>
          <t>page text (WebFetch)</t>
        </is>
      </c>
      <c r="L1037" s="77" t="inlineStr">
        <is>
          <t>Level 6: 'practical industrial problems providing experience'; design project uses 'a task set by engineers currently working in industry'. Module list on 26/27 links includes EG-3087 Civil Engineering Design Practice &amp; Management (30 credits) and EG-353 Individual Engineering Project (30 credits).</t>
        </is>
      </c>
    </row>
    <row r="1038">
      <c r="A1038" s="77" t="inlineStr">
        <is>
          <t>UK14-S03-R1</t>
        </is>
      </c>
      <c r="B1038" s="77" t="inlineStr">
        <is>
          <t>UK14</t>
        </is>
      </c>
      <c r="C1038" s="77" t="inlineStr">
        <is>
          <t>UK14-S03</t>
        </is>
      </c>
      <c r="D1038" s="77" t="inlineStr">
        <is>
          <t>Business Consultancy Project (BSc Economics and Business)</t>
        </is>
      </c>
      <c r="E1038" s="77" t="inlineStr">
        <is>
          <t>project; employer</t>
        </is>
      </c>
      <c r="F1038" s="77" t="inlineStr">
        <is>
          <t>https://www.swansea.ac.uk/undergraduate/courses/social-sciences/economics/bsc-economics-business/</t>
        </is>
      </c>
      <c r="G1038" s="77" t="inlineStr">
        <is>
          <t>Economics and Business, BSc (Hons) - Swansea University</t>
        </is>
      </c>
      <c r="H1038" s="77" t="inlineStr">
        <is>
          <t>Course overview</t>
        </is>
      </c>
      <c r="I1038" s="77" t="inlineStr">
        <is>
          <t>undated</t>
        </is>
      </c>
      <c r="J1038" s="77" t="inlineStr">
        <is>
          <t>2026-10-13</t>
        </is>
      </c>
      <c r="K1038" s="77" t="inlineStr">
        <is>
          <t>page text (WebFetch)</t>
        </is>
      </c>
      <c r="L1038" s="77" t="inlineStr">
        <is>
          <t>'Business Consultancy Project, where you will apply your skills to a live client real-world challenge.'</t>
        </is>
      </c>
    </row>
    <row r="1039">
      <c r="A1039" s="77" t="inlineStr">
        <is>
          <t>UK14-S04-R1</t>
        </is>
      </c>
      <c r="B1039" s="77" t="inlineStr">
        <is>
          <t>UK14</t>
        </is>
      </c>
      <c r="C1039" s="77" t="inlineStr">
        <is>
          <t>UK14-S04</t>
        </is>
      </c>
      <c r="D1039" s="77" t="inlineStr">
        <is>
          <t>Marketing consultancy project (BSc Marketing final-year pathway)</t>
        </is>
      </c>
      <c r="E1039" s="77" t="inlineStr">
        <is>
          <t>project; participation</t>
        </is>
      </c>
      <c r="F1039" s="77" t="inlineStr">
        <is>
          <t>https://www.swansea.ac.uk/undergraduate/courses/som/marketing/bsc-marketing/</t>
        </is>
      </c>
      <c r="G1039" s="77" t="inlineStr">
        <is>
          <t>Marketing, BSc (Hons) - Swansea University</t>
        </is>
      </c>
      <c r="H1039" s="77" t="inlineStr">
        <is>
          <t>Final year pathways</t>
        </is>
      </c>
      <c r="I1039" s="77" t="inlineStr">
        <is>
          <t>undated</t>
        </is>
      </c>
      <c r="J1039" s="77" t="inlineStr">
        <is>
          <t>2026-10-12</t>
        </is>
      </c>
      <c r="K1039" s="77" t="inlineStr">
        <is>
          <t>search-index extract (quoted)</t>
        </is>
      </c>
      <c r="L1039" s="77" t="inlineStr">
        <is>
          <t>'Flexible final year pathways, that allow you to choose between a traditional dissertation, a Welsh-medium dissertation, or a marketing consultancy project'</t>
        </is>
      </c>
    </row>
    <row r="1040">
      <c r="A1040" s="77" t="inlineStr">
        <is>
          <t>UK14-S05-R1</t>
        </is>
      </c>
      <c r="B1040" s="77" t="inlineStr">
        <is>
          <t>UK14</t>
        </is>
      </c>
      <c r="C1040" s="77" t="inlineStr">
        <is>
          <t>UK14-S05</t>
        </is>
      </c>
      <c r="D1040" s="77" t="inlineStr">
        <is>
          <t>MSc Project Management live project collaborations</t>
        </is>
      </c>
      <c r="E1040" s="77" t="inlineStr">
        <is>
          <t>project; group; employer</t>
        </is>
      </c>
      <c r="F1040" s="77" t="inlineStr">
        <is>
          <t>https://www.swansea.ac.uk/postgraduate/taught/som/business-management/msc-project-management/</t>
        </is>
      </c>
      <c r="G1040" s="77" t="inlineStr">
        <is>
          <t>Project Management, MSc - Swansea University</t>
        </is>
      </c>
      <c r="H1040" s="77" t="inlineStr">
        <is>
          <t>Course overview</t>
        </is>
      </c>
      <c r="I1040" s="77" t="inlineStr">
        <is>
          <t>undated</t>
        </is>
      </c>
      <c r="J1040" s="77" t="inlineStr">
        <is>
          <t>2026-10-13</t>
        </is>
      </c>
      <c r="K1040" s="77" t="inlineStr">
        <is>
          <t>page text (WebFetch)</t>
        </is>
      </c>
      <c r="L1040" s="77" t="inlineStr">
        <is>
          <t>'live project collaborations, and dissertation partnerships with organisations such as Tata Steel, Siemens, the NHS'; students join project teams and take on live project challenges.</t>
        </is>
      </c>
    </row>
    <row r="1041">
      <c r="A1041" s="77" t="inlineStr">
        <is>
          <t>UK14-S06-R1</t>
        </is>
      </c>
      <c r="B1041" s="77" t="inlineStr">
        <is>
          <t>UK14</t>
        </is>
      </c>
      <c r="C1041" s="77" t="inlineStr">
        <is>
          <t>UK14-S06</t>
        </is>
      </c>
      <c r="D1041" s="77" t="inlineStr">
        <is>
          <t>Student Enterprise hackathon (Swansea City Football Club challenge)</t>
        </is>
      </c>
      <c r="E1041" s="77" t="inlineStr">
        <is>
          <t>employer; reach</t>
        </is>
      </c>
      <c r="F1041" s="77" t="inlineStr">
        <is>
          <t>https://hwb.swansea.ac.uk/employability-enterprise/student-enterprise/</t>
        </is>
      </c>
      <c r="G1041" s="77" t="inlineStr">
        <is>
          <t>Student Enterprise - Swansea University</t>
        </is>
      </c>
      <c r="H1041" s="77" t="inlineStr">
        <is>
          <t>Hackathons</t>
        </is>
      </c>
      <c r="I1041" s="77" t="inlineStr">
        <is>
          <t>undated</t>
        </is>
      </c>
      <c r="J1041" s="77" t="inlineStr">
        <is>
          <t>2026-10-12</t>
        </is>
      </c>
      <c r="K1041" s="77" t="inlineStr">
        <is>
          <t>search-index extract (quoted)</t>
        </is>
      </c>
      <c r="L1041" s="77" t="inlineStr">
        <is>
          <t>'Students from across all faculties ... gained experience working on a real-life commercial challenge and as a result developed over 12 commercial ideas to support Swansea City Football club'</t>
        </is>
      </c>
    </row>
    <row r="1042">
      <c r="A1042" s="77" t="inlineStr">
        <is>
          <t>UK14-S07-R1</t>
        </is>
      </c>
      <c r="B1042" s="77" t="inlineStr">
        <is>
          <t>UK14</t>
        </is>
      </c>
      <c r="C1042" s="77" t="inlineStr">
        <is>
          <t>UK14-S07</t>
        </is>
      </c>
      <c r="D1042" s="77" t="inlineStr">
        <is>
          <t>Swansea Law Clinic - Clinical Legal Education module</t>
        </is>
      </c>
      <c r="E1042" s="77" t="inlineStr">
        <is>
          <t>credit; employer; status</t>
        </is>
      </c>
      <c r="F1042" s="77" t="inlineStr">
        <is>
          <t>https://www.swansea.ac.uk/law/lawclinic/</t>
        </is>
      </c>
      <c r="G1042" s="77" t="inlineStr">
        <is>
          <t>Swansea Law Clinic</t>
        </is>
      </c>
      <c r="H1042" s="77" t="inlineStr">
        <is>
          <t>Main page</t>
        </is>
      </c>
      <c r="I1042" s="77" t="inlineStr">
        <is>
          <t>undated (links 2025-26 annual report)</t>
        </is>
      </c>
      <c r="J1042" s="77" t="inlineStr">
        <is>
          <t>2026-10-13</t>
        </is>
      </c>
      <c r="K1042" s="77" t="inlineStr">
        <is>
          <t>page text (WebFetch)</t>
        </is>
      </c>
      <c r="L1042" s="77" t="inlineStr">
        <is>
          <t>Students can take the 'twenty credit Clinical Legal Education module' (LAA366 Semester One, LAA367 Semester Two); advice given to 'Members of the public, students and University staff'; supported by four local firms.</t>
        </is>
      </c>
    </row>
    <row r="1043">
      <c r="A1043" s="77" t="inlineStr">
        <is>
          <t>UK15-S01-R1</t>
        </is>
      </c>
      <c r="B1043" s="77" t="inlineStr">
        <is>
          <t>UK15</t>
        </is>
      </c>
      <c r="C1043" s="77" t="inlineStr">
        <is>
          <t>UK15-S01</t>
        </is>
      </c>
      <c r="D1043" s="77" t="inlineStr">
        <is>
          <t>iTeams (Essex Startups)</t>
        </is>
      </c>
      <c r="E1043" s="77" t="inlineStr">
        <is>
          <t>project; group; employer; eligibility; status</t>
        </is>
      </c>
      <c r="F1043" s="77" t="inlineStr">
        <is>
          <t>https://www.essex.ac.uk/events/2025/02/04/iteams-2025</t>
        </is>
      </c>
      <c r="G1043" s="77" t="inlineStr">
        <is>
          <t>iTeams 2025</t>
        </is>
      </c>
      <c r="H1043" s="77" t="inlineStr">
        <is>
          <t>Event page</t>
        </is>
      </c>
      <c r="I1043" s="77" t="inlineStr">
        <is>
          <t>2025</t>
        </is>
      </c>
      <c r="J1043" s="77" t="inlineStr">
        <is>
          <t>2026-10-12</t>
        </is>
      </c>
      <c r="K1043" s="77" t="inlineStr">
        <is>
          <t>page text</t>
        </is>
      </c>
      <c r="L1043" s="77" t="inlineStr">
        <is>
          <t>"six student teams (made up by several students across different faculties)"; "Three businesses will deliver three challenges"; "Each team will be mentored by an external industry expert"; teams produce a report and presentation to an expert panel at Grand Finale; runs 4 Feb-19 Mar 2025.</t>
        </is>
      </c>
    </row>
    <row r="1044">
      <c r="A1044" s="77" t="inlineStr">
        <is>
          <t>UK15-S01-R2</t>
        </is>
      </c>
      <c r="B1044" s="77" t="inlineStr">
        <is>
          <t>UK15</t>
        </is>
      </c>
      <c r="C1044" s="77" t="inlineStr">
        <is>
          <t>UK15-S01</t>
        </is>
      </c>
      <c r="D1044" s="77" t="inlineStr">
        <is>
          <t>iTeams (Essex Startups)</t>
        </is>
      </c>
      <c r="E1044" s="77" t="inlineStr">
        <is>
          <t>group; employer; duration</t>
        </is>
      </c>
      <c r="F1044" s="77" t="inlineStr">
        <is>
          <t>https://www.essex.ac.uk/events/2024/02/06/iteams</t>
        </is>
      </c>
      <c r="G1044" s="77" t="inlineStr">
        <is>
          <t>iTeams 2024</t>
        </is>
      </c>
      <c r="H1044" s="77" t="inlineStr">
        <is>
          <t>Event page</t>
        </is>
      </c>
      <c r="I1044" s="77" t="inlineStr">
        <is>
          <t>2024</t>
        </is>
      </c>
      <c r="J1044" s="77" t="inlineStr">
        <is>
          <t>2026-10-12</t>
        </is>
      </c>
      <c r="K1044" s="77" t="inlineStr">
        <is>
          <t>search-summary paraphrase</t>
        </is>
      </c>
      <c r="L1044" s="77" t="inlineStr">
        <is>
          <t>7-week programme; three businesses, six student teams; final presentation to expert panel.</t>
        </is>
      </c>
    </row>
    <row r="1045">
      <c r="A1045" s="77" t="inlineStr">
        <is>
          <t>UK15-S01-R3</t>
        </is>
      </c>
      <c r="B1045" s="77" t="inlineStr">
        <is>
          <t>UK15</t>
        </is>
      </c>
      <c r="C1045" s="77" t="inlineStr">
        <is>
          <t>UK15-S01</t>
        </is>
      </c>
      <c r="D1045" s="77" t="inlineStr">
        <is>
          <t>iTeams (Essex Startups)</t>
        </is>
      </c>
      <c r="E1045" s="77" t="inlineStr">
        <is>
          <t>duration</t>
        </is>
      </c>
      <c r="F1045" s="77" t="inlineStr">
        <is>
          <t>https://www.essex.ac.uk/events/2022/01/26/essex-startups-iteams</t>
        </is>
      </c>
      <c r="G1045" s="77" t="inlineStr">
        <is>
          <t>Essex Startups: iTeams</t>
        </is>
      </c>
      <c r="H1045" s="77" t="inlineStr">
        <is>
          <t>Event page</t>
        </is>
      </c>
      <c r="I1045" s="77" t="inlineStr">
        <is>
          <t>2022</t>
        </is>
      </c>
      <c r="J1045" s="77" t="inlineStr">
        <is>
          <t>2026-10-12</t>
        </is>
      </c>
      <c r="K1045" s="77" t="inlineStr">
        <is>
          <t>search-summary paraphrase</t>
        </is>
      </c>
      <c r="L1045" s="77" t="inlineStr">
        <is>
          <t>8-week programme; first place £500 per team member.</t>
        </is>
      </c>
    </row>
    <row r="1046">
      <c r="A1046" s="77" t="inlineStr">
        <is>
          <t>UK15-S02-R1</t>
        </is>
      </c>
      <c r="B1046" s="77" t="inlineStr">
        <is>
          <t>UK15</t>
        </is>
      </c>
      <c r="C1046" s="77" t="inlineStr">
        <is>
          <t>UK15-S02</t>
        </is>
      </c>
      <c r="D1046" s="77" t="inlineStr">
        <is>
          <t>Cyber Innovate to Elevate (bespoke iTeams programme)</t>
        </is>
      </c>
      <c r="E1046" s="77" t="inlineStr">
        <is>
          <t>employer; status; duration</t>
        </is>
      </c>
      <c r="F1046" s="77" t="inlineStr">
        <is>
          <t>https://www.essex.ac.uk/business/services/funding-opportunities/cyber-innovate-to-elevate</t>
        </is>
      </c>
      <c r="G1046" s="77" t="inlineStr">
        <is>
          <t>Cyber Innovate to Elevate</t>
        </is>
      </c>
      <c r="H1046" s="77" t="inlineStr">
        <is>
          <t>Funding opportunities page</t>
        </is>
      </c>
      <c r="I1046" s="77" t="inlineStr">
        <is>
          <t>undated</t>
        </is>
      </c>
      <c r="J1046" s="77" t="inlineStr">
        <is>
          <t>2026-10-12</t>
        </is>
      </c>
      <c r="K1046" s="77" t="inlineStr">
        <is>
          <t>search-summary paraphrase</t>
        </is>
      </c>
      <c r="L1046" s="77" t="inlineStr">
        <is>
          <t>Runs as part of bespoke iTeams programme where students work directly with SMEs on cybersecurity strategies; projects due to finish by 28 February 2026. Page text (fetched): eligible UK-owned SMEs, Innovation Manager from the University, 'Innovation Roadmap'; full applications open 1 Sept 2026; projects completed by 31 March 2027.</t>
        </is>
      </c>
    </row>
    <row r="1047">
      <c r="A1047" s="77" t="inlineStr">
        <is>
          <t>UK15-S02-R2</t>
        </is>
      </c>
      <c r="B1047" s="77" t="inlineStr">
        <is>
          <t>UK15</t>
        </is>
      </c>
      <c r="C1047" s="77" t="inlineStr">
        <is>
          <t>UK15-S02</t>
        </is>
      </c>
      <c r="D1047" s="77" t="inlineStr">
        <is>
          <t>Cyber Innovate to Elevate (bespoke iTeams programme)</t>
        </is>
      </c>
      <c r="E1047" s="77" t="inlineStr">
        <is>
          <t>employer; status; duration</t>
        </is>
      </c>
      <c r="F1047" s="77" t="inlineStr">
        <is>
          <t>https://www.essex.ac.uk/news/2025/12/17/new-cybersecurity-programme-proves-big-hit-with-businesses</t>
        </is>
      </c>
      <c r="G1047" s="77" t="inlineStr">
        <is>
          <t>Cybersecurity programme proves big hit with businesses</t>
        </is>
      </c>
      <c r="H1047" s="77" t="inlineStr">
        <is>
          <t>News</t>
        </is>
      </c>
      <c r="I1047" s="77" t="inlineStr">
        <is>
          <t>2025</t>
        </is>
      </c>
      <c r="J1047" s="77" t="inlineStr">
        <is>
          <t>2026-10-12</t>
        </is>
      </c>
      <c r="K1047" s="77" t="inlineStr">
        <is>
          <t>search-summary paraphrase</t>
        </is>
      </c>
      <c r="L1047" s="77" t="inlineStr">
        <is>
          <t>Six-week 'iTeams' innovation challenge connecting SMEs with MSc and PhD students.</t>
        </is>
      </c>
    </row>
    <row r="1048">
      <c r="A1048" s="77" t="inlineStr">
        <is>
          <t>UK15-S03-R1</t>
        </is>
      </c>
      <c r="B1048" s="77" t="inlineStr">
        <is>
          <t>UK15</t>
        </is>
      </c>
      <c r="C1048" s="77" t="inlineStr">
        <is>
          <t>UK15-S03</t>
        </is>
      </c>
      <c r="D1048" s="77" t="inlineStr">
        <is>
          <t>Marketing Management consultancy project (BSc Marketing Management and related degrees)</t>
        </is>
      </c>
      <c r="E1048" s="77" t="inlineStr">
        <is>
          <t>project; employer; credit; reach</t>
        </is>
      </c>
      <c r="F1048" s="77" t="inlineStr">
        <is>
          <t>https://www.essex.ac.uk/courses/ug00256/1/bsc-management-and-marketing</t>
        </is>
      </c>
      <c r="G1048" s="77" t="inlineStr">
        <is>
          <t>BSc (Hons) Marketing Management</t>
        </is>
      </c>
      <c r="H1048" s="77" t="inlineStr">
        <is>
          <t>Course structure</t>
        </is>
      </c>
      <c r="I1048" s="77" t="inlineStr">
        <is>
          <t>undated (2026 start referenced for related Integrated Master page)</t>
        </is>
      </c>
      <c r="J1048" s="77" t="inlineStr">
        <is>
          <t>2026-10-12</t>
        </is>
      </c>
      <c r="K1048" s="77" t="inlineStr">
        <is>
          <t>search-summary paraphrase</t>
        </is>
      </c>
      <c r="L1048" s="77" t="inlineStr">
        <is>
          <t>Marketing Management (15 credits): you undertake a consultancy project for a real-world business in response to a marketing brief.</t>
        </is>
      </c>
    </row>
    <row r="1049">
      <c r="A1049" s="77" t="inlineStr">
        <is>
          <t>UK15-S04-R1</t>
        </is>
      </c>
      <c r="B1049" s="77" t="inlineStr">
        <is>
          <t>UK15</t>
        </is>
      </c>
      <c r="C1049" s="77" t="inlineStr">
        <is>
          <t>UK15-S04</t>
        </is>
      </c>
      <c r="D1049" s="77" t="inlineStr">
        <is>
          <t>Work-based learning live employer projects (Industry and Placements team)</t>
        </is>
      </c>
      <c r="E1049" s="77" t="inlineStr">
        <is>
          <t>project; employer</t>
        </is>
      </c>
      <c r="F1049" s="77" t="inlineStr">
        <is>
          <t>https://www.essex.ac.uk/staff/academic-standards-and-quality/work-based-learning</t>
        </is>
      </c>
      <c r="G1049" s="77" t="inlineStr">
        <is>
          <t>Work-based learning</t>
        </is>
      </c>
      <c r="H1049" s="77" t="inlineStr">
        <is>
          <t>Staff guidance</t>
        </is>
      </c>
      <c r="I1049" s="77" t="inlineStr">
        <is>
          <t>undated</t>
        </is>
      </c>
      <c r="J1049" s="77" t="inlineStr">
        <is>
          <t>2026-10-12</t>
        </is>
      </c>
      <c r="K1049" s="77" t="inlineStr">
        <is>
          <t>search-summary paraphrase</t>
        </is>
      </c>
      <c r="L1049" s="77" t="inlineStr">
        <is>
          <t>WBL defined as learning through placements or live projects for an organisation or client that are part of the curriculum; team advises on year-long placements, short placements, PG professional placements and live employer projects.</t>
        </is>
      </c>
    </row>
    <row r="1050">
      <c r="A1050" s="77" t="inlineStr">
        <is>
          <t>UK15-S04-R2</t>
        </is>
      </c>
      <c r="B1050" s="77" t="inlineStr">
        <is>
          <t>UK15</t>
        </is>
      </c>
      <c r="C1050" s="77" t="inlineStr">
        <is>
          <t>UK15-S04</t>
        </is>
      </c>
      <c r="D1050" s="77" t="inlineStr">
        <is>
          <t>Work-based learning live employer projects (Industry and Placements team)</t>
        </is>
      </c>
      <c r="E1050" s="77" t="inlineStr">
        <is>
          <t>employer</t>
        </is>
      </c>
      <c r="F1050" s="77" t="inlineStr">
        <is>
          <t>https://www.essex.ac.uk/business/recruit-our-students-and-graduates</t>
        </is>
      </c>
      <c r="G1050" s="77" t="inlineStr">
        <is>
          <t>Engage with talent at Essex</t>
        </is>
      </c>
      <c r="H1050" s="77" t="inlineStr">
        <is>
          <t>Employer page</t>
        </is>
      </c>
      <c r="I1050" s="77" t="inlineStr">
        <is>
          <t>undated</t>
        </is>
      </c>
      <c r="J1050" s="77" t="inlineStr">
        <is>
          <t>2026-10-12</t>
        </is>
      </c>
      <c r="K1050" s="77" t="inlineStr">
        <is>
          <t>search-summary paraphrase</t>
        </is>
      </c>
      <c r="L1050" s="77" t="inlineStr">
        <is>
          <t>Employers can collaborate with students through employer-led projects, from undergraduate projects to Essex MBA business challenges; contact industryengagement@essex.ac.uk.</t>
        </is>
      </c>
    </row>
    <row r="1051">
      <c r="A1051" s="77" t="inlineStr">
        <is>
          <t>UK15-S05-R1</t>
        </is>
      </c>
      <c r="B1051" s="77" t="inlineStr">
        <is>
          <t>UK15</t>
        </is>
      </c>
      <c r="C1051" s="77" t="inlineStr">
        <is>
          <t>UK15-S05</t>
        </is>
      </c>
      <c r="D1051" s="77" t="inlineStr">
        <is>
          <t>Business Law Clinic (Essex Law School)</t>
        </is>
      </c>
      <c r="E1051" s="77" t="inlineStr">
        <is>
          <t>project; group; employer; eligibility; status</t>
        </is>
      </c>
      <c r="F1051" s="77" t="inlineStr">
        <is>
          <t>https://www.essex.ac.uk/departments/law/business-law-clinic</t>
        </is>
      </c>
      <c r="G1051" s="77" t="inlineStr">
        <is>
          <t>Business Law Clinic</t>
        </is>
      </c>
      <c r="H1051" s="77" t="inlineStr">
        <is>
          <t>Search-index extract</t>
        </is>
      </c>
      <c r="I1051" s="77" t="inlineStr">
        <is>
          <t>undated (2025-26 content)</t>
        </is>
      </c>
      <c r="J1051" s="77" t="inlineStr">
        <is>
          <t>2026-10-13</t>
        </is>
      </c>
      <c r="K1051" s="77" t="inlineStr">
        <is>
          <t>search-index extract</t>
        </is>
      </c>
      <c r="L1051" s="77" t="inlineStr">
        <is>
          <t>Team projects for final-year LLB and Law PGT students: working in small teams under academic supervision; 2025-26 projects with the Mercury Theatre and British credit unions.</t>
        </is>
      </c>
    </row>
    <row r="1052">
      <c r="A1052" s="77" t="inlineStr">
        <is>
          <t>UK15-S05-R2</t>
        </is>
      </c>
      <c r="B1052" s="77" t="inlineStr">
        <is>
          <t>UK15</t>
        </is>
      </c>
      <c r="C1052" s="77" t="inlineStr">
        <is>
          <t>UK15-S05</t>
        </is>
      </c>
      <c r="D1052" s="77" t="inlineStr">
        <is>
          <t>Business Law Clinic (Essex Law School)</t>
        </is>
      </c>
      <c r="E1052" s="77" t="inlineStr">
        <is>
          <t>project; employer; status</t>
        </is>
      </c>
      <c r="F1052" s="77" t="inlineStr">
        <is>
          <t>https://www.essex.ac.uk/blog/posts/2025/10/14/business-law-clinic-projects-2025</t>
        </is>
      </c>
      <c r="G1052" s="77" t="inlineStr">
        <is>
          <t>Business Law Clinic projects 2025-26</t>
        </is>
      </c>
      <c r="H1052" s="77" t="inlineStr">
        <is>
          <t>Blog</t>
        </is>
      </c>
      <c r="I1052" s="77" t="inlineStr">
        <is>
          <t>2025</t>
        </is>
      </c>
      <c r="J1052" s="77" t="inlineStr">
        <is>
          <t>2026-10-13</t>
        </is>
      </c>
      <c r="K1052" s="77" t="inlineStr">
        <is>
          <t>search-index extract</t>
        </is>
      </c>
      <c r="L1052" s="77" t="inlineStr">
        <is>
          <t>Insight into Business Law Clinic student projects for 2025-2026. (WebFetch returned empty; relied on search extract.)</t>
        </is>
      </c>
    </row>
    <row r="1053">
      <c r="A1053" s="77" t="inlineStr">
        <is>
          <t>UK15-S06-R1</t>
        </is>
      </c>
      <c r="B1053" s="77" t="inlineStr">
        <is>
          <t>UK15</t>
        </is>
      </c>
      <c r="C1053" s="77" t="inlineStr">
        <is>
          <t>UK15-S06</t>
        </is>
      </c>
      <c r="D1053" s="77" t="inlineStr">
        <is>
          <t>Human Rights Centre Clinic (module-based projects, HU902)</t>
        </is>
      </c>
      <c r="E1053" s="77" t="inlineStr">
        <is>
          <t>project; group; employer; eligibility; status</t>
        </is>
      </c>
      <c r="F1053" s="77" t="inlineStr">
        <is>
          <t>https://www.essex.ac.uk/centres-and-institutes/human-rights/human-rights-centre-clinic/working-in-the-human-rights-clinic</t>
        </is>
      </c>
      <c r="G1053" s="77" t="inlineStr">
        <is>
          <t>Working in Human Rights Clinic</t>
        </is>
      </c>
      <c r="H1053" s="77" t="inlineStr">
        <is>
          <t>Page text</t>
        </is>
      </c>
      <c r="I1053" s="77" t="inlineStr">
        <is>
          <t>2026</t>
        </is>
      </c>
      <c r="J1053" s="77" t="inlineStr">
        <is>
          <t>2026-10-13</t>
        </is>
      </c>
      <c r="K1053" s="77" t="inlineStr">
        <is>
          <t>search-index extract</t>
        </is>
      </c>
      <c r="L1053" s="77" t="inlineStr">
        <is>
          <t>"in teams with the guidance of a supervisor"; partners include "governments, NGOs and international organisations" such as Amnesty International and the UN; module-based projects require HU902; applications for 2026-27 open October 2026; six projects in 2026/27.</t>
        </is>
      </c>
    </row>
    <row r="1054">
      <c r="A1054" s="77" t="inlineStr">
        <is>
          <t>UK16-S01-R1</t>
        </is>
      </c>
      <c r="B1054" s="77" t="inlineStr">
        <is>
          <t>UK16</t>
        </is>
      </c>
      <c r="C1054" s="77" t="inlineStr">
        <is>
          <t>UK16-S01</t>
        </is>
      </c>
      <c r="D1054" s="77" t="inlineStr">
        <is>
          <t>KBS Challenge</t>
        </is>
      </c>
      <c r="E1054" s="77" t="inlineStr">
        <is>
          <t>project; group; employer; credit; status</t>
        </is>
      </c>
      <c r="F1054" s="77" t="inlineStr">
        <is>
          <t>https://www.kent.ac.uk/courses/modules/module/BUSB6514</t>
        </is>
      </c>
      <c r="G1054" s="77" t="inlineStr">
        <is>
          <t>KBS Challenge - BUSB6514</t>
        </is>
      </c>
      <c r="H1054" s="77" t="inlineStr">
        <is>
          <t>Module page</t>
        </is>
      </c>
      <c r="I1054" s="77" t="inlineStr">
        <is>
          <t>2026 to 2027</t>
        </is>
      </c>
      <c r="J1054" s="77" t="inlineStr">
        <is>
          <t>2026-10-13</t>
        </is>
      </c>
      <c r="K1054" s="77" t="inlineStr">
        <is>
          <t>page text (WebFetch)</t>
        </is>
      </c>
      <c r="L1054" s="77" t="inlineStr">
        <is>
          <t>'Do you have what it takes to be a management consultant?'; 'we'll work with real businesses'; 'in a group of your peers'; Group Report (3,000 words) 60%, Group Presentation (15 minutes) 20%, Individual Reflective Blog 20%; Level 6, 20 credits; 2026 to 2027.</t>
        </is>
      </c>
    </row>
    <row r="1055">
      <c r="A1055" s="77" t="inlineStr">
        <is>
          <t>UK16-S01-R2</t>
        </is>
      </c>
      <c r="B1055" s="77" t="inlineStr">
        <is>
          <t>UK16</t>
        </is>
      </c>
      <c r="C1055" s="77" t="inlineStr">
        <is>
          <t>UK16-S01</t>
        </is>
      </c>
      <c r="D1055" s="77" t="inlineStr">
        <is>
          <t>KBS Challenge</t>
        </is>
      </c>
      <c r="E1055" s="77" t="inlineStr">
        <is>
          <t>project; group; employer; status; reach</t>
        </is>
      </c>
      <c r="F1055" s="77" t="inlineStr">
        <is>
          <t>https://blogs.kent.ac.uk/kbs-news-events/2026/08/in-at-the-deep-end-how-kbs-students-took-on-real-business-challenges/</t>
        </is>
      </c>
      <c r="G1055" s="77" t="inlineStr">
        <is>
          <t>In at the Deep End: How KBS Students Took on Real Business Challenges</t>
        </is>
      </c>
      <c r="H1055" s="77" t="inlineStr">
        <is>
          <t>Blog (12 Aug 2026)</t>
        </is>
      </c>
      <c r="I1055" s="77" t="inlineStr">
        <is>
          <t>2026</t>
        </is>
      </c>
      <c r="J1055" s="77" t="inlineStr">
        <is>
          <t>2026-10-13</t>
        </is>
      </c>
      <c r="K1055" s="77" t="inlineStr">
        <is>
          <t>page text (WebFetch)</t>
        </is>
      </c>
      <c r="L1055" s="77" t="inlineStr">
        <is>
          <t>'15 consultancy teams across 10 live projects' over eight weeks; '106 students from across Kent Business School'; 'supported by four external organisations: Port of Dover, Macknade, Barretts Kent, and Enterprise Mobility'; teams 'visited business sites, engaged directly with senior business representatives'; recommendations 'presented back to the organisation'.</t>
        </is>
      </c>
    </row>
    <row r="1056">
      <c r="A1056" s="77" t="inlineStr">
        <is>
          <t>UK16-S02-R1</t>
        </is>
      </c>
      <c r="B1056" s="77" t="inlineStr">
        <is>
          <t>UK16</t>
        </is>
      </c>
      <c r="C1056" s="77" t="inlineStr">
        <is>
          <t>UK16-S02</t>
        </is>
      </c>
      <c r="D1056" s="77" t="inlineStr">
        <is>
          <t>i-Teams (Kent Innovation i-Teams; Student Impact Projects)</t>
        </is>
      </c>
      <c r="E1056" s="77" t="inlineStr">
        <is>
          <t>project; group; employer; eligibility</t>
        </is>
      </c>
      <c r="F1056" s="77" t="inlineStr">
        <is>
          <t>https://student.kent.ac.uk/careers/student-impact/i-teams</t>
        </is>
      </c>
      <c r="G1056" s="77" t="inlineStr">
        <is>
          <t>i-teams - Careers and employability service</t>
        </is>
      </c>
      <c r="H1056" s="77" t="inlineStr">
        <is>
          <t>Programme page</t>
        </is>
      </c>
      <c r="I1056" s="77" t="inlineStr">
        <is>
          <t>undated</t>
        </is>
      </c>
      <c r="J1056" s="77" t="inlineStr">
        <is>
          <t>2026-10-13</t>
        </is>
      </c>
      <c r="K1056" s="77" t="inlineStr">
        <is>
          <t>search-index extract (quoted); WebFetch of the page returned no relevant text</t>
        </is>
      </c>
      <c r="L1056" s="77" t="inlineStr">
        <is>
          <t>'There are 8 sessions, which include an introductory meeting and the grand final.' 'At the end of the programme, you and your team will have the chance to present your solutions to a panel during a Grand Final.' Eight-week programme, live business problem, industry expert, non-business students welcome (as paraphrased by search).</t>
        </is>
      </c>
    </row>
    <row r="1057">
      <c r="A1057" s="77" t="inlineStr">
        <is>
          <t>UK16-S02-R2</t>
        </is>
      </c>
      <c r="B1057" s="77" t="inlineStr">
        <is>
          <t>UK16</t>
        </is>
      </c>
      <c r="C1057" s="77" t="inlineStr">
        <is>
          <t>UK16-S02</t>
        </is>
      </c>
      <c r="D1057" s="77" t="inlineStr">
        <is>
          <t>i-Teams (Kent Innovation i-Teams; Student Impact Projects)</t>
        </is>
      </c>
      <c r="E1057" s="77" t="inlineStr">
        <is>
          <t>status</t>
        </is>
      </c>
      <c r="F1057" s="77" t="inlineStr">
        <is>
          <t>https://www.kent.ac.uk/business-and-partnerships/student-talent/i-teams</t>
        </is>
      </c>
      <c r="G1057" s="77" t="inlineStr">
        <is>
          <t>Kent i-Teams 2023</t>
        </is>
      </c>
      <c r="H1057" s="77" t="inlineStr">
        <is>
          <t>Business and Partnerships page</t>
        </is>
      </c>
      <c r="I1057" s="77" t="inlineStr">
        <is>
          <t>2023</t>
        </is>
      </c>
      <c r="J1057" s="77" t="inlineStr">
        <is>
          <t>2026-10-13</t>
        </is>
      </c>
      <c r="K1057" s="77" t="inlineStr">
        <is>
          <t>search-summary paraphrase</t>
        </is>
      </c>
      <c r="L1057" s="77" t="inlineStr">
        <is>
          <t>Cohort page for 2023 i-Teams (title only retrieved).</t>
        </is>
      </c>
    </row>
    <row r="1058">
      <c r="A1058" s="77" t="inlineStr">
        <is>
          <t>UK16-S02-R3</t>
        </is>
      </c>
      <c r="B1058" s="77" t="inlineStr">
        <is>
          <t>UK16</t>
        </is>
      </c>
      <c r="C1058" s="77" t="inlineStr">
        <is>
          <t>UK16-S02</t>
        </is>
      </c>
      <c r="D1058" s="77" t="inlineStr">
        <is>
          <t>i-Teams (Kent Innovation i-Teams; Student Impact Projects)</t>
        </is>
      </c>
      <c r="E1058" s="77" t="inlineStr">
        <is>
          <t>project; employer; status</t>
        </is>
      </c>
      <c r="F1058" s="77" t="inlineStr">
        <is>
          <t>https://blogs.kent.ac.uk/ris/2023/02/02/kent-students-take-on-bae-systems-vesper-247-and-docking-station-challenges-in-i-teams-2023/</t>
        </is>
      </c>
      <c r="G1058" s="77" t="inlineStr">
        <is>
          <t>Kent students take on BAE Systems, Vesper 247 and Docking Station challenges in i-Teams 2023</t>
        </is>
      </c>
      <c r="H1058" s="77" t="inlineStr">
        <is>
          <t>Blog</t>
        </is>
      </c>
      <c r="I1058" s="77" t="inlineStr">
        <is>
          <t>2023</t>
        </is>
      </c>
      <c r="J1058" s="77" t="inlineStr">
        <is>
          <t>2026-10-13</t>
        </is>
      </c>
      <c r="K1058" s="77" t="inlineStr">
        <is>
          <t>search-index extract (quoted)</t>
        </is>
      </c>
      <c r="L1058" s="77" t="inlineStr">
        <is>
          <t>'an 8-week knowledge exchange programme which brings together innovative students from across the University to tackle real business problems.'</t>
        </is>
      </c>
    </row>
    <row r="1059">
      <c r="A1059" s="77" t="inlineStr">
        <is>
          <t>UK16-S03-R1</t>
        </is>
      </c>
      <c r="B1059" s="77" t="inlineStr">
        <is>
          <t>UK16</t>
        </is>
      </c>
      <c r="C1059" s="77" t="inlineStr">
        <is>
          <t>UK16-S03</t>
        </is>
      </c>
      <c r="D1059" s="77" t="inlineStr">
        <is>
          <t>The Business Analytics Challenge</t>
        </is>
      </c>
      <c r="E1059" s="77" t="inlineStr">
        <is>
          <t>project; group; credit; status</t>
        </is>
      </c>
      <c r="F1059" s="77" t="inlineStr">
        <is>
          <t>https://www.kent.ac.uk/courses/modules/module/BUSB7032</t>
        </is>
      </c>
      <c r="G1059" s="77" t="inlineStr">
        <is>
          <t>The Business Analytics Challenge - BUSB7032</t>
        </is>
      </c>
      <c r="H1059" s="77" t="inlineStr">
        <is>
          <t>Module page</t>
        </is>
      </c>
      <c r="I1059" s="77" t="inlineStr">
        <is>
          <t>2026 to 2027</t>
        </is>
      </c>
      <c r="J1059" s="77" t="inlineStr">
        <is>
          <t>2026-10-13</t>
        </is>
      </c>
      <c r="K1059" s="77" t="inlineStr">
        <is>
          <t>page text (WebFetch)</t>
        </is>
      </c>
      <c r="L1059" s="77" t="inlineStr">
        <is>
          <t>'Gain consultancy experience and pitch your solutions to existing organisational problems!'; 'Group presentation (15 minutes) worth 20%'; 'Individual consultancy report (4000 words) worth 60%'; credits 40 (20), Level 7; 2026 to 2027.</t>
        </is>
      </c>
    </row>
    <row r="1060">
      <c r="A1060" s="77" t="inlineStr">
        <is>
          <t>UK16-S04-R1</t>
        </is>
      </c>
      <c r="B1060" s="77" t="inlineStr">
        <is>
          <t>UK16</t>
        </is>
      </c>
      <c r="C1060" s="77" t="inlineStr">
        <is>
          <t>UK16-S04</t>
        </is>
      </c>
      <c r="D1060" s="77" t="inlineStr">
        <is>
          <t>Strategic Project Management Challenge (MSc Strategic Project Management)</t>
        </is>
      </c>
      <c r="E1060" s="77" t="inlineStr">
        <is>
          <t>project; group; employer; participation</t>
        </is>
      </c>
      <c r="F1060" s="77" t="inlineStr">
        <is>
          <t>https://www.kent.ac.uk/courses/postgraduate/3269/strategic-project-management</t>
        </is>
      </c>
      <c r="G1060" s="77" t="inlineStr">
        <is>
          <t>Strategic Project Management - MSc</t>
        </is>
      </c>
      <c r="H1060" s="77" t="inlineStr">
        <is>
          <t>Modules</t>
        </is>
      </c>
      <c r="I1060" s="77" t="inlineStr">
        <is>
          <t>undated</t>
        </is>
      </c>
      <c r="J1060" s="77" t="inlineStr">
        <is>
          <t>2026-10-13</t>
        </is>
      </c>
      <c r="K1060" s="77" t="inlineStr">
        <is>
          <t>page text (WebFetch)</t>
        </is>
      </c>
      <c r="L1060" s="77" t="inlineStr">
        <is>
          <t>'The Strategic Project Management Challenge module connects students to organisational case studies and challenges them via a student consultancy experience.' 'Students will be working in small teams on a company problem presented to them'; 'their task will be to pitch a solution to the organization.' Listed under compulsory modules, Stage 1.</t>
        </is>
      </c>
    </row>
    <row r="1061">
      <c r="A1061" s="77" t="inlineStr">
        <is>
          <t>UK17-S01-R1</t>
        </is>
      </c>
      <c r="B1061" s="77" t="inlineStr">
        <is>
          <t>UK17</t>
        </is>
      </c>
      <c r="C1061" s="77" t="inlineStr">
        <is>
          <t>UK17-S01</t>
        </is>
      </c>
      <c r="D1061" s="77" t="inlineStr">
        <is>
          <t>BBS Co-Innovate Collaborative Student Projects</t>
        </is>
      </c>
      <c r="E1061" s="77" t="inlineStr">
        <is>
          <t>project; group; employer; reach</t>
        </is>
      </c>
      <c r="F1061" s="77" t="inlineStr">
        <is>
          <t>https://www.brunel.ac.uk/about/business-school/why-study-at-brunel-business-school/co-innovate/BBS-Co-Innovate-Collaborative-Projects</t>
        </is>
      </c>
      <c r="G1061" s="77" t="inlineStr">
        <is>
          <t>BBS Co-Innovate Collaborative Projects</t>
        </is>
      </c>
      <c r="H1061" s="77" t="inlineStr">
        <is>
          <t>project description</t>
        </is>
      </c>
      <c r="I1061" s="77" t="inlineStr">
        <is>
          <t>undated</t>
        </is>
      </c>
      <c r="J1061" s="77" t="inlineStr">
        <is>
          <t>2026-10-13</t>
        </is>
      </c>
      <c r="K1061" s="77" t="inlineStr">
        <is>
          <t>page text</t>
        </is>
      </c>
      <c r="L1061" s="77" t="inlineStr">
        <is>
          <t>"Businesses write a project brief based around a specific innovation challenge." "A contract is issued once a match is made." "The work is carried out over the academic year." "Complete a final report at the end of your project." "Projects can be undertaken either as an individual or in a small team of your student colleagues." "The duration of the project can last between 3 weeks to 3/5 months."</t>
        </is>
      </c>
    </row>
    <row r="1062">
      <c r="A1062" s="77" t="inlineStr">
        <is>
          <t>UK17-S02-R1</t>
        </is>
      </c>
      <c r="B1062" s="77" t="inlineStr">
        <is>
          <t>UK17</t>
        </is>
      </c>
      <c r="C1062" s="77" t="inlineStr">
        <is>
          <t>UK17-S02</t>
        </is>
      </c>
      <c r="D1062" s="77" t="inlineStr">
        <is>
          <t>BSc Business Management with Entrepreneurship: Issues and Controversies in Business and Management Project / Co-Innovate business project</t>
        </is>
      </c>
      <c r="E1062" s="77" t="inlineStr">
        <is>
          <t>project; employer; credit; reach</t>
        </is>
      </c>
      <c r="F1062" s="77" t="inlineStr">
        <is>
          <t>https://www.brunel.ac.uk/study/courses/business-management-with-entrepreneurship-bsc</t>
        </is>
      </c>
      <c r="G1062" s="77" t="inlineStr">
        <is>
          <t>Business Management with Entrepreneurship BSc (Hons)</t>
        </is>
      </c>
      <c r="H1062" s="77" t="inlineStr">
        <is>
          <t>final year modules</t>
        </is>
      </c>
      <c r="I1062" s="77" t="inlineStr">
        <is>
          <t>undated</t>
        </is>
      </c>
      <c r="J1062" s="77" t="inlineStr">
        <is>
          <t>2026-10-12</t>
        </is>
      </c>
      <c r="K1062" s="77" t="inlineStr">
        <is>
          <t>search-summary paraphrase</t>
        </is>
      </c>
      <c r="L1062" s="77" t="inlineStr">
        <is>
          <t>Final-year students can take a live business challenge for a London SME through Co-Innovate; strategic recommendations presented to the client's management team; final-year project can be an 8,000-word study or a Co-Innovate project (30 credits).</t>
        </is>
      </c>
    </row>
    <row r="1063">
      <c r="A1063" s="77" t="inlineStr">
        <is>
          <t>UK17-S03-R1</t>
        </is>
      </c>
      <c r="B1063" s="77" t="inlineStr">
        <is>
          <t>UK17</t>
        </is>
      </c>
      <c r="C1063" s="77" t="inlineStr">
        <is>
          <t>UK17-S03</t>
        </is>
      </c>
      <c r="D1063" s="77" t="inlineStr">
        <is>
          <t>MSc Project Management: Project Consultancy and Risk Management</t>
        </is>
      </c>
      <c r="E1063" s="77" t="inlineStr">
        <is>
          <t>project; employer; participation</t>
        </is>
      </c>
      <c r="F1063" s="77" t="inlineStr">
        <is>
          <t>https://www.brunel.ac.uk/study/courses/project-management-msc</t>
        </is>
      </c>
      <c r="G1063" s="77" t="inlineStr">
        <is>
          <t>Project Management MSc</t>
        </is>
      </c>
      <c r="H1063" s="77" t="inlineStr">
        <is>
          <t>modules</t>
        </is>
      </c>
      <c r="I1063" s="77" t="inlineStr">
        <is>
          <t>undated</t>
        </is>
      </c>
      <c r="J1063" s="77" t="inlineStr">
        <is>
          <t>2026-10-13</t>
        </is>
      </c>
      <c r="K1063" s="77" t="inlineStr">
        <is>
          <t>page text</t>
        </is>
      </c>
      <c r="L1063" s="77" t="inlineStr">
        <is>
          <t>Assessment includes "live consultancy projects and case study analyses" applied "to real organisational challenges"; "Group projects and presentations simulate the dynamics of real project teams." No clients named; page does not tie live projects to a specific module.</t>
        </is>
      </c>
    </row>
    <row r="1064">
      <c r="A1064" s="77" t="inlineStr">
        <is>
          <t>UK17-S04-R1</t>
        </is>
      </c>
      <c r="B1064" s="77" t="inlineStr">
        <is>
          <t>UK17</t>
        </is>
      </c>
      <c r="C1064" s="77" t="inlineStr">
        <is>
          <t>UK17-S04</t>
        </is>
      </c>
      <c r="D1064" s="77" t="inlineStr">
        <is>
          <t>Design+ (Brunel Design School) industry final-year projects / live briefs</t>
        </is>
      </c>
      <c r="E1064" s="77" t="inlineStr">
        <is>
          <t>project; employer</t>
        </is>
      </c>
      <c r="F1064" s="77" t="inlineStr">
        <is>
          <t>https://www.brunel.ac.uk/brunel-design-school/design-plus/design-plus</t>
        </is>
      </c>
      <c r="G1064" s="77" t="inlineStr">
        <is>
          <t>Design Plus</t>
        </is>
      </c>
      <c r="H1064" s="77" t="inlineStr">
        <is>
          <t>overview</t>
        </is>
      </c>
      <c r="I1064" s="77" t="inlineStr">
        <is>
          <t>undated</t>
        </is>
      </c>
      <c r="J1064" s="77" t="inlineStr">
        <is>
          <t>2026-10-13</t>
        </is>
      </c>
      <c r="K1064" s="77" t="inlineStr">
        <is>
          <t>page text</t>
        </is>
      </c>
      <c r="L1064" s="77" t="inlineStr">
        <is>
          <t>Businesses can "work with our students on their Final Year Project"; partners named: "Brompton Bikes, Hornby, BT and JLR"; running "since 2004". Page does not say whether projects are group or individual.</t>
        </is>
      </c>
    </row>
    <row r="1065">
      <c r="A1065" s="77" t="inlineStr">
        <is>
          <t>UK17-S05-R1</t>
        </is>
      </c>
      <c r="B1065" s="77" t="inlineStr">
        <is>
          <t>UK17</t>
        </is>
      </c>
      <c r="C1065" s="77" t="inlineStr">
        <is>
          <t>UK17-S05</t>
        </is>
      </c>
      <c r="D1065" s="77" t="inlineStr">
        <is>
          <t>Global Challenges BASc: Enterprise Project</t>
        </is>
      </c>
      <c r="E1065" s="77" t="inlineStr">
        <is>
          <t>project; group; employer; duration</t>
        </is>
      </c>
      <c r="F1065" s="77" t="inlineStr">
        <is>
          <t>https://www.brunel.ac.uk/study/courses/global-challenges-basc</t>
        </is>
      </c>
      <c r="G1065" s="77" t="inlineStr">
        <is>
          <t>Global Challenges BASc (Hons)</t>
        </is>
      </c>
      <c r="H1065" s="77" t="inlineStr">
        <is>
          <t>enterprise project</t>
        </is>
      </c>
      <c r="I1065" s="77" t="inlineStr">
        <is>
          <t>undated</t>
        </is>
      </c>
      <c r="J1065" s="77" t="inlineStr">
        <is>
          <t>2026-10-12</t>
        </is>
      </c>
      <c r="K1065" s="77" t="inlineStr">
        <is>
          <t>search-summary paraphrase</t>
        </is>
      </c>
      <c r="L1065" s="77" t="inlineStr">
        <is>
          <t>Third-year placement or group project over 8 weeks; group projects can be run with an NGO, policy organisation, think tank, government body or business.</t>
        </is>
      </c>
    </row>
    <row r="1066">
      <c r="A1066" s="77" t="inlineStr">
        <is>
          <t>UK17-S06-R1</t>
        </is>
      </c>
      <c r="B1066" s="77" t="inlineStr">
        <is>
          <t>UK17</t>
        </is>
      </c>
      <c r="C1066" s="77" t="inlineStr">
        <is>
          <t>UK17-S06</t>
        </is>
      </c>
      <c r="D1066" s="77" t="inlineStr">
        <is>
          <t>Enterprise Mobility Challenge</t>
        </is>
      </c>
      <c r="E1066" s="77" t="inlineStr">
        <is>
          <t>employer; duration; status</t>
        </is>
      </c>
      <c r="F1066" s="77" t="inlineStr">
        <is>
          <t>https://students.brunel.ac.uk/whats-on/enterprise-mobility-challenge-launch</t>
        </is>
      </c>
      <c r="G1066" s="77" t="inlineStr">
        <is>
          <t>Enterprise Mobility Challenge Launch</t>
        </is>
      </c>
      <c r="H1066" s="77" t="inlineStr">
        <is>
          <t>event</t>
        </is>
      </c>
      <c r="I1066" s="77" t="inlineStr">
        <is>
          <t>2025</t>
        </is>
      </c>
      <c r="J1066" s="77" t="inlineStr">
        <is>
          <t>2026-10-13</t>
        </is>
      </c>
      <c r="K1066" s="77" t="inlineStr">
        <is>
          <t>page text (truncated)</t>
        </is>
      </c>
      <c r="L1066" s="77" t="inlineStr">
        <is>
          <t>Event dated "Feb 3 2025 - 12:30"; fetched content truncated, no detail on teams, output or Enterprise role.</t>
        </is>
      </c>
    </row>
    <row r="1067">
      <c r="A1067" s="77" t="inlineStr">
        <is>
          <t>UK17-S07-R1</t>
        </is>
      </c>
      <c r="B1067" s="77" t="inlineStr">
        <is>
          <t>UK17</t>
        </is>
      </c>
      <c r="C1067" s="77" t="inlineStr">
        <is>
          <t>UK17-S07</t>
        </is>
      </c>
      <c r="D1067" s="77" t="inlineStr">
        <is>
          <t>MSc Integrated Product Design / Sustainability, Entrepreneurship and Design: studio projects with industry partners</t>
        </is>
      </c>
      <c r="E1067" s="77" t="inlineStr">
        <is>
          <t>project; employer</t>
        </is>
      </c>
      <c r="F1067" s="77" t="inlineStr">
        <is>
          <t>https://www.brunel.ac.uk/study/courses/sustainability-entrepreneurship-and-design-msc</t>
        </is>
      </c>
      <c r="G1067" s="77" t="inlineStr">
        <is>
          <t>Sustainability, Entrepreneurship and Design MSc</t>
        </is>
      </c>
      <c r="H1067" s="77" t="inlineStr">
        <is>
          <t>course overview</t>
        </is>
      </c>
      <c r="I1067" s="77" t="inlineStr">
        <is>
          <t>undated</t>
        </is>
      </c>
      <c r="J1067" s="77" t="inlineStr">
        <is>
          <t>2026-10-12</t>
        </is>
      </c>
      <c r="K1067" s="77" t="inlineStr">
        <is>
          <t>search-summary paraphrase</t>
        </is>
      </c>
      <c r="L1067" s="77" t="inlineStr">
        <is>
          <t>Studio design projects include both academic and live projects offered by industry partners.</t>
        </is>
      </c>
    </row>
    <row r="1068">
      <c r="A1068" s="77" t="inlineStr">
        <is>
          <t>UK17-S08-R1</t>
        </is>
      </c>
      <c r="B1068" s="77" t="inlineStr">
        <is>
          <t>UK17</t>
        </is>
      </c>
      <c r="C1068" s="77" t="inlineStr">
        <is>
          <t>UK17-S08</t>
        </is>
      </c>
      <c r="D1068" s="77" t="inlineStr">
        <is>
          <t>Human Geography and Anthropology BSc: Leadership for Change (GY3603)</t>
        </is>
      </c>
      <c r="E1068" s="77" t="inlineStr">
        <is>
          <t>project; group; employer</t>
        </is>
      </c>
      <c r="F1068" s="77" t="inlineStr">
        <is>
          <t>https://www.brunel.ac.uk/study/courses/human-geography-and-anthropology-bsc</t>
        </is>
      </c>
      <c r="G1068" s="77" t="inlineStr">
        <is>
          <t>Human Geography and Anthropology BSc (Hons)</t>
        </is>
      </c>
      <c r="H1068" s="77" t="inlineStr">
        <is>
          <t>Year 3 modules / Careers</t>
        </is>
      </c>
      <c r="I1068" s="77" t="inlineStr">
        <is>
          <t>undated</t>
        </is>
      </c>
      <c r="J1068" s="77" t="inlineStr">
        <is>
          <t>2026-10-13</t>
        </is>
      </c>
      <c r="K1068" s="77" t="inlineStr">
        <is>
          <t>page text</t>
        </is>
      </c>
      <c r="L1068" s="77" t="inlineStr">
        <is>
          <t>"work with other students and with a community organisation on a project"</t>
        </is>
      </c>
    </row>
    <row r="1069">
      <c r="A1069" s="77" t="inlineStr">
        <is>
          <t>UK18-S01-R1</t>
        </is>
      </c>
      <c r="B1069" s="77" t="inlineStr">
        <is>
          <t>UK18</t>
        </is>
      </c>
      <c r="C1069" s="77" t="inlineStr">
        <is>
          <t>UK18-S01</t>
        </is>
      </c>
      <c r="D1069" s="77" t="inlineStr">
        <is>
          <t>Aston Global Advantage (postgraduate taught)</t>
        </is>
      </c>
      <c r="E1069" s="77" t="inlineStr">
        <is>
          <t>project; group; employer; reach; eligibility; participation</t>
        </is>
      </c>
      <c r="F1069" s="77" t="inlineStr">
        <is>
          <t>https://www.aston.ac.uk/postgraduate/aston-global-advantage</t>
        </is>
      </c>
      <c r="G1069" s="77" t="inlineStr">
        <is>
          <t>Aston Global Advantage</t>
        </is>
      </c>
      <c r="H1069" s="77" t="inlineStr">
        <is>
          <t>Main page</t>
        </is>
      </c>
      <c r="I1069" s="77" t="inlineStr">
        <is>
          <t>undated</t>
        </is>
      </c>
      <c r="J1069" s="77" t="inlineStr">
        <is>
          <t>2026-10-13</t>
        </is>
      </c>
      <c r="K1069" s="77" t="inlineStr">
        <is>
          <t>page text (WebFetch, summarised by fetch tool)</t>
        </is>
      </c>
      <c r="L1069" s="77" t="inlineStr">
        <is>
          <t>Lists 'Team and project-based challenges'; 'Employer engagement, live briefs or case studies'; 'a distinctive part of every postgraduate taught programme'; tells students to check course page; not MBA or MRes (fetch-tool summary of page).</t>
        </is>
      </c>
    </row>
    <row r="1070">
      <c r="A1070" s="77" t="inlineStr">
        <is>
          <t>UK18-S02-R1</t>
        </is>
      </c>
      <c r="B1070" s="77" t="inlineStr">
        <is>
          <t>UK18</t>
        </is>
      </c>
      <c r="C1070" s="77" t="inlineStr">
        <is>
          <t>UK18-S02</t>
        </is>
      </c>
      <c r="D1070" s="77" t="inlineStr">
        <is>
          <t>Aston Business Clinic (ABC Originals; ABC for Placement)</t>
        </is>
      </c>
      <c r="E1070" s="77" t="inlineStr">
        <is>
          <t>project; group; employer; eligibility; duration; status</t>
        </is>
      </c>
      <c r="F1070" s="77" t="inlineStr">
        <is>
          <t>https://www.aston.ac.uk/research/bss/research-centres/centre-enterprise-coaching-and-innovation/business-clinic</t>
        </is>
      </c>
      <c r="G1070" s="77" t="inlineStr">
        <is>
          <t>Aston Business Clinic</t>
        </is>
      </c>
      <c r="H1070" s="77" t="inlineStr">
        <is>
          <t>Main page</t>
        </is>
      </c>
      <c r="I1070" s="77" t="inlineStr">
        <is>
          <t>undated</t>
        </is>
      </c>
      <c r="J1070" s="77" t="inlineStr">
        <is>
          <t>2026-10-13</t>
        </is>
      </c>
      <c r="K1070" s="77" t="inlineStr">
        <is>
          <t>page text (WebFetch, summarised by fetch tool)</t>
        </is>
      </c>
      <c r="L1070" s="77" t="inlineStr">
        <is>
          <t>Teams work on real-world consultancy projects proposing solutions to real-life business challenges; clients are local, regional and national businesses and charities; ABC Originals 8 weeks (Masters), ABC for Placement 20-30 weeks (undergraduate); 200+ students and 50 businesses since 2020 (fetch-tool summary).</t>
        </is>
      </c>
    </row>
    <row r="1071">
      <c r="A1071" s="77" t="inlineStr">
        <is>
          <t>UK18-S02-R2</t>
        </is>
      </c>
      <c r="B1071" s="77" t="inlineStr">
        <is>
          <t>UK18</t>
        </is>
      </c>
      <c r="C1071" s="77" t="inlineStr">
        <is>
          <t>UK18-S02</t>
        </is>
      </c>
      <c r="D1071" s="77" t="inlineStr">
        <is>
          <t>Aston Business Clinic (ABC Originals; ABC for Placement)</t>
        </is>
      </c>
      <c r="E1071" s="77" t="inlineStr">
        <is>
          <t>eligibility; credit</t>
        </is>
      </c>
      <c r="F1071" s="77" t="inlineStr">
        <is>
          <t>https://www.aston.ac.uk/bss/aston-business-school/student-experience/do-business</t>
        </is>
      </c>
      <c r="G1071" s="77" t="inlineStr">
        <is>
          <t>Learn Business Do Business</t>
        </is>
      </c>
      <c r="H1071" s="77" t="inlineStr">
        <is>
          <t>Business Clinic</t>
        </is>
      </c>
      <c r="I1071" s="77" t="inlineStr">
        <is>
          <t>undated</t>
        </is>
      </c>
      <c r="J1071" s="77" t="inlineStr">
        <is>
          <t>2026-10-13</t>
        </is>
      </c>
      <c r="K1071" s="77" t="inlineStr">
        <is>
          <t>page text (WebFetch, summarised by fetch tool)</t>
        </is>
      </c>
      <c r="L1071" s="77" t="inlineStr">
        <is>
          <t>Business Clinic 'open to all Postgraduate students'; participants act as Lead Advisors or Advisors and can use the work for academic assignments (fetch-tool summary).</t>
        </is>
      </c>
    </row>
    <row r="1072">
      <c r="A1072" s="77" t="inlineStr">
        <is>
          <t>UK18-S03-R1</t>
        </is>
      </c>
      <c r="B1072" s="77" t="inlineStr">
        <is>
          <t>UK18</t>
        </is>
      </c>
      <c r="C1072" s="77" t="inlineStr">
        <is>
          <t>UK18-S03</t>
        </is>
      </c>
      <c r="D1072" s="77" t="inlineStr">
        <is>
          <t>Interdisciplinary Collaborative Project (Aston Global Advantage module, Aston London)</t>
        </is>
      </c>
      <c r="E1072" s="77" t="inlineStr">
        <is>
          <t>project; group; employer; eligibility</t>
        </is>
      </c>
      <c r="F1072" s="77" t="inlineStr">
        <is>
          <t>https://www.aston.ac.uk/london/interdisciplinary-collaborative-project</t>
        </is>
      </c>
      <c r="G1072" s="77" t="inlineStr">
        <is>
          <t>Interdisciplinary Collaborative Project</t>
        </is>
      </c>
      <c r="H1072" s="77" t="inlineStr">
        <is>
          <t>Module page</t>
        </is>
      </c>
      <c r="I1072" s="77" t="inlineStr">
        <is>
          <t>undated</t>
        </is>
      </c>
      <c r="J1072" s="77" t="inlineStr">
        <is>
          <t>2026-10-13</t>
        </is>
      </c>
      <c r="K1072" s="77" t="inlineStr">
        <is>
          <t>page text (WebFetch, summarised by fetch tool)</t>
        </is>
      </c>
      <c r="L1072" s="77" t="inlineStr">
        <is>
          <t>'culminates in two assessed business challenges set by external organisations'; teams of students from Business Innovation and Digital Technologies pathways with industry experts (fetch-tool summary).</t>
        </is>
      </c>
    </row>
    <row r="1073">
      <c r="A1073" s="77" t="inlineStr">
        <is>
          <t>UK18-S04-R1</t>
        </is>
      </c>
      <c r="B1073" s="77" t="inlineStr">
        <is>
          <t>UK18</t>
        </is>
      </c>
      <c r="C1073" s="77" t="inlineStr">
        <is>
          <t>UK18-S04</t>
        </is>
      </c>
      <c r="D1073" s="77" t="inlineStr">
        <is>
          <t>Start-Up Sprint / Consultancy Project 1 and Growth Challenge / Consultancy Project 2 (BSc Business Enterprise and Innovation)</t>
        </is>
      </c>
      <c r="E1073" s="77" t="inlineStr">
        <is>
          <t>project; group; employer; credit; participation</t>
        </is>
      </c>
      <c r="F1073" s="77" t="inlineStr">
        <is>
          <t>https://www.aston.ac.uk/study/courses/business-enterprise-innovation-bsc</t>
        </is>
      </c>
      <c r="G1073" s="77" t="inlineStr">
        <is>
          <t>Business Enterprise and Innovation (BSc)</t>
        </is>
      </c>
      <c r="H1073" s="77" t="inlineStr">
        <is>
          <t>Modules</t>
        </is>
      </c>
      <c r="I1073" s="77" t="inlineStr">
        <is>
          <t>undated</t>
        </is>
      </c>
      <c r="J1073" s="77" t="inlineStr">
        <is>
          <t>2026-10-13</t>
        </is>
      </c>
      <c r="K1073" s="77" t="inlineStr">
        <is>
          <t>page text (WebFetch, summarised by fetch tool)</t>
        </is>
      </c>
      <c r="L1073" s="77" t="inlineStr">
        <is>
          <t>Year 1 Start-Up Sprint / Consultancy Project 1, 30 credits, core: 'in teams on a live or simulated organisational challenge'; Year 2 Growth Challenge / Consultancy Project 2, 30 credits, core (fetch-tool summary).</t>
        </is>
      </c>
    </row>
    <row r="1074">
      <c r="A1074" s="77" t="inlineStr">
        <is>
          <t>UK19-S01-R1</t>
        </is>
      </c>
      <c r="B1074" s="77" t="inlineStr">
        <is>
          <t>UK19</t>
        </is>
      </c>
      <c r="C1074" s="77" t="inlineStr">
        <is>
          <t>UK19-S01</t>
        </is>
      </c>
      <c r="D1074" s="77" t="inlineStr">
        <is>
          <t>MSc Marketing: Consultancy Project</t>
        </is>
      </c>
      <c r="E1074" s="77" t="inlineStr">
        <is>
          <t>project; group; employer; participation; status</t>
        </is>
      </c>
      <c r="F1074" s="77" t="inlineStr">
        <is>
          <t>https://www.stir.ac.uk/courses/pg-taught/marketing/</t>
        </is>
      </c>
      <c r="G1074" s="77" t="inlineStr">
        <is>
          <t>MSc Marketing</t>
        </is>
      </c>
      <c r="H1074" s="77" t="inlineStr">
        <is>
          <t>Course page</t>
        </is>
      </c>
      <c r="I1074" s="77" t="inlineStr">
        <is>
          <t>undated</t>
        </is>
      </c>
      <c r="J1074" s="77" t="inlineStr">
        <is>
          <t>2026-10-13</t>
        </is>
      </c>
      <c r="K1074" s="77" t="inlineStr">
        <is>
          <t>WebFetch page-text (summarised by fetch tool)</t>
        </is>
      </c>
      <c r="L1074" s="77" t="inlineStr">
        <is>
          <t>'Students work on consultancy projects with external clients over the summer.' 'Each group has a client organisation that sets a real-world task.' Described as 'our core Consultancy Project module for over twenty years.' Page lists past clients.</t>
        </is>
      </c>
    </row>
    <row r="1075">
      <c r="A1075" s="77" t="inlineStr">
        <is>
          <t>UK19-S02-R1</t>
        </is>
      </c>
      <c r="B1075" s="77" t="inlineStr">
        <is>
          <t>UK19</t>
        </is>
      </c>
      <c r="C1075" s="77" t="inlineStr">
        <is>
          <t>UK19-S02</t>
        </is>
      </c>
      <c r="D1075" s="77" t="inlineStr">
        <is>
          <t>MSc Digital Marketing and Brand Management: Consultancy Project</t>
        </is>
      </c>
      <c r="E1075" s="77" t="inlineStr">
        <is>
          <t>project; group; employer; status</t>
        </is>
      </c>
      <c r="F1075" s="77" t="inlineStr">
        <is>
          <t>https://www.stir.ac.uk/courses/pg-taught/digital-marketing-brand-management/</t>
        </is>
      </c>
      <c r="G1075" s="77" t="inlineStr">
        <is>
          <t>MSc Digital Marketing and Brand Management</t>
        </is>
      </c>
      <c r="H1075" s="77" t="inlineStr">
        <is>
          <t>Course page</t>
        </is>
      </c>
      <c r="I1075" s="77" t="inlineStr">
        <is>
          <t>undated</t>
        </is>
      </c>
      <c r="J1075" s="77" t="inlineStr">
        <is>
          <t>2026-10-13</t>
        </is>
      </c>
      <c r="K1075" s="77" t="inlineStr">
        <is>
          <t>WebFetch page-text (summarised by fetch tool)</t>
        </is>
      </c>
      <c r="L1075" s="77" t="inlineStr">
        <is>
          <t>'Each group has a client organisation that sets a real-world task'; 'live' marketing topic; 'Students have recently worked on projects with: Strathearn Strategic Consulting, Stirling Albion Football Club, EASA Training Ltd, Snowsports Scotland'.</t>
        </is>
      </c>
    </row>
    <row r="1076">
      <c r="A1076" s="77" t="inlineStr">
        <is>
          <t>UK19-S03-R1</t>
        </is>
      </c>
      <c r="B1076" s="77" t="inlineStr">
        <is>
          <t>UK19</t>
        </is>
      </c>
      <c r="C1076" s="77" t="inlineStr">
        <is>
          <t>UK19-S03</t>
        </is>
      </c>
      <c r="D1076" s="77" t="inlineStr">
        <is>
          <t>Management Student Consultancy Projects (summer elective on Masters programmes)</t>
        </is>
      </c>
      <c r="E1076" s="77" t="inlineStr">
        <is>
          <t>project; employer; eligibility; participation</t>
        </is>
      </c>
      <c r="F1076" s="77" t="inlineStr">
        <is>
          <t>https://www.stir.ac.uk/about/faculties/stirling-business-school/your-future-career/consultancy-projects/</t>
        </is>
      </c>
      <c r="G1076" s="77" t="inlineStr">
        <is>
          <t>Management Student Consultancy projects</t>
        </is>
      </c>
      <c r="H1076" s="77" t="inlineStr">
        <is>
          <t>Student page</t>
        </is>
      </c>
      <c r="I1076" s="77" t="inlineStr">
        <is>
          <t>undated</t>
        </is>
      </c>
      <c r="J1076" s="77" t="inlineStr">
        <is>
          <t>2026-10-13</t>
        </is>
      </c>
      <c r="K1076" s="77" t="inlineStr">
        <is>
          <t>WebFetch page-text (summarised by fetch tool)</t>
        </is>
      </c>
      <c r="L1076" s="77" t="inlineStr">
        <is>
          <t>Each student 'matched with a business that is looking for a solution to a problem or a new perspective on a strategy'; summer project June to September; elective on listed MSc programmes.</t>
        </is>
      </c>
    </row>
    <row r="1077">
      <c r="A1077" s="77" t="inlineStr">
        <is>
          <t>UK19-S03-R2</t>
        </is>
      </c>
      <c r="B1077" s="77" t="inlineStr">
        <is>
          <t>UK19</t>
        </is>
      </c>
      <c r="C1077" s="77" t="inlineStr">
        <is>
          <t>UK19-S03</t>
        </is>
      </c>
      <c r="D1077" s="77" t="inlineStr">
        <is>
          <t>Management Student Consultancy Projects (summer elective on Masters programmes)</t>
        </is>
      </c>
      <c r="E1077" s="77" t="inlineStr">
        <is>
          <t>group; employer; eligibility</t>
        </is>
      </c>
      <c r="F1077" s="77" t="inlineStr">
        <is>
          <t>https://www.stir.ac.uk/student-life/careers/employers/recruiting-our-students/student-projects/business-projects/</t>
        </is>
      </c>
      <c r="G1077" s="77" t="inlineStr">
        <is>
          <t>Business projects (Careers employer page)</t>
        </is>
      </c>
      <c r="H1077" s="77" t="inlineStr">
        <is>
          <t>Employer page</t>
        </is>
      </c>
      <c r="I1077" s="77" t="inlineStr">
        <is>
          <t>undated</t>
        </is>
      </c>
      <c r="J1077" s="77" t="inlineStr">
        <is>
          <t>2026-10-13</t>
        </is>
      </c>
      <c r="K1077" s="77" t="inlineStr">
        <is>
          <t>WebFetch page-text (summarised by fetch tool)</t>
        </is>
      </c>
      <c r="L1077" s="77" t="inlineStr">
        <is>
          <t>'a consultancy project with either an individual or group'; proposals from micro-businesses, charities, social enterprises to multinationals and government; client provides organisation mentor; university supervisor; coursework so no employment costs; proposals by end of February.</t>
        </is>
      </c>
    </row>
    <row r="1078">
      <c r="A1078" s="77" t="inlineStr">
        <is>
          <t>UK19-S04-R1</t>
        </is>
      </c>
      <c r="B1078" s="77" t="inlineStr">
        <is>
          <t>UK19</t>
        </is>
      </c>
      <c r="C1078" s="77" t="inlineStr">
        <is>
          <t>UK19-S04</t>
        </is>
      </c>
      <c r="D1078" s="77" t="inlineStr">
        <is>
          <t>MANP005 Business Consulting</t>
        </is>
      </c>
      <c r="E1078" s="77" t="inlineStr">
        <is>
          <t>project; group; employer; credit; status</t>
        </is>
      </c>
      <c r="F1078" s="77" t="inlineStr">
        <is>
          <t>https://www.stir.ac.uk/courses/module/?code=MANP005&amp;session=2026/7&amp;semester=SPR</t>
        </is>
      </c>
      <c r="G1078" s="77" t="inlineStr">
        <is>
          <t>Business Consulting (MANP005)</t>
        </is>
      </c>
      <c r="H1078" s="77" t="inlineStr">
        <is>
          <t>Module page</t>
        </is>
      </c>
      <c r="I1078" s="77" t="inlineStr">
        <is>
          <t>2026/7</t>
        </is>
      </c>
      <c r="J1078" s="77" t="inlineStr">
        <is>
          <t>2026-10-13</t>
        </is>
      </c>
      <c r="K1078" s="77" t="inlineStr">
        <is>
          <t>WebFetch page-text (summarised by fetch tool)</t>
        </is>
      </c>
      <c r="L1078" s="77" t="inlineStr">
        <is>
          <t>20 SCQF credits, level 11; aims: 'solve a business challenge relevant to an external client organisation'; 'enhancing their team working skills'. Assessment section empty.</t>
        </is>
      </c>
    </row>
    <row r="1079">
      <c r="A1079" s="77" t="inlineStr">
        <is>
          <t>UK20-S01-R1</t>
        </is>
      </c>
      <c r="B1079" s="77" t="inlineStr">
        <is>
          <t>UK20</t>
        </is>
      </c>
      <c r="C1079" s="77" t="inlineStr">
        <is>
          <t>UK20-S01</t>
        </is>
      </c>
      <c r="D1079" s="77" t="inlineStr">
        <is>
          <t>SOAS Virtual Industry Project</t>
        </is>
      </c>
      <c r="E1079" s="77" t="inlineStr">
        <is>
          <t>project; group; employer; reach; eligibility; participation; duration</t>
        </is>
      </c>
      <c r="F1079" s="77" t="inlineStr">
        <is>
          <t>https://www.soas.ac.uk/soas-virtual-industry-project</t>
        </is>
      </c>
      <c r="G1079" s="77" t="inlineStr">
        <is>
          <t>SOAS Virtual Industry Project</t>
        </is>
      </c>
      <c r="H1079" s="77" t="inlineStr">
        <is>
          <t>Main page</t>
        </is>
      </c>
      <c r="I1079" s="77" t="inlineStr">
        <is>
          <t>undated</t>
        </is>
      </c>
      <c r="J1079" s="77" t="inlineStr">
        <is>
          <t>2026-10-13</t>
        </is>
      </c>
      <c r="K1079" s="77" t="inlineStr">
        <is>
          <t>page text (WebFetch)</t>
        </is>
      </c>
      <c r="L1079" s="77" t="inlineStr">
        <is>
          <t>'offers all second and final year undergraduates the opportunity to participate in a 2-week virtual industry project'; 'a project brief from an employer (one unique brief/organisation per team)'; 'Each year the programme supports 100 student places'; 25 hours over 2 weeks in semester 2; two compulsory workshops.</t>
        </is>
      </c>
    </row>
    <row r="1080">
      <c r="A1080" s="77" t="inlineStr">
        <is>
          <t>UK20-S01-R2</t>
        </is>
      </c>
      <c r="B1080" s="77" t="inlineStr">
        <is>
          <t>UK20</t>
        </is>
      </c>
      <c r="C1080" s="77" t="inlineStr">
        <is>
          <t>UK20-S01</t>
        </is>
      </c>
      <c r="D1080" s="77" t="inlineStr">
        <is>
          <t>SOAS Virtual Industry Project</t>
        </is>
      </c>
      <c r="E1080" s="77" t="inlineStr">
        <is>
          <t>project; employer; status; participation</t>
        </is>
      </c>
      <c r="F1080" s="77" t="inlineStr">
        <is>
          <t>https://www.soas.ac.uk/about/news/students-build-real-life-employment-skills-through-online-industry-placements</t>
        </is>
      </c>
      <c r="G1080" s="77" t="inlineStr">
        <is>
          <t>Students build real-life employment skills through online industry placements</t>
        </is>
      </c>
      <c r="H1080" s="77" t="inlineStr">
        <is>
          <t>News</t>
        </is>
      </c>
      <c r="I1080" s="77" t="inlineStr">
        <is>
          <t>2025-03-20</t>
        </is>
      </c>
      <c r="J1080" s="77" t="inlineStr">
        <is>
          <t>2026-10-13</t>
        </is>
      </c>
      <c r="K1080" s="77" t="inlineStr">
        <is>
          <t>page text (WebFetch)</t>
        </is>
      </c>
      <c r="L1080" s="77" t="inlineStr">
        <is>
          <t>Dated 20 March 2025: 100 SOAS students; clients 'startups, SMEs and NGOs' (c.15); each team researches a brief and presents recommendations in 'a final report'.</t>
        </is>
      </c>
    </row>
    <row r="1081">
      <c r="A1081" s="77" t="inlineStr">
        <is>
          <t>UK20-S01-R3</t>
        </is>
      </c>
      <c r="B1081" s="77" t="inlineStr">
        <is>
          <t>UK20</t>
        </is>
      </c>
      <c r="C1081" s="77" t="inlineStr">
        <is>
          <t>UK20-S01</t>
        </is>
      </c>
      <c r="D1081" s="77" t="inlineStr">
        <is>
          <t>SOAS Virtual Industry Project</t>
        </is>
      </c>
      <c r="E1081" s="77" t="inlineStr">
        <is>
          <t>group; reach</t>
        </is>
      </c>
      <c r="F1081" s="77" t="inlineStr">
        <is>
          <t>https://www.soas.ac.uk/work-aligned-learning-soas</t>
        </is>
      </c>
      <c r="G1081" s="77" t="inlineStr">
        <is>
          <t>Work-aligned learning at SOAS</t>
        </is>
      </c>
      <c r="H1081" s="77" t="inlineStr">
        <is>
          <t>Group projects</t>
        </is>
      </c>
      <c r="I1081" s="77" t="inlineStr">
        <is>
          <t>undated</t>
        </is>
      </c>
      <c r="J1081" s="77" t="inlineStr">
        <is>
          <t>2026-10-13</t>
        </is>
      </c>
      <c r="K1081" s="77" t="inlineStr">
        <is>
          <t>page text (WebFetch)</t>
        </is>
      </c>
      <c r="L1081" s="77" t="inlineStr">
        <is>
          <t>Virtual industry projects: 'Work in small teams on a two-week intensive project responding to an employer brief.' Open to undergraduates from any discipline.</t>
        </is>
      </c>
    </row>
    <row r="1082">
      <c r="A1082" s="77" t="inlineStr">
        <is>
          <t>UK20-S02-R1</t>
        </is>
      </c>
      <c r="B1082" s="77" t="inlineStr">
        <is>
          <t>UK20</t>
        </is>
      </c>
      <c r="C1082" s="77" t="inlineStr">
        <is>
          <t>UK20-S02</t>
        </is>
      </c>
      <c r="D1082" s="77" t="inlineStr">
        <is>
          <t>Practical Industry Project (Practera Virtual Industry Experience), MSc Finance / MSc International Business</t>
        </is>
      </c>
      <c r="E1082" s="77" t="inlineStr">
        <is>
          <t>project; group; employer; credit; eligibility; participation</t>
        </is>
      </c>
      <c r="F1082" s="77" t="inlineStr">
        <is>
          <t>https://www.soas.ac.uk/study/find-course/msc-finance</t>
        </is>
      </c>
      <c r="G1082" s="77" t="inlineStr">
        <is>
          <t>MSc Finance</t>
        </is>
      </c>
      <c r="H1082" s="77" t="inlineStr">
        <is>
          <t>Dissertation/projects element</t>
        </is>
      </c>
      <c r="I1082" s="77" t="inlineStr">
        <is>
          <t>undated</t>
        </is>
      </c>
      <c r="J1082" s="77" t="inlineStr">
        <is>
          <t>2026-10-13</t>
        </is>
      </c>
      <c r="K1082" s="77" t="inlineStr">
        <is>
          <t>search-summary paraphrase (page fetch 403)</t>
        </is>
      </c>
      <c r="L1082" s="77" t="inlineStr">
        <is>
          <t>Search result states: dissertation-or-projects element combines Research Project (30 credits) and Practical Industry Project (30 credits); embedded Practera Virtual Industry Experience where students work in a team on a real-world client brief then complete an individual assessment; groups of 5-6 students on a specific client brief; Practera supervises and hosts group and client meetings.</t>
        </is>
      </c>
    </row>
    <row r="1083">
      <c r="A1083" s="77" t="inlineStr">
        <is>
          <t>UK20-S03-R1</t>
        </is>
      </c>
      <c r="B1083" s="77" t="inlineStr">
        <is>
          <t>UK20</t>
        </is>
      </c>
      <c r="C1083" s="77" t="inlineStr">
        <is>
          <t>UK20-S03</t>
        </is>
      </c>
      <c r="D1083" s="77" t="inlineStr">
        <is>
          <t>International Development Placement (virtual group placement with partner organisations)</t>
        </is>
      </c>
      <c r="E1083" s="77" t="inlineStr">
        <is>
          <t>group; employer; credit; participation; eligibility</t>
        </is>
      </c>
      <c r="F1083" s="77" t="inlineStr">
        <is>
          <t>https://www.soas.ac.uk/study/find-course/msc-global-development</t>
        </is>
      </c>
      <c r="G1083" s="77" t="inlineStr">
        <is>
          <t>MSc Global Development</t>
        </is>
      </c>
      <c r="H1083" s="77" t="inlineStr">
        <is>
          <t>Module options</t>
        </is>
      </c>
      <c r="I1083" s="77" t="inlineStr">
        <is>
          <t>undated</t>
        </is>
      </c>
      <c r="J1083" s="77" t="inlineStr">
        <is>
          <t>2026-10-13</t>
        </is>
      </c>
      <c r="K1083" s="77" t="inlineStr">
        <is>
          <t>page text (WebFetch)</t>
        </is>
      </c>
      <c r="L1083" s="77" t="inlineStr">
        <is>
          <t>'The core activity is centred on students working in groups with development-orientated partner organisations (POs).' 'Each student will enter into a Placement Agreement with a partner organisation consisting of 40 hours of work spread over February and March in term 2.' 'Students will be allocated to Partner Organisations in teams varying in size from 2-9 students.' 'Numbers in this module are capped to 75 students due to limited availability.' Listed '15 credits Open'.</t>
        </is>
      </c>
    </row>
    <row r="1084">
      <c r="A1084" s="77" t="inlineStr">
        <is>
          <t>UK20-S04-R1</t>
        </is>
      </c>
      <c r="B1084" s="77" t="inlineStr">
        <is>
          <t>UK20</t>
        </is>
      </c>
      <c r="C1084" s="77" t="inlineStr">
        <is>
          <t>UK20-S04</t>
        </is>
      </c>
      <c r="D1084" s="77" t="inlineStr">
        <is>
          <t>Student Consultancy Project (SOAS Careers, employer-set)</t>
        </is>
      </c>
      <c r="E1084" s="77" t="inlineStr">
        <is>
          <t>project; employer</t>
        </is>
      </c>
      <c r="F1084" s="77" t="inlineStr">
        <is>
          <t>https://www.soas.ac.uk/services-employers</t>
        </is>
      </c>
      <c r="G1084" s="77" t="inlineStr">
        <is>
          <t>Services to employers</t>
        </is>
      </c>
      <c r="H1084" s="77" t="inlineStr">
        <is>
          <t>Student Consultancy Project</t>
        </is>
      </c>
      <c r="I1084" s="77" t="inlineStr">
        <is>
          <t>undated</t>
        </is>
      </c>
      <c r="J1084" s="77" t="inlineStr">
        <is>
          <t>2026-10-13</t>
        </is>
      </c>
      <c r="K1084" s="77" t="inlineStr">
        <is>
          <t>page text (WebFetch)</t>
        </is>
      </c>
      <c r="L1084" s="77" t="inlineStr">
        <is>
          <t>'Our Student Consultancy Projects give employers the opportunity to set a short, real-world challenge for students to explore.' 'You provide a brief outlining a small challenge or strategic question.' 'Students then research, analyse and develop recommendations with academic or careers support.' 'you can review student presentations or allow our team to assess on your behalf.'</t>
        </is>
      </c>
    </row>
    <row r="1085">
      <c r="A1085" s="77" t="inlineStr">
        <is>
          <t>UK21-S01-R1</t>
        </is>
      </c>
      <c r="B1085" s="77" t="inlineStr">
        <is>
          <t>UK21</t>
        </is>
      </c>
      <c r="C1085" s="77" t="inlineStr">
        <is>
          <t>UK21-S01</t>
        </is>
      </c>
      <c r="D1085" s="77" t="inlineStr">
        <is>
          <t>The Consultancy Challenge (MSc Management Consultancy and Organisational Change)</t>
        </is>
      </c>
      <c r="E1085" s="77" t="inlineStr">
        <is>
          <t>project; group; employer; credit; eligibility; participation</t>
        </is>
      </c>
      <c r="F1085" s="77" t="inlineStr">
        <is>
          <t>https://www.bbk.ac.uk/courses/modules/buob/BUOB063D7</t>
        </is>
      </c>
      <c r="G1085" s="77" t="inlineStr">
        <is>
          <t>The Consultancy Challenge</t>
        </is>
      </c>
      <c r="H1085" s="77" t="inlineStr">
        <is>
          <t>Module page</t>
        </is>
      </c>
      <c r="I1085" s="77" t="inlineStr">
        <is>
          <t>undated</t>
        </is>
      </c>
      <c r="J1085" s="77" t="inlineStr">
        <is>
          <t>2026-10-13</t>
        </is>
      </c>
      <c r="K1085" s="77" t="inlineStr">
        <is>
          <t>page text (WebFetch)</t>
        </is>
      </c>
      <c r="L1085" s="77" t="inlineStr">
        <is>
          <t>'you complete a client-facing consultancy project for real clients'; 'This year we will be partnering with PA Consulting to work with their clients'; 60 credits Level 7; assessment: group presentation status reports (35%), 5000-word group summary report (35%), 3000-word self-reflective essay (30%); 'Entry to The Consultancy Challenge module is selective.'</t>
        </is>
      </c>
    </row>
    <row r="1086">
      <c r="A1086" s="77" t="inlineStr">
        <is>
          <t>UK21-S01-R2</t>
        </is>
      </c>
      <c r="B1086" s="77" t="inlineStr">
        <is>
          <t>UK21</t>
        </is>
      </c>
      <c r="C1086" s="77" t="inlineStr">
        <is>
          <t>UK21-S01</t>
        </is>
      </c>
      <c r="D1086" s="77" t="inlineStr">
        <is>
          <t>The Consultancy Challenge (MSc Management Consultancy and Organisational Change)</t>
        </is>
      </c>
      <c r="E1086" s="77" t="inlineStr">
        <is>
          <t>project; employer; eligibility; participation; status</t>
        </is>
      </c>
      <c r="F1086" s="77" t="inlineStr">
        <is>
          <t>https://www.bbk.ac.uk/courses/postgraduate/management-consultancy-and-organisational-change</t>
        </is>
      </c>
      <c r="G1086" s="77" t="inlineStr">
        <is>
          <t>Management Consultancy and Organisational Change</t>
        </is>
      </c>
      <c r="H1086" s="77" t="inlineStr">
        <is>
          <t>Programme page</t>
        </is>
      </c>
      <c r="I1086" s="77" t="inlineStr">
        <is>
          <t>undated (October 2027 entry shown)</t>
        </is>
      </c>
      <c r="J1086" s="77" t="inlineStr">
        <is>
          <t>2026-10-13</t>
        </is>
      </c>
      <c r="K1086" s="77" t="inlineStr">
        <is>
          <t>page text (WebFetch)</t>
        </is>
      </c>
      <c r="L1086" s="77" t="inlineStr">
        <is>
          <t>'a live client project with feedback and mentorship from PA Consulting'; 'working with real clients, such as Defra and the RSPCA'; 12-week project; project choice: consultancy challenge or individual research project; 'Places on The Consultancy Challenge are limited and subject to entry criteria.'</t>
        </is>
      </c>
    </row>
    <row r="1087">
      <c r="A1087" s="77" t="inlineStr">
        <is>
          <t>UK21-S01-R3</t>
        </is>
      </c>
      <c r="B1087" s="77" t="inlineStr">
        <is>
          <t>UK21</t>
        </is>
      </c>
      <c r="C1087" s="77" t="inlineStr">
        <is>
          <t>UK21-S01</t>
        </is>
      </c>
      <c r="D1087" s="77" t="inlineStr">
        <is>
          <t>The Consultancy Challenge (MSc Management Consultancy and Organisational Change)</t>
        </is>
      </c>
      <c r="E1087" s="77" t="inlineStr">
        <is>
          <t>group; employer; project; duration</t>
        </is>
      </c>
      <c r="F1087" s="77" t="inlineStr">
        <is>
          <t>https://events.blogs.bbk.ac.uk/2023/08/02/management-consultancy-and-organisational-change-are-you-up-for-the-challenge/</t>
        </is>
      </c>
      <c r="G1087" s="77" t="inlineStr">
        <is>
          <t>Management consultancy and organisational change: are you up for the challenge?</t>
        </is>
      </c>
      <c r="H1087" s="77" t="inlineStr">
        <is>
          <t>Blog post</t>
        </is>
      </c>
      <c r="I1087" s="77" t="inlineStr">
        <is>
          <t>2023</t>
        </is>
      </c>
      <c r="J1087" s="77" t="inlineStr">
        <is>
          <t>2026-10-13</t>
        </is>
      </c>
      <c r="K1087" s="77" t="inlineStr">
        <is>
          <t>page text (WebFetch)</t>
        </is>
      </c>
      <c r="L1087" s="77" t="inlineStr">
        <is>
          <t>'students on the Consultancy Challenge are assembled into teams to work with a PA client on a real, live problem'; 'across an intense twelve-week period'; 'each student team is mentored by a consultant from PA'; 'the client organisations were two large UK charities'.</t>
        </is>
      </c>
    </row>
    <row r="1088">
      <c r="A1088" s="77" t="inlineStr">
        <is>
          <t>UK21-S01-R4</t>
        </is>
      </c>
      <c r="B1088" s="77" t="inlineStr">
        <is>
          <t>UK21</t>
        </is>
      </c>
      <c r="C1088" s="77" t="inlineStr">
        <is>
          <t>UK21-S01</t>
        </is>
      </c>
      <c r="D1088" s="77" t="inlineStr">
        <is>
          <t>The Consultancy Challenge (MSc Management Consultancy and Organisational Change)</t>
        </is>
      </c>
      <c r="E1088" s="77" t="inlineStr">
        <is>
          <t>status; credit; participation; group</t>
        </is>
      </c>
      <c r="F1088" s="77" t="inlineStr">
        <is>
          <t>https://www.bbk.ac.uk/documents/programme-specification-2025-26-msc-management-consultancy-and-organisational-change.pdf</t>
        </is>
      </c>
      <c r="G1088" s="77" t="inlineStr">
        <is>
          <t>Programme specification 2025-26, MSc Management Consultancy and Organisational Change</t>
        </is>
      </c>
      <c r="H1088" s="77" t="inlineStr">
        <is>
          <t>Module table and project section</t>
        </is>
      </c>
      <c r="I1088" s="77" t="inlineStr">
        <is>
          <t>2025/26</t>
        </is>
      </c>
      <c r="J1088" s="77" t="inlineStr">
        <is>
          <t>2026-10-13</t>
        </is>
      </c>
      <c r="K1088" s="77" t="inlineStr">
        <is>
          <t>PDF fetched; text extracted locally (pdftotext)</t>
        </is>
      </c>
      <c r="L1088" s="77" t="inlineStr">
        <is>
          <t>BUOB063D7 The Consultancy Challenge, 60 credits, Core (alternative BUOB042D7 Research Project); 'offers students the option of completing the Consultancy Challenge in place of the final Research Project'; outcome: 'manage a client-facing project as consultancy team, working with a lead management consultant'.</t>
        </is>
      </c>
    </row>
    <row r="1089">
      <c r="A1089" s="77" t="inlineStr">
        <is>
          <t>UK21-S02-R1</t>
        </is>
      </c>
      <c r="B1089" s="77" t="inlineStr">
        <is>
          <t>UK21</t>
        </is>
      </c>
      <c r="C1089" s="77" t="inlineStr">
        <is>
          <t>UK21-S02</t>
        </is>
      </c>
      <c r="D1089" s="77" t="inlineStr">
        <is>
          <t>PG Cert Applied Data Science Project</t>
        </is>
      </c>
      <c r="E1089" s="77" t="inlineStr">
        <is>
          <t>project; credit</t>
        </is>
      </c>
      <c r="F1089" s="77" t="inlineStr">
        <is>
          <t>https://www.bbk.ac.uk/courses/modules/buci/BUCI082S7</t>
        </is>
      </c>
      <c r="G1089" s="77" t="inlineStr">
        <is>
          <t>PG Cert Applied Data Science Project</t>
        </is>
      </c>
      <c r="H1089" s="77" t="inlineStr">
        <is>
          <t>Module page</t>
        </is>
      </c>
      <c r="I1089" s="77" t="inlineStr">
        <is>
          <t>undated</t>
        </is>
      </c>
      <c r="J1089" s="77" t="inlineStr">
        <is>
          <t>2026-10-13</t>
        </is>
      </c>
      <c r="K1089" s="77" t="inlineStr">
        <is>
          <t>page text (WebFetch)</t>
        </is>
      </c>
      <c r="L1089" s="77" t="inlineStr">
        <is>
          <t>'to develop a piece of software to address a data science need'; 30 credits Level 7; 1000-1500-word proposal (20%) and 5000-word report (80%); syllabus: 'How to write a project proposal relevant to a work-based project.'</t>
        </is>
      </c>
    </row>
    <row r="1090">
      <c r="A1090" s="77" t="inlineStr">
        <is>
          <t>UK21-S03-R1</t>
        </is>
      </c>
      <c r="B1090" s="77" t="inlineStr">
        <is>
          <t>UK21</t>
        </is>
      </c>
      <c r="C1090" s="77" t="inlineStr">
        <is>
          <t>UK21-S03</t>
        </is>
      </c>
      <c r="D1090" s="77" t="inlineStr">
        <is>
          <t>Micro-placement</t>
        </is>
      </c>
      <c r="E1090" s="77" t="inlineStr">
        <is>
          <t>project; credit; status</t>
        </is>
      </c>
      <c r="F1090" s="77" t="inlineStr">
        <is>
          <t>https://www.bbk.ac.uk/courses/module/CASC002H5</t>
        </is>
      </c>
      <c r="G1090" s="77" t="inlineStr">
        <is>
          <t>Micro-placement</t>
        </is>
      </c>
      <c r="H1090" s="77" t="inlineStr">
        <is>
          <t>Module page</t>
        </is>
      </c>
      <c r="I1090" s="77" t="inlineStr">
        <is>
          <t>2025-26 / 2026-27</t>
        </is>
      </c>
      <c r="J1090" s="77" t="inlineStr">
        <is>
          <t>2026-10-13</t>
        </is>
      </c>
      <c r="K1090" s="77" t="inlineStr">
        <is>
          <t>page text (WebFetch)</t>
        </is>
      </c>
      <c r="L1090" s="77" t="inlineStr">
        <is>
          <t>'help you put theory into practice'; 'work on a professional project alongside your current commitments'; 15 credits Level 5; reflective portfolio and 2-3 minute vlog; 'You will be expected to secure your own micro-placement.'</t>
        </is>
      </c>
    </row>
    <row r="1091">
      <c r="A1091" s="77" t="inlineStr">
        <is>
          <t>UK21-S03-R2</t>
        </is>
      </c>
      <c r="B1091" s="77" t="inlineStr">
        <is>
          <t>UK21</t>
        </is>
      </c>
      <c r="C1091" s="77" t="inlineStr">
        <is>
          <t>UK21-S03</t>
        </is>
      </c>
      <c r="D1091" s="77" t="inlineStr">
        <is>
          <t>Micro-placement</t>
        </is>
      </c>
      <c r="E1091" s="77" t="inlineStr">
        <is>
          <t>project; employer</t>
        </is>
      </c>
      <c r="F1091" s="77" t="inlineStr">
        <is>
          <t>https://www.bbk.ac.uk/student-services/careers-and-enterprise/employer-partnerships</t>
        </is>
      </c>
      <c r="G1091" s="77" t="inlineStr">
        <is>
          <t>Employer partnerships</t>
        </is>
      </c>
      <c r="H1091" s="77" t="inlineStr">
        <is>
          <t>Micro-placements</t>
        </is>
      </c>
      <c r="I1091" s="77" t="inlineStr">
        <is>
          <t>undated</t>
        </is>
      </c>
      <c r="J1091" s="77" t="inlineStr">
        <is>
          <t>2026-10-13</t>
        </is>
      </c>
      <c r="K1091" s="77" t="inlineStr">
        <is>
          <t>page text (WebFetch)</t>
        </is>
      </c>
      <c r="L1091" s="77" t="inlineStr">
        <is>
          <t>'Micro-placement opportunities enable Birkbeck students and graduates to complete small-scale projects' that help employers 'solve real-world problems'.</t>
        </is>
      </c>
    </row>
    <row r="1092">
      <c r="A1092" s="77" t="inlineStr">
        <is>
          <t>UK22-S01-R1</t>
        </is>
      </c>
      <c r="B1092" s="77" t="inlineStr">
        <is>
          <t>UK22</t>
        </is>
      </c>
      <c r="C1092" s="77" t="inlineStr">
        <is>
          <t>UK22-S01</t>
        </is>
      </c>
      <c r="D1092" s="77" t="inlineStr">
        <is>
          <t>CS4825 MSci Team Project</t>
        </is>
      </c>
      <c r="E1092" s="77" t="inlineStr">
        <is>
          <t>project; group; employer; reach</t>
        </is>
      </c>
      <c r="F1092" s="77" t="inlineStr">
        <is>
          <t>https://www.royalholloway.ac.uk/studying-here/undergraduate/computer-science/computer-science-software-engineering-msci/</t>
        </is>
      </c>
      <c r="G1092" s="77" t="inlineStr">
        <is>
          <t>Computer Science (Software Engineering) MSci</t>
        </is>
      </c>
      <c r="H1092" s="77" t="inlineStr">
        <is>
          <t>MSci Team Project (Year 4)</t>
        </is>
      </c>
      <c r="I1092" s="77" t="inlineStr">
        <is>
          <t>2026/2027 entry</t>
        </is>
      </c>
      <c r="J1092" s="77" t="inlineStr">
        <is>
          <t>2026-10-13</t>
        </is>
      </c>
      <c r="K1092" s="77" t="inlineStr">
        <is>
          <t>page text (WebFetch)</t>
        </is>
      </c>
      <c r="L1092" s="77" t="inlineStr">
        <is>
          <t>'The main aim of the Team Project is to give extensive experience to students in working in projects for real clients'; 'Teams of students will: work in the context of a company where they have specific responsibilities'.</t>
        </is>
      </c>
    </row>
    <row r="1093">
      <c r="A1093" s="77" t="inlineStr">
        <is>
          <t>UK22-S01-R2</t>
        </is>
      </c>
      <c r="B1093" s="77" t="inlineStr">
        <is>
          <t>UK22</t>
        </is>
      </c>
      <c r="C1093" s="77" t="inlineStr">
        <is>
          <t>UK22-S01</t>
        </is>
      </c>
      <c r="D1093" s="77" t="inlineStr">
        <is>
          <t>CS4825 MSci Team Project</t>
        </is>
      </c>
      <c r="E1093" s="77" t="inlineStr">
        <is>
          <t>credit; participation; status; group</t>
        </is>
      </c>
      <c r="F1093" s="77" t="inlineStr">
        <is>
          <t>https://www.royalholloway.ac.uk/media/dmfhzdkk/computer-science-software-engineering-msci-g461.pdf</t>
        </is>
      </c>
      <c r="G1093" s="77" t="inlineStr">
        <is>
          <t>Computer Science (Software Engineering) MSci (G461) programme specification</t>
        </is>
      </c>
      <c r="H1093" s="77" t="inlineStr">
        <is>
          <t>Mandatory modules; learning outcomes</t>
        </is>
      </c>
      <c r="I1093" s="77" t="inlineStr">
        <is>
          <t>2025/26 entry (spec updated April 2024)</t>
        </is>
      </c>
      <c r="J1093" s="77" t="inlineStr">
        <is>
          <t>2026-10-13</t>
        </is>
      </c>
      <c r="K1093" s="77" t="inlineStr">
        <is>
          <t>page text (WebFetch PDF, text extracted locally)</t>
        </is>
      </c>
      <c r="L1093" s="77" t="inlineStr">
        <is>
          <t>Year 4: 'CS4825 MSci Team Project 60 7 MC'; outcome 9.5.1 'Be able to work as part of a professional team to deliver a large-scale product for a realistic client.'</t>
        </is>
      </c>
    </row>
    <row r="1094">
      <c r="A1094" s="77" t="inlineStr">
        <is>
          <t>UK22-S02-R1</t>
        </is>
      </c>
      <c r="B1094" s="77" t="inlineStr">
        <is>
          <t>UK22</t>
        </is>
      </c>
      <c r="C1094" s="77" t="inlineStr">
        <is>
          <t>UK22-S02</t>
        </is>
      </c>
      <c r="D1094" s="77" t="inlineStr">
        <is>
          <t>Consultancy in the Digital Era (MSc Digital Business)</t>
        </is>
      </c>
      <c r="E1094" s="77" t="inlineStr">
        <is>
          <t>participation; credit; status</t>
        </is>
      </c>
      <c r="F1094" s="77" t="inlineStr">
        <is>
          <t>https://www.royalholloway.ac.uk/media/26720/digital-business-msc-3749.pdf</t>
        </is>
      </c>
      <c r="G1094" s="77" t="inlineStr">
        <is>
          <t>Digital Business MSc programme specification (3749)</t>
        </is>
      </c>
      <c r="H1094" s="77" t="inlineStr">
        <is>
          <t>Mandatory modules</t>
        </is>
      </c>
      <c r="I1094" s="77" t="inlineStr">
        <is>
          <t>2024/25 entry (updated Nov 2023)</t>
        </is>
      </c>
      <c r="J1094" s="77" t="inlineStr">
        <is>
          <t>2026-10-13</t>
        </is>
      </c>
      <c r="K1094" s="77" t="inlineStr">
        <is>
          <t>page text (WebFetch PDF, text extracted locally)</t>
        </is>
      </c>
      <c r="L1094" s="77" t="inlineStr">
        <is>
          <t>'MN5802 Consultancy in the Digital Era 15 7 MC'; mandatory modules are compulsory for all students.</t>
        </is>
      </c>
    </row>
    <row r="1095">
      <c r="A1095" s="77" t="inlineStr">
        <is>
          <t>UK22-S02-R2</t>
        </is>
      </c>
      <c r="B1095" s="77" t="inlineStr">
        <is>
          <t>UK22</t>
        </is>
      </c>
      <c r="C1095" s="77" t="inlineStr">
        <is>
          <t>UK22-S02</t>
        </is>
      </c>
      <c r="D1095" s="77" t="inlineStr">
        <is>
          <t>Consultancy in the Digital Era (MSc Digital Business)</t>
        </is>
      </c>
      <c r="E1095" s="77" t="inlineStr">
        <is>
          <t>project; group; employer</t>
        </is>
      </c>
      <c r="F1095" s="77" t="inlineStr">
        <is>
          <t>https://test-cms.royalholloway.ac.uk/studying-here/postgraduate/business-and-management/digital-business-msc/</t>
        </is>
      </c>
      <c r="G1095" s="77" t="inlineStr">
        <is>
          <t>Digital Business MSc</t>
        </is>
      </c>
      <c r="H1095" s="77" t="inlineStr">
        <is>
          <t>Course description</t>
        </is>
      </c>
      <c r="I1095" s="77" t="inlineStr">
        <is>
          <t>undated</t>
        </is>
      </c>
      <c r="J1095" s="77" t="inlineStr">
        <is>
          <t>2026-10-13</t>
        </is>
      </c>
      <c r="K1095" s="77" t="inlineStr">
        <is>
          <t>search-index extract (quoted; direct fetch returned 403)</t>
        </is>
      </c>
      <c r="L1095" s="77" t="inlineStr">
        <is>
          <t>'Working in teams, you will provide digital consultancy for a client that requires a contemporary digital solution, encompassing digital strategy, vision, data analysis, and project management.'</t>
        </is>
      </c>
    </row>
    <row r="1096">
      <c r="A1096" s="77" t="inlineStr">
        <is>
          <t>UK22-S03-R1</t>
        </is>
      </c>
      <c r="B1096" s="77" t="inlineStr">
        <is>
          <t>UK22</t>
        </is>
      </c>
      <c r="C1096" s="77" t="inlineStr">
        <is>
          <t>UK22-S03</t>
        </is>
      </c>
      <c r="D1096" s="77" t="inlineStr">
        <is>
          <t>Digital Marketing Consultancy (MSc Digital Marketing)</t>
        </is>
      </c>
      <c r="E1096" s="77" t="inlineStr">
        <is>
          <t>project; employer</t>
        </is>
      </c>
      <c r="F1096" s="77" t="inlineStr">
        <is>
          <t>https://www.royalholloway.ac.uk/studying-here/postgraduate/business-school/digital-marketing-msc/</t>
        </is>
      </c>
      <c r="G1096" s="77" t="inlineStr">
        <is>
          <t>Digital Marketing MSc</t>
        </is>
      </c>
      <c r="H1096" s="77" t="inlineStr">
        <is>
          <t>Digital Marketing Consultancy module</t>
        </is>
      </c>
      <c r="I1096" s="77" t="inlineStr">
        <is>
          <t>undated (page shows 2027 entry)</t>
        </is>
      </c>
      <c r="J1096" s="77" t="inlineStr">
        <is>
          <t>2026-10-13</t>
        </is>
      </c>
      <c r="K1096" s="77" t="inlineStr">
        <is>
          <t>page text (WebFetch)</t>
        </is>
      </c>
      <c r="L1096" s="77" t="inlineStr">
        <is>
          <t>'The module will include a project where you will be required to carry out work required to achieve a particular outcome as prescribed by a client'; 'The consultancy assignment itself will take one of many forms in accordance with the client's requirements'; 'authentic projects'.</t>
        </is>
      </c>
    </row>
    <row r="1097">
      <c r="A1097" s="77" t="inlineStr">
        <is>
          <t>UK23-S01-R1</t>
        </is>
      </c>
      <c r="B1097" s="77" t="inlineStr">
        <is>
          <t>UK23</t>
        </is>
      </c>
      <c r="C1097" s="77" t="inlineStr">
        <is>
          <t>UK23-S01</t>
        </is>
      </c>
      <c r="D1097" s="77" t="inlineStr">
        <is>
          <t>Industry Led Projects (Industry Projects module)</t>
        </is>
      </c>
      <c r="E1097" s="77" t="inlineStr">
        <is>
          <t>project; group; employer; reach; eligibility</t>
        </is>
      </c>
      <c r="F1097" s="77" t="inlineStr">
        <is>
          <t>https://www.citystgeorges.ac.uk/business/access/meet/industry-led-projects</t>
        </is>
      </c>
      <c r="G1097" s="77" t="inlineStr">
        <is>
          <t>Industry Led Projects</t>
        </is>
      </c>
      <c r="H1097" s="77" t="inlineStr">
        <is>
          <t>Main page</t>
        </is>
      </c>
      <c r="I1097" s="77" t="inlineStr">
        <is>
          <t>undated</t>
        </is>
      </c>
      <c r="J1097" s="77" t="inlineStr">
        <is>
          <t>2026-10-13</t>
        </is>
      </c>
      <c r="K1097" s="77" t="inlineStr">
        <is>
          <t>search-summary paraphrase (WebFetch 403; curl returned Cloudflare challenge)</t>
        </is>
      </c>
      <c r="L1097" s="77" t="inlineStr">
        <is>
          <t>Credit-bearing modules where students, working in groups or individually, tackle a live project set by an organisation; available to third-year UG students in Bayes, City Law School, School of Policy &amp; Global Affairs, School of Communication &amp; Creativity; Autumn or Spring term; employers submit a brief then an intro call; no cost to employers.</t>
        </is>
      </c>
    </row>
    <row r="1098">
      <c r="A1098" s="77" t="inlineStr">
        <is>
          <t>UK23-S01-R2</t>
        </is>
      </c>
      <c r="B1098" s="77" t="inlineStr">
        <is>
          <t>UK23</t>
        </is>
      </c>
      <c r="C1098" s="77" t="inlineStr">
        <is>
          <t>UK23-S01</t>
        </is>
      </c>
      <c r="D1098" s="77" t="inlineStr">
        <is>
          <t>Industry Led Projects (Industry Projects module)</t>
        </is>
      </c>
      <c r="E1098" s="77" t="inlineStr">
        <is>
          <t>project; group; employer; credit</t>
        </is>
      </c>
      <c r="F1098" s="77" t="inlineStr">
        <is>
          <t>https://www.citystgeorges.ac.uk/prospective-students/courses/undergraduate/business-economics</t>
        </is>
      </c>
      <c r="G1098" s="77" t="inlineStr">
        <is>
          <t>BSc (Hons) Business Economics</t>
        </is>
      </c>
      <c r="H1098" s="77" t="inlineStr">
        <is>
          <t>Year 3 Industry Projects</t>
        </is>
      </c>
      <c r="I1098" s="77" t="inlineStr">
        <is>
          <t>undated</t>
        </is>
      </c>
      <c r="J1098" s="77" t="inlineStr">
        <is>
          <t>2026-10-13</t>
        </is>
      </c>
      <c r="K1098" s="77" t="inlineStr">
        <is>
          <t>search-summary paraphrase</t>
        </is>
      </c>
      <c r="L1098" s="77" t="inlineStr">
        <is>
          <t>Year 3 Industry Projects (15 credits): small multi-disciplinary teams on real-life professional projects for employers, choosing between five sector streams such as policy, finance, community, business and arts and culture.</t>
        </is>
      </c>
    </row>
    <row r="1099">
      <c r="A1099" s="77" t="inlineStr">
        <is>
          <t>UK23-S01-R3</t>
        </is>
      </c>
      <c r="B1099" s="77" t="inlineStr">
        <is>
          <t>UK23</t>
        </is>
      </c>
      <c r="C1099" s="77" t="inlineStr">
        <is>
          <t>UK23-S01</t>
        </is>
      </c>
      <c r="D1099" s="77" t="inlineStr">
        <is>
          <t>Industry Led Projects (Industry Projects module)</t>
        </is>
      </c>
      <c r="E1099" s="77" t="inlineStr">
        <is>
          <t>group; employer</t>
        </is>
      </c>
      <c r="F1099" s="77" t="inlineStr">
        <is>
          <t>https://www.citystgeorges.ac.uk/prospective-students/courses/undergraduate/law</t>
        </is>
      </c>
      <c r="G1099" s="77" t="inlineStr">
        <is>
          <t>LLB (Hons) Law</t>
        </is>
      </c>
      <c r="H1099" s="77" t="inlineStr">
        <is>
          <t>Industry Projects</t>
        </is>
      </c>
      <c r="I1099" s="77" t="inlineStr">
        <is>
          <t>undated</t>
        </is>
      </c>
      <c r="J1099" s="77" t="inlineStr">
        <is>
          <t>2026-10-13</t>
        </is>
      </c>
      <c r="K1099" s="77" t="inlineStr">
        <is>
          <t>search-summary paraphrase</t>
        </is>
      </c>
      <c r="L1099" s="77" t="inlineStr">
        <is>
          <t>Industry Projects: third-year module; participate in a group project and work on a live brief or task set by an external organisation.</t>
        </is>
      </c>
    </row>
    <row r="1100">
      <c r="A1100" s="77" t="inlineStr">
        <is>
          <t>UK23-S01-R4</t>
        </is>
      </c>
      <c r="B1100" s="77" t="inlineStr">
        <is>
          <t>UK23</t>
        </is>
      </c>
      <c r="C1100" s="77" t="inlineStr">
        <is>
          <t>UK23-S01</t>
        </is>
      </c>
      <c r="D1100" s="77" t="inlineStr">
        <is>
          <t>Industry Led Projects (Industry Projects module)</t>
        </is>
      </c>
      <c r="E1100" s="77" t="inlineStr">
        <is>
          <t>status</t>
        </is>
      </c>
      <c r="F1100" s="77" t="inlineStr">
        <is>
          <t>https://www.citystgeorges.ac.uk/news-and-events/events/2025/february/festival-of-the-professions-2025</t>
        </is>
      </c>
      <c r="G1100" s="77" t="inlineStr">
        <is>
          <t>Festival of the Professions 2025</t>
        </is>
      </c>
      <c r="H1100" s="77" t="inlineStr">
        <is>
          <t>Event page</t>
        </is>
      </c>
      <c r="I1100" s="77" t="inlineStr">
        <is>
          <t>2025</t>
        </is>
      </c>
      <c r="J1100" s="77" t="inlineStr">
        <is>
          <t>2026-10-13</t>
        </is>
      </c>
      <c r="K1100" s="77" t="inlineStr">
        <is>
          <t>search-summary paraphrase</t>
        </is>
      </c>
      <c r="L1100" s="77" t="inlineStr">
        <is>
          <t>Mentions an Industry Projects Showcase at which top-performing final-year students presented briefs from earlier projects.</t>
        </is>
      </c>
    </row>
    <row r="1101">
      <c r="A1101" s="77" t="inlineStr">
        <is>
          <t>UK23-S02-R1</t>
        </is>
      </c>
      <c r="B1101" s="77" t="inlineStr">
        <is>
          <t>UK23</t>
        </is>
      </c>
      <c r="C1101" s="77" t="inlineStr">
        <is>
          <t>UK23-S02</t>
        </is>
      </c>
      <c r="D1101" s="77" t="inlineStr">
        <is>
          <t>Hewlett Packard Enterprise: Technology Consulting</t>
        </is>
      </c>
      <c r="E1101" s="77" t="inlineStr">
        <is>
          <t>project; employer; duration</t>
        </is>
      </c>
      <c r="F1101" s="77" t="inlineStr">
        <is>
          <t>https://www.citystgeorges.ac.uk/news-and-events/news/2024/september/hewlett-packard-enterprise-consultancy-programme-city-st-georges</t>
        </is>
      </c>
      <c r="G1101" s="77" t="inlineStr">
        <is>
          <t>Hewlett Packard Enterprise consultancy programme at City St George's</t>
        </is>
      </c>
      <c r="H1101" s="77" t="inlineStr">
        <is>
          <t>News</t>
        </is>
      </c>
      <c r="I1101" s="77" t="inlineStr">
        <is>
          <t>2024</t>
        </is>
      </c>
      <c r="J1101" s="77" t="inlineStr">
        <is>
          <t>2026-10-13</t>
        </is>
      </c>
      <c r="K1101" s="77" t="inlineStr">
        <is>
          <t>search-summary paraphrase</t>
        </is>
      </c>
      <c r="L1101" s="77" t="inlineStr">
        <is>
          <t>School of Science &amp; Technology partnered with HPE to bring the Force for Good SME consultancy programme; students work 10 weeks to propose a technological solution to an SME's challenge; some SMEs from the 11 September assessment day selected for a credit-bearing final-year module.</t>
        </is>
      </c>
    </row>
    <row r="1102">
      <c r="A1102" s="77" t="inlineStr">
        <is>
          <t>UK23-S02-R2</t>
        </is>
      </c>
      <c r="B1102" s="77" t="inlineStr">
        <is>
          <t>UK23</t>
        </is>
      </c>
      <c r="C1102" s="77" t="inlineStr">
        <is>
          <t>UK23-S02</t>
        </is>
      </c>
      <c r="D1102" s="77" t="inlineStr">
        <is>
          <t>Hewlett Packard Enterprise: Technology Consulting</t>
        </is>
      </c>
      <c r="E1102" s="77" t="inlineStr">
        <is>
          <t>project; group; employer; credit; status</t>
        </is>
      </c>
      <c r="F1102" s="77" t="inlineStr">
        <is>
          <t>https://www.citystgeorges.ac.uk/prospective-students/courses/undergraduate/data-science/2026</t>
        </is>
      </c>
      <c r="G1102" s="77" t="inlineStr">
        <is>
          <t>Data Science MSci (Hons) (2026/27)</t>
        </is>
      </c>
      <c r="H1102" s="77" t="inlineStr">
        <is>
          <t>Year 3 modules</t>
        </is>
      </c>
      <c r="I1102" s="77" t="inlineStr">
        <is>
          <t>2026/27</t>
        </is>
      </c>
      <c r="J1102" s="77" t="inlineStr">
        <is>
          <t>2026-10-13</t>
        </is>
      </c>
      <c r="K1102" s="77" t="inlineStr">
        <is>
          <t>search-summary paraphrase</t>
        </is>
      </c>
      <c r="L1102" s="77" t="inlineStr">
        <is>
          <t>Hewlett Packard Enterprise: Technology Consulting (15 credits): students work in groups to propose a solution for a technical challenge faced by an assigned small medium enterprise, with HPE mentor support.</t>
        </is>
      </c>
    </row>
    <row r="1103">
      <c r="A1103" s="77" t="inlineStr">
        <is>
          <t>UK23-S03-R1</t>
        </is>
      </c>
      <c r="B1103" s="77" t="inlineStr">
        <is>
          <t>UK23</t>
        </is>
      </c>
      <c r="C1103" s="77" t="inlineStr">
        <is>
          <t>UK23-S03</t>
        </is>
      </c>
      <c r="D1103" s="77" t="inlineStr">
        <is>
          <t>Sustainability and Climate Change (interdisciplinary module)</t>
        </is>
      </c>
      <c r="E1103" s="77" t="inlineStr">
        <is>
          <t>project; group; employer; status</t>
        </is>
      </c>
      <c r="F1103" s="77" t="inlineStr">
        <is>
          <t>https://www.citystgeorges.ac.uk/news-and-events/news/2026/august/city-st-georges-recognised-with-national-sustainable-careers-commendation</t>
        </is>
      </c>
      <c r="G1103" s="77" t="inlineStr">
        <is>
          <t>City St George's recognised with national Sustainable Careers commendation</t>
        </is>
      </c>
      <c r="H1103" s="77" t="inlineStr">
        <is>
          <t>News</t>
        </is>
      </c>
      <c r="I1103" s="77" t="inlineStr">
        <is>
          <t>2026</t>
        </is>
      </c>
      <c r="J1103" s="77" t="inlineStr">
        <is>
          <t>2026-10-13</t>
        </is>
      </c>
      <c r="K1103" s="77" t="inlineStr">
        <is>
          <t>search-summary paraphrase</t>
        </is>
      </c>
      <c r="L1103" s="77" t="inlineStr">
        <is>
          <t>Highly commended at Graduate Futures Awards 2026 for the Sustainability and Climate Change module; students work in teams on real-world sustainability projects set by external organisations.</t>
        </is>
      </c>
    </row>
    <row r="1104">
      <c r="A1104" s="77" t="inlineStr">
        <is>
          <t>UK23-S03-R2</t>
        </is>
      </c>
      <c r="B1104" s="77" t="inlineStr">
        <is>
          <t>UK23</t>
        </is>
      </c>
      <c r="C1104" s="77" t="inlineStr">
        <is>
          <t>UK23-S03</t>
        </is>
      </c>
      <c r="D1104" s="77" t="inlineStr">
        <is>
          <t>Sustainability and Climate Change (interdisciplinary module)</t>
        </is>
      </c>
      <c r="E1104" s="77" t="inlineStr">
        <is>
          <t>project; group; employer; reach</t>
        </is>
      </c>
      <c r="F1104" s="77" t="inlineStr">
        <is>
          <t>https://www.citystgeorges.ac.uk/news-and-events/news/2025/january/developing-interdisciplinary-module-sustainability-climate-change</t>
        </is>
      </c>
      <c r="G1104" s="77" t="inlineStr">
        <is>
          <t>Developing an interdisciplinary module on sustainability and climate change</t>
        </is>
      </c>
      <c r="H1104" s="77" t="inlineStr">
        <is>
          <t>News</t>
        </is>
      </c>
      <c r="I1104" s="77" t="inlineStr">
        <is>
          <t>2025</t>
        </is>
      </c>
      <c r="J1104" s="77" t="inlineStr">
        <is>
          <t>2026-10-13</t>
        </is>
      </c>
      <c r="K1104" s="77" t="inlineStr">
        <is>
          <t>search-summary paraphrase</t>
        </is>
      </c>
      <c r="L1104" s="77" t="inlineStr">
        <is>
          <t>Module launched January 2025, first offered to law students; students work in groups to address a real-world challenge set by an external partner.</t>
        </is>
      </c>
    </row>
    <row r="1105">
      <c r="A1105" s="77" t="inlineStr">
        <is>
          <t>UK23-S04-R1</t>
        </is>
      </c>
      <c r="B1105" s="77" t="inlineStr">
        <is>
          <t>UK23</t>
        </is>
      </c>
      <c r="C1105" s="77" t="inlineStr">
        <is>
          <t>UK23-S04</t>
        </is>
      </c>
      <c r="D1105" s="77" t="inlineStr">
        <is>
          <t>MSc Consulting Challenge / Consulting Skills and Practice (Bayes)</t>
        </is>
      </c>
      <c r="E1105" s="77" t="inlineStr">
        <is>
          <t>project; group; employer; duration</t>
        </is>
      </c>
      <c r="F1105" s="77" t="inlineStr">
        <is>
          <t>https://www.bayes.citystgeorges.ac.uk/for-businesses/recruit-our-students/business-projects-page</t>
        </is>
      </c>
      <c r="G1105" s="77" t="inlineStr">
        <is>
          <t>Business Projects</t>
        </is>
      </c>
      <c r="H1105" s="77" t="inlineStr">
        <is>
          <t>MSc Consulting Challenge</t>
        </is>
      </c>
      <c r="I1105" s="77" t="inlineStr">
        <is>
          <t>undated (c. early 2025 per search metadata)</t>
        </is>
      </c>
      <c r="J1105" s="77" t="inlineStr">
        <is>
          <t>2026-10-13</t>
        </is>
      </c>
      <c r="K1105" s="77" t="inlineStr">
        <is>
          <t>search-summary paraphrase (WebFetch 403)</t>
        </is>
      </c>
      <c r="L1105" s="77" t="inlineStr">
        <is>
          <t>MSc Consulting Challenge: Team of 5 MSc Management students delivering consultancy advice (May - August); no financial cost associated with our consulting projects initiative.</t>
        </is>
      </c>
    </row>
    <row r="1106">
      <c r="A1106" s="77" t="inlineStr">
        <is>
          <t>UK23-S04-R2</t>
        </is>
      </c>
      <c r="B1106" s="77" t="inlineStr">
        <is>
          <t>UK23</t>
        </is>
      </c>
      <c r="C1106" s="77" t="inlineStr">
        <is>
          <t>UK23-S04</t>
        </is>
      </c>
      <c r="D1106" s="77" t="inlineStr">
        <is>
          <t>MSc Consulting Challenge / Consulting Skills and Practice (Bayes)</t>
        </is>
      </c>
      <c r="E1106" s="77" t="inlineStr">
        <is>
          <t>group; employer; participation</t>
        </is>
      </c>
      <c r="F1106" s="77" t="inlineStr">
        <is>
          <t>https://www.bayes.citystgeorges.ac.uk/study/masters/courses/management</t>
        </is>
      </c>
      <c r="G1106" s="77" t="inlineStr">
        <is>
          <t>Management MSc</t>
        </is>
      </c>
      <c r="H1106" s="77" t="inlineStr">
        <is>
          <t>Consulting Skills and Practice</t>
        </is>
      </c>
      <c r="I1106" s="77" t="inlineStr">
        <is>
          <t>undated</t>
        </is>
      </c>
      <c r="J1106" s="77" t="inlineStr">
        <is>
          <t>2026-10-13</t>
        </is>
      </c>
      <c r="K1106" s="77" t="inlineStr">
        <is>
          <t>search-summary paraphrase</t>
        </is>
      </c>
      <c r="L1106" s="77" t="inlineStr">
        <is>
          <t>Elective places students in team-based, live consulting projects supervised by practitioners; recent partners include Google, Lloyds, Accenture, EY and Hitachi.</t>
        </is>
      </c>
    </row>
    <row r="1107">
      <c r="A1107" s="77" t="inlineStr">
        <is>
          <t>UK23-S05-R1</t>
        </is>
      </c>
      <c r="B1107" s="77" t="inlineStr">
        <is>
          <t>UK23</t>
        </is>
      </c>
      <c r="C1107" s="77" t="inlineStr">
        <is>
          <t>UK23-S05</t>
        </is>
      </c>
      <c r="D1107" s="77" t="inlineStr">
        <is>
          <t>Full-time MBA Strategy Project</t>
        </is>
      </c>
      <c r="E1107" s="77" t="inlineStr">
        <is>
          <t>project; group; employer</t>
        </is>
      </c>
      <c r="F1107" s="77" t="inlineStr">
        <is>
          <t>https://www.bayes.city.ac.uk/study/mba/full-time/programme-structure/commercial-projects</t>
        </is>
      </c>
      <c r="G1107" s="77" t="inlineStr">
        <is>
          <t>Full-time MBA: Commercial projects</t>
        </is>
      </c>
      <c r="H1107" s="77" t="inlineStr">
        <is>
          <t>Programme structure</t>
        </is>
      </c>
      <c r="I1107" s="77" t="inlineStr">
        <is>
          <t>undated</t>
        </is>
      </c>
      <c r="J1107" s="77" t="inlineStr">
        <is>
          <t>2026-10-13</t>
        </is>
      </c>
      <c r="K1107" s="77" t="inlineStr">
        <is>
          <t>search-summary paraphrase</t>
        </is>
      </c>
      <c r="L1107" s="77" t="inlineStr">
        <is>
          <t>Strategy Project: teams work on a real company's strategic challenge and present to the client; International Consultancy Week: carry out a consultancy assignment with a specific company based in a different country.</t>
        </is>
      </c>
    </row>
    <row r="1108">
      <c r="A1108" s="77" t="inlineStr">
        <is>
          <t>UK23-S06-R1</t>
        </is>
      </c>
      <c r="B1108" s="77" t="inlineStr">
        <is>
          <t>UK23</t>
        </is>
      </c>
      <c r="C1108" s="77" t="inlineStr">
        <is>
          <t>UK23-S06</t>
        </is>
      </c>
      <c r="D1108" s="77" t="inlineStr">
        <is>
          <t>BSc Management student consultancy (final-year live case)</t>
        </is>
      </c>
      <c r="E1108" s="77" t="inlineStr">
        <is>
          <t>project; group; employer</t>
        </is>
      </c>
      <c r="F1108" s="77" t="inlineStr">
        <is>
          <t>https://www.citystgeorges.ac.uk/prospective-students/career-development/employability-through-your-degree</t>
        </is>
      </c>
      <c r="G1108" s="77" t="inlineStr">
        <is>
          <t>Employability through your degree</t>
        </is>
      </c>
      <c r="H1108" s="77" t="inlineStr">
        <is>
          <t>Student consultancy</t>
        </is>
      </c>
      <c r="I1108" s="77" t="inlineStr">
        <is>
          <t>undated</t>
        </is>
      </c>
      <c r="J1108" s="77" t="inlineStr">
        <is>
          <t>2026-10-13</t>
        </is>
      </c>
      <c r="K1108" s="77" t="inlineStr">
        <is>
          <t>search-summary paraphrase</t>
        </is>
      </c>
      <c r="L1108" s="77" t="inlineStr">
        <is>
          <t>Employers can supply real consultancy projects for final-year BSc Management students, who work in groups of 4-6 on a live case and present findings back to the client.</t>
        </is>
      </c>
    </row>
    <row r="1109">
      <c r="A1109" s="77" t="inlineStr">
        <is>
          <t>UK24-S01-R1</t>
        </is>
      </c>
      <c r="B1109" s="77" t="inlineStr">
        <is>
          <t>UK24</t>
        </is>
      </c>
      <c r="C1109" s="77" t="inlineStr">
        <is>
          <t>UK24-S01</t>
        </is>
      </c>
      <c r="D1109" s="77" t="inlineStr">
        <is>
          <t>Business Challenge Week (also called Impact Challenge Week)</t>
        </is>
      </c>
      <c r="E1109" s="77" t="inlineStr">
        <is>
          <t>project; group; employer; reach; eligibility</t>
        </is>
      </c>
      <c r="F1109" s="77" t="inlineStr">
        <is>
          <t>https://www.brookes.ac.uk/about-brookes/structure-and-governance/faculties-and-schools/business/real-world-learning</t>
        </is>
      </c>
      <c r="G1109" s="77" t="inlineStr">
        <is>
          <t>Real-world learning</t>
        </is>
      </c>
      <c r="H1109" s="77" t="inlineStr">
        <is>
          <t>Business Challenge Week</t>
        </is>
      </c>
      <c r="I1109" s="77" t="inlineStr">
        <is>
          <t>undated</t>
        </is>
      </c>
      <c r="J1109" s="77" t="inlineStr">
        <is>
          <t>2026-10-13</t>
        </is>
      </c>
      <c r="K1109" s="77" t="inlineStr">
        <is>
          <t>page text (WebFetch, summarised by fetch model)</t>
        </is>
      </c>
      <c r="L1109" s="77" t="inlineStr">
        <is>
          <t>'Each year, postgraduate students at Oxford Brookes Business School have the opportunity to participate'; teams tackle 'real business problems posed by local, national, and international organisations'; 'Students work in teams, developing innovative solutions'; pitch to judges from the business community.</t>
        </is>
      </c>
    </row>
    <row r="1110">
      <c r="A1110" s="77" t="inlineStr">
        <is>
          <t>UK24-S01-R2</t>
        </is>
      </c>
      <c r="B1110" s="77" t="inlineStr">
        <is>
          <t>UK24</t>
        </is>
      </c>
      <c r="C1110" s="77" t="inlineStr">
        <is>
          <t>UK24-S01</t>
        </is>
      </c>
      <c r="D1110" s="77" t="inlineStr">
        <is>
          <t>Business Challenge Week (also called Impact Challenge Week)</t>
        </is>
      </c>
      <c r="E1110" s="77" t="inlineStr">
        <is>
          <t>project; group; employer; status; duration</t>
        </is>
      </c>
      <c r="F1110" s="77" t="inlineStr">
        <is>
          <t>https://www.brookes.ac.uk/business/business-engagement/work-with-our-students/business-challenge-week</t>
        </is>
      </c>
      <c r="G1110" s="77" t="inlineStr">
        <is>
          <t>Business Challenge Week 2025/26 partner page</t>
        </is>
      </c>
      <c r="H1110" s="77" t="inlineStr">
        <is>
          <t>Partner information</t>
        </is>
      </c>
      <c r="I1110" s="77" t="inlineStr">
        <is>
          <t>2026 (8-12 June 2026)</t>
        </is>
      </c>
      <c r="J1110" s="77" t="inlineStr">
        <is>
          <t>2026-10-13</t>
        </is>
      </c>
      <c r="K1110" s="77" t="inlineStr">
        <is>
          <t>page text (WebFetch, summarised by fetch model)</t>
        </is>
      </c>
      <c r="L1110" s="77" t="inlineStr">
        <is>
          <t>Dates '8 - 12 June 2026'; a 'specially built team' of master's students; partners of any size, profit or non-profit; free; brief the team online and give ongoing feedback; outputs may include 'a solution, prototype, or action plan' and 'a short report with findings and recommendations'.</t>
        </is>
      </c>
    </row>
    <row r="1111">
      <c r="A1111" s="77" t="inlineStr">
        <is>
          <t>UK24-S01-R3</t>
        </is>
      </c>
      <c r="B1111" s="77" t="inlineStr">
        <is>
          <t>UK24</t>
        </is>
      </c>
      <c r="C1111" s="77" t="inlineStr">
        <is>
          <t>UK24-S01</t>
        </is>
      </c>
      <c r="D1111" s="77" t="inlineStr">
        <is>
          <t>Business Challenge Week (also called Impact Challenge Week)</t>
        </is>
      </c>
      <c r="E1111" s="77" t="inlineStr">
        <is>
          <t>group; employer; participation</t>
        </is>
      </c>
      <c r="F1111" s="77" t="inlineStr">
        <is>
          <t>https://www.brookes.ac.uk/courses/postgraduate/management</t>
        </is>
      </c>
      <c r="G1111" s="77" t="inlineStr">
        <is>
          <t>MSc in Management</t>
        </is>
      </c>
      <c r="H1111" s="77" t="inlineStr">
        <is>
          <t>Co-curricular events</t>
        </is>
      </c>
      <c r="I1111" s="77" t="inlineStr">
        <is>
          <t>2026/27 intake</t>
        </is>
      </c>
      <c r="J1111" s="77" t="inlineStr">
        <is>
          <t>2026-10-13</t>
        </is>
      </c>
      <c r="K1111" s="77" t="inlineStr">
        <is>
          <t>page text (WebFetch, summarised by fetch model)</t>
        </is>
      </c>
      <c r="L1111" s="77" t="inlineStr">
        <is>
          <t>Impact Challenge Week listed under co-curricular events: 'Team up with students from across a range of disciplines' to 'work on a problem being faced by real companies'.</t>
        </is>
      </c>
    </row>
    <row r="1112">
      <c r="A1112" s="77" t="inlineStr">
        <is>
          <t>UK24-S01-R4</t>
        </is>
      </c>
      <c r="B1112" s="77" t="inlineStr">
        <is>
          <t>UK24</t>
        </is>
      </c>
      <c r="C1112" s="77" t="inlineStr">
        <is>
          <t>UK24-S01</t>
        </is>
      </c>
      <c r="D1112" s="77" t="inlineStr">
        <is>
          <t>Business Challenge Week (also called Impact Challenge Week)</t>
        </is>
      </c>
      <c r="E1112" s="77" t="inlineStr">
        <is>
          <t>status; employer</t>
        </is>
      </c>
      <c r="F1112" s="77" t="inlineStr">
        <is>
          <t>https://www.brookes.ac.uk/about-brookes/news/news-from-2024/06/oxford-brookes-university-master-s-students-drive</t>
        </is>
      </c>
      <c r="G1112" s="77" t="inlineStr">
        <is>
          <t>Oxford Brookes University Master's students drive innovation during Business Challenge Week</t>
        </is>
      </c>
      <c r="H1112" s="77" t="inlineStr">
        <is>
          <t>News 2024</t>
        </is>
      </c>
      <c r="I1112" s="77" t="inlineStr">
        <is>
          <t>2024</t>
        </is>
      </c>
      <c r="J1112" s="77" t="inlineStr">
        <is>
          <t>2026-10-13</t>
        </is>
      </c>
      <c r="K1112" s="77" t="inlineStr">
        <is>
          <t>search-summary paraphrase (page fetch returned 404)</t>
        </is>
      </c>
      <c r="L1112" s="77" t="inlineStr">
        <is>
          <t>2024 edition ran 17-21 June with 45 students incl. 12 from Regensburg; showcase at Headington; BioBright and X&amp;Y Fertility among participants.</t>
        </is>
      </c>
    </row>
    <row r="1113">
      <c r="A1113" s="77" t="inlineStr">
        <is>
          <t>UK24-S02-R1</t>
        </is>
      </c>
      <c r="B1113" s="77" t="inlineStr">
        <is>
          <t>UK24</t>
        </is>
      </c>
      <c r="C1113" s="77" t="inlineStr">
        <is>
          <t>UK24-S02</t>
        </is>
      </c>
      <c r="D1113" s="77" t="inlineStr">
        <is>
          <t>Summer Student Consultancy Scheme</t>
        </is>
      </c>
      <c r="E1113" s="77" t="inlineStr">
        <is>
          <t>project; group; employer; eligibility; status; duration; participation</t>
        </is>
      </c>
      <c r="F1113" s="77" t="inlineStr">
        <is>
          <t>https://www.brookes.ac.uk/about-brookes/structure-and-governance/faculties-and-schools/business/business-engagement/work-with-our-students</t>
        </is>
      </c>
      <c r="G1113" s="77" t="inlineStr">
        <is>
          <t>Work with our students</t>
        </is>
      </c>
      <c r="H1113" s="77" t="inlineStr">
        <is>
          <t>Summer Student Consultancy Scheme</t>
        </is>
      </c>
      <c r="I1113" s="77" t="inlineStr">
        <is>
          <t>2027 edition</t>
        </is>
      </c>
      <c r="J1113" s="77" t="inlineStr">
        <is>
          <t>2026-10-13</t>
        </is>
      </c>
      <c r="K1113" s="77" t="inlineStr">
        <is>
          <t>page text (WebFetch, summarised by fetch model)</t>
        </is>
      </c>
      <c r="L1113" s="77" t="inlineStr">
        <is>
          <t>'a team of between 2-3 students'; four weeks May-June 2027; eligibility 'undergraduate students who have completed a Business Management, Accounting &amp; Finance or Marketing programme of study'; organisation provides brief with clear outcomes and supervisor; final report and showcase 23 June; 'it is absolutely free and does not constitute a contract of employment'; 40-80 cumulative hours.</t>
        </is>
      </c>
    </row>
    <row r="1114">
      <c r="A1114" s="77" t="inlineStr">
        <is>
          <t>UK24-S03-R1</t>
        </is>
      </c>
      <c r="B1114" s="77" t="inlineStr">
        <is>
          <t>UK24</t>
        </is>
      </c>
      <c r="C1114" s="77" t="inlineStr">
        <is>
          <t>UK24-S03</t>
        </is>
      </c>
      <c r="D1114" s="77" t="inlineStr">
        <is>
          <t>Client Project (Transformative Learning Journey module, Global MBA)</t>
        </is>
      </c>
      <c r="E1114" s="77" t="inlineStr">
        <is>
          <t>project; group; employer; participation; status</t>
        </is>
      </c>
      <c r="F1114" s="77" t="inlineStr">
        <is>
          <t>https://www.brookes.ac.uk/courses/postgraduate/oxford-brookes-mba</t>
        </is>
      </c>
      <c r="G1114" s="77" t="inlineStr">
        <is>
          <t>MBA in Oxford Brookes Global MBA</t>
        </is>
      </c>
      <c r="H1114" s="77" t="inlineStr">
        <is>
          <t>Compulsory modules</t>
        </is>
      </c>
      <c r="I1114" s="77" t="inlineStr">
        <is>
          <t>2026/27 intake</t>
        </is>
      </c>
      <c r="J1114" s="77" t="inlineStr">
        <is>
          <t>2026-10-13</t>
        </is>
      </c>
      <c r="K1114" s="77" t="inlineStr">
        <is>
          <t>page text (WebFetch, summarised by fetch model)</t>
        </is>
      </c>
      <c r="L1114" s="77" t="inlineStr">
        <is>
          <t>'The Client project, which is part of the transformative learning module gives you the opportunity to work in cross-cultural teams on a real problem within a client organisation'; final assessment for the module 'is a viva'; start 'September 2026 / March 2027'.</t>
        </is>
      </c>
    </row>
    <row r="1115">
      <c r="A1115" s="77" t="inlineStr">
        <is>
          <t>UK24-S04-R1</t>
        </is>
      </c>
      <c r="B1115" s="77" t="inlineStr">
        <is>
          <t>UK24</t>
        </is>
      </c>
      <c r="C1115" s="77" t="inlineStr">
        <is>
          <t>UK24-S04</t>
        </is>
      </c>
      <c r="D1115" s="77" t="inlineStr">
        <is>
          <t>Group Consultancy Project (MSc Management)</t>
        </is>
      </c>
      <c r="E1115" s="77" t="inlineStr">
        <is>
          <t>project; group; employer; participation; status</t>
        </is>
      </c>
      <c r="F1115" s="77" t="inlineStr">
        <is>
          <t>https://www.brookes.ac.uk/courses/postgraduate/management</t>
        </is>
      </c>
      <c r="G1115" s="77" t="inlineStr">
        <is>
          <t>MSc in Management</t>
        </is>
      </c>
      <c r="H1115" s="77" t="inlineStr">
        <is>
          <t>Optional modules</t>
        </is>
      </c>
      <c r="I1115" s="77" t="inlineStr">
        <is>
          <t>2026/27 intake</t>
        </is>
      </c>
      <c r="J1115" s="77" t="inlineStr">
        <is>
          <t>2026-10-13</t>
        </is>
      </c>
      <c r="K1115" s="77" t="inlineStr">
        <is>
          <t>page text (WebFetch, summarised by fetch model)</t>
        </is>
      </c>
      <c r="L1115" s="77" t="inlineStr">
        <is>
          <t>Group Consultancy Project (optional): 'gain project and consultancy experience working in cross-cultural teams'; 'You can work on a real problem within a client organisation'; 'Live case studies and group consultancy projects run throughout'.</t>
        </is>
      </c>
    </row>
    <row r="1116">
      <c r="A1116" s="77" t="inlineStr">
        <is>
          <t>UK24-S05-R1</t>
        </is>
      </c>
      <c r="B1116" s="77" t="inlineStr">
        <is>
          <t>UK24</t>
        </is>
      </c>
      <c r="C1116" s="77" t="inlineStr">
        <is>
          <t>UK24-S05</t>
        </is>
      </c>
      <c r="D1116" s="77" t="inlineStr">
        <is>
          <t>Live Client Strategic Project (BA Business and Management)</t>
        </is>
      </c>
      <c r="E1116" s="77" t="inlineStr">
        <is>
          <t>project; participation; status</t>
        </is>
      </c>
      <c r="F1116" s="77" t="inlineStr">
        <is>
          <t>https://www.brookes.ac.uk/courses/undergraduate/business-and-management</t>
        </is>
      </c>
      <c r="G1116" s="77" t="inlineStr">
        <is>
          <t>BA (Hons) in Business and Management</t>
        </is>
      </c>
      <c r="H1116" s="77" t="inlineStr">
        <is>
          <t>Year 2 compulsory modules</t>
        </is>
      </c>
      <c r="I1116" s="77" t="inlineStr">
        <is>
          <t>2026/27 intake</t>
        </is>
      </c>
      <c r="J1116" s="77" t="inlineStr">
        <is>
          <t>2026-10-13</t>
        </is>
      </c>
      <c r="K1116" s="77" t="inlineStr">
        <is>
          <t>page text (WebFetch, summarised by fetch model)</t>
        </is>
      </c>
      <c r="L1116" s="77" t="inlineStr">
        <is>
          <t>Live Client Strategic Project listed as compulsory Year 2; 'the use of live case studies provides students with a practical and experiential learning opportunity'.</t>
        </is>
      </c>
    </row>
    <row r="1117">
      <c r="A1117" s="77" t="inlineStr">
        <is>
          <t>UK24-S06-R1</t>
        </is>
      </c>
      <c r="B1117" s="77" t="inlineStr">
        <is>
          <t>UK24</t>
        </is>
      </c>
      <c r="C1117" s="77" t="inlineStr">
        <is>
          <t>UK24-S06</t>
        </is>
      </c>
      <c r="D1117" s="77" t="inlineStr">
        <is>
          <t>OB1 LIVE (School of Architecture live projects)</t>
        </is>
      </c>
      <c r="E1117" s="77" t="inlineStr">
        <is>
          <t>project; employer; reach; eligibility</t>
        </is>
      </c>
      <c r="F1117" s="77" t="inlineStr">
        <is>
          <t>https://www.brookes.ac.uk/study/subject-areas/architecture-and-the-built-environment/architecture-and-the-built-environment/live-projects</t>
        </is>
      </c>
      <c r="G1117" s="77" t="inlineStr">
        <is>
          <t>Live projects and OxArch</t>
        </is>
      </c>
      <c r="H1117" s="77" t="inlineStr">
        <is>
          <t>Live projects</t>
        </is>
      </c>
      <c r="I1117" s="77" t="inlineStr">
        <is>
          <t>undated</t>
        </is>
      </c>
      <c r="J1117" s="77" t="inlineStr">
        <is>
          <t>2026-10-13</t>
        </is>
      </c>
      <c r="K1117" s="77" t="inlineStr">
        <is>
          <t>page text (WebFetch, summarised by fetch model)</t>
        </is>
      </c>
      <c r="L1117" s="77" t="inlineStr">
        <is>
          <t>'All students in the School of Architecture are given the opportunity to design and make work for a real client.' 'We have strong links with local authorities, NGOs, developers'; most recent listed project OB1 LIVE 22 'Playable Buildings for the Audiograft Festival'.</t>
        </is>
      </c>
    </row>
    <row r="1118">
      <c r="A1118" s="77" t="inlineStr">
        <is>
          <t>UK25-S01-R1</t>
        </is>
      </c>
      <c r="B1118" s="77" t="inlineStr">
        <is>
          <t>UK25</t>
        </is>
      </c>
      <c r="C1118" s="77" t="inlineStr">
        <is>
          <t>UK25-S01</t>
        </is>
      </c>
      <c r="D1118" s="77" t="inlineStr">
        <is>
          <t>NX9626 Undergraduate Consultancy Project (Business Clinic)</t>
        </is>
      </c>
      <c r="E1118" s="77" t="inlineStr">
        <is>
          <t>project; group; employer; credit; status</t>
        </is>
      </c>
      <c r="F1118" s="77" t="inlineStr">
        <is>
          <t>https://corp.northumbria.ac.uk/study-at-northumbria/courses/ba-hons-business-management-uusbnb1/modules/nx9626-undergraduate-consultancy-project/2026/</t>
        </is>
      </c>
      <c r="G1118" s="77" t="inlineStr">
        <is>
          <t>NX9626 Undergraduate Consultancy Project</t>
        </is>
      </c>
      <c r="H1118" s="77" t="inlineStr">
        <is>
          <t>Module page</t>
        </is>
      </c>
      <c r="I1118" s="77" t="inlineStr">
        <is>
          <t>2026</t>
        </is>
      </c>
      <c r="J1118" s="77" t="inlineStr">
        <is>
          <t>2026-10-13</t>
        </is>
      </c>
      <c r="K1118" s="77" t="inlineStr">
        <is>
          <t>page text</t>
        </is>
      </c>
      <c r="L1118" s="77" t="inlineStr">
        <is>
          <t>'You will work on behalf of an external organisation, which has identified a business problem or question.' 'working in small group of typically 4 individuals (you will select their own team members)'. 'A group consultancy report (5,000 words) client presentation worth 60%'; individual literature review (3,000 words) and 2,000-word reflective statement.</t>
        </is>
      </c>
    </row>
    <row r="1119">
      <c r="A1119" s="77" t="inlineStr">
        <is>
          <t>UK25-S01-R2</t>
        </is>
      </c>
      <c r="B1119" s="77" t="inlineStr">
        <is>
          <t>UK25</t>
        </is>
      </c>
      <c r="C1119" s="77" t="inlineStr">
        <is>
          <t>UK25-S01</t>
        </is>
      </c>
      <c r="D1119" s="77" t="inlineStr">
        <is>
          <t>NX9626 Undergraduate Consultancy Project (Business Clinic)</t>
        </is>
      </c>
      <c r="E1119" s="77" t="inlineStr">
        <is>
          <t>project; group; employer; status; participation</t>
        </is>
      </c>
      <c r="F1119" s="77" t="inlineStr">
        <is>
          <t>https://newsroom.northumbria.ac.uk/pressreleases/students-support-growth-of-county-durham-community-hub-3459082</t>
        </is>
      </c>
      <c r="G1119" s="77" t="inlineStr">
        <is>
          <t>Students support growth of County Durham community hub</t>
        </is>
      </c>
      <c r="H1119" s="77" t="inlineStr">
        <is>
          <t>Press release</t>
        </is>
      </c>
      <c r="I1119" s="77" t="inlineStr">
        <is>
          <t>22 July 2026</t>
        </is>
      </c>
      <c r="J1119" s="77" t="inlineStr">
        <is>
          <t>2026-10-13</t>
        </is>
      </c>
      <c r="K1119" s="77" t="inlineStr">
        <is>
          <t>page text</t>
        </is>
      </c>
      <c r="L1119" s="77" t="inlineStr">
        <is>
          <t>Four final-year students worked for St Andrew's Parish Church producing a 'menu of recommendations'; Business Clinic 'over 950 consultancy projects' involving 'more than 3,820 students' since 2013.</t>
        </is>
      </c>
    </row>
    <row r="1120">
      <c r="A1120" s="77" t="inlineStr">
        <is>
          <t>UK25-S01-R3</t>
        </is>
      </c>
      <c r="B1120" s="77" t="inlineStr">
        <is>
          <t>UK25</t>
        </is>
      </c>
      <c r="C1120" s="77" t="inlineStr">
        <is>
          <t>UK25-S01</t>
        </is>
      </c>
      <c r="D1120" s="77" t="inlineStr">
        <is>
          <t>NX9626 Undergraduate Consultancy Project (Business Clinic)</t>
        </is>
      </c>
      <c r="E1120" s="77" t="inlineStr">
        <is>
          <t>reach; employer; group</t>
        </is>
      </c>
      <c r="F1120" s="77" t="inlineStr">
        <is>
          <t>https://www.northumbria.ac.uk/study-at-northumbria/planning-your-career/services-for-employers/connect-with-our-students/projects/</t>
        </is>
      </c>
      <c r="G1120" s="77" t="inlineStr">
        <is>
          <t>Projects (Connect with our students)</t>
        </is>
      </c>
      <c r="H1120" s="77" t="inlineStr">
        <is>
          <t>Business Clinic</t>
        </is>
      </c>
      <c r="I1120" s="77" t="inlineStr">
        <is>
          <t>undated</t>
        </is>
      </c>
      <c r="J1120" s="77" t="inlineStr">
        <is>
          <t>2026-10-13</t>
        </is>
      </c>
      <c r="K1120" s="77" t="inlineStr">
        <is>
          <t>page text</t>
        </is>
      </c>
      <c r="L1120" s="77" t="inlineStr">
        <is>
          <t>'Project delivered by final year business and marketing students'; employers get 'a full consultancy experience'; general note: 'Students typically work in small, focused teams under academic supervision.'</t>
        </is>
      </c>
    </row>
    <row r="1121">
      <c r="A1121" s="77" t="inlineStr">
        <is>
          <t>UK25-S02-R1</t>
        </is>
      </c>
      <c r="B1121" s="77" t="inlineStr">
        <is>
          <t>UK25</t>
        </is>
      </c>
      <c r="C1121" s="77" t="inlineStr">
        <is>
          <t>UK25-S02</t>
        </is>
      </c>
      <c r="D1121" s="77" t="inlineStr">
        <is>
          <t>NX0479 Business Clinic PG Group Consultancy Project (also NX0477 NBS Masters Consultancy Project)</t>
        </is>
      </c>
      <c r="E1121" s="77" t="inlineStr">
        <is>
          <t>project; group; employer; credit; status; participation</t>
        </is>
      </c>
      <c r="F1121" s="77" t="inlineStr">
        <is>
          <t>https://www.northumbria.ac.uk/study-at-northumbria/courses/msc-business-and-management-with-advanced-practice-dtsbdn6?moduleslug=nx0479-business-clinic-pg-group-consultancy-project&amp;alttemplate=df847541-4f68-426a-8940-4c60ff4c5262&amp;y=2026</t>
        </is>
      </c>
      <c r="G1121" s="77" t="inlineStr">
        <is>
          <t>NX0479 Business Clinic PG Group Consultancy Project</t>
        </is>
      </c>
      <c r="H1121" s="77" t="inlineStr">
        <is>
          <t>Module page</t>
        </is>
      </c>
      <c r="I1121" s="77" t="inlineStr">
        <is>
          <t>2026</t>
        </is>
      </c>
      <c r="J1121" s="77" t="inlineStr">
        <is>
          <t>2026-10-13</t>
        </is>
      </c>
      <c r="K1121" s="77" t="inlineStr">
        <is>
          <t>page text</t>
        </is>
      </c>
      <c r="L1121" s="77" t="inlineStr">
        <is>
          <t>'experiential learning activities in a work-based context'; 60 credits; 'the host organisation, which has provided the project'; 'Business Clinic clients'; runs 'within the first semester of your second years of Masters' study'; summative assessment is presentation to a panel and strategic report.</t>
        </is>
      </c>
    </row>
    <row r="1122">
      <c r="A1122" s="77" t="inlineStr">
        <is>
          <t>UK25-S03-R1</t>
        </is>
      </c>
      <c r="B1122" s="77" t="inlineStr">
        <is>
          <t>UK25</t>
        </is>
      </c>
      <c r="C1122" s="77" t="inlineStr">
        <is>
          <t>UK25-S03</t>
        </is>
      </c>
      <c r="D1122" s="77" t="inlineStr">
        <is>
          <t>Advanced Practice Semester via Engineering and Environment Live Projects Hub</t>
        </is>
      </c>
      <c r="E1122" s="77" t="inlineStr">
        <is>
          <t>project; group; employer; duration; participation</t>
        </is>
      </c>
      <c r="F1122" s="77" t="inlineStr">
        <is>
          <t>https://www.northumbria.ac.uk/business-services/education-and-training/ee-learning-hub/</t>
        </is>
      </c>
      <c r="G1122" s="77" t="inlineStr">
        <is>
          <t>Experiential Learning Live Projects Hub</t>
        </is>
      </c>
      <c r="H1122" s="77" t="inlineStr">
        <is>
          <t>Hub page</t>
        </is>
      </c>
      <c r="I1122" s="77" t="inlineStr">
        <is>
          <t>last reviewed 17 Oct 2023</t>
        </is>
      </c>
      <c r="J1122" s="77" t="inlineStr">
        <is>
          <t>2026-10-13</t>
        </is>
      </c>
      <c r="K1122" s="77" t="inlineStr">
        <is>
          <t>page text</t>
        </is>
      </c>
      <c r="L1122" s="77" t="inlineStr">
        <is>
          <t>Hub 'brings together industry clients and academic expertise to procure and deliver short term live projects'; 'small teams of students work together to deliver projects'; Master's projects run 12 weeks; clients submit ideas for September and January; 'no direct financial cost'; around 100 businesses.</t>
        </is>
      </c>
    </row>
    <row r="1123">
      <c r="A1123" s="77" t="inlineStr">
        <is>
          <t>UK25-S03-R2</t>
        </is>
      </c>
      <c r="B1123" s="77" t="inlineStr">
        <is>
          <t>UK25</t>
        </is>
      </c>
      <c r="C1123" s="77" t="inlineStr">
        <is>
          <t>UK25-S03</t>
        </is>
      </c>
      <c r="D1123" s="77" t="inlineStr">
        <is>
          <t>Advanced Practice Semester via Engineering and Environment Live Projects Hub</t>
        </is>
      </c>
      <c r="E1123" s="77" t="inlineStr">
        <is>
          <t>project; group; employer; credit; status</t>
        </is>
      </c>
      <c r="F1123" s="77" t="inlineStr">
        <is>
          <t>https://www.northumbria.ac.uk/study-at-northumbria/courses/master-of-science-mechanical-engineering-with-advanced-practice-dtsmgc6?moduleslug=kb7056-advanced-practice-semester&amp;alttemplate=df847541-4f68-426a-8940-4c60ff4c5262&amp;y=2026</t>
        </is>
      </c>
      <c r="G1123" s="77" t="inlineStr">
        <is>
          <t>KB7056 Advanced Practice Semester</t>
        </is>
      </c>
      <c r="H1123" s="77" t="inlineStr">
        <is>
          <t>Module page</t>
        </is>
      </c>
      <c r="I1123" s="77" t="inlineStr">
        <is>
          <t>2026</t>
        </is>
      </c>
      <c r="J1123" s="77" t="inlineStr">
        <is>
          <t>2026-10-13</t>
        </is>
      </c>
      <c r="K1123" s="77" t="inlineStr">
        <is>
          <t>page text</t>
        </is>
      </c>
      <c r="L1123" s="77" t="inlineStr">
        <is>
          <t>'experiential learning opportunities via the completion of a Live Project'; group presentation covering 'the objectives of the brief' and 'background to the company'; 60 credits; reflective account 3,000 words and ~15-minute group presentation, both pass/fail.</t>
        </is>
      </c>
    </row>
    <row r="1124">
      <c r="A1124" s="77" t="inlineStr">
        <is>
          <t>UK25-S04-R1</t>
        </is>
      </c>
      <c r="B1124" s="77" t="inlineStr">
        <is>
          <t>UK25</t>
        </is>
      </c>
      <c r="C1124" s="77" t="inlineStr">
        <is>
          <t>UK25-S04</t>
        </is>
      </c>
      <c r="D1124" s="77" t="inlineStr">
        <is>
          <t>KV5037 Computing Consultancy Project (Computing Live Projects)</t>
        </is>
      </c>
      <c r="E1124" s="77" t="inlineStr">
        <is>
          <t>project; group; employer; credit</t>
        </is>
      </c>
      <c r="F1124" s="77" t="inlineStr">
        <is>
          <t>https://www.northumbria.ac.uk/study-at-northumbria/courses/bsc-hons-business-computing-extended-degree-uusxcp1?moduleslug=kv5037-computing-consultancy-project&amp;alttemplate=df847541-4f68-426a-8940-4c60ff4c5262&amp;y=2027</t>
        </is>
      </c>
      <c r="G1124" s="77" t="inlineStr">
        <is>
          <t>KV5037 Computing Consultancy Project</t>
        </is>
      </c>
      <c r="H1124" s="77" t="inlineStr">
        <is>
          <t>Module page</t>
        </is>
      </c>
      <c r="I1124" s="77" t="inlineStr">
        <is>
          <t>2027 listing</t>
        </is>
      </c>
      <c r="J1124" s="77" t="inlineStr">
        <is>
          <t>2026-10-13</t>
        </is>
      </c>
      <c r="K1124" s="77" t="inlineStr">
        <is>
          <t>page text</t>
        </is>
      </c>
      <c r="L1124" s="77" t="inlineStr">
        <is>
          <t>Hands-on experience on a real-life project 'as a member of a team'; 'solving problems for businesses'; requirements negotiated with the client; 20 credits; Assignment 1 reflective log 50%, Assignment 2 group work 50%; peer assessment 'if a group has more than one student'.</t>
        </is>
      </c>
    </row>
    <row r="1125">
      <c r="A1125" s="77" t="inlineStr">
        <is>
          <t>UK25-S04-R2</t>
        </is>
      </c>
      <c r="B1125" s="77" t="inlineStr">
        <is>
          <t>UK25</t>
        </is>
      </c>
      <c r="C1125" s="77" t="inlineStr">
        <is>
          <t>UK25-S04</t>
        </is>
      </c>
      <c r="D1125" s="77" t="inlineStr">
        <is>
          <t>KV5037 Computing Consultancy Project (Computing Live Projects)</t>
        </is>
      </c>
      <c r="E1125" s="77" t="inlineStr">
        <is>
          <t>duration; reach</t>
        </is>
      </c>
      <c r="F1125" s="77" t="inlineStr">
        <is>
          <t>https://www.northumbria.ac.uk/study-at-northumbria/planning-your-career/services-for-employers/connect-with-our-students/projects/</t>
        </is>
      </c>
      <c r="G1125" s="77" t="inlineStr">
        <is>
          <t>Projects (Connect with our students)</t>
        </is>
      </c>
      <c r="H1125" s="77" t="inlineStr">
        <is>
          <t>Computing Live Projects</t>
        </is>
      </c>
      <c r="I1125" s="77" t="inlineStr">
        <is>
          <t>undated</t>
        </is>
      </c>
      <c r="J1125" s="77" t="inlineStr">
        <is>
          <t>2026-10-13</t>
        </is>
      </c>
      <c r="K1125" s="77" t="inlineStr">
        <is>
          <t>page text</t>
        </is>
      </c>
      <c r="L1125" s="77" t="inlineStr">
        <is>
          <t>'12-week undergraduate student projects in Business Computing, AI, Games, Data Science, Computing Science and Networks.'</t>
        </is>
      </c>
    </row>
    <row r="1126">
      <c r="A1126" s="77" t="inlineStr">
        <is>
          <t>UK26-S01-R1</t>
        </is>
      </c>
      <c r="B1126" s="77" t="inlineStr">
        <is>
          <t>UK26</t>
        </is>
      </c>
      <c r="C1126" s="77" t="inlineStr">
        <is>
          <t>UK26-S01</t>
        </is>
      </c>
      <c r="D1126" s="77" t="inlineStr">
        <is>
          <t>Business Consultancy Project (BCP)</t>
        </is>
      </c>
      <c r="E1126" s="77" t="inlineStr">
        <is>
          <t>project; employer; reach; eligibility; duration</t>
        </is>
      </c>
      <c r="F1126" s="77" t="inlineStr">
        <is>
          <t>https://www.port.ac.uk/business-consultancy-projects-bcp</t>
        </is>
      </c>
      <c r="G1126" s="77" t="inlineStr">
        <is>
          <t>Business Consultancy Projects</t>
        </is>
      </c>
      <c r="H1126" s="77" t="inlineStr">
        <is>
          <t>Main page</t>
        </is>
      </c>
      <c r="I1126" s="77" t="inlineStr">
        <is>
          <t>undated</t>
        </is>
      </c>
      <c r="J1126" s="77" t="inlineStr">
        <is>
          <t>2026-10-13</t>
        </is>
      </c>
      <c r="K1126" s="77" t="inlineStr">
        <is>
          <t>page text (WebFetch summary)</t>
        </is>
      </c>
      <c r="L1126" s="77" t="inlineStr">
        <is>
          <t>Final-year undergraduate students; 'A 10-week consultancy project'; 'Local small and medium organisations in the private, public or third sector'; 'consultancy report with recommendations you can act on'; 'a presentation and Q&amp;A with the students and a copy of the slides'; 'Each team is supported by an experienced academic colleague'; 'Students receive course credits rather than payment'; 'Long-established - hundreds of clients to date'.</t>
        </is>
      </c>
    </row>
    <row r="1127">
      <c r="A1127" s="77" t="inlineStr">
        <is>
          <t>UK26-S01-R2</t>
        </is>
      </c>
      <c r="B1127" s="77" t="inlineStr">
        <is>
          <t>UK26</t>
        </is>
      </c>
      <c r="C1127" s="77" t="inlineStr">
        <is>
          <t>UK26-S01</t>
        </is>
      </c>
      <c r="D1127" s="77" t="inlineStr">
        <is>
          <t>Business Consultancy Project (BCP)</t>
        </is>
      </c>
      <c r="E1127" s="77" t="inlineStr">
        <is>
          <t>group; credit; participation; employer</t>
        </is>
      </c>
      <c r="F1127" s="77" t="inlineStr">
        <is>
          <t>https://www.port.ac.uk/study/courses/undergraduate/ba-hons-business-and-management</t>
        </is>
      </c>
      <c r="G1127" s="77" t="inlineStr">
        <is>
          <t>BA (Hons) Business and Management</t>
        </is>
      </c>
      <c r="H1127" s="77" t="inlineStr">
        <is>
          <t>Modules / Careers</t>
        </is>
      </c>
      <c r="I1127" s="77" t="inlineStr">
        <is>
          <t>Sept 2027 entry</t>
        </is>
      </c>
      <c r="J1127" s="77" t="inlineStr">
        <is>
          <t>2026-10-13</t>
        </is>
      </c>
      <c r="K1127" s="77" t="inlineStr">
        <is>
          <t>page text (WebFetch summary)</t>
        </is>
      </c>
      <c r="L1127" s="77" t="inlineStr">
        <is>
          <t>'Business Consultancy Project - 20 credits' (optional); 'You'll work in a consultancy team of about four students'; 'The coursework is a mix of 60% group work and 40% individual assessment'; past clients Santander, Inovolt, the Instant Kitchen Company, Solent Recovery College, Express FM.</t>
        </is>
      </c>
    </row>
    <row r="1128">
      <c r="A1128" s="77" t="inlineStr">
        <is>
          <t>UK26-S01-R3</t>
        </is>
      </c>
      <c r="B1128" s="77" t="inlineStr">
        <is>
          <t>UK26</t>
        </is>
      </c>
      <c r="C1128" s="77" t="inlineStr">
        <is>
          <t>UK26-S01</t>
        </is>
      </c>
      <c r="D1128" s="77" t="inlineStr">
        <is>
          <t>Business Consultancy Project (BCP)</t>
        </is>
      </c>
      <c r="E1128" s="77" t="inlineStr">
        <is>
          <t>status</t>
        </is>
      </c>
      <c r="F1128" s="77" t="inlineStr">
        <is>
          <t>https://www.port.ac.uk/collaborate/business/work-with-our-students-and-graduates/business-consultancy/offer-a-business-consultancy-project</t>
        </is>
      </c>
      <c r="G1128" s="77" t="inlineStr">
        <is>
          <t>Apply for a Business Consultancy Project</t>
        </is>
      </c>
      <c r="H1128" s="77" t="inlineStr">
        <is>
          <t>Client application</t>
        </is>
      </c>
      <c r="I1128" s="77" t="inlineStr">
        <is>
          <t>2026</t>
        </is>
      </c>
      <c r="J1128" s="77" t="inlineStr">
        <is>
          <t>2026-10-13</t>
        </is>
      </c>
      <c r="K1128" s="77" t="inlineStr">
        <is>
          <t>page text (WebFetch summary)</t>
        </is>
      </c>
      <c r="L1128" s="77" t="inlineStr">
        <is>
          <t>'Applications for 2026 projects are currently closed.'</t>
        </is>
      </c>
    </row>
    <row r="1129">
      <c r="A1129" s="77" t="inlineStr">
        <is>
          <t>UK26-S01-R4</t>
        </is>
      </c>
      <c r="B1129" s="77" t="inlineStr">
        <is>
          <t>UK26</t>
        </is>
      </c>
      <c r="C1129" s="77" t="inlineStr">
        <is>
          <t>UK26-S01</t>
        </is>
      </c>
      <c r="D1129" s="77" t="inlineStr">
        <is>
          <t>Business Consultancy Project (BCP)</t>
        </is>
      </c>
      <c r="E1129" s="77" t="inlineStr">
        <is>
          <t>group; project</t>
        </is>
      </c>
      <c r="F1129" s="77" t="inlineStr">
        <is>
          <t>https://www.port.ac.uk/student-life/careers-and-employment/work-experience-opportunities</t>
        </is>
      </c>
      <c r="G1129" s="77" t="inlineStr">
        <is>
          <t>Work Experience for Students</t>
        </is>
      </c>
      <c r="H1129" s="77" t="inlineStr">
        <is>
          <t>Business Consultancy Project</t>
        </is>
      </c>
      <c r="I1129" s="77" t="inlineStr">
        <is>
          <t>undated</t>
        </is>
      </c>
      <c r="J1129" s="77" t="inlineStr">
        <is>
          <t>2026-10-13</t>
        </is>
      </c>
      <c r="K1129" s="77" t="inlineStr">
        <is>
          <t>page text (WebFetch summary)</t>
        </is>
      </c>
      <c r="L1129" s="77" t="inlineStr">
        <is>
          <t>'You'll work on a real brief in teams of 3-4 to bid for a business project from local organisations'.</t>
        </is>
      </c>
    </row>
    <row r="1130">
      <c r="A1130" s="77" t="inlineStr">
        <is>
          <t>UK26-S02-R1</t>
        </is>
      </c>
      <c r="B1130" s="77" t="inlineStr">
        <is>
          <t>UK26</t>
        </is>
      </c>
      <c r="C1130" s="77" t="inlineStr">
        <is>
          <t>UK26-S02</t>
        </is>
      </c>
      <c r="D1130" s="77" t="inlineStr">
        <is>
          <t>MBA Consultancy Projects</t>
        </is>
      </c>
      <c r="E1130" s="77" t="inlineStr">
        <is>
          <t>project; group; employer; duration</t>
        </is>
      </c>
      <c r="F1130" s="77" t="inlineStr">
        <is>
          <t>https://www.port.ac.uk/business/business-connect/business-advice/mba-consultancy-projects</t>
        </is>
      </c>
      <c r="G1130" s="77" t="inlineStr">
        <is>
          <t>MBA consultancy projects</t>
        </is>
      </c>
      <c r="H1130" s="77" t="inlineStr">
        <is>
          <t>Main page</t>
        </is>
      </c>
      <c r="I1130" s="77" t="inlineStr">
        <is>
          <t>undated (2026 footer)</t>
        </is>
      </c>
      <c r="J1130" s="77" t="inlineStr">
        <is>
          <t>2026-10-13</t>
        </is>
      </c>
      <c r="K1130" s="77" t="inlineStr">
        <is>
          <t>page text (WebFetch summary)</t>
        </is>
      </c>
      <c r="L1130" s="77" t="inlineStr">
        <is>
          <t>'a team of three or four postgraduate students from our Global MBA programme'; 'A 10-week consultancy project delivered by our postgraduate MBA students'; '10 Week Projects (June to September)'; 'A written consultancy report with recommendations, presented to you by the team at the end of the project.'</t>
        </is>
      </c>
    </row>
    <row r="1131">
      <c r="A1131" s="77" t="inlineStr">
        <is>
          <t>UK26-S03-R1</t>
        </is>
      </c>
      <c r="B1131" s="77" t="inlineStr">
        <is>
          <t>UK26</t>
        </is>
      </c>
      <c r="C1131" s="77" t="inlineStr">
        <is>
          <t>UK26-S03</t>
        </is>
      </c>
      <c r="D1131" s="77" t="inlineStr">
        <is>
          <t>Industrial Team Project (Computer Science)</t>
        </is>
      </c>
      <c r="E1131" s="77" t="inlineStr">
        <is>
          <t>project; group; employer; credit; participation</t>
        </is>
      </c>
      <c r="F1131" s="77" t="inlineStr">
        <is>
          <t>https://www.port.ac.uk/study/courses/undergraduate/bsc-meng-computer-science</t>
        </is>
      </c>
      <c r="G1131" s="77" t="inlineStr">
        <is>
          <t>BSc (Hons), MEng Computer Science</t>
        </is>
      </c>
      <c r="H1131" s="77" t="inlineStr">
        <is>
          <t>Modules</t>
        </is>
      </c>
      <c r="I1131" s="77" t="inlineStr">
        <is>
          <t>Sept 2027 entry</t>
        </is>
      </c>
      <c r="J1131" s="77" t="inlineStr">
        <is>
          <t>2026-10-13</t>
        </is>
      </c>
      <c r="K1131" s="77" t="inlineStr">
        <is>
          <t>page text (WebFetch summary)</t>
        </is>
      </c>
      <c r="L1131" s="77" t="inlineStr">
        <is>
          <t>'Industrial Team Project - 30 credits' (core); 'Work closely with an external client to build an industry-standard computing solution'; 'immersive group project'; 'Deliver a polished application along with client presentations'.</t>
        </is>
      </c>
    </row>
    <row r="1132">
      <c r="A1132" s="77" t="inlineStr">
        <is>
          <t>UK26-S04-R1</t>
        </is>
      </c>
      <c r="B1132" s="77" t="inlineStr">
        <is>
          <t>UK26</t>
        </is>
      </c>
      <c r="C1132" s="77" t="inlineStr">
        <is>
          <t>UK26-S04</t>
        </is>
      </c>
      <c r="D1132" s="77" t="inlineStr">
        <is>
          <t>Complex Problem Solving (Computer Science option)</t>
        </is>
      </c>
      <c r="E1132" s="77" t="inlineStr">
        <is>
          <t>project; group; employer; credit; participation</t>
        </is>
      </c>
      <c r="F1132" s="77" t="inlineStr">
        <is>
          <t>https://www.port.ac.uk/study/courses/undergraduate/bsc-meng-computer-science</t>
        </is>
      </c>
      <c r="G1132" s="77" t="inlineStr">
        <is>
          <t>BSc (Hons), MEng Computer Science</t>
        </is>
      </c>
      <c r="H1132" s="77" t="inlineStr">
        <is>
          <t>Modules</t>
        </is>
      </c>
      <c r="I1132" s="77" t="inlineStr">
        <is>
          <t>Sept 2027 entry</t>
        </is>
      </c>
      <c r="J1132" s="77" t="inlineStr">
        <is>
          <t>2026-10-13</t>
        </is>
      </c>
      <c r="K1132" s="77" t="inlineStr">
        <is>
          <t>page text (WebFetch summary)</t>
        </is>
      </c>
      <c r="L1132" s="77" t="inlineStr">
        <is>
          <t>'Complex Problem Solving - 20 credits' (optional); 'tackling an industry partner's real and complex brief'; 'You'll work in a team to analyse the issues, engage closely with the client'; 'a Minimum Viable Product (MVP) to propose to your client'.</t>
        </is>
      </c>
    </row>
    <row r="1133">
      <c r="A1133" s="77" t="inlineStr">
        <is>
          <t>UK26-S05-R1</t>
        </is>
      </c>
      <c r="B1133" s="77" t="inlineStr">
        <is>
          <t>UK26</t>
        </is>
      </c>
      <c r="C1133" s="77" t="inlineStr">
        <is>
          <t>UK26-S05</t>
        </is>
      </c>
      <c r="D1133" s="77" t="inlineStr">
        <is>
          <t>Law in Action</t>
        </is>
      </c>
      <c r="E1133" s="77" t="inlineStr">
        <is>
          <t>group; employer; credit; participation</t>
        </is>
      </c>
      <c r="F1133" s="77" t="inlineStr">
        <is>
          <t>https://www.port.ac.uk/study/courses/undergraduate/llb-hons-law-with-criminology</t>
        </is>
      </c>
      <c r="G1133" s="77" t="inlineStr">
        <is>
          <t>LLB (Hons) Law with Criminology</t>
        </is>
      </c>
      <c r="H1133" s="77" t="inlineStr">
        <is>
          <t>Modules</t>
        </is>
      </c>
      <c r="I1133" s="77" t="inlineStr">
        <is>
          <t>Sept 2027 entry</t>
        </is>
      </c>
      <c r="J1133" s="77" t="inlineStr">
        <is>
          <t>2026-10-13</t>
        </is>
      </c>
      <c r="K1133" s="77" t="inlineStr">
        <is>
          <t>page text (WebFetch summary)</t>
        </is>
      </c>
      <c r="L1133" s="77" t="inlineStr">
        <is>
          <t>'Law in Action' (20 credits, optional): 'You will work in teams to research, plan, and deliver a presentation on a legal issue' to a 'designated organisation (such as; charities, schools/colleges, and community organisations)'.</t>
        </is>
      </c>
    </row>
    <row r="1134">
      <c r="A1134" s="77" t="inlineStr">
        <is>
          <t>UK27-S01-R1</t>
        </is>
      </c>
      <c r="B1134" s="77" t="inlineStr">
        <is>
          <t>UK27</t>
        </is>
      </c>
      <c r="C1134" s="77" t="inlineStr">
        <is>
          <t>UK27-S01</t>
        </is>
      </c>
      <c r="D1134" s="77" t="inlineStr">
        <is>
          <t>Industrial Group Project (MEng/BEng Computer Systems Engineering)</t>
        </is>
      </c>
      <c r="E1134" s="77" t="inlineStr">
        <is>
          <t>project; group; employer; credit; participation</t>
        </is>
      </c>
      <c r="F1134" s="77" t="inlineStr">
        <is>
          <t>https://www.coventry.ac.uk/course-structure/ug/eec/computer-systems-engineering-mengbeng/</t>
        </is>
      </c>
      <c r="G1134" s="77" t="inlineStr">
        <is>
          <t>MEng/BEng (Hons) Computer Systems Engineering</t>
        </is>
      </c>
      <c r="H1134" s="77" t="inlineStr">
        <is>
          <t>Modules: Industrial Group Project</t>
        </is>
      </c>
      <c r="I1134" s="77" t="inlineStr">
        <is>
          <t>undated</t>
        </is>
      </c>
      <c r="J1134" s="77" t="inlineStr">
        <is>
          <t>2026-10-13</t>
        </is>
      </c>
      <c r="K1134" s="77" t="inlineStr">
        <is>
          <t>page text (WebFetch, summarised extract)</t>
        </is>
      </c>
      <c r="L1134" s="77" t="inlineStr">
        <is>
          <t>Industrial Group Project 60 credits, Compulsory; 'projects drawn from either our industry collaborators or our research groups'; 'managing client expectations'; 'The module culminates in a detailed written report and an oral presentation to academic staff and industry professionals.'</t>
        </is>
      </c>
    </row>
    <row r="1135">
      <c r="A1135" s="77" t="inlineStr">
        <is>
          <t>UK27-S02-R1</t>
        </is>
      </c>
      <c r="B1135" s="77" t="inlineStr">
        <is>
          <t>UK27</t>
        </is>
      </c>
      <c r="C1135" s="77" t="inlineStr">
        <is>
          <t>UK27-S02</t>
        </is>
      </c>
      <c r="D1135" s="77" t="inlineStr">
        <is>
          <t>Industrial Group Project (MEng/BEng Mechanical Engineering)</t>
        </is>
      </c>
      <c r="E1135" s="77" t="inlineStr">
        <is>
          <t>project; group; employer; credit; status</t>
        </is>
      </c>
      <c r="F1135" s="77" t="inlineStr">
        <is>
          <t>https://www.coventry.ac.uk/course-structure/ug/eec/mechanical-engineering-mengbeng-hons/</t>
        </is>
      </c>
      <c r="G1135" s="77" t="inlineStr">
        <is>
          <t>MEng/BEng (Hons) Mechanical Engineering</t>
        </is>
      </c>
      <c r="H1135" s="77" t="inlineStr">
        <is>
          <t>Modules</t>
        </is>
      </c>
      <c r="I1135" s="77" t="inlineStr">
        <is>
          <t>2026-27 / 2027-28 entry</t>
        </is>
      </c>
      <c r="J1135" s="77" t="inlineStr">
        <is>
          <t>2026-10-13</t>
        </is>
      </c>
      <c r="K1135" s="77" t="inlineStr">
        <is>
          <t>page text (WebFetch, summarised extract)</t>
        </is>
      </c>
      <c r="L1135" s="77" t="inlineStr">
        <is>
          <t>Industrial Group Project - 60 credits; 'Working in groups, define the problem, conduct research, develop and test solutions'; 'present your findings to an industry client'; 'in collaboration with industry collaborators'. Year of entry 2026-27, 2027-28.</t>
        </is>
      </c>
    </row>
    <row r="1136">
      <c r="A1136" s="77" t="inlineStr">
        <is>
          <t>UK27-S03-R1</t>
        </is>
      </c>
      <c r="B1136" s="77" t="inlineStr">
        <is>
          <t>UK27</t>
        </is>
      </c>
      <c r="C1136" s="77" t="inlineStr">
        <is>
          <t>UK27-S03</t>
        </is>
      </c>
      <c r="D1136" s="77" t="inlineStr">
        <is>
          <t>Group Consulting Project (Coventry University London)</t>
        </is>
      </c>
      <c r="E1136" s="77" t="inlineStr">
        <is>
          <t>project; group; employer</t>
        </is>
      </c>
      <c r="F1136" s="77" t="inlineStr">
        <is>
          <t>https://www.coventry.ac.uk/london/business/internships/</t>
        </is>
      </c>
      <c r="G1136" s="77" t="inlineStr">
        <is>
          <t>Internships and work experience</t>
        </is>
      </c>
      <c r="H1136" s="77" t="inlineStr">
        <is>
          <t>Group Consulting Project</t>
        </is>
      </c>
      <c r="I1136" s="77" t="inlineStr">
        <is>
          <t>undated</t>
        </is>
      </c>
      <c r="J1136" s="77" t="inlineStr">
        <is>
          <t>2026-10-13</t>
        </is>
      </c>
      <c r="K1136" s="77" t="inlineStr">
        <is>
          <t>page text (WebFetch, summarised extract)</t>
        </is>
      </c>
      <c r="L1136" s="77" t="inlineStr">
        <is>
          <t>'a group of students'; 'work exclusively as an external management consulting team'; 'working offsite at our city based campus'; employer provides brief; supported by Placement Manager and academic expert.</t>
        </is>
      </c>
    </row>
    <row r="1137">
      <c r="A1137" s="77" t="inlineStr">
        <is>
          <t>UK28-S01-R1</t>
        </is>
      </c>
      <c r="B1137" s="77" t="inlineStr">
        <is>
          <t>UK28</t>
        </is>
      </c>
      <c r="C1137" s="77" t="inlineStr">
        <is>
          <t>UK28-S01</t>
        </is>
      </c>
      <c r="D1137" s="77" t="inlineStr">
        <is>
          <t>Grads4Nottm</t>
        </is>
      </c>
      <c r="E1137" s="77" t="inlineStr">
        <is>
          <t>project; employer; status</t>
        </is>
      </c>
      <c r="F1137" s="77" t="inlineStr">
        <is>
          <t>https://www.ntu.ac.uk/about-us/news/news-articles/2024/06/nottingham-trent-university-students-celebrate-10th-year-of-solving-business-challenges-through-grads4nottm-initiative</t>
        </is>
      </c>
      <c r="G1137" s="77" t="inlineStr">
        <is>
          <t>Students celebrate 10th year of solving business challenges through Grads4Nottm</t>
        </is>
      </c>
      <c r="H1137" s="77" t="inlineStr">
        <is>
          <t>News</t>
        </is>
      </c>
      <c r="I1137" s="77" t="inlineStr">
        <is>
          <t>2024</t>
        </is>
      </c>
      <c r="J1137" s="77" t="inlineStr">
        <is>
          <t>2026-10-13</t>
        </is>
      </c>
      <c r="K1137" s="77" t="inlineStr">
        <is>
          <t>search-index extract (extended-mode search summary; direct page access blocked: WebFetch 403, curl met Cloudflare challenge and was not bypassed)</t>
        </is>
      </c>
      <c r="L1137" s="77" t="inlineStr">
        <is>
          <t>'a two-week work experience programme'; '27 local employers, from a variety of sectors, submitted projects for students to solve'; challenges advertised anonymously and participants matched; a team interviewed over 60 people.</t>
        </is>
      </c>
    </row>
    <row r="1138">
      <c r="A1138" s="77" t="inlineStr">
        <is>
          <t>UK28-S01-R2</t>
        </is>
      </c>
      <c r="B1138" s="77" t="inlineStr">
        <is>
          <t>UK28</t>
        </is>
      </c>
      <c r="C1138" s="77" t="inlineStr">
        <is>
          <t>UK28-S01</t>
        </is>
      </c>
      <c r="D1138" s="77" t="inlineStr">
        <is>
          <t>Grads4Nottm</t>
        </is>
      </c>
      <c r="E1138" s="77" t="inlineStr">
        <is>
          <t>group; employer; duration</t>
        </is>
      </c>
      <c r="F1138" s="77" t="inlineStr">
        <is>
          <t>https://www.ntu.ac.uk/about-us/news/news-articles/2023/02/the-project-promoting-nottingham-as-a-destination-for-graduate-employment-grads4nottm-is-back</t>
        </is>
      </c>
      <c r="G1138" s="77" t="inlineStr">
        <is>
          <t>Grads4Nottm is back!</t>
        </is>
      </c>
      <c r="H1138" s="77" t="inlineStr">
        <is>
          <t>News</t>
        </is>
      </c>
      <c r="I1138" s="77" t="inlineStr">
        <is>
          <t>2023</t>
        </is>
      </c>
      <c r="J1138" s="77" t="inlineStr">
        <is>
          <t>2026-10-13</t>
        </is>
      </c>
      <c r="K1138" s="77" t="inlineStr">
        <is>
          <t>search-index extract (extended-mode search summary; direct page access blocked: WebFetch 403, curl met Cloudflare challenge and was not bypassed)</t>
        </is>
      </c>
      <c r="L1138" s="77" t="inlineStr">
        <is>
          <t>Students and graduates work in groups (of up to 5) on real-life challenges; employers host their group; Challenge weeks Mon 5 - Thu 15 June 2023; Showcase Fri 16 June 2023.</t>
        </is>
      </c>
    </row>
    <row r="1139">
      <c r="A1139" s="77" t="inlineStr">
        <is>
          <t>UK28-S02-R1</t>
        </is>
      </c>
      <c r="B1139" s="77" t="inlineStr">
        <is>
          <t>UK28</t>
        </is>
      </c>
      <c r="C1139" s="77" t="inlineStr">
        <is>
          <t>UK28-S02</t>
        </is>
      </c>
      <c r="D1139" s="77" t="inlineStr">
        <is>
          <t>#NBSBright projects module</t>
        </is>
      </c>
      <c r="E1139" s="77" t="inlineStr">
        <is>
          <t>project; employer; status; duration</t>
        </is>
      </c>
      <c r="F1139" s="77" t="inlineStr">
        <is>
          <t>https://www.ntu.ac.uk/study-and-courses/academic-schools/nottingham-business-school/supporting-your-business/nbs-bright</t>
        </is>
      </c>
      <c r="G1139" s="77" t="inlineStr">
        <is>
          <t>#NBSBright</t>
        </is>
      </c>
      <c r="H1139" s="77" t="inlineStr">
        <is>
          <t>Business page</t>
        </is>
      </c>
      <c r="I1139" s="77" t="inlineStr">
        <is>
          <t>2026 dates on undated page</t>
        </is>
      </c>
      <c r="J1139" s="77" t="inlineStr">
        <is>
          <t>2026-10-13</t>
        </is>
      </c>
      <c r="K1139" s="77" t="inlineStr">
        <is>
          <t>search-index extract (extended-mode search summary; direct page access blocked: WebFetch 403, curl met Cloudflare challenge and was not bypassed)</t>
        </is>
      </c>
      <c r="L1139" s="77" t="inlineStr">
        <is>
          <t>'The students will work from the University, acting as consultants for you over the course of about seven weeks, leading to a final presentation in mid-November'; '#NBSBright projects Module will start the w/c 21st September 2026'; 'up to 50 businesses ... 1,800 students'.</t>
        </is>
      </c>
    </row>
    <row r="1140">
      <c r="A1140" s="77" t="inlineStr">
        <is>
          <t>UK28-S03-R1</t>
        </is>
      </c>
      <c r="B1140" s="77" t="inlineStr">
        <is>
          <t>UK28</t>
        </is>
      </c>
      <c r="C1140" s="77" t="inlineStr">
        <is>
          <t>UK28-S03</t>
        </is>
      </c>
      <c r="D1140" s="77" t="inlineStr">
        <is>
          <t>Postgraduate Consultancy Projects (Consultancy Experience Project)</t>
        </is>
      </c>
      <c r="E1140" s="77" t="inlineStr">
        <is>
          <t>project; group; employer</t>
        </is>
      </c>
      <c r="F1140" s="77" t="inlineStr">
        <is>
          <t>https://www.ntu.ac.uk/study-and-courses/academic-schools/nottingham-business-school/supporting-your-business/consultancy-and-support</t>
        </is>
      </c>
      <c r="G1140" s="77" t="inlineStr">
        <is>
          <t>Postgraduate Consultancy Projects</t>
        </is>
      </c>
      <c r="H1140" s="77" t="inlineStr">
        <is>
          <t>Page</t>
        </is>
      </c>
      <c r="I1140" s="77" t="inlineStr">
        <is>
          <t>undated</t>
        </is>
      </c>
      <c r="J1140" s="77" t="inlineStr">
        <is>
          <t>2026-10-13</t>
        </is>
      </c>
      <c r="K1140" s="77" t="inlineStr">
        <is>
          <t>search-index extract (extended-mode search summary; direct page access blocked: WebFetch 403, curl met Cloudflare challenge and was not bypassed)</t>
        </is>
      </c>
      <c r="L1140" s="77" t="inlineStr">
        <is>
          <t>Teams deliver a verbal report at the end with client Q&amp;A; MSc students prepare a 3,000-4,000 word report; clients have at least two meetings and attend the final presentation; 88% of past clients would take forward ideas.</t>
        </is>
      </c>
    </row>
    <row r="1141">
      <c r="A1141" s="77" t="inlineStr">
        <is>
          <t>UK28-S03-R2</t>
        </is>
      </c>
      <c r="B1141" s="77" t="inlineStr">
        <is>
          <t>UK28</t>
        </is>
      </c>
      <c r="C1141" s="77" t="inlineStr">
        <is>
          <t>UK28-S03</t>
        </is>
      </c>
      <c r="D1141" s="77" t="inlineStr">
        <is>
          <t>Postgraduate Consultancy Projects (Consultancy Experience Project)</t>
        </is>
      </c>
      <c r="E1141" s="77" t="inlineStr">
        <is>
          <t>group; employer; status</t>
        </is>
      </c>
      <c r="F1141" s="77" t="inlineStr">
        <is>
          <t>https://www.ntu.ac.uk/about-us/news/news-articles/2025/11/nottingham-business-school-students-support-local-primary-school-with-ambitious-expansion-plans</t>
        </is>
      </c>
      <c r="G1141" s="77" t="inlineStr">
        <is>
          <t>NBS students support local primary school with ambitious expansion plans</t>
        </is>
      </c>
      <c r="H1141" s="77" t="inlineStr">
        <is>
          <t>News</t>
        </is>
      </c>
      <c r="I1141" s="77" t="inlineStr">
        <is>
          <t>2025-11</t>
        </is>
      </c>
      <c r="J1141" s="77" t="inlineStr">
        <is>
          <t>2026-10-13</t>
        </is>
      </c>
      <c r="K1141" s="77" t="inlineStr">
        <is>
          <t>search-index extract (extended-mode search summary; direct page access blocked: WebFetch 403, curl met Cloudflare challenge and was not bypassed)</t>
        </is>
      </c>
      <c r="L1141" s="77" t="inlineStr">
        <is>
          <t>Four MSc Economics and Finance students provided socio-economic research and strategic analysis; professional report helped shape the school's business case.</t>
        </is>
      </c>
    </row>
    <row r="1142">
      <c r="A1142" s="77" t="inlineStr">
        <is>
          <t>UK28-S04-R1</t>
        </is>
      </c>
      <c r="B1142" s="77" t="inlineStr">
        <is>
          <t>UK28</t>
        </is>
      </c>
      <c r="C1142" s="77" t="inlineStr">
        <is>
          <t>UK28-S04</t>
        </is>
      </c>
      <c r="D1142" s="77" t="inlineStr">
        <is>
          <t>Developing Professional Impact (core final-year NBS module)</t>
        </is>
      </c>
      <c r="E1142" s="77" t="inlineStr">
        <is>
          <t>project; group; employer; participation</t>
        </is>
      </c>
      <c r="F1142" s="77" t="inlineStr">
        <is>
          <t>https://www.ntu.ac.uk/course/nottingham-business-school/ug/bsc-hons-accounting-and-finance</t>
        </is>
      </c>
      <c r="G1142" s="77" t="inlineStr">
        <is>
          <t>Accounting and Finance BSc (Hons)</t>
        </is>
      </c>
      <c r="H1142" s="77" t="inlineStr">
        <is>
          <t>Course page</t>
        </is>
      </c>
      <c r="I1142" s="77" t="inlineStr">
        <is>
          <t>undated</t>
        </is>
      </c>
      <c r="J1142" s="77" t="inlineStr">
        <is>
          <t>2026-10-13</t>
        </is>
      </c>
      <c r="K1142" s="77" t="inlineStr">
        <is>
          <t>search-index extract (extended-mode search summary; direct page access blocked: WebFetch 403, curl met Cloudflare challenge and was not bypassed)</t>
        </is>
      </c>
      <c r="L1142" s="77" t="inlineStr">
        <is>
          <t>Module text: apply skills 'in a live consultancy project'; 'A real organisation sets the project brief'; students 'work in a team ... and present findings and recommendations to the client and tutors'. Same text on Business BA page.</t>
        </is>
      </c>
    </row>
    <row r="1143">
      <c r="A1143" s="77" t="inlineStr">
        <is>
          <t>UK28-S05-R1</t>
        </is>
      </c>
      <c r="B1143" s="77" t="inlineStr">
        <is>
          <t>UK28</t>
        </is>
      </c>
      <c r="C1143" s="77" t="inlineStr">
        <is>
          <t>UK28-S05</t>
        </is>
      </c>
      <c r="D1143" s="77" t="inlineStr">
        <is>
          <t>Community Engaged Learning (CEL)</t>
        </is>
      </c>
      <c r="E1143" s="77" t="inlineStr">
        <is>
          <t>project; group; employer</t>
        </is>
      </c>
      <c r="F1143" s="77" t="inlineStr">
        <is>
          <t>https://www.ntu.ac.uk/about-us/the-centre-for-student-and-community-engagement/community-organisations/what-is-community-engaged-learning</t>
        </is>
      </c>
      <c r="G1143" s="77" t="inlineStr">
        <is>
          <t>Community Engaged Learning</t>
        </is>
      </c>
      <c r="H1143" s="77" t="inlineStr">
        <is>
          <t>Page</t>
        </is>
      </c>
      <c r="I1143" s="77" t="inlineStr">
        <is>
          <t>undated</t>
        </is>
      </c>
      <c r="J1143" s="77" t="inlineStr">
        <is>
          <t>2026-10-13</t>
        </is>
      </c>
      <c r="K1143" s="77" t="inlineStr">
        <is>
          <t>search-index extract (extended-mode search summary; direct page access blocked: WebFetch 403, curl met Cloudflare challenge and was not bypassed)</t>
        </is>
      </c>
      <c r="L1143" s="77" t="inlineStr">
        <is>
          <t>'Groups of students will be assigned to partner organisations and will be tasked with responding to a particular need that has been identified'; focused research, community consultations, analysis of organisation data, awareness campaigns; touchpoint meetings; partner agreement.</t>
        </is>
      </c>
    </row>
    <row r="1144">
      <c r="A1144" s="77" t="inlineStr">
        <is>
          <t>UK28-S05-R2</t>
        </is>
      </c>
      <c r="B1144" s="77" t="inlineStr">
        <is>
          <t>UK28</t>
        </is>
      </c>
      <c r="C1144" s="77" t="inlineStr">
        <is>
          <t>UK28-S05</t>
        </is>
      </c>
      <c r="D1144" s="77" t="inlineStr">
        <is>
          <t>Community Engaged Learning (CEL)</t>
        </is>
      </c>
      <c r="E1144" s="77" t="inlineStr">
        <is>
          <t>group; status; duration</t>
        </is>
      </c>
      <c r="F1144" s="77" t="inlineStr">
        <is>
          <t>https://www.ntu.ac.uk/about-us/the-centre-for-student-and-community-engagement/community-organisations/what-is-community-engaged-learning/year-two-sociology</t>
        </is>
      </c>
      <c r="G1144" s="77" t="inlineStr">
        <is>
          <t>Year Two BA (Hons) Sociology</t>
        </is>
      </c>
      <c r="H1144" s="77" t="inlineStr">
        <is>
          <t>CEL subpage</t>
        </is>
      </c>
      <c r="I1144" s="77" t="inlineStr">
        <is>
          <t>2026-27 timetable</t>
        </is>
      </c>
      <c r="J1144" s="77" t="inlineStr">
        <is>
          <t>2026-10-13</t>
        </is>
      </c>
      <c r="K1144" s="77" t="inlineStr">
        <is>
          <t>search-index extract (extended-mode search summary; direct page access blocked: WebFetch 403, curl met Cloudflare challenge and was not bypassed)</t>
        </is>
      </c>
      <c r="L1144" s="77" t="inlineStr">
        <is>
          <t>Partner works with a team of five students; activity phase January 2027; final feedback event April-May 2027 where students present findings and a written report.</t>
        </is>
      </c>
    </row>
    <row r="1145">
      <c r="A1145" s="77" t="inlineStr">
        <is>
          <t>UK28-S06-R1</t>
        </is>
      </c>
      <c r="B1145" s="77" t="inlineStr">
        <is>
          <t>UK28</t>
        </is>
      </c>
      <c r="C1145" s="77" t="inlineStr">
        <is>
          <t>UK28-S06</t>
        </is>
      </c>
      <c r="D1145" s="77" t="inlineStr">
        <is>
          <t>Product Design BA live industry briefs</t>
        </is>
      </c>
      <c r="E1145" s="77" t="inlineStr">
        <is>
          <t>project; group; employer</t>
        </is>
      </c>
      <c r="F1145" s="77" t="inlineStr">
        <is>
          <t>https://www.ntu.ac.uk/course/architecture-design-and-the-built-environment/ug/ba-hons-product-design</t>
        </is>
      </c>
      <c r="G1145" s="77" t="inlineStr">
        <is>
          <t>Product Design BA (Hons)</t>
        </is>
      </c>
      <c r="H1145" s="77" t="inlineStr">
        <is>
          <t>Course page</t>
        </is>
      </c>
      <c r="I1145" s="77" t="inlineStr">
        <is>
          <t>undated</t>
        </is>
      </c>
      <c r="J1145" s="77" t="inlineStr">
        <is>
          <t>2026-10-13</t>
        </is>
      </c>
      <c r="K1145" s="77" t="inlineStr">
        <is>
          <t>search-index extract (extended-mode search summary; direct page access blocked: WebFetch 403, curl met Cloudflare challenge and was not bypassed)</t>
        </is>
      </c>
      <c r="L1145" s="77" t="inlineStr">
        <is>
          <t>Students work on live project briefs with real industry clients incl. Nestle, PepsiCo, W'innovate, Herman Miller, Speedo; Matter project: 'In groups, we were challenged with designing three separate smart devices for the year 2025.'</t>
        </is>
      </c>
    </row>
    <row r="1146">
      <c r="A1146" s="77" t="inlineStr">
        <is>
          <t>UK28-S07-R1</t>
        </is>
      </c>
      <c r="B1146" s="77" t="inlineStr">
        <is>
          <t>UK28</t>
        </is>
      </c>
      <c r="C1146" s="77" t="inlineStr">
        <is>
          <t>UK28-S07</t>
        </is>
      </c>
      <c r="D1146" s="77" t="inlineStr">
        <is>
          <t>Co Lab (Nottingham School of Art &amp; Design)</t>
        </is>
      </c>
      <c r="E1146" s="77" t="inlineStr">
        <is>
          <t>project; group; employer; credit</t>
        </is>
      </c>
      <c r="F1146" s="77" t="inlineStr">
        <is>
          <t>https://www.ntu.ac.uk/study-and-courses/academic-schools/art-and-design/colab</t>
        </is>
      </c>
      <c r="G1146" s="77" t="inlineStr">
        <is>
          <t>Co Lab</t>
        </is>
      </c>
      <c r="H1146" s="77" t="inlineStr">
        <is>
          <t>Page</t>
        </is>
      </c>
      <c r="I1146" s="77" t="inlineStr">
        <is>
          <t>undated</t>
        </is>
      </c>
      <c r="J1146" s="77" t="inlineStr">
        <is>
          <t>2026-10-13</t>
        </is>
      </c>
      <c r="K1146" s="77" t="inlineStr">
        <is>
          <t>search-index extract (extended-mode search summary; direct page access blocked: WebFetch 403, curl met Cloudflare challenge and was not bypassed)</t>
        </is>
      </c>
      <c r="L1146" s="77" t="inlineStr">
        <is>
          <t>'an opportunity for you to come together and collaborate with other students from different subject specialisms, or with students from other universities on projects set by charities or industry partners'; Year 2 is an assessed 20 credit module.</t>
        </is>
      </c>
    </row>
    <row r="1147">
      <c r="A1147" s="77" t="inlineStr">
        <is>
          <t>UK28-S08-R1</t>
        </is>
      </c>
      <c r="B1147" s="77" t="inlineStr">
        <is>
          <t>UK28</t>
        </is>
      </c>
      <c r="C1147" s="77" t="inlineStr">
        <is>
          <t>UK28-S08</t>
        </is>
      </c>
      <c r="D1147" s="77" t="inlineStr">
        <is>
          <t>Mechanical Engineering Year 1 industry Design Challenge / Grand Challenge</t>
        </is>
      </c>
      <c r="E1147" s="77" t="inlineStr">
        <is>
          <t>project; group; employer</t>
        </is>
      </c>
      <c r="F1147" s="77" t="inlineStr">
        <is>
          <t>https://www.ntu.ac.uk/course/science-and-technology/ug/beng-hons-mechanical-engineering</t>
        </is>
      </c>
      <c r="G1147" s="77" t="inlineStr">
        <is>
          <t>Mechanical Engineering BEng (Hons)</t>
        </is>
      </c>
      <c r="H1147" s="77" t="inlineStr">
        <is>
          <t>Course page</t>
        </is>
      </c>
      <c r="I1147" s="77" t="inlineStr">
        <is>
          <t>undated</t>
        </is>
      </c>
      <c r="J1147" s="77" t="inlineStr">
        <is>
          <t>2026-10-13</t>
        </is>
      </c>
      <c r="K1147" s="77" t="inlineStr">
        <is>
          <t>search-index extract (extended-mode search summary; direct page access blocked: WebFetch 403, curl met Cloudflare challenge and was not bypassed)</t>
        </is>
      </c>
      <c r="L1147" s="77" t="inlineStr">
        <is>
          <t>'A three-day CAD training course on Autodesk Fusion ... followed by a Design Challenge set by industry. You will work in groups, applying the CAD skills you gained, to meet the brief set by industry.'</t>
        </is>
      </c>
    </row>
    <row r="1148">
      <c r="A1148" s="77" t="inlineStr">
        <is>
          <t>UK29-S01-R1</t>
        </is>
      </c>
      <c r="B1148" s="77" t="inlineStr">
        <is>
          <t>UK29</t>
        </is>
      </c>
      <c r="C1148" s="77" t="inlineStr">
        <is>
          <t>UK29-S01</t>
        </is>
      </c>
      <c r="D1148" s="77" t="inlineStr">
        <is>
          <t>Engaging the Humanities</t>
        </is>
      </c>
      <c r="E1148" s="77" t="inlineStr">
        <is>
          <t>project; group; employer; reach; participation; credit; status</t>
        </is>
      </c>
      <c r="F1148" s="77" t="inlineStr">
        <is>
          <t>https://manchester-met-innovate.mmu.ac.uk/2025/10/10/project-based-learning/</t>
        </is>
      </c>
      <c r="G1148" s="77" t="inlineStr">
        <is>
          <t>Immersive project-based learning within History, Politics, IR and Philosophy</t>
        </is>
      </c>
      <c r="H1148" s="77" t="inlineStr">
        <is>
          <t>Blog</t>
        </is>
      </c>
      <c r="I1148" s="77" t="inlineStr">
        <is>
          <t>2025 (Oct)</t>
        </is>
      </c>
      <c r="J1148" s="77" t="inlineStr">
        <is>
          <t>2026-10-13</t>
        </is>
      </c>
      <c r="K1148" s="77" t="inlineStr">
        <is>
          <t>search-index extract (quoted) - page fetch returned 403</t>
        </is>
      </c>
      <c r="L1148" s="77" t="inlineStr">
        <is>
          <t>15-credit Level 5 unit made compulsory in 2023/24 for History, Politics, IR and Philosophy; 11 weeks, Spring Semester, 164 students in 2024; interdisciplinary groups; live briefs co-developed with DEFRA, National Archives, Manchester Histories and internal teams; representatives pitch and give formative feedback.</t>
        </is>
      </c>
    </row>
    <row r="1149">
      <c r="A1149" s="77" t="inlineStr">
        <is>
          <t>UK29-S02-R1</t>
        </is>
      </c>
      <c r="B1149" s="77" t="inlineStr">
        <is>
          <t>UK29</t>
        </is>
      </c>
      <c r="C1149" s="77" t="inlineStr">
        <is>
          <t>UK29-S02</t>
        </is>
      </c>
      <c r="D1149" s="77" t="inlineStr">
        <is>
          <t>Rise project challenges</t>
        </is>
      </c>
      <c r="E1149" s="77" t="inlineStr">
        <is>
          <t>project; employer; reach; eligibility; credit</t>
        </is>
      </c>
      <c r="F1149" s="77" t="inlineStr">
        <is>
          <t>https://www.mmu.ac.uk/study/why-manchester-met/study-experience</t>
        </is>
      </c>
      <c r="G1149" s="77" t="inlineStr">
        <is>
          <t>Study experience</t>
        </is>
      </c>
      <c r="H1149" s="77" t="inlineStr">
        <is>
          <t>Rise section</t>
        </is>
      </c>
      <c r="I1149" s="77" t="inlineStr">
        <is>
          <t>undated</t>
        </is>
      </c>
      <c r="J1149" s="77" t="inlineStr">
        <is>
          <t>2026-10-13</t>
        </is>
      </c>
      <c r="K1149" s="77" t="inlineStr">
        <is>
          <t>page text (WebFetch)</t>
        </is>
      </c>
      <c r="L1149" s="77" t="inlineStr">
        <is>
          <t>Rise is 'an opportunity for every student to add bespoke experiences and expertise to their degree'; project challenges: 'respond to problems posed by advocates from the city'; students 'could even gain extra credits that improve your degree classification'.</t>
        </is>
      </c>
    </row>
    <row r="1150">
      <c r="A1150" s="77" t="inlineStr">
        <is>
          <t>UK29-S02-R2</t>
        </is>
      </c>
      <c r="B1150" s="77" t="inlineStr">
        <is>
          <t>UK29</t>
        </is>
      </c>
      <c r="C1150" s="77" t="inlineStr">
        <is>
          <t>UK29-S02</t>
        </is>
      </c>
      <c r="D1150" s="77" t="inlineStr">
        <is>
          <t>Rise project challenges</t>
        </is>
      </c>
      <c r="E1150" s="77" t="inlineStr">
        <is>
          <t>reach</t>
        </is>
      </c>
      <c r="F1150" s="77" t="inlineStr">
        <is>
          <t>https://rise.mmu.ac.uk/</t>
        </is>
      </c>
      <c r="G1150" s="77" t="inlineStr">
        <is>
          <t>Rise home</t>
        </is>
      </c>
      <c r="H1150" s="77" t="inlineStr">
        <is>
          <t>Home</t>
        </is>
      </c>
      <c r="I1150" s="77" t="inlineStr">
        <is>
          <t>undated</t>
        </is>
      </c>
      <c r="J1150" s="77" t="inlineStr">
        <is>
          <t>2026-10-13</t>
        </is>
      </c>
      <c r="K1150" s="77" t="inlineStr">
        <is>
          <t>search-summary paraphrase</t>
        </is>
      </c>
      <c r="L1150" s="77" t="inlineStr">
        <is>
          <t>Listed in search results as Rise home; Rise activities led by students, staff, external partners and employers.</t>
        </is>
      </c>
    </row>
    <row r="1151">
      <c r="A1151" s="77" t="inlineStr">
        <is>
          <t>UK29-S03-R1</t>
        </is>
      </c>
      <c r="B1151" s="77" t="inlineStr">
        <is>
          <t>UK29</t>
        </is>
      </c>
      <c r="C1151" s="77" t="inlineStr">
        <is>
          <t>UK29-S03</t>
        </is>
      </c>
      <c r="D1151" s="77" t="inlineStr">
        <is>
          <t>Student projects and consultancy (Business Services / talent recruitment)</t>
        </is>
      </c>
      <c r="E1151" s="77" t="inlineStr">
        <is>
          <t>project; employer</t>
        </is>
      </c>
      <c r="F1151" s="77" t="inlineStr">
        <is>
          <t>https://www.mmu.ac.uk/business-services/talent-recruitment-development/student-projects-consultancy</t>
        </is>
      </c>
      <c r="G1151" s="77" t="inlineStr">
        <is>
          <t>Student projects and consultancy</t>
        </is>
      </c>
      <c r="H1151" s="77" t="inlineStr">
        <is>
          <t>Main page</t>
        </is>
      </c>
      <c r="I1151" s="77" t="inlineStr">
        <is>
          <t>undated</t>
        </is>
      </c>
      <c r="J1151" s="77" t="inlineStr">
        <is>
          <t>2026-10-13</t>
        </is>
      </c>
      <c r="K1151" s="77" t="inlineStr">
        <is>
          <t>page text (WebFetch)</t>
        </is>
      </c>
      <c r="L1151" s="77" t="inlineStr">
        <is>
          <t>'work with our students on a project, supervised by an expert member of staff from Manchester Met'; 'set the scale of the project'; 'a written report, a presentation, or both, depending on the brief'; no team/individual statement, no dates.</t>
        </is>
      </c>
    </row>
    <row r="1152">
      <c r="A1152" s="77" t="inlineStr">
        <is>
          <t>UK29-S04-R1</t>
        </is>
      </c>
      <c r="B1152" s="77" t="inlineStr">
        <is>
          <t>UK29</t>
        </is>
      </c>
      <c r="C1152" s="77" t="inlineStr">
        <is>
          <t>UK29-S04</t>
        </is>
      </c>
      <c r="D1152" s="77" t="inlineStr">
        <is>
          <t>Work-integrated learning live projects (Faculty of Health and Education)</t>
        </is>
      </c>
      <c r="E1152" s="77" t="inlineStr">
        <is>
          <t>project; group; employer; reach</t>
        </is>
      </c>
      <c r="F1152" s="77" t="inlineStr">
        <is>
          <t>https://www.mmu.ac.uk/about-us/faculties/health-and-education/partnerships/work-integrated-learning</t>
        </is>
      </c>
      <c r="G1152" s="77" t="inlineStr">
        <is>
          <t>Work-integrated learning</t>
        </is>
      </c>
      <c r="H1152" s="77" t="inlineStr">
        <is>
          <t>Live projects</t>
        </is>
      </c>
      <c r="I1152" s="77" t="inlineStr">
        <is>
          <t>undated</t>
        </is>
      </c>
      <c r="J1152" s="77" t="inlineStr">
        <is>
          <t>2026-10-13</t>
        </is>
      </c>
      <c r="K1152" s="77" t="inlineStr">
        <is>
          <t>page text (WebFetch)</t>
        </is>
      </c>
      <c r="L1152" s="77" t="inlineStr">
        <is>
          <t>Students 'can work individually or in small groups on authentic live project briefs'; 'organisations are required to provide a project brief in advance'; 'WIL is a core element of all programmes within the Faculty of Health and Education'.</t>
        </is>
      </c>
    </row>
    <row r="1153">
      <c r="A1153" s="77" t="inlineStr">
        <is>
          <t>UK29-S05-R1</t>
        </is>
      </c>
      <c r="B1153" s="77" t="inlineStr">
        <is>
          <t>UK29</t>
        </is>
      </c>
      <c r="C1153" s="77" t="inlineStr">
        <is>
          <t>UK29-S05</t>
        </is>
      </c>
      <c r="D1153" s="77" t="inlineStr">
        <is>
          <t>Engineering live projects and Group Project (BEng Mechanical / Electrical)</t>
        </is>
      </c>
      <c r="E1153" s="77" t="inlineStr">
        <is>
          <t>project; group; employer</t>
        </is>
      </c>
      <c r="F1153" s="77" t="inlineStr">
        <is>
          <t>https://www.mmu.ac.uk/study/undergraduate/course/beng-mechanical-engineering</t>
        </is>
      </c>
      <c r="G1153" s="77" t="inlineStr">
        <is>
          <t>BEng (Hons) Mechanical Engineering</t>
        </is>
      </c>
      <c r="H1153" s="77" t="inlineStr">
        <is>
          <t>Course content</t>
        </is>
      </c>
      <c r="I1153" s="77" t="inlineStr">
        <is>
          <t>2027 entry</t>
        </is>
      </c>
      <c r="J1153" s="77" t="inlineStr">
        <is>
          <t>2026-10-13</t>
        </is>
      </c>
      <c r="K1153" s="77" t="inlineStr">
        <is>
          <t>page text (WebFetch)</t>
        </is>
      </c>
      <c r="L1153" s="77" t="inlineStr">
        <is>
          <t>'invite businesses and academic colleagues to set live projects'; core module Group Project in Year 2 (no description); 'collaborative projects, practical assessments, group work activities'.</t>
        </is>
      </c>
    </row>
    <row r="1154">
      <c r="A1154" s="77" t="inlineStr">
        <is>
          <t>UK30-S01-R1</t>
        </is>
      </c>
      <c r="B1154" s="77" t="inlineStr">
        <is>
          <t>UK30</t>
        </is>
      </c>
      <c r="C1154" s="77" t="inlineStr">
        <is>
          <t>UK30-S01</t>
        </is>
      </c>
      <c r="D1154" s="77" t="inlineStr">
        <is>
          <t>Leading Change, People and Projects (MBA)</t>
        </is>
      </c>
      <c r="E1154" s="77" t="inlineStr">
        <is>
          <t>project; group; employer; credit; participation</t>
        </is>
      </c>
      <c r="F1154" s="77" t="inlineStr">
        <is>
          <t>https://www.plymouth.ac.uk/courses/postgraduate/mba-master-of-business-administration</t>
        </is>
      </c>
      <c r="G1154" s="77" t="inlineStr">
        <is>
          <t>MBA Master of Business Administration - University of Plymouth</t>
        </is>
      </c>
      <c r="H1154" s="77" t="inlineStr">
        <is>
          <t>Core modules / Leading Change, People and Projects</t>
        </is>
      </c>
      <c r="I1154" s="77" t="inlineStr">
        <is>
          <t>undated</t>
        </is>
      </c>
      <c r="J1154" s="77" t="inlineStr">
        <is>
          <t>2026-10-13</t>
        </is>
      </c>
      <c r="K1154" s="77" t="inlineStr">
        <is>
          <t>page text (WebFetch summary, quoted)</t>
        </is>
      </c>
      <c r="L1154" s="77" t="inlineStr">
        <is>
          <t>'Over 10-14 weeks, you will engage with a real organisational brief.' 'The module culminates in you delivering a professional presentation to your client organisation.' 30 credits; listed under Core modules.</t>
        </is>
      </c>
    </row>
    <row r="1155">
      <c r="A1155" s="77" t="inlineStr">
        <is>
          <t>UK30-S02-R1</t>
        </is>
      </c>
      <c r="B1155" s="77" t="inlineStr">
        <is>
          <t>UK30</t>
        </is>
      </c>
      <c r="C1155" s="77" t="inlineStr">
        <is>
          <t>UK30-S02</t>
        </is>
      </c>
      <c r="D1155" s="77" t="inlineStr">
        <is>
          <t>BA Architecture live projects (Big Tent, Eco-pod, outdoor classroom)</t>
        </is>
      </c>
      <c r="E1155" s="77" t="inlineStr">
        <is>
          <t>project; group; employer</t>
        </is>
      </c>
      <c r="F1155" s="77" t="inlineStr">
        <is>
          <t>https://www.plymouth.ac.uk/courses/undergraduate/ba-architecture/live-projects</t>
        </is>
      </c>
      <c r="G1155" s="77" t="inlineStr">
        <is>
          <t>Architecture students' live projects - University of Plymouth</t>
        </is>
      </c>
      <c r="H1155" s="77" t="inlineStr">
        <is>
          <t>Live projects</t>
        </is>
      </c>
      <c r="I1155" s="77" t="inlineStr">
        <is>
          <t>undated</t>
        </is>
      </c>
      <c r="J1155" s="77" t="inlineStr">
        <is>
          <t>2026-10-13</t>
        </is>
      </c>
      <c r="K1155" s="77" t="inlineStr">
        <is>
          <t>page text (WebFetch summary, quoted)</t>
        </is>
      </c>
      <c r="L1155" s="77" t="inlineStr">
        <is>
          <t>Live briefs with 'industry professionals, clients and partner organisations'; Big Tent: Dartington Hall Trust brief, 14 groups, 5 days, built by students; outdoor classroom: teams proposed concepts and the client chose the winner.</t>
        </is>
      </c>
    </row>
    <row r="1156">
      <c r="A1156" s="77" t="inlineStr">
        <is>
          <t>UK30-S03-R1</t>
        </is>
      </c>
      <c r="B1156" s="77" t="inlineStr">
        <is>
          <t>UK30</t>
        </is>
      </c>
      <c r="C1156" s="77" t="inlineStr">
        <is>
          <t>UK30-S03</t>
        </is>
      </c>
      <c r="D1156" s="77" t="inlineStr">
        <is>
          <t>Creative Industry Collaboration (BA Photography Year 1)</t>
        </is>
      </c>
      <c r="E1156" s="77" t="inlineStr">
        <is>
          <t>group; employer; participation</t>
        </is>
      </c>
      <c r="F1156" s="77" t="inlineStr">
        <is>
          <t>https://www.plymouth.ac.uk/courses/undergraduate/ba-photography</t>
        </is>
      </c>
      <c r="G1156" s="77" t="inlineStr">
        <is>
          <t>BA (Hons) Photography - University of Plymouth</t>
        </is>
      </c>
      <c r="H1156" s="77" t="inlineStr">
        <is>
          <t>Year 1 core modules</t>
        </is>
      </c>
      <c r="I1156" s="77" t="inlineStr">
        <is>
          <t>undated</t>
        </is>
      </c>
      <c r="J1156" s="77" t="inlineStr">
        <is>
          <t>2026-10-13</t>
        </is>
      </c>
      <c r="K1156" s="77" t="inlineStr">
        <is>
          <t>page text (WebFetch summary, quoted)</t>
        </is>
      </c>
      <c r="L1156" s="77" t="inlineStr">
        <is>
          <t>MEDI423 Creative Industry Collaboration (Year 1, core): 'Work in teams to tackle a live brief set by a creative industry client or partner.'</t>
        </is>
      </c>
    </row>
    <row r="1157">
      <c r="A1157" s="77" t="inlineStr">
        <is>
          <t>UK30-S03-R2</t>
        </is>
      </c>
      <c r="B1157" s="77" t="inlineStr">
        <is>
          <t>UK30</t>
        </is>
      </c>
      <c r="C1157" s="77" t="inlineStr">
        <is>
          <t>UK30-S03</t>
        </is>
      </c>
      <c r="D1157" s="77" t="inlineStr">
        <is>
          <t>Creative Industry Collaboration (BA Photography Year 1)</t>
        </is>
      </c>
      <c r="E1157" s="77" t="inlineStr">
        <is>
          <t>employer; participation</t>
        </is>
      </c>
      <c r="F1157" s="77" t="inlineStr">
        <is>
          <t>https://www.plymouth.ac.uk/courses/undergraduate/ba-creative-media-with-foundation</t>
        </is>
      </c>
      <c r="G1157" s="77" t="inlineStr">
        <is>
          <t>BA (Hons) Creative Media with Foundation</t>
        </is>
      </c>
      <c r="H1157" s="77" t="inlineStr">
        <is>
          <t>Modules</t>
        </is>
      </c>
      <c r="I1157" s="77" t="inlineStr">
        <is>
          <t>undated</t>
        </is>
      </c>
      <c r="J1157" s="77" t="inlineStr">
        <is>
          <t>2026-10-13</t>
        </is>
      </c>
      <c r="K1157" s="77" t="inlineStr">
        <is>
          <t>page text (WebFetch summary, quoted)</t>
        </is>
      </c>
      <c r="L1157" s="77" t="inlineStr">
        <is>
          <t>Same module MEDI423 core Year 1; Year 3 core MEDI614 Collaborative Media Lab: 'Work with external partners to create a collaborative media project.'</t>
        </is>
      </c>
    </row>
    <row r="1158">
      <c r="A1158" s="77" t="inlineStr">
        <is>
          <t>UK30-S04-R1</t>
        </is>
      </c>
      <c r="B1158" s="77" t="inlineStr">
        <is>
          <t>UK30</t>
        </is>
      </c>
      <c r="C1158" s="77" t="inlineStr">
        <is>
          <t>UK30-S04</t>
        </is>
      </c>
      <c r="D1158" s="77" t="inlineStr">
        <is>
          <t>Business Project (Business Management with Foundation Year)</t>
        </is>
      </c>
      <c r="E1158" s="77" t="inlineStr">
        <is>
          <t>project; group; status; participation</t>
        </is>
      </c>
      <c r="F1158" s="77" t="inlineStr">
        <is>
          <t>https://www.plymouth.ac.uk/courses/undergraduate/bsc-business-management-with-foundation-year</t>
        </is>
      </c>
      <c r="G1158" s="77" t="inlineStr">
        <is>
          <t>BSc (Hons) Business Management with Foundation Year</t>
        </is>
      </c>
      <c r="H1158" s="77" t="inlineStr">
        <is>
          <t>Core modules, Foundation year</t>
        </is>
      </c>
      <c r="I1158" s="77" t="inlineStr">
        <is>
          <t>2026-27 fees shown</t>
        </is>
      </c>
      <c r="J1158" s="77" t="inlineStr">
        <is>
          <t>2026-10-13</t>
        </is>
      </c>
      <c r="K1158" s="77" t="inlineStr">
        <is>
          <t>page text (WebFetch summary, quoted)</t>
        </is>
      </c>
      <c r="L1158" s="77" t="inlineStr">
        <is>
          <t>'You'll work in a team to plan, deliver, and evaluate a real business or community project' while developing an entrepreneurial mindset.</t>
        </is>
      </c>
    </row>
    <row r="1159">
      <c r="A1159" s="77" t="inlineStr">
        <is>
          <t>UK30-S05-R1</t>
        </is>
      </c>
      <c r="B1159" s="77" t="inlineStr">
        <is>
          <t>UK30</t>
        </is>
      </c>
      <c r="C1159" s="77" t="inlineStr">
        <is>
          <t>UK30-S05</t>
        </is>
      </c>
      <c r="D1159" s="77" t="inlineStr">
        <is>
          <t>MEng Group Project (Electrical and Electronic Engineering)</t>
        </is>
      </c>
      <c r="E1159" s="77" t="inlineStr">
        <is>
          <t>project; group; credit; participation</t>
        </is>
      </c>
      <c r="F1159" s="77" t="inlineStr">
        <is>
          <t>https://www.plymouth.ac.uk/courses/undergraduate/meng-electrical-and-electronic-engineering</t>
        </is>
      </c>
      <c r="G1159" s="77" t="inlineStr">
        <is>
          <t>MEng (Hons) Electrical and Electronic Engineering</t>
        </is>
      </c>
      <c r="H1159" s="77" t="inlineStr">
        <is>
          <t>Final year core modules</t>
        </is>
      </c>
      <c r="I1159" s="77" t="inlineStr">
        <is>
          <t>undated</t>
        </is>
      </c>
      <c r="J1159" s="77" t="inlineStr">
        <is>
          <t>2026-10-13</t>
        </is>
      </c>
      <c r="K1159" s="77" t="inlineStr">
        <is>
          <t>page text (WebFetch summary, quoted)</t>
        </is>
      </c>
      <c r="L1159" s="77" t="inlineStr">
        <is>
          <t>PROJ500 60 credits: 'complex, real-world problem drawn from industry, commerce, or research'; 'teams are expected to design and build a prototype'.</t>
        </is>
      </c>
    </row>
    <row r="1160">
      <c r="A1160" s="77" t="inlineStr">
        <is>
          <t>UK30-S06-R1</t>
        </is>
      </c>
      <c r="B1160" s="77" t="inlineStr">
        <is>
          <t>UK30</t>
        </is>
      </c>
      <c r="C1160" s="77" t="inlineStr">
        <is>
          <t>UK30-S06</t>
        </is>
      </c>
      <c r="D1160" s="77" t="inlineStr">
        <is>
          <t>Inspiring Futures (Faculty of Arts, Humanities and Business)</t>
        </is>
      </c>
      <c r="E1160" s="77" t="inlineStr">
        <is>
          <t>project; employer; reach</t>
        </is>
      </c>
      <c r="F1160" s="77" t="inlineStr">
        <is>
          <t>https://www.plymouth.ac.uk/schools/plymouth-business-school/inspiring-futures</t>
        </is>
      </c>
      <c r="G1160" s="77" t="inlineStr">
        <is>
          <t>Inspiring Futures - University of Plymouth</t>
        </is>
      </c>
      <c r="H1160" s="77" t="inlineStr">
        <is>
          <t>Main page</t>
        </is>
      </c>
      <c r="I1160" s="77" t="inlineStr">
        <is>
          <t>undated</t>
        </is>
      </c>
      <c r="J1160" s="77" t="inlineStr">
        <is>
          <t>2026-10-13</t>
        </is>
      </c>
      <c r="K1160" s="77" t="inlineStr">
        <is>
          <t>page text (WebFetch summary, quoted)</t>
        </is>
      </c>
      <c r="L1160" s="77" t="inlineStr">
        <is>
          <t>Students 'engage in knowledge exchange activities' such as consultancy projects as part of their course; named partners and outputs listed; page does not give a start year.</t>
        </is>
      </c>
    </row>
    <row r="1161">
      <c r="A1161" s="77" t="inlineStr">
        <is>
          <t>US01-S01-R1</t>
        </is>
      </c>
      <c r="B1161" s="77" t="inlineStr">
        <is>
          <t>US01</t>
        </is>
      </c>
      <c r="C1161" s="77" t="inlineStr">
        <is>
          <t>US01-S01</t>
        </is>
      </c>
      <c r="D1161" s="77" t="inlineStr">
        <is>
          <t>MIT Sloan Action Learning Labs</t>
        </is>
      </c>
      <c r="E1161" s="77" t="inlineStr">
        <is>
          <t>project; employer</t>
        </is>
      </c>
      <c r="F1161" s="77" t="inlineStr">
        <is>
          <t>https://mitsloan.mit.edu/action-learning</t>
        </is>
      </c>
      <c r="G1161" s="77" t="inlineStr">
        <is>
          <t>Action Learning</t>
        </is>
      </c>
      <c r="H1161" s="77" t="inlineStr">
        <is>
          <t>Overview</t>
        </is>
      </c>
      <c r="I1161" s="77" t="inlineStr">
        <is>
          <t>undated</t>
        </is>
      </c>
      <c r="J1161" s="77" t="inlineStr">
        <is>
          <t>2026-10-13</t>
        </is>
      </c>
      <c r="K1161" s="77" t="inlineStr">
        <is>
          <t>page text (WebFetch summary)</t>
        </is>
      </c>
      <c r="L1161" s="77" t="inlineStr">
        <is>
          <t>Students apply classroom learning to a real business challenge; partners include community foundations, financial services firms, government bodies, healthcare organisations, nonprofits, multinationals and startups; worked with 'over 2,700 organizations'.</t>
        </is>
      </c>
    </row>
    <row r="1162">
      <c r="A1162" s="77" t="inlineStr">
        <is>
          <t>US01-S01-R2</t>
        </is>
      </c>
      <c r="B1162" s="77" t="inlineStr">
        <is>
          <t>US01</t>
        </is>
      </c>
      <c r="C1162" s="77" t="inlineStr">
        <is>
          <t>US01-S01</t>
        </is>
      </c>
      <c r="D1162" s="77" t="inlineStr">
        <is>
          <t>MIT Sloan Action Learning Labs</t>
        </is>
      </c>
      <c r="E1162" s="77" t="inlineStr">
        <is>
          <t>project; group; employer</t>
        </is>
      </c>
      <c r="F1162" s="77" t="inlineStr">
        <is>
          <t>https://mitsloan.mit.edu/action-learning/info-hosts-1</t>
        </is>
      </c>
      <c r="G1162" s="77" t="inlineStr">
        <is>
          <t>Info For Hosts</t>
        </is>
      </c>
      <c r="H1162" s="77" t="inlineStr">
        <is>
          <t>Hosts</t>
        </is>
      </c>
      <c r="I1162" s="77" t="inlineStr">
        <is>
          <t>undated</t>
        </is>
      </c>
      <c r="J1162" s="77" t="inlineStr">
        <is>
          <t>2026-10-13</t>
        </is>
      </c>
      <c r="K1162" s="77" t="inlineStr">
        <is>
          <t>page text (WebFetch summary)</t>
        </is>
      </c>
      <c r="L1162" s="77" t="inlineStr">
        <is>
          <t>'four-person teams' with an MIT Sloan faculty mentor; hosts cover airfare and lodging and assign an executive sponsor and primary contact; teams provide 'options and recommendations for the host organization's problem'.</t>
        </is>
      </c>
    </row>
    <row r="1163">
      <c r="A1163" s="77" t="inlineStr">
        <is>
          <t>US01-S01-R3</t>
        </is>
      </c>
      <c r="B1163" s="77" t="inlineStr">
        <is>
          <t>US01</t>
        </is>
      </c>
      <c r="C1163" s="77" t="inlineStr">
        <is>
          <t>US01-S01</t>
        </is>
      </c>
      <c r="D1163" s="77" t="inlineStr">
        <is>
          <t>MIT Sloan Action Learning Labs</t>
        </is>
      </c>
      <c r="E1163" s="77" t="inlineStr">
        <is>
          <t>status; employer</t>
        </is>
      </c>
      <c r="F1163" s="77" t="inlineStr">
        <is>
          <t>https://mitsloan.mit.edu/centers-initiatives/institute-work-and-employment-research/new-mit-sloan-action-learning-course-offering-work-lab-building-better-jobs</t>
        </is>
      </c>
      <c r="G1163" s="77" t="inlineStr">
        <is>
          <t>New MIT Sloan Action Learning Course Offering: Work Lab</t>
        </is>
      </c>
      <c r="H1163" s="77" t="inlineStr">
        <is>
          <t>News</t>
        </is>
      </c>
      <c r="I1163" s="77" t="inlineStr">
        <is>
          <t>2026</t>
        </is>
      </c>
      <c r="J1163" s="77" t="inlineStr">
        <is>
          <t>2026-10-13</t>
        </is>
      </c>
      <c r="K1163" s="77" t="inlineStr">
        <is>
          <t>search-summary paraphrase</t>
        </is>
      </c>
      <c r="L1163" s="77" t="inlineStr">
        <is>
          <t>15.679 Work Lab: Building Better Jobs, half-semester Action Learning course first offered spring 2026, students work with employers and workforce development organisations.</t>
        </is>
      </c>
    </row>
    <row r="1164">
      <c r="A1164" s="77" t="inlineStr">
        <is>
          <t>US01-S02-R1</t>
        </is>
      </c>
      <c r="B1164" s="77" t="inlineStr">
        <is>
          <t>US01</t>
        </is>
      </c>
      <c r="C1164" s="77" t="inlineStr">
        <is>
          <t>US01-S02</t>
        </is>
      </c>
      <c r="D1164" s="77" t="inlineStr">
        <is>
          <t>OP Team Project (MIT Sloan Action Learning)</t>
        </is>
      </c>
      <c r="E1164" s="77" t="inlineStr">
        <is>
          <t>project; group; employer; participation; eligibility</t>
        </is>
      </c>
      <c r="F1164" s="77" t="inlineStr">
        <is>
          <t>https://mitsloan.mit.edu/action-learning/op-team-project</t>
        </is>
      </c>
      <c r="G1164" s="77" t="inlineStr">
        <is>
          <t>OP Team Project: Welcome</t>
        </is>
      </c>
      <c r="H1164" s="77" t="inlineStr">
        <is>
          <t>Welcome</t>
        </is>
      </c>
      <c r="I1164" s="77" t="inlineStr">
        <is>
          <t>undated</t>
        </is>
      </c>
      <c r="J1164" s="77" t="inlineStr">
        <is>
          <t>2026-10-13</t>
        </is>
      </c>
      <c r="K1164" s="77" t="inlineStr">
        <is>
          <t>page text (WebFetch summary)</t>
        </is>
      </c>
      <c r="L1164" s="77" t="inlineStr">
        <is>
          <t>'each team of six high-performing students'; 'analyzing a live case study with a real company'; 'a core course for all 450+ first-year MIT Sloan MBA students'.</t>
        </is>
      </c>
    </row>
    <row r="1165">
      <c r="A1165" s="77" t="inlineStr">
        <is>
          <t>US01-S03-R1</t>
        </is>
      </c>
      <c r="B1165" s="77" t="inlineStr">
        <is>
          <t>US01</t>
        </is>
      </c>
      <c r="C1165" s="77" t="inlineStr">
        <is>
          <t>US01-S03</t>
        </is>
      </c>
      <c r="D1165" s="77" t="inlineStr">
        <is>
          <t>Master of Business Analytics Capstone</t>
        </is>
      </c>
      <c r="E1165" s="77" t="inlineStr">
        <is>
          <t>employer; status</t>
        </is>
      </c>
      <c r="F1165" s="77" t="inlineStr">
        <is>
          <t>https://mitsloan.mit.edu/programs/master-business-analytics/propose-a-project</t>
        </is>
      </c>
      <c r="G1165" s="77" t="inlineStr">
        <is>
          <t>Propose a Project</t>
        </is>
      </c>
      <c r="H1165" s="77" t="inlineStr">
        <is>
          <t>Propose a project</t>
        </is>
      </c>
      <c r="I1165" s="77" t="inlineStr">
        <is>
          <t>2026</t>
        </is>
      </c>
      <c r="J1165" s="77" t="inlineStr">
        <is>
          <t>2026-10-13</t>
        </is>
      </c>
      <c r="K1165" s="77" t="inlineStr">
        <is>
          <t>page text (WebFetch summary)</t>
        </is>
      </c>
      <c r="L1165" s="77" t="inlineStr">
        <is>
          <t>Sponsoring a Capstone project 'requires a financial commitment, staff mentor'; NDA and Statement of Work; 'The Deadline for Project Submission for 2027 Capstone Projects is Nov 1, 2026.'</t>
        </is>
      </c>
    </row>
    <row r="1166">
      <c r="A1166" s="77" t="inlineStr">
        <is>
          <t>US01-S03-R2</t>
        </is>
      </c>
      <c r="B1166" s="77" t="inlineStr">
        <is>
          <t>US01</t>
        </is>
      </c>
      <c r="C1166" s="77" t="inlineStr">
        <is>
          <t>US01-S03</t>
        </is>
      </c>
      <c r="D1166" s="77" t="inlineStr">
        <is>
          <t>Master of Business Analytics Capstone</t>
        </is>
      </c>
      <c r="E1166" s="77" t="inlineStr">
        <is>
          <t>project; group; employer; status</t>
        </is>
      </c>
      <c r="F1166" s="77" t="inlineStr">
        <is>
          <t>https://mitsloan.mit.edu/programs/master-business-analytics/2025-capstone-projects</t>
        </is>
      </c>
      <c r="G1166" s="77" t="inlineStr">
        <is>
          <t>2025 Capstone Projects</t>
        </is>
      </c>
      <c r="H1166" s="77" t="inlineStr">
        <is>
          <t>Project list</t>
        </is>
      </c>
      <c r="I1166" s="77" t="inlineStr">
        <is>
          <t>2025</t>
        </is>
      </c>
      <c r="J1166" s="77" t="inlineStr">
        <is>
          <t>2026-10-13</t>
        </is>
      </c>
      <c r="K1166" s="77" t="inlineStr">
        <is>
          <t>page text (WebFetch summary)</t>
        </is>
      </c>
      <c r="L1166" s="77" t="inlineStr">
        <is>
          <t>41 projects, 38 unique sponsors; most projects list two students and one faculty advisor, two list one student; each links to a poster PDF.</t>
        </is>
      </c>
    </row>
    <row r="1167">
      <c r="A1167" s="77" t="inlineStr">
        <is>
          <t>US01-S04-R1</t>
        </is>
      </c>
      <c r="B1167" s="77" t="inlineStr">
        <is>
          <t>US01</t>
        </is>
      </c>
      <c r="C1167" s="77" t="inlineStr">
        <is>
          <t>US01-S04</t>
        </is>
      </c>
      <c r="D1167" s="77" t="inlineStr">
        <is>
          <t>Supply Chain Management Capstone (CTL sponsored projects)</t>
        </is>
      </c>
      <c r="E1167" s="77" t="inlineStr">
        <is>
          <t>project; group; employer</t>
        </is>
      </c>
      <c r="F1167" s="77" t="inlineStr">
        <is>
          <t>https://ctl.mit.edu/capstone-sponsorship</t>
        </is>
      </c>
      <c r="G1167" s="77" t="inlineStr">
        <is>
          <t>Capstone Sponsorship</t>
        </is>
      </c>
      <c r="H1167" s="77" t="inlineStr">
        <is>
          <t>Capstone Sponsorship</t>
        </is>
      </c>
      <c r="I1167" s="77" t="inlineStr">
        <is>
          <t>undated</t>
        </is>
      </c>
      <c r="J1167" s="77" t="inlineStr">
        <is>
          <t>2026-10-13</t>
        </is>
      </c>
      <c r="K1167" s="77" t="inlineStr">
        <is>
          <t>page text (WebFetch summary)</t>
        </is>
      </c>
      <c r="L1167" s="77" t="inlineStr">
        <is>
          <t>'Each project is designed around a problem identified by an industry organization'; over a '10-month engagement'; deliverables written report, models or prototypes, executive final presentation.</t>
        </is>
      </c>
    </row>
    <row r="1168">
      <c r="A1168" s="77" t="inlineStr">
        <is>
          <t>US01-S04-R2</t>
        </is>
      </c>
      <c r="B1168" s="77" t="inlineStr">
        <is>
          <t>US01</t>
        </is>
      </c>
      <c r="C1168" s="77" t="inlineStr">
        <is>
          <t>US01-S04</t>
        </is>
      </c>
      <c r="D1168" s="77" t="inlineStr">
        <is>
          <t>Supply Chain Management Capstone (CTL sponsored projects)</t>
        </is>
      </c>
      <c r="E1168" s="77" t="inlineStr">
        <is>
          <t>participation</t>
        </is>
      </c>
      <c r="F1168" s="77" t="inlineStr">
        <is>
          <t>https://scm.mit.edu/thesis-and-capstone-research-projects/</t>
        </is>
      </c>
      <c r="G1168" s="77" t="inlineStr">
        <is>
          <t>Thesis and capstone projects - SCM</t>
        </is>
      </c>
      <c r="H1168" s="77" t="inlineStr">
        <is>
          <t>Overview</t>
        </is>
      </c>
      <c r="I1168" s="77" t="inlineStr">
        <is>
          <t>undated</t>
        </is>
      </c>
      <c r="J1168" s="77" t="inlineStr">
        <is>
          <t>2026-10-13</t>
        </is>
      </c>
      <c r="K1168" s="77" t="inlineStr">
        <is>
          <t>search-summary paraphrase</t>
        </is>
      </c>
      <c r="L1168" s="77" t="inlineStr">
        <is>
          <t>Approximately 80 students complete about 45 one-year projects each year (search summary only; page not opened).</t>
        </is>
      </c>
    </row>
    <row r="1169">
      <c r="A1169" s="77" t="inlineStr">
        <is>
          <t>US01-S05-R1</t>
        </is>
      </c>
      <c r="B1169" s="77" t="inlineStr">
        <is>
          <t>US01</t>
        </is>
      </c>
      <c r="C1169" s="77" t="inlineStr">
        <is>
          <t>US01-S05</t>
        </is>
      </c>
      <c r="D1169" s="77" t="inlineStr">
        <is>
          <t>System Design and Management spring project</t>
        </is>
      </c>
      <c r="E1169" s="77" t="inlineStr">
        <is>
          <t>project; group; employer; status</t>
        </is>
      </c>
      <c r="F1169" s="77" t="inlineStr">
        <is>
          <t>https://sdm.mit.edu/industry-employers/sponsor-employees-research-projects/</t>
        </is>
      </c>
      <c r="G1169" s="77" t="inlineStr">
        <is>
          <t>Industry &amp; Employers: SDM</t>
        </is>
      </c>
      <c r="H1169" s="77" t="inlineStr">
        <is>
          <t>Spring project</t>
        </is>
      </c>
      <c r="I1169" s="77" t="inlineStr">
        <is>
          <t>2025</t>
        </is>
      </c>
      <c r="J1169" s="77" t="inlineStr">
        <is>
          <t>2026-10-13</t>
        </is>
      </c>
      <c r="K1169" s="77" t="inlineStr">
        <is>
          <t>page text (WebFetch summary)</t>
        </is>
      </c>
      <c r="L1169" s="77" t="inlineStr">
        <is>
          <t>'Our students spend the spring semester working on challenges proposed by industry, governmental, and non-profit partners.' 'The call for 2026 spring pitches will be open until December 1, 2025.'</t>
        </is>
      </c>
    </row>
    <row r="1170">
      <c r="A1170" s="77" t="inlineStr">
        <is>
          <t>US01-S06-R1</t>
        </is>
      </c>
      <c r="B1170" s="77" t="inlineStr">
        <is>
          <t>US01</t>
        </is>
      </c>
      <c r="C1170" s="77" t="inlineStr">
        <is>
          <t>US01-S06</t>
        </is>
      </c>
      <c r="D1170" s="77" t="inlineStr">
        <is>
          <t>D-Lab: Design (2.722J / MAD.720 / EC.720)</t>
        </is>
      </c>
      <c r="E1170" s="77" t="inlineStr">
        <is>
          <t>project; group; employer; credit</t>
        </is>
      </c>
      <c r="F1170" s="77" t="inlineStr">
        <is>
          <t>https://d-lab.mit.edu/academics/classes/d-lab-design</t>
        </is>
      </c>
      <c r="G1170" s="77" t="inlineStr">
        <is>
          <t>D-Lab: Design</t>
        </is>
      </c>
      <c r="H1170" s="77" t="inlineStr">
        <is>
          <t>Class page</t>
        </is>
      </c>
      <c r="I1170" s="77" t="inlineStr">
        <is>
          <t>undated</t>
        </is>
      </c>
      <c r="J1170" s="77" t="inlineStr">
        <is>
          <t>2026-10-13</t>
        </is>
      </c>
      <c r="K1170" s="77" t="inlineStr">
        <is>
          <t>page text (WebFetch summary)</t>
        </is>
      </c>
      <c r="L1170" s="77" t="inlineStr">
        <is>
          <t>'Multidisciplinary student teams work on semester-long projects in collaboration with international community partners.' Subject 2.722J (U) / MAD.720 (U) / EC.720 (U), 5-0-7, Spring.</t>
        </is>
      </c>
    </row>
    <row r="1171">
      <c r="A1171" s="77" t="inlineStr">
        <is>
          <t>US01-S07-R1</t>
        </is>
      </c>
      <c r="B1171" s="77" t="inlineStr">
        <is>
          <t>US01</t>
        </is>
      </c>
      <c r="C1171" s="77" t="inlineStr">
        <is>
          <t>US01-S07</t>
        </is>
      </c>
      <c r="D1171" s="77" t="inlineStr">
        <is>
          <t>DUSP planning practicum (e.g. 11.S938 Resilience by Design)</t>
        </is>
      </c>
      <c r="E1171" s="77" t="inlineStr">
        <is>
          <t>project; employer</t>
        </is>
      </c>
      <c r="F1171" s="77" t="inlineStr">
        <is>
          <t>https://dusp.mit.edu/subjects</t>
        </is>
      </c>
      <c r="G1171" s="77" t="inlineStr">
        <is>
          <t>DUSP Subjects</t>
        </is>
      </c>
      <c r="H1171" s="77" t="inlineStr">
        <is>
          <t>11.S938</t>
        </is>
      </c>
      <c r="I1171" s="77" t="inlineStr">
        <is>
          <t>undated (Fall, year not shown)</t>
        </is>
      </c>
      <c r="J1171" s="77" t="inlineStr">
        <is>
          <t>2026-10-13</t>
        </is>
      </c>
      <c r="K1171" s="77" t="inlineStr">
        <is>
          <t>page text (WebFetch summary)</t>
        </is>
      </c>
      <c r="L1171" s="77" t="inlineStr">
        <is>
          <t>'This practicum brings together MIT CoLab, GROUND3D, Brooklyn Level Up (BKLVLUP)' and CBEDC; 'Students will support community partners in answering a central question'.</t>
        </is>
      </c>
    </row>
    <row r="1172">
      <c r="A1172" s="77" t="inlineStr">
        <is>
          <t>US01-S07-R2</t>
        </is>
      </c>
      <c r="B1172" s="77" t="inlineStr">
        <is>
          <t>US01</t>
        </is>
      </c>
      <c r="C1172" s="77" t="inlineStr">
        <is>
          <t>US01-S07</t>
        </is>
      </c>
      <c r="D1172" s="77" t="inlineStr">
        <is>
          <t>DUSP planning practicum (e.g. 11.S938 Resilience by Design)</t>
        </is>
      </c>
      <c r="E1172" s="77" t="inlineStr">
        <is>
          <t>project; participation</t>
        </is>
      </c>
      <c r="F1172" s="77" t="inlineStr">
        <is>
          <t>https://web.mit.edu/dusp/dusp_extension_unsec/handbook/dusp_handbook.pdf</t>
        </is>
      </c>
      <c r="G1172" s="77" t="inlineStr">
        <is>
          <t>DUSP Handbook</t>
        </is>
      </c>
      <c r="H1172" s="77" t="inlineStr">
        <is>
          <t>Practicum requirement</t>
        </is>
      </c>
      <c r="I1172" s="77" t="inlineStr">
        <is>
          <t>undated</t>
        </is>
      </c>
      <c r="J1172" s="77" t="inlineStr">
        <is>
          <t>2026-10-13</t>
        </is>
      </c>
      <c r="K1172" s="77" t="inlineStr">
        <is>
          <t>search-summary paraphrase</t>
        </is>
      </c>
      <c r="L1172" s="77" t="inlineStr">
        <is>
          <t>Completion of a departmental approved Practicum subject involving planning proposals in field situations is an MCP requirement; practica judged partly on being client-based.</t>
        </is>
      </c>
    </row>
    <row r="1173">
      <c r="A1173" s="77" t="inlineStr">
        <is>
          <t>US02-S01-R1</t>
        </is>
      </c>
      <c r="B1173" s="77" t="inlineStr">
        <is>
          <t>US02</t>
        </is>
      </c>
      <c r="C1173" s="77" t="inlineStr">
        <is>
          <t>US02-S01</t>
        </is>
      </c>
      <c r="D1173" s="77" t="inlineStr">
        <is>
          <t>FIELD Global Capstone (CAP), formerly FIELD Global Immersion</t>
        </is>
      </c>
      <c r="E1173" s="77" t="inlineStr">
        <is>
          <t>project; employer; participation; status</t>
        </is>
      </c>
      <c r="F1173" s="77" t="inlineStr">
        <is>
          <t>https://www.hbs.edu/mba/handbook/academic-information-and-policies/field-global-capstone</t>
        </is>
      </c>
      <c r="G1173" s="77" t="inlineStr">
        <is>
          <t>2.16 Field Global Capstone (CAP)</t>
        </is>
      </c>
      <c r="H1173" s="77" t="inlineStr">
        <is>
          <t>Handbook</t>
        </is>
      </c>
      <c r="I1173" s="77" t="inlineStr">
        <is>
          <t>undated (2026 dates)</t>
        </is>
      </c>
      <c r="J1173" s="77" t="inlineStr">
        <is>
          <t>2026-10-13</t>
        </is>
      </c>
      <c r="K1173" s="77" t="inlineStr">
        <is>
          <t>search-index extract</t>
        </is>
      </c>
      <c r="L1173" s="77" t="inlineStr">
        <is>
          <t>Semester-long course in the Required Curriculum year culminating in a one-week immersion at the company's location where students meet their Global Partner and local consumers; a Global Partner must select one employee as Project Manager; partner signs a project agreement with HBS.</t>
        </is>
      </c>
    </row>
    <row r="1174">
      <c r="A1174" s="77" t="inlineStr">
        <is>
          <t>US02-S01-R2</t>
        </is>
      </c>
      <c r="B1174" s="77" t="inlineStr">
        <is>
          <t>US02</t>
        </is>
      </c>
      <c r="C1174" s="77" t="inlineStr">
        <is>
          <t>US02-S01</t>
        </is>
      </c>
      <c r="D1174" s="77" t="inlineStr">
        <is>
          <t>FIELD Global Capstone (CAP), formerly FIELD Global Immersion</t>
        </is>
      </c>
      <c r="E1174" s="77" t="inlineStr">
        <is>
          <t>project; group; employer; status</t>
        </is>
      </c>
      <c r="F1174" s="77" t="inlineStr">
        <is>
          <t>https://www.hbs.edu/mba/academic-experience/the-field-method/field-global-capstone</t>
        </is>
      </c>
      <c r="G1174" s="77" t="inlineStr">
        <is>
          <t>FIELD Global Capstone</t>
        </is>
      </c>
      <c r="H1174" s="77" t="inlineStr">
        <is>
          <t>Programme page</t>
        </is>
      </c>
      <c r="I1174" s="77" t="inlineStr">
        <is>
          <t>undated (2026 dates)</t>
        </is>
      </c>
      <c r="J1174" s="77" t="inlineStr">
        <is>
          <t>2026-10-13</t>
        </is>
      </c>
      <c r="K1174" s="77" t="inlineStr">
        <is>
          <t>search-index extract</t>
        </is>
      </c>
      <c r="L1174" s="77" t="inlineStr">
        <is>
          <t>Companies are matched with a team of six students; projects must focus on designing something new for the company's local end-user consumers; immersion Monday 11 May to Monday 18 May 2026.</t>
        </is>
      </c>
    </row>
    <row r="1175">
      <c r="A1175" s="77" t="inlineStr">
        <is>
          <t>US02-S02-R1</t>
        </is>
      </c>
      <c r="B1175" s="77" t="inlineStr">
        <is>
          <t>US02</t>
        </is>
      </c>
      <c r="C1175" s="77" t="inlineStr">
        <is>
          <t>US02-S02</t>
        </is>
      </c>
      <c r="D1175" s="77" t="inlineStr">
        <is>
          <t>Computational Science and Engineering Capstone Project (APCOMP 297R)</t>
        </is>
      </c>
      <c r="E1175" s="77" t="inlineStr">
        <is>
          <t>project; group; employer; status</t>
        </is>
      </c>
      <c r="F1175" s="77" t="inlineStr">
        <is>
          <t>https://seas.harvard.edu/applied-computation/courses</t>
        </is>
      </c>
      <c r="G1175" s="77" t="inlineStr">
        <is>
          <t>Courses (Applied Computation)</t>
        </is>
      </c>
      <c r="H1175" s="77" t="inlineStr">
        <is>
          <t>APCOMP 297R</t>
        </is>
      </c>
      <c r="I1175" s="77" t="inlineStr">
        <is>
          <t>Fall 2026 / Spring 2027 listing</t>
        </is>
      </c>
      <c r="J1175" s="77" t="inlineStr">
        <is>
          <t>2026-10-13</t>
        </is>
      </c>
      <c r="K1175" s="77" t="inlineStr">
        <is>
          <t>page text</t>
        </is>
      </c>
      <c r="L1175" s="77" t="inlineStr">
        <is>
          <t>Students work 'in groups of 3-4 on a real-world project'; progress is communicated to staff and to a partner organization; Fall 2026 (Thorpe, Duong-Tran) and Spring 2027 (Duong-Tran) sections.</t>
        </is>
      </c>
    </row>
    <row r="1176">
      <c r="A1176" s="77" t="inlineStr">
        <is>
          <t>US02-S02-R2</t>
        </is>
      </c>
      <c r="B1176" s="77" t="inlineStr">
        <is>
          <t>US02</t>
        </is>
      </c>
      <c r="C1176" s="77" t="inlineStr">
        <is>
          <t>US02-S02</t>
        </is>
      </c>
      <c r="D1176" s="77" t="inlineStr">
        <is>
          <t>Computational Science and Engineering Capstone Project (APCOMP 297R)</t>
        </is>
      </c>
      <c r="E1176" s="77" t="inlineStr">
        <is>
          <t>employer; project</t>
        </is>
      </c>
      <c r="F1176" s="77" t="inlineStr">
        <is>
          <t>https://iacs.seas.harvard.edu/capstone</t>
        </is>
      </c>
      <c r="G1176" s="77" t="inlineStr">
        <is>
          <t>Master's in Computational Science and Engineering (CSE) capstone</t>
        </is>
      </c>
      <c r="H1176" s="77" t="inlineStr">
        <is>
          <t>Capstone</t>
        </is>
      </c>
      <c r="I1176" s="77" t="inlineStr">
        <is>
          <t>undated</t>
        </is>
      </c>
      <c r="J1176" s="77" t="inlineStr">
        <is>
          <t>2026-10-13</t>
        </is>
      </c>
      <c r="K1176" s="77" t="inlineStr">
        <is>
          <t>search-summary paraphrase</t>
        </is>
      </c>
      <c r="L1176" s="77" t="inlineStr">
        <is>
          <t>Semester-long research projects grouping students with 'client' organizations; past partner examples named in SEAS news items (Biogen, Spotify, Fluxedo; Unspace 2024-25). Page itself returned 403 to WebFetch.</t>
        </is>
      </c>
    </row>
    <row r="1177">
      <c r="A1177" s="77" t="inlineStr">
        <is>
          <t>US02-S03-R1</t>
        </is>
      </c>
      <c r="B1177" s="77" t="inlineStr">
        <is>
          <t>US02</t>
        </is>
      </c>
      <c r="C1177" s="77" t="inlineStr">
        <is>
          <t>US02-S03</t>
        </is>
      </c>
      <c r="D1177" s="77" t="inlineStr">
        <is>
          <t>Harvard Dispute Systems Design Clinic</t>
        </is>
      </c>
      <c r="E1177" s="77" t="inlineStr">
        <is>
          <t>project; group; employer; credit</t>
        </is>
      </c>
      <c r="F1177" s="77" t="inlineStr">
        <is>
          <t>https://hls.harvard.edu/clinics/in-house-clinics/harvard-dispute-systems-design-clinic/</t>
        </is>
      </c>
      <c r="G1177" s="77" t="inlineStr">
        <is>
          <t>Harvard Dispute Systems Design Clinic</t>
        </is>
      </c>
      <c r="H1177" s="77" t="inlineStr">
        <is>
          <t>Clinic page</t>
        </is>
      </c>
      <c r="I1177" s="77" t="inlineStr">
        <is>
          <t>undated</t>
        </is>
      </c>
      <c r="J1177" s="77" t="inlineStr">
        <is>
          <t>2026-10-13</t>
        </is>
      </c>
      <c r="K1177" s="77" t="inlineStr">
        <is>
          <t>page text</t>
        </is>
      </c>
      <c r="L1177" s="77" t="inlineStr">
        <is>
          <t>Students usually work in a team of 1-2 other students with a Clinical Instructor; teams meet weekly with the client; recommendations shared with the client and a final report prepared; offered in Fall and Spring.</t>
        </is>
      </c>
    </row>
    <row r="1178">
      <c r="A1178" s="77" t="inlineStr">
        <is>
          <t>US02-S04-R1</t>
        </is>
      </c>
      <c r="B1178" s="77" t="inlineStr">
        <is>
          <t>US02</t>
        </is>
      </c>
      <c r="C1178" s="77" t="inlineStr">
        <is>
          <t>US02-S04</t>
        </is>
      </c>
      <c r="D1178" s="77" t="inlineStr">
        <is>
          <t>Policy Analysis Exercise (PAE), Master in Public Policy</t>
        </is>
      </c>
      <c r="E1178" s="77" t="inlineStr">
        <is>
          <t>project; employer; group</t>
        </is>
      </c>
      <c r="F1178" s="77" t="inlineStr">
        <is>
          <t>https://www.hks.harvard.edu/educational-programs/masters-programs/master-public-policy/policy-analysis-exercise</t>
        </is>
      </c>
      <c r="G1178" s="77" t="inlineStr">
        <is>
          <t>Policy Analysis Exercise</t>
        </is>
      </c>
      <c r="H1178" s="77" t="inlineStr">
        <is>
          <t>Programme page</t>
        </is>
      </c>
      <c r="I1178" s="77" t="inlineStr">
        <is>
          <t>undated</t>
        </is>
      </c>
      <c r="J1178" s="77" t="inlineStr">
        <is>
          <t>2026-10-13</t>
        </is>
      </c>
      <c r="K1178" s="77" t="inlineStr">
        <is>
          <t>page text</t>
        </is>
      </c>
      <c r="L1178" s="77" t="inlineStr">
        <is>
          <t>'for a public or nonprofit sector policy or management issue presented by a client organization'; students and clients 'work together to define specific issues, design research strategies, gather data, formulate and evaluate options, and, finally, make actionable recommendations.' Analysis 'usually around 40 pages or 10,000 words'. Page shows both single presenters and groups of two to four.</t>
        </is>
      </c>
    </row>
    <row r="1179">
      <c r="A1179" s="77" t="inlineStr">
        <is>
          <t>US02-S04-R2</t>
        </is>
      </c>
      <c r="B1179" s="77" t="inlineStr">
        <is>
          <t>US02</t>
        </is>
      </c>
      <c r="C1179" s="77" t="inlineStr">
        <is>
          <t>US02-S04</t>
        </is>
      </c>
      <c r="D1179" s="77" t="inlineStr">
        <is>
          <t>Policy Analysis Exercise (PAE), Master in Public Policy</t>
        </is>
      </c>
      <c r="E1179" s="77" t="inlineStr">
        <is>
          <t>group; employer; status</t>
        </is>
      </c>
      <c r="F1179" s="77" t="inlineStr">
        <is>
          <t>https://www.hks.harvard.edu/more/employers/become-pae-client</t>
        </is>
      </c>
      <c r="G1179" s="77" t="inlineStr">
        <is>
          <t>Become a PAE Client</t>
        </is>
      </c>
      <c r="H1179" s="77" t="inlineStr">
        <is>
          <t>Client page</t>
        </is>
      </c>
      <c r="I1179" s="77" t="inlineStr">
        <is>
          <t>undated</t>
        </is>
      </c>
      <c r="J1179" s="77" t="inlineStr">
        <is>
          <t>2026-10-13</t>
        </is>
      </c>
      <c r="K1179" s="77" t="inlineStr">
        <is>
          <t>page text</t>
        </is>
      </c>
      <c r="L1179" s="77" t="inlineStr">
        <is>
          <t>Students may work alone or in a small group with a client organization; proposals from August, topics finalised early October, work September to March, final product due end of March; client meets student regularly and reviews drafts.</t>
        </is>
      </c>
    </row>
    <row r="1180">
      <c r="A1180" s="77" t="inlineStr">
        <is>
          <t>US02-S04-R3</t>
        </is>
      </c>
      <c r="B1180" s="77" t="inlineStr">
        <is>
          <t>US02</t>
        </is>
      </c>
      <c r="C1180" s="77" t="inlineStr">
        <is>
          <t>US02-S04</t>
        </is>
      </c>
      <c r="D1180" s="77" t="inlineStr">
        <is>
          <t>Policy Analysis Exercise (PAE), Master in Public Policy</t>
        </is>
      </c>
      <c r="E1180" s="77" t="inlineStr">
        <is>
          <t>participation; group</t>
        </is>
      </c>
      <c r="F1180" s="77" t="inlineStr">
        <is>
          <t>https://www.hks.harvard.edu/educational-programs/masters-programs/master-public-policy/curriculum/spring-exercise</t>
        </is>
      </c>
      <c r="G1180" s="77" t="inlineStr">
        <is>
          <t>Spring Exercise</t>
        </is>
      </c>
      <c r="H1180" s="77" t="inlineStr">
        <is>
          <t>Curriculum</t>
        </is>
      </c>
      <c r="I1180" s="77" t="inlineStr">
        <is>
          <t>undated</t>
        </is>
      </c>
      <c r="J1180" s="77" t="inlineStr">
        <is>
          <t>2026-10-13</t>
        </is>
      </c>
      <c r="K1180" s="77" t="inlineStr">
        <is>
          <t>page text</t>
        </is>
      </c>
      <c r="L1180" s="77" t="inlineStr">
        <is>
          <t>Describes PAE as the capstone of the MPP experience, an individual project with a faculty advisor; must be passed to graduate (summary of page; conflicts with client page).</t>
        </is>
      </c>
    </row>
    <row r="1181">
      <c r="A1181" s="77" t="inlineStr">
        <is>
          <t>US05-S01-R1</t>
        </is>
      </c>
      <c r="B1181" s="77" t="inlineStr">
        <is>
          <t>US05</t>
        </is>
      </c>
      <c r="C1181" s="77" t="inlineStr">
        <is>
          <t>US05-S01</t>
        </is>
      </c>
      <c r="D1181" s="77" t="inlineStr">
        <is>
          <t>Introduction to Policy Analysis (IPA) Team Consulting Projects</t>
        </is>
      </c>
      <c r="E1181" s="77" t="inlineStr">
        <is>
          <t>project; group; employer; status; duration</t>
        </is>
      </c>
      <c r="F1181" s="77" t="inlineStr">
        <is>
          <t>https://gspp.berkeley.edu/career-services/client-based-projects/introduction-to-policy-analysis-ipa</t>
        </is>
      </c>
      <c r="G1181" s="77" t="inlineStr">
        <is>
          <t>Introduction to Policy Analysis (IPA) Team Projects</t>
        </is>
      </c>
      <c r="H1181" s="77" t="inlineStr">
        <is>
          <t>Main page</t>
        </is>
      </c>
      <c r="I1181" s="77" t="inlineStr">
        <is>
          <t>Spring 2027</t>
        </is>
      </c>
      <c r="J1181" s="77" t="inlineStr">
        <is>
          <t>2026-10-13</t>
        </is>
      </c>
      <c r="K1181" s="77" t="inlineStr">
        <is>
          <t>page text (WebFetch; answered by fetch model, extracts are its quoted passages)</t>
        </is>
      </c>
      <c r="L1181" s="77" t="inlineStr">
        <is>
          <t>'by a team of four to six people'; 'pro-bono policy consulting services to public sector agencies and non-governmental organizations'; 'an analytical report accompanied by an oral presentation'; 'We are now accepting proposals for the Spring 2027 IPA course.' Draft mid-April, final mid-May.</t>
        </is>
      </c>
    </row>
    <row r="1182">
      <c r="A1182" s="77" t="inlineStr">
        <is>
          <t>US05-S01-R2</t>
        </is>
      </c>
      <c r="B1182" s="77" t="inlineStr">
        <is>
          <t>US05</t>
        </is>
      </c>
      <c r="C1182" s="77" t="inlineStr">
        <is>
          <t>US05-S01</t>
        </is>
      </c>
      <c r="D1182" s="77" t="inlineStr">
        <is>
          <t>Introduction to Policy Analysis (IPA) Team Consulting Projects</t>
        </is>
      </c>
      <c r="E1182" s="77" t="inlineStr">
        <is>
          <t>employer; group</t>
        </is>
      </c>
      <c r="F1182" s="77" t="inlineStr">
        <is>
          <t>https://gspp.berkeley.edu/career-services/client-based-projects</t>
        </is>
      </c>
      <c r="G1182" s="77" t="inlineStr">
        <is>
          <t>Client-Based Projects</t>
        </is>
      </c>
      <c r="H1182" s="77" t="inlineStr">
        <is>
          <t>Search summary</t>
        </is>
      </c>
      <c r="I1182" s="77" t="inlineStr">
        <is>
          <t>undated</t>
        </is>
      </c>
      <c r="J1182" s="77" t="inlineStr">
        <is>
          <t>2026-10-13</t>
        </is>
      </c>
      <c r="K1182" s="77" t="inlineStr">
        <is>
          <t>search-summary paraphrase</t>
        </is>
      </c>
      <c r="L1182" s="77" t="inlineStr">
        <is>
          <t>Teams work under faculty coaches; clients asked to meet team early in semester and about every two weeks.</t>
        </is>
      </c>
    </row>
    <row r="1183">
      <c r="A1183" s="77" t="inlineStr">
        <is>
          <t>US05-S02-R1</t>
        </is>
      </c>
      <c r="B1183" s="77" t="inlineStr">
        <is>
          <t>US05</t>
        </is>
      </c>
      <c r="C1183" s="77" t="inlineStr">
        <is>
          <t>US05-S02</t>
        </is>
      </c>
      <c r="D1183" s="77" t="inlineStr">
        <is>
          <t>MEng Capstone (partner-led), Fung Institute for Engineering Leadership</t>
        </is>
      </c>
      <c r="E1183" s="77" t="inlineStr">
        <is>
          <t>project; group; employer; status; duration</t>
        </is>
      </c>
      <c r="F1183" s="77" t="inlineStr">
        <is>
          <t>https://funginstitute.berkeley.edu/programs-centers/full-time-program/capstone-experience/</t>
        </is>
      </c>
      <c r="G1183" s="77" t="inlineStr">
        <is>
          <t>Capstone Experience</t>
        </is>
      </c>
      <c r="H1183" s="77" t="inlineStr">
        <is>
          <t>Main page</t>
        </is>
      </c>
      <c r="I1183" s="77" t="inlineStr">
        <is>
          <t>2026-27</t>
        </is>
      </c>
      <c r="J1183" s="77" t="inlineStr">
        <is>
          <t>2026-10-13</t>
        </is>
      </c>
      <c r="K1183" s="77" t="inlineStr">
        <is>
          <t>page text (WebFetch; answered by fetch model, extracts are its quoted passages)</t>
        </is>
      </c>
      <c r="L1183" s="77" t="inlineStr">
        <is>
          <t>'Team size ranges from three to five students'; 'a nine-month experiential course integrated into the Master of Engineering (MEng) degree program'; 'In a partner-led capstone, industry advisors take the lead in driving project direction.'; 'Teams will start work on the projects in early September through the following May.'</t>
        </is>
      </c>
    </row>
    <row r="1184">
      <c r="A1184" s="77" t="inlineStr">
        <is>
          <t>US05-S02-R2</t>
        </is>
      </c>
      <c r="B1184" s="77" t="inlineStr">
        <is>
          <t>US05</t>
        </is>
      </c>
      <c r="C1184" s="77" t="inlineStr">
        <is>
          <t>US05-S02</t>
        </is>
      </c>
      <c r="D1184" s="77" t="inlineStr">
        <is>
          <t>MEng Capstone (partner-led), Fung Institute for Engineering Leadership</t>
        </is>
      </c>
      <c r="E1184" s="77" t="inlineStr">
        <is>
          <t>employer</t>
        </is>
      </c>
      <c r="F1184" s="77" t="inlineStr">
        <is>
          <t>https://funginstitute.berkeley.edu/partners/</t>
        </is>
      </c>
      <c r="G1184" s="77" t="inlineStr">
        <is>
          <t>Capstone Project Industry Engagement</t>
        </is>
      </c>
      <c r="H1184" s="77" t="inlineStr">
        <is>
          <t>Partners page</t>
        </is>
      </c>
      <c r="I1184" s="77" t="inlineStr">
        <is>
          <t>undated</t>
        </is>
      </c>
      <c r="J1184" s="77" t="inlineStr">
        <is>
          <t>2026-10-13</t>
        </is>
      </c>
      <c r="K1184" s="77" t="inlineStr">
        <is>
          <t>page text (WebFetch; answered by fetch model, extracts are its quoted passages)</t>
        </is>
      </c>
      <c r="L1184" s="77" t="inlineStr">
        <is>
          <t>MEng partners range 'from nimble startups to established enterprises and mission-driven nonprofits'; sample partner list; team of 3-5 graduate engineers over an academic year.</t>
        </is>
      </c>
    </row>
    <row r="1185">
      <c r="A1185" s="77" t="inlineStr">
        <is>
          <t>US05-S03-R1</t>
        </is>
      </c>
      <c r="B1185" s="77" t="inlineStr">
        <is>
          <t>US05</t>
        </is>
      </c>
      <c r="C1185" s="77" t="inlineStr">
        <is>
          <t>US05-S03</t>
        </is>
      </c>
      <c r="D1185" s="77" t="inlineStr">
        <is>
          <t>Data Science Discovery Program (Data Discovery course)</t>
        </is>
      </c>
      <c r="E1185" s="77" t="inlineStr">
        <is>
          <t>project; group; employer; status; credit; duration</t>
        </is>
      </c>
      <c r="F1185" s="77" t="inlineStr">
        <is>
          <t>https://cdss.berkeley.edu/discovery/partner</t>
        </is>
      </c>
      <c r="G1185" s="77" t="inlineStr">
        <is>
          <t>Research Mentors</t>
        </is>
      </c>
      <c r="H1185" s="77" t="inlineStr">
        <is>
          <t>Partner page</t>
        </is>
      </c>
      <c r="I1185" s="77" t="inlineStr">
        <is>
          <t>Fall 2026</t>
        </is>
      </c>
      <c r="J1185" s="77" t="inlineStr">
        <is>
          <t>2026-10-13</t>
        </is>
      </c>
      <c r="K1185" s="77" t="inlineStr">
        <is>
          <t>page text (WebFetch; answered by fetch model, extracts are its quoted passages)</t>
        </is>
      </c>
      <c r="L1185" s="77" t="inlineStr">
        <is>
          <t>'We accept proposals hosted by any academic institution, private company, nonprofit or government agency.'; 'to form your team of 1-5 students'; 'about 12 six-hour weeks'; 'presenting a poster at the end of the term'; project work begins Sept. 1, 2026.</t>
        </is>
      </c>
    </row>
    <row r="1186">
      <c r="A1186" s="77" t="inlineStr">
        <is>
          <t>US05-S04-R1</t>
        </is>
      </c>
      <c r="B1186" s="77" t="inlineStr">
        <is>
          <t>US05</t>
        </is>
      </c>
      <c r="C1186" s="77" t="inlineStr">
        <is>
          <t>US05-S04</t>
        </is>
      </c>
      <c r="D1186" s="77" t="inlineStr">
        <is>
          <t>Social Sector Solutions (Center for Social Sector Leadership)</t>
        </is>
      </c>
      <c r="E1186" s="77" t="inlineStr">
        <is>
          <t>project; group; employer; reach; duration</t>
        </is>
      </c>
      <c r="F1186" s="77" t="inlineStr">
        <is>
          <t>https://haas.berkeley.edu/cssl/programs-events/social-sector-solutions/</t>
        </is>
      </c>
      <c r="G1186" s="77" t="inlineStr">
        <is>
          <t>Social Sector Solutions</t>
        </is>
      </c>
      <c r="H1186" s="77" t="inlineStr">
        <is>
          <t>Main page</t>
        </is>
      </c>
      <c r="I1186" s="77" t="inlineStr">
        <is>
          <t>2026 heading only</t>
        </is>
      </c>
      <c r="J1186" s="77" t="inlineStr">
        <is>
          <t>2026-10-13</t>
        </is>
      </c>
      <c r="K1186" s="77" t="inlineStr">
        <is>
          <t>page text (WebFetch; answered by fetch model, extracts are its quoted passages)</t>
        </is>
      </c>
      <c r="L1186" s="77" t="inlineStr">
        <is>
          <t>'Multidisciplinary teams of 5-7 MBAs, Berkeley graduate students, and select undergraduate business students'; 'Teams work with a nonprofit client to tackle a key strategic question for the organization.'; 'A 15 week strategy consultation'.</t>
        </is>
      </c>
    </row>
    <row r="1187">
      <c r="A1187" s="77" t="inlineStr">
        <is>
          <t>US05-S05-R1</t>
        </is>
      </c>
      <c r="B1187" s="77" t="inlineStr">
        <is>
          <t>US05</t>
        </is>
      </c>
      <c r="C1187" s="77" t="inlineStr">
        <is>
          <t>US05-S05</t>
        </is>
      </c>
      <c r="D1187" s="77" t="inlineStr">
        <is>
          <t>Haas@Work (Haas MBA experiential course)</t>
        </is>
      </c>
      <c r="E1187" s="77" t="inlineStr">
        <is>
          <t>project; group; employer; reach</t>
        </is>
      </c>
      <c r="F1187" s="77" t="inlineStr">
        <is>
          <t>https://mba.haas.berkeley.edu/academics/experiential-learning</t>
        </is>
      </c>
      <c r="G1187" s="77" t="inlineStr">
        <is>
          <t>Experiential Learning</t>
        </is>
      </c>
      <c r="H1187" s="77" t="inlineStr">
        <is>
          <t>Haas@Work</t>
        </is>
      </c>
      <c r="I1187" s="77" t="inlineStr">
        <is>
          <t>undated</t>
        </is>
      </c>
      <c r="J1187" s="77" t="inlineStr">
        <is>
          <t>2026-10-13</t>
        </is>
      </c>
      <c r="K1187" s="77" t="inlineStr">
        <is>
          <t>page text (WebFetch; answered by fetch model, extracts are its quoted passages)</t>
        </is>
      </c>
      <c r="L1187" s="77" t="inlineStr">
        <is>
          <t>Students work in 'teams of Berkeley MBA students' with firms' executives; the firm selects 'the best ideas' for implementation; 'You will take at least one of nearly 20 Experiential Learning courses.'</t>
        </is>
      </c>
    </row>
    <row r="1188">
      <c r="A1188" s="77" t="inlineStr">
        <is>
          <t>US05-S06-R1</t>
        </is>
      </c>
      <c r="B1188" s="77" t="inlineStr">
        <is>
          <t>US05</t>
        </is>
      </c>
      <c r="C1188" s="77" t="inlineStr">
        <is>
          <t>US05-S06</t>
        </is>
      </c>
      <c r="D1188" s="77" t="inlineStr">
        <is>
          <t>Startup Lab (MBA 295T)</t>
        </is>
      </c>
      <c r="E1188" s="77" t="inlineStr">
        <is>
          <t>project; group; employer; credit</t>
        </is>
      </c>
      <c r="F1188" s="77" t="inlineStr">
        <is>
          <t>https://courses.haas.berkeley.edu/descriptions/Descriptions/EWMBA295T-3_Spring20.htm</t>
        </is>
      </c>
      <c r="G1188" s="77" t="inlineStr">
        <is>
          <t>MBA 295T course description</t>
        </is>
      </c>
      <c r="H1188" s="77" t="inlineStr">
        <is>
          <t>Syllabus</t>
        </is>
      </c>
      <c r="I1188" s="77" t="inlineStr">
        <is>
          <t>2020 (also 2016, 2018 listings)</t>
        </is>
      </c>
      <c r="J1188" s="77" t="inlineStr">
        <is>
          <t>2026-10-13</t>
        </is>
      </c>
      <c r="K1188" s="77" t="inlineStr">
        <is>
          <t>search-index extract (search-summary paraphrase)</t>
        </is>
      </c>
      <c r="L1188" s="77" t="inlineStr">
        <is>
          <t>Search summary: semester-long project-based consulting course; teams 3-5; startups' founder or executive team; client feedback 10% of grade.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2:G39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4" customWidth="1" min="3" max="3"/>
    <col width="14" customWidth="1" min="4" max="4"/>
    <col width="60" customWidth="1" min="5" max="5"/>
    <col width="50" customWidth="1" min="6" max="6"/>
    <col width="60" customWidth="1" min="7" max="7"/>
  </cols>
  <sheetData>
    <row r="2">
      <c r="A2" s="78" t="inlineStr">
        <is>
          <t>Experiential learning: institution-level search coverage log</t>
        </is>
      </c>
    </row>
    <row r="3">
      <c r="A3" s="71" t="inlineStr">
        <is>
          <t>Six areas per institution: central provision, business, engineering/computing, science, arts/humanities/social sciences, other.</t>
        </is>
      </c>
    </row>
    <row r="4">
      <c r="A4" s="71" t="inlineStr">
        <is>
          <t>Status: Searched / Not applicable (no such faculty) / Not searched (with reason). Institutions not yet researched have no rows.</t>
        </is>
      </c>
    </row>
    <row r="6">
      <c r="A6" s="75" t="inlineStr">
        <is>
          <t>Institution ID</t>
        </is>
      </c>
      <c r="B6" s="75" t="inlineStr">
        <is>
          <t>Institution</t>
        </is>
      </c>
      <c r="C6" s="75" t="inlineStr">
        <is>
          <t>Faculty / provision area</t>
        </is>
      </c>
      <c r="D6" s="75" t="inlineStr">
        <is>
          <t>Search status</t>
        </is>
      </c>
      <c r="E6" s="75" t="inlineStr">
        <is>
          <t>Queries run</t>
        </is>
      </c>
      <c r="F6" s="75" t="inlineStr">
        <is>
          <t>Key sources examined</t>
        </is>
      </c>
      <c r="G6" s="75" t="inlineStr">
        <is>
          <t>Finding</t>
        </is>
      </c>
    </row>
    <row r="7">
      <c r="A7" s="77" t="inlineStr">
        <is>
          <t>RG01</t>
        </is>
      </c>
      <c r="B7" s="77" t="inlineStr">
        <is>
          <t>Birmingham</t>
        </is>
      </c>
      <c r="C7" s="77" t="inlineStr">
        <is>
          <t>Central provision</t>
        </is>
      </c>
      <c r="D7" s="77" t="inlineStr">
        <is>
          <t>Searched</t>
        </is>
      </c>
      <c r="E7" s="77" t="inlineStr">
        <is>
          <t>Birmingham Project interdisciplinary students teams challenge employers; "Birmingham Project" first year challenge question employer group video presentation self-evaluation 2026; Who can take part in The Birmingham Project eligibility employer partners; Masters Consultancy Challenge postgraduate teams client organisation brief; Careers Network Impact Challenge Global Challenge teams organisation brief</t>
        </is>
      </c>
      <c r="F7" s="77" t="inlineStr">
        <is>
          <t>https://intranet.birmingham.ac.uk/student/careers/skills-development/birmingham-project/index.aspx; https://www.birmingham.ac.uk/news/2026/university-of-birmingham-wins-student-employability-award; https://intranet.birmingham.ac.uk/student/student-hub/solution.aspx?nodeId=5442; https://intranet.birmingham.ac.uk/as/employability/careers/postgraduate/pgt/mcc.aspx; https://intranet.birmingham.ac.uk/student/careers/equality-and-diversity/impact-challenge.aspx</t>
        </is>
      </c>
      <c r="G7" s="77" t="inlineStr">
        <is>
          <t>Three qualifying central Careers Network routes: the Birmingham Project (first-year UGs, employer-set challenges), the Masters Consultancy Challenge (PGT, Turner &amp; Townsend) and the Impact Challenge (WP undergraduates, employer-set projects). Global Challenge is overseas placements.</t>
        </is>
      </c>
    </row>
    <row r="8">
      <c r="A8" s="77" t="inlineStr">
        <is>
          <t>RG01</t>
        </is>
      </c>
      <c r="B8" s="77" t="inlineStr">
        <is>
          <t>Birmingham</t>
        </is>
      </c>
      <c r="C8" s="77" t="inlineStr">
        <is>
          <t>Business/management</t>
        </is>
      </c>
      <c r="D8" s="77" t="inlineStr">
        <is>
          <t>Searched</t>
        </is>
      </c>
      <c r="E8" s="77" t="inlineStr">
        <is>
          <t>Birmingham Business School company projects group consultancy project organisations; Capgemini Community Challenge undergraduate teams charity consultancy; Strategic Marketing and Consulting MSc group consultancy project real client module</t>
        </is>
      </c>
      <c r="F8" s="77" t="inlineStr">
        <is>
          <t>https://www.birmingham.ac.uk/about/college-of-social-sciences/birmingham-business-school/company-projects; https://intranet.birmingham.ac.uk/student/careers/skills-development/capgemini-community-challenge.aspx; https://www.birmingham.ac.uk/study/postgraduate/subjects/marketing-courses/strategic-marketing-and-consulting-msc</t>
        </is>
      </c>
      <c r="G8" s="77" t="inlineStr">
        <is>
          <t>Capgemini Community Challenge (UG, charity clients) and the MSc Strategic Marketing and Consulting group consultancy project qualify; Masters/MBA Company Projects have live challenges but group format unclear; Deloitte MBA challenge is a simulation.</t>
        </is>
      </c>
    </row>
    <row r="9">
      <c r="A9" s="77" t="inlineStr">
        <is>
          <t>RG01</t>
        </is>
      </c>
      <c r="B9" s="77" t="inlineStr">
        <is>
          <t>Birmingham</t>
        </is>
      </c>
      <c r="C9" s="77" t="inlineStr">
        <is>
          <t>Engineering/computing</t>
        </is>
      </c>
      <c r="D9" s="77" t="inlineStr">
        <is>
          <t>Searched</t>
        </is>
      </c>
      <c r="E9" s="77" t="inlineStr">
        <is>
          <t>Group Industrial Projects engineering students industry partner team project; engineering final year group design project set by industry sponsor company MEng; Chemical Engineering final year design project groups industry linked; Computer Science team project external client industry software group module; Birmingham Computer Science team project industry client Year 2 MSc</t>
        </is>
      </c>
      <c r="F9" s="77" t="inlineStr">
        <is>
          <t>https://www.birmingham.ac.uk/study/undergraduate/subjects/chemical-engineering-courses/chemical-engineering-industrial-beng; https://www.birmingham.ac.uk/study/undergraduate/subjects/aerospace-engineering-courses/aerospace-engineering-meng</t>
        </is>
      </c>
      <c r="G9" s="77" t="inlineStr">
        <is>
          <t>Group design projects exist across MEng programmes but course pages describe them only as industry-linked/relevant; no external client evidenced. Chemical Engineering design project recorded as Unclear. No CS external-client team project found. Re-checked 2026-10-13: CS MSc projects individual; no Year 2 client team project.</t>
        </is>
      </c>
    </row>
    <row r="10">
      <c r="A10" s="77" t="inlineStr">
        <is>
          <t>RG01</t>
        </is>
      </c>
      <c r="B10" s="77" t="inlineStr">
        <is>
          <t>Birmingham</t>
        </is>
      </c>
      <c r="C10" s="77" t="inlineStr">
        <is>
          <t>Science</t>
        </is>
      </c>
      <c r="D10" s="77" t="inlineStr">
        <is>
          <t>Searched</t>
        </is>
      </c>
      <c r="E10" s="77" t="inlineStr">
        <is>
          <t>physics third year group industrial project company students small groups; Birmingham Geography Earth Environmental Sciences Biosciences team consultancy external organisation; Birmingham Mathematics Psychology Biosciences teams industry partner module; Mathematical Challenge module industry partners</t>
        </is>
      </c>
      <c r="F10" s="77" t="inlineStr">
        <is>
          <t>https://www.birmingham.ac.uk/Documents/college-eps/college/stem/group-industrial-projects.pdf</t>
        </is>
      </c>
      <c r="G10" s="77" t="inlineStr">
        <is>
          <t>Only Maths 'Mathematical Challenge' lead (S8, Unclear); GEES/Biosciences/Psychology show placements or supervisor-led projects, no team client module.</t>
        </is>
      </c>
    </row>
    <row r="11">
      <c r="A11" s="77" t="inlineStr">
        <is>
          <t>RG01</t>
        </is>
      </c>
      <c r="B11" s="77" t="inlineStr">
        <is>
          <t>Birmingham</t>
        </is>
      </c>
      <c r="C11" s="77" t="inlineStr">
        <is>
          <t>Arts/humanities/social sciences</t>
        </is>
      </c>
      <c r="D11" s="77" t="inlineStr">
        <is>
          <t>Searched</t>
        </is>
      </c>
      <c r="E11" s="77" t="inlineStr">
        <is>
          <t>module students work in groups consultancy project for external organisation charity council report social sciences; INLOGOV Government and Society group project client organisation</t>
        </is>
      </c>
      <c r="F11" s="77" t="inlineStr">
        <is>
          <t>https://www.birmingham.ac.uk/documents/college-artslaw/studentexperience/2022-psm-example-projects-web-version.pdf</t>
        </is>
      </c>
      <c r="G11" s="77" t="inlineStr">
        <is>
          <t>No client-based group module found for INLOGOV/Government and Society; Education not specifically searched.</t>
        </is>
      </c>
    </row>
    <row r="12">
      <c r="A12" s="77" t="inlineStr">
        <is>
          <t>RG01</t>
        </is>
      </c>
      <c r="B12" s="77" t="inlineStr">
        <is>
          <t>Birmingham</t>
        </is>
      </c>
      <c r="C12" s="77" t="inlineStr">
        <is>
          <t>Other (law, health, design, architecture…)</t>
        </is>
      </c>
      <c r="D12" s="77" t="inlineStr">
        <is>
          <t>Searched</t>
        </is>
      </c>
      <c r="E12" s="77" t="inlineStr">
        <is>
          <t>Birmingham Law School pro bono clinic; Birmingham Medicine Dentistry Education group project community partner</t>
        </is>
      </c>
      <c r="F12" s="77" t="inlineStr"/>
      <c r="G12" s="77" t="inlineStr">
        <is>
          <t>Law Pro Bono/FLAG recorded (S9, C Unclear); Medicine/Dentistry show clinical placements only.</t>
        </is>
      </c>
    </row>
    <row r="13">
      <c r="A13" s="77" t="inlineStr">
        <is>
          <t>RG02</t>
        </is>
      </c>
      <c r="B13" s="77" t="inlineStr">
        <is>
          <t>Bristol</t>
        </is>
      </c>
      <c r="C13" s="77" t="inlineStr">
        <is>
          <t>Central provision</t>
        </is>
      </c>
      <c r="D13" s="77" t="inlineStr">
        <is>
          <t>Searched</t>
        </is>
      </c>
      <c r="E13" s="77" t="inlineStr">
        <is>
          <t>University of Bristol student consultancy live client project team; Bristol Futures open units employer project group client; Bristol Careers City Challenges students teams organisation challenge; Bristol Futures community engagement students projects community partners employers; Professional Liaison Network live briefs group consultancy; Student Placements and Projects PLN</t>
        </is>
      </c>
      <c r="F13" s="77" t="inlineStr">
        <is>
          <t>https://www.bristol.ac.uk/bristol-futures/open-units/; https://universityofbristolcareers.blogs.bristol.ac.uk/2025/02/05/city-challenge-with-not-impossible/; https://www.bristol.ac.uk/arts-law-social-sciences/partnerships/professional-liaison-network/</t>
        </is>
      </c>
      <c r="G13" s="77" t="inlineStr">
        <is>
          <t>No university-wide compulsory or credit-bearing employer project scheme found. Central routes are Careers Service City Challenges (one-afternoon charity challenges, extracurricular) and the faculty-level PLN; Bristol Futures Open Units are a breadth framework.</t>
        </is>
      </c>
    </row>
    <row r="14">
      <c r="A14" s="77" t="inlineStr">
        <is>
          <t>RG02</t>
        </is>
      </c>
      <c r="B14" s="77" t="inlineStr">
        <is>
          <t>Bristol</t>
        </is>
      </c>
      <c r="C14" s="77" t="inlineStr">
        <is>
          <t>Business/management</t>
        </is>
      </c>
      <c r="D14" s="77" t="inlineStr">
        <is>
          <t>Searched</t>
        </is>
      </c>
      <c r="E14" s="77" t="inlineStr">
        <is>
          <t>Bristol Business School Micro Internship virtual consultant team; Management Consultancy unit EFIM30064 2025/26; in-curriculum employer project units MSc; MSc Business Analytics Consulting Project; MSc Business Innovation and Entrepreneurship live commercial brief; Marketing Applied Extended Project MGRCM0040; MSc Marketing applied industry project; MSc Data Science for Business Applied Research Project; Business Analytics Consulting Project EFIMM0144</t>
        </is>
      </c>
      <c r="F14" s="77" t="inlineStr">
        <is>
          <t>https://upc.bristol.ac.uk/unit-programme-catalogue/UnitDetails.jsa?unitCode=EFIM30064&amp;ayrCode=25/26&amp;orgCode=BUSI; https://www.bristol.ac.uk/business-school/careers-and-employability/micro-internship-programme/; https://www.bristol.ac.uk/study/postgraduate/taught/msc-marketing/</t>
        </is>
      </c>
      <c r="G14" s="77" t="inlineStr">
        <is>
          <t>Most developed area: a final-year charity-client consultancy unit, an extracurricular 200-place micro-internship, and several MSc team projects with partners (Marketing AEP, Business Analytics, BIE, Data Science for Business), several with weak dated evidence.</t>
        </is>
      </c>
    </row>
    <row r="15">
      <c r="A15" s="77" t="inlineStr">
        <is>
          <t>RG02</t>
        </is>
      </c>
      <c r="B15" s="77" t="inlineStr">
        <is>
          <t>Bristol</t>
        </is>
      </c>
      <c r="C15" s="77" t="inlineStr">
        <is>
          <t>Engineering/computing</t>
        </is>
      </c>
      <c r="D15" s="77" t="inlineStr">
        <is>
          <t>Searched</t>
        </is>
      </c>
      <c r="E15" s="77" t="inlineStr">
        <is>
          <t>Bristol Industrial Liaison Office software projects Summer Team Project; Undergraduate software engineering projects COMS20006; ILO Industry Projects engineering design; Civil Engineering design projects ILO; MSc Data Science and Fintech with Data Science projects; Data Science Mini-Project EMATM0050; Engineering Mathematics Mathematical Modelling industrial partners; Design Engineering group design project industrial partner; MEng Engineering Design year four industrial partner; Bristol computer science software engineering project 2025 client</t>
        </is>
      </c>
      <c r="F15" s="77" t="inlineStr">
        <is>
          <t>https://www.bristol.ac.uk/science-engineering/ilo/industry/software-projects/; https://www.bristol.ac.uk/science-engineering/ilo/industry/industry-projects/; https://upc.bristol.ac.uk/unit-programme-catalogue/UnitDetails.jsa?ayrCode=26/27&amp;unitCode=SEMT30005</t>
        </is>
      </c>
      <c r="G15" s="77" t="inlineStr">
        <is>
          <t>The Industrial Liaison Office brokers client briefs into undergraduate and MSc software team projects, civil engineering MEng design projects, Engineering Maths modelling projects and MSc Data Science. Dated evidence is strongest for SEMT30005 (2026/27), CENGM0062 and EMATM0050 (2025/26).</t>
        </is>
      </c>
    </row>
    <row r="16">
      <c r="A16" s="77" t="inlineStr">
        <is>
          <t>RG02</t>
        </is>
      </c>
      <c r="B16" s="77" t="inlineStr">
        <is>
          <t>Bristol</t>
        </is>
      </c>
      <c r="C16" s="77" t="inlineStr">
        <is>
          <t>Science</t>
        </is>
      </c>
      <c r="D16" s="77" t="inlineStr">
        <is>
          <t>Searched</t>
        </is>
      </c>
      <c r="E16" s="77" t="inlineStr">
        <is>
          <t>Geographical Sciences Consultancy Project GEOGM0029; GEOGM0072 Policy and Management Consultancy; Earth Sciences/Physics/Chemistry/Maths industry project unit; Partner Placement Project PHYSM0067</t>
        </is>
      </c>
      <c r="F16" s="77" t="inlineStr">
        <is>
          <t>https://www.bristol.ac.uk/unit-programme-catalogue/UnitDetails.jsa;jsessionid=E18CC10B387E8540EAE6E4B6C6AF33A8?ayrCode=37/38&amp;unitCode=GEOGM0029; https://upc.bristol.ac.uk/unit-programme-catalogue/UnitDetails.jsa?ayrCode=25/26&amp;unitCode=PHYSM0067</t>
        </is>
      </c>
      <c r="G16" s="77" t="inlineStr">
        <is>
          <t>Geographical Sciences consultancy units exist (3-5 student teams with external clients) but current delivery unverified; Physics placement is individual; no client-brief units found in Chemistry, Earth Sciences or Mathematics.</t>
        </is>
      </c>
    </row>
    <row r="17">
      <c r="A17" s="77" t="inlineStr">
        <is>
          <t>RG02</t>
        </is>
      </c>
      <c r="B17" s="77" t="inlineStr">
        <is>
          <t>Bristol</t>
        </is>
      </c>
      <c r="C17" s="77" t="inlineStr">
        <is>
          <t>Arts/humanities/social sciences</t>
        </is>
      </c>
      <c r="D17" s="77" t="inlineStr">
        <is>
          <t>Searched</t>
        </is>
      </c>
      <c r="E17" s="77" t="inlineStr">
        <is>
          <t>Professional Liaison Network live briefs units students group; Bristol unit catalogue 2025/26 group project partner organisation social sciences/education/languages/history; Bristol arts humanities live project external client translation/heritage/museum/theatre/film</t>
        </is>
      </c>
      <c r="F17" s="77" t="inlineStr">
        <is>
          <t>https://www.bristol.ac.uk/arts-law-social-sciences/partnerships/professional-liaison-network/; https://www.bristol.ac.uk/fssl/professional-liaison-network/undergraduate-students/student-placements-and-projects/</t>
        </is>
      </c>
      <c r="G17" s="77" t="inlineStr">
        <is>
          <t>Faculty PLN offers live briefs and group consultancy to organisations, but no humanities or social-science unit with a documented live client team brief was found; Management Consultancy sits in the Business School.</t>
        </is>
      </c>
    </row>
    <row r="18">
      <c r="A18" s="77" t="inlineStr">
        <is>
          <t>RG02</t>
        </is>
      </c>
      <c r="B18" s="77" t="inlineStr">
        <is>
          <t>Bristol</t>
        </is>
      </c>
      <c r="C18" s="77" t="inlineStr">
        <is>
          <t>Other (law, health, design, architecture…)</t>
        </is>
      </c>
      <c r="D18" s="77" t="inlineStr">
        <is>
          <t>Searched</t>
        </is>
      </c>
      <c r="E18" s="77" t="inlineStr">
        <is>
          <t>Bristol Law School clinic pro bono students team external organisation; Human Rights Law Clinic Bristol student-led teams partner organisation</t>
        </is>
      </c>
      <c r="F18" s="77" t="inlineStr">
        <is>
          <t>https://www.bristol.ac.uk/law/careers-and-employability/human-rights-law-clinic/; https://www.bristol.ac.uk/law/law-clinic/</t>
        </is>
      </c>
      <c r="G18" s="77" t="inlineStr">
        <is>
          <t>Human Rights Law Clinic provides selective extracurricular team research for partner organisations. Medicine, Health, Veterinary, Dentistry and Architecture/Arts not specifically found in searches (no results returned).</t>
        </is>
      </c>
    </row>
    <row r="19">
      <c r="A19" s="77" t="inlineStr">
        <is>
          <t>RG03</t>
        </is>
      </c>
      <c r="B19" s="77" t="inlineStr">
        <is>
          <t>Cambridge</t>
        </is>
      </c>
      <c r="C19" s="77" t="inlineStr">
        <is>
          <t>Central provision</t>
        </is>
      </c>
      <c r="D19" s="77" t="inlineStr">
        <is>
          <t>Searched</t>
        </is>
      </c>
      <c r="E19" s="77" t="inlineStr">
        <is>
          <t>Climate i-Teams Cambridge launch October 2026; i-Teams Cambridge how it works eligibility; Cambridge careers service student project employers consultancy; Cambridge Hub / 180 Degrees / Consulting Network pro bono</t>
        </is>
      </c>
      <c r="F19" s="77" t="inlineStr">
        <is>
          <t>https://www.cam.ac.uk/stories/climate-iteams-innovation; https://ie.cam.ac.uk/support_article/i-teams/; https://www.careers.cam.ac.uk/sectors-consultancy</t>
        </is>
      </c>
      <c r="G19" s="77" t="inlineStr">
        <is>
          <t>No university-wide curricular employer project scheme. i-Teams is the only central route (university-wide, selective, extracurricular) but its client is internal research groups, so C unclear. Careers Service and student societies are leads only.</t>
        </is>
      </c>
    </row>
    <row r="20">
      <c r="A20" s="77" t="inlineStr">
        <is>
          <t>RG03</t>
        </is>
      </c>
      <c r="B20" s="77" t="inlineStr">
        <is>
          <t>Cambridge</t>
        </is>
      </c>
      <c r="C20" s="77" t="inlineStr">
        <is>
          <t>Business/management</t>
        </is>
      </c>
      <c r="D20" s="77" t="inlineStr">
        <is>
          <t>Searched</t>
        </is>
      </c>
      <c r="E20" s="77" t="inlineStr">
        <is>
          <t>Cambridge Judge MBA Global Consulting Project; Cambridge Venture Project CVP; MST consulting project; MFin Group Consulting Project; MPhil Management Consulting Project; MPhil Technology Policy Final Group Project; Executive MBA Practical Projects; MSt Entrepreneurship live client project</t>
        </is>
      </c>
      <c r="F20" s="77" t="inlineStr">
        <is>
          <t>https://www.jbs.cam.ac.uk/recruiters-organisations/student-projects/; https://www.jbs.cam.ac.uk/masters-degrees/mba/curriculum/projects/; https://www.jbs.cam.ac.uk/programmes/undergraduate/consulting-project/</t>
        </is>
      </c>
      <c r="G20" s="77" t="inlineStr">
        <is>
          <t>Judge Business School runs a dense set of embedded, programme-wide, live-client team projects (MBA GCP and CVP, MFin GCP, MPhil Management, MST undergraduate, MPhil Technology Policy, EMBA) with a central client-proposal process.</t>
        </is>
      </c>
    </row>
    <row r="21">
      <c r="A21" s="77" t="inlineStr">
        <is>
          <t>RG03</t>
        </is>
      </c>
      <c r="B21" s="77" t="inlineStr">
        <is>
          <t>Cambridge</t>
        </is>
      </c>
      <c r="C21" s="77" t="inlineStr">
        <is>
          <t>Engineering/computing</t>
        </is>
      </c>
      <c r="D21" s="77" t="inlineStr">
        <is>
          <t>Searched</t>
        </is>
      </c>
      <c r="E21" s="77" t="inlineStr">
        <is>
          <t>Cambridge Engineering industrial project group project external client; Computer Science Tripos Part IB group projects industrial clients; Part IB group projects objectives and assessment/course structure; MET IIB industrial projects; IfM student projects for companies; Part IIA project descriptions; Student-led Projects and Industry Partnership; MPhil ESD Client Project</t>
        </is>
      </c>
      <c r="F21" s="77" t="inlineStr">
        <is>
          <t>https://www.cst.cam.ac.uk/teaching/part-ib/group-projects/objectives-and-assessment; https://www.ifm.eng.cam.ac.uk/education/met/b/projects/; https://www-esdmphil.eng.cam.ac.uk/about-the-programme/prog-structure/electives-and-management/client-consultancy-project</t>
        </is>
      </c>
      <c r="G21" s="77" t="inlineStr">
        <is>
          <t>Compulsory CS Part IB group project with industry clients (2026 evidence); IfM MET/ISMM company projects and ESD MPhil Client Project are further routes but lack dated current evidence.</t>
        </is>
      </c>
    </row>
    <row r="22">
      <c r="A22" s="77" t="inlineStr">
        <is>
          <t>RG03</t>
        </is>
      </c>
      <c r="B22" s="77" t="inlineStr">
        <is>
          <t>Cambridge</t>
        </is>
      </c>
      <c r="C22" s="77" t="inlineStr">
        <is>
          <t>Science</t>
        </is>
      </c>
      <c r="D22" s="77" t="inlineStr">
        <is>
          <t>Searched</t>
        </is>
      </c>
      <c r="E22" s="77" t="inlineStr">
        <is>
          <t>Cambridge science students team project external partner company; MPhil Bioscience Enterprise team consultancy project; Chemical Engineering design project industrial</t>
        </is>
      </c>
      <c r="F22" s="77" t="inlineStr">
        <is>
          <t>https://www.ceb.cam.ac.uk/study/grad/mphil/bioent</t>
        </is>
      </c>
      <c r="G22" s="77" t="inlineStr">
        <is>
          <t>No undergraduate natural science team-client route found; MPhil Bioscience Enterprise consulting project is a qualifying design but current status unclear. Conservation Leadership group consultancy (science/geography) also logged.</t>
        </is>
      </c>
    </row>
    <row r="23">
      <c r="A23" s="77" t="inlineStr">
        <is>
          <t>RG03</t>
        </is>
      </c>
      <c r="B23" s="77" t="inlineStr">
        <is>
          <t>Cambridge</t>
        </is>
      </c>
      <c r="C23" s="77" t="inlineStr">
        <is>
          <t>Arts/humanities/social sciences</t>
        </is>
      </c>
      <c r="D23" s="77" t="inlineStr">
        <is>
          <t>Searched</t>
        </is>
      </c>
      <c r="E23" s="77" t="inlineStr">
        <is>
          <t>MPhil Public Policy consultancy project client; Land Economy / Geography / Architecture / Education client project; Bennett School Policy Analysis Exercise; Conservation Leadership group consultancy; Cambridge humanities heritage museum project partner module</t>
        </is>
      </c>
      <c r="F23" s="77" t="inlineStr">
        <is>
          <t>https://www.bennettschool.cam.ac.uk/study/mphil-in-public-policy/mpp-curriculum/; https://www.geog.cam.ac.uk/postgraduate/mphil/conservation/</t>
        </is>
      </c>
      <c r="G23" s="77" t="inlineStr">
        <is>
          <t>Two postgraduate routes (Bennett PAE, Conservation Leadership consultancy) with unclear current status; no humanities or undergraduate social-science client project verified.</t>
        </is>
      </c>
    </row>
    <row r="24">
      <c r="A24" s="77" t="inlineStr">
        <is>
          <t>RG03</t>
        </is>
      </c>
      <c r="B24" s="77" t="inlineStr">
        <is>
          <t>Cambridge</t>
        </is>
      </c>
      <c r="C24" s="77" t="inlineStr">
        <is>
          <t>Other (law, health, design, architecture…)</t>
        </is>
      </c>
      <c r="D24" s="77" t="inlineStr">
        <is>
          <t>Searched</t>
        </is>
      </c>
      <c r="E24" s="77" t="inlineStr">
        <is>
          <t>Cambridge Pro Bono Project law; Cambridge humanities heritage museum project partner module</t>
        </is>
      </c>
      <c r="F24" s="77" t="inlineStr">
        <is>
          <t>https://www.cpp.law.cam.ac.uk</t>
        </is>
      </c>
      <c r="G24" s="77" t="inlineStr">
        <is>
          <t>No law, medicine, architecture or design team client project verified; law pro bono is a research centre, not a student team route. Medicine, Architecture and Education not searched individually.</t>
        </is>
      </c>
    </row>
    <row r="25">
      <c r="A25" s="77" t="inlineStr">
        <is>
          <t>RG04</t>
        </is>
      </c>
      <c r="B25" s="77" t="inlineStr">
        <is>
          <t>Cardiff</t>
        </is>
      </c>
      <c r="C25" s="77" t="inlineStr">
        <is>
          <t>Central provision</t>
        </is>
      </c>
      <c r="D25" s="77" t="inlineStr">
        <is>
          <t>Searched</t>
        </is>
      </c>
      <c r="E25" s="77" t="inlineStr">
        <is>
          <t>Cardiff University students consultancy project live client team employer; Cardiff University Bremen Cardiff sustainability programme students; Bremen-Cardiff Initiative on Sustainability and Entrepreneurship real-world problem company challenge teams; Cardiff University Student Futures work experience team project employer brief students work in teams; Cardiff University module students work in groups on a project for an external organisation client report presentation; [blocked by budget] Cardiff Student Enterprise annual report 2024/25 programmes challenge partner organisations; Cardiff Student Enterprise challenge employer set brief student teams 2025/26</t>
        </is>
      </c>
      <c r="F25" s="77" t="inlineStr">
        <is>
          <t>https://www.cardiff.ac.uk/global/global-partnerships/university-of-bremen; https://sites.cardiff.ac.uk/student-futures-framework/student-futures-framework/activities-supported-by-student-futures/; https://www.cardiff.ac.uk/__data/assets/pdf_file/0012/2899470/202526-Student-Enterprise-Annual-Report.pdf</t>
        </is>
      </c>
      <c r="G25" s="77" t="inlineStr">
        <is>
          <t>No university-wide employer-linked group project route was verified. The Bremen-Cardiff Initiative (two weeks, real-world problem) lacks evidence of an external client. The Student Futures framework and Cardiff Award are frameworks. Student Enterprise programmes could not be checked before the budget ran out. Follow-up search found no employer-briefed Student Enterprise team challenge; the 2025/26 annual report extract was unreadable.</t>
        </is>
      </c>
    </row>
    <row r="26">
      <c r="A26" s="77" t="inlineStr">
        <is>
          <t>RG04</t>
        </is>
      </c>
      <c r="B26" s="77" t="inlineStr">
        <is>
          <t>Cardiff</t>
        </is>
      </c>
      <c r="C26" s="77" t="inlineStr">
        <is>
          <t>Business/management</t>
        </is>
      </c>
      <c r="D26" s="77" t="inlineStr">
        <is>
          <t>Searched</t>
        </is>
      </c>
      <c r="E26" s="77" t="inlineStr">
        <is>
          <t>Cardiff Business School MBA management consultancy project PA Consulting charities teams; Cardiff Business School undergraduate module consultancy project real organisation group BS3; Business Management MSc Cardiff consultancy project BST740 group business problem organisation module description; Strategic Entrepreneurship and Innovation MSc New Venture Plan group project assigned a client brief; Cardiff MBA live consultancy project company report challenge partner identified final stage; "Consultancy Challenge" Cardiff Business School students organisation client teams; "Cardiff Challenge" Business School students teams organisations; [blocked by budget] FinTech Wales Skills Challenge</t>
        </is>
      </c>
      <c r="F26" s="77" t="inlineStr">
        <is>
          <t>https://www.cardiff.ac.uk/study/postgraduate/taught/courses/course/strategic-entrepreneurship-and-innovation-msc; https://www.cardiff.ac.uk/news/view/790309-student-skills-boost-charity-success; https://www.cardiff.ac.uk/business-school/news/features/become-a-future-leader-with-the-cardiff-mba-part-time-programme; https://www.cardiff.ac.uk/study/postgraduate/taught/courses/course/business-management-msc-full-time-september-start</t>
        </is>
      </c>
      <c r="G26" s="77" t="inlineStr">
        <is>
          <t>PGT client projects were found: the MSc SEI New Venture Plan (group, real company client), the MBA charity consultancy elective with PA Consulting, the MBA live/Accelerator project (group unclear) and the MSc Business Management Consultancy Challenge (charity clients only 'may'). No undergraduate business consultancy module was evidenced. All pages are undated.</t>
        </is>
      </c>
    </row>
    <row r="27">
      <c r="A27" s="77" t="inlineStr">
        <is>
          <t>RG04</t>
        </is>
      </c>
      <c r="B27" s="77" t="inlineStr">
        <is>
          <t>Cardiff</t>
        </is>
      </c>
      <c r="C27" s="77" t="inlineStr">
        <is>
          <t>Engineering/computing</t>
        </is>
      </c>
      <c r="D27" s="77" t="inlineStr">
        <is>
          <t>Searched</t>
        </is>
      </c>
      <c r="E27" s="77" t="inlineStr">
        <is>
          <t>National Software Academy group project client industry sponsored team second year; Applied Software Engineering BSc real clients private public third sectors team meet clients every two weeks; Cardiff School of Engineering group design project industry sponsor students team; "Work with our students" School of Engineering Cardiff group projects Masters students industry topic intensive; Cardiff School of Computer Science and Informatics team project external client industry BSc Computer Science year</t>
        </is>
      </c>
      <c r="F27" s="77" t="inlineStr">
        <is>
          <t>https://www.cardiff.ac.uk/study/undergraduate/courses/course/applied-software-engineering-bsc; https://www.cardiff.ac.uk/software-academy/working-with-industry; https://www.cardiff.ac.uk/engineering/industrial-collaboration/work-with-our-students; https://www.cardiff.ac.uk/study/undergraduate/courses/2026/computer-science-with-a-foundation-year-bsc</t>
        </is>
      </c>
      <c r="G27" s="77" t="inlineStr">
        <is>
          <t>The National Software Academy's BSc Applied Software Engineering embeds team projects for real private, public and third-sector clients (the clearest qualifying route, current for 2026). The CS year-2 group project has only optional external clients. Engineering offers company-linked MSc group projects (coverage unclear), and MEng group design projects are research-linked.</t>
        </is>
      </c>
    </row>
    <row r="28">
      <c r="A28" s="77" t="inlineStr">
        <is>
          <t>RG04</t>
        </is>
      </c>
      <c r="B28" s="77" t="inlineStr">
        <is>
          <t>Cardiff</t>
        </is>
      </c>
      <c r="C28" s="77" t="inlineStr">
        <is>
          <t>Science</t>
        </is>
      </c>
      <c r="D28" s="77" t="inlineStr">
        <is>
          <t>Searched</t>
        </is>
      </c>
      <c r="E28" s="77" t="inlineStr">
        <is>
          <t>Cardiff University chemistry OR biosciences OR earth sciences OR mathematics group project industry partner students real problem</t>
        </is>
      </c>
      <c r="F28" s="77" t="inlineStr">
        <is>
          <t>https://www.cardiff.ac.uk/mathematics/research/partnerships-and-collaborations; https://www.cardiff.ac.uk/biosciences/about-us/working-with-business/research-collaboration-and-development</t>
        </is>
      </c>
      <c r="G28" s="77" t="inlineStr">
        <is>
          <t>Only research partnership pages were found (Maths Industrial Advisory Board, KTP/KESS); no taught group project with an external client was found. Coverage is thin (one search) and further departmental instances are possible.</t>
        </is>
      </c>
    </row>
    <row r="29">
      <c r="A29" s="77" t="inlineStr">
        <is>
          <t>RG04</t>
        </is>
      </c>
      <c r="B29" s="77" t="inlineStr">
        <is>
          <t>Cardiff</t>
        </is>
      </c>
      <c r="C29" s="77" t="inlineStr">
        <is>
          <t>Arts/humanities/social sciences</t>
        </is>
      </c>
      <c r="D29" s="77" t="inlineStr">
        <is>
          <t>Searched</t>
        </is>
      </c>
      <c r="E29" s="77" t="inlineStr">
        <is>
          <t>Cardiff University School of Geography and Planning OR Journalism OR Social Sciences students group live project client organisation brief; Cardiff School of English Communication Philosophy OR Modern Languages OR History employer project students team heritage partner module; Spatial Planning and Development MSc Cardiff Live Project CPT831 group real client planning authority; Cardiff University students team project real client organisation brief healthcare OR pharmacy OR journalism OR psychology OR social sciences module</t>
        </is>
      </c>
      <c r="F29" s="77" t="inlineStr">
        <is>
          <t>https://www.cardiff.ac.uk/study/postgraduate/taught/courses/course/spatial-planning-and-development-msc; https://data.cardiff.ac.uk/legacy/grails/module/CP0210/16A.html; https://www.cardiff.ac.uk/study/undergraduate/courses/2026/philosophy-and-linguistics-ba</t>
        </is>
      </c>
      <c r="G29" s="77" t="inlineStr">
        <is>
          <t>Planning has live-client projects: MSc SPD CPT831 has real clients such as planning authorities (group unclear), and the UG CP0210 group consultancy is evidenced only historically. English/Philosophy policy and industry projects lack evidenced external clients. Journalism, History and Social Sciences were not covered.</t>
        </is>
      </c>
    </row>
    <row r="30">
      <c r="A30" s="77" t="inlineStr">
        <is>
          <t>RG04</t>
        </is>
      </c>
      <c r="B30" s="77" t="inlineStr">
        <is>
          <t>Cardiff</t>
        </is>
      </c>
      <c r="C30" s="77" t="inlineStr">
        <is>
          <t>Other (law, health, design, architecture…)</t>
        </is>
      </c>
      <c r="D30" s="77" t="inlineStr">
        <is>
          <t>Searched</t>
        </is>
      </c>
      <c r="E30" s="77" t="inlineStr">
        <is>
          <t>Welsh School of Architecture live projects community clients students groups; Cardiff MArch "Design in Practice" live project teaching module groups client; Cardiff Law School pro bono students teams project organisation Innocence Project OR Law Commission OR policy clinic; Cardiff University students team project real client organisation brief healthcare OR pharmacy OR journalism OR psychology OR social sciences module</t>
        </is>
      </c>
      <c r="F30" s="77" t="inlineStr">
        <is>
          <t>https://www.cardiff.ac.uk/architecture/engagement/external-practitioner-call; https://www.cardiff.ac.uk/news/view/1758744-impressive-work-and-ideas-developed-during-vertical-studio-2020; https://www.cardiff.ac.uk/pro-bono/pro-bono-schemes</t>
        </is>
      </c>
      <c r="G30" s="77" t="inlineStr">
        <is>
          <t>Architecture uses live projects (Design in Practice; Grangetown/Grange Pavilion community clients), but group structure and current status are unclear. Law pro bono is volunteer casework (excluded). Health schools (Medicine, Dentistry, Healthcare Sciences, Pharmacy, Psychology) were NOT searched because the budget ran out. Reduced-depth follow-up search found no health-school (Medicine, Pharmacy, Psychology) or Journalism employer group project; unverified rather than excluded.</t>
        </is>
      </c>
    </row>
    <row r="31">
      <c r="A31" s="77" t="inlineStr">
        <is>
          <t>RG05</t>
        </is>
      </c>
      <c r="B31" s="77" t="inlineStr">
        <is>
          <t>Durham</t>
        </is>
      </c>
      <c r="C31" s="77" t="inlineStr">
        <is>
          <t>Central provision</t>
        </is>
      </c>
      <c r="D31" s="77" t="inlineStr">
        <is>
          <t>Searched</t>
        </is>
      </c>
      <c r="E31" s="77" t="inlineStr">
        <is>
          <t>Durham University Mini Consultancy Competition students teams employer challenge; Durham University work-based learning programmes for employers student project; Durham careers Mini Consultancy competition students apply; Durham Careers Enterprise Experience students consultancy challenge eligibility; Durham students employer challenge hackathon case challenge; Durham Virtual Internship Programme 125 hours; Durham Business Mentoring consultancy student society pro bono clients</t>
        </is>
      </c>
      <c r="F31" s="77" t="inlineStr">
        <is>
          <t>https://dur.ac.uk/study/careers-employability-enterprise/information-for-employers/work-based-learning-programmes-for-employers/; https://180dc.org/branches/durham-university</t>
        </is>
      </c>
      <c r="G31" s="77" t="inlineStr">
        <is>
          <t>Central provision is employer-facing: Mini Consultancy Competition (three-week, employer-set issue, three student teams), mentoring, insight and virtual internship. No student-facing page, eligibility or dated cohort found. 180 Degrees Consulting is an independent CIC.</t>
        </is>
      </c>
    </row>
    <row r="32">
      <c r="A32" s="77" t="inlineStr">
        <is>
          <t>RG05</t>
        </is>
      </c>
      <c r="B32" s="77" t="inlineStr">
        <is>
          <t>Durham</t>
        </is>
      </c>
      <c r="C32" s="77" t="inlineStr">
        <is>
          <t>Business/management</t>
        </is>
      </c>
      <c r="D32" s="77" t="inlineStr">
        <is>
          <t>Searched</t>
        </is>
      </c>
      <c r="E32" s="77" t="inlineStr">
        <is>
          <t>Durham University Business School live client consultancy project module MSc; Durham Business School Business Projects teams client organisation; Durham MBA Strategic Consulting Project team client; Durham Business Analytics Projects team client dataset; BUSI48U60 Business Project module; BUSI3281; Durham Business School undergraduate business challenge/consultancy; Durham Executive MBA teams consulting project</t>
        </is>
      </c>
      <c r="F32" s="77" t="inlineStr">
        <is>
          <t>https://www.durham.ac.uk/business/programmes/masters/business-analytics-projects/; https://www.durham.ac.uk/business/for-business/business-projects/; https://www.durham.ac.uk/study/modules/postgraduate/busi48u60.php</t>
        </is>
      </c>
      <c r="G32" s="77" t="inlineStr">
        <is>
          <t>Business School runs client-linked MSc/MBA projects, mostly individual (MBA SCP, MSc Management Business Project). MSc Business Analytics projects are client-supplied; team vs individual unresolved. No undergraduate live-client group module found.</t>
        </is>
      </c>
    </row>
    <row r="33">
      <c r="A33" s="77" t="inlineStr">
        <is>
          <t>RG05</t>
        </is>
      </c>
      <c r="B33" s="77" t="inlineStr">
        <is>
          <t>Durham</t>
        </is>
      </c>
      <c r="C33" s="77" t="inlineStr">
        <is>
          <t>Engineering/computing</t>
        </is>
      </c>
      <c r="D33" s="77" t="inlineStr">
        <is>
          <t>Searched</t>
        </is>
      </c>
      <c r="E33" s="77" t="inlineStr">
        <is>
          <t>Durham Engineering industry-sponsored group project MEng client company; Durham Engineering group design project industry partner; Durham Engineering Industrial Problem Solving IPS; Durham Engineering Design 2 Build; Durham 2nd year Engineering Design; Durham IPC news IPS; Durham Computer Science software engineering group project industry client; COMP2281; Durham Computer Science MSc industry project; COMP3421; ENGI4321; Durham Master's hubs industry project</t>
        </is>
      </c>
      <c r="F33" s="77" t="inlineStr">
        <is>
          <t>https://www.durham.ac.uk/study/modules/undergraduate/comp2281.php; https://sites.durham.ac.uk/eng-ipc/; https://www.durham.ac.uk/departments/academic/engineering/undergraduate-study/courses/2nd-year-engineering/</t>
        </is>
      </c>
      <c r="G33" s="77" t="inlineStr">
        <is>
          <t>Computer Science Year 2 Software Engineering has a compulsory team project with an external organisation (current 2025/26). Engineering has a historical pair-based live company project (IPS, sessions to 2019) and a year-long team Engineering Design with industry input (client role unclear).</t>
        </is>
      </c>
    </row>
    <row r="34">
      <c r="A34" s="77" t="inlineStr">
        <is>
          <t>RG05</t>
        </is>
      </c>
      <c r="B34" s="77" t="inlineStr">
        <is>
          <t>Durham</t>
        </is>
      </c>
      <c r="C34" s="77" t="inlineStr">
        <is>
          <t>Science</t>
        </is>
      </c>
      <c r="D34" s="77" t="inlineStr">
        <is>
          <t>Searched</t>
        </is>
      </c>
      <c r="E34" s="77" t="inlineStr">
        <is>
          <t>Durham Physics Level 3 team project for clients; PHYS3581 Team Project; Durham Physics team project 2025-26 clients; Durham Physics team project for students; Durham Physics F300 team project; Durham Chemistry/Biosciences/Earth Sciences/Geography group project external client; GEOL4091 Earth Sciences into Industry; CHEM4375; Durham Mathematical Sciences industry project data science</t>
        </is>
      </c>
      <c r="F34" s="77" t="inlineStr">
        <is>
          <t>https://www.durham.ac.uk/study/modules/undergraduate/geol4091.php; https://www.durham.ac.uk/study/modules/undergraduate/phys3581.php; https://www.durham.ac.uk/departments/academic/physics/labs/level-3/team-project/for-clients/</t>
        </is>
      </c>
      <c r="G34" s="77" t="inlineStr">
        <is>
          <t>Two strong science routes: Earth Sciences GEOL4091 (client-set group project, 2025/26) and Physics PHYS3581 Team Project (teams of up to six for industry or staff-set problems). Chemistry external project and Maths internship project are individual or unevidenced.</t>
        </is>
      </c>
    </row>
    <row r="35">
      <c r="A35" s="77" t="inlineStr">
        <is>
          <t>RG05</t>
        </is>
      </c>
      <c r="B35" s="77" t="inlineStr">
        <is>
          <t>Durham</t>
        </is>
      </c>
      <c r="C35" s="77" t="inlineStr">
        <is>
          <t>Arts/humanities/social sciences</t>
        </is>
      </c>
      <c r="D35" s="77" t="inlineStr">
        <is>
          <t>Searched</t>
        </is>
      </c>
      <c r="E35" s="77" t="inlineStr">
        <is>
          <t>Durham Centre for Social Justice and Community Action students community partner module; Durham module groups external organisation client report social sciences arts humanities; FOUD01Z8; Durham Arts and Humanities in the Workplace; Durham Anthropology/Archaeology/Education/Psychology placement group project; SOCI43715 (refused: search limit)</t>
        </is>
      </c>
      <c r="F35" s="77" t="inlineStr">
        <is>
          <t>https://www.durham.ac.uk/study/modules/postgraduate/soci43715.php; https://www.durham.ac.uk/study/modules/postgraduate/anth49960.php</t>
        </is>
      </c>
      <c r="G35" s="77" t="inlineStr">
        <is>
          <t>No group client-project module found. Anthropology vocational dissertation is individual; Participatory Action Research module (group co-designed PAR project) could not be checked for community-partner role because the search limit was reached.</t>
        </is>
      </c>
    </row>
    <row r="36">
      <c r="A36" s="77" t="inlineStr">
        <is>
          <t>RG05</t>
        </is>
      </c>
      <c r="B36" s="77" t="inlineStr">
        <is>
          <t>Durham</t>
        </is>
      </c>
      <c r="C36" s="77" t="inlineStr">
        <is>
          <t>Other (law, health, design, architecture…)</t>
        </is>
      </c>
      <c r="D36" s="77" t="inlineStr">
        <is>
          <t>Searched</t>
        </is>
      </c>
      <c r="E36" s="77" t="inlineStr">
        <is>
          <t>Durham Law School pro bono clinic students teams real clients</t>
        </is>
      </c>
      <c r="F36" s="77" t="inlineStr">
        <is>
          <t>https://www.durham.ac.uk/departments/academic/law/news-and-events/news/2025/04/durham-law-schools-pro-bono-team/</t>
        </is>
      </c>
      <c r="G36" s="77" t="inlineStr">
        <is>
          <t>Law: student-led Pro Bono Society/team only; no clinic module evidenced. Education, Psychology, Sport, Theology/Common Awards, Medicine-health provision not specifically searched beyond mixed queries.</t>
        </is>
      </c>
    </row>
    <row r="37">
      <c r="A37" s="77" t="inlineStr">
        <is>
          <t>RG06</t>
        </is>
      </c>
      <c r="B37" s="77" t="inlineStr">
        <is>
          <t>Edinburgh</t>
        </is>
      </c>
      <c r="C37" s="77" t="inlineStr">
        <is>
          <t>Central provision</t>
        </is>
      </c>
      <c r="D37" s="77" t="inlineStr">
        <is>
          <t>Searched</t>
        </is>
      </c>
      <c r="E37" s="77" t="inlineStr">
        <is>
          <t>University of Edinburgh Students as Change Agents EFI elective group project external partner; Careers Service employer challenge students teams real project employer brief Edinburgh; Edinburgh Innovations student projects industry partners masters students team consultancy; EFI Change Agents EFIE08006 course catalogue; Students as Change Agents EFIE08003 2025/26; EFI Student Challenge projects</t>
        </is>
      </c>
      <c r="F37" s="77" t="inlineStr">
        <is>
          <t>https://careers.ed.ac.uk/build-experience/students-as-change-agents; https://www.drps.ed.ac.uk/25-26/dpt/cxefie08006.htm; https://efi.ed.ac.uk/student-challenge-projects/; https://edinburgh-innovations.ed.ac.uk/news/hvdc-challenges-msc-students</t>
        </is>
      </c>
      <c r="G37" s="77" t="inlineStr">
        <is>
          <t>The only university-wide employer-challenge team scheme (SACHA) has a paused Careers co-curricular route and a continuing EFI credit course (reach unclear); EFI postgraduate challenge projects are individual; Edinburgh Innovations ran a one-off MSc industry challenge week.</t>
        </is>
      </c>
    </row>
    <row r="38">
      <c r="A38" s="77" t="inlineStr">
        <is>
          <t>RG06</t>
        </is>
      </c>
      <c r="B38" s="77" t="inlineStr">
        <is>
          <t>Edinburgh</t>
        </is>
      </c>
      <c r="C38" s="77" t="inlineStr">
        <is>
          <t>Business/management</t>
        </is>
      </c>
      <c r="D38" s="77" t="inlineStr">
        <is>
          <t>Searched</t>
        </is>
      </c>
      <c r="E38" s="77" t="inlineStr">
        <is>
          <t>University of Edinburgh student consultancy live client project; business-school.ed.ac.uk collaborate student-projects Management Consultancy in Practice; Project Management in Business Analysis consultancy project; Sustainable Business Consultancy Project MSc; Enterprise Consultancy Project BUST10120; Management Consultancy in Practice course catalogue; Business Project Portfolio BUST10167; Consultancy Project (MBA) CMSE11224; MBA Charity Consultancy Week; Capco Consulting Challenge; Climate Change Consulting Project; Project Management in Business Analysis CMSE11452</t>
        </is>
      </c>
      <c r="F38" s="77" t="inlineStr">
        <is>
          <t>https://www.business-school.ed.ac.uk/collaborate/student-projects/management-consultancy-practice; https://www.drps.ed.ac.uk/26-27/dpt/cxcmse11573.htm; https://www.drps.ed.ac.uk/25-26/dpt/cxbust10120.htm; https://www.business-school.ed.ac.uk/collaborate/student-projects/mba-charity-consultancy-week</t>
        </is>
      </c>
      <c r="G38" s="77" t="inlineStr">
        <is>
          <t>Dense distributed provision: a Business School 'student projects' framework with live-client team consultancy across MSc E&amp;I, MSc GSS, MSc CCFI, MBA (consultancy and charity week) and an undergraduate Enterprise Consultancy Project; current delivery confirmed for only some.</t>
        </is>
      </c>
    </row>
    <row r="39">
      <c r="A39" s="77" t="inlineStr">
        <is>
          <t>RG06</t>
        </is>
      </c>
      <c r="B39" s="77" t="inlineStr">
        <is>
          <t>Edinburgh</t>
        </is>
      </c>
      <c r="C39" s="77" t="inlineStr">
        <is>
          <t>Engineering/computing</t>
        </is>
      </c>
      <c r="D39" s="77" t="inlineStr">
        <is>
          <t>Searched</t>
        </is>
      </c>
      <c r="E39" s="77" t="inlineStr">
        <is>
          <t>School of Informatics industry project team external company client MSc group project; School of Engineering industry-sponsored group design project external client; Design Informatics MSc compulsory course small groups external organisation data; Design with Data DESI11025; Informatics Group Practical OR System Design Project industry client; System Design Project INFR09032; Engineering MSc Group Design Project industry client; Digital Design and Manufacture Group Design Project PGEE11211</t>
        </is>
      </c>
      <c r="F39" s="77" t="inlineStr">
        <is>
          <t>https://informatics.ed.ac.uk/taught-students/msc-students/taught-msc-handbook-202526/degree-programmes-and-courses/design; http://www.drps.ed.ac.uk/25-26/dpt/cxdesi11025.htm; https://www.drps.ed.ac.uk/23-24/dpt/cxinfr09032.htm</t>
        </is>
      </c>
      <c r="G39" s="77" t="inlineStr">
        <is>
          <t>Industry links in Informatics run mainly through individual dissertations; Design with Data (group, external organisation data) is partially evidenced; System Design Project has a hypothetical client; engineering group design projects show no partner evidence.</t>
        </is>
      </c>
    </row>
    <row r="40">
      <c r="A40" s="77" t="inlineStr">
        <is>
          <t>RG06</t>
        </is>
      </c>
      <c r="B40" s="77" t="inlineStr">
        <is>
          <t>Edinburgh</t>
        </is>
      </c>
      <c r="C40" s="77" t="inlineStr">
        <is>
          <t>Science</t>
        </is>
      </c>
      <c r="D40" s="77" t="inlineStr">
        <is>
          <t>Searched</t>
        </is>
      </c>
      <c r="E40" s="77" t="inlineStr">
        <is>
          <t>School of Mathematics MSc week-long industry challenge National HVDC Centre; School of GeoSciences OR Biological Sciences OR Chemistry OR Physics group project external partner; GeoScience Outreach course external client; Bayes Centre External Partners for Student Projects</t>
        </is>
      </c>
      <c r="F40" s="77" t="inlineStr">
        <is>
          <t>https://edinburgh-innovations.ed.ac.uk/news/hvdc-challenges-msc-students; https://www.drps.ed.ac.uk/21-22/dpt/cxeasc10087.htm</t>
        </is>
      </c>
      <c r="G40" s="77" t="inlineStr">
        <is>
          <t>A one-off MSc HVDC industry challenge week and the GeoSciences outreach client-project course found; Bayes MSc partner projects appear individual. No Chemistry/Physics/Biology module identified.</t>
        </is>
      </c>
    </row>
    <row r="41">
      <c r="A41" s="77" t="inlineStr">
        <is>
          <t>RG06</t>
        </is>
      </c>
      <c r="B41" s="77" t="inlineStr">
        <is>
          <t>Edinburgh</t>
        </is>
      </c>
      <c r="C41" s="77" t="inlineStr">
        <is>
          <t>Arts/humanities/social sciences</t>
        </is>
      </c>
      <c r="D41" s="77" t="inlineStr">
        <is>
          <t>Searched</t>
        </is>
      </c>
      <c r="E41" s="77" t="inlineStr">
        <is>
          <t>School of Social and Political Science OR Moray House OR History Classics Archaeology team external organisation client project; Creative Industries Team Project EFIE11120; Client Consulting Project EFIE11118; Edinburgh College of Art live brief industry client</t>
        </is>
      </c>
      <c r="F41" s="77" t="inlineStr">
        <is>
          <t>https://www.drps.ed.ac.uk/25-26/dpt/cxefie11118.htm; https://www-test.drps.ed.ac.uk/24-25/dpt/cxefie11120.htm</t>
        </is>
      </c>
      <c r="G41" s="77" t="inlineStr">
        <is>
          <t>Qualifying provision is concentrated in EFI's MSc Creative Industries (Client Consulting Project; Team Project). No SPS, Moray House or HCA team-client module surfaced; ECA live briefs not resolvable to module level.</t>
        </is>
      </c>
    </row>
    <row r="42">
      <c r="A42" s="77" t="inlineStr">
        <is>
          <t>RG06</t>
        </is>
      </c>
      <c r="B42" s="77" t="inlineStr">
        <is>
          <t>Edinburgh</t>
        </is>
      </c>
      <c r="C42" s="77" t="inlineStr">
        <is>
          <t>Other (law, health, design, architecture…)</t>
        </is>
      </c>
      <c r="D42" s="77" t="inlineStr">
        <is>
          <t>Searched</t>
        </is>
      </c>
      <c r="E42" s="77" t="inlineStr">
        <is>
          <t>Edinburgh Law School clinic OR Medicine OR Veterinary students team project partner organisation; Edinburgh Law School Law Clinic students; Freedom of Expression Law Clinic; LLM Human Rights Clinic students present research findings</t>
        </is>
      </c>
      <c r="F42" s="77" t="inlineStr">
        <is>
          <t>https://www.law.ed.ac.uk/news-events/news/human-rights-clinic-presents-new-research-scottish-government-and-range-childrens; https://www.drps.ed.ac.uk/15-16/dpt/cxlaws10190.htm</t>
        </is>
      </c>
      <c r="G42" s="77" t="inlineStr">
        <is>
          <t>Law runs group clinics with external NGOs (LLM Human Rights Clinic with Together; Freedom of Expression Law Clinic with MLDI); FLAC and Tax Clinic are casework. Medicine/Veterinary: nothing qualifying surfaced (All4Paws is a student charity).</t>
        </is>
      </c>
    </row>
    <row r="43">
      <c r="A43" s="77" t="inlineStr">
        <is>
          <t>RG07</t>
        </is>
      </c>
      <c r="B43" s="77" t="inlineStr">
        <is>
          <t>Exeter</t>
        </is>
      </c>
      <c r="C43" s="77" t="inlineStr">
        <is>
          <t>Central provision</t>
        </is>
      </c>
      <c r="D43" s="77" t="inlineStr">
        <is>
          <t>Searched</t>
        </is>
      </c>
      <c r="E43" s="77" t="inlineStr">
        <is>
          <t>Exeter Grand Challenges students teams 2026; Future17 Exeter students eligibility credit module; Grand Challenges week enquiry group external partner industry-led AWS; Future17 partner organisation challenge teams QS Exeter; Future17 2025 cohort students graduate news; Grand Challenges external experts partners present panel; Education Innovation Industry-led Enquiry Group AWS</t>
        </is>
      </c>
      <c r="F43" s="77" t="inlineStr">
        <is>
          <t>https://www.exeter.ac.uk/students/grandchallenges/moreinfo/faqs/; https://www.exeter.ac.uk/students/grandchallenges/challenges2026/educationinnovation/; https://www.exeter.ac.uk/study/future17/students/; https://news.exeter.ac.uk/student/students-graduate-from-global-learning-programme-focused-on-real-world-sustainability-challenges/</t>
        </is>
      </c>
      <c r="G43" s="77" t="inlineStr">
        <is>
          <t>Grand Challenges (UG-wide project week, groups 4-8) is current (2026) but external organisation role unclear except an AWS 'industry-led' enquiry group. Future17 meets A/B/C (partner-set challenges, partner on assessment panel) but latest dated cohort c.2024/25.</t>
        </is>
      </c>
    </row>
    <row r="44">
      <c r="A44" s="77" t="inlineStr">
        <is>
          <t>RG07</t>
        </is>
      </c>
      <c r="B44" s="77" t="inlineStr">
        <is>
          <t>Exeter</t>
        </is>
      </c>
      <c r="C44" s="77" t="inlineStr">
        <is>
          <t>Business/management</t>
        </is>
      </c>
      <c r="D44" s="77" t="inlineStr">
        <is>
          <t>Searched</t>
        </is>
      </c>
      <c r="E44" s="77" t="inlineStr">
        <is>
          <t>Business School consultancy project client organisation students teams module; Exeter Business School live projects businesses student consultancy; BEP3020 Practice-Based Consultancy Management; BEMM771 module consultancy project; 2025/6 consultancy project group client BEMM; MSc Management Business Project BEMM149 partner brief group; MSc Management 2026 entry compulsory modules Business Project; MBAM914 MBA Project live project client teams</t>
        </is>
      </c>
      <c r="F44" s="77" t="inlineStr">
        <is>
          <t>https://www.exeter.ac.uk/masters-degrees/msc-management/; http://business-school.exeter.ac.uk/module/?mod_code=BEMM771; https://www.exeter.ac.uk/study/studyinformation/modules/info/?moduleCode=BEP3020&amp;ay=2024/5&amp;sys=0</t>
        </is>
      </c>
      <c r="G44" s="77" t="inlineStr">
        <is>
          <t>MSc Management BEMM149 is a compulsory group consultancy project on a partner's brief (A/B/C met; undated). Other routes have unclear group format or live/simulated clients; MBA capstone is individual.</t>
        </is>
      </c>
    </row>
    <row r="45">
      <c r="A45" s="77" t="inlineStr">
        <is>
          <t>RG07</t>
        </is>
      </c>
      <c r="B45" s="77" t="inlineStr">
        <is>
          <t>Exeter</t>
        </is>
      </c>
      <c r="C45" s="77" t="inlineStr">
        <is>
          <t>Engineering/computing</t>
        </is>
      </c>
      <c r="D45" s="77" t="inlineStr">
        <is>
          <t>Searched</t>
        </is>
      </c>
      <c r="E45" s="77" t="inlineStr">
        <is>
          <t>engineering group design project industry sponsored client Exeter ECM; computer science group project industry partner ECM3401 ECM2434; ENEM010 Group Design Project client; Engineering year-long multidisciplinary group project industrially driven; ECMM102 Group Project MEng industrial sponsor</t>
        </is>
      </c>
      <c r="F45" s="77" t="inlineStr">
        <is>
          <t>http://emps.exeter.ac.uk/modules/ECMM102; https://www.exeter.ac.uk/study/studyinformation/modules/info/?moduleCode=ENEM010&amp;ay=2024/5&amp;sys=1</t>
        </is>
      </c>
      <c r="G45" s="77" t="inlineStr">
        <is>
          <t>Substantial engineering and CS group projects exist (ECMM102, ENEM010, ECM2434, ECMM427) but external client involvement is only 'may'/'often' or unverified; C Unclear throughout.</t>
        </is>
      </c>
    </row>
    <row r="46">
      <c r="A46" s="77" t="inlineStr">
        <is>
          <t>RG07</t>
        </is>
      </c>
      <c r="B46" s="77" t="inlineStr">
        <is>
          <t>Exeter</t>
        </is>
      </c>
      <c r="C46" s="77" t="inlineStr">
        <is>
          <t>Science</t>
        </is>
      </c>
      <c r="D46" s="77" t="inlineStr">
        <is>
          <t>Searched</t>
        </is>
      </c>
      <c r="E46" s="77" t="inlineStr">
        <is>
          <t>geography module consultancy project external organisation GEO2449; natural sciences biosciences group project external partner; data science mathematics MSc group project industry partner</t>
        </is>
      </c>
      <c r="F46" s="77" t="inlineStr">
        <is>
          <t>https://exeter.ac.uk/greenconsultants; https://www.exeter.ac.uk/undergraduate-degrees/msci-natural-sciences/</t>
        </is>
      </c>
      <c r="G46" s="77" t="inlineStr">
        <is>
          <t>No qualifying science route verified: Green Consultants uses the University as client; Natural Sciences and data science group projects lack external clients; external-partner PG projects are individual.</t>
        </is>
      </c>
    </row>
    <row r="47">
      <c r="A47" s="77" t="inlineStr">
        <is>
          <t>RG07</t>
        </is>
      </c>
      <c r="B47" s="77" t="inlineStr">
        <is>
          <t>Exeter</t>
        </is>
      </c>
      <c r="C47" s="77" t="inlineStr">
        <is>
          <t>Arts/humanities/social sciences</t>
        </is>
      </c>
      <c r="D47" s="77" t="inlineStr">
        <is>
          <t>Searched</t>
        </is>
      </c>
      <c r="E47" s="77" t="inlineStr">
        <is>
          <t>humanities social sciences teams real-world brief external organisation consultancy charity heritage; Liberal Arts external organisations real-life research challenge (search failed: budget exhausted); Exeter students group project external organisation brief humanities social sciences module 2025/26</t>
        </is>
      </c>
      <c r="F47" s="77" t="inlineStr">
        <is>
          <t>https://news.exeter.ac.uk/faculty-of-humanities-arts-and-social-sciences/humanities-and-social-sciences-penryn-cornwall/university-of-exeter-and-national-trust-to-create-student-research-opportunities-through-new-agreement/</t>
        </is>
      </c>
      <c r="G47" s="77" t="inlineStr">
        <is>
          <t>Only one discovery search completed. National Trust-linked Environmental Humanities projects (group format unclear); Liberal Arts/Sociology claims of external research challenges unverified.</t>
        </is>
      </c>
    </row>
    <row r="48">
      <c r="A48" s="77" t="inlineStr">
        <is>
          <t>RG07</t>
        </is>
      </c>
      <c r="B48" s="77" t="inlineStr">
        <is>
          <t>Exeter</t>
        </is>
      </c>
      <c r="C48" s="77" t="inlineStr">
        <is>
          <t>Other (law, health, design, architecture…)</t>
        </is>
      </c>
      <c r="D48" s="77" t="inlineStr">
        <is>
          <t>Searched</t>
        </is>
      </c>
      <c r="E48" s="77" t="inlineStr">
        <is>
          <t>Exeter Law clinic students live client pro bono group project</t>
        </is>
      </c>
      <c r="F48" s="77" t="inlineStr">
        <is>
          <t>http://socialsciences.exeter.ac.uk/law/public/probono/; https://sites.exeter.ac.uk/lawbulletin/2025/06/17/community-law-clinic-provides-free-legal-advice-in-the-heart-of-exeter/</t>
        </is>
      </c>
      <c r="G48" s="77" t="inlineStr">
        <is>
          <t>Community Law Clinic and Exeter Law Projects are supervised pro bono casework/research pools (extracurricular, individual advice to members of the public); no credit-bearing live-client group project verified. Medicine/Health, Psychology, Sport not separately searched.</t>
        </is>
      </c>
    </row>
    <row r="49">
      <c r="A49" s="77" t="inlineStr">
        <is>
          <t>RG08</t>
        </is>
      </c>
      <c r="B49" s="77" t="inlineStr">
        <is>
          <t>Glasgow</t>
        </is>
      </c>
      <c r="C49" s="77" t="inlineStr">
        <is>
          <t>Central provision</t>
        </is>
      </c>
      <c r="D49" s="77" t="inlineStr">
        <is>
          <t>Searched</t>
        </is>
      </c>
      <c r="E49" s="77" t="inlineStr">
        <is>
          <t>University of Glasgow Experiential Learning Guide Consultancy employability client project students</t>
        </is>
      </c>
      <c r="F49" s="77" t="inlineStr">
        <is>
          <t>https://www.gla.ac.uk/myglasgow/learningandteaching/studentskills/enhance/guides/experientiallearningguideconsultancy/; https://www.gla.ac.uk/colleges/socialsciences/students/employability/forstaff/work-relatedlearning/</t>
        </is>
      </c>
      <c r="G49" s="77" t="inlineStr">
        <is>
          <t>Embedding Employability 'Experiential Learning Guide: Consultancy' is a staff framework guide (lecturer identifies a client; individual or team-based), not a scheme; College of Social Sciences work-related learning page describes consultation projects generically. No university-wide employer-project scheme verified.</t>
        </is>
      </c>
    </row>
    <row r="50">
      <c r="A50" s="77" t="inlineStr">
        <is>
          <t>RG08</t>
        </is>
      </c>
      <c r="B50" s="77" t="inlineStr">
        <is>
          <t>Glasgow</t>
        </is>
      </c>
      <c r="C50" s="77" t="inlineStr">
        <is>
          <t>Business/management</t>
        </is>
      </c>
      <c r="D50" s="77" t="inlineStr">
        <is>
          <t>Searched</t>
        </is>
      </c>
      <c r="E50" s="77" t="inlineStr">
        <is>
          <t>Adam Smith Consultancy Experience submit a brief 2027; "Adam Smith Consultancy Experience" students teams organisation project brief; Adam Smith Business School consultancy project alternative to dissertation MSc teams real client organisation; BUS5052 MBA Group Consultancy Project course catalogue; Small Business Consultancy Project Business and Management course catalogue group client; "Small Business Consultancy Project" Glasgow undergraduate Business Management small businesses teams; Business and Management Honours consultancy project course MGT4 client organisation group report presentation; MGT4091 Integrating Business and Management in Practice assessment live organisation client; Glasgow Business &amp; Management course "Small Business Consultancy" SME client students recommendations (no results); MGT5181 International Management Solutions client organisations team consultancy 2026-27; Experiential Learning in Management case study (fetched)</t>
        </is>
      </c>
      <c r="F50" s="77" t="inlineStr">
        <is>
          <t>https://www.gla.ac.uk/schools/business/connections/; https://www.gla.ac.uk/coursecatalogue/course/?code=BUS5052; https://www.gla.ac.uk/coursecatalogue/course/?code=MGT4091; https://www.gla.ac.uk/coursecatalogue/course/?code=MGT5181; https://www.gla.ac.uk/postgraduate/taught/internationalbusiness/</t>
        </is>
      </c>
      <c r="G50" s="77" t="inlineStr">
        <is>
          <t>Adam Smith Business School has several live-client group consultancy courses: MBA Group Consultancy Project BUS5052 (2-week, 2026-27), UG Honours capstone MGT4091 (live client, group presentation to client, 2025-26) and MSc International Business MGT5181 (team consultancy for internationalising firms, 2026-27), plus a partner-facing Adam Smith Consultancy Experience inviting organisations' briefs for 2027. Partial: the UG 'Small Business Consultancy Project' course card could not be read and its link to MGT4091 is unconfirmed. Resumed 2026-10-13: Adam Smith Consultancy Experience page re-fetched; MGT4019 case study found.</t>
        </is>
      </c>
    </row>
    <row r="51">
      <c r="A51" s="77" t="inlineStr">
        <is>
          <t>RG08</t>
        </is>
      </c>
      <c r="B51" s="77" t="inlineStr">
        <is>
          <t>Glasgow</t>
        </is>
      </c>
      <c r="C51" s="77" t="inlineStr">
        <is>
          <t>Engineering/computing</t>
        </is>
      </c>
      <c r="D51" s="77" t="inlineStr">
        <is>
          <t>Searched</t>
        </is>
      </c>
      <c r="E51" s="77" t="inlineStr">
        <is>
          <t>University of Glasgow computing science team project external client industry partner course; University of Glasgow engineering team design project industry client James Watt School</t>
        </is>
      </c>
      <c r="F51" s="77" t="inlineStr">
        <is>
          <t>https://www.gla.ac.uk/schools/computing/industry/softwareteamproject/; https://www.gla.ac.uk/coursecatalogue/course/?code=COMPSCI3004</t>
        </is>
      </c>
      <c r="G51" s="77" t="inlineStr">
        <is>
          <t>Computing Science year-3 Team Project with real customers found (S5). Engineering: group design projects exist but no external-client evidence found.</t>
        </is>
      </c>
    </row>
    <row r="52">
      <c r="A52" s="77" t="inlineStr">
        <is>
          <t>RG08</t>
        </is>
      </c>
      <c r="B52" s="77" t="inlineStr">
        <is>
          <t>Glasgow</t>
        </is>
      </c>
      <c r="C52" s="77" t="inlineStr">
        <is>
          <t>Science</t>
        </is>
      </c>
      <c r="D52" s="77" t="inlineStr">
        <is>
          <t>Searched</t>
        </is>
      </c>
      <c r="E52" s="77" t="inlineStr">
        <is>
          <t>University of Glasgow School of Geographical earth sciences consultancy group project external organisation course</t>
        </is>
      </c>
      <c r="F52" s="77" t="inlineStr">
        <is>
          <t>https://www.gla.ac.uk/schools/ges/</t>
        </is>
      </c>
      <c r="G52" s="77" t="inlineStr">
        <is>
          <t>No Geography/Earth Science course with group external-client project verified.</t>
        </is>
      </c>
    </row>
    <row r="53">
      <c r="A53" s="77" t="inlineStr">
        <is>
          <t>RG08</t>
        </is>
      </c>
      <c r="B53" s="77" t="inlineStr">
        <is>
          <t>Glasgow</t>
        </is>
      </c>
      <c r="C53" s="77" t="inlineStr">
        <is>
          <t>Arts/humanities/social sciences</t>
        </is>
      </c>
      <c r="D53" s="77" t="inlineStr">
        <is>
          <t>Searched</t>
        </is>
      </c>
      <c r="E53" s="77" t="inlineStr">
        <is>
          <t>University of Glasgow social sciences arts students group project real client organisation course catalogue</t>
        </is>
      </c>
      <c r="F53" s="77" t="inlineStr">
        <is>
          <t>https://www.gla.ac.uk/colleges/socialsciences/students/employability/forstaff/work-relatedlearning/</t>
        </is>
      </c>
      <c r="G53" s="77" t="inlineStr">
        <is>
          <t>Only generic College of Social Sciences work-related learning/consultation project description; no named group client course verified.</t>
        </is>
      </c>
    </row>
    <row r="54">
      <c r="A54" s="77" t="inlineStr">
        <is>
          <t>RG08</t>
        </is>
      </c>
      <c r="B54" s="77" t="inlineStr">
        <is>
          <t>Glasgow</t>
        </is>
      </c>
      <c r="C54" s="77" t="inlineStr">
        <is>
          <t>Other (law, health, design, architecture…)</t>
        </is>
      </c>
      <c r="D54" s="77" t="inlineStr">
        <is>
          <t>Searched</t>
        </is>
      </c>
      <c r="E54" s="77" t="inlineStr">
        <is>
          <t>University of Glasgow law clinic OR veterinary OR medicine students project external organisation group</t>
        </is>
      </c>
      <c r="F54" s="77" t="inlineStr">
        <is>
          <t>https://www.gla.ac.uk/schools/law/gojustice/gojustice-getinvolved/</t>
        </is>
      </c>
      <c r="G54" s="77" t="inlineStr">
        <is>
          <t>Law clinics (referral-based casework) and LLM collaborative dissertations (individual); no qualifying group project verified.</t>
        </is>
      </c>
    </row>
    <row r="55">
      <c r="A55" s="77" t="inlineStr">
        <is>
          <t>RG09</t>
        </is>
      </c>
      <c r="B55" s="77" t="inlineStr">
        <is>
          <t>Imperial College London</t>
        </is>
      </c>
      <c r="C55" s="77" t="inlineStr">
        <is>
          <t>Central provision</t>
        </is>
      </c>
      <c r="D55" s="77" t="inlineStr">
        <is>
          <t>Searched</t>
        </is>
      </c>
      <c r="E55" s="77" t="inlineStr">
        <is>
          <t>Imperial College London student consultancy live client project team; Imperial Enterprise Lab students corporate challenge team project company brief; Imperial careers service employer-set challenge students teams project; Imperial Global Sustainability Challenge Stanford interdisciplinary teams; Imperial College Union consulting society student-run consultancy; I-Explore Imperial interdisciplinary module group project external organisation; Imperial Horizons Global Challenges / Global Village Innovation Challenge</t>
        </is>
      </c>
      <c r="F55" s="77" t="inlineStr">
        <is>
          <t>https://www.imperial.ac.uk/careers/jobs-and-experience/competitions-and-awards/; https://www.imperial.ac.uk/horizons/module-options/year-2-undergraduates/innovation-challenge/; https://www.imperialcollegeunion.org/activities/a-to-z/consultancy</t>
        </is>
      </c>
      <c r="G55" s="77" t="inlineStr">
        <is>
          <t>No central university-wide employer project scheme verified; I-Explore/Horizons modules and Enterprise Lab challenges lack documented external-organisation participation. Careers competitions are employer-run extracurricular leads not verified as project-based groups.</t>
        </is>
      </c>
    </row>
    <row r="56">
      <c r="A56" s="77" t="inlineStr">
        <is>
          <t>RG09</t>
        </is>
      </c>
      <c r="B56" s="77" t="inlineStr">
        <is>
          <t>Imperial College London</t>
        </is>
      </c>
      <c r="C56" s="77" t="inlineStr">
        <is>
          <t>Business/management</t>
        </is>
      </c>
      <c r="D56" s="77" t="inlineStr">
        <is>
          <t>Searched</t>
        </is>
      </c>
      <c r="E56" s="77" t="inlineStr">
        <is>
          <t>Imperial College Business School MSc consulting project client organisation team; Imperial Business School MSc Group Consulting Projects June July 2026; Imperial MSc Business Analytics AI consulting project client organisation; Imperial MBA Business Projects Perspectives on Practice; Imperial MSc Climate Change Management and Finance project client; Imperial MSc Management Strategic Marketing consulting project ECTS; Imperial Business School consulting projects 87 companies AlixPartners</t>
        </is>
      </c>
      <c r="F56" s="77" t="inlineStr">
        <is>
          <t>https://www.imperial.ac.uk/business-school/news/work-imperial-msc-students-solve-real-business-challenges/; https://www.imperial.ac.uk/business-school/corporate-relations/recruit-new-talent/partner-our-students/; https://www.imperial.ac.uk/media/imperial-college/study/programme-specifications/icbs/25x2f26/N501T-MSc-Strategic-Marketing-2025-26.pdf; https://www.imperial.ac.uk/business-school/programmes/msc-business-analytics/programme/project/; https://www.imperial.ac.uk/business-school/masters/management/</t>
        </is>
      </c>
      <c r="G56" s="77" t="inlineStr">
        <is>
          <t>Strong, programme-embedded provision: cross-MSc Group Consulting Projects (5-7 students, company briefs, June-July 2026) with Strategic Marketing, Business Analytics &amp; AI, Management, Economics &amp; Strategy and Climate Change programme variants. MBA route is individual.</t>
        </is>
      </c>
    </row>
    <row r="57">
      <c r="A57" s="77" t="inlineStr">
        <is>
          <t>RG09</t>
        </is>
      </c>
      <c r="B57" s="77" t="inlineStr">
        <is>
          <t>Imperial College London</t>
        </is>
      </c>
      <c r="C57" s="77" t="inlineStr">
        <is>
          <t>Engineering/computing</t>
        </is>
      </c>
      <c r="D57" s="77" t="inlineStr">
        <is>
          <t>Searched</t>
        </is>
      </c>
      <c r="E57" s="77" t="inlineStr">
        <is>
          <t>Imperial Dyson School of Design Engineering industry partner group project; Imperial Computing Group Software Engineering Project industry clients; Imperial chemical engineering design project / Civil engineering group project client; Imperial Mechanical Engineering industry-sponsored group project; Imperial Electrical Engineering 3rd year group project proposed by industry; Imperial Civil Engineering Third Year group design project industry supervisor; Imperial Transport with Data Science Group Design Project World Bank; Imperial Innovation Design Engineering MSc industry partner; Dyson School MEng project-based modules industry; Imperial Aeronautics Materials Earth Science group project industrial sponsor</t>
        </is>
      </c>
      <c r="F57" s="77" t="inlineStr">
        <is>
          <t>https://www.imperial.ac.uk/electrical-engineering/study/current-students-course-handbook/projects/; https://www.imperial.ac.uk/engineering/departments/computing/current-students/courses/60021/; https://www.imperial.ac.uk/civil-engineering/prospective-students/undergraduate-admissions/individual-and-group-projects/; https://www.imperial.ac.uk/study/courses/postgraduate-taught/transport-data-science/</t>
        </is>
      </c>
      <c r="G57" s="77" t="inlineStr">
        <is>
          <t>Industry-proposed team projects exist in EEE (all projects industry-proposed, 5-7 students) and Computing (many industry-proposed; customer feedback), Civil (industry supervision sought) and Transport MSc; current-year evidence thin outside Computing. Other departments (Mech, Aero, Chem, Design Eng) not shown to have external-client group projects.</t>
        </is>
      </c>
    </row>
    <row r="58">
      <c r="A58" s="77" t="inlineStr">
        <is>
          <t>RG09</t>
        </is>
      </c>
      <c r="B58" s="77" t="inlineStr">
        <is>
          <t>Imperial College London</t>
        </is>
      </c>
      <c r="C58" s="77" t="inlineStr">
        <is>
          <t>Science</t>
        </is>
      </c>
      <c r="D58" s="77" t="inlineStr">
        <is>
          <t>Searched</t>
        </is>
      </c>
      <c r="E58" s="77" t="inlineStr">
        <is>
          <t>Imperial Department of Mathematics industry project students team company MSc statistics; Imperial Physics OR Chemistry OR Life Sciences group project industry partner; MSc Environmental Technology Imperial group project genuine client Hounslow Borough Council</t>
        </is>
      </c>
      <c r="F58" s="77" t="inlineStr">
        <is>
          <t>https://www.imperial.ac.uk/media/imperial-college/study/programme-specifications/cep/25x2f26/J9UF-MSc-Environmental_Technology-2025-26.pdf; https://www.imperial.ac.uk/natural-sciences/departments/mathematics/postgraduate/msc/statistics/prospective/</t>
        </is>
      </c>
      <c r="G58" s="77" t="inlineStr">
        <is>
          <t>Environmental Technology (EAM) Hounslow Heath client project qualifies; Statistics/Math Finance projects are individual; no Physics/Chemistry/Life Sciences client group project found.</t>
        </is>
      </c>
    </row>
    <row r="59">
      <c r="A59" s="77" t="inlineStr">
        <is>
          <t>RG09</t>
        </is>
      </c>
      <c r="B59" s="77" t="inlineStr">
        <is>
          <t>Imperial College London</t>
        </is>
      </c>
      <c r="C59" s="77" t="inlineStr">
        <is>
          <t>Arts/humanities/social sciences</t>
        </is>
      </c>
      <c r="D59" s="77" t="inlineStr">
        <is>
          <t>Searched</t>
        </is>
      </c>
      <c r="E59" s="77" t="inlineStr">
        <is>
          <t>Imperial Centre for Environmental Policy MSc group consultancy project external client; Imperial Horizons module options year 2 3 team project real client</t>
        </is>
      </c>
      <c r="F59" s="77" t="inlineStr">
        <is>
          <t>https://www.imperial.ac.uk/horizons/module-options/year-2-undergraduates/</t>
        </is>
      </c>
      <c r="G59" s="77" t="inlineStr">
        <is>
          <t>Imperial has little arts/social-science provision outside the Business School and Environmental Policy (counted under science); Humanities Project is independent; no employer-linked group route found.</t>
        </is>
      </c>
    </row>
    <row r="60">
      <c r="A60" s="77" t="inlineStr">
        <is>
          <t>RG09</t>
        </is>
      </c>
      <c r="B60" s="77" t="inlineStr">
        <is>
          <t>Imperial College London</t>
        </is>
      </c>
      <c r="C60" s="77" t="inlineStr">
        <is>
          <t>Other (law, health, design, architecture…)</t>
        </is>
      </c>
      <c r="D60" s="77" t="inlineStr">
        <is>
          <t>Searched</t>
        </is>
      </c>
      <c r="E60" s="77" t="inlineStr">
        <is>
          <t>Imperial Faculty of Medicine School of Public Health MSc group project external organisation client NHS</t>
        </is>
      </c>
      <c r="F60" s="77" t="inlineStr">
        <is>
          <t>https://www.imperial.ac.uk/study/pg/medicine/public-health-masters/</t>
        </is>
      </c>
      <c r="G60" s="77" t="inlineStr">
        <is>
          <t>Medicine/public health projects found are individual dissertations; Law/architecture not applicable. Faculty of Medicine group projects and Brain/Bioengineering degree projects not exhaustively searched.</t>
        </is>
      </c>
    </row>
    <row r="61">
      <c r="A61" s="77" t="inlineStr">
        <is>
          <t>RG10</t>
        </is>
      </c>
      <c r="B61" s="77" t="inlineStr">
        <is>
          <t>King’s College London</t>
        </is>
      </c>
      <c r="C61" s="77" t="inlineStr">
        <is>
          <t>Central provision</t>
        </is>
      </c>
      <c r="D61" s="77" t="inlineStr">
        <is>
          <t>Searched</t>
        </is>
      </c>
      <c r="E61" s="77" t="inlineStr">
        <is>
          <t>King's College London students team consultancy project real client organisation; King's Civic Leadership Academy undergraduates teams charity project year 2025-26; King's Civic Challenge 2026 student teams community partners apply; King's Careers employer set project challenge students groups present recommendations employers collaborate; Insights Programme King's Virtual Micro Internships Practera employer project brief groups eligibility 2026</t>
        </is>
      </c>
      <c r="F61" s="77" t="inlineStr">
        <is>
          <t>https://www.kcl.ac.uk/employers/collaborate/insights-programme; https://www.kcl.ac.uk/employers/collaborate/business-challenges; https://www.kcl.ac.uk/study/social-mobility/projects/current-students/programmes-networks; https://www.kcl.ac.uk/news/kings-civic-leadership-academy-launches; https://www.kcl.ac.uk/news/kings-civic-challenge-teams-up-students-staff-communities</t>
        </is>
      </c>
      <c r="G61" s="77" t="inlineStr">
        <is>
          <t>Central routes: the Careers Insights Programme (2-week group virtual micro-internships on employer-proposed briefs, final-year UGs; status undated); the Civic Leadership Academy (charity partners, 2025-26 confirmed, group status unclear for the internship); and the King's Civic Challenge (student-staff-charity teams pitching for funding; no current round found). King's Experience and Entrepreneurship Institute challenge formats were not searched.</t>
        </is>
      </c>
    </row>
    <row r="62">
      <c r="A62" s="77" t="inlineStr">
        <is>
          <t>RG10</t>
        </is>
      </c>
      <c r="B62" s="77" t="inlineStr">
        <is>
          <t>King’s College London</t>
        </is>
      </c>
      <c r="C62" s="77" t="inlineStr">
        <is>
          <t>Business/management</t>
        </is>
      </c>
      <c r="D62" s="77" t="inlineStr">
        <is>
          <t>Searched</t>
        </is>
      </c>
      <c r="E62" s="77" t="inlineStr">
        <is>
          <t>King's Business School Consultancy final-year undergraduates teams local enterprises module; Public Policy and Management MSc PPM Consultancy module live projects partners teams; International Management MSc Business Experience Project consultancy project group organisation King's Business School</t>
        </is>
      </c>
      <c r="F62" s="77" t="inlineStr">
        <is>
          <t>https://www.kcl.ac.uk/business/partnerships/consultancy; https://www.kcl.ac.uk/study/postgraduate-taught/courses/public-policy-and-management-msc/teaching-and-modules; https://www.kcl.ac.uk/study/postgraduate-taught/courses/international-management-msc/teaching; https://www.kcl.ac.uk/news/kings-business-school-launches-online-consulting-project-with-leading-global-software-company</t>
        </is>
      </c>
      <c r="G62" s="77" t="inlineStr">
        <is>
          <t>KBS Consultancy (3-4 final-year UG teams for local enterprises; 2026 call) qualifies. PPM Consultancy (2025/26), the IM Business Consulting Project and the GHRM Benifex project are live-client routes with group working unverified. Other KBS MSc capstones (marketing, finance, etc.) and UG modules were not searched individually.</t>
        </is>
      </c>
    </row>
    <row r="63">
      <c r="A63" s="77" t="inlineStr">
        <is>
          <t>RG10</t>
        </is>
      </c>
      <c r="B63" s="77" t="inlineStr">
        <is>
          <t>King’s College London</t>
        </is>
      </c>
      <c r="C63" s="77" t="inlineStr">
        <is>
          <t>Engineering/computing</t>
        </is>
      </c>
      <c r="D63" s="77" t="inlineStr">
        <is>
          <t>Searched</t>
        </is>
      </c>
      <c r="E63" s="77" t="inlineStr">
        <is>
          <t>King's informatics student projects industry partners group project software engineering client; Knowledge Exchange Projects informatics students team final year individual project partner organisation brief 2025; 5CCS2SEG Software Engineering Group Project external client; Advanced Software Engineering MSc King's team develop software solution for external partners group project module; MSc Advanced Software Engineering teaching and modules required group project external partners credits 2026; King's College London Department of Engineering group design project industry partner students team</t>
        </is>
      </c>
      <c r="F63" s="77" t="inlineStr">
        <is>
          <t>https://www.kcl.ac.uk/informatics/engagement/knowledge-exchange-projects; https://www.kcl.ac.uk/informatics/engagement/student-projects; https://www.kcl.ac.uk/study/postgraduate-taught/courses/advanced-software-engineering-msc; https://www.kcl.ac.uk/study/undergraduate/courses/computer-science-bsc; https://www.kcl.ac.uk/study/undergraduate/courses/general-engineering-meng</t>
        </is>
      </c>
      <c r="G63" s="77" t="inlineStr">
        <is>
          <t>Informatics: Knowledge Exchange Projects (partner briefs, 2025/26 confirmed, up to five students per brief; team working unclear) and the MSc ASE external-partner team project, which meets A/B/C but is undated. UG 5CCS2SEG and the Engineering MEng group project are team projects with no evidenced external client.</t>
        </is>
      </c>
    </row>
    <row r="64">
      <c r="A64" s="77" t="inlineStr">
        <is>
          <t>RG10</t>
        </is>
      </c>
      <c r="B64" s="77" t="inlineStr">
        <is>
          <t>King’s College London</t>
        </is>
      </c>
      <c r="C64" s="77" t="inlineStr">
        <is>
          <t>Science</t>
        </is>
      </c>
      <c r="D64" s="77" t="inlineStr">
        <is>
          <t>Searched</t>
        </is>
      </c>
      <c r="E64" s="77" t="inlineStr">
        <is>
          <t>King's College London science group project external company client students team mathematics data science chemistry</t>
        </is>
      </c>
      <c r="F64" s="77" t="inlineStr">
        <is>
          <t>https://www.kcl.ac.uk/employers/recruit/internships; https://www.kcl.ac.uk/study/postgraduate-taught/courses/biotechnology-computational-biology-msc-mres</t>
        </is>
      </c>
      <c r="G64" s="77" t="inlineStr">
        <is>
          <t>One query: no science group project with an external client found; Biotechnology &amp; Computational Biology MSc mentions industrial partners generically only.</t>
        </is>
      </c>
    </row>
    <row r="65">
      <c r="A65" s="77" t="inlineStr">
        <is>
          <t>RG10</t>
        </is>
      </c>
      <c r="B65" s="77" t="inlineStr">
        <is>
          <t>King’s College London</t>
        </is>
      </c>
      <c r="C65" s="77" t="inlineStr">
        <is>
          <t>Arts/humanities/social sciences</t>
        </is>
      </c>
      <c r="D65" s="77" t="inlineStr">
        <is>
          <t>Searched</t>
        </is>
      </c>
      <c r="E65" s="77" t="inlineStr">
        <is>
          <t>SSPP students helping local charities module group project charity; Policy Institute Policy Lab students team client policy brief module</t>
        </is>
      </c>
      <c r="F65" s="77" t="inlineStr">
        <is>
          <t>https://edge.kcl.ac.uk/events/kpri-parliamentary-internship-scheme-policy-lab; https://www.kcl.ac.uk/news/sspp-students-helping-local-charities-overcome-challenges-3; https://www.kcl.ac.uk/news/kings-volunteering-fairs-help-students-build-skills-and-community-connections-copy</t>
        </is>
      </c>
      <c r="G65" s="77" t="inlineStr">
        <is>
          <t>Policy Lab (S13) and Community Impact Lab (S14) found; SSPP charity item is the Civic Challenge; Undisciplined Spaces is co-curricular community research (not tested).</t>
        </is>
      </c>
    </row>
    <row r="66">
      <c r="A66" s="77" t="inlineStr">
        <is>
          <t>RG10</t>
        </is>
      </c>
      <c r="B66" s="77" t="inlineStr">
        <is>
          <t>King’s College London</t>
        </is>
      </c>
      <c r="C66" s="77" t="inlineStr">
        <is>
          <t>Other (law, health, design, architecture…)</t>
        </is>
      </c>
      <c r="D66" s="77" t="inlineStr">
        <is>
          <t>Searched</t>
        </is>
      </c>
      <c r="E66" s="77" t="inlineStr">
        <is>
          <t>King's Legal Clinic students pro bono; health students interprofessional project community partner</t>
        </is>
      </c>
      <c r="F66" s="77" t="inlineStr">
        <is>
          <t>https://www.kcl.ac.uk/law/law-in-practice</t>
        </is>
      </c>
      <c r="G66" s="77" t="inlineStr">
        <is>
          <t>Legal Clinic is client-advice pro bono (individual casework), not a group project brief; no health project route found.</t>
        </is>
      </c>
    </row>
    <row r="67">
      <c r="A67" s="77" t="inlineStr">
        <is>
          <t>RG11</t>
        </is>
      </c>
      <c r="B67" s="77" t="inlineStr">
        <is>
          <t>Leeds</t>
        </is>
      </c>
      <c r="C67" s="77" t="inlineStr">
        <is>
          <t>Central provision</t>
        </is>
      </c>
      <c r="D67" s="77" t="inlineStr">
        <is>
          <t>Searched</t>
        </is>
      </c>
      <c r="E67" s="77" t="inlineStr">
        <is>
          <t>University of Leeds student consultancy project live client module; Leeds Discovery Module project employer client team; Leeds Global Industry Programme live company brief students teams; Leeds Global Industry Programme 2025-2026 eligibility teams company brief report; Global Industry Programme Leeds students partners companies feedback; Leeds careers employability student team challenge employer-set brief; CSER2201 Career Development 2 skills challenge employer</t>
        </is>
      </c>
      <c r="F67" s="77" t="inlineStr">
        <is>
          <t>https://students.leeds.ac.uk/careers/doc/leeds-global-industry-programme-2025-2026; https://students.leeds.ac.uk/modules/doc/explore-discovery-modules; https://lcee.leeds.ac.uk/enterprise-consultancy-project-2024-2/</t>
        </is>
      </c>
      <c r="G67" s="77" t="inlineStr">
        <is>
          <t>Central routes: Global Industry Programme (PGT, live company briefs, teams of 5-8) qualifies; Discovery Modules is a breadth framework (excluded) but hosts LUBS3013 and LUBS3990. No central compulsory employer-project scheme found.</t>
        </is>
      </c>
    </row>
    <row r="68">
      <c r="A68" s="77" t="inlineStr">
        <is>
          <t>RG11</t>
        </is>
      </c>
      <c r="B68" s="77" t="inlineStr">
        <is>
          <t>Leeds</t>
        </is>
      </c>
      <c r="C68" s="77" t="inlineStr">
        <is>
          <t>Business/management</t>
        </is>
      </c>
      <c r="D68" s="77" t="inlineStr">
        <is>
          <t>Searched</t>
        </is>
      </c>
      <c r="E68" s="77" t="inlineStr">
        <is>
          <t>LUBS3013 Enterprise Consultancy; Enterprise Consultancy Project Leeds apply small business; Management Consulting MSc Leeds consultancy project LUBS5318M; Leeds MBA Consulting Challenge live challenges; Leeds University Business School undergraduate module real client team project; Students wow leading industry experts KPMG IBM; Innovation Thinking and Practice LUBS3990; LUBS3990 2025/26; LUBS5723M; Marketing Consultancy Project LUBS2931; Business and Intelligent Technologies Capstone; Leeds MBA Leading in Practice Consulting Challenge 2025 2026</t>
        </is>
      </c>
      <c r="F68" s="77" t="inlineStr">
        <is>
          <t>https://catalogue.leeds.ac.uk/Module/UG/LUBS/3013/202526; https://catalogue.leeds.ac.uk/Module/UG/LUBS/3990/202526; https://business.leeds.ac.uk/leeds-mba/doc/live-challenges-3</t>
        </is>
      </c>
      <c r="G68" s="77" t="inlineStr">
        <is>
          <t>Strong provision: LUBS3013 (team consultancy for SMEs/social enterprises, current), LUBS3990 (partner-set innovation challenges, status unclear), MBA Consulting Challenge; individual consulting projects (MSc Management Consulting) excluded as not group.</t>
        </is>
      </c>
    </row>
    <row r="69">
      <c r="A69" s="77" t="inlineStr">
        <is>
          <t>RG11</t>
        </is>
      </c>
      <c r="B69" s="77" t="inlineStr">
        <is>
          <t>Leeds</t>
        </is>
      </c>
      <c r="C69" s="77" t="inlineStr">
        <is>
          <t>Engineering/computing</t>
        </is>
      </c>
      <c r="D69" s="77" t="inlineStr">
        <is>
          <t>Searched</t>
        </is>
      </c>
      <c r="E69" s="77" t="inlineStr">
        <is>
          <t>Leeds School of Computer Science industry project module team client; Leeds EPS group design project industry client sponsor; COMP5530M Group Project; Leeds mechanical engineering MEng major team project industrial partner; MECH5 Team Project 45 credits catalogue 2025/26; Leeds civil/chemical/electronic engineering design project industry client; Leeds civil engineering Integrated Design Project industrial partner client; Leeds EPS embedded virtual work experience; Leeds chemical engineering design project design consultants; Integrated Design Project 4 CIVE catalogue 2025/26; Leeds Computer Science MEng industry-based group project</t>
        </is>
      </c>
      <c r="F69" s="77" t="inlineStr">
        <is>
          <t>https://catalogue.leeds.ac.uk/Module/UG/MECH/5080M/202526; https://eps.leeds.ac.uk/homepage/266/embedded-virtual-work-experience; https://eps.leeds.ac.uk/civil-engineering-undergraduate/doc/year-one</t>
        </is>
      </c>
      <c r="G69" s="77" t="inlineStr">
        <is>
          <t>MECH5080M MEng team project with industry mentors as customers (confirmed 2025/26) and EPS embedded virtual work experience qualify; civil IDP4 qualifies on undated evidence; Computer Science and Chemical Engineering group projects lack evidenced external clients.</t>
        </is>
      </c>
    </row>
    <row r="70">
      <c r="A70" s="77" t="inlineStr">
        <is>
          <t>RG11</t>
        </is>
      </c>
      <c r="B70" s="77" t="inlineStr">
        <is>
          <t>Leeds</t>
        </is>
      </c>
      <c r="C70" s="77" t="inlineStr">
        <is>
          <t>Science</t>
        </is>
      </c>
      <c r="D70" s="77" t="inlineStr">
        <is>
          <t>Searched</t>
        </is>
      </c>
      <c r="E70" s="77" t="inlineStr">
        <is>
          <t>Leeds School of Mathematics statistics industry project group MSc Data Science and Analytics; Leeds Biological Sciences OR Earth and Environment OR Chemistry OR Physics team project external client; Leeds School of Earth and Environment undergraduate consultancy project client group</t>
        </is>
      </c>
      <c r="F70" s="77" t="inlineStr">
        <is>
          <t>https://courses.leeds.ac.uk/g378/biological-sciences-biotechnology-with-enterprise-mbiol-bsc; https://courses.leeds.ac.uk/i071/data-science-and-analytics-msc</t>
        </is>
      </c>
      <c r="G70" s="77" t="inlineStr">
        <is>
          <t>Science routes are LUBS3013 (compulsory in Biotechnology with Enterprise) and the EPS embedded work experience for science MSc students; Maths/Data Science projects are co-supervised individual projects; MSc Sustainability and Consultancy is individual.</t>
        </is>
      </c>
    </row>
    <row r="71">
      <c r="A71" s="77" t="inlineStr">
        <is>
          <t>RG11</t>
        </is>
      </c>
      <c r="B71" s="77" t="inlineStr">
        <is>
          <t>Leeds</t>
        </is>
      </c>
      <c r="C71" s="77" t="inlineStr">
        <is>
          <t>Arts/humanities/social sciences</t>
        </is>
      </c>
      <c r="D71" s="77" t="inlineStr">
        <is>
          <t>Searched</t>
        </is>
      </c>
      <c r="E71" s="77" t="inlineStr">
        <is>
          <t>Leeds Faculty of Arts Humanities Cultures module working with external organisation client project team; FOAH5000M Civic Researcher; Arts Management and Heritage Studies MA Placements in Context; Leeds Faculty of Social Sciences group project policy brief external organisation; Leeds Social Sciences Institute student consultancy Policy Leeds; Leeds Law School legal advice clinic pro bono</t>
        </is>
      </c>
      <c r="F71" s="77" t="inlineStr">
        <is>
          <t>https://catalogue.leeds.ac.uk/Module/TP/FOAH/5000M/202526; https://courses.leeds.ac.uk/g646/arts-management-and-heritage-studies-ma; https://catalogue.leeds.ac.uk/Module/UG/SLSP/2976/202425</t>
        </is>
      </c>
      <c r="G71" s="77" t="inlineStr">
        <is>
          <t>FOAH5000M (confirmed 2025/26) and the Arts Management MA partner-brief module qualify; social science and law routes are individual placements or clinics (excluded).</t>
        </is>
      </c>
    </row>
    <row r="72">
      <c r="A72" s="77" t="inlineStr">
        <is>
          <t>RG11</t>
        </is>
      </c>
      <c r="B72" s="77" t="inlineStr">
        <is>
          <t>Leeds</t>
        </is>
      </c>
      <c r="C72" s="77" t="inlineStr">
        <is>
          <t>Other (law, health, design, architecture…)</t>
        </is>
      </c>
      <c r="D72" s="77" t="inlineStr">
        <is>
          <t>Searched</t>
        </is>
      </c>
      <c r="E72" s="77" t="inlineStr">
        <is>
          <t>Leeds School of Design live brief industry client students project; DESN3585 Collaborative Marketing and Promotion; Leeds School of Medicine OR Healthcare quality improvement project team NHS; MEDI4226 ESREP; Product Design Leeds live projects industrial partners</t>
        </is>
      </c>
      <c r="F72" s="77" t="inlineStr">
        <is>
          <t>https://catalogue.leeds.ac.uk/Module/UG/DESN/3585/202627; https://catalogue.leeds.ac.uk/Module/UG/MEDI/4226/202526</t>
        </is>
      </c>
      <c r="G72" s="77" t="inlineStr">
        <is>
          <t>Design module DESN3585 has a team client brief but client identity unclear; medicine ESREP and product design lack sufficient evidence.</t>
        </is>
      </c>
    </row>
    <row r="73">
      <c r="A73" s="77" t="inlineStr">
        <is>
          <t>RG12</t>
        </is>
      </c>
      <c r="B73" s="77" t="inlineStr">
        <is>
          <t>Liverpool</t>
        </is>
      </c>
      <c r="C73" s="77" t="inlineStr">
        <is>
          <t>Central provision</t>
        </is>
      </c>
      <c r="D73" s="77" t="inlineStr">
        <is>
          <t>Searched</t>
        </is>
      </c>
      <c r="E73" s="77" t="inlineStr">
        <is>
          <t>Liverpool Grand Challenges employers student teams real challenge; Liverpool careers employability live project employer brief student teams; liverpool.ac.uk careers employers campus-wide-initiatives grand-challenges; Employer Challenge Liverpool authentic assessment; Liverpool Launchpad grand challenges; Real-World Projects Liverpool SMEs; Students Tackling a Real-World Grand Challenge Big Events; Sustainable Innovation Challenge; Peel Ports Innovation Challenge; The Employer Challenge Liverpool careers; Employers in the Curriculum Liverpool real-world challenges</t>
        </is>
      </c>
      <c r="F73" s="77" t="inlineStr">
        <is>
          <t>https://www.liverpool.ac.uk/careers/launchpad/; https://www.liverpool.ac.uk/careers/employers/connections-in-action/liverpool-careers-employability-culture-liverpool-grand-challenge/; https://www.liverpool.ac.uk/careers/employability/equalityplus/sustainable-innovation-challenge/; https://www.liverpool.ac.uk/careers/employers/sme-support/real-world-projects-smes/</t>
        </is>
      </c>
      <c r="G73" s="77" t="inlineStr">
        <is>
          <t>Central Careers and Employability runs short extracurricular employer team challenges (Big Events Challenge 2026, Sustainable Innovation Challenge 2026) under Launchpad, plus an employer offer to embed projects in modules. Legacy 'Grand Challenges' page was not surfaced; no central curricular programme with named participating modules found.</t>
        </is>
      </c>
    </row>
    <row r="74">
      <c r="A74" s="77" t="inlineStr">
        <is>
          <t>RG12</t>
        </is>
      </c>
      <c r="B74" s="77" t="inlineStr">
        <is>
          <t>Liverpool</t>
        </is>
      </c>
      <c r="C74" s="77" t="inlineStr">
        <is>
          <t>Business/management</t>
        </is>
      </c>
      <c r="D74" s="77" t="inlineStr">
        <is>
          <t>Searched</t>
        </is>
      </c>
      <c r="E74" s="77" t="inlineStr">
        <is>
          <t>Liverpool Management School consultancy project module live client group; Liverpool Management School MBA consulting project client organisation; MKIB306 International Management Consultancy Project; Management School Project partners; Human Resource Management Consultancy Day 2025; Master in Management MIM Liverpool live consultancy; Management School postgraduate taught careers consultancy challenge</t>
        </is>
      </c>
      <c r="F74" s="77" t="inlineStr">
        <is>
          <t>https://www.liverpool.ac.uk/management/study/mba/why-study-with-us/consultancy-based-projects/; https://www.liverpool.ac.uk/management/news/stories/title,1512183,en.php; https://www.liverpool.ac.uk/management/for-business/project-partners/</t>
        </is>
      </c>
      <c r="G74" s="77" t="inlineStr">
        <is>
          <t>Management School has MBA consultancy-based projects, a final-year UG client consultancy module (MKIB306), a Project Partners scheme and an annual one-day HRM Consultancy Day with named firms. Group working unresolved for most; HRM Consultancy Day clearly team-based but one day long.</t>
        </is>
      </c>
    </row>
    <row r="75">
      <c r="A75" s="77" t="inlineStr">
        <is>
          <t>RG12</t>
        </is>
      </c>
      <c r="B75" s="77" t="inlineStr">
        <is>
          <t>Liverpool</t>
        </is>
      </c>
      <c r="C75" s="77" t="inlineStr">
        <is>
          <t>Engineering/computing</t>
        </is>
      </c>
      <c r="D75" s="77" t="inlineStr">
        <is>
          <t>Searched</t>
        </is>
      </c>
      <c r="E75" s="77" t="inlineStr">
        <is>
          <t>Liverpool computer science industrial group project external client module; Liverpool engineering student group project industry client design build test sponsor; Constructionarium Liverpool civil engineering; Embedding Unilever student projects; Industry Dragons support Electrical Engineering &amp; Electronics projects; Electrical Engineering and Electronics industry partners undergraduate group project; Liverpool Computer Science software engineering team project real client</t>
        </is>
      </c>
      <c r="F75" s="77" t="inlineStr">
        <is>
          <t>https://www.liverpool.ac.uk/careers/employers/connections-in-action/industrydragonssupportelectricalengineeringelectronicsprojects/; https://www.liverpool.ac.uk/engineering/study/undergraduate/courses/civil-engineering/</t>
        </is>
      </c>
      <c r="G75" s="77" t="inlineStr">
        <is>
          <t>EEE module with industry-panel pitches found (undated); Constructionarium evidence thin; CS and aerospace/civil group design projects exist but no external clients documented.</t>
        </is>
      </c>
    </row>
    <row r="76">
      <c r="A76" s="77" t="inlineStr">
        <is>
          <t>RG12</t>
        </is>
      </c>
      <c r="B76" s="77" t="inlineStr">
        <is>
          <t>Liverpool</t>
        </is>
      </c>
      <c r="C76" s="77" t="inlineStr">
        <is>
          <t>Science</t>
        </is>
      </c>
      <c r="D76" s="77" t="inlineStr">
        <is>
          <t>Searched</t>
        </is>
      </c>
      <c r="E76" s="77" t="inlineStr">
        <is>
          <t>Liverpool mathematics final year projects Shop Direct; MATH390 Liverpool group project employers; Mathematical Sciences Liverpool careers MATH390 2025; Liverpool life sciences biosciences chemistry physics group project industry partner</t>
        </is>
      </c>
      <c r="F76" s="77" t="inlineStr">
        <is>
          <t>https://www.liverpool.ac.uk/mathematical-sciences/study/careers-and-employability/projects/; https://www.liverpool.ac.uk/centre-for-innovation-in-education/resources/all-resources/embedding-employability-in-the-mathematics-curriculum.html</t>
        </is>
      </c>
      <c r="G76" s="77" t="inlineStr">
        <is>
          <t>MATH390 is a clear employer-set group project module in Mathematical Sciences. No equivalent found for chemistry, physics or biosciences (only the 2021 Enterprise in the Life Sciences Challenge).</t>
        </is>
      </c>
    </row>
    <row r="77">
      <c r="A77" s="77" t="inlineStr">
        <is>
          <t>RG12</t>
        </is>
      </c>
      <c r="B77" s="77" t="inlineStr">
        <is>
          <t>Liverpool</t>
        </is>
      </c>
      <c r="C77" s="77" t="inlineStr">
        <is>
          <t>Arts/humanities/social sciences</t>
        </is>
      </c>
      <c r="D77" s="77" t="inlineStr">
        <is>
          <t>Searched</t>
        </is>
      </c>
      <c r="E77" s="77" t="inlineStr">
        <is>
          <t>Geography Environmental Science consultancy module group Environment Agency report; Liverpool planning students live client project module; Environmental Planning and Management Project group module client; ENVS467 Spatial Planning in Action; Liverpool humanities social sciences group project community organisation client; Play Your Part Students in the Community Innovation Challenge 2023</t>
        </is>
      </c>
      <c r="F77" s="77" t="inlineStr">
        <is>
          <t>https://www.liverpool.ac.uk/geography-and-planning/planning-programmes/fieldwork/spatial-planning/; https://www.liverpool.ac.uk/centre-for-innovation-in-education/resources/all-resources/environmental-planning-management-project.html</t>
        </is>
      </c>
      <c r="G77" s="77" t="inlineStr">
        <is>
          <t>Geography and Planning has two client-based group modules (ENVS467 and Environmental Planning and Management Project). Environmental science consultancy assessments use notional clients. No qualifying route found in humanities, sociology or politics.</t>
        </is>
      </c>
    </row>
    <row r="78">
      <c r="A78" s="77" t="inlineStr">
        <is>
          <t>RG12</t>
        </is>
      </c>
      <c r="B78" s="77" t="inlineStr">
        <is>
          <t>Liverpool</t>
        </is>
      </c>
      <c r="C78" s="77" t="inlineStr">
        <is>
          <t>Other (law, health, design, architecture…)</t>
        </is>
      </c>
      <c r="D78" s="77" t="inlineStr">
        <is>
          <t>Searched</t>
        </is>
      </c>
      <c r="E78" s="77" t="inlineStr">
        <is>
          <t>Liverpool School of Architecture live project community client students; Liverpool Law School clinic students real clients pro bono; Liverpool Dragons' Den health professions students; Ideas for Huyton Collaborative Studio</t>
        </is>
      </c>
      <c r="F78" s="77" t="inlineStr">
        <is>
          <t>https://www.liverpool.ac.uk/architecture/research/researchclustersandcentres/clusters/practiceandpedagogy/; https://www.liverpool.ac.uk/law/liverpool-law-clinic/about/</t>
        </is>
      </c>
      <c r="G78" s="77" t="inlineStr">
        <is>
          <t>Architecture live studio with Knowsley Council found (team working unclear). Law Clinic is individual casework; health Dragons' Den uses profession panels. Medicine, dentistry, veterinary and nursing not searched in depth.</t>
        </is>
      </c>
    </row>
    <row r="79">
      <c r="A79" s="77" t="inlineStr">
        <is>
          <t>RG13</t>
        </is>
      </c>
      <c r="B79" s="77" t="inlineStr">
        <is>
          <t>London School of Economics</t>
        </is>
      </c>
      <c r="C79" s="77" t="inlineStr">
        <is>
          <t>Central provision</t>
        </is>
      </c>
      <c r="D79" s="77" t="inlineStr">
        <is>
          <t>Searched</t>
        </is>
      </c>
      <c r="E79" s="77" t="inlineStr">
        <is>
          <t>LSE100 compulsory undergraduate course assessment group project; LSE100A 2025 course guide group project external organisation; LSE100 FAQ exempt programmes; LSE Future17 join a global team solving real sustainability challenges; Future17 LSE eligibility credit; LSE Careers consultancy project / Generate / Volunteer Centre student consulting; LSE Volunteer Centre / Careers charity team consultancy skills-based volunteering; LSE Community Engagement Programme teams charity brief; LSE Research Volunteering Scheme postgraduate teams</t>
        </is>
      </c>
      <c r="F79" s="77" t="inlineStr">
        <is>
          <t>https://info.lse.ac.uk/current-students/lse100/about-lse-100/lse100-assessment; https://info.lse.ac.uk/current-students/lse100/Future17-Join-a-global-team-solving-real-sustainability-challenges; https://info.lse.ac.uk/current-students/volunteer-centre/Community-engagement-programme; https://blogs.lse.ac.uk/vcb/2025/10/13/research-volunteering-scheme-applications-now-open-2/</t>
        </is>
      </c>
      <c r="G79" s="77" t="inlineStr">
        <is>
          <t>LSE100 is a compulsory, university-wide first-year group project but with no evidenced external organisation (C=No). Qualifying central routes are Future17 (QS consortium, partner-set challenges, open to all UGs) and two Volunteer Centre charity schemes (CEP consultancy teams for all students; RVS research teams for PGs).</t>
        </is>
      </c>
    </row>
    <row r="80">
      <c r="A80" s="77" t="inlineStr">
        <is>
          <t>RG13</t>
        </is>
      </c>
      <c r="B80" s="77" t="inlineStr">
        <is>
          <t>London School of Economics</t>
        </is>
      </c>
      <c r="C80" s="77" t="inlineStr">
        <is>
          <t>Business/management</t>
        </is>
      </c>
      <c r="D80" s="77" t="inlineStr">
        <is>
          <t>Searched</t>
        </is>
      </c>
      <c r="E80" s="77" t="inlineStr">
        <is>
          <t>LSE Department of Management capstone project client organisation MG4; MG488B GMiM Capstone client; MG4F1 Marketing Action Learning Project; MG315; Master's in Management London Consulting Project; HRO Links Scheme; Department of Management employer partnerships business projects brochure; CEMS MBA business projects brochure; Business Projects five programmes; MSc Social Innovation and Entrepreneurship capstone consulting; MG4G6 partner organisation</t>
        </is>
      </c>
      <c r="F80" s="77" t="inlineStr">
        <is>
          <t>https://www.lse.ac.uk/management/employer-partnerships/Business-Projects-Main-Page; https://www.lse.ac.uk/resources/calendar2025-2026/courseGuides/MG/2025_MG488B.htm; https://www.lse.ac.uk/resources/calendar2025-2026/courseGuides/MG/2025_MG4J4.htm; https://www.lse.ac.uk/resources/calendar/courseGuides/MG/2026_MG4F1.htm</t>
        </is>
      </c>
      <c r="G80" s="77" t="inlineStr">
        <is>
          <t>Dense provision: a department-wide sponsored Business Projects framework (GMiM, CEMS/MBA, HRO Links, MALP, Open Innovation) plus the MiM capstone/London Consulting Project and the SIE year-long partner project; all PG taught and programme-embedded.</t>
        </is>
      </c>
    </row>
    <row r="81">
      <c r="A81" s="77" t="inlineStr">
        <is>
          <t>RG13</t>
        </is>
      </c>
      <c r="B81" s="77" t="inlineStr">
        <is>
          <t>London School of Economics</t>
        </is>
      </c>
      <c r="C81" s="77" t="inlineStr">
        <is>
          <t>Engineering/computing</t>
        </is>
      </c>
      <c r="D81" s="77" t="inlineStr">
        <is>
          <t>Not applicable</t>
        </is>
      </c>
      <c r="E81" s="77" t="inlineStr"/>
      <c r="F81" s="77" t="inlineStr"/>
      <c r="G81" s="77" t="inlineStr">
        <is>
          <t>LSE has no engineering or computer science faculty. Data science provision (Statistics ST498; Methodology MY498) is recorded under 'science' as the nearest quantitative area.</t>
        </is>
      </c>
    </row>
    <row r="82">
      <c r="A82" s="77" t="inlineStr">
        <is>
          <t>RG13</t>
        </is>
      </c>
      <c r="B82" s="77" t="inlineStr">
        <is>
          <t>London School of Economics</t>
        </is>
      </c>
      <c r="C82" s="77" t="inlineStr">
        <is>
          <t>Science</t>
        </is>
      </c>
      <c r="D82" s="77" t="inlineStr">
        <is>
          <t>Searched</t>
        </is>
      </c>
      <c r="E82" s="77" t="inlineStr">
        <is>
          <t>LSE Statistics ST498 Capstone Project external partner; ST498 course guide assessment partner jointly supervised; MY498 Capstone Applied Social Data Science; MSc Operations Research and Analytics project with company / MA498</t>
        </is>
      </c>
      <c r="F82" s="77" t="inlineStr">
        <is>
          <t>https://www.lse.ac.uk/resources/calendar2025-2026/courseGuides/ST/2025_ST498.htm; https://www.lse.ac.uk/resources/calendar2026-2027/courseGuides/MA/2026_MA425.htm</t>
        </is>
      </c>
      <c r="G82" s="77" t="inlineStr">
        <is>
          <t>No natural sciences at LSE; Mathematics/Statistics/Data Science treated as nearest 'science' area. ST498 (compulsory MSc Data Science group capstone with industry partners) qualifies; MA425 ORA project is partner-based but group working is unclear; MY498 is individual.</t>
        </is>
      </c>
    </row>
    <row r="83">
      <c r="A83" s="77" t="inlineStr">
        <is>
          <t>RG13</t>
        </is>
      </c>
      <c r="B83" s="77" t="inlineStr">
        <is>
          <t>London School of Economics</t>
        </is>
      </c>
      <c r="C83" s="77" t="inlineStr">
        <is>
          <t>Arts/humanities/social sciences</t>
        </is>
      </c>
      <c r="D83" s="77" t="inlineStr">
        <is>
          <t>Searched</t>
        </is>
      </c>
      <c r="E83" s="77" t="inlineStr">
        <is>
          <t>PP4B3 MPA Capstone client; MPA Capstone information for organisations past clients; PP4B3E Executive MPP Capstone / PP4A7E Urban Consultancy; GV331 Capstone Data Science Civic Engagement; GV343 PPE Capstone client; PPE showcase capstone client; International Development consultancy project; DV443; DV466 / DV453; ID programme regulations consultancy; Geography GY4 consultancy client; Media and Communications / Social Policy client project; MSc Media/Social Policy/Behavioural Science external partner; Economics EC group project external; undergraduate BSc group project real client</t>
        </is>
      </c>
      <c r="F83" s="77" t="inlineStr">
        <is>
          <t>https://www.lse.ac.uk/resources/calendar2025-2026/courseGuides/PP/2025_PP4B3.htm; https://www.lse.ac.uk/resources/calendar2025-2026/courseGuides/GV/2025_GV343.htm; https://www.lse.ac.uk/international-development/study/consultancy-projects; https://www.lse.ac.uk/resources/calendar2025-2026/courseGuides/DV/2025_DV443.htm</t>
        </is>
      </c>
      <c r="G83" s="77" t="inlineStr">
        <is>
          <t>Strong client-capstone provision in School of Public Policy (MPA, MPA DSPP, Executive MPP) and International Development (DV443/453/466), plus the only verified undergraduate curricular route: GV343 PPE Capstone. GY454 uses live-or-archival briefs (C unclear). Nothing found for Economics, Social Policy, Media &amp; Communications, Psychological &amp; Behavioural Science.</t>
        </is>
      </c>
    </row>
    <row r="84">
      <c r="A84" s="77" t="inlineStr">
        <is>
          <t>RG13</t>
        </is>
      </c>
      <c r="B84" s="77" t="inlineStr">
        <is>
          <t>London School of Economics</t>
        </is>
      </c>
      <c r="C84" s="77" t="inlineStr">
        <is>
          <t>Other (law, health, design, architecture…)</t>
        </is>
      </c>
      <c r="D84" s="77" t="inlineStr">
        <is>
          <t>Searched</t>
        </is>
      </c>
      <c r="E84" s="77" t="inlineStr">
        <is>
          <t>LSE Law School pro bono clinic group project external organisation; LSE Legal Advice Centre Sustainability clinic ClientEarth; ECtHR Intervention Clinic teams</t>
        </is>
      </c>
      <c r="F84" s="77" t="inlineStr">
        <is>
          <t>https://www.lse.ac.uk/law/legal-advice-centre/sustainability-and-the-rule-of-law; https://www.lse.ac.uk/law/study/llm/echr-clinic-llm</t>
        </is>
      </c>
      <c r="G84" s="77" t="inlineStr">
        <is>
          <t>Law School clinics: Sustainability Clinic (teams producing reports for NGOs, e.g. ClientEarth) meets A/B/C but current status undated; ECtHR Intervention Clinic team briefs with EISi (C unclear); Homelessness Legal Clinic is casework (excluded). LSE has no health, design or architecture faculties.</t>
        </is>
      </c>
    </row>
    <row r="85">
      <c r="A85" s="77" t="inlineStr">
        <is>
          <t>RG14</t>
        </is>
      </c>
      <c r="B85" s="77" t="inlineStr">
        <is>
          <t>Manchester</t>
        </is>
      </c>
      <c r="C85" s="77" t="inlineStr">
        <is>
          <t>Central provision</t>
        </is>
      </c>
      <c r="D85" s="77" t="inlineStr">
        <is>
          <t>Searched</t>
        </is>
      </c>
      <c r="E85" s="77" t="inlineStr">
        <is>
          <t>University of Manchester students team consultancy project real client organisation; UCIL unit students work in groups external partner organisation live project brief; Masood Enterprise Centre Enterprise Challenge UCIL community-based enterprise project teams organisation; "Manchester Enterprise Challenge" students charity social enterprise pitch 2025; University Living Lab Manchester students work with external partners (x2; second failed: search budget exhausted); University of Manchester Careers Service student consultancy employer project team</t>
        </is>
      </c>
      <c r="F85" s="77" t="inlineStr">
        <is>
          <t>https://www.ucil.manchester.ac.uk/info-for-students/enterprise-challenge/; https://www.manchester.ac.uk/about/news/students-tackle-real-world-problems-in-manchester-enterprise-challenge/; https://www.ucil.manchester.ac.uk/info-for-students/why-study-ucil-unit/; https://www.seed.manchester.ac.uk/connect/social-responsibility/</t>
        </is>
      </c>
      <c r="G85" s="77" t="inlineStr">
        <is>
          <t>UCIL is an elective interdisciplinary framework; its qualifying underlying activity is the Enterprise Challenge (UCIL enterprise unit + group project for a local charity/social enterprise). The University Living Lab connects assessment to projects set by ~50 external stakeholders (group format unverified). Careers-service project programmes not searched (budget). Careers Service search found no student project programme (employer engagement only). Enterprise Challenge page re-fetched (page text): group of ~20 hours each; no year or dates given.</t>
        </is>
      </c>
    </row>
    <row r="86">
      <c r="A86" s="77" t="inlineStr">
        <is>
          <t>RG14</t>
        </is>
      </c>
      <c r="B86" s="77" t="inlineStr">
        <is>
          <t>Manchester</t>
        </is>
      </c>
      <c r="C86" s="77" t="inlineStr">
        <is>
          <t>Business/management</t>
        </is>
      </c>
      <c r="D86" s="77" t="inlineStr">
        <is>
          <t>Searched</t>
        </is>
      </c>
      <c r="E86" s="77" t="inlineStr">
        <is>
          <t>Alliance MBS Full-Time MBA three consultancy projects ...; Alliance MBS Masters student consultancy projects groups of students client organisation May September MSc; BSc Management final year live consultancy project unit groups real organisations BMAN; "consultancy project" BSc Management undergraduate team client company Alliance MBS final year group report presentation</t>
        </is>
      </c>
      <c r="F86" s="77" t="inlineStr">
        <is>
          <t>https://www.manchester.ac.uk/study/masters/courses/list/01039/mba-manchester-full-time-mba/course-details/; https://www.alliancembs.manchester.ac.uk/collaborate/access-student-talent/projects-and-internships/mba-consultancy/international-business-project/; https://www.alliancembs.manchester.ac.uk/collaborate/access-student-talent/consultancy-projects/masters-projects/; https://www.manchester.ac.uk/study/masters/courses/list/09839/msc-business-analysis-and-strategic-management/; https://www.manchester.ac.uk/study/undergraduate/courses/2026/03519/bsc-management/</t>
        </is>
      </c>
      <c r="G86" s="77" t="inlineStr">
        <is>
          <t>Dense AMBS client-consultancy provision: Full-time MBA live client projects (Social Impact, IBP; older Commercial Business Project), MSc BASM group client consultancy capstone, and a BSc Management final-year live consultancy option (group format unclear).</t>
        </is>
      </c>
    </row>
    <row r="87">
      <c r="A87" s="77" t="inlineStr">
        <is>
          <t>RG14</t>
        </is>
      </c>
      <c r="B87" s="77" t="inlineStr">
        <is>
          <t>Manchester</t>
        </is>
      </c>
      <c r="C87" s="77" t="inlineStr">
        <is>
          <t>Engineering/computing</t>
        </is>
      </c>
      <c r="D87" s="77" t="inlineStr">
        <is>
          <t>Searched</t>
        </is>
      </c>
      <c r="E87" s="77" t="inlineStr">
        <is>
          <t>Manchester engineering students group project industry partner brief company real-world problem unit; MEng Civil and Structural Engineering year 4 industry-supervised group design project; Department of Computer Science Manchester team project industry client students software company brief; Industrial mentoring in software engineering second year teams of six ... COMP23311</t>
        </is>
      </c>
      <c r="F87" s="77" t="inlineStr">
        <is>
          <t>https://www.manchester.ac.uk/study/undergraduate/courses/2026/03858/meng-civil-and-structural-engineering/; https://www.manchester.ac.uk/study/undergraduate/courses/2025/03873/meng-civil-engineering-enterprise/course-details/; https://www.cs.manchester.ac.uk/connect/business-engagement/industrial-mentoring/; https://www.manchester.ac.uk/study/undergraduate/courses/2027/03928/meng-mechatronic-engineering-with-industrial-experience/</t>
        </is>
      </c>
      <c r="G87" s="77" t="inlineStr">
        <is>
          <t>Civil Group Design Project CIVL41530 (industry-supervised, compulsory MEng) qualifies; COMP23311 team project qualifies on industry mentoring only; EEE/Mechatronics final-year team projects are only partly industry-funded (C unclear). Chemical/Mechanical/Aerospace not researched in depth.</t>
        </is>
      </c>
    </row>
    <row r="88">
      <c r="A88" s="77" t="inlineStr">
        <is>
          <t>RG14</t>
        </is>
      </c>
      <c r="B88" s="77" t="inlineStr">
        <is>
          <t>Manchester</t>
        </is>
      </c>
      <c r="C88" s="77" t="inlineStr">
        <is>
          <t>Science</t>
        </is>
      </c>
      <c r="D88" s="77" t="inlineStr">
        <is>
          <t>Searched</t>
        </is>
      </c>
      <c r="E88" s="77" t="inlineStr">
        <is>
          <t>Manchester science students group project external organisation industry client chemistry biology environmental data science unit</t>
        </is>
      </c>
      <c r="F88" s="77" t="inlineStr">
        <is>
          <t>https://www.entrepreneurship.manchester.ac.uk/study/BIOL60760/</t>
        </is>
      </c>
      <c r="G88" s="77" t="inlineStr">
        <is>
          <t>One query only: BIOL60760 Commercialisation in the Life Sciences (group project with an external company) found; Biotechnology group enterprise projects need checking. Chemistry, Physics, Maths, Earth/Environmental Sciences not searched individually.</t>
        </is>
      </c>
    </row>
    <row r="89">
      <c r="A89" s="77" t="inlineStr">
        <is>
          <t>RG14</t>
        </is>
      </c>
      <c r="B89" s="77" t="inlineStr">
        <is>
          <t>Manchester</t>
        </is>
      </c>
      <c r="C89" s="77" t="inlineStr">
        <is>
          <t>Arts/humanities/social sciences</t>
        </is>
      </c>
      <c r="D89" s="77" t="inlineStr">
        <is>
          <t>Searched</t>
        </is>
      </c>
      <c r="E89" s="77" t="inlineStr">
        <is>
          <t>University of Manchester social sciences students group project real client organisation unit consultancy; Manchester Law School Legal Advice Centre ... Politics Sociology placement project external organisation unit</t>
        </is>
      </c>
      <c r="F89" s="77" t="inlineStr">
        <is>
          <t>https://www.socialsciences.manchester.ac.uk/law/study/careers-and-employability/legal-advice-centre/</t>
        </is>
      </c>
      <c r="G89" s="77" t="inlineStr">
        <is>
          <t>No humanities/social-science group client unit surfaced in two reduced-depth queries; Legal Advice Centre is individual supervised client advice (near-miss).</t>
        </is>
      </c>
    </row>
    <row r="90">
      <c r="A90" s="77" t="inlineStr">
        <is>
          <t>RG14</t>
        </is>
      </c>
      <c r="B90" s="77" t="inlineStr">
        <is>
          <t>Manchester</t>
        </is>
      </c>
      <c r="C90" s="77" t="inlineStr">
        <is>
          <t>Other (law, health, design, architecture…)</t>
        </is>
      </c>
      <c r="D90" s="77" t="inlineStr">
        <is>
          <t>Searched</t>
        </is>
      </c>
      <c r="E90" s="77" t="inlineStr">
        <is>
          <t>Manchester School of Architecture live project students client community group; MSA Collaborative Practice unit students groups MSA Live external collaborator brief 2025/26; Law clinic query (above)</t>
        </is>
      </c>
      <c r="F90" s="77" t="inlineStr">
        <is>
          <t>https://www.msa.ac.uk/2025/; https://msa.ac.uk/2026/msalive/; https://www.manchester.ac.uk/study/undergraduate/courses/2027/06246/bsc-information-technology-management-for-business/all-content/</t>
        </is>
      </c>
      <c r="G90" s="77" t="inlineStr">
        <is>
          <t>MSA Live (joint Manchester/MMU architecture school) found; also BSc ITMB Integrative Team Projects with Lloyds/P&amp;G.</t>
        </is>
      </c>
    </row>
    <row r="91">
      <c r="A91" s="77" t="inlineStr">
        <is>
          <t>RG15</t>
        </is>
      </c>
      <c r="B91" s="77" t="inlineStr">
        <is>
          <t>Newcastle</t>
        </is>
      </c>
      <c r="C91" s="77" t="inlineStr">
        <is>
          <t>Central provision</t>
        </is>
      </c>
      <c r="D91" s="77" t="inlineStr">
        <is>
          <t>Searched</t>
        </is>
      </c>
      <c r="E91" s="77" t="inlineStr">
        <is>
          <t>NCL2100 Developing Enterprise, Entrepreneurship and Employability module; Careers Service employer-led project students team challenge live brief; Launch of Practera programme Horizons; Newcastle enterprise challenge employer set challenge teams pitch hackathon sponsor; NCL2100 module outline enterprise team project</t>
        </is>
      </c>
      <c r="F91" s="77" t="inlineStr">
        <is>
          <t>https://www.ncl.ac.uk/careers/about/news/news-items/practera-virtual-work-experience-programme/; https://www.ncl.ac.uk/learning-and-teaching/strategic-priorities/employability-and-enterprise/</t>
        </is>
      </c>
      <c r="G91" s="77" t="inlineStr">
        <is>
          <t>No institution-wide curricular live-client scheme found. Central routes are the selective Practera Horizons programme (12 places, 2026) and enterprise modules/START UP (not live-client). NCL2100 outline not found.</t>
        </is>
      </c>
    </row>
    <row r="92">
      <c r="A92" s="77" t="inlineStr">
        <is>
          <t>RG15</t>
        </is>
      </c>
      <c r="B92" s="77" t="inlineStr">
        <is>
          <t>Newcastle</t>
        </is>
      </c>
      <c r="C92" s="77" t="inlineStr">
        <is>
          <t>Business/management</t>
        </is>
      </c>
      <c r="D92" s="77" t="inlineStr">
        <is>
          <t>Searched</t>
        </is>
      </c>
      <c r="E92" s="77" t="inlineStr">
        <is>
          <t>Business School live client consultancy project module; BUS3053 Management Consultancy Project; NBS8130 Management Consultancy Project MBA; MKT3097 Marketing Consultancy Project; Business in Action MBA Northumbrian Water; Solve a Business Challenge; MBA Corporate Consultancy; MSc consultancy project corporate partner</t>
        </is>
      </c>
      <c r="F92" s="77" t="inlineStr">
        <is>
          <t>https://www.ncl.ac.uk/undergraduate/degrees/module/?code=BUS3053&amp;year=2025; https://microsites.ncl.ac.uk/casestudies/2025/01/09/using-applied-pedagogy-to-deliver-social-value-on-a-management-consultancy-module/; https://www.ncl.ac.uk/business/news/business-in-action-february-2024/</t>
        </is>
      </c>
      <c r="G92" s="77" t="inlineStr">
        <is>
          <t>Business School has the densest provision: BUS3053, MKT3097, MBA NBS8130 and the Business in Action case competition. MSc practice-based dissertations are individual.</t>
        </is>
      </c>
    </row>
    <row r="93">
      <c r="A93" s="77" t="inlineStr">
        <is>
          <t>RG15</t>
        </is>
      </c>
      <c r="B93" s="77" t="inlineStr">
        <is>
          <t>Newcastle</t>
        </is>
      </c>
      <c r="C93" s="77" t="inlineStr">
        <is>
          <t>Engineering/computing</t>
        </is>
      </c>
      <c r="D93" s="77" t="inlineStr">
        <is>
          <t>Searched</t>
        </is>
      </c>
      <c r="E93" s="77" t="inlineStr">
        <is>
          <t>engineering industry sponsored group design project external client; CSC2033 Software Engineering Team Project industrial client; Computer Science MSc industrial team project; Stage 2 team project real-life industry briefs; Stage 3 Stage 4 group design project industry client; Mechanical Engineering design project industry partner; Chemical Engineering Stage 3 design project panel</t>
        </is>
      </c>
      <c r="F93" s="77" t="inlineStr">
        <is>
          <t>https://www.ncl.ac.uk/undergraduate/degrees/module/?code=CSC2033&amp;year=2026; https://www.ncl.ac.uk/engineering/business-innovation-partners/mechanical-engineering-partnerships/</t>
        </is>
      </c>
      <c r="G93" s="77" t="inlineStr">
        <is>
          <t>CSC2033 compulsory Stage 2 team project with industry involvement (extent varies); Mechanical Engineering industry-hosted team projects (undated). Other engineering group design projects lack evidence of external clients.</t>
        </is>
      </c>
    </row>
    <row r="94">
      <c r="A94" s="77" t="inlineStr">
        <is>
          <t>RG15</t>
        </is>
      </c>
      <c r="B94" s="77" t="inlineStr">
        <is>
          <t>Newcastle</t>
        </is>
      </c>
      <c r="C94" s="77" t="inlineStr">
        <is>
          <t>Science</t>
        </is>
      </c>
      <c r="D94" s="77" t="inlineStr">
        <is>
          <t>Searched</t>
        </is>
      </c>
      <c r="E94" s="77" t="inlineStr">
        <is>
          <t>School of Natural and Environmental Sciences group project external organisation client; data science statistics MSc industry project partner team; NES2202 module company challenges; MSc Data Science group project industrial collaborators; NES2202 Sustainable Solutions module</t>
        </is>
      </c>
      <c r="F94" s="77" t="inlineStr">
        <is>
          <t>https://www.ncl.ac.uk/mobility/module/?code=NES2202; https://teaching.ncl.ac.uk/docs/regsdocs2025/documents/-S5395F_2526.pdf; https://www.ncl.ac.uk/postgraduate/degrees/5547f/</t>
        </is>
      </c>
      <c r="G94" s="77" t="inlineStr">
        <is>
          <t>NES2202 Sustainable Solutions (sponsor-set team challenge) and MSc Data Science group projects/hackathon; physics, chemistry, biosciences-specific group industry projects not separately searched.</t>
        </is>
      </c>
    </row>
    <row r="95">
      <c r="A95" s="77" t="inlineStr">
        <is>
          <t>RG15</t>
        </is>
      </c>
      <c r="B95" s="77" t="inlineStr">
        <is>
          <t>Newcastle</t>
        </is>
      </c>
      <c r="C95" s="77" t="inlineStr">
        <is>
          <t>Arts/humanities/social sciences</t>
        </is>
      </c>
      <c r="D95" s="77" t="inlineStr">
        <is>
          <t>Searched</t>
        </is>
      </c>
      <c r="E95" s="77" t="inlineStr">
        <is>
          <t>Politics policy consultancy module groups external organisation; POL3103 Community-based Research in Politics; Museums Galleries Heritage live brief client project; Museum Studies MA Producing Curatorial Projects</t>
        </is>
      </c>
      <c r="F95" s="77" t="inlineStr">
        <is>
          <t>https://www.ncl.ac.uk/mobility/newcastle/study-abroad/POL3103; https://www.ncl.ac.uk/postgraduate/degrees/4007f/</t>
        </is>
      </c>
      <c r="G95" s="77" t="inlineStr">
        <is>
          <t>POL3103 community-based research with partner organisations (capped at 20); Museum Studies curatorial project (partner role unclear). Education, Sociology, Media, Modern Languages, Digital Civics not separately searched.</t>
        </is>
      </c>
    </row>
    <row r="96">
      <c r="A96" s="77" t="inlineStr">
        <is>
          <t>RG15</t>
        </is>
      </c>
      <c r="B96" s="77" t="inlineStr">
        <is>
          <t>Newcastle</t>
        </is>
      </c>
      <c r="C96" s="77" t="inlineStr">
        <is>
          <t>Other (law, health, design, architecture…)</t>
        </is>
      </c>
      <c r="D96" s="77" t="inlineStr">
        <is>
          <t>Searched</t>
        </is>
      </c>
      <c r="E96" s="77" t="inlineStr">
        <is>
          <t>Architecture Planning Landscape live project community client studio; APL3001 Alternative Practice: Co-producing Space; TCP8024 Consultancy Project; MSc Town Planning Consultancy Project TCP8024; Law School pro bono clinic; Faculty of Medical Sciences interprofessional team project community organisation</t>
        </is>
      </c>
      <c r="F96" s="77" t="inlineStr">
        <is>
          <t>https://www.ncl.ac.uk/undergraduate/degrees/module/?code=tcp8024; https://www.ncl.ac.uk/mobility/newcastle/study-abroad/APL3001; https://www.ncl.ac.uk/law/study/student-life/pro-bono/</t>
        </is>
      </c>
      <c r="G96" s="77" t="inlineStr">
        <is>
          <t>Architecture, Planning and Landscape has TCP8024 (live-client planning consultancy) and APL3001 (live community build). Law clinics are individual casework; no medical/health group client project found.</t>
        </is>
      </c>
    </row>
    <row r="97">
      <c r="A97" s="77" t="inlineStr">
        <is>
          <t>RG16</t>
        </is>
      </c>
      <c r="B97" s="77" t="inlineStr">
        <is>
          <t>Nottingham</t>
        </is>
      </c>
      <c r="C97" s="77" t="inlineStr">
        <is>
          <t>Central provision</t>
        </is>
      </c>
      <c r="D97" s="77" t="inlineStr">
        <is>
          <t>Searched</t>
        </is>
      </c>
      <c r="E97" s="77" t="inlineStr">
        <is>
          <t>Nottingham Advantage Award modules group project external organisation; Nottingham careers employer-led projects and challenges; Nottingham Consultancy Challenge careers; Sustainability Challenge careers; EDI Challenge 2026; Capital One Product Challenge / Enterprise Challenge NAA; NAA employer-led modules list 2025-26; Digital Marketing Academy</t>
        </is>
      </c>
      <c r="F97" s="77" t="inlineStr">
        <is>
          <t>https://www.nottingham.ac.uk/careers/students/work-experience/what-can-i-do/employer-led-projects-and-challenges.aspx; https://www.nottingham.ac.uk/careers/students/work-experience/on-offer/nottingham-consultancy-challenge/index.aspx; https://www.nottingham.ac.uk/careers/students/advantageaward/index.aspx</t>
        </is>
      </c>
      <c r="G97" s="77" t="inlineStr">
        <is>
          <t>Central employer-led challenges exist but the one live-client scheme (Nottingham Consultancy Challenge) is not running in 2025/26 and relaunches 2026/27; Sustainability/EDI challenges and NAA modules do not evidence employer-set briefs.</t>
        </is>
      </c>
    </row>
    <row r="98">
      <c r="A98" s="77" t="inlineStr">
        <is>
          <t>RG16</t>
        </is>
      </c>
      <c r="B98" s="77" t="inlineStr">
        <is>
          <t>Nottingham</t>
        </is>
      </c>
      <c r="C98" s="77" t="inlineStr">
        <is>
          <t>Business/management</t>
        </is>
      </c>
      <c r="D98" s="77" t="inlineStr">
        <is>
          <t>Searched</t>
        </is>
      </c>
      <c r="E98" s="77" t="inlineStr">
        <is>
          <t>Nottingham Business School live client consultancy; Entrepreneurship Consultancy Project 2025; Consultancy Challenge 2026; Business Project module MSc / BSc; Haleon Business Project blog; NUBS postgraduate careers placements projects brochure; MSc Business and Management business project industry partner; MSc Consultancy Competition 2025; Company based challenge</t>
        </is>
      </c>
      <c r="F98" s="77" t="inlineStr">
        <is>
          <t>https://www.nottingham.ac.uk/business/news/consultancy-challenge-2026-final-presentations-and-awards.aspx; https://www.nottingham.ac.uk/business/news/entrepreneurship-consultancy-project-2025.aspx; https://www.nottingham.ac.uk/pgstudy/course/taught/business-and-management-msc</t>
        </is>
      </c>
      <c r="G98" s="77" t="inlineStr">
        <is>
          <t>Strongest provision: NUBS Company-based Consultancy Challenge (2026 confirmed), Entrepreneurship Project (MSc EIM) and the MSc Business Project with industry partners.</t>
        </is>
      </c>
    </row>
    <row r="99">
      <c r="A99" s="77" t="inlineStr">
        <is>
          <t>RG16</t>
        </is>
      </c>
      <c r="B99" s="77" t="inlineStr">
        <is>
          <t>Nottingham</t>
        </is>
      </c>
      <c r="C99" s="77" t="inlineStr">
        <is>
          <t>Engineering/computing</t>
        </is>
      </c>
      <c r="D99" s="77" t="inlineStr">
        <is>
          <t>Searched</t>
        </is>
      </c>
      <c r="E99" s="77" t="inlineStr">
        <is>
          <t>Nottingham engineering group design project industry client; Faculty of Engineering industrial sponsored projects; CS software engineering group project client; Civil Engineering group design; Group Design and Make Project; Electronic and Computer Engineering group project; Horizon CDT Sprint Project; Chemical/Product Design industry brief</t>
        </is>
      </c>
      <c r="F99" s="77" t="inlineStr">
        <is>
          <t>https://www.nottingham.ac.uk/studywithus/ugstudy/courses/UG/2026/Computer-Science-BSc-Hons.html; https://www.nottingham.ac.uk/studywithus/ugstudy/courses/UG/Computer-Science-MSci-Hons.html; https://www.nottingham.ac.uk/studywithus/ugstudy/articles/explore-more-articles/engineering/group-design-and-make-project-.html</t>
        </is>
      </c>
      <c r="G99" s="77" t="inlineStr">
        <is>
          <t>Several compulsory group projects, but external-organisation involvement is partial (about half of CS Year 2 projects; some mechanical ideas; ECE stakeholder 'typically external to the Department'); only the single-CDT Horizon sprint explicitly has an industry partner setting the challenge.</t>
        </is>
      </c>
    </row>
    <row r="100">
      <c r="A100" s="77" t="inlineStr">
        <is>
          <t>RG16</t>
        </is>
      </c>
      <c r="B100" s="77" t="inlineStr">
        <is>
          <t>Nottingham</t>
        </is>
      </c>
      <c r="C100" s="77" t="inlineStr">
        <is>
          <t>Science</t>
        </is>
      </c>
      <c r="D100" s="77" t="inlineStr">
        <is>
          <t>Searched</t>
        </is>
      </c>
      <c r="E100" s="77" t="inlineStr">
        <is>
          <t>Tri-Campus Sustainability Challenge Faculty of Science; Nottingham science team project industry partner chemistry physics biosciences maths pharmacy</t>
        </is>
      </c>
      <c r="F100" s="77" t="inlineStr">
        <is>
          <t>https://www.nottingham.ac.uk/science/tri-campus-sustainability-challenge.aspx</t>
        </is>
      </c>
      <c r="G100" s="77" t="inlineStr">
        <is>
          <t>No science module with an external-organisation group brief verified; Tri-Campus Sustainability Challenge is a 2023 pilot with expert-panel judging only.</t>
        </is>
      </c>
    </row>
    <row r="101">
      <c r="A101" s="77" t="inlineStr">
        <is>
          <t>RG16</t>
        </is>
      </c>
      <c r="B101" s="77" t="inlineStr">
        <is>
          <t>Nottingham</t>
        </is>
      </c>
      <c r="C101" s="77" t="inlineStr">
        <is>
          <t>Arts/humanities/social sciences</t>
        </is>
      </c>
      <c r="D101" s="77" t="inlineStr">
        <is>
          <t>Searched</t>
        </is>
      </c>
      <c r="E101" s="77" t="inlineStr">
        <is>
          <t>Nottingham Social Sciences OR Arts team project partner organisation live brief; Geography/Politics/Sociology/Education consultancy module; Employing the Arts module; Arts in action City as Lab</t>
        </is>
      </c>
      <c r="F101" s="77" t="inlineStr">
        <is>
          <t>https://www.nottingham.ac.uk/studywithus/ugstudy/articles/explore-more-articles/art/Placements_and_volunteering/employing-the-arts-module.html</t>
        </is>
      </c>
      <c r="G101" s="77" t="inlineStr">
        <is>
          <t>Employing the Arts (Faculty of Arts, Year 2 option) is team- and brief-based but client mix includes internal City as Lab; no social-science consultancy module found.</t>
        </is>
      </c>
    </row>
    <row r="102">
      <c r="A102" s="77" t="inlineStr">
        <is>
          <t>RG16</t>
        </is>
      </c>
      <c r="B102" s="77" t="inlineStr">
        <is>
          <t>Nottingham</t>
        </is>
      </c>
      <c r="C102" s="77" t="inlineStr">
        <is>
          <t>Other (law, health, design, architecture…)</t>
        </is>
      </c>
      <c r="D102" s="77" t="inlineStr">
        <is>
          <t>Searched</t>
        </is>
      </c>
      <c r="E102" s="77" t="inlineStr">
        <is>
          <t>Nottingham Law Clinic OR architecture OR medicine OR nursing team project real client</t>
        </is>
      </c>
      <c r="F102" s="77" t="inlineStr">
        <is>
          <t>https://www.nottingham.ac.uk/ugstudy/course/Law-LLB</t>
        </is>
      </c>
      <c r="G102" s="77" t="inlineStr">
        <is>
          <t>Law clinic module is simulated; health interprofessional modules have no external client; architecture not evidenced.</t>
        </is>
      </c>
    </row>
    <row r="103">
      <c r="A103" s="77" t="inlineStr">
        <is>
          <t>RG17</t>
        </is>
      </c>
      <c r="B103" s="77" t="inlineStr">
        <is>
          <t>Oxford</t>
        </is>
      </c>
      <c r="C103" s="77" t="inlineStr">
        <is>
          <t>Central provision</t>
        </is>
      </c>
      <c r="D103" s="77" t="inlineStr">
        <is>
          <t>Searched</t>
        </is>
      </c>
      <c r="E103" s="77" t="inlineStr">
        <is>
          <t>Oxford Careers Service student consultancy team project real client organisation; Collaborative projects / Oxford Strategy Challenge / Making a Difference programme paused (extended); 'Oxford Strategy Challenge' teams client eligibility (extended); Oxford careers 'The Agency' teams client brief (extended); Oxford Micro-Internship Programme 2026 project work shadowing (extended)</t>
        </is>
      </c>
      <c r="F103" s="77" t="inlineStr">
        <is>
          <t>https://www.careers.ox.ac.uk/Collaborative-Projects; https://www.careers.ox.ac.uk/oxford-strategy-challenge; https://www.careers.ox.ac.uk/making-a-difference; https://www.careers.ox.ac.uk/tsc; https://www.careers.ox.ac.uk/micros</t>
        </is>
      </c>
      <c r="G103" s="77" t="inlineStr">
        <is>
          <t>The Careers Service has a family of team client-consultancy programmes (TOSCA, MaDe, The Student Consultancy, Researcher Strategy Consultancy, The Agency) open broadly to students, but most programme pages are now labelled 'Programme Paused' despite 2025/26 cohort evidence; the legacy Micro-Internship Programme is individual.</t>
        </is>
      </c>
    </row>
    <row r="104">
      <c r="A104" s="77" t="inlineStr">
        <is>
          <t>RG17</t>
        </is>
      </c>
      <c r="B104" s="77" t="inlineStr">
        <is>
          <t>Oxford</t>
        </is>
      </c>
      <c r="C104" s="77" t="inlineStr">
        <is>
          <t>Business/management</t>
        </is>
      </c>
      <c r="D104" s="77" t="inlineStr">
        <is>
          <t>Searched</t>
        </is>
      </c>
      <c r="E104" s="77" t="inlineStr">
        <is>
          <t>Oxford MBA Strategic Consulting Project teams client organisation elective (extended); Saïd Business School team project real organisation client MSc/Executive MBA</t>
        </is>
      </c>
      <c r="F104" s="77" t="inlineStr">
        <is>
          <t>https://development.sbs.ox.ac.uk/strategic-consulting-projects/index.html; https://www.sbs.ox.ac.uk/sites/default/files/2024-10/Master_of_Businsess_Administation_MBA_2025-26entry_08Oct2024.pdf</t>
        </is>
      </c>
      <c r="G104" s="77" t="inlineStr">
        <is>
          <t>MBA Strategic Consulting Project (optional summer team consultancy for companies/charities, client on presentation panel) qualifies. Executive MBA, MSc programmes (e.g. Financial Economics, Major Programme Management) and the BA Economics &amp; Management were not verified.</t>
        </is>
      </c>
    </row>
    <row r="105">
      <c r="A105" s="77" t="inlineStr">
        <is>
          <t>RG17</t>
        </is>
      </c>
      <c r="B105" s="77" t="inlineStr">
        <is>
          <t>Oxford</t>
        </is>
      </c>
      <c r="C105" s="77" t="inlineStr">
        <is>
          <t>Engineering/computing</t>
        </is>
      </c>
      <c r="D105" s="77" t="inlineStr">
        <is>
          <t>Searched</t>
        </is>
      </c>
      <c r="E105" s="77" t="inlineStr">
        <is>
          <t>Oxford Computer Science group design practical industry sponsor teams (extended); 'Group Design Practical' 2025 OR 2026 sponsors presentation day (extended); Oxford Engineering Science third year group design project industrial sponsor (extended); MSc in Energy Systems group consultancy project external stakeholders (extended)</t>
        </is>
      </c>
      <c r="F105" s="77" t="inlineStr">
        <is>
          <t>https://www.cs.ox.ac.uk/innovation/industry_relations/interact_group_project.html; https://www.cs.ox.ac.uk/teaching/bacompsci/PartA/; https://eng.ox.ac.uk/study/undergraduate/your-degree/course-structure; https://eng.ox.ac.uk/media/ycigaoue/msc-energy-systems-course-handbook-25-26-v11.pdf</t>
        </is>
      </c>
      <c r="G105" s="77" t="inlineStr">
        <is>
          <t>Computer Science's compulsory second-year Group Design Practical with industrial sponsors qualifies (HT2026). Engineering 3YP is a compulsory group design project but external sponsorship is only occasional (C unclear). MSc Energy Systems runs a whole-cohort consultancy for an external stakeholder (2025/26).</t>
        </is>
      </c>
    </row>
    <row r="106">
      <c r="A106" s="77" t="inlineStr">
        <is>
          <t>RG17</t>
        </is>
      </c>
      <c r="B106" s="77" t="inlineStr">
        <is>
          <t>Oxford</t>
        </is>
      </c>
      <c r="C106" s="77" t="inlineStr">
        <is>
          <t>Science</t>
        </is>
      </c>
      <c r="D106" s="77" t="inlineStr">
        <is>
          <t>Searched</t>
        </is>
      </c>
      <c r="E106" s="77" t="inlineStr">
        <is>
          <t>Oxford MSc Mathematical Modelling and Scientific Computing case studies industry group project (extended); Oxford MSc students group consultancy project external partner organisation environment/sustainability/statistics</t>
        </is>
      </c>
      <c r="F106" s="77" t="inlineStr">
        <is>
          <t>https://courses.maths.ox.ac.uk/mod/book/view.php?id=65607&amp;chapterid=802; https://www.stats.ox.ac.uk/internal-clients</t>
        </is>
      </c>
      <c r="G106" s="77" t="inlineStr">
        <is>
          <t>Limited coverage: MMSC group case studies lack evidenced external clients; Statistics consultancy is not a student route. Chemistry, Biology, Earth Sciences, Physics, Smith School (MSc SEE) not searched due to search budget exhaustion.</t>
        </is>
      </c>
    </row>
    <row r="107">
      <c r="A107" s="77" t="inlineStr">
        <is>
          <t>RG17</t>
        </is>
      </c>
      <c r="B107" s="77" t="inlineStr">
        <is>
          <t>Oxford</t>
        </is>
      </c>
      <c r="C107" s="77" t="inlineStr">
        <is>
          <t>Arts/humanities/social sciences</t>
        </is>
      </c>
      <c r="D107" s="77" t="inlineStr">
        <is>
          <t>Searched</t>
        </is>
      </c>
      <c r="E107" s="77" t="inlineStr">
        <is>
          <t>Blavatnik School MPP students team project real policy client (refused: web search budget exhausted); Blavatnik School of Government MPP policy project client organisation team; Oxford Internet Institute OR Anthropology OR Geography MSc group consultancy project client organisation</t>
        </is>
      </c>
      <c r="F107" s="77" t="inlineStr">
        <is>
          <t>https://www.bsg.ox.ac.uk/study/mpp/policy-report; https://www.oii.ox.ac.uk/study/msc-in-social-science-of-the-internet/</t>
        </is>
      </c>
      <c r="G107" s="77" t="inlineStr">
        <is>
          <t>Blavatnik MPP Policy Report is an externally hosted placement/desk project (113 host organisations in 2025) but individual; one team example only. No group consultancy route found for OII, Anthropology, Geography in reduced-depth search.</t>
        </is>
      </c>
    </row>
    <row r="108">
      <c r="A108" s="77" t="inlineStr">
        <is>
          <t>RG17</t>
        </is>
      </c>
      <c r="B108" s="77" t="inlineStr">
        <is>
          <t>Oxford</t>
        </is>
      </c>
      <c r="C108" s="77" t="inlineStr">
        <is>
          <t>Other (law, health, design, architecture…)</t>
        </is>
      </c>
      <c r="D108" s="77" t="inlineStr">
        <is>
          <t>Searched</t>
        </is>
      </c>
      <c r="E108" s="77" t="inlineStr">
        <is>
          <t>Oxford Law Faculty pro bono clinic students team external organisation project</t>
        </is>
      </c>
      <c r="F108" s="77" t="inlineStr">
        <is>
          <t>https://www.law.ox.ac.uk/research-and-subject-groups/oxford-pro-bono-publico/opbp-project-work-frequently-asked-questions</t>
        </is>
      </c>
      <c r="G108" s="77" t="inlineStr">
        <is>
          <t>Oxford Pro Bono Publico runs graduate volunteer research teams for external pro bono clients (extracurricular, status undated); Bonavero clinics are casework. Medical Sciences and Education not searched (reduced depth).</t>
        </is>
      </c>
    </row>
    <row r="109">
      <c r="A109" s="77" t="inlineStr">
        <is>
          <t>RG18</t>
        </is>
      </c>
      <c r="B109" s="77" t="inlineStr">
        <is>
          <t>Queen Mary University of London</t>
        </is>
      </c>
      <c r="C109" s="77" t="inlineStr">
        <is>
          <t>Central provision</t>
        </is>
      </c>
      <c r="D109" s="77" t="inlineStr">
        <is>
          <t>Searched</t>
        </is>
      </c>
      <c r="E109" s="77" t="inlineStr">
        <is>
          <t>Queen Mary student consultancy live client project module; The Student Consultancy Project external organisations teams; Student Consultancy Project 2025-26 applications; SKETCH Student Knowledge Exchange Through Community Hubs</t>
        </is>
      </c>
      <c r="F109" s="77" t="inlineStr">
        <is>
          <t>https://www.qmul.ac.uk/careers/find-opportunities/skill-building-programmes/the-student-consultancy-project/; https://www.qmul.ac.uk/careers/employers/the-student-consultancy-project/what-is-scp/; https://www.qmul.ac.uk/sketch/</t>
        </is>
      </c>
      <c r="G109" s="77" t="inlineStr">
        <is>
          <t>University-wide Student Consultancy Project (all UGs, live external hosts) and SKETCH umbrella of student knowledge-exchange strands; QInterns is an individual internship.</t>
        </is>
      </c>
    </row>
    <row r="110">
      <c r="A110" s="77" t="inlineStr">
        <is>
          <t>RG18</t>
        </is>
      </c>
      <c r="B110" s="77" t="inlineStr">
        <is>
          <t>Queen Mary University of London</t>
        </is>
      </c>
      <c r="C110" s="77" t="inlineStr">
        <is>
          <t>Business/management</t>
        </is>
      </c>
      <c r="D110" s="77" t="inlineStr">
        <is>
          <t>Searched</t>
        </is>
      </c>
      <c r="E110" s="77" t="inlineStr">
        <is>
          <t>SBM Consult; MSc Management Capstone Live Project; BUSM250; First live consultancy Capstone Projects; Real World Impact Projects; Social Impact Project BUS380; SBM Digital Industry Project Practera</t>
        </is>
      </c>
      <c r="F110" s="77" t="inlineStr">
        <is>
          <t>https://www.qmul.ac.uk/modules/items/bus380-social-impact-project.html; https://www.qmul.ac.uk/modules/items/busm250-contemporary-live-management-project.html; https://www.qmul.ac.uk/sbm/news/2026/first-live-consultancy-capstone-projects-successfully-completed.html; https://www.qmul.ac.uk/sbm/entrepreneurship-hub/real-world-impact-projects/</t>
        </is>
      </c>
      <c r="G110" s="77" t="inlineStr">
        <is>
          <t>Dense SBM provision: UG BUS380 Social Impact Project, PG live capstones (BUSM250, E&amp;I), Real World Impact Projects, plus SBM Consult (internal clients) and a Practera virtual project.</t>
        </is>
      </c>
    </row>
    <row r="111">
      <c r="A111" s="77" t="inlineStr">
        <is>
          <t>RG18</t>
        </is>
      </c>
      <c r="B111" s="77" t="inlineStr">
        <is>
          <t>Queen Mary University of London</t>
        </is>
      </c>
      <c r="C111" s="77" t="inlineStr">
        <is>
          <t>Engineering/computing</t>
        </is>
      </c>
      <c r="D111" s="77" t="inlineStr">
        <is>
          <t>Searched</t>
        </is>
      </c>
      <c r="E111" s="77" t="inlineStr">
        <is>
          <t>EECS group project industry partner client software engineering; engineering design and build project industry sponsor; MSc project with industry EECS; MEng group design project sponsored by industry; Design Innovation and Creative Engineering client brief; DEN327 Industry Related Design Project</t>
        </is>
      </c>
      <c r="F111" s="77" t="inlineStr">
        <is>
          <t>https://www.qmul.ac.uk/eecs/postgraduate/msc-project-with-industry/; https://www.sems.qmul.ac.uk/ugadmissions/faq/</t>
        </is>
      </c>
      <c r="G111" s="77" t="inlineStr">
        <is>
          <t>Industry-linked MSc projects are individual; MEng group design projects are frequently but not standardly industry sponsored (C unclear); ECS506U and DEN327 lack external-client evidence.</t>
        </is>
      </c>
    </row>
    <row r="112">
      <c r="A112" s="77" t="inlineStr">
        <is>
          <t>RG18</t>
        </is>
      </c>
      <c r="B112" s="77" t="inlineStr">
        <is>
          <t>Queen Mary University of London</t>
        </is>
      </c>
      <c r="C112" s="77" t="inlineStr">
        <is>
          <t>Science</t>
        </is>
      </c>
      <c r="D112" s="77" t="inlineStr">
        <is>
          <t>Searched</t>
        </is>
      </c>
      <c r="E112" s="77" t="inlineStr">
        <is>
          <t>SBBS/Chemistry/Physics/Maths group project external organisation; Mathematical Sciences data science team project client MSc</t>
        </is>
      </c>
      <c r="F112" s="77" t="inlineStr">
        <is>
          <t>https://www.qmul.ac.uk/sbbs/undergraduate/year-in-industry/</t>
        </is>
      </c>
      <c r="G112" s="77" t="inlineStr">
        <is>
          <t>No group employer-client project found in science schools; SBBS Year in Industry is an individual placement; data science/maths MSc projects are individual or research-based.</t>
        </is>
      </c>
    </row>
    <row r="113">
      <c r="A113" s="77" t="inlineStr">
        <is>
          <t>RG18</t>
        </is>
      </c>
      <c r="B113" s="77" t="inlineStr">
        <is>
          <t>Queen Mary University of London</t>
        </is>
      </c>
      <c r="C113" s="77" t="inlineStr">
        <is>
          <t>Arts/humanities/social sciences</t>
        </is>
      </c>
      <c r="D113" s="77" t="inlineStr">
        <is>
          <t>Searched</t>
        </is>
      </c>
      <c r="E113" s="77" t="inlineStr">
        <is>
          <t>module groups community organisation client Geography Politics English History; Geography consultancy module environmental client; qHeritage teams external client; qHeritage for students 2026-27; qNomics Live Consultancy Client Advisory</t>
        </is>
      </c>
      <c r="F113" s="77" t="inlineStr">
        <is>
          <t>https://www.qmul.ac.uk/history/qheritage/for-students/; https://www.qmul.ac.uk/qnomics/for-students/client-advisory/</t>
        </is>
      </c>
      <c r="G113" s="77" t="inlineStr">
        <is>
          <t>SKETCH pillars qHeritage (History) and qNomics (Economics) run team client projects; no credit-bearing group client module found in Geography, Politics or English; Politics Civil Society is an individual placement.</t>
        </is>
      </c>
    </row>
    <row r="114">
      <c r="A114" s="77" t="inlineStr">
        <is>
          <t>RG18</t>
        </is>
      </c>
      <c r="B114" s="77" t="inlineStr">
        <is>
          <t>Queen Mary University of London</t>
        </is>
      </c>
      <c r="C114" s="77" t="inlineStr">
        <is>
          <t>Other (law, health, design, architecture…)</t>
        </is>
      </c>
      <c r="D114" s="77" t="inlineStr">
        <is>
          <t>Searched</t>
        </is>
      </c>
      <c r="E114" s="77" t="inlineStr">
        <is>
          <t>Queen Mary Legal Advice Centre students clinic; qLegal pro bono commercial law clinic; medicine dentistry community project student selected component</t>
        </is>
      </c>
      <c r="F114" s="77" t="inlineStr">
        <is>
          <t>https://www.qmul.ac.uk/lac/; https://www.qmul.ac.uk/publicengagement/blog/archive/items/qlegal-free-legal-advice-and-the-entrepreneurship-community.html</t>
        </is>
      </c>
      <c r="G114" s="77" t="inlineStr">
        <is>
          <t>Law clinics are advice/casework (not group project verified); medicine/dentistry show only individual volunteering requirements.</t>
        </is>
      </c>
    </row>
    <row r="115">
      <c r="A115" s="77" t="inlineStr">
        <is>
          <t>RG19</t>
        </is>
      </c>
      <c r="B115" s="77" t="inlineStr">
        <is>
          <t>Queen’s University Belfast</t>
        </is>
      </c>
      <c r="C115" s="77" t="inlineStr">
        <is>
          <t>Central provision</t>
        </is>
      </c>
      <c r="D115" s="77" t="inlineStr">
        <is>
          <t>Searched</t>
        </is>
      </c>
      <c r="E115" s="77" t="inlineStr">
        <is>
          <t>Queen's University Belfast student consultancy live client project module; QUB Future-Ready Award employer project group challenge; Real-World Consultancy Programme Queen's careers 2026 teams; Real-World Challenge careers programme; Access Skills Queen's careers Real World Projects; Future Skills for Leaders Queen's; Science Shop Queen's Belfast students community organisations; Queen's interdisciplinary challenge module external partner</t>
        </is>
      </c>
      <c r="F115" s="77" t="inlineStr">
        <is>
          <t>https://www.qub.ac.uk/directorates/sgc/careers/careers-events/Programmes/real-world-consultancy-programme/; https://www.qub.ac.uk/directorates/sgc/careers/careers-events/Real-WorldConsultancyProgramme.html; https://www.qub.ac.uk/directorates/sgc/careers/recruit-queens-students/AccessSkills/; https://www.qub.ac.uk/sites/ScienceShop/; https://blogs.qub.ac.uk/careers/2025/02/27/students-work-with-industry-experts-to-suggest-climate-change-solutions/; https://blogs.qub.ac.uk/careers/tag/future-ready-skills-for-leaders/</t>
        </is>
      </c>
      <c r="G115" s="77" t="inlineStr">
        <is>
          <t>Careers runs the Real-World Consultancy Programme (4 days, 40 places, university-wide, current 2026), a one-day Real-World Challenge and Skills for Leaders; Science Shop hosts community projects. No institution-wide curricular employer-project scheme found.</t>
        </is>
      </c>
    </row>
    <row r="116">
      <c r="A116" s="77" t="inlineStr">
        <is>
          <t>RG19</t>
        </is>
      </c>
      <c r="B116" s="77" t="inlineStr">
        <is>
          <t>Queen’s University Belfast</t>
        </is>
      </c>
      <c r="C116" s="77" t="inlineStr">
        <is>
          <t>Business/management</t>
        </is>
      </c>
      <c r="D116" s="77" t="inlineStr">
        <is>
          <t>Searched</t>
        </is>
      </c>
      <c r="E116" s="77" t="inlineStr">
        <is>
          <t>Queen's Management School consultancy project client organisation students teams; Business Clinic Queen's Business School module/teams/2026; MSc International Business International Consultancy capstone; Consultancy and problem solving module; MBA consultancy project; MSc Management consultancy; Data for Good Hackathon</t>
        </is>
      </c>
      <c r="F116" s="77" t="inlineStr">
        <is>
          <t>https://www.qub.ac.uk/schools/queens-business-school/business-hub/business-clinic/; https://www.qub.ac.uk/schools/queens-business-school/about/news/PartnerwiththeQBSBusinessClinictoUnlockPotential.html; https://www.qub.ac.uk/courses/postgraduate-taught/international-business-msc/; https://www.qub.ac.uk/schools/queens-business-school/events/DataforGoodHackathon2024.html</t>
        </is>
      </c>
      <c r="G116" s="77" t="inlineStr">
        <is>
          <t>Business Clinic gives live organisation consultancy projects (current 2026) but team/individual and credit status unresolved; consultancy dissertation routes and a hackathon are less documented.</t>
        </is>
      </c>
    </row>
    <row r="117">
      <c r="A117" s="77" t="inlineStr">
        <is>
          <t>RG19</t>
        </is>
      </c>
      <c r="B117" s="77" t="inlineStr">
        <is>
          <t>Queen’s University Belfast</t>
        </is>
      </c>
      <c r="C117" s="77" t="inlineStr">
        <is>
          <t>Engineering/computing</t>
        </is>
      </c>
      <c r="D117" s="77" t="inlineStr">
        <is>
          <t>Searched</t>
        </is>
      </c>
      <c r="E117" s="77" t="inlineStr">
        <is>
          <t>EEECS industry-sponsored group project software engineering; SE-FYP external organisations; CSC3032 module description; EEECS module descriptions 2025-26; mechanical aerospace civil group design project industrial sponsor; Sponsor a Student Project; Chemical engineering design project industry; MSc Software Development summer project industry</t>
        </is>
      </c>
      <c r="F117" s="77" t="inlineStr">
        <is>
          <t>https://blogs.qub.ac.uk/sefyp/; https://www.qub.ac.uk/schools/eeecs/filestore/Module%20Descriptions%202024-2025.%20%20Updated%2028.08.24-combined.pdf; https://www.qub.ac.uk/schools/SchoolofMechanicalandAerospaceEngineering/EmployerHub/SponsoraStudentProject/</t>
        </is>
      </c>
      <c r="G117" s="77" t="inlineStr">
        <is>
          <t>SE-FYP is a compulsory team capstone with externally proposed projects (client share unclear, currency unclear); Mech/Aero sponsored projects appear individual.</t>
        </is>
      </c>
    </row>
    <row r="118">
      <c r="A118" s="77" t="inlineStr">
        <is>
          <t>RG19</t>
        </is>
      </c>
      <c r="B118" s="77" t="inlineStr">
        <is>
          <t>Queen’s University Belfast</t>
        </is>
      </c>
      <c r="C118" s="77" t="inlineStr">
        <is>
          <t>Science</t>
        </is>
      </c>
      <c r="D118" s="77" t="inlineStr">
        <is>
          <t>Searched</t>
        </is>
      </c>
      <c r="E118" s="77" t="inlineStr">
        <is>
          <t>Pharmacy Biological Sciences Chemistry group project industry client; Mathematics Physics group project external organisation; MSc Data Analytics Analytathon; Analytics in Action DSA8023</t>
        </is>
      </c>
      <c r="F118" s="77" t="inlineStr">
        <is>
          <t>https://www.qub.ac.uk/schools/SchoolofMathematicsandPhysics/Study/StudentHandbook/PGStudentHandbook/DataAnalyticsModuleInformationandTimetable/; https://www.qub.ac.uk/courses/postgraduate-taught/data-analytics-msc/</t>
        </is>
      </c>
      <c r="G118" s="77" t="inlineStr">
        <is>
          <t>Only MSc Data Analytics Analytics in Action (group assignments on business-supplied data) found; undergraduate science projects with outside bodies are individual.</t>
        </is>
      </c>
    </row>
    <row r="119">
      <c r="A119" s="77" t="inlineStr">
        <is>
          <t>RG19</t>
        </is>
      </c>
      <c r="B119" s="77" t="inlineStr">
        <is>
          <t>Queen’s University Belfast</t>
        </is>
      </c>
      <c r="C119" s="77" t="inlineStr">
        <is>
          <t>Arts/humanities/social sciences</t>
        </is>
      </c>
      <c r="D119" s="77" t="inlineStr">
        <is>
          <t>Searched</t>
        </is>
      </c>
      <c r="E119" s="77" t="inlineStr">
        <is>
          <t>English Politics History Sociology group project partner organisation; Law clinic live project students; Science Shop student group project</t>
        </is>
      </c>
      <c r="F119" s="77" t="inlineStr">
        <is>
          <t>https://www.qub.ac.uk/sites/ScienceShop/; https://www.qub.ac.uk/about/teaching-excellence/teaching-case-studies/science-shop-real-world-research.html</t>
        </is>
      </c>
      <c r="G119" s="77" t="inlineStr">
        <is>
          <t>Humanities/social science provision is placement-based or individual; Science Shop community research projects span disciplines but team working unevidenced.</t>
        </is>
      </c>
    </row>
    <row r="120">
      <c r="A120" s="77" t="inlineStr">
        <is>
          <t>RG19</t>
        </is>
      </c>
      <c r="B120" s="77" t="inlineStr">
        <is>
          <t>Queen’s University Belfast</t>
        </is>
      </c>
      <c r="C120" s="77" t="inlineStr">
        <is>
          <t>Other (law, health, design, architecture…)</t>
        </is>
      </c>
      <c r="D120" s="77" t="inlineStr">
        <is>
          <t>Searched</t>
        </is>
      </c>
      <c r="E120" s="77" t="inlineStr">
        <is>
          <t>Law Clinic Architecture live project Social Work Planning; MSc Planning and Development live planning problem; City Planning and Design Comparative Urban Design; architecture civil engineering planning studio live project</t>
        </is>
      </c>
      <c r="F120" s="77" t="inlineStr">
        <is>
          <t>https://www.qub.ac.uk/courses/postgraduate-taught/city-planning-design-msc/; https://www.qub.ac.uk/directorates/AcademicStudentAffairs/AcademicAffairs/ProgrammeSpecifications/2024/courses/CityPlanningandDesign-MSc-AcademicYear202425.html</t>
        </is>
      </c>
      <c r="G120" s="77" t="inlineStr">
        <is>
          <t>City Planning and Design has a commissioned live project in EVP7038 (client and team structure unclear); medicine/health and education not specifically searched for group projects beyond general queries.</t>
        </is>
      </c>
    </row>
    <row r="121">
      <c r="A121" s="77" t="inlineStr">
        <is>
          <t>RG20</t>
        </is>
      </c>
      <c r="B121" s="77" t="inlineStr">
        <is>
          <t>Sheffield</t>
        </is>
      </c>
      <c r="C121" s="77" t="inlineStr">
        <is>
          <t>Central provision</t>
        </is>
      </c>
      <c r="D121" s="77" t="inlineStr">
        <is>
          <t>Searched</t>
        </is>
      </c>
      <c r="E121" s="77" t="inlineStr">
        <is>
          <t>Sheffield students consultancy project live client team business brief; Sheffield Emerge Apprentice Challenge teams business brief students 2026; Spring Internship Experience 2026 Sheffield students teams project brief partner organisations; Sheffield Careers employers SME student project team short project brief</t>
        </is>
      </c>
      <c r="F121" s="77" t="inlineStr">
        <is>
          <t>https://sheffield.ac.uk/careers/news/over-600-sheffield-students-take-part-internships-60-organisations-over-2026-spring-break; https://sheffield.ac.uk/careers/employers/sme; https://sheffield.ac.uk/entrepreneurship/events-competitions/apprentice-challenge</t>
        </is>
      </c>
      <c r="G121" s="77" t="inlineStr">
        <is>
          <t>Central Careers ran the first Spring Internship Experience (2026): 630 Arts &amp; Humanities and Social Sciences students in teams on 85+ external projects for 60+ organisations - qualifying but cross-faculty, not university-wide. Emerge entrepreneurship (legacy) and SME internship routes do not qualify.</t>
        </is>
      </c>
    </row>
    <row r="122">
      <c r="A122" s="77" t="inlineStr">
        <is>
          <t>RG20</t>
        </is>
      </c>
      <c r="B122" s="77" t="inlineStr">
        <is>
          <t>Sheffield</t>
        </is>
      </c>
      <c r="C122" s="77" t="inlineStr">
        <is>
          <t>Business/management</t>
        </is>
      </c>
      <c r="D122" s="77" t="inlineStr">
        <is>
          <t>Searched</t>
        </is>
      </c>
      <c r="E122" s="77" t="inlineStr">
        <is>
          <t>Sheffield MBA live organisation challenges Marketing Consultancy Challenge Internationalisation Challenge; Sheffield Management School micro-internship group client brief external organisation Easter; Sheffield Management MSc company project module team real-world problem external organisation credits; Sheffield undergraduate management consultancy module students teams local businesses client project</t>
        </is>
      </c>
      <c r="F122" s="77" t="inlineStr">
        <is>
          <t>https://sheffield.ac.uk/management/mba/live-organisation; https://www.sheffield.ac.uk/management/mba/experiential-learning-live-organisation-challenges/marketing-consultancy-challenge; https://www.sheffield.ac.uk/management/mba/experiential-learning-live-organisation-challenges/internationalisation-challenge; https://sheffield.ac.uk/postgraduate/taught/courses/2026/management-msc; https://sheffield.ac.uk/postgraduate/taught/courses/2027/management-msc</t>
        </is>
      </c>
      <c r="G122" s="77" t="inlineStr">
        <is>
          <t>MBA Challenge modules (Marketing Consultancy, Internationalisation) are live-client team consultancies; Management MSc offers a team Company Project and an Easter micro-internship on client briefs (likely the Spring Internship Experience). No undergraduate client-consultancy module found beyond the micro-internship.</t>
        </is>
      </c>
    </row>
    <row r="123">
      <c r="A123" s="77" t="inlineStr">
        <is>
          <t>RG20</t>
        </is>
      </c>
      <c r="B123" s="77" t="inlineStr">
        <is>
          <t>Sheffield</t>
        </is>
      </c>
      <c r="C123" s="77" t="inlineStr">
        <is>
          <t>Engineering/computing</t>
        </is>
      </c>
      <c r="D123" s="77" t="inlineStr">
        <is>
          <t>Searched</t>
        </is>
      </c>
      <c r="E123" s="77" t="inlineStr">
        <is>
          <t>Sheffield Global Engineering Challenge 2026 first-year students teams; Engineering You're Hired second year industry partners project week brief; GEC26 industry mentors judges Sheffield City Council neighbourhoods projects; Sheffield Computer Science Software Hut real clients teams module; Software Hut 2026 second year external clients teams; Genesys student-led software development organisation final year teams real customers; Sheffield MEng group design project industry sponsored company brief final year engineering team</t>
        </is>
      </c>
      <c r="F123" s="77" t="inlineStr">
        <is>
          <t>https://sheffield.ac.uk/engineering/diamond-engineering/engineering-project-weeks-2026-learning-through-real-life-challenges; https://gec.sites.sheffield.ac.uk/home/about-gec; https://sheffield.ac.uk/engineering/study/youre-hired; https://studententerprise.sites.sheffield.ac.uk/student-enterprises/software-hut; https://sheffield.ac.uk/cs/undergraduate/course-structure; https://sheffield.ac.uk/cs/about/genesys; https://sheffield.ac.uk/undergraduate/courses/2026/mechanical-engineering-meng; https://sheffield.ac.uk/mac/undergraduate/careers/aerospace</t>
        </is>
      </c>
      <c r="G123" s="77" t="inlineStr">
        <is>
          <t>Faculty-wide compulsory project weeks (GEC year 1 with Sheffield City Council in 2026; EYH year 2 with industrial partners/mentors) reach ~3,000 students annually. Computer Science Software Hut (compulsory Y2, external clients) qualifies; Genesys client externality and status unclear. Departmental MEng group design projects with industry (Mechanical, Aerospace, EEE) found via summaries only.</t>
        </is>
      </c>
    </row>
    <row r="124">
      <c r="A124" s="77" t="inlineStr">
        <is>
          <t>RG20</t>
        </is>
      </c>
      <c r="B124" s="77" t="inlineStr">
        <is>
          <t>Sheffield</t>
        </is>
      </c>
      <c r="C124" s="77" t="inlineStr">
        <is>
          <t>Science</t>
        </is>
      </c>
      <c r="D124" s="77" t="inlineStr">
        <is>
          <t>Searched</t>
        </is>
      </c>
      <c r="E124" s="77" t="inlineStr">
        <is>
          <t>Sheffield science group project industry partner company students team module chemistry physics biosciences; Industrial Group Project physics Sheffield external client team two semesters</t>
        </is>
      </c>
      <c r="F124" s="77" t="inlineStr">
        <is>
          <t>https://sheffield.ac.uk/undergraduate/courses/2025/physics-industrial-placement-year-bsc; https://www.sheffield.ac.uk/biosciences/news/student-teams-pitch-innovative-business-ideas-applying-science-industry</t>
        </is>
      </c>
      <c r="G124" s="77" t="inlineStr">
        <is>
          <t>Physics MPS372 Industrial Group Project (client-set problem, two semesters) qualifies; bioscience team modules lack external clients. Chemistry and mathematics/statistics not searched specifically.</t>
        </is>
      </c>
    </row>
    <row r="125">
      <c r="A125" s="77" t="inlineStr">
        <is>
          <t>RG20</t>
        </is>
      </c>
      <c r="B125" s="77" t="inlineStr">
        <is>
          <t>Sheffield</t>
        </is>
      </c>
      <c r="C125" s="77" t="inlineStr">
        <is>
          <t>Arts/humanities/social sciences</t>
        </is>
      </c>
      <c r="D125" s="77" t="inlineStr">
        <is>
          <t>Searched</t>
        </is>
      </c>
      <c r="E125" s="77" t="inlineStr">
        <is>
          <t>Sheffield social sciences students team project external organisation client report module urban studies geography politics; Sheffield Arts and Humanities students group project external partner brief module heritage museum creative industries; Sheffield Information School students group consultancy project external organisation client</t>
        </is>
      </c>
      <c r="F125" s="77" t="inlineStr">
        <is>
          <t>https://sheffield.ac.uk/careers/news/over-600-sheffield-students-take-part-internships-60-organisations-over-2026-spring-break; https://sheffield.ac.uk/undergraduate/courses/2027/social-sciences-ba; https://sheffield.ac.uk/arts-humanities/schools-and-outreach/transforming-and-activating-places-tap</t>
        </is>
      </c>
      <c r="G125" s="77" t="inlineStr">
        <is>
          <t>Main qualifying route is the central Spring Internship Experience for these two faculties. Departmental modules found (Social Sciences BA, Psychology) lack evidenced external clients; TAP is individual internships. Geography, Urban Studies, Politics, Journalism, Languages not individually searched.</t>
        </is>
      </c>
    </row>
    <row r="126">
      <c r="A126" s="77" t="inlineStr">
        <is>
          <t>RG20</t>
        </is>
      </c>
      <c r="B126" s="77" t="inlineStr">
        <is>
          <t>Sheffield</t>
        </is>
      </c>
      <c r="C126" s="77" t="inlineStr">
        <is>
          <t>Other (law, health, design, architecture…)</t>
        </is>
      </c>
      <c r="D126" s="77" t="inlineStr">
        <is>
          <t>Searched</t>
        </is>
      </c>
      <c r="E126" s="77" t="inlineStr">
        <is>
          <t>Sheffield School of Architecture Live Projects MArch groups clients community 2025; Sheffield School of Law students team project external organisation clinic pro bono policy report; Sheffield medicine dentistry health sciences students group project external organisation community partner team</t>
        </is>
      </c>
      <c r="F126" s="77" t="inlineStr">
        <is>
          <t>https://sheffield.ac.uk/architecture-landscape/march/live-projects; https://sheffield.ac.uk/postgraduate/taught/courses/2026/architecture-march; https://sheffield.ac.uk/law/pro-bono/sheffield-digital-justice; https://www.sheffield.ac.uk/medicine-dentistry-health/social-accountability/partnership-placements</t>
        </is>
      </c>
      <c r="G126" s="77" t="inlineStr">
        <is>
          <t>Architecture MArch Live Projects (core, groups of 13-15 for community/charity/public clients, 150+ projects) qualify. Law pro bono (Digital Justice, clinics) not evidenced as group client projects. Medicine, dentistry and health sciences NOT searched (search budget exhausted). Medicine community partnership placements found (groups of 4-18, ~4 weeks, negotiated projects for community organisations; undated, status unclear).</t>
        </is>
      </c>
    </row>
    <row r="127">
      <c r="A127" s="77" t="inlineStr">
        <is>
          <t>RG21</t>
        </is>
      </c>
      <c r="B127" s="77" t="inlineStr">
        <is>
          <t>Southampton</t>
        </is>
      </c>
      <c r="C127" s="77" t="inlineStr">
        <is>
          <t>Central provision</t>
        </is>
      </c>
      <c r="D127" s="77" t="inlineStr">
        <is>
          <t>Searched</t>
        </is>
      </c>
      <c r="E127" s="77" t="inlineStr">
        <is>
          <t>Student Innovation Projects live client teams Southampton Careers Employability; Student Innovation Projects Semester 1 2026/27 final project round; Southampton Innovation Challenge Easter summer 2026 real business challenge employers apply; careers guide 2025-2026 Student Innovation Projects will end; Student Innovation Projects no longer / final / replaced; Southampton interdisciplinary challenge-based module all faculties</t>
        </is>
      </c>
      <c r="F127" s="77" t="inlineStr">
        <is>
          <t>https://www.southampton.ac.uk/careers/students/work-experience/student-innovation-projects.page; https://www.southampton.ac.uk/careers/students/work-experience/summer-student-innovation-challenge.page; https://www.southampton.ac.uk/~assets/doc/careers/CES_Guide.pdf</t>
        </is>
      </c>
      <c r="G127" s="77" t="inlineStr">
        <is>
          <t>Two central, university-wide extracurricular live-client team routes (Student Innovation Projects, 4 weeks; Innovation Challenge, 4 days). Legacy claim that the project route ends after Semester 1 2026/27 not confirmed; no university-wide curricular employer-project module found.</t>
        </is>
      </c>
    </row>
    <row r="128">
      <c r="A128" s="77" t="inlineStr">
        <is>
          <t>RG21</t>
        </is>
      </c>
      <c r="B128" s="77" t="inlineStr">
        <is>
          <t>Southampton</t>
        </is>
      </c>
      <c r="C128" s="77" t="inlineStr">
        <is>
          <t>Business/management</t>
        </is>
      </c>
      <c r="D128" s="77" t="inlineStr">
        <is>
          <t>Searched</t>
        </is>
      </c>
      <c r="E128" s="77" t="inlineStr">
        <is>
          <t>Southampton Business School consultancy project live client MSc students group; MBA Leading Sustainability Innovation and Change live consulting; Riipen live projects Business School; Business School undergraduate consultancy business project module; MANG6349 / MANG6396; MANG6518 Marketing Practice-based Project; MANG6546 Summer Project; DAR master's external sponsor 3-month project</t>
        </is>
      </c>
      <c r="F128" s="77" t="inlineStr">
        <is>
          <t>https://www.southampton.ac.uk/courses/master-of-business-administration-masters-mba; https://www.southampton.ac.uk/courses/global-executive-masters-mba; https://www.southampton.ac.uk/courses/2026-27/modules/mang6518</t>
        </is>
      </c>
      <c r="G128" s="77" t="inlineStr">
        <is>
          <t>MBA (and probably online MiM) have a live group consulting project; most other business projects (MSc summer projects, business project, marketing project) are individual; Riipen is 2021 only; consulting modules are role-play.</t>
        </is>
      </c>
    </row>
    <row r="129">
      <c r="A129" s="77" t="inlineStr">
        <is>
          <t>RG21</t>
        </is>
      </c>
      <c r="B129" s="77" t="inlineStr">
        <is>
          <t>Southampton</t>
        </is>
      </c>
      <c r="C129" s="77" t="inlineStr">
        <is>
          <t>Engineering/computing</t>
        </is>
      </c>
      <c r="D129" s="77" t="inlineStr">
        <is>
          <t>Searched</t>
        </is>
      </c>
      <c r="E129" s="77" t="inlineStr">
        <is>
          <t>engineering group design project industrial sponsor client FEEG; electronics computer science group project external client industry partner; FEEG6013; FEEG6046; MIND6003; ECSP6000; ELEC2300; FEEG6046 CDT</t>
        </is>
      </c>
      <c r="F129" s="77" t="inlineStr">
        <is>
          <t>https://www.southampton.ac.uk/courses/2026-27/modules/feeg6046; https://www.southampton.ac.uk/courses/2028-29/modules/feeg6013; https://www.southampton.ac.uk/courses/2028-29/modules/ecsp6000; https://www.southampton.ac.uk/courses/modules/elec2300</t>
        </is>
      </c>
      <c r="G129" s="77" t="inlineStr">
        <is>
          <t>Faculty MEng Group Design Projects have optional/some external sponsors (C unclear). Qualifying routes are the CDT-based interdisciplinary team projects (FEEG6046, MINDS, AI for Sustainability) where industry/government partners set problems and advise.</t>
        </is>
      </c>
    </row>
    <row r="130">
      <c r="A130" s="77" t="inlineStr">
        <is>
          <t>RG21</t>
        </is>
      </c>
      <c r="B130" s="77" t="inlineStr">
        <is>
          <t>Southampton</t>
        </is>
      </c>
      <c r="C130" s="77" t="inlineStr">
        <is>
          <t>Science</t>
        </is>
      </c>
      <c r="D130" s="77" t="inlineStr">
        <is>
          <t>Searched</t>
        </is>
      </c>
      <c r="E130" s="77" t="inlineStr">
        <is>
          <t>Chemistry/Physics/Biological/Mathematical Sciences industry project team; Ocean and Earth Science/Geography consultancy project; MSc Environmental Consultancy; GGES6008; Maths/Physics/Chem/Bio industry project (second)</t>
        </is>
      </c>
      <c r="F130" s="77" t="inlineStr">
        <is>
          <t>https://www.southampton.ac.uk/courses/2026-27/modules/gges6008; https://www.southampton.ac.uk/courses/environmental-consultancy-masters-msc</t>
        </is>
      </c>
      <c r="G130" s="77" t="inlineStr">
        <is>
          <t>No qualifying pure-science team client project verified; GGES6008 group consultancy report with consultancy-sector input (client brief unclear); Environmental Consultancy partnership projects are individual.</t>
        </is>
      </c>
    </row>
    <row r="131">
      <c r="A131" s="77" t="inlineStr">
        <is>
          <t>RG21</t>
        </is>
      </c>
      <c r="B131" s="77" t="inlineStr">
        <is>
          <t>Southampton</t>
        </is>
      </c>
      <c r="C131" s="77" t="inlineStr">
        <is>
          <t>Arts/humanities/social sciences</t>
        </is>
      </c>
      <c r="D131" s="77" t="inlineStr">
        <is>
          <t>Searched</t>
        </is>
      </c>
      <c r="E131" s="77" t="inlineStr">
        <is>
          <t>social sciences/humanities group project real client; ARTD6240; ARTD3074; ARTD2145; PSYC8042; Southampton interdisciplinary module</t>
        </is>
      </c>
      <c r="F131" s="77" t="inlineStr">
        <is>
          <t>https://www.southampton.ac.uk/courses/2026-27/modules/psyc8042; https://www.southampton.ac.uk/courses/2026-27/modules/artd2145; https://www.southampton.ac.uk/courses/2026-27/modules/artd6240</t>
        </is>
      </c>
      <c r="G131" s="77" t="inlineStr">
        <is>
          <t>Qualifying: DEdPsy small-group research with a local authority partner. Partial: Winchester School of Art modules with optional external briefs; no humanities/social science employer-project module found.</t>
        </is>
      </c>
    </row>
    <row r="132">
      <c r="A132" s="77" t="inlineStr">
        <is>
          <t>RG21</t>
        </is>
      </c>
      <c r="B132" s="77" t="inlineStr">
        <is>
          <t>Southampton</t>
        </is>
      </c>
      <c r="C132" s="77" t="inlineStr">
        <is>
          <t>Other (law, health, design, architecture…)</t>
        </is>
      </c>
      <c r="D132" s="77" t="inlineStr">
        <is>
          <t>Searched</t>
        </is>
      </c>
      <c r="E132" s="77" t="inlineStr">
        <is>
          <t>Law pro bono clinic / Medicine Health Sciences NHS project; Health Sciences, Medicine, Law, Education group project community partner</t>
        </is>
      </c>
      <c r="F132" s="77" t="inlineStr">
        <is>
          <t>https://www.southampton.ac.uk/study/facilities/global-legal-clinic; https://www.southampton.ac.uk/news/2025/08/law-students-to-work-with-ai-legal-platform.page</t>
        </is>
      </c>
      <c r="G132" s="77" t="inlineStr">
        <is>
          <t>Law clinics involve real clients but individual casework in pairs for members of the public; no Medicine/Health Sciences group employer project verified in search index.</t>
        </is>
      </c>
    </row>
    <row r="133">
      <c r="A133" s="77" t="inlineStr">
        <is>
          <t>RG22</t>
        </is>
      </c>
      <c r="B133" s="77" t="inlineStr">
        <is>
          <t>UCL</t>
        </is>
      </c>
      <c r="C133" s="77" t="inlineStr">
        <is>
          <t>Central provision</t>
        </is>
      </c>
      <c r="D133" s="77" t="inlineStr">
        <is>
          <t>Searched</t>
        </is>
      </c>
      <c r="E133" s="77" t="inlineStr">
        <is>
          <t>UCL Grand Challenges ChangeMakers applications 2026; UCL ExtendED employer project team challenge live brief; Nano Projects Industry Challenge UCL; Supercharge your Career ExtendED eligibility; UCL Careers employer-set challenge hackathon live brief; UCL Researcher Consultancy Challenge; Grand Challenges partnership projects ChangeMakers external organisation</t>
        </is>
      </c>
      <c r="F133" s="77" t="inlineStr">
        <is>
          <t>https://www.ucl.ac.uk/study/current-students/academic-support-and-skills/extended-learning/202526-programme/supercharge-your-career; https://www.ucl.ac.uk/careers/work-experience-researchers; https://www.ucl.ac.uk/grand-challenges/news/2025/dec/grand-challenges-x-changemakers-applications-now-open</t>
        </is>
      </c>
      <c r="G133" s="77" t="inlineStr">
        <is>
          <t>Central routes are optional/extracurricular: ExtendED International Industry Challenges (all UG/PGT, real overseas employer briefs), a researcher Consultancy Challenge, and student-staff Grand Challenges x ChangeMakers (internal partnership, no external organisation required). No central compulsory employer-project scheme found.</t>
        </is>
      </c>
    </row>
    <row r="134">
      <c r="A134" s="77" t="inlineStr">
        <is>
          <t>RG22</t>
        </is>
      </c>
      <c r="B134" s="77" t="inlineStr">
        <is>
          <t>UCL</t>
        </is>
      </c>
      <c r="C134" s="77" t="inlineStr">
        <is>
          <t>Business/management</t>
        </is>
      </c>
      <c r="D134" s="77" t="inlineStr">
        <is>
          <t>Searched</t>
        </is>
      </c>
      <c r="E134" s="77" t="inlineStr">
        <is>
          <t>UCL School of Management MSc consulting project live client; MSc Marketing Science Business Project; MSc Business Analytics consulting project industry partners; MSc Business Analytics Analytics Lab; UCL Global Business School for Health consultancy project; MSc Supply Chain Management consulting project; MSc Marketing Science business project clients 2025</t>
        </is>
      </c>
      <c r="F134" s="77" t="inlineStr">
        <is>
          <t>https://www.ucl.ac.uk/prospective-students/graduate/taught-degrees/marketing-science-msc; https://www.mgmt.ucl.ac.uk/msc-marketing-science; https://www.ucl.ac.uk/global-business-school-health/study/ucl-mba-health/projects</t>
        </is>
      </c>
      <c r="G134" s="77" t="inlineStr">
        <is>
          <t>Marketing Science team business project qualifies on route but delivery undated. Business Analytics project is individual; MSc Management consultancy is optional and ungraded; MBA Health team/individual unseparated.</t>
        </is>
      </c>
    </row>
    <row r="135">
      <c r="A135" s="77" t="inlineStr">
        <is>
          <t>RG22</t>
        </is>
      </c>
      <c r="B135" s="77" t="inlineStr">
        <is>
          <t>UCL</t>
        </is>
      </c>
      <c r="C135" s="77" t="inlineStr">
        <is>
          <t>Engineering/computing</t>
        </is>
      </c>
      <c r="D135" s="77" t="inlineStr">
        <is>
          <t>Searched</t>
        </is>
      </c>
      <c r="E135" s="77" t="inlineStr">
        <is>
          <t>UCL Industry Exchange Network IXN; Integrated Engineering Programme Scenarios industry partner; COMP0016 Systems Engineering team project client; Computer Science BSc IXN compulsory; UCL IXN case study 2025; How to Change the World UCL Engineering; Industry supervised MSc EEE IXN; IEP scenario week 2025 industry client; Mechanical/Chemical/Civil group design project industry client; MECH0049 Innovation and Group Design Project</t>
        </is>
      </c>
      <c r="F135" s="77" t="inlineStr">
        <is>
          <t>https://www.ucl.ac.uk/module-catalogue/modules/systems-engineering/COMP0016; https://www.ucl.ac.uk/electronic-electrical-engineering/collaborate/industry-supervised-msc-undergraduate-projects; https://www.ucl.ac.uk/engineering/centre-for-engineering-education/study/integrated-engineering-programme/how-change-world</t>
        </is>
      </c>
      <c r="G135" s="77" t="inlineStr">
        <is>
          <t>Strongest provision: CS IXN/COMP0016 (second-year group projects for external partners) and EEE IXN final-year team projects, both confirmed current; IEP How to Change the World has partner-co-created challenges but status unclear; Scenario weeks only occasionally employer-linked.</t>
        </is>
      </c>
    </row>
    <row r="136">
      <c r="A136" s="77" t="inlineStr">
        <is>
          <t>RG22</t>
        </is>
      </c>
      <c r="B136" s="77" t="inlineStr">
        <is>
          <t>UCL</t>
        </is>
      </c>
      <c r="C136" s="77" t="inlineStr">
        <is>
          <t>Science</t>
        </is>
      </c>
      <c r="D136" s="77" t="inlineStr">
        <is>
          <t>Searched</t>
        </is>
      </c>
      <c r="E136" s="77" t="inlineStr">
        <is>
          <t>UCL Data Intensive Science and Industry group projects; Statistical Science/Mathematics/Physics/Chemistry/Earth Sciences industry-set group project</t>
        </is>
      </c>
      <c r="F136" s="77" t="inlineStr">
        <is>
          <t>https://www.ucl.ac.uk/data-intensive-science-industry/group-projects-industry-placements</t>
        </is>
      </c>
      <c r="G136" s="77" t="inlineStr">
        <is>
          <t>DISI PhD CDT group projects with industry partners qualify; no equivalent undergraduate or taught industry-project module found in Statistical Science, Maths, Physics, Chemistry or Earth Sciences (not conclusive).</t>
        </is>
      </c>
    </row>
    <row r="137">
      <c r="A137" s="77" t="inlineStr">
        <is>
          <t>RG22</t>
        </is>
      </c>
      <c r="B137" s="77" t="inlineStr">
        <is>
          <t>UCL</t>
        </is>
      </c>
      <c r="C137" s="77" t="inlineStr">
        <is>
          <t>Arts/humanities/social sciences</t>
        </is>
      </c>
      <c r="D137" s="77" t="inlineStr">
        <is>
          <t>Searched</t>
        </is>
      </c>
      <c r="E137" s="77" t="inlineStr">
        <is>
          <t>UCL STEaPP MPA group project client; MPA Group and Individual Project cohort clients; STEaPP MPA group project 2026 news; UCL Arts and Sciences BASc interdisciplinary project external partner; Collaborative Economy BASC0070; Institute of Education / IGP / Geography / Anthropology live project</t>
        </is>
      </c>
      <c r="F137" s="77" t="inlineStr">
        <is>
          <t>https://www.ucl.ac.uk/steapp/study/masters-public-administration-mpa/mpa-group-and-individual-project; https://www.ucl.ac.uk/module-catalogue/modules/the-collaborative-economy-BASC0070</t>
        </is>
      </c>
      <c r="G137" s="77" t="inlineStr">
        <is>
          <t>STEaPP MPA group client project is the main qualifying route; BASC0070 is a compulsory team module with outside-set prompts but output unclear. No live-client modules located for IOE, IGP, Geography or Anthropology (not conclusive).</t>
        </is>
      </c>
    </row>
    <row r="138">
      <c r="A138" s="77" t="inlineStr">
        <is>
          <t>RG22</t>
        </is>
      </c>
      <c r="B138" s="77" t="inlineStr">
        <is>
          <t>UCL</t>
        </is>
      </c>
      <c r="C138" s="77" t="inlineStr">
        <is>
          <t>Other (law, health, design, architecture…)</t>
        </is>
      </c>
      <c r="D138" s="77" t="inlineStr">
        <is>
          <t>Searched</t>
        </is>
      </c>
      <c r="E138" s="77" t="inlineStr">
        <is>
          <t>Bartlett live project client students team; Building a Better Future 2026; Development Planning Unit / Bartlett Planning live project; Urban Development Planning London project 2025; Urban Economic Development UK Practice Engagement; Community-engaged Planning Projects BPLN0033; UCL Laws Pro Bono Project</t>
        </is>
      </c>
      <c r="F138" s="77" t="inlineStr">
        <is>
          <t>https://www.ucl.ac.uk/bartlett/news/2026/jul/bartlett-students-gain-industry-experience-through-building-better-future-consultancy-project; https://www.ucl.ac.uk/bartlett/development/study/urban-economic-development-msc/urban-economic-development-msc-uk-practice-engagement</t>
        </is>
      </c>
      <c r="G138" s="77" t="inlineStr">
        <is>
          <t>Bartlett/DPU have several qualifying group client routes (BABF, UED London Project confirmed current; UDP London Project); Laws provision is individual casework/volunteering. Health, medical sciences, SLADE and pharmacy not specifically searched.</t>
        </is>
      </c>
    </row>
    <row r="139">
      <c r="A139" s="77" t="inlineStr">
        <is>
          <t>RG23</t>
        </is>
      </c>
      <c r="B139" s="77" t="inlineStr">
        <is>
          <t>Warwick</t>
        </is>
      </c>
      <c r="C139" s="77" t="inlineStr">
        <is>
          <t>Central provision</t>
        </is>
      </c>
      <c r="D139" s="77" t="inlineStr">
        <is>
          <t>Searched</t>
        </is>
      </c>
      <c r="E139" s="77" t="inlineStr">
        <is>
          <t>Warwick students team project real client brief external organisation; Warwick TeamWork International Experience Programme teams of six project external organisation presentation eligibility (extended); WebFetch TeamWork programme page (page text)</t>
        </is>
      </c>
      <c r="F139" s="77" t="inlineStr">
        <is>
          <t>https://warwick.ac.uk/services/careers/employers/international/teamwork/; https://warwick.ac.uk/services/careers/employers/international/teamwork/teamwork-questions/</t>
        </is>
      </c>
      <c r="G139" s="77" t="inlineStr">
        <is>
          <t>TeamWork (Warwick Careers) is a university-wide, selective, 4-week online programme with multi-university teams of up to six working on external organisations' projects and presenting to them; next run March 2027. Other central routes not searched (budget).</t>
        </is>
      </c>
    </row>
    <row r="140">
      <c r="A140" s="77" t="inlineStr">
        <is>
          <t>RG23</t>
        </is>
      </c>
      <c r="B140" s="77" t="inlineStr">
        <is>
          <t>Warwick</t>
        </is>
      </c>
      <c r="C140" s="77" t="inlineStr">
        <is>
          <t>Business/management</t>
        </is>
      </c>
      <c r="D140" s="77" t="inlineStr">
        <is>
          <t>Searched</t>
        </is>
      </c>
      <c r="E140" s="77" t="inlineStr">
        <is>
          <t>Warwick Business School consultancy project client organisation students group MSc MBA; WBS MBA &amp; Masters Projects 2026 FAQ group SCP 3 students self-formed group client mentor (extended); Warwick Full-time MBA LeadershipPlus consultancy project groups organisation 10 weeks (extended); courses.warwick.ac.uk modules IB consulting project client organisation group undergraduate; IB3G2 Team Consulting Project module catalogue client organisation teams (extended); IB013-15 Business Consulting foundation year ... (extended); Warwick MSc Business with Consulting consulting project real client team module (extended); WBS "Business in Practice" capstone group project organisation MSc (extended)</t>
        </is>
      </c>
      <c r="F140" s="77" t="inlineStr">
        <is>
          <t>https://www.wbs.ac.uk/sites/wbs2020/assets/pdf/FAQs_Student_Consultancy_Projects_2026.pdf; https://www.wbs.ac.uk/working-with-wbs/student-consultancy-projects/; https://www.wbs.ac.uk/courses/mba/global-online/january-2027-programme-structure1/; https://courses.warwick.ac.uk/modules/2024/IB013-15</t>
        </is>
      </c>
      <c r="G140" s="77" t="inlineStr">
        <is>
          <t>WBS live-client group provision is postgraduate: MBA group Strategic Consulting Projects (3 students, 2026 FAQ; Global Online MBA 2027), Full-time MBA LeadershipPlus group consultancy (undated), and alumni-reported MSc Business with Consulting live client projects. No current undergraduate team client module verified (IB3G2 only in 2018/19 list; IB013 foundation year module mostly individual).</t>
        </is>
      </c>
    </row>
    <row r="141">
      <c r="A141" s="77" t="inlineStr">
        <is>
          <t>RG23</t>
        </is>
      </c>
      <c r="B141" s="77" t="inlineStr">
        <is>
          <t>Warwick</t>
        </is>
      </c>
      <c r="C141" s="77" t="inlineStr">
        <is>
          <t>Engineering/computing</t>
        </is>
      </c>
      <c r="D141" s="77" t="inlineStr">
        <is>
          <t>Searched</t>
        </is>
      </c>
      <c r="E141" s="77" t="inlineStr">
        <is>
          <t>Warwick School of Engineering fourth year group project industry sponsored ES4 module; ES3H7-30 Group Project module catalogue tasks set in conjunction with industry teams 2025 2026 (extended); Warwick Computer Science CS261 Software Engineering group project industry client CS407 group project industrial (extended); WMG MSc group project company industrial sponsor students teams real problem; WMG MSc International Trade Strategy and Operations Industry Impact Project groups corporate partner Tata (extended) - FAILED, search budget exhausted</t>
        </is>
      </c>
      <c r="F141" s="77" t="inlineStr">
        <is>
          <t>https://courses.warwick.ac.uk/modules/2022/ES410-30; https://courses.warwick.ac.uk/modules/2024/ES3H7-30; https://warwick.ac.uk/fac/sci/dcs/teaching/modules/cs407/; https://warwick.ac.uk/fac/sci/wmg/study/masters-degrees/international-trade/</t>
        </is>
      </c>
      <c r="G141" s="77" t="inlineStr">
        <is>
          <t>Engineering MEng ES410 group project (industrial backing 'where possible'), apprenticeship ES3H7 group project co-set with employers, CS407 with academic or industrial customers, and WMG MSc ITSO Industry Impact Projects with corporate partners (Tata). Current-year evidence mostly lacking.</t>
        </is>
      </c>
    </row>
    <row r="142">
      <c r="A142" s="77" t="inlineStr">
        <is>
          <t>RG23</t>
        </is>
      </c>
      <c r="B142" s="77" t="inlineStr">
        <is>
          <t>Warwick</t>
        </is>
      </c>
      <c r="C142" s="77" t="inlineStr">
        <is>
          <t>Science</t>
        </is>
      </c>
      <c r="D142" s="77" t="inlineStr">
        <is>
          <t>Searched</t>
        </is>
      </c>
      <c r="E142" s="77" t="inlineStr">
        <is>
          <t>Warwick Department of Statistics OR Physics OR Chemistry OR Life Sciences industry project students team external company</t>
        </is>
      </c>
      <c r="F142" s="77" t="inlineStr">
        <is>
          <t>https://warwick.ac.uk/study/undergraduate/courses/mchem-chemistry-industrial-placement/; https://warwick.ac.uk/study/undergraduate/courses/mbio-biomedical-sciences-industrial-placement/</t>
        </is>
      </c>
      <c r="G142" s="77" t="inlineStr">
        <is>
          <t>Only individual industrial placements/research projects (MChem, MBio) and CDT projects; no team project with external client found (search-index summary).</t>
        </is>
      </c>
    </row>
    <row r="143">
      <c r="A143" s="77" t="inlineStr">
        <is>
          <t>RG23</t>
        </is>
      </c>
      <c r="B143" s="77" t="inlineStr">
        <is>
          <t>Warwick</t>
        </is>
      </c>
      <c r="C143" s="77" t="inlineStr">
        <is>
          <t>Arts/humanities/social sciences</t>
        </is>
      </c>
      <c r="D143" s="77" t="inlineStr">
        <is>
          <t>Searched</t>
        </is>
      </c>
      <c r="E143" s="77" t="inlineStr">
        <is>
          <t>Warwick students team project real client brief external organisation (broad; AHSS results only); Warwick IATL module external partner live project students teams</t>
        </is>
      </c>
      <c r="F143" s="77" t="inlineStr">
        <is>
          <t>https://courses.warwick.ac.uk/modules/2021/GD903-60; https://courses.warwick.ac.uk/modules/2024/LP916-15; https://warwick.ac.uk/fac/cross_fac/iatl/study/iatlugmodules/digitalfutures/</t>
        </is>
      </c>
      <c r="G143" s="77" t="inlineStr">
        <is>
          <t>Only incidental results: GSD Masters Practice-based Project (client brief; external partner optional) and Applied Linguistics LP916 Applied Communication Project (live brief to a client). Area not searched systematically (budget).</t>
        </is>
      </c>
    </row>
    <row r="144">
      <c r="A144" s="77" t="inlineStr">
        <is>
          <t>RG23</t>
        </is>
      </c>
      <c r="B144" s="77" t="inlineStr">
        <is>
          <t>Warwick</t>
        </is>
      </c>
      <c r="C144" s="77" t="inlineStr">
        <is>
          <t>Other (law, health, design, architecture…)</t>
        </is>
      </c>
      <c r="D144" s="77" t="inlineStr">
        <is>
          <t>Searched</t>
        </is>
      </c>
      <c r="E144" s="77" t="inlineStr">
        <is>
          <t>Warwick Law School OR Medical School OR Health students group project external organisation client module</t>
        </is>
      </c>
      <c r="F144" s="77" t="inlineStr">
        <is>
          <t>https://warwick.ac.uk/fac/sci/med/study/cpd/module_index/md90a/; https://warwick.ac.uk/fac/soc/law/aboutus/linc/warwick_law_in_the_community_annual_report_2021-22_final.pdf</t>
        </is>
      </c>
      <c r="G144" s="77" t="inlineStr">
        <is>
          <t>Law LinC live legal projects (2021/22 report, group status and currency unverified) and WMS MD90A organisation-directed placement project (individual placement); no qualifying scheme verified.</t>
        </is>
      </c>
    </row>
    <row r="145">
      <c r="A145" s="77" t="inlineStr">
        <is>
          <t>RG24</t>
        </is>
      </c>
      <c r="B145" s="77" t="inlineStr">
        <is>
          <t>York</t>
        </is>
      </c>
      <c r="C145" s="77" t="inlineStr">
        <is>
          <t>Central provision</t>
        </is>
      </c>
      <c r="D145" s="77" t="inlineStr">
        <is>
          <t>Searched</t>
        </is>
      </c>
      <c r="E145" s="77" t="inlineStr">
        <is>
          <t>University of York Sustainability Clinic live client module ENV00054H; York Interdisciplinary Modules external partner project team; York student consultancy live client project module; Community-engaged learning our projects York staff teaching; York community engaged learning modules departments Public History; York Careers employer challenge students teams solve real business problem Futures programme; York Interdisciplinary Module Climate Crisis external agency NGO; Climate Crisis Action Lab ESA00003H</t>
        </is>
      </c>
      <c r="F145" s="77" t="inlineStr">
        <is>
          <t>https://www.york.ac.uk/about/sustainability/teaching-learning/york-interdisciplinary-modules/; https://www.york.ac.uk/staff/teaching/community-engaged-learning/our-projects/; https://www.york.ac.uk/staff/teaching/community-engaged-learning/; https://www.york.ac.uk/students/studying/manage/programmes/module-catalogue/module/ESA00001H/latest</t>
        </is>
      </c>
      <c r="G145" s="77" t="inlineStr">
        <is>
          <t>Central CEL team and York Interdisciplinary Modules host cross-departmental routes; Sustainability Clinic (live-client, multi-disciplinary teams) qualifies; Climate Crisis Action Lab qualified but not running 2026/27. No central employer-challenge programme with live-client teams verified beyond these.</t>
        </is>
      </c>
    </row>
    <row r="146">
      <c r="A146" s="77" t="inlineStr">
        <is>
          <t>RG24</t>
        </is>
      </c>
      <c r="B146" s="77" t="inlineStr">
        <is>
          <t>York</t>
        </is>
      </c>
      <c r="C146" s="77" t="inlineStr">
        <is>
          <t>Business/management</t>
        </is>
      </c>
      <c r="D146" s="77" t="inlineStr">
        <is>
          <t>Searched</t>
        </is>
      </c>
      <c r="E146" s="77" t="inlineStr">
        <is>
          <t>Student consultancy projects School for Business and Society; Business Consultancy Project MAN00019H; York Management School work-based dissertation live business challenge; MBA Consultancy Portfolio MAN00129M; Strategic Marketing Consulting MAN00068H; Social and Political Sciences York consultancy projects</t>
        </is>
      </c>
      <c r="F146" s="77" t="inlineStr">
        <is>
          <t>https://www.york.ac.uk/business-society/external-engagement/consultancy/; https://www.york.ac.uk/students/studying/manage/programmes/module-catalogue/module/MAN00019H/latest; https://www.york.ac.uk/study/postgraduate-taught/courses/msc-management/</t>
        </is>
      </c>
      <c r="G146" s="77" t="inlineStr">
        <is>
          <t>Group undergraduate client consultancy (S6) and MSc applied live-business projects (S7) found; MBA and marketing consulting modules unclear.</t>
        </is>
      </c>
    </row>
    <row r="147">
      <c r="A147" s="77" t="inlineStr">
        <is>
          <t>RG24</t>
        </is>
      </c>
      <c r="B147" s="77" t="inlineStr">
        <is>
          <t>York</t>
        </is>
      </c>
      <c r="C147" s="77" t="inlineStr">
        <is>
          <t>Engineering/computing</t>
        </is>
      </c>
      <c r="D147" s="77" t="inlineStr">
        <is>
          <t>Searched</t>
        </is>
      </c>
      <c r="E147" s="77" t="inlineStr">
        <is>
          <t>York Computer Science industry project client team module; York electronic engineering group project industry client sponsor; Group Project Integrated Masters COM00138M external customer; Engineering Group Project ELE00093H client industry partner</t>
        </is>
      </c>
      <c r="F147" s="77" t="inlineStr">
        <is>
          <t>https://www.york.ac.uk/students/studying/manage/programmes/module-catalogue/module/COM00138M/latest; https://www.york.ac.uk/students/studying/manage/programmes/module-catalogue/module/ELE00093H/latest</t>
        </is>
      </c>
      <c r="G147" s="77" t="inlineStr">
        <is>
          <t>CS integrated masters group project mentions an external customer but unclear coverage; Engineering group projects use specified clients without external partner evidenced.</t>
        </is>
      </c>
    </row>
    <row r="148">
      <c r="A148" s="77" t="inlineStr">
        <is>
          <t>RG24</t>
        </is>
      </c>
      <c r="B148" s="77" t="inlineStr">
        <is>
          <t>York</t>
        </is>
      </c>
      <c r="C148" s="77" t="inlineStr">
        <is>
          <t>Science</t>
        </is>
      </c>
      <c r="D148" s="77" t="inlineStr">
        <is>
          <t>Searched</t>
        </is>
      </c>
      <c r="E148" s="77" t="inlineStr">
        <is>
          <t>York Chemistry OR Biology OR Mathematics OR Physics industry project student team external partner; York mathematics final-year projects external partners; Community Action Project PSY00075H; Group Sustainable Business Project ENV00120M</t>
        </is>
      </c>
      <c r="F148" s="77" t="inlineStr">
        <is>
          <t>https://www.york.ac.uk/students/studying/manage/programmes/module-catalogue/module/PSY00075H/2025-26; https://www.york.ac.uk/students/studying/manage/programmes/module-catalogue/module/ENV00120M/2025-26; https://www.york.ac.uk/maths/research/collaborating-business-industry/</t>
        </is>
      </c>
      <c r="G148" s="77" t="inlineStr">
        <is>
          <t>Psychology Community Action Project and Environment and Geography group sustainable business project qualify; Chemistry/Maths/Physics industry projects are individual.</t>
        </is>
      </c>
    </row>
    <row r="149">
      <c r="A149" s="77" t="inlineStr">
        <is>
          <t>RG24</t>
        </is>
      </c>
      <c r="B149" s="77" t="inlineStr">
        <is>
          <t>York</t>
        </is>
      </c>
      <c r="C149" s="77" t="inlineStr">
        <is>
          <t>Arts/humanities/social sciences</t>
        </is>
      </c>
      <c r="D149" s="77" t="inlineStr">
        <is>
          <t>Searched</t>
        </is>
      </c>
      <c r="E149" s="77" t="inlineStr">
        <is>
          <t>Beyond the Book Community Projects ENG00175I; Public History Project core module; Theatre Film Television Music student project industry partner; York Politics OR Sociology OR Social Policy OR Archaeology students team project external organisation; Communities, Participation &amp; Creating Change SPY00037I; Education STEP1</t>
        </is>
      </c>
      <c r="F149" s="77" t="inlineStr">
        <is>
          <t>https://www.york.ac.uk/students/studying/manage/programmes/module-catalogue/module/HIS00130I/latest; https://www.york.ac.uk/students/studying/manage/programmes/module-catalogue/module/ENG00175I/latest; https://www.york.ac.uk/education/undergraduate/careers/developing/</t>
        </is>
      </c>
      <c r="G149" s="77" t="inlineStr">
        <is>
          <t>Public History Project (core History Y2) qualifies; Beyond the Book mixed partners; Education STEP 1 undated; TFT group projects have no external organisation.</t>
        </is>
      </c>
    </row>
    <row r="150">
      <c r="A150" s="77" t="inlineStr">
        <is>
          <t>RG24</t>
        </is>
      </c>
      <c r="B150" s="77" t="inlineStr">
        <is>
          <t>York</t>
        </is>
      </c>
      <c r="C150" s="77" t="inlineStr">
        <is>
          <t>Other (law, health, design, architecture…)</t>
        </is>
      </c>
      <c r="D150" s="77" t="inlineStr">
        <is>
          <t>Searched</t>
        </is>
      </c>
      <c r="E150" s="77" t="inlineStr">
        <is>
          <t>York Law School clinic students advise clients pro bono module; Migrants' Rights: Law and Policy Clinic LAW00093H; York Health Sciences OR Hull York Medical School student project team external partner</t>
        </is>
      </c>
      <c r="F150" s="77" t="inlineStr">
        <is>
          <t>https://www.york.ac.uk/students/studying/manage/programmes/module-catalogue/module/LAW00093H/2024-25; https://www.york.ac.uk/students/studying/manage/programmes/module-catalogue/module/LAW00083H/latest</t>
        </is>
      </c>
      <c r="G150" s="77" t="inlineStr">
        <is>
          <t>Law migrants' rights clinic has group work for organisation clients but only 2024-25 evidence; HYMS/Health Sciences no relevant module found (limited search).</t>
        </is>
      </c>
    </row>
    <row r="151">
      <c r="A151" s="77" t="inlineStr">
        <is>
          <t>AU01</t>
        </is>
      </c>
      <c r="B151" s="77" t="inlineStr">
        <is>
          <t>UNSW Sydney</t>
        </is>
      </c>
      <c r="C151" s="77" t="inlineStr">
        <is>
          <t>Central provision</t>
        </is>
      </c>
      <c r="D151" s="77" t="inlineStr">
        <is>
          <t>Searched</t>
        </is>
      </c>
      <c r="E151" s="77" t="inlineStr">
        <is>
          <t>UNSW Industry Experience Program Co-op Interdisciplinary project industry partner (unsw.edu.au); fetch: unsw.edu.au/employability/courses/practice-of-work</t>
        </is>
      </c>
      <c r="F151" s="77" t="inlineStr">
        <is>
          <t>https://www.unsw.edu.au/employability/courses/practice-of-work; https://www.unsw.edu.au/employability/partner-with-us/wil-opportunities-for-industry-partners</t>
        </is>
      </c>
      <c r="G151" s="77" t="inlineStr">
        <is>
          <t>Central Experiential Learning/Employability office runs CDEV3000/CDEV6000 Practice of Work: interdisciplinary student teams on a partner-set brief, 6 UOC, with Summer 2027 and Term 1 2027 offerings listed. Co-op Program is a sponsored scholarship/internship scheme (individual placements, excluded).</t>
        </is>
      </c>
    </row>
    <row r="152">
      <c r="A152" s="77" t="inlineStr">
        <is>
          <t>AU01</t>
        </is>
      </c>
      <c r="B152" s="77" t="inlineStr">
        <is>
          <t>UNSW Sydney</t>
        </is>
      </c>
      <c r="C152" s="77" t="inlineStr">
        <is>
          <t>Business/management</t>
        </is>
      </c>
      <c r="D152" s="77" t="inlineStr">
        <is>
          <t>Searched</t>
        </is>
      </c>
      <c r="E152" s="77" t="inlineStr">
        <is>
          <t>UNSW Business School industry project students client team capstone (unsw.edu.au); COMM1120 Collaboration and Innovation in Business course outline team project industry; fetch: COMM2233 page; Business Experience Projects page; handbook COMM1120, COMM3900</t>
        </is>
      </c>
      <c r="F152" s="77" t="inlineStr">
        <is>
          <t>https://www.unsw.edu.au/business/student-life/career-accelerator/undergraduate/undergraduate-internships/industry-consulting-project-comm2233; https://www.unsw.edu.au/business/student-life/career-accelerator/postgraduate/internships/business-experience/global-scope-business-project-program; https://www.handbook.unsw.edu.au/undergraduate/courses/2025/COMM1120</t>
        </is>
      </c>
      <c r="G152" s="77" t="inlineStr">
        <is>
          <t>Business School has COMM2233 Industry Consulting Project (undergraduate small teams with host organisation, 2024-dated evidence) and short virtual Business Experience Projects (2 weeks). Postgraduate Future of Work/Global Business Practicum/MIB consulting practicum named in search summary but not opened. Handbook pages for COMM1120 and COMM3900 gave no description, so client involvement could not be tested.</t>
        </is>
      </c>
    </row>
    <row r="153">
      <c r="A153" s="77" t="inlineStr">
        <is>
          <t>AU01</t>
        </is>
      </c>
      <c r="B153" s="77" t="inlineStr">
        <is>
          <t>UNSW Sydney</t>
        </is>
      </c>
      <c r="C153" s="77" t="inlineStr">
        <is>
          <t>Engineering/computing</t>
        </is>
      </c>
      <c r="D153" s="77" t="inlineStr">
        <is>
          <t>Searched</t>
        </is>
      </c>
      <c r="E153" s="77" t="inlineStr">
        <is>
          <t>UNSW Engineering Capstone industry sponsored project team design (unsw.edu.au); COMP3900 Computer Science Project capstone industry client team; fetch: CSE Industry Capstone Projects flyer 2026 (PDF, read with pdftotext)</t>
        </is>
      </c>
      <c r="F153" s="77" t="inlineStr">
        <is>
          <t>https://www.unsw.edu.au/content/dam/pdfs/engineering/computer-sci-eng/events/2026-08-capstone-cse/unsw-cse-industrycapstoneprojects--flyer-2026.pdf; https://www.unsw.edu.au/engineering/our-schools/computer-science-and-engineering/engage-with-us</t>
        </is>
      </c>
      <c r="G153" s="77" t="inlineStr">
        <is>
          <t>CSE Industry Capstone Program: teams of 6 build software for an external client over a 10-week term, with client supervision and feedback (2026 flyer). Chemical Engineering and Industrial Design capstones with industry partners and Vertically Integrated Projects are leads only.</t>
        </is>
      </c>
    </row>
    <row r="154">
      <c r="A154" s="77" t="inlineStr">
        <is>
          <t>AU01</t>
        </is>
      </c>
      <c r="B154" s="77" t="inlineStr">
        <is>
          <t>UNSW Sydney</t>
        </is>
      </c>
      <c r="C154" s="77" t="inlineStr">
        <is>
          <t>Science</t>
        </is>
      </c>
      <c r="D154" s="77" t="inlineStr">
        <is>
          <t>Searched</t>
        </is>
      </c>
      <c r="E154" s="77" t="inlineStr">
        <is>
          <t>UNSW Science industry project course external partner students team (unsw.edu.au); fetch: Science Industry Project (SCIF3000) page</t>
        </is>
      </c>
      <c r="F154" s="77" t="inlineStr">
        <is>
          <t>https://www.unsw.edu.au/science/student-life-resources/student-opportunities/work-integrated-learning-wil/science-industry-project; https://www.student.unsw.edu.au/notices/2023/07/scif3000-science-industry-project</t>
        </is>
      </c>
      <c r="G154" s="77" t="inlineStr">
        <is>
          <t>SCIF3000 Science Industry Project: multidisciplinary science teams tackle a live project from an industry, government or not-for-profit partner, with industry mentor and academic supervisor. Page undated, so current delivery not confirmed.</t>
        </is>
      </c>
    </row>
    <row r="155">
      <c r="A155" s="77" t="inlineStr">
        <is>
          <t>AU01</t>
        </is>
      </c>
      <c r="B155" s="77" t="inlineStr">
        <is>
          <t>UNSW Sydney</t>
        </is>
      </c>
      <c r="C155" s="77" t="inlineStr">
        <is>
          <t>Arts/humanities/social sciences</t>
        </is>
      </c>
      <c r="D155" s="77" t="inlineStr">
        <is>
          <t>Searched</t>
        </is>
      </c>
      <c r="E155" s="77" t="inlineStr">
        <is>
          <t>UNSW Arts Social Sciences Practice of Work OR Social Impact OR community partner capstone students team project 2026 (unsw.edu.au)</t>
        </is>
      </c>
      <c r="F155" s="77" t="inlineStr">
        <is>
          <t>https://www.unsw.edu.au/employability/courses/practice-of-work; https://www.unsw.edu.au/study/undergraduate/bachelor-of-social-sciences</t>
        </is>
      </c>
      <c r="G155" s="77" t="inlineStr">
        <is>
          <t>No Arts/Social Sciences-specific team capstone with an external client was found; Arts and Social Sciences students access the central CDEV3000/6000 route (eligibility is degree-dependent). Social Work placements are individual placements (excluded).</t>
        </is>
      </c>
    </row>
    <row r="156">
      <c r="A156" s="77" t="inlineStr">
        <is>
          <t>AU01</t>
        </is>
      </c>
      <c r="B156" s="77" t="inlineStr">
        <is>
          <t>UNSW Sydney</t>
        </is>
      </c>
      <c r="C156" s="77" t="inlineStr">
        <is>
          <t>Other (law, health, design, architecture…)</t>
        </is>
      </c>
      <c r="D156" s="77" t="inlineStr">
        <is>
          <t>Searched</t>
        </is>
      </c>
      <c r="E156" s="77" t="inlineStr">
        <is>
          <t>UNSW Arts Design Society industry client project course students team (unsw.edu.au); UNSW Law clinic OR Built Environment OR Medicine group project external organisation client (unsw.edu.au)</t>
        </is>
      </c>
      <c r="F156" s="77" t="inlineStr">
        <is>
          <t>https://www.unsw.edu.au/arts-design-architecture/our-schools/art-design/student-life/professional-experience-project; https://www.unsw.edu.au/law-justice/student-life/work-integrated-learning/clinics; https://www.unsw.edu.au/arts-design-architecture/engage-with-us/innovation-hub/projects</t>
        </is>
      </c>
      <c r="G156" s="77" t="inlineStr">
        <is>
          <t>Art &amp; Design Professional Experience Project (ADAD3000) is a placement-style course; Law clinics (Land and Environment Court, Kingsford Legal Centre) are casework/placements; the Law Social Impact Hub team clinic result is dated 2014. Innovation Hub projects (ADA) not tested. No UNSW Medicine group project found.</t>
        </is>
      </c>
    </row>
    <row r="157">
      <c r="A157" s="77" t="inlineStr">
        <is>
          <t>AU02</t>
        </is>
      </c>
      <c r="B157" s="77" t="inlineStr">
        <is>
          <t>Melbourne</t>
        </is>
      </c>
      <c r="C157" s="77" t="inlineStr">
        <is>
          <t>Central provision</t>
        </is>
      </c>
      <c r="D157" s="77" t="inlineStr">
        <is>
          <t>Searched</t>
        </is>
      </c>
      <c r="E157" s="77" t="inlineStr">
        <is>
          <t>University of Melbourne students "Melbourne Plus" OR "careers" industry project program students all faculties team real organisation 2026; "SCOUT" "Students Consulting on University Translation" University of Melbourne multidisciplinary students apply; about.unimelb.edu.au university students lead greenhouse project gain industry experience CAS Energy SCOUT team; ipp.eng.unimelb.edu.au Innovation Practice Program industry projects students teams subject Ignite O-Lab partner</t>
        </is>
      </c>
      <c r="F157" s="77" t="inlineStr">
        <is>
          <t>https://about.unimelb.edu.au/education-melbourne/our-people-in-action/university-students-lead-greenhouse-project-and-gain-industry-experience; https://www.tagcaustralia.com/blog/scout-internship-program-provides-students-with-diverse-real-world-insight; https://ipp.eng.unimelb.edu.au/for-students/o-lab; https://students.unimelb.edu.au/course-admin/planning-your-course-and-subjects/breadth-subjects</t>
        </is>
      </c>
      <c r="G157" s="77" t="inlineStr">
        <is>
          <t>No single university-wide employer project scheme was found. Melbourne Plus is a co-curricular credential (excluded); the breadth framework is excluded. Two cross-faculty extracurricular team routes exist: SCOUT (TAGC; CAS Energy project S1 2026) and IPP O-Lab/Ignite (open to postgraduates across the University; status undated).</t>
        </is>
      </c>
    </row>
    <row r="158">
      <c r="A158" s="77" t="inlineStr">
        <is>
          <t>AU02</t>
        </is>
      </c>
      <c r="B158" s="77" t="inlineStr">
        <is>
          <t>Melbourne</t>
        </is>
      </c>
      <c r="C158" s="77" t="inlineStr">
        <is>
          <t>Business/management</t>
        </is>
      </c>
      <c r="D158" s="77" t="inlineStr">
        <is>
          <t>Searched</t>
        </is>
      </c>
      <c r="E158" s="77" t="inlineStr">
        <is>
          <t>fbe.unimelb.edu.au Business Innovation Lab students industry partner teams subject code; University of Melbourne "Business Innovation Lab" 2025 OR 2026 apply students design thinking industry partner co-curricular; mbs.unimelb.edu.au career expertise business-innovation-challenge eligibility "all students" industry partner brief four days; mbs.unimelb.edu.au Virtual Industry Projects Practera real company project brief team students 25 hours; site:handbook.unimelb.edu.au 2026 consulting project client organisation teams business subject BUSA OR MGMT OR MKTG; handbook.unimelb.edu.au/2026/subjects/mgmt30012 Management Consulting client organisation cross-disciplinary teams; fbe.unimelb.edu.au engage partnerships opportunities industry-projects groups of students business challenge subjects embedded undergraduate postgraduate; "FBE Grand Challenges" unimelb students teams industry partner challenge 2026; Melbourne Business School Master of Business Analytics industry project teams partner organisation 2026 OR MBA "consulting project" client</t>
        </is>
      </c>
      <c r="F158" s="77" t="inlineStr">
        <is>
          <t>https://handbook.unimelb.edu.au/subjects/mgmt30012; https://fbe.unimelb.edu.au/engage/partnerships/opportunities/industry-projects; https://mbs.unimelb.edu.au/career/expertise/business-innovation-challenge; https://mbs.unimelb.edu.au/career/expertise/virtual-industry-projects; https://handbook.unimelb.edu.au/subjects/mgmt90129/; https://mbs.edu/centres/centre-for-business-analytics/about-us</t>
        </is>
      </c>
      <c r="G158" s="77" t="inlineStr">
        <is>
          <t>FBE has a curricular live-client consulting capstone (MGMT30012), a partner-facing for-credit Industry Projects offer (subjects unnamed), and two FBE-only extracurricular team programmes with real organisations (Business Innovation Challenge, 2 days; Virtual Industry Projects via Practera, 25 hours). MGMT90129 Group Project (external organisation) last evidenced 2024; MGMT90147 Consulting Project not available in 2024. MBS Analytics Lab places students in organisations but team format not evidenced.</t>
        </is>
      </c>
    </row>
    <row r="159">
      <c r="A159" s="77" t="inlineStr">
        <is>
          <t>AU02</t>
        </is>
      </c>
      <c r="B159" s="77" t="inlineStr">
        <is>
          <t>Melbourne</t>
        </is>
      </c>
      <c r="C159" s="77" t="inlineStr">
        <is>
          <t>Engineering/computing</t>
        </is>
      </c>
      <c r="D159" s="77" t="inlineStr">
        <is>
          <t>Searched</t>
        </is>
      </c>
      <c r="E159" s="77" t="inlineStr">
        <is>
          <t>cis.unimelb.edu.au engage industry projects student projects COMP90082 software project client; cis.unimelb.edu.au capstone projects industry clients SWEN90017 COMP30022 IT Project MAST90106 data science project teams; handbook.unimelb.edu.au/2026/subjects/comp30022 IT Project overview "client" team real-world; handbook.unimelb.edu.au SWEN90017 Masters Advanced Software Project external client team 2026; handbook.unimelb.edu.au 2026 subjects comp90082 Software Project overview teams stakeholders industry client Master of Information Technology; unimelb engineering capstone project ENGR90037 OR ENGR90038 industry partner team "capstone" handbook 2026; "Creating Innovative Professionals" ENGR90039 2026 handbook industry partner challenge teams eligibility graduate students any faculty</t>
        </is>
      </c>
      <c r="F159" s="77" t="inlineStr">
        <is>
          <t>https://cis.unimelb.edu.au/engage/industry-projects/capstone-projects; https://handbook.unimelb.edu.au/2026/subjects/comp90082; https://handbook.unimelb.edu.au/2026/subjects/swen90017; https://handbook.unimelb.edu.au/2026/subjects/comp30022; https://handbook.unimelb.edu.au/subjects/engr90037; https://electrical.eng.unimelb.edu.au/industry/student-projects; https://handbook.unimelb.edu.au/subjects/engr90039; https://ipp.eng.unimelb.edu.au/for-students/about-cie-cip</t>
        </is>
      </c>
      <c r="G159" s="77" t="inlineStr">
        <is>
          <t>Strongest area. Compulsory team capstones with external/industry clients in the Master of IT (COMP90082) and Master of Software Engineering (SWEN90017/18), both in the 2026 handbook. The generic Master of Engineering capstone (ENGR90037/38) is group-based with industry partners only 'where appropriate'; Electrical &amp; Electronic Engineering documents an industry-supervised team route. ENGR90039 (IPP Spark) sets industry-sponsored challenges for multidisciplinary teams (2026, quota). COMP30022 (UG) has clients but external status unverified.</t>
        </is>
      </c>
    </row>
    <row r="160">
      <c r="A160" s="77" t="inlineStr">
        <is>
          <t>AU02</t>
        </is>
      </c>
      <c r="B160" s="77" t="inlineStr">
        <is>
          <t>Melbourne</t>
        </is>
      </c>
      <c r="C160" s="77" t="inlineStr">
        <is>
          <t>Science</t>
        </is>
      </c>
      <c r="D160" s="77" t="inlineStr">
        <is>
          <t>Searched</t>
        </is>
      </c>
      <c r="E160" s="77" t="inlineStr">
        <is>
          <t>unimelb Master of Data Science capstone "Data Science Project" MAST90106 MAST90107 industry partner team; science.unimelb.edu.au industry projects for graduate students subject codes teams participating organisations real-world challenges; unimelb handbook 2026 Master of Environmental Science "Industry Project" team capstone subject ENST; "SCIE90015" Industry Project in Biotechnology syndicate groups industry partner 2026; "AGRI30006" OR "AGRI30005" Industry Project unimelb handbook group industry partner agriculture 2026</t>
        </is>
      </c>
      <c r="F160" s="77" t="inlineStr">
        <is>
          <t>https://science.unimelb.edu.au/students/enrich-your-studies/industry-projects; https://handbook.unimelb.edu.au/2026/subjects/mast90106; https://handbook.unimelb.edu.au/subjects/scie90015; https://handbook.unimelb.edu.au/2026/courses/mc-envsc/course-structure; https://handbook.unimelb.edu.au/subjects/agri30006</t>
        </is>
      </c>
      <c r="G160" s="77" t="inlineStr">
        <is>
          <t>Faculty of Science runs a graduate capstone Industry Project model (teams of 3-5, partner submits brief) embedded in the Masters of Biotechnology, Data Science, Environmental Science and Climate Science. Data Science (MAST90106/7) confirmed in 2026 handbook; Biotechnology (SCIE90015) and Environmental Science (EVSC Industry Project) codes found but 2026 delivery not directly evidenced. Undergraduate AGRI30006 is an individual industry project (excluded).</t>
        </is>
      </c>
    </row>
    <row r="161">
      <c r="A161" s="77" t="inlineStr">
        <is>
          <t>AU02</t>
        </is>
      </c>
      <c r="B161" s="77" t="inlineStr">
        <is>
          <t>Melbourne</t>
        </is>
      </c>
      <c r="C161" s="77" t="inlineStr">
        <is>
          <t>Arts/humanities/social sciences</t>
        </is>
      </c>
      <c r="D161" s="77" t="inlineStr">
        <is>
          <t>Searched</t>
        </is>
      </c>
      <c r="E161" s="77" t="inlineStr">
        <is>
          <t>arts.unimelb.edu.au experiential learning work with our students industry project partner; handbook.unimelb.edu.au 2026 subjects arts30001 Industry Project eligibility assessment group; "ARTS90026" OR "Interdisciplinary Industry Project" unimelb handbook 2025 2026 team industry partner; handbook.unimelb.edu.au 2026 arts90027 Interdisciplinary Industry Project eligibility graduate coursework students any faculty application industry partner</t>
        </is>
      </c>
      <c r="F161" s="77" t="inlineStr">
        <is>
          <t>https://arts.unimelb.edu.au/students/experiential-learning/industry-project; https://arts.unimelb.edu.au/engage/partner-with-us/work-with-our-students/industry-projects; https://arts.unimelb.edu.au/engage/partner-with-us/work-with-our-students/experiential-learning; https://handbook.unimelb.edu.au/2026/courses/b-arts/course-structure; https://handbook.unimelb.edu.au/2024/subjects/arts90027/eligibility-and-requirements</t>
        </is>
      </c>
      <c r="G161" s="77" t="inlineStr">
        <is>
          <t>ARTS30001 Industry Project (UG, Sem 2 2026) places small consulting teams on real projects for external partners who brief, meet and receive presentations. Graduate ARTS90027 Interdisciplinary Industry Project 2 involves an industry partner but allows individual, team or mixed working (group Unclear); ARTS90026 not available in 2026. The Arts 'Work Integrated Learning' partner page is an umbrella over internships and the industry project (not counted separately).</t>
        </is>
      </c>
    </row>
    <row r="162">
      <c r="A162" s="77" t="inlineStr">
        <is>
          <t>AU02</t>
        </is>
      </c>
      <c r="B162" s="77" t="inlineStr">
        <is>
          <t>Melbourne</t>
        </is>
      </c>
      <c r="C162" s="77" t="inlineStr">
        <is>
          <t>Other (law, health, design, architecture…)</t>
        </is>
      </c>
      <c r="D162" s="77" t="inlineStr">
        <is>
          <t>Searched</t>
        </is>
      </c>
      <c r="E162" s="77" t="inlineStr">
        <is>
          <t>msd.unimelb.edu.au studio external partner industry client students team project subject ABPL; "ABPL30044" Industry Partner Project Studio handbook 2025 OR 2026 construction property teams; Melbourne Law School JD subject students team project for partner organisation "law reform" OR "policy" client community legal centre group project; "Indigenous Legal Advocacy Clinic" LAWS handbook unimelb 2026 subject code small groups; site:handbook.unimelb.edu.au 2026 "partner organisation" students "in teams" OR "in groups" project health OR public health OR social work subject</t>
        </is>
      </c>
      <c r="F162" s="77" t="inlineStr">
        <is>
          <t>https://law.unimelb.edu.au/students/jd/enrichment/mls-clinics/subjects/indigenous-legal-advocacy-clinic; https://handbook.unimelb.edu.au/2025/subjects/laws90209; https://handbook.unimelb.edu.au/2019/subjects/abpl30044; https://msd.unimelb.edu.au/current-students/subject-information/msd-studios/msd-studio-archive/2024/semester-1/studio-502</t>
        </is>
      </c>
      <c r="G162" s="77" t="inlineStr">
        <is>
          <t>Law: Indigenous Legal Advocacy Clinic (LAWS90209) delivers partner-briefed projects for Indigenous organisations, but the small-group wording was dropped in 2024/2025 entries (group Unclear). Design: ABPL30044 Industry Partner Project Studio (team, 'projects selected from industry', last handbook seen 2019) and individual MSD studios with external partners (e.g. Merri-Bek Council 2024) - external participation/team format unconfirmed. Health (MDHS): one handbook search found no partner-team subject; not exhaustively searched.</t>
        </is>
      </c>
    </row>
    <row r="163">
      <c r="A163" s="77" t="inlineStr">
        <is>
          <t>AU03</t>
        </is>
      </c>
      <c r="B163" s="77" t="inlineStr">
        <is>
          <t>Sydney</t>
        </is>
      </c>
      <c r="C163" s="77" t="inlineStr">
        <is>
          <t>Central provision</t>
        </is>
      </c>
      <c r="D163" s="77" t="inlineStr">
        <is>
          <t>Searched</t>
        </is>
      </c>
      <c r="E163" s="77" t="inlineStr">
        <is>
          <t>Industry and Community Project Units interdisciplinary teams; 3000 level industry and community project units 2026 semester partners how to enrol; industry and community projects partners semester 2 2026 project brief team deliverable presentation; work with our students collaborate on real-world projects partner organisations student teams</t>
        </is>
      </c>
      <c r="F163" s="77" t="inlineStr">
        <is>
          <t>https://www.sydney.edu.au/students/industry-and-community-projects.html; https://www.sydney.edu.au/students/industry-and-community-projects/enrol-icpu.html; https://www.sydney.edu.au/students/industry-and-community-projects/4000-level-projects.html; https://educational-innovation.sydney.edu.au/teaching@sydney/industry-and-community-project-units-preparing-our-students-for-the-real-world/; https://www.sydney.edu.au/engage/industry-business-partnerships/work-with-our-students/real-world-projects.html</t>
        </is>
      </c>
      <c r="G163" s="77" t="inlineStr">
        <is>
          <t>University-wide ICPU framework (3000 and 4000 level) with partner-set briefs and interdisciplinary teams, current into 2026/27.</t>
        </is>
      </c>
    </row>
    <row r="164">
      <c r="A164" s="77" t="inlineStr">
        <is>
          <t>AU03</t>
        </is>
      </c>
      <c r="B164" s="77" t="inlineStr">
        <is>
          <t>Sydney</t>
        </is>
      </c>
      <c r="C164" s="77" t="inlineStr">
        <is>
          <t>Business/management</t>
        </is>
      </c>
      <c r="D164" s="77" t="inlineStr">
        <is>
          <t>Searched</t>
        </is>
      </c>
      <c r="E164" s="77" t="inlineStr">
        <is>
          <t>Business School capstone consulting project real client team postgraduate unit; BWIL6300 Business Consulting Practicum sponsor organisation team report 2026; Business Consulting Practicum student consultancy classmates live industry project eligibility; SIEN6600 Strategy Innovation and Management Capstone partner organisations groups 2026; MMGT6101 Business Project groups real organisation; Master of Commerce capstone Prezzee teams</t>
        </is>
      </c>
      <c r="F164" s="77" t="inlineStr">
        <is>
          <t>https://www.sydney.edu.au/students/business-placements/business-consulting-practicum.html; https://www.sydney.edu.au/units/BWIL6300; https://www.sydney.edu.au/units/SIEN6600; https://www.sydney.edu.au/units/MMGT6101</t>
        </is>
      </c>
      <c r="G164" s="77" t="inlineStr">
        <is>
          <t>Business Consulting Practicum (UG and PG) qualifies with 2026 offerings; MMGT6101 group partner project (status unclear); SIEN6600 and BIS capstone partner projects with group format unverified.</t>
        </is>
      </c>
    </row>
    <row r="165">
      <c r="A165" s="77" t="inlineStr">
        <is>
          <t>AU03</t>
        </is>
      </c>
      <c r="B165" s="77" t="inlineStr">
        <is>
          <t>Sydney</t>
        </is>
      </c>
      <c r="C165" s="77" t="inlineStr">
        <is>
          <t>Engineering/computing</t>
        </is>
      </c>
      <c r="D165" s="77" t="inlineStr">
        <is>
          <t>Searched</t>
        </is>
      </c>
      <c r="E165" s="77" t="inlineStr">
        <is>
          <t>COMP3888 Computer Science Capstone Project teams industry client 2026; Jacaranda Flame Consulting engineering students teams client projects; Jacaranda Flame Consulting 2025 OR 2026 applications winter summer</t>
        </is>
      </c>
      <c r="F165" s="77" t="inlineStr">
        <is>
          <t>https://www.sydney.edu.au/units/COMP3888; https://www.sydney.edu.au/engineering/study/student-experience/industry-placements-and-internships/jacaranda-flame-consulting.html</t>
        </is>
      </c>
      <c r="G165" s="77" t="inlineStr">
        <is>
          <t>COMP3888 group external-client capstone (2026); Jacaranda Flame Consulting extracurricular engineering client teams (status undated). Engineering discipline capstones not searched (budget).</t>
        </is>
      </c>
    </row>
    <row r="166">
      <c r="A166" s="77" t="inlineStr">
        <is>
          <t>AU03</t>
        </is>
      </c>
      <c r="B166" s="77" t="inlineStr">
        <is>
          <t>Sydney</t>
        </is>
      </c>
      <c r="C166" s="77" t="inlineStr">
        <is>
          <t>Science</t>
        </is>
      </c>
      <c r="D166" s="77" t="inlineStr">
        <is>
          <t>Searched</t>
        </is>
      </c>
      <c r="E166" s="77" t="inlineStr">
        <is>
          <t>DATA3888 data science capstone groups industry partner; SCPU3001 Industry and Community Science Project</t>
        </is>
      </c>
      <c r="F166" s="77" t="inlineStr">
        <is>
          <t>https://www.sydney.edu.au/units/DATA3888; https://www.sydney.edu.au/units/SCPU3001; https://www.sydney.edu.au/units/SCPU4001</t>
        </is>
      </c>
      <c r="G166" s="77" t="inlineStr">
        <is>
          <t>Science routes run through ICPU shell units (SCPU3001 now mainly for double majors; SCPU4001/4002). DATA3888 has teams but no external partner evidenced. Discipline XXXX3888 units only lightly covered (one search).</t>
        </is>
      </c>
    </row>
    <row r="167">
      <c r="A167" s="77" t="inlineStr">
        <is>
          <t>AU03</t>
        </is>
      </c>
      <c r="B167" s="77" t="inlineStr">
        <is>
          <t>Sydney</t>
        </is>
      </c>
      <c r="C167" s="77" t="inlineStr">
        <is>
          <t>Arts/humanities/social sciences</t>
        </is>
      </c>
      <c r="D167" s="77" t="inlineStr">
        <is>
          <t>Searched</t>
        </is>
      </c>
      <c r="E167" s="77" t="inlineStr">
        <is>
          <t>Arts and Social Sciences engage with our students partner project teams postgraduate capstone client; Sydney Policy Reform Project students teams research paper partner organisation 2026 (refused: search budget exhausted)</t>
        </is>
      </c>
      <c r="F167" s="77" t="inlineStr">
        <is>
          <t>https://www.sydney.edu.au/arts/industry-and-community/industry-partnerships/engage-with-our-students.html</t>
        </is>
      </c>
      <c r="G167" s="77" t="inlineStr">
        <is>
          <t>FASS routes are mainly ICPU shell units (FASS3333, FASS4902, GOVT3898); PG capstones found were individual internships/projects. Sydney Policy Reform Project untested.</t>
        </is>
      </c>
    </row>
    <row r="168">
      <c r="A168" s="77" t="inlineStr">
        <is>
          <t>AU03</t>
        </is>
      </c>
      <c r="B168" s="77" t="inlineStr">
        <is>
          <t>Sydney</t>
        </is>
      </c>
      <c r="C168" s="77" t="inlineStr">
        <is>
          <t>Other (law, health, design, architecture…)</t>
        </is>
      </c>
      <c r="D168" s="77" t="inlineStr">
        <is>
          <t>Searched</t>
        </is>
      </c>
      <c r="E168" s="77" t="inlineStr">
        <is>
          <t>University of Sydney Law School OR architecture design studio industry client student teams project unit (plus WebFetch of Law industry-and-community-engagement page)</t>
        </is>
      </c>
      <c r="F168" s="77" t="inlineStr">
        <is>
          <t>https://www.sydney.edu.au/law/study-law/student-experience/industry-and-community-engagement.html</t>
        </is>
      </c>
      <c r="G168" s="77" t="inlineStr">
        <is>
          <t>Law students (final/penultimate year, 48 cp core law) can enrol in an Interdisciplinary Project (ICPU route, interdisciplinary groups); combined-law students use the partner faculty shell unit. Law electives with Community Legal Centres NSW, NSW Public Defenders, NSW Police mentioned but format not tested. No architecture/design studio-client route found beyond ICPU shells (ARCH4108).</t>
        </is>
      </c>
    </row>
    <row r="169">
      <c r="A169" s="77" t="inlineStr">
        <is>
          <t>AU04</t>
        </is>
      </c>
      <c r="B169" s="77" t="inlineStr">
        <is>
          <t>Australian National University</t>
        </is>
      </c>
      <c r="C169" s="77" t="inlineStr">
        <is>
          <t>Central provision</t>
        </is>
      </c>
      <c r="D169" s="77" t="inlineStr">
        <is>
          <t>Searched</t>
        </is>
      </c>
      <c r="E169" s="77" t="inlineStr">
        <is>
          <t>ANU Techlauncher industry client student teams project; ANU GRIP team real-world challenge partner; ANU SoCIETIE course team project external organisation 2026</t>
        </is>
      </c>
      <c r="F169" s="77" t="inlineStr">
        <is>
          <t>https://programsandcourses.anu.edu.au/course/aatd3001; https://programsandcourses.anu.edu.au/course/VCPG6100</t>
        </is>
      </c>
      <c r="G169" s="77" t="inlineStr">
        <is>
          <t>University-wide SoCIETIE/GRIP frameworks have unclear team/external-partner evidence; central provision otherwise hosted by colleges.</t>
        </is>
      </c>
    </row>
    <row r="170">
      <c r="A170" s="77" t="inlineStr">
        <is>
          <t>AU04</t>
        </is>
      </c>
      <c r="B170" s="77" t="inlineStr">
        <is>
          <t>Australian National University</t>
        </is>
      </c>
      <c r="C170" s="77" t="inlineStr">
        <is>
          <t>Business/management</t>
        </is>
      </c>
      <c r="D170" s="77" t="inlineStr">
        <is>
          <t>Searched</t>
        </is>
      </c>
      <c r="E170" s="77" t="inlineStr">
        <is>
          <t>ANU College of Business and Economics capstone client consulting project course; ANU Special Industry Project 2026 students client Scyne Advisory teams</t>
        </is>
      </c>
      <c r="F170" s="77" t="inlineStr">
        <is>
          <t>https://cbe.anu.edu.au/current-students/opportunities-and-careers/special-industry-project-course; https://cbe.anu.edu.au/current-students/opportunities-and-careers/cbe-special-industry-project-course/clients-and-mentors</t>
        </is>
      </c>
      <c r="G170" s="77" t="inlineStr">
        <is>
          <t>Special Industry Project qualifies (live clients, teams, 2026 delivery); MGMT8008 team client course shows no current offering; MGMT8007 individual.</t>
        </is>
      </c>
    </row>
    <row r="171">
      <c r="A171" s="77" t="inlineStr">
        <is>
          <t>AU04</t>
        </is>
      </c>
      <c r="B171" s="77" t="inlineStr">
        <is>
          <t>Australian National University</t>
        </is>
      </c>
      <c r="C171" s="77" t="inlineStr">
        <is>
          <t>Engineering/computing</t>
        </is>
      </c>
      <c r="D171" s="77" t="inlineStr">
        <is>
          <t>Searched</t>
        </is>
      </c>
      <c r="E171" s="77" t="inlineStr">
        <is>
          <t>ANU Engineering capstone project industry client team; ANU Techlauncher industry client student teams project</t>
        </is>
      </c>
      <c r="F171" s="77" t="inlineStr">
        <is>
          <t>https://comp.anu.edu.au/engage/techlauncher/; https://eng.anu.edu.au/courses/engn4300/get_involved/host_guide/; https://programsandcourses.anu.edu.au/course/engn8170</t>
        </is>
      </c>
      <c r="G171" s="77" t="inlineStr">
        <is>
          <t>TechLauncher (Computing) and Engineering Capstone ENGN4300 both qualify; ENGN8170 client unclear.</t>
        </is>
      </c>
    </row>
    <row r="172">
      <c r="A172" s="77" t="inlineStr">
        <is>
          <t>AU04</t>
        </is>
      </c>
      <c r="B172" s="77" t="inlineStr">
        <is>
          <t>Australian National University</t>
        </is>
      </c>
      <c r="C172" s="77" t="inlineStr">
        <is>
          <t>Science</t>
        </is>
      </c>
      <c r="D172" s="77" t="inlineStr">
        <is>
          <t>Searched</t>
        </is>
      </c>
      <c r="E172" s="77" t="inlineStr">
        <is>
          <t>ANU science students team project external partner Bachelor of Science industry project; ANU Master of Applied Data Analytics industry project client team</t>
        </is>
      </c>
      <c r="F172" s="77" t="inlineStr">
        <is>
          <t>https://programsandcourses.anu.edu.au/course/scnc3021</t>
        </is>
      </c>
      <c r="G172" s="77" t="inlineStr">
        <is>
          <t>No team-based external-partner science course verified; SCNC3021/SCNC3000 are individual; data analytics master's shows no client team course.</t>
        </is>
      </c>
    </row>
    <row r="173">
      <c r="A173" s="77" t="inlineStr">
        <is>
          <t>AU04</t>
        </is>
      </c>
      <c r="B173" s="77" t="inlineStr">
        <is>
          <t>Australian National University</t>
        </is>
      </c>
      <c r="C173" s="77" t="inlineStr">
        <is>
          <t>Arts/humanities/social sciences</t>
        </is>
      </c>
      <c r="D173" s="77" t="inlineStr">
        <is>
          <t>Searched</t>
        </is>
      </c>
      <c r="E173" s="77" t="inlineStr">
        <is>
          <t>ANU Crawford School Policy Design Practicum client organisation team; ANU SoCIETIE course societal challenge team project</t>
        </is>
      </c>
      <c r="F173" s="77" t="inlineStr">
        <is>
          <t>https://programsandcourses.anu.edu.au/2021/course/crwf7000; https://programsandcourses.anu.edu.au/course/aatd3001</t>
        </is>
      </c>
      <c r="G173" s="77" t="inlineStr">
        <is>
          <t>Crawford Applied Policy Project has external public-sector clients but individual-or-group and only 2021 evidence; SoCIETIE unclear.</t>
        </is>
      </c>
    </row>
    <row r="174">
      <c r="A174" s="77" t="inlineStr">
        <is>
          <t>AU04</t>
        </is>
      </c>
      <c r="B174" s="77" t="inlineStr">
        <is>
          <t>Australian National University</t>
        </is>
      </c>
      <c r="C174" s="77" t="inlineStr">
        <is>
          <t>Other (law, health, design, architecture…)</t>
        </is>
      </c>
      <c r="D174" s="77" t="inlineStr">
        <is>
          <t>Searched</t>
        </is>
      </c>
      <c r="E174" s="77" t="inlineStr">
        <is>
          <t>ANU Law clinic OR design OR health students team project community partner course</t>
        </is>
      </c>
      <c r="F174" s="77" t="inlineStr">
        <is>
          <t>https://law.anu.edu.au/current-students/professional-experience/community-law-clinic</t>
        </is>
      </c>
      <c r="G174" s="77" t="inlineStr">
        <is>
          <t>Law clinics are casework placements; no qualifying team project found in law, design or health.</t>
        </is>
      </c>
    </row>
    <row r="175">
      <c r="A175" s="77" t="inlineStr">
        <is>
          <t>AU05</t>
        </is>
      </c>
      <c r="B175" s="77" t="inlineStr">
        <is>
          <t>Monash</t>
        </is>
      </c>
      <c r="C175" s="77" t="inlineStr">
        <is>
          <t>Central provision</t>
        </is>
      </c>
      <c r="D175" s="77" t="inlineStr">
        <is>
          <t>Searched</t>
        </is>
      </c>
      <c r="E175" s="77" t="inlineStr">
        <is>
          <t>Monash Innovation Guarantee MON2750 industry partner team project; Monash careers employability work integrated learning industry projects university-wide students</t>
        </is>
      </c>
      <c r="F175" s="77" t="inlineStr">
        <is>
          <t>https://www.monash.edu/flagship-rich-experiences/mig/about-the-unit; https://www.monash.edu/careers/employers/connect/work-integrated-learning</t>
        </is>
      </c>
      <c r="G175" s="77" t="inlineStr">
        <is>
          <t>MIG is the university-wide flagship team industry challenge (UG and PG). Careers/WIL pages point to faculty provision.</t>
        </is>
      </c>
    </row>
    <row r="176">
      <c r="A176" s="77" t="inlineStr">
        <is>
          <t>AU05</t>
        </is>
      </c>
      <c r="B176" s="77" t="inlineStr">
        <is>
          <t>Monash</t>
        </is>
      </c>
      <c r="C176" s="77" t="inlineStr">
        <is>
          <t>Business/management</t>
        </is>
      </c>
      <c r="D176" s="77" t="inlineStr">
        <is>
          <t>Searched</t>
        </is>
      </c>
      <c r="E176" s="77" t="inlineStr">
        <is>
          <t>Monash Business School industry-based learning client project team unit</t>
        </is>
      </c>
      <c r="F176" s="77" t="inlineStr">
        <is>
          <t>https://www.monash.edu/business/current-students/work-integrated-learning/industry-consulting-projects</t>
        </is>
      </c>
      <c r="G176" s="77" t="inlineStr">
        <is>
          <t>Industry Consulting Projects: teams of up to 5 with real clients, UG and PG.</t>
        </is>
      </c>
    </row>
    <row r="177">
      <c r="A177" s="77" t="inlineStr">
        <is>
          <t>AU05</t>
        </is>
      </c>
      <c r="B177" s="77" t="inlineStr">
        <is>
          <t>Monash</t>
        </is>
      </c>
      <c r="C177" s="77" t="inlineStr">
        <is>
          <t>Engineering/computing</t>
        </is>
      </c>
      <c r="D177" s="77" t="inlineStr">
        <is>
          <t>Searched</t>
        </is>
      </c>
      <c r="E177" s="77" t="inlineStr">
        <is>
          <t>Monash engineering final year project industry partner team; Monash Industry Innovation Program IIP students team industry partner; Monash Faculty of IT industry experience project FIT5120; Monash IT industry-based learning IBL partners</t>
        </is>
      </c>
      <c r="F177" s="77" t="inlineStr">
        <is>
          <t>https://www.monash.edu/industry-innovation-program/students; https://www.monash.edu/it/industry-and-community/partnership-options</t>
        </is>
      </c>
      <c r="G177" s="77" t="inlineStr">
        <is>
          <t>IIP final-year industry projects (team unclear) and IT studio projects (team of 4-5, current status unclear); IBL is individual placement.</t>
        </is>
      </c>
    </row>
    <row r="178">
      <c r="A178" s="77" t="inlineStr">
        <is>
          <t>AU05</t>
        </is>
      </c>
      <c r="B178" s="77" t="inlineStr">
        <is>
          <t>Monash</t>
        </is>
      </c>
      <c r="C178" s="77" t="inlineStr">
        <is>
          <t>Science</t>
        </is>
      </c>
      <c r="D178" s="77" t="inlineStr">
        <is>
          <t>Searched</t>
        </is>
      </c>
      <c r="E178" s="77" t="inlineStr">
        <is>
          <t>Monash Science industry-based learning project team external partner unit SCI</t>
        </is>
      </c>
      <c r="F178" s="77" t="inlineStr">
        <is>
          <t>https://www.monash.edu/science/current-students/manage-your-science-studies/research-units</t>
        </is>
      </c>
      <c r="G178" s="77" t="inlineStr">
        <is>
          <t>Only optional industry-partner research project (SCI3990), Global Challenges project, and internships; group format unevidenced. MIG open to science students.</t>
        </is>
      </c>
    </row>
    <row r="179">
      <c r="A179" s="77" t="inlineStr">
        <is>
          <t>AU05</t>
        </is>
      </c>
      <c r="B179" s="77" t="inlineStr">
        <is>
          <t>Monash</t>
        </is>
      </c>
      <c r="C179" s="77" t="inlineStr">
        <is>
          <t>Arts/humanities/social sciences</t>
        </is>
      </c>
      <c r="D179" s="77" t="inlineStr">
        <is>
          <t>Searched</t>
        </is>
      </c>
      <c r="E179" s="77" t="inlineStr">
        <is>
          <t>Monash Arts social sciences community partner project unit students teams client report</t>
        </is>
      </c>
      <c r="F179" s="77" t="inlineStr">
        <is>
          <t>https://www.monash.edu/arts/research/partner-with-us/partnercollaborate</t>
        </is>
      </c>
      <c r="G179" s="77" t="inlineStr">
        <is>
          <t>No current Arts/Social Sciences unit pairing student teams with external clients found; only old Social Work handbook unit.</t>
        </is>
      </c>
    </row>
    <row r="180">
      <c r="A180" s="77" t="inlineStr">
        <is>
          <t>AU05</t>
        </is>
      </c>
      <c r="B180" s="77" t="inlineStr">
        <is>
          <t>Monash</t>
        </is>
      </c>
      <c r="C180" s="77" t="inlineStr">
        <is>
          <t>Other (law, health, design, architecture…)</t>
        </is>
      </c>
      <c r="D180" s="77" t="inlineStr">
        <is>
          <t>Searched</t>
        </is>
      </c>
      <c r="E180" s="77" t="inlineStr">
        <is>
          <t>Monash Art Design Architecture studio industry client collaborative project unit; Monash Law Medicine Nursing health interprofessional student team project external organisation unit</t>
        </is>
      </c>
      <c r="F180" s="77" t="inlineStr">
        <is>
          <t>https://handbook.monash.edu/2022/units/MDC5330; https://www.monash.edu/medicine/education/collaborative-practice</t>
        </is>
      </c>
      <c r="G180" s="77" t="inlineStr">
        <is>
          <t>Design collaborative studios mention industry issues (older handbook, no client evidence); health provision is interprofessional placement-based; nothing qualifying verified.</t>
        </is>
      </c>
    </row>
    <row r="181">
      <c r="A181" s="77" t="inlineStr">
        <is>
          <t>AU06</t>
        </is>
      </c>
      <c r="B181" s="77" t="inlineStr">
        <is>
          <t>Queensland</t>
        </is>
      </c>
      <c r="C181" s="77" t="inlineStr">
        <is>
          <t>Central provision</t>
        </is>
      </c>
      <c r="D181" s="77" t="inlineStr">
        <is>
          <t>Searched</t>
        </is>
      </c>
      <c r="E181" s="77" t="inlineStr">
        <is>
          <t>UQ Ventures industry challenge interdisciplinary student teams real problem; Ventures Industry Challenge 2026 teams industry partner pitch prize eligibility (extended); UQ Employability industry experience projects Practera teams host organisation brief (extended)</t>
        </is>
      </c>
      <c r="F181" s="77" t="inlineStr">
        <is>
          <t>https://ventures.uq.edu.au/industry-challenge; https://employability.uq.edu.au/practera-saiep-industry-experience-projects</t>
        </is>
      </c>
      <c r="G181" s="77" t="inlineStr">
        <is>
          <t>Two university-wide extracurricular routes: Ventures Industry Challenge (theme-partner competition; C unclear, 2026 partner internal) and Practera SAIEP 2-week virtual team projects with live employer briefs (qualifies). Other Ventures challenges not researched.</t>
        </is>
      </c>
    </row>
    <row r="182">
      <c r="A182" s="77" t="inlineStr">
        <is>
          <t>AU06</t>
        </is>
      </c>
      <c r="B182" s="77" t="inlineStr">
        <is>
          <t>Queensland</t>
        </is>
      </c>
      <c r="C182" s="77" t="inlineStr">
        <is>
          <t>Business/management</t>
        </is>
      </c>
      <c r="D182" s="77" t="inlineStr">
        <is>
          <t>Searched</t>
        </is>
      </c>
      <c r="E182" s="77" t="inlineStr">
        <is>
          <t>UQ Business School course consulting project client organisation student teams; BEL industry consulting project final year apply ... course code (extended); PBEL3000 Learning by Doing in a Disruptive World industry partner teams project (extended); UQ MBA industry projects teams client consulting 2026 MGTS7818 (extended); MGTS7820 Impact Academy ... (extended); UQ MBA Impact Academy project sponsors (extended); FINM4411 Team Project live problem industry government not-for-profit (extended); TIMS7334 Sustainability Strategy and Leadership Capstone course profile (fetched)</t>
        </is>
      </c>
      <c r="F182" s="77" t="inlineStr">
        <is>
          <t>https://bel.uq.edu.au/for-students/careers/wil/industry-project; https://programs-courses.uq.edu.au/course.html?course_code=PBEL3000; https://programs-courses.uq.edu.au/course.html?course_code=MGTS7820; https://course-profiles.uq.edu.au/course-profiles/MGTS7818-60293-7460; https://course-profiles.uq.edu.au/course-profiles/TIMS7334-62523-7660; https://course-profiles.uq.edu.au/course-profiles/FINM4411-60235-7460</t>
        </is>
      </c>
      <c r="G182" s="77" t="inlineStr">
        <is>
          <t>BEL Industry Consulting Project (RBUS3888/4888/7888, BSAN7215), PBEL3000 capstone and MBA Impact Academy 1 all qualify with current evidence; former MBA capstone MGTS7818 last evidenced 2024.</t>
        </is>
      </c>
    </row>
    <row r="183">
      <c r="A183" s="77" t="inlineStr">
        <is>
          <t>AU06</t>
        </is>
      </c>
      <c r="B183" s="77" t="inlineStr">
        <is>
          <t>Queensland</t>
        </is>
      </c>
      <c r="C183" s="77" t="inlineStr">
        <is>
          <t>Engineering/computing</t>
        </is>
      </c>
      <c r="D183" s="77" t="inlineStr">
        <is>
          <t>Searched</t>
        </is>
      </c>
      <c r="E183" s="77" t="inlineStr">
        <is>
          <t>EAIT industry partner capstone project student teams DECO3801 Design Computing Studio client; EAIT partner with students industry projects submit a project ... (extended); course profile students work in teams industry client real project brief ... engineering 2026; DECO3800 DECO3801 capstone project briefs industry partners clients (extended)</t>
        </is>
      </c>
      <c r="F183" s="77" t="inlineStr">
        <is>
          <t>https://programs-courses.uq.edu.au/course.html?course_code=DECO3801; https://www.eait.uq.edu.au/employability/industry-partnerships/data-science-and-cyber-security/master-of-data-science-capstone-project</t>
        </is>
      </c>
      <c r="G183" s="77" t="inlineStr">
        <is>
          <t>No qualifying group route with external client verified: DECO3801 team capstone uses student-proposed briefs; industry-partner projects found (Data Science capstone, BE/ME placement) are individual. Discipline-level engineering design courses not searched (budget exhausted).</t>
        </is>
      </c>
    </row>
    <row r="184">
      <c r="A184" s="77" t="inlineStr">
        <is>
          <t>AU06</t>
        </is>
      </c>
      <c r="B184" s="77" t="inlineStr">
        <is>
          <t>Queensland</t>
        </is>
      </c>
      <c r="C184" s="77" t="inlineStr">
        <is>
          <t>Science</t>
        </is>
      </c>
      <c r="D184" s="77" t="inlineStr">
        <is>
          <t>Searched</t>
        </is>
      </c>
      <c r="E184" s="77" t="inlineStr">
        <is>
          <t>UQ Faculty of Science student teams industry partner project course capstone real client</t>
        </is>
      </c>
      <c r="F184" s="77" t="inlineStr">
        <is>
          <t>https://programs-courses.uq.edu.au/course.html?course_code=DATA7901</t>
        </is>
      </c>
      <c r="G184" s="77" t="inlineStr">
        <is>
          <t>No Faculty of Science-owned team/external-client course surfaced; only the (individual-project) Data Science capstone and BEL/Business routes. Further Science instances not verified.</t>
        </is>
      </c>
    </row>
    <row r="185">
      <c r="A185" s="77" t="inlineStr">
        <is>
          <t>AU06</t>
        </is>
      </c>
      <c r="B185" s="77" t="inlineStr">
        <is>
          <t>Queensland</t>
        </is>
      </c>
      <c r="C185" s="77" t="inlineStr">
        <is>
          <t>Arts/humanities/social sciences</t>
        </is>
      </c>
      <c r="D185" s="77" t="inlineStr">
        <is>
          <t>Searched</t>
        </is>
      </c>
      <c r="E185" s="77" t="inlineStr">
        <is>
          <t>UQ HASS Faculty of Humanities Arts Social Sciences student team project external organisation client course</t>
        </is>
      </c>
      <c r="F185" s="77" t="inlineStr">
        <is>
          <t>https://hass.uq.edu.au/portfolio-projects; https://polsis.uq.edu.au/internshipfield-work</t>
        </is>
      </c>
      <c r="G185" s="77" t="inlineStr">
        <is>
          <t>Only individual internships (POLS3801, PHSS2000) and small student-led HASS Portfolio Projects found; no team project with external client verified.</t>
        </is>
      </c>
    </row>
    <row r="186">
      <c r="A186" s="77" t="inlineStr">
        <is>
          <t>AU06</t>
        </is>
      </c>
      <c r="B186" s="77" t="inlineStr">
        <is>
          <t>Queensland</t>
        </is>
      </c>
      <c r="C186" s="77" t="inlineStr">
        <is>
          <t>Other (law, health, design, architecture…)</t>
        </is>
      </c>
      <c r="D186" s="77" t="inlineStr">
        <is>
          <t>Searched</t>
        </is>
      </c>
      <c r="E186" s="77" t="inlineStr">
        <is>
          <t>UQ architecture design health law students team project community client partner course; HRSS4210 Health Sciences Research Project Service Development Action Learning 2026 ...</t>
        </is>
      </c>
      <c r="F186" s="77" t="inlineStr">
        <is>
          <t>https://course-profiles.uq.edu.au/course-profiles/HRSS4210-61790-7460; https://programs-courses.uq.edu.au/course.html?course_code=HRSS4210; https://programs-courses.uq.edu.au/course.html?course_code=ARCH3100</t>
        </is>
      </c>
      <c r="G186" s="77" t="inlineStr">
        <is>
          <t>HRSS4210 health team action-learning project (stakeholder client; partner type unclear) recorded; architecture studios (ARCH3100 client/critic presentations) are near-miss/unverified for group-with-external-client; no law route found.</t>
        </is>
      </c>
    </row>
    <row r="187">
      <c r="A187" s="77" t="inlineStr">
        <is>
          <t>AU09</t>
        </is>
      </c>
      <c r="B187" s="77" t="inlineStr">
        <is>
          <t>University of Technology Sydney</t>
        </is>
      </c>
      <c r="C187" s="77" t="inlineStr">
        <is>
          <t>Central provision</t>
        </is>
      </c>
      <c r="D187" s="77" t="inlineStr">
        <is>
          <t>Searched</t>
        </is>
      </c>
      <c r="E187" s="77" t="inlineStr">
        <is>
          <t>UTS transdisciplinary electives industry partner project students teams; UTS Shopfront community program student projects community organisations; TD Electives 2026 brochure UTS students teams industry partner challenge (extended); UTS TD electives partners project-based engagements challenge mentoring feedback (extended); "Reframing, Remixing, Reimagining Society" UTS handbook 2026 subject assessment group (extended); Transdisciplinary Electives at UTS who can enrol teams students from all faculties real-world challenge (extended); UTS TD elective subject "in teams" industry partner pitch final presentation transdisciplinary (extended)</t>
        </is>
      </c>
      <c r="F187" s="77" t="inlineStr">
        <is>
          <t>https://www.uts.edu.au/for-students/transdisciplinary-innovation/transdisciplinary-electives; https://www.uts.edu.au/about/faculties/transdisciplinary-school/partnerships/how-get-involved/project-based-engagements/td-electives; https://www.uts.edu.au/globalassets/sites/default/files/article/downloads/td-electives-2026-brochure.pdf; https://www.uts.edu.au/about/faculties/transdisciplinary-school/partnerships/how-get-involved/project-based-engagements/industry-innovation-project; https://www.uts.edu.au/globalassets/shared-media/documents/td-school/td-industry-innovation-project-2026-bcii-brochure.pdf; https://www.uts.edu.au/current-students/opportunities/community-and-leadership-programs/uts-shopfront/community-projects; https://coursehandbook.uts.edu.au/subject/2026/95010</t>
        </is>
      </c>
      <c r="G187" s="77" t="inlineStr">
        <is>
          <t>There are two central routes. The TD School runs Transdisciplinary Electives, a suite of 8 undergraduate electives, each built around a challenge co-designed with a named partner over three years. UTS Shopfront brokers community-organisation projects into coursework, where student teams act as consultants. The TD School also runs the Industry Innovation Project, a final-year partner project in the Bachelor of Creative Intelligence and Innovation (BCII).</t>
        </is>
      </c>
    </row>
    <row r="188">
      <c r="A188" s="77" t="inlineStr">
        <is>
          <t>AU09</t>
        </is>
      </c>
      <c r="B188" s="77" t="inlineStr">
        <is>
          <t>University of Technology Sydney</t>
        </is>
      </c>
      <c r="C188" s="77" t="inlineStr">
        <is>
          <t>Business/management</t>
        </is>
      </c>
      <c r="D188" s="77" t="inlineStr">
        <is>
          <t>Searched</t>
        </is>
      </c>
      <c r="E188" s="77" t="inlineStr">
        <is>
          <t>UTS Business School capstone subject client organisation student teams consulting project</t>
        </is>
      </c>
      <c r="F188" s="77" t="inlineStr">
        <is>
          <t>https://handbook.uts.edu.au/subjects/details/21698.html; https://www.uts.edu.au/about/faculties/business/partner-us/solve-your-business-challenges/experiential-learning-programs/strategic-design-studio</t>
        </is>
      </c>
      <c r="G188" s="77" t="inlineStr">
        <is>
          <t>Several Business School capstones surfaced (Managing for Social Impact 21698, Business Project: Marketing 24790, Applied Project in Marketing 24100, Business Analysis capstone 22319, Strategic Design Studio for EMBA), but only titles or search paraphrase were obtained; the 21698 handbook page fetched showed only 6cp. Not verifiable as current, so listed as evidence gaps.</t>
        </is>
      </c>
    </row>
    <row r="189">
      <c r="A189" s="77" t="inlineStr">
        <is>
          <t>AU09</t>
        </is>
      </c>
      <c r="B189" s="77" t="inlineStr">
        <is>
          <t>University of Technology Sydney</t>
        </is>
      </c>
      <c r="C189" s="77" t="inlineStr">
        <is>
          <t>Engineering/computing</t>
        </is>
      </c>
      <c r="D189" s="77" t="inlineStr">
        <is>
          <t>Searched</t>
        </is>
      </c>
      <c r="E189" s="77" t="inlineStr">
        <is>
          <t>UTS engineering IT capstone project industry client team subject handbook 2026; UTS design architecture law health students teams live client project studio (Software Development Studio result)</t>
        </is>
      </c>
      <c r="F189" s="77" t="inlineStr">
        <is>
          <t>https://www.uts.edu.au/current-students/current-students-information-faculty-engineering-and-it/undergraduate/industry-studio/software-development-studio; https://www.uts.edu.au/globalassets/sites/default/files/Student_guide_to_capstone_project.pdf</t>
        </is>
      </c>
      <c r="G189" s="77" t="inlineStr">
        <is>
          <t>Software Development Studio (page fetched) qualifies on A/B/C. FEIT engineering capstone 41030 allows industry projects but these are optional, supervisor-led and individual/group not separable; IT group capstones (e.g. 31280, 41004) found only as list entries.</t>
        </is>
      </c>
    </row>
    <row r="190">
      <c r="A190" s="77" t="inlineStr">
        <is>
          <t>AU09</t>
        </is>
      </c>
      <c r="B190" s="77" t="inlineStr">
        <is>
          <t>University of Technology Sydney</t>
        </is>
      </c>
      <c r="C190" s="77" t="inlineStr">
        <is>
          <t>Science</t>
        </is>
      </c>
      <c r="D190" s="77" t="inlineStr">
        <is>
          <t>Searched</t>
        </is>
      </c>
      <c r="E190" s="77" t="inlineStr">
        <is>
          <t>UTS Faculty of Science industry project subject students teams external partner</t>
        </is>
      </c>
      <c r="F190" s="77" t="inlineStr">
        <is>
          <t>https://uts.edu.au/about/faculty-science/our-industry-engagement/partnerships-and-collaborations/our-partners</t>
        </is>
      </c>
      <c r="G190" s="77" t="inlineStr">
        <is>
          <t>No current Faculty of Science team project subject with an external client found. A first-year Physical Modelling subject with CHOICE as external agent appeared only in a 2017 article (historical).</t>
        </is>
      </c>
    </row>
    <row r="191">
      <c r="A191" s="77" t="inlineStr">
        <is>
          <t>AU09</t>
        </is>
      </c>
      <c r="B191" s="77" t="inlineStr">
        <is>
          <t>University of Technology Sydney</t>
        </is>
      </c>
      <c r="C191" s="77" t="inlineStr">
        <is>
          <t>Arts/humanities/social sciences</t>
        </is>
      </c>
      <c r="D191" s="77" t="inlineStr">
        <is>
          <t>Searched</t>
        </is>
      </c>
      <c r="E191" s="77" t="inlineStr">
        <is>
          <t>UTS communication social sciences education students team project real client organisation subject; UTS Strategic Communication capstone subject real client group</t>
        </is>
      </c>
      <c r="F191" s="77" t="inlineStr">
        <is>
          <t>https://www.uts.edu.au/for-students/communication-and-social-sciences/strategic-communication; https://handbook.uts.edu.au/subjects/details/52677.html</t>
        </is>
      </c>
      <c r="G191" s="77" t="inlineStr">
        <is>
          <t>Strategic Communication capstone (page fetched) has real clients for a full semester but team format is not stated on the current page. SPS Professional Placement 52677 is an external-organisation project (80-100 hours) but placement-type with group format unevidenced. Education not surfaced.</t>
        </is>
      </c>
    </row>
    <row r="192">
      <c r="A192" s="77" t="inlineStr">
        <is>
          <t>AU09</t>
        </is>
      </c>
      <c r="B192" s="77" t="inlineStr">
        <is>
          <t>University of Technology Sydney</t>
        </is>
      </c>
      <c r="C192" s="77" t="inlineStr">
        <is>
          <t>Other (law, health, design, architecture…)</t>
        </is>
      </c>
      <c r="D192" s="77" t="inlineStr">
        <is>
          <t>Searched</t>
        </is>
      </c>
      <c r="E192" s="77" t="inlineStr">
        <is>
          <t>UTS design architecture law health students teams live client project studio</t>
        </is>
      </c>
      <c r="F192" s="77" t="inlineStr">
        <is>
          <t>https://www.uts.edu.au/for-students/current-students/managing-your-course/current-students-information-engineering-and-information-technology/undergraduate/industry-studio/mechanical-and-mechatronic-design; https://handbook.uts.edu.au/subjects/11376.html</t>
        </is>
      </c>
      <c r="G192" s="77" t="inlineStr">
        <is>
          <t>Design/architecture: Live Project 1 (11376) and Design Innovation Research Centre client projects found as snippets only. Mechanical and Mechatronic Design industry studio (teams of 4-6 with clients) found as a snippet. No law or health live-client team subject surfaced.</t>
        </is>
      </c>
    </row>
    <row r="193">
      <c r="A193" s="77" t="inlineStr">
        <is>
          <t>AU10</t>
        </is>
      </c>
      <c r="B193" s="77" t="inlineStr">
        <is>
          <t>RMIT</t>
        </is>
      </c>
      <c r="C193" s="77" t="inlineStr">
        <is>
          <t>Central provision</t>
        </is>
      </c>
      <c r="D193" s="77" t="inlineStr">
        <is>
          <t>Searched</t>
        </is>
      </c>
      <c r="E193" s="77" t="inlineStr">
        <is>
          <t>RMIT industry projects students teams real client brief course; RMIT Activator OR Industry Capstone OR Industry Studio students teams industry partner challenge university-wide; WebFetch what-is-wil</t>
        </is>
      </c>
      <c r="F193" s="77" t="inlineStr">
        <is>
          <t>https://www.rmit.edu.au/study-with-us/study-options/what-is-wil; https://www.rmit.edu.au/partner/hubs/activator/partnerships/cloud-innovation-centre/for-students</t>
        </is>
      </c>
      <c r="G193" s="77" t="inlineStr">
        <is>
          <t>RMIT WIL page describes industry-sponsored projects 'often in teams' but states requirements vary by course; no single university-wide project scheme found. Activator-run Cyber Ready CIC challenge is a lead only.</t>
        </is>
      </c>
    </row>
    <row r="194">
      <c r="A194" s="77" t="inlineStr">
        <is>
          <t>AU10</t>
        </is>
      </c>
      <c r="B194" s="77" t="inlineStr">
        <is>
          <t>RMIT</t>
        </is>
      </c>
      <c r="C194" s="77" t="inlineStr">
        <is>
          <t>Business/management</t>
        </is>
      </c>
      <c r="D194" s="77" t="inlineStr">
        <is>
          <t>Searched</t>
        </is>
      </c>
      <c r="E194" s="77" t="inlineStr">
        <is>
          <t>RMIT Business Industry Project course industry partner client team; WebFetch Bachelor of Business (Professional Practice) page; WebFetch College of Business and Law industry engagement page</t>
        </is>
      </c>
      <c r="F194" s="77" t="inlineStr">
        <is>
          <t>https://www.rmit.edu.au/study-with-us/levels-of-study/undergraduate-study/bachelor-degrees/bachelor-of-business-professional-practice-bp344; https://www.rmit.edu.au/about/schools-colleges/college-of-business-and-law/industry</t>
        </is>
      </c>
      <c r="G194" s="77" t="inlineStr">
        <is>
          <t>Impact Academy 1 (core in BBus Professional Practice) has teams on a live industry partner's client challenge; IPBP in Bachelor of Business has group Medibank/Red Cross challenges (2023 page).</t>
        </is>
      </c>
    </row>
    <row r="195">
      <c r="A195" s="77" t="inlineStr">
        <is>
          <t>AU10</t>
        </is>
      </c>
      <c r="B195" s="77" t="inlineStr">
        <is>
          <t>RMIT</t>
        </is>
      </c>
      <c r="C195" s="77" t="inlineStr">
        <is>
          <t>Engineering/computing</t>
        </is>
      </c>
      <c r="D195" s="77" t="inlineStr">
        <is>
          <t>Searched</t>
        </is>
      </c>
      <c r="E195" s="77" t="inlineStr">
        <is>
          <t>RMIT engineering capstone industry sponsored project teams industry partner 2026; RMIT computer science software engineering Capstone Computing Project industry client teams; WebFetch engineering capstone projects page; WebFetch software engineering teaching area page</t>
        </is>
      </c>
      <c r="F195" s="77" t="inlineStr">
        <is>
          <t>https://www.rmit.edu.au/about/schools-colleges/engineering/industry/engineering-capstone-projects; https://www.rmit.edu.au/students/student-life/events/2026/oct/engenius-engineering-capstone-showcase; https://www.rmit.edu.au/about/schools-colleges/computing-technologies/our-teaching-areas/software-engineering</t>
        </is>
      </c>
      <c r="G195" s="77" t="inlineStr">
        <is>
          <t>Industry-proposed year-long engineering capstones with WIL agreement and EnGenius showcase on 22 Oct 2026 (team size not stated); software engineering project with industry partner as client, performed in teams (undated).</t>
        </is>
      </c>
    </row>
    <row r="196">
      <c r="A196" s="77" t="inlineStr">
        <is>
          <t>AU10</t>
        </is>
      </c>
      <c r="B196" s="77" t="inlineStr">
        <is>
          <t>RMIT</t>
        </is>
      </c>
      <c r="C196" s="77" t="inlineStr">
        <is>
          <t>Science</t>
        </is>
      </c>
      <c r="D196" s="77" t="inlineStr">
        <is>
          <t>Searched</t>
        </is>
      </c>
      <c r="E196" s="77" t="inlineStr">
        <is>
          <t>RMIT School of Science students industry project team client applied science capstone placement; WebFetch Bachelor of Science bp350</t>
        </is>
      </c>
      <c r="F196" s="77" t="inlineStr">
        <is>
          <t>https://www.rmit.edu.au/study-with-us/levels-of-study/undergraduate-study/bachelor-degrees/bp350; http://titan.csit.rmit.edu.au/~e23005/capstone/capstone-client.pdf</t>
        </is>
      </c>
      <c r="G196" s="77" t="inlineStr">
        <is>
          <t>BSc capstone (WIL) page mentions industry challenges and capstone projects but gives no team/client detail in the portion read; COSC2408 client guide is 2018 and hosted on a student server.</t>
        </is>
      </c>
    </row>
    <row r="197">
      <c r="A197" s="77" t="inlineStr">
        <is>
          <t>AU10</t>
        </is>
      </c>
      <c r="B197" s="77" t="inlineStr">
        <is>
          <t>RMIT</t>
        </is>
      </c>
      <c r="C197" s="77" t="inlineStr">
        <is>
          <t>Arts/humanities/social sciences</t>
        </is>
      </c>
      <c r="D197" s="77" t="inlineStr">
        <is>
          <t>Searched</t>
        </is>
      </c>
      <c r="E197" s="77" t="inlineStr">
        <is>
          <t>RMIT Master of Communication or Social Sciences or Global Studies industry project client team capstone community organisation; RMIT public relations campaigns capstone commissioned by industry government community organisation partners; WebFetch Partnered projects (Media and Communication); WebFetch Bachelor of Professional Communication</t>
        </is>
      </c>
      <c r="F197" s="77" t="inlineStr">
        <is>
          <t>https://www.rmit.edu.au/about/schools-colleges/media-and-communication/industry/partnered-projects; http://www1.rmit.edu.au/courses/050367; https://www.rmit.edu.au/study-with-us/levels-of-study/undergraduate-study/bachelor-degrees/bachelor-of-professional-communication-bp354</t>
        </is>
      </c>
      <c r="G197" s="77" t="inlineStr">
        <is>
          <t>PR Campaigns/Capstone: teams deliver a campaign for a real client, capstones commissioned by industry/government/community partners (search extracts). Media partnered-projects page is generic with no teams/courses specified.</t>
        </is>
      </c>
    </row>
    <row r="198">
      <c r="A198" s="77" t="inlineStr">
        <is>
          <t>AU10</t>
        </is>
      </c>
      <c r="B198" s="77" t="inlineStr">
        <is>
          <t>RMIT</t>
        </is>
      </c>
      <c r="C198" s="77" t="inlineStr">
        <is>
          <t>Other (law, health, design, architecture…)</t>
        </is>
      </c>
      <c r="D198" s="77" t="inlineStr">
        <is>
          <t>Searched</t>
        </is>
      </c>
      <c r="E198" s="77" t="inlineStr">
        <is>
          <t>RMIT design architecture OR law OR health students team live client studio project community partner; WebFetch interdisciplinary-industry-project news (Associate Degree in Business)</t>
        </is>
      </c>
      <c r="F198" s="77" t="inlineStr">
        <is>
          <t>https://www.rmit.edu.au/about/schools-colleges/design/industry/partnered-projects; https://www.rmit.edu.au/news/next-in-teaching/2023/aug/interdisciplinary-industry-project</t>
        </is>
      </c>
      <c r="G198" s="77" t="inlineStr">
        <is>
          <t>Design/architecture/interior design live-client studios exist per search summaries but were not opened; law shows simulations only; no current health studio found. Vocational Associate Degree Buyer Behaviour cross-cluster client project (2023) recorded.</t>
        </is>
      </c>
    </row>
    <row r="199">
      <c r="A199" s="77" t="inlineStr">
        <is>
          <t>UK01</t>
        </is>
      </c>
      <c r="B199" s="77" t="inlineStr">
        <is>
          <t>Bath</t>
        </is>
      </c>
      <c r="C199" s="77" t="inlineStr">
        <is>
          <t>Central provision</t>
        </is>
      </c>
      <c r="D199" s="77" t="inlineStr">
        <is>
          <t>Searched</t>
        </is>
      </c>
      <c r="E199" s="77" t="inlineStr">
        <is>
          <t>Bath student consultancy live client project external organisation group; Bath careers employer challenge student teams 180 Degrees Consulting; Bath Big Team Challenge first week employer</t>
        </is>
      </c>
      <c r="F199" s="77" t="inlineStr">
        <is>
          <t>https://www.bath.ac.uk/guides/vertically-integrated-projects/; https://www.bath.ac.uk/case-studies/gaining-consulting-experience-while-studying-for-my-degree/</t>
        </is>
      </c>
      <c r="G199" s="77" t="inlineStr">
        <is>
          <t>VIP is the only university-wide scheme (C unclear); 180DC is a student society; Big Team Challenge is a short employer challenge evidenced only by search summary.</t>
        </is>
      </c>
    </row>
    <row r="200">
      <c r="A200" s="77" t="inlineStr">
        <is>
          <t>UK01</t>
        </is>
      </c>
      <c r="B200" s="77" t="inlineStr">
        <is>
          <t>Bath</t>
        </is>
      </c>
      <c r="C200" s="77" t="inlineStr">
        <is>
          <t>Business/management</t>
        </is>
      </c>
      <c r="D200" s="77" t="inlineStr">
        <is>
          <t>Searched</t>
        </is>
      </c>
      <c r="E200" s="77" t="inlineStr">
        <is>
          <t>School of Management Bath unit group consultancy project client organisation</t>
        </is>
      </c>
      <c r="F200" s="77" t="inlineStr">
        <is>
          <t>https://www.bath.ac.uk/campaigns/your-year-studying-a-school-of-management-msc/; https://www.bath.ac.uk/campaigns/work-with-our-postgraduate-students-on-a-consultancy-project/</t>
        </is>
      </c>
      <c r="G200" s="77" t="inlineStr">
        <is>
          <t>MSc Practice Track and six-week MSc Consulting Project are team client projects; MBA suite not opened.</t>
        </is>
      </c>
    </row>
    <row r="201">
      <c r="A201" s="77" t="inlineStr">
        <is>
          <t>UK01</t>
        </is>
      </c>
      <c r="B201" s="77" t="inlineStr">
        <is>
          <t>Bath</t>
        </is>
      </c>
      <c r="C201" s="77" t="inlineStr">
        <is>
          <t>Engineering/computing</t>
        </is>
      </c>
      <c r="D201" s="77" t="inlineStr">
        <is>
          <t>Searched</t>
        </is>
      </c>
      <c r="E201" s="77" t="inlineStr">
        <is>
          <t>Bath engineering group design project industry client sponsor unit catalogue; Bath Computer Science final year group project client industry</t>
        </is>
      </c>
      <c r="F201" s="77" t="inlineStr">
        <is>
          <t>https://www.bath.ac.uk/campaigns/partner-with-us-on-group-design-and-business-projects/; https://www.bath.ac.uk/campaigns/become-an-external-integrated-project-partner/</t>
        </is>
      </c>
      <c r="G201" s="77" t="inlineStr">
        <is>
          <t>MEng Group Design and Business Project with company briefs; EIP is individual; CS has no client group project found.</t>
        </is>
      </c>
    </row>
    <row r="202">
      <c r="A202" s="77" t="inlineStr">
        <is>
          <t>UK01</t>
        </is>
      </c>
      <c r="B202" s="77" t="inlineStr">
        <is>
          <t>Bath</t>
        </is>
      </c>
      <c r="C202" s="77" t="inlineStr">
        <is>
          <t>Science</t>
        </is>
      </c>
      <c r="D202" s="77" t="inlineStr">
        <is>
          <t>Searched</t>
        </is>
      </c>
      <c r="E202" s="77" t="inlineStr">
        <is>
          <t>Bath Chemistry OR Physics OR Mathematical Sciences OR Biology industrial project external partner students team</t>
        </is>
      </c>
      <c r="F202" s="77" t="inlineStr">
        <is>
          <t>https://www.bath.ac.uk/faculties/faculty-of-science/</t>
        </is>
      </c>
      <c r="G202" s="77" t="inlineStr">
        <is>
          <t>No taught team project with external partners found.</t>
        </is>
      </c>
    </row>
    <row r="203">
      <c r="A203" s="77" t="inlineStr">
        <is>
          <t>UK01</t>
        </is>
      </c>
      <c r="B203" s="77" t="inlineStr">
        <is>
          <t>Bath</t>
        </is>
      </c>
      <c r="C203" s="77" t="inlineStr">
        <is>
          <t>Arts/humanities/social sciences</t>
        </is>
      </c>
      <c r="D203" s="77" t="inlineStr">
        <is>
          <t>Searched</t>
        </is>
      </c>
      <c r="E203" s="77" t="inlineStr">
        <is>
          <t>Bath Social and Policy Sciences OR Psychology OR Education OR Politics consultancy project external organisation students</t>
        </is>
      </c>
      <c r="F203" s="77" t="inlineStr">
        <is>
          <t>https://www.bath.ac.uk/campaigns/consultancy-projects-solve-a-real-world-business-challenge-as-part-of-your-degree/</t>
        </is>
      </c>
      <c r="G203" s="77" t="inlineStr">
        <is>
          <t>PG consultancy projects in lieu of dissertation (Education, IR, Sport Management); group vs individual unclear.</t>
        </is>
      </c>
    </row>
    <row r="204">
      <c r="A204" s="77" t="inlineStr">
        <is>
          <t>UK01</t>
        </is>
      </c>
      <c r="B204" s="77" t="inlineStr">
        <is>
          <t>Bath</t>
        </is>
      </c>
      <c r="C204" s="77" t="inlineStr">
        <is>
          <t>Other (law, health, design, architecture…)</t>
        </is>
      </c>
      <c r="D204" s="77" t="inlineStr">
        <is>
          <t>Searched</t>
        </is>
      </c>
      <c r="E204" s="77" t="inlineStr">
        <is>
          <t>Bath Architecture civil engineering or pharmacy health students live project community client</t>
        </is>
      </c>
      <c r="F204" s="77" t="inlineStr">
        <is>
          <t>https://www.bath.ac.uk/campaigns/developing-design-solutions-with-architecture-and-civil-engineering-projects/</t>
        </is>
      </c>
      <c r="G204" s="77" t="inlineStr">
        <is>
          <t>Architecture/civil Ted Happold project is team-based on a real scenario but without evidenced external client; nothing for pharmacy/health.</t>
        </is>
      </c>
    </row>
    <row r="205">
      <c r="A205" s="77" t="inlineStr">
        <is>
          <t>UK02</t>
        </is>
      </c>
      <c r="B205" s="77" t="inlineStr">
        <is>
          <t>St Andrews</t>
        </is>
      </c>
      <c r="C205" s="77" t="inlineStr">
        <is>
          <t>Central provision</t>
        </is>
      </c>
      <c r="D205" s="77" t="inlineStr">
        <is>
          <t>Searched</t>
        </is>
      </c>
      <c r="E205" s="77" t="inlineStr">
        <is>
          <t>St Andrews Vertically Integrated Projects VIP external partner team credits 2026; St Andrews student consultancy project live client team; VIP projects external partner organisation company charity students team; Summer Team Enterprise Programme STEP St Andrews consulting project 2026; WebFetch VIP projects page; St Andrews Playfair pro bono consultancy students clients charities</t>
        </is>
      </c>
      <c r="F205" s="77" t="inlineStr">
        <is>
          <t>https://www.st-andrews.ac.uk/education/vip/students/; https://memos.wp.st-andrews.ac.uk/2026/04/15/applications-for-2026-2027-vip-modules-open-now/; https://www.st-andrews.ac.uk/education/handbook/step/; https://www.st-andrews.ac.uk/careers/career-options/sectors/business/</t>
        </is>
      </c>
      <c r="G205" s="77" t="inlineStr">
        <is>
          <t>VIP (cross-disciplinary credit-bearing research teams, current 2026/27) meets A and B but external involvement is project-specific and unevidenced at scheme level (C Unclear). STEP is a current group consulting programme but its clients are internal University units (C No). Playfair student-led pro bono consultancy noted but not researched.</t>
        </is>
      </c>
    </row>
    <row r="206">
      <c r="A206" s="77" t="inlineStr">
        <is>
          <t>UK02</t>
        </is>
      </c>
      <c r="B206" s="77" t="inlineStr">
        <is>
          <t>St Andrews</t>
        </is>
      </c>
      <c r="C206" s="77" t="inlineStr">
        <is>
          <t>Business/management</t>
        </is>
      </c>
      <c r="D206" s="77" t="inlineStr">
        <is>
          <t>Searched</t>
        </is>
      </c>
      <c r="E206" s="77" t="inlineStr">
        <is>
          <t>School of Management St Andrews consultancy project organisation students group MSc module; Management MSc St Andrews "consultancy projects" local organisations; WebFetch Management MSc page; St Andrews School of Management module consultancy project client organisation team MN</t>
        </is>
      </c>
      <c r="F206" s="77" t="inlineStr">
        <is>
          <t>https://www.st-andrews.ac.uk/subjects/management/management-msc/; https://archive.st-andrews.ac.uk/courses/2025-2026/pg/management-mlitt/</t>
        </is>
      </c>
      <c r="G206" s="77" t="inlineStr">
        <is>
          <t>Management MSc/MLitt pages advertise consultancy projects with local organisations but the underlying module, team structure and client role were not identified before the search budget ran out. Fetching the Management MSc page (2026-10-13) shows six compulsory modules and 15 options, none a named consultancy module, and no mention of group work.</t>
        </is>
      </c>
    </row>
    <row r="207">
      <c r="A207" s="77" t="inlineStr">
        <is>
          <t>UK02</t>
        </is>
      </c>
      <c r="B207" s="77" t="inlineStr">
        <is>
          <t>St Andrews</t>
        </is>
      </c>
      <c r="C207" s="77" t="inlineStr">
        <is>
          <t>Engineering/computing</t>
        </is>
      </c>
      <c r="D207" s="77" t="inlineStr">
        <is>
          <t>Searched</t>
        </is>
      </c>
      <c r="E207" s="77" t="inlineStr">
        <is>
          <t>CS3099 software engineering team project industry client Skyscanner St Andrews; Keeping Doors Open Experian Skyscanner CS3099 blog</t>
        </is>
      </c>
      <c r="F207" s="77" t="inlineStr">
        <is>
          <t>https://www.st-andrews.ac.uk/subjects/modules/catalogue/?code=CS3099; https://blogs.cs.st-andrews.ac.uk/csblog/2025/04/25/keeping-doors-open-connection-collaboration-and-opportunities/; https://info.cs.st-andrews.ac.uk/student-handbook/modules/</t>
        </is>
      </c>
      <c r="G207" s="77" t="inlineStr">
        <is>
          <t>CS3099 third-year software engineering team project (current 2026/27) has documented involvement of Experian and Skyscanner, but their role is not specified (C Unclear). St Andrews has no engineering school; computing only.</t>
        </is>
      </c>
    </row>
    <row r="208">
      <c r="A208" s="77" t="inlineStr">
        <is>
          <t>UK02</t>
        </is>
      </c>
      <c r="B208" s="77" t="inlineStr">
        <is>
          <t>St Andrews</t>
        </is>
      </c>
      <c r="C208" s="77" t="inlineStr">
        <is>
          <t>Science</t>
        </is>
      </c>
      <c r="D208" s="77" t="inlineStr">
        <is>
          <t>Searched</t>
        </is>
      </c>
      <c r="E208" s="77" t="inlineStr">
        <is>
          <t>St Andrews School of Biology OR Geography OR Physics OR Chemistry module group project external partner client</t>
        </is>
      </c>
      <c r="F208" s="77" t="inlineStr">
        <is>
          <t>https://www.st-andrews.ac.uk/subjects/biology/biology-mbiol/; https://www.st-andrews.ac.uk/subjects/chemistry/chemistry-mchem/</t>
        </is>
      </c>
      <c r="G208" s="77" t="inlineStr">
        <is>
          <t>No science module with a group project for an external client surfaced. Final-year projects are individual and run in research groups; Physics 1B has a group element with no outside partner; Biology MBiol placements may be external but are individual. VIP is the only team route.</t>
        </is>
      </c>
    </row>
    <row r="209">
      <c r="A209" s="77" t="inlineStr">
        <is>
          <t>UK02</t>
        </is>
      </c>
      <c r="B209" s="77" t="inlineStr">
        <is>
          <t>St Andrews</t>
        </is>
      </c>
      <c r="C209" s="77" t="inlineStr">
        <is>
          <t>Arts/humanities/social sciences</t>
        </is>
      </c>
      <c r="D209" s="77" t="inlineStr">
        <is>
          <t>Searched</t>
        </is>
      </c>
      <c r="E209" s="77" t="inlineStr">
        <is>
          <t>St Andrews Economics OR International Relations OR Psychology OR English group project external organisation client module</t>
        </is>
      </c>
      <c r="F209" s="77" t="inlineStr">
        <is>
          <t>https://www.st-andrews.ac.uk/subjects/international-relations/international-relations-ma/</t>
        </is>
      </c>
      <c r="G209" s="77" t="inlineStr">
        <is>
          <t>International Relations lists group projects as an assessment type but no external client is mentioned. No external-client module found in Economics, Psychology or English.</t>
        </is>
      </c>
    </row>
    <row r="210">
      <c r="A210" s="77" t="inlineStr">
        <is>
          <t>UK02</t>
        </is>
      </c>
      <c r="B210" s="77" t="inlineStr">
        <is>
          <t>St Andrews</t>
        </is>
      </c>
      <c r="C210" s="77" t="inlineStr">
        <is>
          <t>Other (law, health, design, architecture…)</t>
        </is>
      </c>
      <c r="D210" s="77" t="inlineStr">
        <is>
          <t>Searched</t>
        </is>
      </c>
      <c r="E210" s="77" t="inlineStr">
        <is>
          <t>St Andrews Medicine OR Divinity OR Law student project community partner team module</t>
        </is>
      </c>
      <c r="F210" s="77" t="inlineStr">
        <is>
          <t>https://www.st-andrews.ac.uk/subjects/medicine/scotgem-mbchb/</t>
        </is>
      </c>
      <c r="G210" s="77" t="inlineStr">
        <is>
          <t>ScotGEM MBChB has Agents of Change projects (voluntary sector placement, healthcare improvement); group structure and organisation role not described. Nothing found for Law or Divinity.</t>
        </is>
      </c>
    </row>
    <row r="211">
      <c r="A211" s="77" t="inlineStr">
        <is>
          <t>UK03</t>
        </is>
      </c>
      <c r="B211" s="77" t="inlineStr">
        <is>
          <t>Lancaster</t>
        </is>
      </c>
      <c r="C211" s="77" t="inlineStr">
        <is>
          <t>Central provision</t>
        </is>
      </c>
      <c r="D211" s="77" t="inlineStr">
        <is>
          <t>Searched</t>
        </is>
      </c>
      <c r="E211" s="77" t="inlineStr">
        <is>
          <t>Lancaster University student consultancy live client project team; Lancaster Award employability students activities eligibility; Lancaster University accessing student talent businesses student projects hackathon; Lancaster careers students team challenge employer project Lancaster Award; Management School Careers Service recognised work-related learning</t>
        </is>
      </c>
      <c r="F211" s="77" t="inlineStr">
        <is>
          <t>https://www.lancaster.ac.uk/study/why-lancaster/careers-and-employability/; https://www.lancaster.ac.uk/lums/careers/employers/company-projects/; https://www.lancaster.ac.uk/sci-tech/business/new-business-pages/for-businesses/accessing-student-talent/</t>
        </is>
      </c>
      <c r="G211" s="77" t="inlineStr">
        <is>
          <t>No university-wide group employer-project scheme found; Lancaster Award is a co-curricular recognition. Employer project provision is run through faculty/school units (LUMS Company Projects).</t>
        </is>
      </c>
    </row>
    <row r="212">
      <c r="A212" s="77" t="inlineStr">
        <is>
          <t>UK03</t>
        </is>
      </c>
      <c r="B212" s="77" t="inlineStr">
        <is>
          <t>Lancaster</t>
        </is>
      </c>
      <c r="C212" s="77" t="inlineStr">
        <is>
          <t>Business/management</t>
        </is>
      </c>
      <c r="D212" s="77" t="inlineStr">
        <is>
          <t>Searched</t>
        </is>
      </c>
      <c r="E212" s="77" t="inlineStr">
        <is>
          <t>Lancaster LUMS consultancy project module client organisation; LUMS company projects consultancy projects teams; Marketing BSc Research Consultancy Project; Human Resources and Consulting MA; Advanced Management Consulting and Change MSc; MBA consultancy challenge; Management MSc company-based project; Digital and Social Media Marketing MSc live client; LUMS hackathon Fujitsu Heathrow</t>
        </is>
      </c>
      <c r="F212" s="77" t="inlineStr">
        <is>
          <t>https://www.lancaster.ac.uk/lums/careers/students/consultancy-projects/; https://www.lancaster.ac.uk/lums/careers/employers/company-projects/; https://www.lancaster.ac.uk/study/postgraduate/postgraduate-courses/advanced-management-consulting-and-change-msc/2026/</t>
        </is>
      </c>
      <c r="G212" s="77" t="inlineStr">
        <is>
          <t>Dense, programme-embedded LUMS consultancy provision across UG Marketing, MBA and several MSc programmes, plus a 2026 two-day hackathon.</t>
        </is>
      </c>
    </row>
    <row r="213">
      <c r="A213" s="77" t="inlineStr">
        <is>
          <t>UK03</t>
        </is>
      </c>
      <c r="B213" s="77" t="inlineStr">
        <is>
          <t>Lancaster</t>
        </is>
      </c>
      <c r="C213" s="77" t="inlineStr">
        <is>
          <t>Engineering/computing</t>
        </is>
      </c>
      <c r="D213" s="77" t="inlineStr">
        <is>
          <t>Searched</t>
        </is>
      </c>
      <c r="E213" s="77" t="inlineStr">
        <is>
          <t>physics/engineering industrial group projects; SCC group project industry client; engineering group design project industry sponsor MEng; Software Design Studio Project III Live Studio</t>
        </is>
      </c>
      <c r="F213" s="77" t="inlineStr">
        <is>
          <t>https://www.lancaster.ac.uk/engineering/business/collaborating-with-our-students/; https://www.lancaster.ac.uk/study/course-information/modules/016901/</t>
        </is>
      </c>
      <c r="G213" s="77" t="inlineStr">
        <is>
          <t>MEng ENGR 445 industry group projects qualify; Software Engineering Studio III client status unclear; CS Year 2 group project excluded.</t>
        </is>
      </c>
    </row>
    <row r="214">
      <c r="A214" s="77" t="inlineStr">
        <is>
          <t>UK03</t>
        </is>
      </c>
      <c r="B214" s="77" t="inlineStr">
        <is>
          <t>Lancaster</t>
        </is>
      </c>
      <c r="C214" s="77" t="inlineStr">
        <is>
          <t>Science</t>
        </is>
      </c>
      <c r="D214" s="77" t="inlineStr">
        <is>
          <t>Searched</t>
        </is>
      </c>
      <c r="E214" s="77" t="inlineStr">
        <is>
          <t>Physics Industrial Group Projects; Lancaster Environment Centre team project external client; Mathematics and Statistics MSc Data Science industrial project; Science and Technology student engagement industrial projects</t>
        </is>
      </c>
      <c r="F214" s="77" t="inlineStr">
        <is>
          <t>https://www.lancaster.ac.uk/physics/business/student-engagement/industrial-group-projects/; https://www.lancaster.ac.uk/sci-tech/msc-data-science-apply-now/</t>
        </is>
      </c>
      <c r="G214" s="77" t="inlineStr">
        <is>
          <t>Physics Industrial Group Projects qualify; MSc Data Science Term 1 group project unclear; LEC/Chemistry not found beyond individual partner dissertations.</t>
        </is>
      </c>
    </row>
    <row r="215">
      <c r="A215" s="77" t="inlineStr">
        <is>
          <t>UK03</t>
        </is>
      </c>
      <c r="B215" s="77" t="inlineStr">
        <is>
          <t>Lancaster</t>
        </is>
      </c>
      <c r="C215" s="77" t="inlineStr">
        <is>
          <t>Arts/humanities/social sciences</t>
        </is>
      </c>
      <c r="D215" s="77" t="inlineStr">
        <is>
          <t>Searched</t>
        </is>
      </c>
      <c r="E215" s="77" t="inlineStr">
        <is>
          <t>Design BA live brief client; Design Consultancy module real client; FASS group project community organisation live brief; Criminology live project; Discovery module Global Challenges; Sustainability and Global Environmental Futures MA Applied Learning Studio</t>
        </is>
      </c>
      <c r="F215" s="77" t="inlineStr">
        <is>
          <t>https://www.lancaster.ac.uk/study/undergraduate/courses/design-ba-hons-w281/2026/; https://www.lancaster.ac.uk/study/postgraduate/postgraduate-courses/sustainability-and-global-environmental-futures-ma/2026/</t>
        </is>
      </c>
      <c r="G215" s="77" t="inlineStr">
        <is>
          <t>Design Consultancy qualifies; Sustainability MA studios unclear (external clients 'may'); Criminology live-project claim not verified; discovery module no external org.</t>
        </is>
      </c>
    </row>
    <row r="216">
      <c r="A216" s="77" t="inlineStr">
        <is>
          <t>UK03</t>
        </is>
      </c>
      <c r="B216" s="77" t="inlineStr">
        <is>
          <t>Lancaster</t>
        </is>
      </c>
      <c r="C216" s="77" t="inlineStr">
        <is>
          <t>Other (law, health, design, architecture…)</t>
        </is>
      </c>
      <c r="D216" s="77" t="inlineStr">
        <is>
          <t>Searched</t>
        </is>
      </c>
      <c r="E216" s="77" t="inlineStr">
        <is>
          <t>Law School pro bono clinic; Architecture BA second year client project</t>
        </is>
      </c>
      <c r="F216" s="77" t="inlineStr">
        <is>
          <t>https://www.lancaster.ac.uk/study/why-lancaster/law-clinics/; https://www.lancaster.ac.uk/study/undergraduate/courses/architecture-ba-hons-k100/2026/</t>
        </is>
      </c>
      <c r="G216" s="77" t="inlineStr">
        <is>
          <t>Law clinics serve members of the public (excluded); Architecture live client project found but group status unclear. Medicine/health not searched (search budget).</t>
        </is>
      </c>
    </row>
    <row r="217">
      <c r="A217" s="77" t="inlineStr">
        <is>
          <t>UK04</t>
        </is>
      </c>
      <c r="B217" s="77" t="inlineStr">
        <is>
          <t>Loughborough</t>
        </is>
      </c>
      <c r="C217" s="77" t="inlineStr">
        <is>
          <t>Central provision</t>
        </is>
      </c>
      <c r="D217" s="77" t="inlineStr">
        <is>
          <t>Searched</t>
        </is>
      </c>
      <c r="E217" s="77" t="inlineStr">
        <is>
          <t>Loughborough University student consultancy live client project team employer; Loughborough Personal Best award employer project challenge; Talent Match Consultancy Programme Loughborough; Loughborough Enterprise Network Challenge X OR Grand Challenge; Loughborough Careers Network employer challenge teams; Collaborate Sprint Loughborough University London; Loughborough Students' Union society consultancy OR Enactus</t>
        </is>
      </c>
      <c r="F217" s="77" t="inlineStr">
        <is>
          <t>https://www.lboro.ac.uk/internal/news/2026/august/talent-match-consultancy-applications/; https://www.lboro.ac.uk/news-events/news/2026/july/collaborative-project-show-london/; https://www.lboro.ac.uk/students/personal-best/award/</t>
        </is>
      </c>
      <c r="G217" s="77" t="inlineStr">
        <is>
          <t>Talent Match Consultancy Programme (2026) is the main central team-based live-client route; Personal Best is an award (excluded). London campus Collaborative Project is the main curricular route outside home departments.</t>
        </is>
      </c>
    </row>
    <row r="218">
      <c r="A218" s="77" t="inlineStr">
        <is>
          <t>UK04</t>
        </is>
      </c>
      <c r="B218" s="77" t="inlineStr">
        <is>
          <t>Loughborough</t>
        </is>
      </c>
      <c r="C218" s="77" t="inlineStr">
        <is>
          <t>Business/management</t>
        </is>
      </c>
      <c r="D218" s="77" t="inlineStr">
        <is>
          <t>Searched</t>
        </is>
      </c>
      <c r="E218" s="77" t="inlineStr">
        <is>
          <t>Loughborough Business School work with our students master's consultancy project MBA live project; MSc Management Industry Experience Project; Loughborough full-time MBA Consultancy Project; Industry Experience Project 2025/26 module specification; Industry Experience Project 2026 MSc Marketing; Loughborough undergraduate group project real client business school</t>
        </is>
      </c>
      <c r="F218" s="77" t="inlineStr">
        <is>
          <t>https://www.lboro.ac.uk/study/postgraduate/masters-degrees/a-z/management/; https://www.lboro.ac.uk/study/postgraduate/masters-degrees/full-time-mba/; https://www.lboro.ac.uk/schools/business-school/collaborate/work-with-our-students/</t>
        </is>
      </c>
      <c r="G218" s="77" t="inlineStr">
        <is>
          <t>PG taught Industry Experience Project (group, client company) across several MSc programmes and the MBA Consultancy Project; no undergraduate live-client group module verified (NatWest case was fictional). Current delivery undated.</t>
        </is>
      </c>
    </row>
    <row r="219">
      <c r="A219" s="77" t="inlineStr">
        <is>
          <t>UK04</t>
        </is>
      </c>
      <c r="B219" s="77" t="inlineStr">
        <is>
          <t>Loughborough</t>
        </is>
      </c>
      <c r="C219" s="77" t="inlineStr">
        <is>
          <t>Engineering/computing</t>
        </is>
      </c>
      <c r="D219" s="77" t="inlineStr">
        <is>
          <t>Searched</t>
        </is>
      </c>
      <c r="E219" s="77" t="inlineStr">
        <is>
          <t>Loughborough engineering group project industry partner Wolfson School; Wolfson School Industry Collaboration Programme; Wolfson School Teaching Contract Scheme; Computer Science Loughborough group project external client; Architecture Building Civil Engineering group project industry client; Cross School Design Week</t>
        </is>
      </c>
      <c r="F219" s="77" t="inlineStr">
        <is>
          <t>https://www.lboro.ac.uk/schools/meme/undergraduate/employability/recruiting-placement-students-benefit-business/wolfson-school-engagement-opportunities/; https://www.lboro.ac.uk/departments/abce/undergraduate/employability/design-weeks/</t>
        </is>
      </c>
      <c r="G219" s="77" t="inlineStr">
        <is>
          <t>Wolfson School Industry Collaboration Programme (company-set group projects) and ABCE Cross-School Design Weeks found; Computer Science group projects lack client evidence; EnerHy CDT team project with Cadent.</t>
        </is>
      </c>
    </row>
    <row r="220">
      <c r="A220" s="77" t="inlineStr">
        <is>
          <t>UK04</t>
        </is>
      </c>
      <c r="B220" s="77" t="inlineStr">
        <is>
          <t>Loughborough</t>
        </is>
      </c>
      <c r="C220" s="77" t="inlineStr">
        <is>
          <t>Science</t>
        </is>
      </c>
      <c r="D220" s="77" t="inlineStr">
        <is>
          <t>Searched</t>
        </is>
      </c>
      <c r="E220" s="77" t="inlineStr">
        <is>
          <t>Physics industry projects final year group project; Loughborough Physics Group Project NLA Blue IBM BEIS; arXiv Loughborough physics group project external partner; Loughborough Mathematical Sciences OR Chemistry OR Materials group project industry; Loughborough AI Challenge Camp 2026</t>
        </is>
      </c>
      <c r="F220" s="77" t="inlineStr">
        <is>
          <t>https://arxiv.org/html/2601.10219; https://www.lboro.ac.uk/departments/physics/undergraduate/careers-employability/industry-projects/</t>
        </is>
      </c>
      <c r="G220" s="77" t="inlineStr">
        <is>
          <t>Physics has year-3 and final-year group projects with external partners/stakeholders (strongest science route); no equivalent verified in Chemistry, Materials or Mathematics (individual projects). AI Challenge Camp 2026 is a short team event with mixed industry/academic partners.</t>
        </is>
      </c>
    </row>
    <row r="221">
      <c r="A221" s="77" t="inlineStr">
        <is>
          <t>UK04</t>
        </is>
      </c>
      <c r="B221" s="77" t="inlineStr">
        <is>
          <t>Loughborough</t>
        </is>
      </c>
      <c r="C221" s="77" t="inlineStr">
        <is>
          <t>Arts/humanities/social sciences</t>
        </is>
      </c>
      <c r="D221" s="77" t="inlineStr">
        <is>
          <t>Searched</t>
        </is>
      </c>
      <c r="E221" s="77" t="inlineStr">
        <is>
          <t>Loughborough School of Social Sciences and Humanities live client project; Loughborough Communication and Media OR Geography OR Politics client organisation group project</t>
        </is>
      </c>
      <c r="F221" s="77" t="inlineStr">
        <is>
          <t>https://www.lboro.ac.uk/study/postgraduate/masters-degrees/digital-media-communication/</t>
        </is>
      </c>
      <c r="G221" s="77" t="inlineStr">
        <is>
          <t>No team-based live-client module verified; Digital Media and Communication Workplace Focused Dissertation is individual (excluded). London Collaborative Project (S1) includes Media and Communication (London) MSc.</t>
        </is>
      </c>
    </row>
    <row r="222">
      <c r="A222" s="77" t="inlineStr">
        <is>
          <t>UK04</t>
        </is>
      </c>
      <c r="B222" s="77" t="inlineStr">
        <is>
          <t>Loughborough</t>
        </is>
      </c>
      <c r="C222" s="77" t="inlineStr">
        <is>
          <t>Other (law, health, design, architecture…)</t>
        </is>
      </c>
      <c r="D222" s="77" t="inlineStr">
        <is>
          <t>Searched</t>
        </is>
      </c>
      <c r="E222" s="77" t="inlineStr">
        <is>
          <t>Loughborough Design School final year industry sponsored project team; School of Design and Creative Arts engage with industry live projects; Design Week 2025 live briefs; User Experience Industry Project MSc; Industrial Design BA design sprint module; Loughborough Sport Exercise Health Sciences student consultancy</t>
        </is>
      </c>
      <c r="F222" s="77" t="inlineStr">
        <is>
          <t>https://sdcapgshow2023.lboro.ac.uk/industry-collaborations/user-experience-industry-project/; https://www.lboro.ac.uk/schools/design-creative-arts/whats-happening/news/2025/designweek2025bringingindustrytoourstudents/</t>
        </is>
      </c>
      <c r="G222" s="77" t="inlineStr">
        <is>
          <t>Design school has company-set live briefs (group status unclear for UG) and a compulsory team Industry Project on UX PG programmes; Sport/Health sciences: no team-based client module found (individual placements). Law not applicable (no law school).</t>
        </is>
      </c>
    </row>
    <row r="223">
      <c r="A223" s="77" t="inlineStr">
        <is>
          <t>UK05</t>
        </is>
      </c>
      <c r="B223" s="77" t="inlineStr">
        <is>
          <t>Aberdeen</t>
        </is>
      </c>
      <c r="C223" s="77" t="inlineStr">
        <is>
          <t>Central provision</t>
        </is>
      </c>
      <c r="D223" s="77" t="inlineStr">
        <is>
          <t>Searched</t>
        </is>
      </c>
      <c r="E223" s="77" t="inlineStr">
        <is>
          <t>University of Aberdeen students team project real client employer brief; PD2503 Work-Based Learning: Team Projects with Employer Partners catalogue assessment credit eligibility; "Team Projects with Employer Partners" Aberdeen project sponsor group report pitch 2025 2026; Aberdeen careers work experience in the curriculum courses open to any degree discipline team project employer 2026</t>
        </is>
      </c>
      <c r="F223" s="77" t="inlineStr">
        <is>
          <t>https://www.abdn.ac.uk/registry/courses/undergraduate/2025/professional_development/pd2503; https://www.abdn.ac.uk/careers/experience/placements-and-work-experience-and-in-the-curriculum/; https://www.abdn.ac.uk/staffnet/education/blog/forget-about-the-grades-why-feedback-is-key-to-workplace-readiness/; https://www.abdn.ac.uk/registry/courses/undergraduate/2024/education/ed3537; https://www.abdn.ac.uk/careers/skills-attributes/abdn-grad-challenge-1515.php; https://www.abdn.ac.uk/careers/experience/abdn-internships/</t>
        </is>
      </c>
      <c r="G223" s="77" t="inlineStr">
        <is>
          <t>Partly searched. Found PD2503 (Level 2 team projects with employer sponsors, open to any discipline, launched Jan 2025), ED3537 (Level 3 employer-led interdisciplinary group consultancy, 2023/24 catalogue) and the extracurricular ABDN Grad Challenge (virtual, employer-set challenges). Coverage is incomplete.</t>
        </is>
      </c>
    </row>
    <row r="224">
      <c r="A224" s="77" t="inlineStr">
        <is>
          <t>UK05</t>
        </is>
      </c>
      <c r="B224" s="77" t="inlineStr">
        <is>
          <t>Aberdeen</t>
        </is>
      </c>
      <c r="C224" s="77" t="inlineStr">
        <is>
          <t>Business/management</t>
        </is>
      </c>
      <c r="D224" s="77" t="inlineStr">
        <is>
          <t>Searched</t>
        </is>
      </c>
      <c r="E224" s="77" t="inlineStr">
        <is>
          <t>University of Aberdeen Business School student consultancy project client organisation course</t>
        </is>
      </c>
      <c r="F224" s="77" t="inlineStr">
        <is>
          <t>https://www.abdn.ac.uk/registry/courses/postgraduate/2025-2026/business_studies/bu503e; https://www.abdn.ac.uk/registry/courses/undergraduate/2024/education/ed3537</t>
        </is>
      </c>
      <c r="G224" s="77" t="inlineStr">
        <is>
          <t>Search found only older-catalogue PG consulting courses (BU593F company of own choice or case; BU5996 marketing project 2020-21; BU591L 2021-22) with no current, group, external-client evidence. Not recorded as schemes; listed in exclusions.</t>
        </is>
      </c>
    </row>
    <row r="225">
      <c r="A225" s="77" t="inlineStr">
        <is>
          <t>UK05</t>
        </is>
      </c>
      <c r="B225" s="77" t="inlineStr">
        <is>
          <t>Aberdeen</t>
        </is>
      </c>
      <c r="C225" s="77" t="inlineStr">
        <is>
          <t>Engineering/computing</t>
        </is>
      </c>
      <c r="D225" s="77" t="inlineStr">
        <is>
          <t>Searched</t>
        </is>
      </c>
      <c r="E225" s="77" t="inlineStr">
        <is>
          <t>(results from the general and curriculum queries above); WebFetch of ED251A and Computing Science employer page (page text)</t>
        </is>
      </c>
      <c r="F225" s="77" t="inlineStr">
        <is>
          <t>https://www.abdn.ac.uk/registry/courses/undergraduate/2025-2026/education/ed251a; https://www.abdn.ac.uk/staffnet/education/good-practice/other-learning--teaching-case-studies/employability/engineering-work-experience/; https://www.abdn.ac.uk/ncs/departments/computing-science/work-based-learning-course/collaborate-with-future-talent/; https://abdn.ac.uk/engineering/about/working-with-our-students-for-employers-710.php</t>
        </is>
      </c>
      <c r="G225" s="77" t="inlineStr">
        <is>
          <t>ED251A fetched (2025/26 catalogue): group consultancy project for a local engineering organisation. Computing Science Year 4 employer page fetched: supervises "a student" (team working not stated).</t>
        </is>
      </c>
    </row>
    <row r="226">
      <c r="A226" s="77" t="inlineStr">
        <is>
          <t>UK05</t>
        </is>
      </c>
      <c r="B226" s="77" t="inlineStr">
        <is>
          <t>Aberdeen</t>
        </is>
      </c>
      <c r="C226" s="77" t="inlineStr">
        <is>
          <t>Science</t>
        </is>
      </c>
      <c r="D226" s="77" t="inlineStr">
        <is>
          <t>Searched</t>
        </is>
      </c>
      <c r="E226" s="77" t="inlineStr">
        <is>
          <t>University of Aberdeen geosciences biological sciences student group project external partner industry</t>
        </is>
      </c>
      <c r="F226" s="77" t="inlineStr">
        <is>
          <t>https://www.abdn.ac.uk/study/undergraduate/degree-programmes/1115/F610/geoscience/</t>
        </is>
      </c>
      <c r="G226" s="77" t="inlineStr">
        <is>
          <t>No course-level group project with an external partner found; Geoscience page mentions group projects and some industry-based projects in general terms only. Evidence gap.</t>
        </is>
      </c>
    </row>
    <row r="227">
      <c r="A227" s="77" t="inlineStr">
        <is>
          <t>UK05</t>
        </is>
      </c>
      <c r="B227" s="77" t="inlineStr">
        <is>
          <t>Aberdeen</t>
        </is>
      </c>
      <c r="C227" s="77" t="inlineStr">
        <is>
          <t>Arts/humanities/social sciences</t>
        </is>
      </c>
      <c r="D227" s="77" t="inlineStr">
        <is>
          <t>Searched</t>
        </is>
      </c>
      <c r="E227" s="77" t="inlineStr">
        <is>
          <t>University of Aberdeen social sciences humanities students group project client community organisation course</t>
        </is>
      </c>
      <c r="F227" s="77" t="inlineStr">
        <is>
          <t>https://www.abdn.ac.uk/staffnet/education/good-practice/other-learning--teaching-case-studies/employability/business-community-engagement-and-student-learning/</t>
        </is>
      </c>
      <c r="G227" s="77" t="inlineStr">
        <is>
          <t>Found ED3536 Working Together: Employability for Arts &amp; Social Sciences (group project provided by a local business or charity), documented in a 2018-19 staff case study; current catalogue entry not checked.</t>
        </is>
      </c>
    </row>
    <row r="228">
      <c r="A228" s="77" t="inlineStr">
        <is>
          <t>UK05</t>
        </is>
      </c>
      <c r="B228" s="77" t="inlineStr">
        <is>
          <t>Aberdeen</t>
        </is>
      </c>
      <c r="C228" s="77" t="inlineStr">
        <is>
          <t>Other (law, health, design, architecture…)</t>
        </is>
      </c>
      <c r="D228" s="77" t="inlineStr">
        <is>
          <t>Searched</t>
        </is>
      </c>
      <c r="E228" s="77" t="inlineStr">
        <is>
          <t>University of Aberdeen law clinic OR medicine OR health sciences students team project external organisation</t>
        </is>
      </c>
      <c r="F228" s="77" t="inlineStr">
        <is>
          <t>https://www.abdn.ac.uk/law/why-us/student-activities/; https://www.abdn.ac.uk/smmsn/undergraduate/medicine/our-course/</t>
        </is>
      </c>
      <c r="G228" s="77" t="inlineStr">
        <is>
          <t>Aberdeen Law Project (student-run clinic, casework) and medicine SSC/electives found; none verified as a group project for an external client.</t>
        </is>
      </c>
    </row>
    <row r="229">
      <c r="A229" s="77" t="inlineStr">
        <is>
          <t>UK06</t>
        </is>
      </c>
      <c r="B229" s="77" t="inlineStr">
        <is>
          <t>Reading</t>
        </is>
      </c>
      <c r="C229" s="77" t="inlineStr">
        <is>
          <t>Central provision</t>
        </is>
      </c>
      <c r="D229" s="77" t="inlineStr">
        <is>
          <t>Searched</t>
        </is>
      </c>
      <c r="E229" s="77" t="inlineStr">
        <is>
          <t>University of Reading students team project real client organisation consultancy; Reading careers employer-led project team challenge students; Reading Careers employer project short-term students work in teams brief employer RED Awards Reading Internship Scheme alternative; Reading Students' Union / University of Reading enterprise challenge hackathon employer sponsored team students 2025</t>
        </is>
      </c>
      <c r="F229" s="77" t="inlineStr">
        <is>
          <t>https://www.reading.ac.uk/essentials/careers/employers/ris; https://www.reading.ac.uk/essentials/Careers/Gaining-experience/Work-Experience-Framework; https://www.henley.ac.uk/henley-enterprise-lab</t>
        </is>
      </c>
      <c r="G229" s="77" t="inlineStr">
        <is>
          <t>Central provision (RED Awards, Reading Internship Scheme, Henley Enterprise Lab) is individual, award-based or competition-based; no central employer team-project scheme found.</t>
        </is>
      </c>
    </row>
    <row r="230">
      <c r="A230" s="77" t="inlineStr">
        <is>
          <t>UK06</t>
        </is>
      </c>
      <c r="B230" s="77" t="inlineStr">
        <is>
          <t>Reading</t>
        </is>
      </c>
      <c r="C230" s="77" t="inlineStr">
        <is>
          <t>Business/management</t>
        </is>
      </c>
      <c r="D230" s="77" t="inlineStr">
        <is>
          <t>Searched</t>
        </is>
      </c>
      <c r="E230" s="77" t="inlineStr">
        <is>
          <t>Henley Business School consulting project live client module students teams; MMM161 module description assessment; MMM190 Management Consultancy Project; MMM194 Assembling Strategy; MQM3CSP Capstone Project; MQM2STC Strategic Technology Consulting; MMM163 Advanced Project; MM313A Applied Entrepreneurship A; MSc Real Estate industry challenge REMF56; Applied Marketing Project AD3APR; Henley undergraduate live client</t>
        </is>
      </c>
      <c r="F230" s="77" t="inlineStr">
        <is>
          <t>https://www.reading.ac.uk/modules/documents?acyear=2025%2F6&amp;modcode=MMM161&amp;schoolcode=HBS+DME+W%7CHBS+FIN+W%7CHBS+IBS+W%7CHBS+ICM+W%7CHBS+LOB+W%7CHBS+MGM+W%7CHBS+MKR+W%7CHBS+REP+W; https://www.reading.ac.uk/modules/documents?acyear=2025%2F6&amp;modcode=REMF56&amp;schoolcode=HBS+DME+W%7CHBS+FIN+W%7CHBS+IBS+W%7CHBS+ICM+W%7CHBS+LOB+W%7CHBS+MGM+W%7CHBS+MKR+W%7CHBS+REP+W; https://www.henley.ac.uk/study/masters/msc-management; https://www.henley.ac.uk/study/masters/msc-management-international-business</t>
        </is>
      </c>
      <c r="G230" s="77" t="inlineStr">
        <is>
          <t>Henley PG taught provision is the strongest area: MMM161 (host-entrepreneur consultancy) and REMF56 industry challenge qualify with 2025/6 evidence; MMM190/MMM194 and Executive MBA projects have employer links but incomplete evidence. No undergraduate live-client group route found.</t>
        </is>
      </c>
    </row>
    <row r="231">
      <c r="A231" s="77" t="inlineStr">
        <is>
          <t>UK06</t>
        </is>
      </c>
      <c r="B231" s="77" t="inlineStr">
        <is>
          <t>Reading</t>
        </is>
      </c>
      <c r="C231" s="77" t="inlineStr">
        <is>
          <t>Engineering/computing</t>
        </is>
      </c>
      <c r="D231" s="77" t="inlineStr">
        <is>
          <t>Searched</t>
        </is>
      </c>
      <c r="E231" s="77" t="inlineStr">
        <is>
          <t>Computer Science industry project team software client students final year Reading; software engineering group project request for proposal customer industry partner; CS3IP Degree Project team industry-sponsored; CE3CLP1 Construction Live Project; School of the Built Environment group project live client</t>
        </is>
      </c>
      <c r="F231" s="77" t="inlineStr">
        <is>
          <t>https://www.reading.ac.uk/modules/documents?acyear=2025/6&amp;modcode=CS3IP&amp;schoolcode=MPS+CS%7CMPS+MATHST%7CMPS+MET; https://www.reading.ac.uk/modules/documents?acyear=2024/5&amp;modcode=CE3CLP1&amp;schoolcode=BEN+ATC%7CBEN+CME</t>
        </is>
      </c>
      <c r="G231" s="77" t="inlineStr">
        <is>
          <t>Computer Science final-year project has no external client evidenced; Construction Live Project is a team build supported by partner contractor staff but no client brief evidenced.</t>
        </is>
      </c>
    </row>
    <row r="232">
      <c r="A232" s="77" t="inlineStr">
        <is>
          <t>UK06</t>
        </is>
      </c>
      <c r="B232" s="77" t="inlineStr">
        <is>
          <t>Reading</t>
        </is>
      </c>
      <c r="C232" s="77" t="inlineStr">
        <is>
          <t>Science</t>
        </is>
      </c>
      <c r="D232" s="77" t="inlineStr">
        <is>
          <t>Searched</t>
        </is>
      </c>
      <c r="E232" s="77" t="inlineStr">
        <is>
          <t>Reading science students group project industry partner brief module; food product development project industry partner students teams; New Product Development final year teams brief industry experts trade show; Agriculture farm business consultancy client report student group module; Environmental Consultancy module Reading BSc</t>
        </is>
      </c>
      <c r="F232" s="77" t="inlineStr">
        <is>
          <t>https://www.reading.ac.uk/ready-to-study/study/2026/food-and-nutrition-ug/bsc-food-technology-with-bioprocessing-with-industrial-training</t>
        </is>
      </c>
      <c r="G232" s="77" t="inlineStr">
        <is>
          <t>Food Technology New Product Development uses an industry-expert brief and team product but external organisation not identified; agriculture case-study teams only 2023/4 evidence. No chemistry, pharmacy, meteorology or biological sciences route found (limited searching).</t>
        </is>
      </c>
    </row>
    <row r="233">
      <c r="A233" s="77" t="inlineStr">
        <is>
          <t>UK06</t>
        </is>
      </c>
      <c r="B233" s="77" t="inlineStr">
        <is>
          <t>Reading</t>
        </is>
      </c>
      <c r="C233" s="77" t="inlineStr">
        <is>
          <t>Arts/humanities/social sciences</t>
        </is>
      </c>
      <c r="D233" s="77" t="inlineStr">
        <is>
          <t>Searched</t>
        </is>
      </c>
      <c r="E233" s="77" t="inlineStr">
        <is>
          <t>Reading Economics MSc capstone project team external client organisation; ECM200 Capstone Project 2025/6; Applied Research Project and Placement MSc Public Policy; Graphic Communication Typography live brief client; Typography Real Jobs scheme; Going Public archaeology module external partners; Psychology Clinical Language Sciences project external organisation; Geography Environmental Science consultancy project</t>
        </is>
      </c>
      <c r="F233" s="77" t="inlineStr">
        <is>
          <t>https://www.reading.ac.uk/modules/documents?acyear=2025/6&amp;modcode=ECM200&amp;schoolcode=PPE+ECO%7CPPE+GIPIS%7CPPE+PHIL%7CPPE+POL; https://www.reading.ac.uk/typography/work-with-us; https://www.reading.ac.uk/ready-to-study/study/2026/archaeology-ug/ba-archaeology-and-history</t>
        </is>
      </c>
      <c r="G233" s="77" t="inlineStr">
        <is>
          <t>Economics/PPE Capstone (ECM200) qualifies with 2025/6 evidence; Typography Real Jobs and History/Archaeology Going Public are leads with incomplete evidence.</t>
        </is>
      </c>
    </row>
    <row r="234">
      <c r="A234" s="77" t="inlineStr">
        <is>
          <t>UK06</t>
        </is>
      </c>
      <c r="B234" s="77" t="inlineStr">
        <is>
          <t>Reading</t>
        </is>
      </c>
      <c r="C234" s="77" t="inlineStr">
        <is>
          <t>Other (law, health, design, architecture…)</t>
        </is>
      </c>
      <c r="D234" s="77" t="inlineStr">
        <is>
          <t>Searched</t>
        </is>
      </c>
      <c r="E234" s="77" t="inlineStr">
        <is>
          <t>Reading School of Law pro bono clinic OR live client project; Archaeology heritage client group project module</t>
        </is>
      </c>
      <c r="F234" s="77" t="inlineStr">
        <is>
          <t>https://www.reading.ac.uk/law/undergraduate/co-curricular-activities-and-pro-bono-work</t>
        </is>
      </c>
      <c r="G234" s="77" t="inlineStr">
        <is>
          <t>Law clinics are individual pro bono/volunteering. Education, Pharmacy, Film/Theatre and Art not searched specifically.</t>
        </is>
      </c>
    </row>
    <row r="235">
      <c r="A235" s="77" t="inlineStr">
        <is>
          <t>UK07</t>
        </is>
      </c>
      <c r="B235" s="77" t="inlineStr">
        <is>
          <t>Surrey</t>
        </is>
      </c>
      <c r="C235" s="77" t="inlineStr">
        <is>
          <t>Central provision</t>
        </is>
      </c>
      <c r="D235" s="77" t="inlineStr">
        <is>
          <t>Searched</t>
        </is>
      </c>
      <c r="E235" s="77" t="inlineStr">
        <is>
          <t>University of Surrey student consultancy live client project employer challenge; Surrey Ready4Innovation Challenges IKEEP team of three students; Surrey Work with our students businesses student projects IKEEP Ready4Innovation; iTEK programme Surrey ERA Foundation; Surrey Hackathon17; Surrey careers employer-set challenge hackathon students teams; Surrey Mentoring and Professional Development project</t>
        </is>
      </c>
      <c r="F235" s="77" t="inlineStr">
        <is>
          <t>https://www.surrey.ac.uk/innovation/business-partners/work-our-students; https://www.surrey.ac.uk/news/itek-programme-funded-era-foundation</t>
        </is>
      </c>
      <c r="G235" s="77" t="inlineStr">
        <is>
          <t>No university-wide curricular employer project route found; central Student Enterprise runs IKEEP, iTEK and hackathons (extracurricular, status unclear). Professional Training placements are individual.</t>
        </is>
      </c>
    </row>
    <row r="236">
      <c r="A236" s="77" t="inlineStr">
        <is>
          <t>UK07</t>
        </is>
      </c>
      <c r="B236" s="77" t="inlineStr">
        <is>
          <t>Surrey</t>
        </is>
      </c>
      <c r="C236" s="77" t="inlineStr">
        <is>
          <t>Business/management</t>
        </is>
      </c>
      <c r="D236" s="77" t="inlineStr">
        <is>
          <t>Searched</t>
        </is>
      </c>
      <c r="E236" s="77" t="inlineStr">
        <is>
          <t>Surrey Business School Professional Training placements Business Solutions Consultancy; MANM448; MANM466; MAN3164; MANM488; MAN3213; MAN3136/MAN3245; MANM372/MANM363; Entrepreneurial experience built in; Dynamics of Business Consultancy; Digital Business Challenge; MANM468; Hospitality consultancy; Gatwick; MAN3251; B-Clinic</t>
        </is>
      </c>
      <c r="F236" s="77" t="inlineStr">
        <is>
          <t>https://catalogue.surrey.ac.uk/2025-6/module/MANM448/SEMR2/2; https://www.surrey.ac.uk/news/entrepreneurial-experience-built; https://catalogue.surrey.ac.uk/2026-7/module/MAN3213; https://catalogue.surrey.ac.uk/2025-6/module/MAN3164/SEMR2/2</t>
        </is>
      </c>
      <c r="G236" s="77" t="inlineStr">
        <is>
          <t>Dense, programme-embedded live-client team modules across MSc Management, MSc Entrepreneurship &amp; Innovation, MSc HRM and final-year hospitality/tourism, plus Applied Business Project and B-Clinic.</t>
        </is>
      </c>
    </row>
    <row r="237">
      <c r="A237" s="77" t="inlineStr">
        <is>
          <t>UK07</t>
        </is>
      </c>
      <c r="B237" s="77" t="inlineStr">
        <is>
          <t>Surrey</t>
        </is>
      </c>
      <c r="C237" s="77" t="inlineStr">
        <is>
          <t>Engineering/computing</t>
        </is>
      </c>
      <c r="D237" s="77" t="inlineStr">
        <is>
          <t>Searched</t>
        </is>
      </c>
      <c r="E237" s="77" t="inlineStr">
        <is>
          <t>Surrey Engineering Group Design Project industrial client; ENGM001 Multi-Disciplinary Design Project; ENGM307; ENGM321; COM3001; COM2027</t>
        </is>
      </c>
      <c r="F237" s="77" t="inlineStr">
        <is>
          <t>https://catalogue.surrey.ac.uk/2025-6/module/ENGM001/SEMR1/1R; https://catalogue.surrey.ac.uk/2025-6/module/ENGM307</t>
        </is>
      </c>
      <c r="G237" s="77" t="inlineStr">
        <is>
          <t>ENGM001 (MEng, industry visiting professors) qualifies; other group design/software projects have staff clients or only optional industrial partners.</t>
        </is>
      </c>
    </row>
    <row r="238">
      <c r="A238" s="77" t="inlineStr">
        <is>
          <t>UK07</t>
        </is>
      </c>
      <c r="B238" s="77" t="inlineStr">
        <is>
          <t>Surrey</t>
        </is>
      </c>
      <c r="C238" s="77" t="inlineStr">
        <is>
          <t>Science</t>
        </is>
      </c>
      <c r="D238" s="77" t="inlineStr">
        <is>
          <t>Searched</t>
        </is>
      </c>
      <c r="E238" s="77" t="inlineStr">
        <is>
          <t>Surrey biosciences chemistry physics mathematics students group project industry partner company brief module</t>
        </is>
      </c>
      <c r="F238" s="77" t="inlineStr">
        <is>
          <t>https://www.surrey.ac.uk/undergraduate/biochemistry</t>
        </is>
      </c>
      <c r="G238" s="77" t="inlineStr">
        <is>
          <t>Nothing qualifying verified; one biochemistry MSci industry-pitch lead unresolved.</t>
        </is>
      </c>
    </row>
    <row r="239">
      <c r="A239" s="77" t="inlineStr">
        <is>
          <t>UK07</t>
        </is>
      </c>
      <c r="B239" s="77" t="inlineStr">
        <is>
          <t>Surrey</t>
        </is>
      </c>
      <c r="C239" s="77" t="inlineStr">
        <is>
          <t>Arts/humanities/social sciences</t>
        </is>
      </c>
      <c r="D239" s="77" t="inlineStr">
        <is>
          <t>Searched</t>
        </is>
      </c>
      <c r="E239" s="77" t="inlineStr">
        <is>
          <t>Surrey students team consultancy social enterprise charity community client project module sociology politics law psychology; Surrey School of Literature and Languages Law Sociology Politics students project with external organisation</t>
        </is>
      </c>
      <c r="F239" s="77" t="inlineStr">
        <is>
          <t>https://surrey.ac.uk/faculty-arts-social-sciences/education/projects</t>
        </is>
      </c>
      <c r="G239" s="77" t="inlineStr">
        <is>
          <t>Only isolated law/teaching-fund pilots and placement/dissertation routes; no qualifying scheme verified.</t>
        </is>
      </c>
    </row>
    <row r="240">
      <c r="A240" s="77" t="inlineStr">
        <is>
          <t>UK07</t>
        </is>
      </c>
      <c r="B240" s="77" t="inlineStr">
        <is>
          <t>Surrey</t>
        </is>
      </c>
      <c r="C240" s="77" t="inlineStr">
        <is>
          <t>Other (law, health, design, architecture…)</t>
        </is>
      </c>
      <c r="D240" s="77" t="inlineStr">
        <is>
          <t>Searched</t>
        </is>
      </c>
      <c r="E240" s="77" t="inlineStr">
        <is>
          <t>Surrey Faculty of Health and Medical Sciences students interprofessional team project external organisation NHS charity live brief module; Hospitality, Tourism &amp; Events Consultancy project</t>
        </is>
      </c>
      <c r="F240" s="77" t="inlineStr">
        <is>
          <t>https://www.surrey.ac.uk/faculty-health-medical-sciences/international</t>
        </is>
      </c>
      <c r="G240" s="77" t="inlineStr">
        <is>
          <t>Hospitality/tourism consultancy sits in Business School (S5). Health: clinical placements and an FHMS hackathon only; no qualifying scheme verified.</t>
        </is>
      </c>
    </row>
    <row r="241">
      <c r="A241" s="77" t="inlineStr">
        <is>
          <t>UK08</t>
        </is>
      </c>
      <c r="B241" s="77" t="inlineStr">
        <is>
          <t>Sussex</t>
        </is>
      </c>
      <c r="C241" s="77" t="inlineStr">
        <is>
          <t>Central provision</t>
        </is>
      </c>
      <c r="D241" s="77" t="inlineStr">
        <is>
          <t>Searched</t>
        </is>
      </c>
      <c r="E241" s="77" t="inlineStr">
        <is>
          <t>Sussex student consultancy project real client team (site:sussex.ac.uk); Career Lab Student Consultancy Programme finalists postgraduates teams brief eligibility stipend 2026 (extended)</t>
        </is>
      </c>
      <c r="F241" s="77" t="inlineStr">
        <is>
          <t>https://student.sussex.ac.uk/careers/career-lab/student-consultancy; https://www.sussex.ac.uk/broadcast/read/71127; https://careerhub.sussex.ac.uk/docs/255/Hastings-Direct-Student-Consultancy-Case-Study.pdf</t>
        </is>
      </c>
      <c r="G241" s="77" t="inlineStr">
        <is>
          <t>Career Lab Student Consultancy Programme: final-year UG and taught PG students in multidisciplinary teams work 3-4 weeks on briefs set by external organisations and present to the client; three runs announced for 2026/27. Partially searched only (Connector Programme, Career Lab online internship and other central routes not re-tested).</t>
        </is>
      </c>
    </row>
    <row r="242">
      <c r="A242" s="77" t="inlineStr">
        <is>
          <t>UK08</t>
        </is>
      </c>
      <c r="B242" s="77" t="inlineStr">
        <is>
          <t>Sussex</t>
        </is>
      </c>
      <c r="C242" s="77" t="inlineStr">
        <is>
          <t>Business/management</t>
        </is>
      </c>
      <c r="D242" s="77" t="inlineStr">
        <is>
          <t>Searched</t>
        </is>
      </c>
      <c r="E242" s="77" t="inlineStr">
        <is>
          <t>Marketing Consultancy Project (Capstone) module 105316 client groups (extended); Sussex Business School Consultancy Project module 90902 organisation group report masters (extended); Management MSc Sussex 2026 consultancy project small groups business dissertation option (extended); guaranteed internships Business School Masters students work project Career Lab team (refused: budget exhausted)</t>
        </is>
      </c>
      <c r="F242" s="77" t="inlineStr">
        <is>
          <t>https://www.sussex.ac.uk/study/modules/undergraduate/2026/105316-marketing-consultancy-project-capstone; https://www.sussex.ac.uk/study/modules/postgraduate/2024/90902-consultancy-project; https://www.sussex.ac.uk/study/masters/courses/management-msc</t>
        </is>
      </c>
      <c r="G242" s="77" t="inlineStr">
        <is>
          <t>UG Marketing Consultancy Project (Capstone) is a team brief-based project but no external client evidenced (C unclear). PG Consultancy Project (111N1, 30 credits, summer) is a group live consultancy project with local organisations/businesses (Management MSc dissertation option); latest dated module page 2024/25. Partially searched only.</t>
        </is>
      </c>
    </row>
    <row r="243">
      <c r="A243" s="77" t="inlineStr">
        <is>
          <t>UK08</t>
        </is>
      </c>
      <c r="B243" s="77" t="inlineStr">
        <is>
          <t>Sussex</t>
        </is>
      </c>
      <c r="C243" s="77" t="inlineStr">
        <is>
          <t>Engineering/computing</t>
        </is>
      </c>
      <c r="D243" s="77" t="inlineStr">
        <is>
          <t>Searched</t>
        </is>
      </c>
      <c r="E243" s="77" t="inlineStr">
        <is>
          <t>Sussex Engineering and Informatics group project industry client module</t>
        </is>
      </c>
      <c r="F243" s="77" t="inlineStr">
        <is>
          <t>https://www.sussex.ac.uk/study/modules/undergraduate/2022/96501-meng-group-project</t>
        </is>
      </c>
      <c r="G243" s="77" t="inlineStr">
        <is>
          <t>MEng Group Project (45 credits, L7) is a multidisciplinary team project on an 'engineering challenge of industrial interest' in a 'mock industrial environment'; page (2022/23) names no external client. Not recorded as a scheme.</t>
        </is>
      </c>
    </row>
    <row r="244">
      <c r="A244" s="77" t="inlineStr">
        <is>
          <t>UK08</t>
        </is>
      </c>
      <c r="B244" s="77" t="inlineStr">
        <is>
          <t>Sussex</t>
        </is>
      </c>
      <c r="C244" s="77" t="inlineStr">
        <is>
          <t>Science</t>
        </is>
      </c>
      <c r="D244" s="77" t="inlineStr">
        <is>
          <t>Searched</t>
        </is>
      </c>
      <c r="E244" s="77" t="inlineStr">
        <is>
          <t>Sussex Life Sciences Physics Chemistry Mathematics group project external partner employer module</t>
        </is>
      </c>
      <c r="F244" s="77" t="inlineStr">
        <is>
          <t>https://www.sussex.ac.uk/study/masters/courses/physics-msc</t>
        </is>
      </c>
      <c r="G244" s="77" t="inlineStr">
        <is>
          <t>No science group project with a documented external client found; Physics MSc page's 'real-life challenge faced by an organisation' text matches the central Career Lab consultancy (S1). Chemistry Industrial Project untested.</t>
        </is>
      </c>
    </row>
    <row r="245">
      <c r="A245" s="77" t="inlineStr">
        <is>
          <t>UK08</t>
        </is>
      </c>
      <c r="B245" s="77" t="inlineStr">
        <is>
          <t>Sussex</t>
        </is>
      </c>
      <c r="C245" s="77" t="inlineStr">
        <is>
          <t>Arts/humanities/social sciences</t>
        </is>
      </c>
      <c r="D245" s="77" t="inlineStr">
        <is>
          <t>Searched</t>
        </is>
      </c>
      <c r="E245" s="77" t="inlineStr">
        <is>
          <t>Sussex Media Global Studies Psychology Education module live client community organisation group project</t>
        </is>
      </c>
      <c r="F245" s="77" t="inlineStr">
        <is>
          <t>https://www.sussex.ac.uk/study/masters/courses/media-and-cultural-studies-ma</t>
        </is>
      </c>
      <c r="G245" s="77" t="inlineStr">
        <is>
          <t>Media and Cultural Studies MA page quotes a real-life organisational challenge delivered to a client in a team; no module-level detail so treated as the central scheme S1 promoted in-programme. Community Media (2024) works with NGOs; group/client not verified.</t>
        </is>
      </c>
    </row>
    <row r="246">
      <c r="A246" s="77" t="inlineStr">
        <is>
          <t>UK08</t>
        </is>
      </c>
      <c r="B246" s="77" t="inlineStr">
        <is>
          <t>Sussex</t>
        </is>
      </c>
      <c r="C246" s="77" t="inlineStr">
        <is>
          <t>Other (law, health, design, architecture…)</t>
        </is>
      </c>
      <c r="D246" s="77" t="inlineStr">
        <is>
          <t>Searched</t>
        </is>
      </c>
      <c r="E246" s="77" t="inlineStr">
        <is>
          <t>Sussex Law School clinic OR Brighton and Sussex Medical School OR IDS student project external organisation</t>
        </is>
      </c>
      <c r="F246" s="77" t="inlineStr">
        <is>
          <t>https://www.sussex.ac.uk/schools/law-politics-and-sociology/study/law-clinics</t>
        </is>
      </c>
      <c r="G246" s="77" t="inlineStr">
        <is>
          <t>Law Clinics (third-year Clinical Legal Education) serve public/charities with external solicitors; advice casework, group project format not evidenced. Nothing found for BSMS/IDS.</t>
        </is>
      </c>
    </row>
    <row r="247">
      <c r="A247" s="77" t="inlineStr">
        <is>
          <t>UK09</t>
        </is>
      </c>
      <c r="B247" s="77" t="inlineStr">
        <is>
          <t>Leicester</t>
        </is>
      </c>
      <c r="C247" s="77" t="inlineStr">
        <is>
          <t>Central provision</t>
        </is>
      </c>
      <c r="D247" s="77" t="inlineStr">
        <is>
          <t>Searched</t>
        </is>
      </c>
      <c r="E247" s="77" t="inlineStr">
        <is>
          <t>University of Leicester 100 hours work-related learning guarantee employer-informed projects; Leicester employer-led project module students work in groups real business brief; Leicester employer toolkit summer consultancy challenge live brief; Leicester Award Gold employability students activities employers projects; Leicester Undergraduate Project Engineers Innovation Hub students projects for businesses</t>
        </is>
      </c>
      <c r="F247" s="77" t="inlineStr">
        <is>
          <t>https://le.ac.uk/study/undergraduates/careers/100-hours; https://le.ac.uk/study/undergraduates/careers/the-leicester-award; https://le.ac.uk/enterprise/recruit-our-students/toolkit</t>
        </is>
      </c>
      <c r="G247" s="77" t="inlineStr">
        <is>
          <t>University-wide 100-hour work-related learning guarantee (from 2026/27) and Leicester Award are frameworks, not specific group client projects; employer toolkit offers consultancy challenges but no delivery evidence. No central group live-client scheme verified.</t>
        </is>
      </c>
    </row>
    <row r="248">
      <c r="A248" s="77" t="inlineStr">
        <is>
          <t>UK09</t>
        </is>
      </c>
      <c r="B248" s="77" t="inlineStr">
        <is>
          <t>Leicester</t>
        </is>
      </c>
      <c r="C248" s="77" t="inlineStr">
        <is>
          <t>Business/management</t>
        </is>
      </c>
      <c r="D248" s="77" t="inlineStr">
        <is>
          <t>Searched</t>
        </is>
      </c>
      <c r="E248" s="77" t="inlineStr">
        <is>
          <t>Leicester Castle Business School live client project module teams consultancy; Leicester Consultancy Challenge module business students client organisation; Leicester School of Business MSc Management business project with company; Leicester AI Agentic Solutions in Business Project EMPAIP; Leicester EMPAIP AI business project students teams</t>
        </is>
      </c>
      <c r="F248" s="77" t="inlineStr">
        <is>
          <t>https://le.ac.uk/news/2026/september/businesses-university-leicester-students-ai-economy; https://le.ac.uk/school-of-business/news/events/business-consultancy-competition</t>
        </is>
      </c>
      <c r="G248" s="77" t="inlineStr">
        <is>
          <t>Consultancy Challenge (MK2105) content unverified; new employer-brief AI project (EMPAIP) forthcoming, group format unknown; consultancy competition is a simulation.</t>
        </is>
      </c>
    </row>
    <row r="249">
      <c r="A249" s="77" t="inlineStr">
        <is>
          <t>UK09</t>
        </is>
      </c>
      <c r="B249" s="77" t="inlineStr">
        <is>
          <t>Leicester</t>
        </is>
      </c>
      <c r="C249" s="77" t="inlineStr">
        <is>
          <t>Engineering/computing</t>
        </is>
      </c>
      <c r="D249" s="77" t="inlineStr">
        <is>
          <t>Searched</t>
        </is>
      </c>
      <c r="E249" s="77" t="inlineStr">
        <is>
          <t>Leicester engineering group design project industrial partner client; Leicester Computer Science BSc second year team project commissioned by a real client; Leicester Software Engineering Projects module CO2201 external client; Leicester Mechanical Engineering MEng group project industrial partner; Leicester Space Science and Engineering MSc major project Phase A</t>
        </is>
      </c>
      <c r="F249" s="77" t="inlineStr">
        <is>
          <t>https://le.ac.uk/computing-and-mathematical-sciences/services-for-business/student-projects; https://le.ac.uk/courses/computer-science-bsc/2027; https://le.ac.uk/courses/space-science-and-engineering-msc/2027</t>
        </is>
      </c>
      <c r="G249" s="77" t="inlineStr">
        <is>
          <t>Second-year software engineering team projects for external clients and the Space MSc industry-supplied Phase A team project are strong routes; engineering MEng group project has only occasional industrial input.</t>
        </is>
      </c>
    </row>
    <row r="250">
      <c r="A250" s="77" t="inlineStr">
        <is>
          <t>UK09</t>
        </is>
      </c>
      <c r="B250" s="77" t="inlineStr">
        <is>
          <t>Leicester</t>
        </is>
      </c>
      <c r="C250" s="77" t="inlineStr">
        <is>
          <t>Science</t>
        </is>
      </c>
      <c r="D250" s="77" t="inlineStr">
        <is>
          <t>Searched</t>
        </is>
      </c>
      <c r="E250" s="77" t="inlineStr">
        <is>
          <t>Leicester computing mathematical sciences student projects Industrial Mathematics; Leicester Industrial Mathematics module MA3 credits; Leicester geography geology biological sciences chemistry group project external client; Leicester Sustainability Enterprise Partnership Project; Green Gown Tomorrow's Employees Leicester sustainability advisors; NT3100 Sustainable Enterprise Partnership Project 2025/26; Leicester physics astronomy industry partner group; Leicester Physics MPhys ten-week group research project industrial partners</t>
        </is>
      </c>
      <c r="F250" s="77" t="inlineStr">
        <is>
          <t>https://le.ac.uk/news/2024/july/green-gown; https://le.ac.uk/about/making-a-difference/sdgs/climate-change; https://le.ac.uk/courses/physics-mphys/2027</t>
        </is>
      </c>
      <c r="G250" s="77" t="inlineStr">
        <is>
          <t>SEPP (NT3100) is a group audit for partner SMEs with 2025/26 delivery evidence; Industrial Mathematics Project is a group project for industrial partners (status unclear); Physics MPhys has a group industrial project option.</t>
        </is>
      </c>
    </row>
    <row r="251">
      <c r="A251" s="77" t="inlineStr">
        <is>
          <t>UK09</t>
        </is>
      </c>
      <c r="B251" s="77" t="inlineStr">
        <is>
          <t>Leicester</t>
        </is>
      </c>
      <c r="C251" s="77" t="inlineStr">
        <is>
          <t>Arts/humanities/social sciences</t>
        </is>
      </c>
      <c r="D251" s="77" t="inlineStr">
        <is>
          <t>Searched</t>
        </is>
      </c>
      <c r="E251" s="77" t="inlineStr">
        <is>
          <t>Leicester Client Led Media Production module NHS client brief; Leicester Media and Communication BA Client Led Media Production 2025/26; Leicester Client Led Media Production students groups film client LPT; Leicester criminology sociology politics education history module community organisation; Leicester Live Sociology module community fieldwork partner organisations</t>
        </is>
      </c>
      <c r="F251" s="77" t="inlineStr">
        <is>
          <t>https://le.ac.uk/news/2023/july/nhs-media; https://le.ac.uk/news/2025/april/media-journalism-prestigious-employability-awards</t>
        </is>
      </c>
      <c r="G251" s="77" t="inlineStr">
        <is>
          <t>Client Led Media Production has a documented NHS trust client; team structure not stated. Live Sociology community projects lack external-organisation and group evidence. History/education/archaeology not individually covered by a dedicated search.</t>
        </is>
      </c>
    </row>
    <row r="252">
      <c r="A252" s="77" t="inlineStr">
        <is>
          <t>UK09</t>
        </is>
      </c>
      <c r="B252" s="77" t="inlineStr">
        <is>
          <t>Leicester</t>
        </is>
      </c>
      <c r="C252" s="77" t="inlineStr">
        <is>
          <t>Other (law, health, design, architecture…)</t>
        </is>
      </c>
      <c r="D252" s="77" t="inlineStr">
        <is>
          <t>Searched</t>
        </is>
      </c>
      <c r="E252" s="77" t="inlineStr">
        <is>
          <t>Leicester Law School pro bono clinic students real clients group project; Law in Practice Legal Advice Clinic Community projects module; Leicester pharmacy psychology nursing medicine students project partner organisation team</t>
        </is>
      </c>
      <c r="F252" s="77" t="inlineStr">
        <is>
          <t>https://le.ac.uk/engagement/case-studies/legal-advice; https://le.ac.uk/law/study/careers/pro-bono</t>
        </is>
      </c>
      <c r="G252" s="77" t="inlineStr">
        <is>
          <t>Legal Advice Clinic is individual client casework; Pro Bono Society is extracurricular volunteering; health shows interprofessional simulation only. No qualifying group client project verified.</t>
        </is>
      </c>
    </row>
    <row r="253">
      <c r="A253" s="77" t="inlineStr">
        <is>
          <t>UK10</t>
        </is>
      </c>
      <c r="B253" s="77" t="inlineStr">
        <is>
          <t>Strathclyde</t>
        </is>
      </c>
      <c r="C253" s="77" t="inlineStr">
        <is>
          <t>Central provision</t>
        </is>
      </c>
      <c r="D253" s="77" t="inlineStr">
        <is>
          <t>Searched</t>
        </is>
      </c>
      <c r="E253" s="77" t="inlineStr">
        <is>
          <t>Strathclyde Vertically Integrated Projects for Sustainable Development credit teams external partner; VIP4SD our projects partners; employability opportunities students work on projects for employers teams challenge programme; Careers Service employer challenge sponsored project brief; Exploring Entrepreneurship Challenge; Strathclyde Solutions Exchange</t>
        </is>
      </c>
      <c r="F253" s="77" t="inlineStr">
        <is>
          <t>https://www.strath.ac.uk/studywithus/verticallyintegratedprojectsforsustainabledevelopment/abouttheprogramme/; https://www.strath.ac.uk/whystrathclyde/employability/employabilityopportunities/; https://www.strath.ac.uk/workwithus/strathclydesolutionsexchange/</t>
        </is>
      </c>
      <c r="G253" s="77" t="inlineStr">
        <is>
          <t>Central provision is VIP4SD (credit-bearing multi-year teams, partner role unclear). Entrepreneurship challenges, Solutions Exchange and Careers employer pages tested and excluded.</t>
        </is>
      </c>
    </row>
    <row r="254">
      <c r="A254" s="77" t="inlineStr">
        <is>
          <t>UK10</t>
        </is>
      </c>
      <c r="B254" s="77" t="inlineStr">
        <is>
          <t>Strathclyde</t>
        </is>
      </c>
      <c r="C254" s="77" t="inlineStr">
        <is>
          <t>Business/management</t>
        </is>
      </c>
      <c r="D254" s="77" t="inlineStr">
        <is>
          <t>Searched</t>
        </is>
      </c>
      <c r="E254" s="77" t="inlineStr">
        <is>
          <t>Strathclyde Hunter Centre student consultancy live client; Strathclyde Business School MSc consultancy project client organisation teams; Consultancy in Practice module; MSc Business Analysis &amp; Consulting experiential learning; Business School newsletter March 2026 BEBA; SBS student projects engage with our students; BA Business Analysis &amp; Technology live consultancy; Marketing Works; Management Development Programme; Management Science IDeA</t>
        </is>
      </c>
      <c r="F254" s="77" t="inlineStr">
        <is>
          <t>https://www.strath.ac.uk/courses/postgraduatetaught/businessanalysisconsulting/; https://www.sbs.strath.ac.uk/newsletter/2026-03/also-in-the-news/; https://www.strath.ac.uk/business/marketing/industrylinks/; https://www.strath.ac.uk/business/undergraduate/managementdevelopmentprogramme/</t>
        </is>
      </c>
      <c r="G254" s="77" t="inlineStr">
        <is>
          <t>Dense client-project provision in Strathclyde Business School: BEBA (current, 2026 dated), BA Business Analysis &amp; Technology team consultancy, Marketing Works, Consultancy in Practice, MDP (unclear); most pages undated.</t>
        </is>
      </c>
    </row>
    <row r="255">
      <c r="A255" s="77" t="inlineStr">
        <is>
          <t>UK10</t>
        </is>
      </c>
      <c r="B255" s="77" t="inlineStr">
        <is>
          <t>Strathclyde</t>
        </is>
      </c>
      <c r="C255" s="77" t="inlineStr">
        <is>
          <t>Engineering/computing</t>
        </is>
      </c>
      <c r="D255" s="77" t="inlineStr">
        <is>
          <t>Searched</t>
        </is>
      </c>
      <c r="E255" s="77" t="inlineStr">
        <is>
          <t>Strathclyde engineering group project industry sponsor client; computer science software engineering team project external client; Product Design Engineering industry-sponsored; DMEM Industrial Group Project; MSc Civil Engineering Group Design Project; DMEM IGP Presentation Day 2025; Mechanical and Aerospace PG handbook 2025/26; MSc Systems Engineering Management</t>
        </is>
      </c>
      <c r="F255" s="77" t="inlineStr">
        <is>
          <t>https://www.strath.ac.uk/engineering/designmanufacturingengineeringmanagement/workingwithbusinessorganisations/interestedinparticipatingindmemsindustrialgroupprojects/; https://pureportal.strath.ac.uk/en/activities/dmem-industrial-group-projects-igp-presentation-day-2025/; https://www.strath.ac.uk/courses/postgraduatetaught/civilengineering/</t>
        </is>
      </c>
      <c r="G255" s="77" t="inlineStr">
        <is>
          <t>DMEM Industrial Group Projects (client-set briefs, team allocation, 2025 presentation day) is the principal route; MSc Civil Engineering industry-mentored group design project also qualifies (currency unclear). Computing and mechanical group projects lack external-client evidence.</t>
        </is>
      </c>
    </row>
    <row r="256">
      <c r="A256" s="77" t="inlineStr">
        <is>
          <t>UK10</t>
        </is>
      </c>
      <c r="B256" s="77" t="inlineStr">
        <is>
          <t>Strathclyde</t>
        </is>
      </c>
      <c r="C256" s="77" t="inlineStr">
        <is>
          <t>Science</t>
        </is>
      </c>
      <c r="D256" s="77" t="inlineStr">
        <is>
          <t>Searched</t>
        </is>
      </c>
      <c r="E256" s="77" t="inlineStr">
        <is>
          <t>physics chemistry mathematics statistics team project industry partner client MSc; Mathematics and Statistics group project external organisation; SIPBS pharmacy biomedical student team project external organisation</t>
        </is>
      </c>
      <c r="F256" s="77" t="inlineStr">
        <is>
          <t>https://www.strath.ac.uk/science/mathematicsstatistics/smart/; https://www.strath.ac.uk/studywithus/verticallyintegratedprojectsforsustainabledevelopment/previousprojects/drugdiscovery/</t>
        </is>
      </c>
      <c r="G256" s="77" t="inlineStr">
        <is>
          <t>No team-based external-client route found; SMART MSc summer projects are individual. Science students participate through VIP4SD (e.g. Drug Discovery team).</t>
        </is>
      </c>
    </row>
    <row r="257">
      <c r="A257" s="77" t="inlineStr">
        <is>
          <t>UK10</t>
        </is>
      </c>
      <c r="B257" s="77" t="inlineStr">
        <is>
          <t>Strathclyde</t>
        </is>
      </c>
      <c r="C257" s="77" t="inlineStr">
        <is>
          <t>Arts/humanities/social sciences</t>
        </is>
      </c>
      <c r="D257" s="77" t="inlineStr">
        <is>
          <t>Searched</t>
        </is>
      </c>
      <c r="E257" s="77" t="inlineStr">
        <is>
          <t>Humanities Social Sciences group project external organisation client consultancy module; Architecture OR Journalism OR Politics live project community client; Psychological Sciences / Education group project partner organisation</t>
        </is>
      </c>
      <c r="F257" s="77" t="inlineStr">
        <is>
          <t>https://www.strath.ac.uk/humanities/engagewithus/consultancy/; https://www.strath.ac.uk/humanities/departmentofhumanities/journalism/</t>
        </is>
      </c>
      <c r="G257" s="77" t="inlineStr">
        <is>
          <t>No verified student group client-project module in HaSS; faculty consultancy is staff-led. Journalism and Politics pages show guest speakers/practice teaching only.</t>
        </is>
      </c>
    </row>
    <row r="258">
      <c r="A258" s="77" t="inlineStr">
        <is>
          <t>UK10</t>
        </is>
      </c>
      <c r="B258" s="77" t="inlineStr">
        <is>
          <t>Strathclyde</t>
        </is>
      </c>
      <c r="C258" s="77" t="inlineStr">
        <is>
          <t>Other (law, health, design, architecture…)</t>
        </is>
      </c>
      <c r="D258" s="77" t="inlineStr">
        <is>
          <t>Searched</t>
        </is>
      </c>
      <c r="E258" s="77" t="inlineStr">
        <is>
          <t>Strathclyde Law Clinic students teams clients; Architecture Individual &amp; Industrial Group Projects live projects; Strathclyde Solutions Exchange</t>
        </is>
      </c>
      <c r="F258" s="77" t="inlineStr">
        <is>
          <t>https://www.strath.ac.uk/humanities/lawschool/lawclinic/; https://www.strath.ac.uk/engineering/architecture/workingwithbusinessorganisations/individualindustrialgroupprojects/</t>
        </is>
      </c>
      <c r="G258" s="77" t="inlineStr">
        <is>
          <t>Law Clinic serves individual members of the public (excluded). Architecture live-project scheme found but group/individual split unclear. Education, health and design partly covered only via VIP4SD.</t>
        </is>
      </c>
    </row>
    <row r="259">
      <c r="A259" s="77" t="inlineStr">
        <is>
          <t>UK11</t>
        </is>
      </c>
      <c r="B259" s="77" t="inlineStr">
        <is>
          <t>Heriot-Watt</t>
        </is>
      </c>
      <c r="C259" s="77" t="inlineStr">
        <is>
          <t>Central provision</t>
        </is>
      </c>
      <c r="D259" s="77" t="inlineStr">
        <is>
          <t>Searched</t>
        </is>
      </c>
      <c r="E259" s="77" t="inlineStr">
        <is>
          <t>Heriot-Watt students team project industry client brief; Heriot-Watt Careers employer challenge students work in teams real business problem</t>
        </is>
      </c>
      <c r="F259" s="77" t="inlineStr">
        <is>
          <t>https://www.hw.ac.uk/news/2025/global-innovation-challenge-2025-celebrates-heriot-watts-next-generation-of-founders; https://www.hw.ac.uk/document-library/recruitment-pack.pdf; https://www.hw.ac.uk/research-enterprise/innovation/global-innovation-challenge</t>
        </is>
      </c>
      <c r="G259" s="77" t="inlineStr">
        <is>
          <t>Only partially searched. Central provision found is the Global Innovation Challenge (student/alumni venture competition, founder-led, no client brief) and Careers micro-placements (two-week placements); no central team employer-project scheme found in two searches. (No further central searches this round.)</t>
        </is>
      </c>
    </row>
    <row r="260">
      <c r="A260" s="77" t="inlineStr">
        <is>
          <t>UK11</t>
        </is>
      </c>
      <c r="B260" s="77" t="inlineStr">
        <is>
          <t>Heriot-Watt</t>
        </is>
      </c>
      <c r="C260" s="77" t="inlineStr">
        <is>
          <t>Business/management</t>
        </is>
      </c>
      <c r="D260" s="77" t="inlineStr">
        <is>
          <t>Searched</t>
        </is>
      </c>
      <c r="E260" s="77" t="inlineStr">
        <is>
          <t>Edinburgh Business School Heriot-Watt consultancy project organisation group students course; Curriculum Explorer Heriot-Watt "Consultancy Project" business course group client (extended); Heriot-Watt Edinburgh Business School consultancy project live client students team; WebFetch hw.ac.uk/ebs/study; WebFetch MSc IBM page</t>
        </is>
      </c>
      <c r="F260" s="77" t="inlineStr">
        <is>
          <t>https://www.hw.ac.uk/study/postgraduate/international-business-management; https://www.hw.ac.uk/ebs/study</t>
        </is>
      </c>
      <c r="G260" s="77" t="inlineStr">
        <is>
          <t>MSc IBM 'company consultancy project' page (fetched) does not state group/individual or external client; the programme listing shows only a mandatory Dissertation. EBS study page lists a 'Consultancy Bootcamp' and 'business partnerships' with no detail on teams or clients.</t>
        </is>
      </c>
    </row>
    <row r="261">
      <c r="A261" s="77" t="inlineStr">
        <is>
          <t>UK11</t>
        </is>
      </c>
      <c r="B261" s="77" t="inlineStr">
        <is>
          <t>Heriot-Watt</t>
        </is>
      </c>
      <c r="C261" s="77" t="inlineStr">
        <is>
          <t>Engineering/computing</t>
        </is>
      </c>
      <c r="D261" s="77" t="inlineStr">
        <is>
          <t>Searched</t>
        </is>
      </c>
      <c r="E261" s="77" t="inlineStr">
        <is>
          <t>Heriot-Watt students team project industry client brief (results covered engineering/MACS); Heriot-Watt software engineering group project industry client MACS</t>
        </is>
      </c>
      <c r="F261" s="77" t="inlineStr">
        <is>
          <t>https://researchportal.hw.ac.uk/en/publications/multidisciplinary-engineering-final-year-project-approaches-and-r/; https://curriculum.hw.ac.uk/coursedetails/B39VS?termcode=202223; https://projects.hw.ac.uk/Proposals/Index</t>
        </is>
      </c>
      <c r="G261" s="77" t="inlineStr">
        <is>
          <t>MACS search found only the project proposal system and an MSc Software Engineering project that 'in some cases' involves an outside organisation (individual dissertation). No verified employer-linked group route beyond S1/S2 leads.</t>
        </is>
      </c>
    </row>
    <row r="262">
      <c r="A262" s="77" t="inlineStr">
        <is>
          <t>UK11</t>
        </is>
      </c>
      <c r="B262" s="77" t="inlineStr">
        <is>
          <t>Heriot-Watt</t>
        </is>
      </c>
      <c r="C262" s="77" t="inlineStr">
        <is>
          <t>Science</t>
        </is>
      </c>
      <c r="D262" s="77" t="inlineStr">
        <is>
          <t>Searched</t>
        </is>
      </c>
      <c r="E262" s="77" t="inlineStr">
        <is>
          <t>Heriot-Watt chemistry OR physics OR mathematics OR actuarial students industry project team</t>
        </is>
      </c>
      <c r="F262" s="77" t="inlineStr">
        <is>
          <t>https://www.hw.ac.uk/study/undergraduate/actuarial-science; https://actuarialchallenge.site.hw.ac.uk/</t>
        </is>
      </c>
      <c r="G262" s="77" t="inlineStr">
        <is>
          <t>Actuarial/maths: year-long industrial-training placements (individual) and dissertations; Actuarial Challenge is a school competition (Dubai); nothing on chemistry/physics. No qualifying group client project found.</t>
        </is>
      </c>
    </row>
    <row r="263">
      <c r="A263" s="77" t="inlineStr">
        <is>
          <t>UK11</t>
        </is>
      </c>
      <c r="B263" s="77" t="inlineStr">
        <is>
          <t>Heriot-Watt</t>
        </is>
      </c>
      <c r="C263" s="77" t="inlineStr">
        <is>
          <t>Arts/humanities/social sciences</t>
        </is>
      </c>
      <c r="D263" s="77" t="inlineStr">
        <is>
          <t>Searched</t>
        </is>
      </c>
      <c r="E263" s="77" t="inlineStr">
        <is>
          <t>Heriot-Watt psychology OR languages OR social sciences students project external organisation client group</t>
        </is>
      </c>
      <c r="F263" s="77" t="inlineStr">
        <is>
          <t>https://www.hw.ac.uk/about/our-schools/social-sciences/languages-and-intercultural-studies/industry-links-professional-bodies-societies-and-clubs</t>
        </is>
      </c>
      <c r="G263" s="77" t="inlineStr">
        <is>
          <t>Only industry links (e.g. EC interpretation directorate cooperation) and individual psychology dissertations surfaced; no client group project found.</t>
        </is>
      </c>
    </row>
    <row r="264">
      <c r="A264" s="77" t="inlineStr">
        <is>
          <t>UK11</t>
        </is>
      </c>
      <c r="B264" s="77" t="inlineStr">
        <is>
          <t>Heriot-Watt</t>
        </is>
      </c>
      <c r="C264" s="77" t="inlineStr">
        <is>
          <t>Other (law, health, design, architecture…)</t>
        </is>
      </c>
      <c r="D264" s="77" t="inlineStr">
        <is>
          <t>Searched</t>
        </is>
      </c>
      <c r="E264" s="77" t="inlineStr">
        <is>
          <t>Heriot-Watt School of Textiles and Design live brief industry partner students; WebFetch BA Design for Textiles and BA Fashion Branding and Promotion pages</t>
        </is>
      </c>
      <c r="F264" s="77" t="inlineStr">
        <is>
          <t>https://www.hw.ac.uk/study/undergraduate/design-for-textiles-fashion-interior-art; https://www.hw.ac.uk/study/undergraduate/fashion-branding-and-promotion</t>
        </is>
      </c>
      <c r="G264" s="77" t="inlineStr">
        <is>
          <t>Textiles and Design programme pages describe live industry projects (named brands) and a Year 3 collaborative industry project option; group format and standard external-client coverage not stated. Architecture/built environment not searched in depth.</t>
        </is>
      </c>
    </row>
    <row r="265">
      <c r="A265" s="77" t="inlineStr">
        <is>
          <t>UK12</t>
        </is>
      </c>
      <c r="B265" s="77" t="inlineStr">
        <is>
          <t>East Anglia</t>
        </is>
      </c>
      <c r="C265" s="77" t="inlineStr">
        <is>
          <t>Central provision</t>
        </is>
      </c>
      <c r="D265" s="77" t="inlineStr">
        <is>
          <t>Searched</t>
        </is>
      </c>
      <c r="E265" s="77" t="inlineStr">
        <is>
          <t>UEA student consultancy live client project module; UEA CareerCentral employer project students team challenge employer-set brief; UEA Employer Opportunities Expression of Interest live briefs live group projects; UEA i-Teams Access Entrepreneurship and Innovation student teams; UEA i-Teams 12 weeks teams industry mentors Norwich Research Park; UEA launches Master's degrees with guaranteed placement year provision industry projects; UEA Master's with a placement year structured industry projects small groups</t>
        </is>
      </c>
      <c r="F265" s="77" t="inlineStr">
        <is>
          <t>https://mycareercentral.uea.ac.uk/Form.aspx?id=2319836; https://www.uea.ac.uk/web/business/access-entrepreneurship-and-innovation/i-teams; https://www.uea.ac.uk/study/postgraduate/masters-with-placement</t>
        </is>
      </c>
      <c r="G265" s="77" t="inlineStr">
        <is>
          <t>Central employer 'live briefs' offer (umbrella only, no named modules), the i-Teams postgraduate programme (extracurricular, partly internal innovations) and a new cross-faculty Master's placement-year route with small-group industry projects (announced). UEA Award is an employability award (excluded).</t>
        </is>
      </c>
    </row>
    <row r="266">
      <c r="A266" s="77" t="inlineStr">
        <is>
          <t>UK12</t>
        </is>
      </c>
      <c r="B266" s="77" t="inlineStr">
        <is>
          <t>East Anglia</t>
        </is>
      </c>
      <c r="C266" s="77" t="inlineStr">
        <is>
          <t>Business/management</t>
        </is>
      </c>
      <c r="D266" s="77" t="inlineStr">
        <is>
          <t>Searched</t>
        </is>
      </c>
      <c r="E266" s="77" t="inlineStr">
        <is>
          <t>UEA Norwich Business School MBA group consultancy project external client; UEA Business Management live marketing brief Adnams; UEA Collaborate with Norwich Business School student projects live briefs; UEA MSc Project Management live project client; UEA MSc Business Management industry sponsored project; UEA BA Business Management final year Applied Business Project / Business Consultancy</t>
        </is>
      </c>
      <c r="F266" s="77" t="inlineStr">
        <is>
          <t>https://www.uea.ac.uk/course/postgraduate/mba-master-of-business-administration-executive-part-time; https://www.uea.ac.uk/course/undergraduate/ba-business-management; https://www.uea.ac.uk/course/postgraduate/msc-business-management</t>
        </is>
      </c>
      <c r="G266" s="77" t="inlineStr">
        <is>
          <t>Executive MBA group consultancy with external client is the clearest qualifying route; full-time MBA live projects, BA Business Management live briefs and MSc industry-sponsored projects are evidenced only at course-page level.</t>
        </is>
      </c>
    </row>
    <row r="267">
      <c r="A267" s="77" t="inlineStr">
        <is>
          <t>UK12</t>
        </is>
      </c>
      <c r="B267" s="77" t="inlineStr">
        <is>
          <t>East Anglia</t>
        </is>
      </c>
      <c r="C267" s="77" t="inlineStr">
        <is>
          <t>Engineering/computing</t>
        </is>
      </c>
      <c r="D267" s="77" t="inlineStr">
        <is>
          <t>Searched</t>
        </is>
      </c>
      <c r="E267" s="77" t="inlineStr">
        <is>
          <t>UEA Mechanical Engineering group project real brief industry client; UEA MEng engineering group project module industry client consultants; UEA Engineering group project module industry brief site visit; MEng Mechanical Engineering UEA final year engineering group project real brief; UEA Computing Sciences final year group project industry client; UEA MComp Computing Science group project industry or commerce</t>
        </is>
      </c>
      <c r="F267" s="77" t="inlineStr">
        <is>
          <t>https://www.uea.ac.uk/course/undergraduate/meng-mechanical-engineering; https://www.uea.ac.uk/course/undergraduate/meng-energy-engineering; https://www.uea.ac.uk/course/undergraduate/mcomp-computing-science</t>
        </is>
      </c>
      <c r="G267" s="77" t="inlineStr">
        <is>
          <t>MEng final-year group project is typically built on an industry client brief with site visit and presentation to professional engineers; MComp group project is split between research-group and industry problems.</t>
        </is>
      </c>
    </row>
    <row r="268">
      <c r="A268" s="77" t="inlineStr">
        <is>
          <t>UK12</t>
        </is>
      </c>
      <c r="B268" s="77" t="inlineStr">
        <is>
          <t>East Anglia</t>
        </is>
      </c>
      <c r="C268" s="77" t="inlineStr">
        <is>
          <t>Science</t>
        </is>
      </c>
      <c r="D268" s="77" t="inlineStr">
        <is>
          <t>Searched</t>
        </is>
      </c>
      <c r="E268" s="77" t="inlineStr">
        <is>
          <t>UEA environmental sciences consultancy project module real client; UEA MSc Sustainability and Society partner organisations; UEA Biological Sciences OR Chemistry OR Pharmacy team project external company; UEA MSc Applied Ecology and Conservation OR Environmental Assessment and Management consultancy; UEA Mathematics OR Physics OR Data Science industry project</t>
        </is>
      </c>
      <c r="F268" s="77" t="inlineStr">
        <is>
          <t>https://www.uea.ac.uk/course/postgraduate/msc-sustainability-and-society; https://www.uea.ac.uk/course/postgraduate/msc-applied-ecology-and-conservation</t>
        </is>
      </c>
      <c r="G268" s="77" t="inlineStr">
        <is>
          <t>No verified team project with external client in the natural sciences; MSc Sustainability and Society core modules use partner organisations (details unclear); Data Science MSc dissertations may be with industry partners (individual).</t>
        </is>
      </c>
    </row>
    <row r="269">
      <c r="A269" s="77" t="inlineStr">
        <is>
          <t>UK12</t>
        </is>
      </c>
      <c r="B269" s="77" t="inlineStr">
        <is>
          <t>East Anglia</t>
        </is>
      </c>
      <c r="C269" s="77" t="inlineStr">
        <is>
          <t>Arts/humanities/social sciences</t>
        </is>
      </c>
      <c r="D269" s="77" t="inlineStr">
        <is>
          <t>Searched</t>
        </is>
      </c>
      <c r="E269" s="77" t="inlineStr">
        <is>
          <t>UEA Economics consultancy-based project final year; UEA module Economic Consulting Project; UEA School of Economics consulting project capstone; UEA Politics International Development Media History charity client project; UEA Media and Development in Practice partner organisation; UEA MA Creative Writing placement employer-led industry projects</t>
        </is>
      </c>
      <c r="F269" s="77" t="inlineStr">
        <is>
          <t>https://www.uea.ac.uk/course/undergraduate/bsc-economics; https://www.uea.ac.uk/course/postgraduate/ma-media-and-global-development</t>
        </is>
      </c>
      <c r="G269" s="77" t="inlineStr">
        <is>
          <t>Economics consulting project option and MA Media, Communication and Global Development live partner project (named charities/media bodies) found; group vs individual working not established for either.</t>
        </is>
      </c>
    </row>
    <row r="270">
      <c r="A270" s="77" t="inlineStr">
        <is>
          <t>UK12</t>
        </is>
      </c>
      <c r="B270" s="77" t="inlineStr">
        <is>
          <t>East Anglia</t>
        </is>
      </c>
      <c r="C270" s="77" t="inlineStr">
        <is>
          <t>Other (law, health, design, architecture…)</t>
        </is>
      </c>
      <c r="D270" s="77" t="inlineStr">
        <is>
          <t>Searched</t>
        </is>
      </c>
      <c r="E270" s="77" t="inlineStr">
        <is>
          <t>UEA Law Clinic OR social work OR Education OR Medicine students group project external organisation community partner; Direct page fetch (curl) of MBBS Medicine, BA Social Work, MPharm Pharmacy, LLB Law course pages</t>
        </is>
      </c>
      <c r="F270" s="77" t="inlineStr">
        <is>
          <t>https://lawclinic.uea.ac.uk/what-our-students-do/; https://www.uea.ac.uk/course/undergraduate/mpharm-pharmacy; https://www.uea.ac.uk/course/undergraduate/mbbs-medicine</t>
        </is>
      </c>
      <c r="G270" s="77" t="inlineStr">
        <is>
          <t>Law Clinic is voluntary (excluded). MPharm has extended group projects but no external organisation evidenced; Medicine, Social Work, Law course pages show no qualifying employer group project. Education not queried.</t>
        </is>
      </c>
    </row>
    <row r="271">
      <c r="A271" s="77" t="inlineStr">
        <is>
          <t>UK13</t>
        </is>
      </c>
      <c r="B271" s="77" t="inlineStr">
        <is>
          <t>Dundee</t>
        </is>
      </c>
      <c r="C271" s="77" t="inlineStr">
        <is>
          <t>Central provision</t>
        </is>
      </c>
      <c r="D271" s="77" t="inlineStr">
        <is>
          <t>Searched</t>
        </is>
      </c>
      <c r="E271" s="77" t="inlineStr">
        <is>
          <t>University of Dundee live client project students teams employer module; Dundee MSc live employer project team of up to five students report to company; Dundee Forensic/Life Sciences/Environmental group project external partner client</t>
        </is>
      </c>
      <c r="F271" s="77" t="inlineStr">
        <is>
          <t>https://www.dundee.ac.uk/careers/employers/internships-work-experience; https://www.dundee.ac.uk/feature/strengthening-employability-through-alumni-support; https://www.dundee.ac.uk/entrepreneurship/venture</t>
        </is>
      </c>
      <c r="G271" s="77" t="inlineStr">
        <is>
          <t>No central taught employer-project route found; Employer Team offers MSc live projects (S5, programmes unidentified). Venture is an enterprise competition (excluded).</t>
        </is>
      </c>
    </row>
    <row r="272">
      <c r="A272" s="77" t="inlineStr">
        <is>
          <t>UK13</t>
        </is>
      </c>
      <c r="B272" s="77" t="inlineStr">
        <is>
          <t>Dundee</t>
        </is>
      </c>
      <c r="C272" s="77" t="inlineStr">
        <is>
          <t>Business/management</t>
        </is>
      </c>
      <c r="D272" s="77" t="inlineStr">
        <is>
          <t>Searched</t>
        </is>
      </c>
      <c r="E272" s="77" t="inlineStr">
        <is>
          <t>Dundee Business School consultancy project module external organisation group; Dundee Business Consultancy BU40012 client project</t>
        </is>
      </c>
      <c r="F272" s="77" t="inlineStr">
        <is>
          <t>https://www.dundee.ac.uk/module/bu40025; https://www.dundee.ac.uk/module/bu40012; https://www.dundee.ac.uk/business/internships-industry-projects</t>
        </is>
      </c>
      <c r="G272" s="77" t="inlineStr">
        <is>
          <t>Marketing Research Project is group-based with mixed internal/external clients; other consultancy modules (BU40012, BU52020) are individual reports. A Nov 2025 news feature says partner employers (e.g. Toll House Spirits, Dundee United FC) give students real problems but names no module.</t>
        </is>
      </c>
    </row>
    <row r="273">
      <c r="A273" s="77" t="inlineStr">
        <is>
          <t>UK13</t>
        </is>
      </c>
      <c r="B273" s="77" t="inlineStr">
        <is>
          <t>Dundee</t>
        </is>
      </c>
      <c r="C273" s="77" t="inlineStr">
        <is>
          <t>Engineering/computing</t>
        </is>
      </c>
      <c r="D273" s="77" t="inlineStr">
        <is>
          <t>Searched</t>
        </is>
      </c>
      <c r="E273" s="77" t="inlineStr">
        <is>
          <t>Dundee computing games industry project client group module; Computer Science Industrial Team Project CS32002 compulsory 2025/26 clients; Dundee School of Science and Engineering multidisciplinary group design project industry client engineering</t>
        </is>
      </c>
      <c r="F273" s="77" t="inlineStr">
        <is>
          <t>https://www.dundee.ac.uk/module/cs32002; https://www.dundee.ac.uk/module/me32003</t>
        </is>
      </c>
      <c r="G273" s="77" t="inlineStr">
        <is>
          <t>CS32002 industrial client team project and ME32003 industry-partner group project qualify on A/B/C; currency undated.</t>
        </is>
      </c>
    </row>
    <row r="274">
      <c r="A274" s="77" t="inlineStr">
        <is>
          <t>UK13</t>
        </is>
      </c>
      <c r="B274" s="77" t="inlineStr">
        <is>
          <t>Dundee</t>
        </is>
      </c>
      <c r="C274" s="77" t="inlineStr">
        <is>
          <t>Science</t>
        </is>
      </c>
      <c r="D274" s="77" t="inlineStr">
        <is>
          <t>Searched</t>
        </is>
      </c>
      <c r="E274" s="77" t="inlineStr">
        <is>
          <t>Dundee mathematics OR life sciences OR chemistry MSc project industry partner team module</t>
        </is>
      </c>
      <c r="F274" s="77" t="inlineStr"/>
      <c r="G274" s="77" t="inlineStr">
        <is>
          <t>Nothing found for life sciences, maths or chemistry; results returned only computing/engineering/business modules.</t>
        </is>
      </c>
    </row>
    <row r="275">
      <c r="A275" s="77" t="inlineStr">
        <is>
          <t>UK13</t>
        </is>
      </c>
      <c r="B275" s="77" t="inlineStr">
        <is>
          <t>Dundee</t>
        </is>
      </c>
      <c r="C275" s="77" t="inlineStr">
        <is>
          <t>Arts/humanities/social sciences</t>
        </is>
      </c>
      <c r="D275" s="77" t="inlineStr">
        <is>
          <t>Searched</t>
        </is>
      </c>
      <c r="E275" s="77" t="inlineStr">
        <is>
          <t>Dundee Duncan of Jordanstone design students live brief client collaborative project module</t>
        </is>
      </c>
      <c r="F275" s="77" t="inlineStr">
        <is>
          <t>https://www.dundee.ac.uk/module/dj52027; https://www.dundee.ac.uk/module/dj53010</t>
        </is>
      </c>
      <c r="G275" s="77" t="inlineStr">
        <is>
          <t>DJCAD: Going Live (industry live brief, collaborative) and Research Through Design (external problem holder). Graphic Design Final Projects/Illustration live briefs not tested for group working.</t>
        </is>
      </c>
    </row>
    <row r="276">
      <c r="A276" s="77" t="inlineStr">
        <is>
          <t>UK13</t>
        </is>
      </c>
      <c r="B276" s="77" t="inlineStr">
        <is>
          <t>Dundee</t>
        </is>
      </c>
      <c r="C276" s="77" t="inlineStr">
        <is>
          <t>Other (law, health, design, architecture…)</t>
        </is>
      </c>
      <c r="D276" s="77" t="inlineStr">
        <is>
          <t>Searched</t>
        </is>
      </c>
      <c r="E276" s="77" t="inlineStr">
        <is>
          <t>Dundee Law OR Nursing OR Medicine OR Dentistry OR Social Work students community organisation project group clinic</t>
        </is>
      </c>
      <c r="F276" s="77" t="inlineStr">
        <is>
          <t>https://www.dundee.ac.uk/module/co32001</t>
        </is>
      </c>
      <c r="G276" s="77" t="inlineStr">
        <is>
          <t>Only a 2012 Student Law Clinic press release and individual placements (community work module, social work) found; nothing qualifying verified.</t>
        </is>
      </c>
    </row>
    <row r="277">
      <c r="A277" s="77" t="inlineStr">
        <is>
          <t>UK14</t>
        </is>
      </c>
      <c r="B277" s="77" t="inlineStr">
        <is>
          <t>Swansea</t>
        </is>
      </c>
      <c r="C277" s="77" t="inlineStr">
        <is>
          <t>Central provision</t>
        </is>
      </c>
      <c r="D277" s="77" t="inlineStr">
        <is>
          <t>Searched</t>
        </is>
      </c>
      <c r="E277" s="77" t="inlineStr">
        <is>
          <t>Swansea University student consultancy project live client team; Swansea Employability Academy employability awards discovery project employer</t>
        </is>
      </c>
      <c r="F277" s="77" t="inlineStr">
        <is>
          <t>https://hwb.swansea.ac.uk/employability-enterprise/employability-awards/; https://hwb.swansea.ac.uk/employability-enterprise/student-enterprise/; https://www.swansea.ac.uk/business-and-industry/recruit-our-talent/go-wales/</t>
        </is>
      </c>
      <c r="G277" s="77" t="inlineStr">
        <is>
          <t>Central provision found was an employability award framework, Discovery volunteering, GO Wales placements, and a Student Enterprise hackathon with a Swansea City FC challenge (S6). No central consultancy programme was found. Coverage is thin (2 queries).</t>
        </is>
      </c>
    </row>
    <row r="278">
      <c r="A278" s="77" t="inlineStr">
        <is>
          <t>UK14</t>
        </is>
      </c>
      <c r="B278" s="77" t="inlineStr">
        <is>
          <t>Swansea</t>
        </is>
      </c>
      <c r="C278" s="77" t="inlineStr">
        <is>
          <t>Business/management</t>
        </is>
      </c>
      <c r="D278" s="77" t="inlineStr">
        <is>
          <t>Searched</t>
        </is>
      </c>
      <c r="E278" s="77" t="inlineStr">
        <is>
          <t>Swansea School of Management "Business Consultancy Project" module group live client; Swansea University module consultancy project students work in teams with organisation client report presentation</t>
        </is>
      </c>
      <c r="F278" s="77" t="inlineStr">
        <is>
          <t>https://www.swansea.ac.uk/undergraduate/courses/social-sciences/economics/bsc-economics-business/; https://www.swansea.ac.uk/undergraduate/courses/som/marketing/bsc-marketing/; https://www.swansea.ac.uk/postgraduate/taught/som/business-management/msc-project-management/</t>
        </is>
      </c>
      <c r="G278" s="77" t="inlineStr">
        <is>
          <t>Live-client Business Consultancy Project on the BSc Economics and Business (S3). Marketing consultancy pathway (S4). MSc Project Management live projects (S5). MBA client consultancy project was mentioned but could not be cited. Group format is unconfirmed for every route.</t>
        </is>
      </c>
    </row>
    <row r="279">
      <c r="A279" s="77" t="inlineStr">
        <is>
          <t>UK14</t>
        </is>
      </c>
      <c r="B279" s="77" t="inlineStr">
        <is>
          <t>Swansea</t>
        </is>
      </c>
      <c r="C279" s="77" t="inlineStr">
        <is>
          <t>Engineering/computing</t>
        </is>
      </c>
      <c r="D279" s="77" t="inlineStr">
        <is>
          <t>Searched</t>
        </is>
      </c>
      <c r="E279" s="77" t="inlineStr">
        <is>
          <t>Swansea Computer Science group software engineering project industry client external; Swansea engineering "group project" industry sponsored final year team design; WebFetch: Civil Engineering BEng/MEng course page; MSc with Industry page</t>
        </is>
      </c>
      <c r="F279" s="77" t="inlineStr">
        <is>
          <t>https://www.swansea.ac.uk/undergraduate/courses/aerospace-civil-electrical-mechanical-engineering/civil-engineering/beng-civil-engineering/; https://www.swansea.ac.uk/undergraduate/courses/maths-comp-sci/computer-science/bsc-computer-science/</t>
        </is>
      </c>
      <c r="G279" s="77" t="inlineStr">
        <is>
          <t>Civil Engineering has an MEng year-long group design exercise built on live industry projects (S1, meets A/B/C, status undated) and a BEng design project set by industry engineers (S2, group unclear). In Computer Science, industry only judges at the Project Fair. Other engineering disciplines were not checked.</t>
        </is>
      </c>
    </row>
    <row r="280">
      <c r="A280" s="77" t="inlineStr">
        <is>
          <t>UK14</t>
        </is>
      </c>
      <c r="B280" s="77" t="inlineStr">
        <is>
          <t>Swansea</t>
        </is>
      </c>
      <c r="C280" s="77" t="inlineStr">
        <is>
          <t>Science</t>
        </is>
      </c>
      <c r="D280" s="77" t="inlineStr">
        <is>
          <t>Searched</t>
        </is>
      </c>
      <c r="E280" s="77" t="inlineStr">
        <is>
          <t>Swansea University science students group project external partner industry client module</t>
        </is>
      </c>
      <c r="F280" s="77" t="inlineStr">
        <is>
          <t>https://www.swansea.ac.uk/science-and-engineering/courses/engineering/msc-industry/; https://www.swansea.ac.uk/undergraduate/courses/science/computer-science/bsc-computer-science-g400/</t>
        </is>
      </c>
      <c r="G280" s="77" t="inlineStr">
        <is>
          <t>No science group project with an external client found. Industry-focused second-year project on MSc with Industry (engineering) has no stated group format; Computer Science has individual and group projects with no client evidenced.</t>
        </is>
      </c>
    </row>
    <row r="281">
      <c r="A281" s="77" t="inlineStr">
        <is>
          <t>UK14</t>
        </is>
      </c>
      <c r="B281" s="77" t="inlineStr">
        <is>
          <t>Swansea</t>
        </is>
      </c>
      <c r="C281" s="77" t="inlineStr">
        <is>
          <t>Arts/humanities/social sciences</t>
        </is>
      </c>
      <c r="D281" s="77" t="inlineStr">
        <is>
          <t>Searched</t>
        </is>
      </c>
      <c r="E281" s="77" t="inlineStr">
        <is>
          <t>Swansea University humanities social sciences students group consultancy project with charity or public sector client</t>
        </is>
      </c>
      <c r="F281" s="77" t="inlineStr">
        <is>
          <t>https://www.swansea.ac.uk/undergraduate/courses/social-sciences/economics/bsc-economics-business/; https://www.swansea.ac.uk/discovery/</t>
        </is>
      </c>
      <c r="G281" s="77" t="inlineStr">
        <is>
          <t>No group consultancy route for charity/public-sector clients found in humanities/social sciences; Sociology placements are individual; Discovery is volunteering. Economics and Business route (S3) covered under business.</t>
        </is>
      </c>
    </row>
    <row r="282">
      <c r="A282" s="77" t="inlineStr">
        <is>
          <t>UK14</t>
        </is>
      </c>
      <c r="B282" s="77" t="inlineStr">
        <is>
          <t>Swansea</t>
        </is>
      </c>
      <c r="C282" s="77" t="inlineStr">
        <is>
          <t>Other (law, health, design, architecture…)</t>
        </is>
      </c>
      <c r="D282" s="77" t="inlineStr">
        <is>
          <t>Searched</t>
        </is>
      </c>
      <c r="E282" s="77" t="inlineStr">
        <is>
          <t>Swansea University law clinic OR medicine OR sport students team project external organisation client</t>
        </is>
      </c>
      <c r="F282" s="77" t="inlineStr">
        <is>
          <t>https://www.swansea.ac.uk/law/lawclinic/</t>
        </is>
      </c>
      <c r="G282" s="77" t="inlineStr">
        <is>
          <t>Swansea Law Clinic offers credit-bearing Clinical Legal Education (LAA366/LAA367) advising members of the public; team structure and external-organisation brief not evidenced (casework for public). Nothing found for medicine or sport.</t>
        </is>
      </c>
    </row>
    <row r="283">
      <c r="A283" s="77" t="inlineStr">
        <is>
          <t>UK15</t>
        </is>
      </c>
      <c r="B283" s="77" t="inlineStr">
        <is>
          <t>Essex</t>
        </is>
      </c>
      <c r="C283" s="77" t="inlineStr">
        <is>
          <t>Central provision</t>
        </is>
      </c>
      <c r="D283" s="77" t="inlineStr">
        <is>
          <t>Searched</t>
        </is>
      </c>
      <c r="E283" s="77" t="inlineStr">
        <is>
          <t>University of Essex student consultancy live client project; Essex employer-led project group students careers Essex Employability challenge; Essex Engage with talent employer project briefs; Essex students teams employer challenge hackathon industry partner brief competition; iTeams Essex Startups student teams businesses challenge mentor solution programme; iTeams 2026 Essex Startups; Essex Industry and Placements team work-based learning module live employer projects</t>
        </is>
      </c>
      <c r="F283" s="77" t="inlineStr">
        <is>
          <t>https://www.essex.ac.uk/events/2025/02/04/iteams-2025; https://www.essex.ac.uk/business/recruit-our-students-and-graduates; https://www.essex.ac.uk/staff/academic-standards-and-quality/work-based-learning; https://www.essex.ac.uk/news/2025/12/17/new-cybersecurity-programme-proves-big-hit-with-businesses</t>
        </is>
      </c>
      <c r="G283" s="77" t="inlineStr">
        <is>
          <t>Essex Startups iTeams is a multidisciplinary, extracurricular team challenge with business-set briefs and external mentors (last evidenced Feb 2025); a Cyber Innovate to Elevate iTeams variant ran to Feb 2026. The Industry and Placements team promotes employer-led project briefs and live-project WBL, but specific modules were not identified.</t>
        </is>
      </c>
    </row>
    <row r="284">
      <c r="A284" s="77" t="inlineStr">
        <is>
          <t>UK15</t>
        </is>
      </c>
      <c r="B284" s="77" t="inlineStr">
        <is>
          <t>Essex</t>
        </is>
      </c>
      <c r="C284" s="77" t="inlineStr">
        <is>
          <t>Business/management</t>
        </is>
      </c>
      <c r="D284" s="77" t="inlineStr">
        <is>
          <t>Searched</t>
        </is>
      </c>
      <c r="E284" s="77" t="inlineStr">
        <is>
          <t>Essex MBA projects consultancy project organisation Havens Hospices students team; Essex BSc Marketing Management consultancy project real-world business marketing brief module; Essex module directory Marketing Management BE consultancy project group assessment; Essex Business School final year project consultancy-based project external organisation module</t>
        </is>
      </c>
      <c r="F284" s="77" t="inlineStr">
        <is>
          <t>https://www.essex.ac.uk/departments/essex-business-school/the-essex-mba/mba-projects; https://www.essex.ac.uk/blog/posts/2023/02/27/mba-consultancy-project-havens-hospices; https://www.essex.ac.uk/courses/ug00256/1/bsc-management-and-marketing; https://www.essex.ac.uk/courses/UG01545/1/BSc-Business-and-Human-Resource-Management</t>
        </is>
      </c>
      <c r="G284" s="77" t="inlineStr">
        <is>
          <t>EBS has consultancy routes with real organisations (MBA project, Marketing Management module, BHRM capstone option) but the MBA and capstone are individual and the Marketing Management project's group status and client role are unclear.</t>
        </is>
      </c>
    </row>
    <row r="285">
      <c r="A285" s="77" t="inlineStr">
        <is>
          <t>UK15</t>
        </is>
      </c>
      <c r="B285" s="77" t="inlineStr">
        <is>
          <t>Essex</t>
        </is>
      </c>
      <c r="C285" s="77" t="inlineStr">
        <is>
          <t>Engineering/computing</t>
        </is>
      </c>
      <c r="D285" s="77" t="inlineStr">
        <is>
          <t>Searched</t>
        </is>
      </c>
      <c r="E285" s="77" t="inlineStr">
        <is>
          <t>Essex Computer Science Team Project Challenge CE206 module small team external client requirement; Essex Engineering Robotic electronic systems group project industry client module</t>
        </is>
      </c>
      <c r="F285" s="77" t="inlineStr">
        <is>
          <t>https://www1.essex.ac.uk/modules/Default.aspx?coursecode=CE101&amp;level=4&amp;period=FY&amp;campus=CO; https://www.essex.ac.uk/courses/ug00069/1/bsc-computer-science; https://www.essex.ac.uk/courses/UG01061/1/BEng-Robotic-Engineering</t>
        </is>
      </c>
      <c r="G285" s="77" t="inlineStr">
        <is>
          <t>CS Team Project Challenge (CE101) is team-based but students choose their project to given attributes (no external client). CS capstone can use external company descriptions with a company mentor but is individual. Engineering not yet searched. Robotic Engineering: Team Project Challenge (CE101/CE201) and individual capstone with optional company brief; no group employer-client module found.</t>
        </is>
      </c>
    </row>
    <row r="286">
      <c r="A286" s="77" t="inlineStr">
        <is>
          <t>UK15</t>
        </is>
      </c>
      <c r="B286" s="77" t="inlineStr">
        <is>
          <t>Essex</t>
        </is>
      </c>
      <c r="C286" s="77" t="inlineStr">
        <is>
          <t>Science</t>
        </is>
      </c>
      <c r="D286" s="77" t="inlineStr">
        <is>
          <t>Searched</t>
        </is>
      </c>
      <c r="E286" s="77" t="inlineStr">
        <is>
          <t>Essex Industry and Placements team work-based learning module live employer projects; Essex module live employer project group work-based learning Biomedical Science Mathematics Statistics Psychology</t>
        </is>
      </c>
      <c r="F286" s="77" t="inlineStr">
        <is>
          <t>https://www.essex.ac.uk/staff/academic-standards-and-quality/work-based-learning; https://www.essex.ac.uk/courses/ug00039/1/bsc-biomedical-science; https://www.essex.ac.uk/courses/ug00361/2/bsc-psychology</t>
        </is>
      </c>
      <c r="G286" s="77" t="inlineStr">
        <is>
          <t>Biomedical Science pages list live employer projects as an option; Psychology mentions business/organisation experience via Placements; no team-based employer-client module identified for Maths/Stats/Psychology.</t>
        </is>
      </c>
    </row>
    <row r="287">
      <c r="A287" s="77" t="inlineStr">
        <is>
          <t>UK15</t>
        </is>
      </c>
      <c r="B287" s="77" t="inlineStr">
        <is>
          <t>Essex</t>
        </is>
      </c>
      <c r="C287" s="77" t="inlineStr">
        <is>
          <t>Arts/humanities/social sciences</t>
        </is>
      </c>
      <c r="D287" s="77" t="inlineStr">
        <is>
          <t>Searched</t>
        </is>
      </c>
      <c r="E287" s="77" t="inlineStr">
        <is>
          <t>Essex Government Sociology Linguistics students client project organisation module group</t>
        </is>
      </c>
      <c r="F287" s="77" t="inlineStr">
        <is>
          <t>https://www.essex.ac.uk/about/university/faculties/arts-humanities-and-social-sciences/q-step</t>
        </is>
      </c>
      <c r="G287" s="77" t="inlineStr">
        <is>
          <t>No client-based group project found; final-year projects (e.g. LG831) are individual supervised research. Further departmental instances may exist.</t>
        </is>
      </c>
    </row>
    <row r="288">
      <c r="A288" s="77" t="inlineStr">
        <is>
          <t>UK15</t>
        </is>
      </c>
      <c r="B288" s="77" t="inlineStr">
        <is>
          <t>Essex</t>
        </is>
      </c>
      <c r="C288" s="77" t="inlineStr">
        <is>
          <t>Other (law, health, design, architecture…)</t>
        </is>
      </c>
      <c r="D288" s="77" t="inlineStr">
        <is>
          <t>Searched</t>
        </is>
      </c>
      <c r="E288" s="77" t="inlineStr">
        <is>
          <t>Essex Law School clinic students teams external organisation project</t>
        </is>
      </c>
      <c r="F288" s="77" t="inlineStr">
        <is>
          <t>https://www.essex.ac.uk/departments/law/business-law-clinic; https://www.essex.ac.uk/blog/posts/2025/10/14/business-law-clinic-projects-2025; https://www.essex.ac.uk/centres-and-institutes/human-rights/human-rights-centre-clinic/working-in-the-human-rights-clinic</t>
        </is>
      </c>
      <c r="G288" s="77" t="inlineStr">
        <is>
          <t>Essex Law School has team-based Business Law Clinic and Human Rights Centre Clinic projects with external organisations; Law Clinic casework excluded. Health/nursing not searched in detail.</t>
        </is>
      </c>
    </row>
    <row r="289">
      <c r="A289" s="77" t="inlineStr">
        <is>
          <t>UK16</t>
        </is>
      </c>
      <c r="B289" s="77" t="inlineStr">
        <is>
          <t>Kent</t>
        </is>
      </c>
      <c r="C289" s="77" t="inlineStr">
        <is>
          <t>Central provision</t>
        </is>
      </c>
      <c r="D289" s="77" t="inlineStr">
        <is>
          <t>Searched</t>
        </is>
      </c>
      <c r="E289" s="77" t="inlineStr">
        <is>
          <t>University of Kent students live client project employer consultancy module; Kent Careers Employability Service employer project challenge students teams; Kent i-teams eight-week programme (extended); WebFetch employability points and student-impact pages</t>
        </is>
      </c>
      <c r="F289" s="77" t="inlineStr">
        <is>
          <t>https://student.kent.ac.uk/careers/student-impact/i-teams; https://student.kent.ac.uk/careers/employability-points/ep-points-how-it-works</t>
        </is>
      </c>
      <c r="G289" s="77" t="inlineStr">
        <is>
          <t>i-Teams is the central employer-challenge team route (latest evidence 2023); Employability Points is an award only.</t>
        </is>
      </c>
    </row>
    <row r="290">
      <c r="A290" s="77" t="inlineStr">
        <is>
          <t>UK16</t>
        </is>
      </c>
      <c r="B290" s="77" t="inlineStr">
        <is>
          <t>Kent</t>
        </is>
      </c>
      <c r="C290" s="77" t="inlineStr">
        <is>
          <t>Business/management</t>
        </is>
      </c>
      <c r="D290" s="77" t="inlineStr">
        <is>
          <t>Searched</t>
        </is>
      </c>
      <c r="E290" s="77" t="inlineStr">
        <is>
          <t>Kent Business School student consultancy project real client module; Kent Business Analytics Challenge module live organisational problem MSc team client</t>
        </is>
      </c>
      <c r="F290" s="77" t="inlineStr">
        <is>
          <t>https://www.kent.ac.uk/courses/modules/module/BUSB6514; https://blogs.kent.ac.uk/kbs-news-events/2026/08/in-at-the-deep-end-how-kbs-students-took-on-real-business-challenges/; https://www.kent.ac.uk/courses/modules/module/BUSB7032</t>
        </is>
      </c>
      <c r="G290" s="77" t="inlineStr">
        <is>
          <t>KBS Challenge verified with named 2026 partners; other KBS consultancy modules unclear or individual.</t>
        </is>
      </c>
    </row>
    <row r="291">
      <c r="A291" s="77" t="inlineStr">
        <is>
          <t>UK16</t>
        </is>
      </c>
      <c r="B291" s="77" t="inlineStr">
        <is>
          <t>Kent</t>
        </is>
      </c>
      <c r="C291" s="77" t="inlineStr">
        <is>
          <t>Engineering/computing</t>
        </is>
      </c>
      <c r="D291" s="77" t="inlineStr">
        <is>
          <t>Searched</t>
        </is>
      </c>
      <c r="E291" s="77" t="inlineStr">
        <is>
          <t>Kent School of Engineering Digital Arts computing group project industry client final year; Kent Engineering Mathematics Statistics Physical Sciences group project industrial sponsor</t>
        </is>
      </c>
      <c r="F291" s="77" t="inlineStr">
        <is>
          <t>https://www.kent.ac.uk/courses/modules/module/EL562; https://www.kent.ac.uk/courses/modules/module/COMP8430</t>
        </is>
      </c>
      <c r="G291" s="77" t="inlineStr">
        <is>
          <t>Group projects exist but no confirmed external client; KITC modules individually assessed and not running.</t>
        </is>
      </c>
    </row>
    <row r="292">
      <c r="A292" s="77" t="inlineStr">
        <is>
          <t>UK16</t>
        </is>
      </c>
      <c r="B292" s="77" t="inlineStr">
        <is>
          <t>Kent</t>
        </is>
      </c>
      <c r="C292" s="77" t="inlineStr">
        <is>
          <t>Science</t>
        </is>
      </c>
      <c r="D292" s="77" t="inlineStr">
        <is>
          <t>Searched</t>
        </is>
      </c>
      <c r="E292" s="77" t="inlineStr">
        <is>
          <t>Kent School of Natural Sciences biosciences chemistry physics industry project external partner group; (plus physics group project result)</t>
        </is>
      </c>
      <c r="F292" s="77" t="inlineStr">
        <is>
          <t>https://www.kent.ac.uk/courses/modules/module/PH603</t>
        </is>
      </c>
      <c r="G292" s="77" t="inlineStr">
        <is>
          <t>Physics Group Project has some industry-linked themes but is undated for current delivery; nothing qualifying verified in Natural Sciences.</t>
        </is>
      </c>
    </row>
    <row r="293">
      <c r="A293" s="77" t="inlineStr">
        <is>
          <t>UK16</t>
        </is>
      </c>
      <c r="B293" s="77" t="inlineStr">
        <is>
          <t>Kent</t>
        </is>
      </c>
      <c r="C293" s="77" t="inlineStr">
        <is>
          <t>Arts/humanities/social sciences</t>
        </is>
      </c>
      <c r="D293" s="77" t="inlineStr">
        <is>
          <t>Searched</t>
        </is>
      </c>
      <c r="E293" s="77" t="inlineStr">
        <is>
          <t>Kent social sciences humanities module real client community organisation group project; Kent Politics/Psychology/Anthropology consultancy project client module</t>
        </is>
      </c>
      <c r="F293" s="77" t="inlineStr">
        <is>
          <t>https://www.kent.ac.uk/courses/modules/module/SOCI6015</t>
        </is>
      </c>
      <c r="G293" s="77" t="inlineStr">
        <is>
          <t>Only optional organisation-research options with unstated group basis; nothing qualifying verified.</t>
        </is>
      </c>
    </row>
    <row r="294">
      <c r="A294" s="77" t="inlineStr">
        <is>
          <t>UK16</t>
        </is>
      </c>
      <c r="B294" s="77" t="inlineStr">
        <is>
          <t>Kent</t>
        </is>
      </c>
      <c r="C294" s="77" t="inlineStr">
        <is>
          <t>Other (law, health, design, architecture…)</t>
        </is>
      </c>
      <c r="D294" s="77" t="inlineStr">
        <is>
          <t>Searched</t>
        </is>
      </c>
      <c r="E294" s="77" t="inlineStr">
        <is>
          <t>Kent Law Clinic OR architecture OR pharmacy OR medical team project external organisation</t>
        </is>
      </c>
      <c r="F294" s="77" t="inlineStr">
        <is>
          <t>https://www.kent.ac.uk/kent-law-school/kent-law-clinic</t>
        </is>
      </c>
      <c r="G294" s="77" t="inlineStr">
        <is>
          <t>Law Clinic is casework; nothing found for architecture, pharmacy or medicine.</t>
        </is>
      </c>
    </row>
    <row r="295">
      <c r="A295" s="77" t="inlineStr">
        <is>
          <t>UK17</t>
        </is>
      </c>
      <c r="B295" s="77" t="inlineStr">
        <is>
          <t>Brunel</t>
        </is>
      </c>
      <c r="C295" s="77" t="inlineStr">
        <is>
          <t>Central provision</t>
        </is>
      </c>
      <c r="D295" s="77" t="inlineStr">
        <is>
          <t>Searched</t>
        </is>
      </c>
      <c r="E295" s="77" t="inlineStr">
        <is>
          <t>Brunel students employer challenge team project central Student Professional Development 2025; fetch: Enterprise Mobility Challenge launch page (dated 3 Feb 2025; content truncated)</t>
        </is>
      </c>
      <c r="F295" s="77" t="inlineStr">
        <is>
          <t>https://www.brunel.ac.uk/student-professional-development; https://students.brunel.ac.uk/whats-on/enterprise-mobility-challenge-launch; https://www.brunel.ac.uk/Student-Professional-Development/entrepreneur-hub/news-and-events/news/Brunel-Software-Innovation-2025</t>
        </is>
      </c>
      <c r="G295" s="77" t="inlineStr">
        <is>
          <t>Student Professional Development hosts placements, Design+ and one-off employer challenges (Enterprise Mobility Challenge 2025); no university-wide group project route found.</t>
        </is>
      </c>
    </row>
    <row r="296">
      <c r="A296" s="77" t="inlineStr">
        <is>
          <t>UK17</t>
        </is>
      </c>
      <c r="B296" s="77" t="inlineStr">
        <is>
          <t>Brunel</t>
        </is>
      </c>
      <c r="C296" s="77" t="inlineStr">
        <is>
          <t>Business/management</t>
        </is>
      </c>
      <c r="D296" s="77" t="inlineStr">
        <is>
          <t>Searched</t>
        </is>
      </c>
      <c r="E296" s="77" t="inlineStr">
        <is>
          <t>Brunel University London student consultancy live client project module; Brunel Business School consultancy project module company client group; BBS Co-Innovate collaborative student projects SME brief students team contract; Brunel Business Management with Entrepreneurship Issues and Controversies Project Co-Innovate London SME module</t>
        </is>
      </c>
      <c r="F296" s="77" t="inlineStr">
        <is>
          <t>https://www.brunel.ac.uk/about/business-school/why-study-at-brunel-business-school/co-innovate/BBS-Co-Innovate-Collaborative-Projects; https://www.brunel.ac.uk/study/courses/business-management-with-entrepreneurship-bsc; https://www.brunel.ac.uk/study/courses/project-management-msc</t>
        </is>
      </c>
      <c r="G296" s="77" t="inlineStr">
        <is>
          <t>Co-Innovate SME-client projects (individual or small team) are the main route; MSc Project Management and MBA mention live consultancy but evidence is thin.</t>
        </is>
      </c>
    </row>
    <row r="297">
      <c r="A297" s="77" t="inlineStr">
        <is>
          <t>UK17</t>
        </is>
      </c>
      <c r="B297" s="77" t="inlineStr">
        <is>
          <t>Brunel</t>
        </is>
      </c>
      <c r="C297" s="77" t="inlineStr">
        <is>
          <t>Engineering/computing</t>
        </is>
      </c>
      <c r="D297" s="77" t="inlineStr">
        <is>
          <t>Searched</t>
        </is>
      </c>
      <c r="E297" s="77" t="inlineStr">
        <is>
          <t>Brunel engineering computer science final year group project industry client external company students team</t>
        </is>
      </c>
      <c r="F297" s="77" t="inlineStr">
        <is>
          <t>https://www.brunel.ac.uk/study/courses/electronic-and-electrical-engineering-meng; https://www.brunel.ac.uk/computer-science/why-study-computer-science-at-brunel/skills-development/made-in-brunel-software-innovation</t>
        </is>
      </c>
      <c r="G297" s="77" t="inlineStr">
        <is>
          <t>Group design/major projects exist (EEE MEng, CS levels 1-2 team software) but no external client evidenced; industry only views showcase (Made in Brunel, page lists events to 2023).</t>
        </is>
      </c>
    </row>
    <row r="298">
      <c r="A298" s="77" t="inlineStr">
        <is>
          <t>UK17</t>
        </is>
      </c>
      <c r="B298" s="77" t="inlineStr">
        <is>
          <t>Brunel</t>
        </is>
      </c>
      <c r="C298" s="77" t="inlineStr">
        <is>
          <t>Science</t>
        </is>
      </c>
      <c r="D298" s="77" t="inlineStr">
        <is>
          <t>Searched</t>
        </is>
      </c>
      <c r="E298" s="77" t="inlineStr">
        <is>
          <t>Brunel life sciences mathematics psychology students project for external organisation client module</t>
        </is>
      </c>
      <c r="F298" s="77" t="inlineStr">
        <is>
          <t>https://www.brunel.ac.uk/study/courses/life-sciences-bsc; https://www.brunel.ac.uk/study/courses/mathematics-bsc</t>
        </is>
      </c>
      <c r="G298" s="77" t="inlineStr">
        <is>
          <t>Life Sciences and Maths final-year projects are independent staff-supervised; no group/external-client route found.</t>
        </is>
      </c>
    </row>
    <row r="299">
      <c r="A299" s="77" t="inlineStr">
        <is>
          <t>UK17</t>
        </is>
      </c>
      <c r="B299" s="77" t="inlineStr">
        <is>
          <t>Brunel</t>
        </is>
      </c>
      <c r="C299" s="77" t="inlineStr">
        <is>
          <t>Arts/humanities/social sciences</t>
        </is>
      </c>
      <c r="D299" s="77" t="inlineStr">
        <is>
          <t>Searched</t>
        </is>
      </c>
      <c r="E299" s="77" t="inlineStr">
        <is>
          <t>Brunel social sciences law education sociology students group project live client community organisation module; fetch: Global Challenges BASc page (no module text returned); fetch: Human Geography and Anthropology BSc</t>
        </is>
      </c>
      <c r="F299" s="77" t="inlineStr">
        <is>
          <t>https://www.brunel.ac.uk/study/courses/human-geography-and-anthropology-bsc; https://www.brunel.ac.uk/study/courses/global-challenges-basc</t>
        </is>
      </c>
      <c r="G299" s="77" t="inlineStr">
        <is>
          <t>Leadership for Change (GY3603) pairs students with a community organisation; Contemporary Challenges (SC1603) small-group applied research, client not evidenced; no law live-client module found.</t>
        </is>
      </c>
    </row>
    <row r="300">
      <c r="A300" s="77" t="inlineStr">
        <is>
          <t>UK17</t>
        </is>
      </c>
      <c r="B300" s="77" t="inlineStr">
        <is>
          <t>Brunel</t>
        </is>
      </c>
      <c r="C300" s="77" t="inlineStr">
        <is>
          <t>Other (law, health, design, architecture…)</t>
        </is>
      </c>
      <c r="D300" s="77" t="inlineStr">
        <is>
          <t>Searched</t>
        </is>
      </c>
      <c r="E300" s="77" t="inlineStr">
        <is>
          <t>Brunel Design Brunel Industrial Design industry sponsored project students external client; fetch: Design+ page</t>
        </is>
      </c>
      <c r="F300" s="77" t="inlineStr">
        <is>
          <t>https://www.brunel.ac.uk/brunel-design-school/design-plus/design-plus; https://www.brunel.ac.uk/study/courses/sustainability-entrepreneurship-and-design-msc</t>
        </is>
      </c>
      <c r="G300" s="77" t="inlineStr">
        <is>
          <t>Brunel Design School has Design+ industry final-year projects, live briefs and PG live studio projects; extended evidence not obtained.</t>
        </is>
      </c>
    </row>
    <row r="301">
      <c r="A301" s="77" t="inlineStr">
        <is>
          <t>UK18</t>
        </is>
      </c>
      <c r="B301" s="77" t="inlineStr">
        <is>
          <t>Aston</t>
        </is>
      </c>
      <c r="C301" s="77" t="inlineStr">
        <is>
          <t>Central provision</t>
        </is>
      </c>
      <c r="D301" s="77" t="inlineStr">
        <is>
          <t>Searched</t>
        </is>
      </c>
      <c r="E301" s="77" t="inlineStr">
        <is>
          <t>Aston University careers employer-led project students team challenge external organisation; WebFetch Aston Global Advantage page</t>
        </is>
      </c>
      <c r="F301" s="77" t="inlineStr">
        <is>
          <t>https://www.aston.ac.uk/postgraduate/aston-global-advantage</t>
        </is>
      </c>
      <c r="G301" s="77" t="inlineStr">
        <is>
          <t>AGA is a PGT programme strand (excluding MBA/MRes) listing team challenges and live briefs only as possible activities; no central university-wide project scheme verified.</t>
        </is>
      </c>
    </row>
    <row r="302">
      <c r="A302" s="77" t="inlineStr">
        <is>
          <t>UK18</t>
        </is>
      </c>
      <c r="B302" s="77" t="inlineStr">
        <is>
          <t>Aston</t>
        </is>
      </c>
      <c r="C302" s="77" t="inlineStr">
        <is>
          <t>Business/management</t>
        </is>
      </c>
      <c r="D302" s="77" t="inlineStr">
        <is>
          <t>Searched</t>
        </is>
      </c>
      <c r="E302" s="77" t="inlineStr">
        <is>
          <t>Aston Business School live client project students teams consultancy module; WebFetch Business Clinic, Do Business, BSc BEI, MBA pages</t>
        </is>
      </c>
      <c r="F302" s="77" t="inlineStr">
        <is>
          <t>https://www.aston.ac.uk/research/bss/research-centres/centre-enterprise-coaching-and-innovation/business-clinic; https://www.aston.ac.uk/bss/aston-business-school/student-experience/do-business; https://www.aston.ac.uk/study/courses/business-enterprise-innovation-bsc; https://www.aston.ac.uk/study/courses/mba-full-time-mba</t>
        </is>
      </c>
      <c r="G302" s="77" t="inlineStr">
        <is>
          <t>Aston Business Clinic (external clients, teams) meets A/B/C but is optional and undated; BSc Business Enterprise and Innovation consultancy projects have live-or-simulated clients.</t>
        </is>
      </c>
    </row>
    <row r="303">
      <c r="A303" s="77" t="inlineStr">
        <is>
          <t>UK18</t>
        </is>
      </c>
      <c r="B303" s="77" t="inlineStr">
        <is>
          <t>Aston</t>
        </is>
      </c>
      <c r="C303" s="77" t="inlineStr">
        <is>
          <t>Engineering/computing</t>
        </is>
      </c>
      <c r="D303" s="77" t="inlineStr">
        <is>
          <t>Searched</t>
        </is>
      </c>
      <c r="E303" s="77" t="inlineStr">
        <is>
          <t>Aston University engineering group project industry client final year design project company sponsor; Aston University Engineering Sustainable Development Centre student projects community partner OR student-led enterprise client projects</t>
        </is>
      </c>
      <c r="F303" s="77" t="inlineStr">
        <is>
          <t>https://www.aston.ac.uk/eps/business/industry-clubs; https://www.aston.ac.uk/eps</t>
        </is>
      </c>
      <c r="G303" s="77" t="inlineStr">
        <is>
          <t>Industry Clubs and a student-led enterprise with client projects mentioned, but no module-level evidence of external-client group projects; EEE final-year project described as individual and group work without clients.</t>
        </is>
      </c>
    </row>
    <row r="304">
      <c r="A304" s="77" t="inlineStr">
        <is>
          <t>UK18</t>
        </is>
      </c>
      <c r="B304" s="77" t="inlineStr">
        <is>
          <t>Aston</t>
        </is>
      </c>
      <c r="C304" s="77" t="inlineStr">
        <is>
          <t>Science</t>
        </is>
      </c>
      <c r="D304" s="77" t="inlineStr">
        <is>
          <t>Searched</t>
        </is>
      </c>
      <c r="E304" s="77" t="inlineStr">
        <is>
          <t>Aston University biosciences OR chemistry OR psychology OR physics student group project external organisation client</t>
        </is>
      </c>
      <c r="F304" s="77" t="inlineStr">
        <is>
          <t>https://www.aston.ac.uk/eps/business/industry-clubs</t>
        </is>
      </c>
      <c r="G304" s="77" t="inlineStr">
        <is>
          <t>No external-client group project scheme found for biosciences, chemistry, psychology or physics beyond the Chemical Engineering and Applied Chemistry Industry Club.</t>
        </is>
      </c>
    </row>
    <row r="305">
      <c r="A305" s="77" t="inlineStr">
        <is>
          <t>UK18</t>
        </is>
      </c>
      <c r="B305" s="77" t="inlineStr">
        <is>
          <t>Aston</t>
        </is>
      </c>
      <c r="C305" s="77" t="inlineStr">
        <is>
          <t>Arts/humanities/social sciences</t>
        </is>
      </c>
      <c r="D305" s="77" t="inlineStr">
        <is>
          <t>Searched</t>
        </is>
      </c>
      <c r="E305" s="77" t="inlineStr">
        <is>
          <t>Aston University politics OR sociology OR languages OR public policy students project partner organisation live brief</t>
        </is>
      </c>
      <c r="F305" s="77" t="inlineStr">
        <is>
          <t>https://www.aston.ac.uk/research/bss/research-centres/ace</t>
        </is>
      </c>
      <c r="G305" s="77" t="inlineStr">
        <is>
          <t>No live-brief scheme found; only an optional policy paper module at Aston Centre for Europe (unverified).</t>
        </is>
      </c>
    </row>
    <row r="306">
      <c r="A306" s="77" t="inlineStr">
        <is>
          <t>UK18</t>
        </is>
      </c>
      <c r="B306" s="77" t="inlineStr">
        <is>
          <t>Aston</t>
        </is>
      </c>
      <c r="C306" s="77" t="inlineStr">
        <is>
          <t>Other (law, health, design, architecture…)</t>
        </is>
      </c>
      <c r="D306" s="77" t="inlineStr">
        <is>
          <t>Searched</t>
        </is>
      </c>
      <c r="E306" s="77" t="inlineStr">
        <is>
          <t>Aston University pharmacy OR optometry OR law OR design students interprofessional project external partner group; WebFetch Product Design and Innovation BSc</t>
        </is>
      </c>
      <c r="F306" s="77" t="inlineStr">
        <is>
          <t>https://www.aston.ac.uk/study/courses/product-design-and-innovation-bsc</t>
        </is>
      </c>
      <c r="G306" s="77" t="inlineStr">
        <is>
          <t>Health programmes show internal interprofessional learning only; Design Factory/Live Challenges are optional and university-run; law clinic not found.</t>
        </is>
      </c>
    </row>
    <row r="307">
      <c r="A307" s="77" t="inlineStr">
        <is>
          <t>UK19</t>
        </is>
      </c>
      <c r="B307" s="77" t="inlineStr">
        <is>
          <t>Stirling</t>
        </is>
      </c>
      <c r="C307" s="77" t="inlineStr">
        <is>
          <t>Central provision</t>
        </is>
      </c>
      <c r="D307" s="77" t="inlineStr">
        <is>
          <t>Searched</t>
        </is>
      </c>
      <c r="E307" s="77" t="inlineStr">
        <is>
          <t>Stirling student consultancy live client project employer; Stirling University-wide interdisciplinary challenge students teams external partners employability module; Careers Student projects index (fetched)</t>
        </is>
      </c>
      <c r="F307" s="77" t="inlineStr">
        <is>
          <t>https://www.stir.ac.uk/student-life/careers/employers/recruiting-our-students/student-projects/; https://www.stir.ac.uk/student-life/careers/employers/recruiting-our-students/student-projects/business-projects/</t>
        </is>
      </c>
      <c r="G307" s="77" t="inlineStr">
        <is>
          <t>Careers hosts 21 employer-facing student project/placement schemes but the index gives no group/credit detail; no university-wide group employer project found.</t>
        </is>
      </c>
    </row>
    <row r="308">
      <c r="A308" s="77" t="inlineStr">
        <is>
          <t>UK19</t>
        </is>
      </c>
      <c r="B308" s="77" t="inlineStr">
        <is>
          <t>Stirling</t>
        </is>
      </c>
      <c r="C308" s="77" t="inlineStr">
        <is>
          <t>Business/management</t>
        </is>
      </c>
      <c r="D308" s="77" t="inlineStr">
        <is>
          <t>Searched</t>
        </is>
      </c>
      <c r="E308" s="77" t="inlineStr">
        <is>
          <t>Stirling Management School module live client project student teams organisation; Business Consulting MANP005 client team; Consultancy Project module marketing MSc 2026/7 client group; MSc Marketing consultancy project clients 2025</t>
        </is>
      </c>
      <c r="F308" s="77" t="inlineStr">
        <is>
          <t>https://www.stir.ac.uk/courses/pg-taught/marketing/; https://www.stir.ac.uk/courses/pg-taught/digital-marketing-brand-management/; https://www.stir.ac.uk/about/faculties/stirling-business-school/your-future-career/consultancy-projects/; https://www.stir.ac.uk/courses/module/?code=MANP005&amp;session=2026/7&amp;semester=SPR</t>
        </is>
      </c>
      <c r="G308" s="77" t="inlineStr">
        <is>
          <t>Strongest provision: MSc Marketing and MSc Digital Marketing group client projects, plus summer Masters consultancy elective and MANP005.</t>
        </is>
      </c>
    </row>
    <row r="309">
      <c r="A309" s="77" t="inlineStr">
        <is>
          <t>UK19</t>
        </is>
      </c>
      <c r="B309" s="77" t="inlineStr">
        <is>
          <t>Stirling</t>
        </is>
      </c>
      <c r="C309" s="77" t="inlineStr">
        <is>
          <t>Engineering/computing</t>
        </is>
      </c>
      <c r="D309" s="77" t="inlineStr">
        <is>
          <t>Searched</t>
        </is>
      </c>
      <c r="E309" s="77" t="inlineStr">
        <is>
          <t>Stirling Computing Science Mathematics team project industry client module</t>
        </is>
      </c>
      <c r="F309" s="77" t="inlineStr">
        <is>
          <t>https://www.stir.ac.uk/student-life/careers/employers/recruiting-our-students/student-projects/computing-science-placements/</t>
        </is>
      </c>
      <c r="G309" s="77" t="inlineStr">
        <is>
          <t>Only individual industrial placements found; team-based software modules not shown to involve external clients.</t>
        </is>
      </c>
    </row>
    <row r="310">
      <c r="A310" s="77" t="inlineStr">
        <is>
          <t>UK19</t>
        </is>
      </c>
      <c r="B310" s="77" t="inlineStr">
        <is>
          <t>Stirling</t>
        </is>
      </c>
      <c r="C310" s="77" t="inlineStr">
        <is>
          <t>Science</t>
        </is>
      </c>
      <c r="D310" s="77" t="inlineStr">
        <is>
          <t>Searched</t>
        </is>
      </c>
      <c r="E310" s="77" t="inlineStr">
        <is>
          <t>Stirling Biological and Environmental Sciences group project external organisation placement module</t>
        </is>
      </c>
      <c r="F310" s="77" t="inlineStr">
        <is>
          <t>https://www.stir.ac.uk/courses/ug/biology/</t>
        </is>
      </c>
      <c r="G310" s="77" t="inlineStr">
        <is>
          <t>Optional individual placements (Natural England, RSPB etc. per snippet) and MSc Environmental Management agency-linked research project; no group client project verified.</t>
        </is>
      </c>
    </row>
    <row r="311">
      <c r="A311" s="77" t="inlineStr">
        <is>
          <t>UK19</t>
        </is>
      </c>
      <c r="B311" s="77" t="inlineStr">
        <is>
          <t>Stirling</t>
        </is>
      </c>
      <c r="C311" s="77" t="inlineStr">
        <is>
          <t>Arts/humanities/social sciences</t>
        </is>
      </c>
      <c r="D311" s="77" t="inlineStr">
        <is>
          <t>Searched</t>
        </is>
      </c>
      <c r="E311" s="77" t="inlineStr">
        <is>
          <t>Stirling Arts and Humanities Social Sciences group project community partner client brief module</t>
        </is>
      </c>
      <c r="F311" s="77" t="inlineStr">
        <is>
          <t>https://www.stir.ac.uk/student-life/careers/employers/recruiting-our-students/student-projects/arts-and-humanities-placements/</t>
        </is>
      </c>
      <c r="G311" s="77" t="inlineStr">
        <is>
          <t>Second-year placement-style real projects for external bodies; group working not generally evidenced.</t>
        </is>
      </c>
    </row>
    <row r="312">
      <c r="A312" s="77" t="inlineStr">
        <is>
          <t>UK19</t>
        </is>
      </c>
      <c r="B312" s="77" t="inlineStr">
        <is>
          <t>Stirling</t>
        </is>
      </c>
      <c r="C312" s="77" t="inlineStr">
        <is>
          <t>Other (law, health, design, architecture…)</t>
        </is>
      </c>
      <c r="D312" s="77" t="inlineStr">
        <is>
          <t>Searched</t>
        </is>
      </c>
      <c r="E312" s="77" t="inlineStr">
        <is>
          <t>Stirling health sciences sport nursing education group project external organisation client</t>
        </is>
      </c>
      <c r="F312" s="77" t="inlineStr">
        <is>
          <t>https://www.stir.ac.uk/about/faculties/health-sciences-sport/</t>
        </is>
      </c>
      <c r="G312" s="77" t="inlineStr">
        <is>
          <t>Nursing placements and a funder-led pilot only; law placements (30 hours) are placements; no qualifying group client project found.</t>
        </is>
      </c>
    </row>
    <row r="313">
      <c r="A313" s="77" t="inlineStr">
        <is>
          <t>UK20</t>
        </is>
      </c>
      <c r="B313" s="77" t="inlineStr">
        <is>
          <t>SOAS</t>
        </is>
      </c>
      <c r="C313" s="77" t="inlineStr">
        <is>
          <t>Central provision</t>
        </is>
      </c>
      <c r="D313" s="77" t="inlineStr">
        <is>
          <t>Searched</t>
        </is>
      </c>
      <c r="E313" s="77" t="inlineStr">
        <is>
          <t>SOAS careers employer project students teams live brief; SOAS Virtual Industry Project 2026 applications semester 2 Practera; WebFetch work-aligned learning; services-employers</t>
        </is>
      </c>
      <c r="F313" s="77" t="inlineStr">
        <is>
          <t>https://www.soas.ac.uk/soas-virtual-industry-project; https://www.soas.ac.uk/about/news/students-build-real-life-employment-skills-through-online-industry-placements; https://www.soas.ac.uk/work-aligned-learning-soas; https://www.soas.ac.uk/services-employers</t>
        </is>
      </c>
      <c r="G313" s="77" t="inlineStr">
        <is>
          <t>University-wide extracurricular 2-week Practera virtual industry project (100 places) qualifies on A/B/C but current-year evidence missing; employer-facing Student Consultancy Project is unclear on groups.</t>
        </is>
      </c>
    </row>
    <row r="314">
      <c r="A314" s="77" t="inlineStr">
        <is>
          <t>UK20</t>
        </is>
      </c>
      <c r="B314" s="77" t="inlineStr">
        <is>
          <t>SOAS</t>
        </is>
      </c>
      <c r="C314" s="77" t="inlineStr">
        <is>
          <t>Business/management</t>
        </is>
      </c>
      <c r="D314" s="77" t="inlineStr">
        <is>
          <t>Searched</t>
        </is>
      </c>
      <c r="E314" s="77" t="inlineStr">
        <is>
          <t>SOAS School of Finance and Management consultancy project module client; SOAS MSc Finance Practical Industry Project 30 credits Practera; SOAS courseunits Practical Industry Project 2025</t>
        </is>
      </c>
      <c r="F314" s="77" t="inlineStr">
        <is>
          <t>https://www.soas.ac.uk/study/find-course/msc-finance; https://www.soas.ac.uk/about/event/school-finance-and-management-virtual-industry-project</t>
        </is>
      </c>
      <c r="G314" s="77" t="inlineStr">
        <is>
          <t>MSc Finance/International Business optional 30-credit Practical Industry Project with 5-6 person groups on a client brief; client identity unverified; 2022 SFM VIP event historical.</t>
        </is>
      </c>
    </row>
    <row r="315">
      <c r="A315" s="77" t="inlineStr">
        <is>
          <t>UK20</t>
        </is>
      </c>
      <c r="B315" s="77" t="inlineStr">
        <is>
          <t>SOAS</t>
        </is>
      </c>
      <c r="C315" s="77" t="inlineStr">
        <is>
          <t>Engineering/computing</t>
        </is>
      </c>
      <c r="D315" s="77" t="inlineStr">
        <is>
          <t>Not applicable</t>
        </is>
      </c>
      <c r="E315" s="77" t="inlineStr">
        <is>
          <t>SOAS data science computing science engineering department degree</t>
        </is>
      </c>
      <c r="F315" s="77" t="inlineStr">
        <is>
          <t>https://www.soas.ac.uk/study/find-course/msc-data-science</t>
        </is>
      </c>
      <c r="G315" s="77" t="inlineStr">
        <is>
          <t>No engineering or computing department found; data science MScs are run from Economics.</t>
        </is>
      </c>
    </row>
    <row r="316">
      <c r="A316" s="77" t="inlineStr">
        <is>
          <t>UK20</t>
        </is>
      </c>
      <c r="B316" s="77" t="inlineStr">
        <is>
          <t>SOAS</t>
        </is>
      </c>
      <c r="C316" s="77" t="inlineStr">
        <is>
          <t>Science</t>
        </is>
      </c>
      <c r="D316" s="77" t="inlineStr">
        <is>
          <t>Not applicable</t>
        </is>
      </c>
      <c r="E316" s="77" t="inlineStr">
        <is>
          <t>SOAS data science computing science engineering department degree</t>
        </is>
      </c>
      <c r="F316" s="77" t="inlineStr">
        <is>
          <t>https://www.soas.ac.uk/study/find-course/msc-data-science</t>
        </is>
      </c>
      <c r="G316" s="77" t="inlineStr">
        <is>
          <t>SOAS has no natural science faculty; quantitative provision (data science) sits in Economics and was queried once, no external-partner group project found.</t>
        </is>
      </c>
    </row>
    <row r="317">
      <c r="A317" s="77" t="inlineStr">
        <is>
          <t>UK20</t>
        </is>
      </c>
      <c r="B317" s="77" t="inlineStr">
        <is>
          <t>SOAS</t>
        </is>
      </c>
      <c r="C317" s="77" t="inlineStr">
        <is>
          <t>Arts/humanities/social sciences</t>
        </is>
      </c>
      <c r="D317" s="77" t="inlineStr">
        <is>
          <t>Searched</t>
        </is>
      </c>
      <c r="E317" s="77" t="inlineStr">
        <is>
          <t>SOAS development studies MA Global Development placement module group project partner organisation; SOAS International Development Placement module partner organisations groups</t>
        </is>
      </c>
      <c r="F317" s="77" t="inlineStr">
        <is>
          <t>https://www.soas.ac.uk/study/find-course/msc-global-development</t>
        </is>
      </c>
      <c r="G317" s="77" t="inlineStr">
        <is>
          <t>Optional virtual International Development Placement: teams of 2-9 with development partner organisations (cap 75), but project output and currency unverified.</t>
        </is>
      </c>
    </row>
    <row r="318">
      <c r="A318" s="77" t="inlineStr">
        <is>
          <t>UK20</t>
        </is>
      </c>
      <c r="B318" s="77" t="inlineStr">
        <is>
          <t>SOAS</t>
        </is>
      </c>
      <c r="C318" s="77" t="inlineStr">
        <is>
          <t>Other (law, health, design, architecture…)</t>
        </is>
      </c>
      <c r="D318" s="77" t="inlineStr">
        <is>
          <t>Searched</t>
        </is>
      </c>
      <c r="E318" s="77" t="inlineStr">
        <is>
          <t>SOAS Law clinic students real clients Detention Law Clinic Wilsons module</t>
        </is>
      </c>
      <c r="F318" s="77" t="inlineStr">
        <is>
          <t>https://www.soas.ac.uk/work-aligned-learning-soas; https://www.soas.ac.uk/about-soas/colleges-schools-and-departments/school-law-gender-and-media/soas-llb/ba-llm/ma-law</t>
        </is>
      </c>
      <c r="G318" s="77" t="inlineStr">
        <is>
          <t>Law clinics are supervised casework (excluded). No health, design or architecture faculties.</t>
        </is>
      </c>
    </row>
    <row r="319">
      <c r="A319" s="77" t="inlineStr">
        <is>
          <t>UK21</t>
        </is>
      </c>
      <c r="B319" s="77" t="inlineStr">
        <is>
          <t>Birkbeck</t>
        </is>
      </c>
      <c r="C319" s="77" t="inlineStr">
        <is>
          <t>Central provision</t>
        </is>
      </c>
      <c r="D319" s="77" t="inlineStr">
        <is>
          <t>Searched</t>
        </is>
      </c>
      <c r="E319" s="77" t="inlineStr">
        <is>
          <t>Birkbeck employer project students team client brief module; Birkbeck Careers and Enterprise employer project students work in teams challenge</t>
        </is>
      </c>
      <c r="F319" s="77" t="inlineStr">
        <is>
          <t>https://www.bbk.ac.uk/student-services/careers-and-enterprise/employer-partnerships; https://www.bbk.ac.uk/student-services/careers-and-enterprise/start-a-business; https://www.bbk.ac.uk/courses/module/CASC002H5</t>
        </is>
      </c>
      <c r="G319" s="77" t="inlineStr">
        <is>
          <t>Central provision is micro-placements (individual) and the Pioneer enterprise programme (workshops/founder support, 2026/27 timetable with a live pitch final); no central team-with-employer project route found.</t>
        </is>
      </c>
    </row>
    <row r="320">
      <c r="A320" s="77" t="inlineStr">
        <is>
          <t>UK21</t>
        </is>
      </c>
      <c r="B320" s="77" t="inlineStr">
        <is>
          <t>Birkbeck</t>
        </is>
      </c>
      <c r="C320" s="77" t="inlineStr">
        <is>
          <t>Business/management</t>
        </is>
      </c>
      <c r="D320" s="77" t="inlineStr">
        <is>
          <t>Searched</t>
        </is>
      </c>
      <c r="E320" s="77" t="inlineStr">
        <is>
          <t>Birkbeck School of Business Economics and Informatics consultancy project live client MSc; Birkbeck Consultancy Challenge PA Consulting students teams Defra RSPCA</t>
        </is>
      </c>
      <c r="F320" s="77" t="inlineStr">
        <is>
          <t>https://www.bbk.ac.uk/courses/modules/buob/BUOB063D7; https://www.bbk.ac.uk/courses/postgraduate/management-consultancy-and-organisational-change</t>
        </is>
      </c>
      <c r="G320" s="77" t="inlineStr">
        <is>
          <t>The Consultancy Challenge with PA Consulting (MSc Management Consultancy and Organisational Change) meets A, B and C. Other business modules (Workplace Research Project, Project Management group presentation) show no external client.</t>
        </is>
      </c>
    </row>
    <row r="321">
      <c r="A321" s="77" t="inlineStr">
        <is>
          <t>UK21</t>
        </is>
      </c>
      <c r="B321" s="77" t="inlineStr">
        <is>
          <t>Birkbeck</t>
        </is>
      </c>
      <c r="C321" s="77" t="inlineStr">
        <is>
          <t>Engineering/computing</t>
        </is>
      </c>
      <c r="D321" s="77" t="inlineStr">
        <is>
          <t>Searched</t>
        </is>
      </c>
      <c r="E321" s="77" t="inlineStr">
        <is>
          <t>Birkbeck computing data science group project industry partner module; Birkbeck Department of Computing group project software engineering client real company</t>
        </is>
      </c>
      <c r="F321" s="77" t="inlineStr">
        <is>
          <t>https://www.bbk.ac.uk/courses/modules/buci/BUCI082S7; https://www.bbk.ac.uk/courses/modules/buci/BUCI090S7</t>
        </is>
      </c>
      <c r="G321" s="77" t="inlineStr">
        <is>
          <t>Applied Software Engineering (BUCI090S7) has a 60% group programming project but no external client mentioned; PG Cert Applied Data Science project mentions a work-based project but group/employer role unclear; UG/MSc projects appear individual and supervisor-led.</t>
        </is>
      </c>
    </row>
    <row r="322">
      <c r="A322" s="77" t="inlineStr">
        <is>
          <t>UK21</t>
        </is>
      </c>
      <c r="B322" s="77" t="inlineStr">
        <is>
          <t>Birkbeck</t>
        </is>
      </c>
      <c r="C322" s="77" t="inlineStr">
        <is>
          <t>Science</t>
        </is>
      </c>
      <c r="D322" s="77" t="inlineStr">
        <is>
          <t>Searched</t>
        </is>
      </c>
      <c r="E322" s="77" t="inlineStr">
        <is>
          <t>Birkbeck science biological sciences psychology geography student project external organisation partner</t>
        </is>
      </c>
      <c r="F322" s="77" t="inlineStr">
        <is>
          <t>https://www.bbk.ac.uk/documents/programme-specification-2025-26-bsc-natural-sciences-incl-with-foundation-year.pdf</t>
        </is>
      </c>
      <c r="G322" s="77" t="inlineStr">
        <is>
          <t>Only doctoral-level external partnerships and individual supervised projects found; no taught group employer project verified.</t>
        </is>
      </c>
    </row>
    <row r="323">
      <c r="A323" s="77" t="inlineStr">
        <is>
          <t>UK21</t>
        </is>
      </c>
      <c r="B323" s="77" t="inlineStr">
        <is>
          <t>Birkbeck</t>
        </is>
      </c>
      <c r="C323" s="77" t="inlineStr">
        <is>
          <t>Arts/humanities/social sciences</t>
        </is>
      </c>
      <c r="D323" s="77" t="inlineStr">
        <is>
          <t>Searched</t>
        </is>
      </c>
      <c r="E323" s="77" t="inlineStr">
        <is>
          <t>Birkbeck humanities social sciences students collaborate community organisation project module heritage museum client</t>
        </is>
      </c>
      <c r="F323" s="77" t="inlineStr">
        <is>
          <t>https://www.bbk.ac.uk/courses/modules/arvc/ARVC054S7; https://www.bbk.ac.uk/courses/modules/sshc/SSHC389S7</t>
        </is>
      </c>
      <c r="G323" s="77" t="inlineStr">
        <is>
          <t>Museum and Heritage Work Placement is an individual placement; Public Histories in Practice offers a project-development assessment but no external client or group work evidenced.</t>
        </is>
      </c>
    </row>
    <row r="324">
      <c r="A324" s="77" t="inlineStr">
        <is>
          <t>UK21</t>
        </is>
      </c>
      <c r="B324" s="77" t="inlineStr">
        <is>
          <t>Birkbeck</t>
        </is>
      </c>
      <c r="C324" s="77" t="inlineStr">
        <is>
          <t>Other (law, health, design, architecture…)</t>
        </is>
      </c>
      <c r="D324" s="77" t="inlineStr">
        <is>
          <t>Searched</t>
        </is>
      </c>
      <c r="E324" s="77" t="inlineStr">
        <is>
          <t>Birkbeck law clinic pro bono students team external organisation</t>
        </is>
      </c>
      <c r="F324" s="77" t="inlineStr">
        <is>
          <t>https://www.bbk.ac.uk/school/law/clinical-opportunities-in-law</t>
        </is>
      </c>
      <c r="G324" s="77" t="inlineStr">
        <is>
          <t>Law clinical opportunities (Hammersmith and Fulham Law Centre, Release, Refugee Law Clinic, ELF) are casework/pro bono placements with partner organisations, not group projects with a defined deliverable; no health, design or architecture faculties identified.</t>
        </is>
      </c>
    </row>
    <row r="325">
      <c r="A325" s="77" t="inlineStr">
        <is>
          <t>UK22</t>
        </is>
      </c>
      <c r="B325" s="77" t="inlineStr">
        <is>
          <t>Royal Holloway</t>
        </is>
      </c>
      <c r="C325" s="77" t="inlineStr">
        <is>
          <t>Central provision</t>
        </is>
      </c>
      <c r="D325" s="77" t="inlineStr">
        <is>
          <t>Searched</t>
        </is>
      </c>
      <c r="E325" s="77" t="inlineStr">
        <is>
          <t>Royal Holloway student consultancy live client project employer team; Royal Holloway Careers and Employability employer challenge project students teams Enterprise Hub live brief</t>
        </is>
      </c>
      <c r="F325" s="77" t="inlineStr">
        <is>
          <t>https://www.royalholloway.ac.uk/research-and-education/education/embedding-employability/; https://www.royalholloway.ac.uk/about-us/recruiting-our-students/careers-service-statement-of-service/</t>
        </is>
      </c>
      <c r="G325" s="77" t="inlineStr">
        <is>
          <t>No central student consultancy or university-wide employer-project scheme found. Careers Service offers fairs, placements and a Summer Skills Placement Programme (individual). 'Embedding employability' page cites departmental employer-linked activities (undated, no group/project detail). Legacy Volunteer Awards is recognition of volunteering, not a project scheme.</t>
        </is>
      </c>
    </row>
    <row r="326">
      <c r="A326" s="77" t="inlineStr">
        <is>
          <t>UK22</t>
        </is>
      </c>
      <c r="B326" s="77" t="inlineStr">
        <is>
          <t>Royal Holloway</t>
        </is>
      </c>
      <c r="C326" s="77" t="inlineStr">
        <is>
          <t>Business/management</t>
        </is>
      </c>
      <c r="D326" s="77" t="inlineStr">
        <is>
          <t>Searched</t>
        </is>
      </c>
      <c r="E326" s="77" t="inlineStr">
        <is>
          <t>Royal Holloway School of Business and Management consultancy project module client organisation; Royal Holloway Digital Marketing Consultancy MN5621 client brief; Royal Holloway Digital Business MSc working in teams digital consultancy client; Royal Holloway Business and Management Impact Project OR Management Consulting undergraduate module client external organisation group</t>
        </is>
      </c>
      <c r="F326" s="77" t="inlineStr">
        <is>
          <t>https://www.royalholloway.ac.uk/studying-here/postgraduate/business-school/digital-marketing-msc/; https://www.royalholloway.ac.uk/media/26720/digital-business-msc-3749.pdf; https://www.royalholloway.ac.uk/studying-here/postgraduate/business-and-management/ai-for-business-msc/</t>
        </is>
      </c>
      <c r="G326" s="77" t="inlineStr">
        <is>
          <t>Client-consultancy modules exist on MSc Digital Marketing (MN5621) and MSc Digital Business (MN5802, mandatory, team-based per search extract), but whether clients are external organisations, and for MN5621 whether work is in teams, is not documented. AI for Business MSc consulting project is individual. UG Impact Projects (MN3007/8) lack evidence of external clients or groups.</t>
        </is>
      </c>
    </row>
    <row r="327">
      <c r="A327" s="77" t="inlineStr">
        <is>
          <t>UK22</t>
        </is>
      </c>
      <c r="B327" s="77" t="inlineStr">
        <is>
          <t>Royal Holloway</t>
        </is>
      </c>
      <c r="C327" s="77" t="inlineStr">
        <is>
          <t>Engineering/computing</t>
        </is>
      </c>
      <c r="D327" s="77" t="inlineStr">
        <is>
          <t>Searched</t>
        </is>
      </c>
      <c r="E327" s="77" t="inlineStr">
        <is>
          <t>Royal Holloway Computer Science final year group project industry client; Royal Holloway MSci Team Project CS4825 real clients software company 2025/26</t>
        </is>
      </c>
      <c r="F327" s="77" t="inlineStr">
        <is>
          <t>https://www.royalholloway.ac.uk/studying-here/undergraduate/computer-science/computer-science-software-engineering-msci/; https://www.royalholloway.ac.uk/media/dmfhzdkk/computer-science-software-engineering-msci-g461.pdf; https://www.royalholloway.ac.uk/research-and-education/subjects/computer-science/working-with-companies/</t>
        </is>
      </c>
      <c r="G327" s="77" t="inlineStr">
        <is>
          <t>CS4825 MSci Team Project (60 credits, mandatory, Software Engineering MSci) is a team project 'for real clients' run as a company; client identity (external vs in-house CodeGroovers) not documented. Final-year individual projects can be company-proposed (individual, excluded). No separate engineering faculty found.</t>
        </is>
      </c>
    </row>
    <row r="328">
      <c r="A328" s="77" t="inlineStr">
        <is>
          <t>UK22</t>
        </is>
      </c>
      <c r="B328" s="77" t="inlineStr">
        <is>
          <t>Royal Holloway</t>
        </is>
      </c>
      <c r="C328" s="77" t="inlineStr">
        <is>
          <t>Science</t>
        </is>
      </c>
      <c r="D328" s="77" t="inlineStr">
        <is>
          <t>Searched</t>
        </is>
      </c>
      <c r="E328" s="77" t="inlineStr">
        <is>
          <t>Royal Holloway Geography OR Biological Sciences OR Mathematics OR Physics external partner group project module</t>
        </is>
      </c>
      <c r="F328" s="77" t="inlineStr">
        <is>
          <t>https://www.royalholloway.ac.uk/studying-here/undergraduate/geography/physical-geography/; https://www.royalholloway.ac.uk/research-and-education/departments-and-schools/schools/school-of-engineering-physical-and-mathematical-sciences/partnerships/</t>
        </is>
      </c>
      <c r="G328" s="77" t="inlineStr">
        <is>
          <t>Physical Geography has an Independent Placement-Linked Dissertation (individual); Physics 'Advanced Skills in Physics' has a group project with no external partner evidenced. Nothing qualifying verified in sciences (single broad query only).</t>
        </is>
      </c>
    </row>
    <row r="329">
      <c r="A329" s="77" t="inlineStr">
        <is>
          <t>UK22</t>
        </is>
      </c>
      <c r="B329" s="77" t="inlineStr">
        <is>
          <t>Royal Holloway</t>
        </is>
      </c>
      <c r="C329" s="77" t="inlineStr">
        <is>
          <t>Arts/humanities/social sciences</t>
        </is>
      </c>
      <c r="D329" s="77" t="inlineStr">
        <is>
          <t>Searched</t>
        </is>
      </c>
      <c r="E329" s="77" t="inlineStr">
        <is>
          <t>Royal Holloway Politics OR Media OR Drama OR Music OR History students project with external organisation client module</t>
        </is>
      </c>
      <c r="F329" s="77" t="inlineStr">
        <is>
          <t>https://www.royalholloway.ac.uk/research-and-education/education/embedding-employability/</t>
        </is>
      </c>
      <c r="G329" s="77" t="inlineStr">
        <is>
          <t>No live-client group module found in Politics, Music, Drama, History, English. Geography 'urban promotion plans for real cities' presented to industry assessors (employability page) is undated and its group basis unknown.</t>
        </is>
      </c>
    </row>
    <row r="330">
      <c r="A330" s="77" t="inlineStr">
        <is>
          <t>UK22</t>
        </is>
      </c>
      <c r="B330" s="77" t="inlineStr">
        <is>
          <t>Royal Holloway</t>
        </is>
      </c>
      <c r="C330" s="77" t="inlineStr">
        <is>
          <t>Other (law, health, design, architecture…)</t>
        </is>
      </c>
      <c r="D330" s="77" t="inlineStr">
        <is>
          <t>Searched</t>
        </is>
      </c>
      <c r="E330" s="77" t="inlineStr">
        <is>
          <t>Royal Holloway Law OR Psychology OR Health OR Creative project external partner module students teams client</t>
        </is>
      </c>
      <c r="F330" s="77" t="inlineStr"/>
      <c r="G330" s="77" t="inlineStr">
        <is>
          <t>Search returned only irrelevant IT pages; no law clinic, health or design client-project evidence found. Not exhaustively tested.</t>
        </is>
      </c>
    </row>
    <row r="331">
      <c r="A331" s="77" t="inlineStr">
        <is>
          <t>UK23</t>
        </is>
      </c>
      <c r="B331" s="77" t="inlineStr">
        <is>
          <t>City St George’s</t>
        </is>
      </c>
      <c r="C331" s="77" t="inlineStr">
        <is>
          <t>Central provision</t>
        </is>
      </c>
      <c r="D331" s="77" t="inlineStr">
        <is>
          <t>Searched</t>
        </is>
      </c>
      <c r="E331" s="77" t="inlineStr">
        <is>
          <t>City St George's student consultancy live client project employer; City St George's Interdisciplinary Challenge employer-set brief students teams; Industry Led Projects City St George's third-year module live brief credits groups employer; Industry Led Projects 2025 2026 employer brief deadline Autumn term; Industry Projects module small multi-disciplinary groups employers sector streams 15 credits; CitySpark 2025 OR 2026 City St George's business idea competition</t>
        </is>
      </c>
      <c r="F331" s="77" t="inlineStr">
        <is>
          <t>https://www.citystgeorges.ac.uk/business/access/meet/industry-led-projects; https://www.citystgeorges.ac.uk/business/access/meet; https://www.citystgeorges.ac.uk/prospective-students/courses/undergraduate/business-economics; https://studenthub.citystgeorges.ac.uk/news-and-events/news/2024/february/cityspark-2024</t>
        </is>
      </c>
      <c r="G331" s="77" t="inlineStr">
        <is>
          <t>Central Corporate Relations &amp; Employability Unit hosts credit-bearing 'Industry Led Projects' (third-year UG, four schools): live employer briefs, groups or individual. Current-year delivery not evidenced. Legacy CitySpark is an enterprise competition with no 2025/26 round found (excluded).</t>
        </is>
      </c>
    </row>
    <row r="332">
      <c r="A332" s="77" t="inlineStr">
        <is>
          <t>UK23</t>
        </is>
      </c>
      <c r="B332" s="77" t="inlineStr">
        <is>
          <t>City St George’s</t>
        </is>
      </c>
      <c r="C332" s="77" t="inlineStr">
        <is>
          <t>Business/management</t>
        </is>
      </c>
      <c r="D332" s="77" t="inlineStr">
        <is>
          <t>Searched</t>
        </is>
      </c>
      <c r="E332" s="77" t="inlineStr">
        <is>
          <t>Bayes Business School consulting project client MSc students team; MSc Consulting Challenge Bayes team of 5 summer term consultancy project client</t>
        </is>
      </c>
      <c r="F332" s="77" t="inlineStr">
        <is>
          <t>https://www.bayes.citystgeorges.ac.uk/for-businesses/recruit-our-students/business-projects-page; https://www.bayes.citystgeorges.ac.uk/study/masters/courses/management; https://www.bayes.city.ac.uk/study/mba/full-time/programme-structure/commercial-projects</t>
        </is>
      </c>
      <c r="G332" s="77" t="inlineStr">
        <is>
          <t>Bayes offers a team MSc Consulting Challenge (teams of 5, May-August, no-fee clients), a Full-time MBA Strategy Project and a BSc Management student consultancy (groups of 4-6). Pages are undated or roughly 2 years old, so current delivery is unclear.</t>
        </is>
      </c>
    </row>
    <row r="333">
      <c r="A333" s="77" t="inlineStr">
        <is>
          <t>UK23</t>
        </is>
      </c>
      <c r="B333" s="77" t="inlineStr">
        <is>
          <t>City St George’s</t>
        </is>
      </c>
      <c r="C333" s="77" t="inlineStr">
        <is>
          <t>Engineering/computing</t>
        </is>
      </c>
      <c r="D333" s="77" t="inlineStr">
        <is>
          <t>Searched</t>
        </is>
      </c>
      <c r="E333" s="77" t="inlineStr">
        <is>
          <t>City St George's computer science final year project industry client team software engineering group project; Hewlett Packard Enterprise module MSci groups technical challenge SME ... industry group projects employer partners; Hewlett Packard Enterprise consultancy programme City St George's 2025 students SMEs final year</t>
        </is>
      </c>
      <c r="F333" s="77" t="inlineStr">
        <is>
          <t>https://www.citystgeorges.ac.uk/news-and-events/news/2024/september/hewlett-packard-enterprise-consultancy-programme-city-st-georges; https://www.citystgeorges.ac.uk/prospective-students/courses/undergraduate/data-science/2026; https://www.citystgeorges.ac.uk/prospective-students/courses/undergraduate/computer-science-msci</t>
        </is>
      </c>
      <c r="G333" s="77" t="inlineStr">
        <is>
          <t>The 15-credit Year 3 'Hewlett Packard Enterprise: Technology Consulting' module has groups propose solutions to a technical challenge for an assigned SME, with HPE mentors. It is listed on 2026/27 and 2027/28 course pages. Final-year individual projects are separate.</t>
        </is>
      </c>
    </row>
    <row r="334">
      <c r="A334" s="77" t="inlineStr">
        <is>
          <t>UK23</t>
        </is>
      </c>
      <c r="B334" s="77" t="inlineStr">
        <is>
          <t>City St George’s</t>
        </is>
      </c>
      <c r="C334" s="77" t="inlineStr">
        <is>
          <t>Science</t>
        </is>
      </c>
      <c r="D334" s="77" t="inlineStr">
        <is>
          <t>Searched</t>
        </is>
      </c>
      <c r="E334" s="77" t="inlineStr">
        <is>
          <t>City St George's mathematics psychology optometry radiography students project external organisation client group project module</t>
        </is>
      </c>
      <c r="F334" s="77" t="inlineStr">
        <is>
          <t>https://www.citystgeorges.ac.uk/business/access/meet/industry-led-projects</t>
        </is>
      </c>
      <c r="G334" s="77" t="inlineStr">
        <is>
          <t>No client-project module found for mathematics, psychology or health-science programmes in one query. The search summary noted Industry Led Projects does not list these schools. Student-staff partnership projects are internal research (excluded).</t>
        </is>
      </c>
    </row>
    <row r="335">
      <c r="A335" s="77" t="inlineStr">
        <is>
          <t>UK23</t>
        </is>
      </c>
      <c r="B335" s="77" t="inlineStr">
        <is>
          <t>City St George’s</t>
        </is>
      </c>
      <c r="C335" s="77" t="inlineStr">
        <is>
          <t>Arts/humanities/social sciences</t>
        </is>
      </c>
      <c r="D335" s="77" t="inlineStr">
        <is>
          <t>Searched</t>
        </is>
      </c>
      <c r="E335" s="77" t="inlineStr">
        <is>
          <t>Journalism OR Policy OR Communication students live client brief group project charity organisation module handbook; Sustainability and Climate Change module external partner real-world challenge groups Graduate Futures Awards 2026</t>
        </is>
      </c>
      <c r="F335" s="77" t="inlineStr">
        <is>
          <t>https://www.citystgeorges.ac.uk/news-and-events/news/2026/august/city-st-georges-recognised-with-national-sustainable-careers-commendation; https://www.citystgeorges.ac.uk/news-and-events/news/2025/january/developing-interdisciplinary-module-sustainability-climate-change; https://www.citystgeorges.ac.uk/prospective-students/courses/undergraduate/communication-pr-advertising</t>
        </is>
      </c>
      <c r="G335" s="77" t="inlineStr">
        <is>
          <t>The interdisciplinary Sustainability and Climate Change module (launched Jan 2025, law first) has student teams on external-partner challenges, with 2026 award news. Industry Projects appears in Economics, Social Sciences, Media and Communications and Communication/PR/Advertising degrees. Journalism project is individual.</t>
        </is>
      </c>
    </row>
    <row r="336">
      <c r="A336" s="77" t="inlineStr">
        <is>
          <t>UK23</t>
        </is>
      </c>
      <c r="B336" s="77" t="inlineStr">
        <is>
          <t>City St George’s</t>
        </is>
      </c>
      <c r="C336" s="77" t="inlineStr">
        <is>
          <t>Other (law, health, design, architecture…)</t>
        </is>
      </c>
      <c r="D336" s="77" t="inlineStr">
        <is>
          <t>Searched</t>
        </is>
      </c>
      <c r="E336" s="77" t="inlineStr">
        <is>
          <t>City Law School pro bono clinic OR Law in practice students teams external organisation client project</t>
        </is>
      </c>
      <c r="F336" s="77" t="inlineStr">
        <is>
          <t>https://www.citystgeorges.ac.uk/about/schools/law/law-in-real-life/volunteering-for-law-students</t>
        </is>
      </c>
      <c r="G336" s="77" t="inlineStr">
        <is>
          <t>Law clinics (CityCLAC, Refugee Law Clinic, Innocence Project) are client casework and excluded. Law LLB lists Industry Projects (group, live brief). Environmental Law Pro Bono Policy Clinic is a 2022 lead only. Health/nursing/architecture-design not queried further.</t>
        </is>
      </c>
    </row>
    <row r="337">
      <c r="A337" s="77" t="inlineStr">
        <is>
          <t>UK24</t>
        </is>
      </c>
      <c r="B337" s="77" t="inlineStr">
        <is>
          <t>Oxford Brookes</t>
        </is>
      </c>
      <c r="C337" s="77" t="inlineStr">
        <is>
          <t>Central provision</t>
        </is>
      </c>
      <c r="D337" s="77" t="inlineStr">
        <is>
          <t>Searched</t>
        </is>
      </c>
      <c r="E337" s="77" t="inlineStr">
        <is>
          <t>Oxford Brookes central employer-led project students teams Brookes Futures Careers live brief challenge; Oxford Brookes students live client project team employer brief module</t>
        </is>
      </c>
      <c r="F337" s="77" t="inlineStr">
        <is>
          <t>https://www.brookes.ac.uk/about-brookes/structure-and-governance/faculties-and-schools/business/business-engagement/work-with-our-students; https://www.brookes.ac.uk/brookesedge/activities</t>
        </is>
      </c>
      <c r="G337" s="77" t="inlineStr">
        <is>
          <t>No university-wide employer project scheme found. Employer-facing student project routes are run by Oxford Brookes Business School (OBBS Business and External Engagement / WAVES team); Careers pages only act as employer contact. Brookes Enterprise 'Spark' (legacy) is a start-up programme, excluded.</t>
        </is>
      </c>
    </row>
    <row r="338">
      <c r="A338" s="77" t="inlineStr">
        <is>
          <t>UK24</t>
        </is>
      </c>
      <c r="B338" s="77" t="inlineStr">
        <is>
          <t>Oxford Brookes</t>
        </is>
      </c>
      <c r="C338" s="77" t="inlineStr">
        <is>
          <t>Business/management</t>
        </is>
      </c>
      <c r="D338" s="77" t="inlineStr">
        <is>
          <t>Searched</t>
        </is>
      </c>
      <c r="E338" s="77" t="inlineStr">
        <is>
          <t>Oxford Brookes Business Challenge Week postgraduate real organisations teams; Oxford Brookes Live Client Strategic Project module group clients (extended); WebFetch: real-world-learning, free-consultancy-and-support, work-with-our-students, business-challenge-week, MBA, MSc Management, BA Business and Management, MSc International Hotel and Tourism Management, MSc Project Management</t>
        </is>
      </c>
      <c r="F338" s="77" t="inlineStr">
        <is>
          <t>https://www.brookes.ac.uk/about-brookes/structure-and-governance/faculties-and-schools/business/real-world-learning; https://www.brookes.ac.uk/business/business-engagement/work-with-our-students/business-challenge-week; https://www.brookes.ac.uk/about-brookes/structure-and-governance/faculties-and-schools/business/business-engagement/work-with-our-students; https://www.brookes.ac.uk/courses/postgraduate/management; https://www.brookes.ac.uk/courses/postgraduate/oxford-brookes-mba</t>
        </is>
      </c>
      <c r="G338" s="77" t="inlineStr">
        <is>
          <t>Business Challenge Week (PG, partner-set problems, teams) and the Summer Student Consultancy Scheme (UG teams of 2-3, organisation briefs) meet A/B/C. MBA Client Project and MSc Management Group Consultancy Project are team-based client work but credit, outputs and partner role are not documented on pages. BA Business and Management Live Client Strategic Project (compulsory Y2) has no group/client detail.</t>
        </is>
      </c>
    </row>
    <row r="339">
      <c r="A339" s="77" t="inlineStr">
        <is>
          <t>UK24</t>
        </is>
      </c>
      <c r="B339" s="77" t="inlineStr">
        <is>
          <t>Oxford Brookes</t>
        </is>
      </c>
      <c r="C339" s="77" t="inlineStr">
        <is>
          <t>Engineering/computing</t>
        </is>
      </c>
      <c r="D339" s="77" t="inlineStr">
        <is>
          <t>Searched</t>
        </is>
      </c>
      <c r="E339" s="77" t="inlineStr">
        <is>
          <t>Oxford Brookes computing engineering final year group project industry client sponsor</t>
        </is>
      </c>
      <c r="F339" s="77" t="inlineStr">
        <is>
          <t>https://www.brookes.ac.uk/courses/postgraduate/advanced-computer-science; https://www.brookes.ac.uk/courses/undergraduate/computer-science</t>
        </is>
      </c>
      <c r="G339" s="77" t="inlineStr">
        <is>
          <t>No employer-sponsored group project verified. MSc Advanced Computer Science has a compulsory 20-credit Group Software Project (no external client evidenced) and a dissertation that 'may be undertaken in close co-operation with' an organisation (optional/individual). Electronic Engineering BEng has group design projects but no external client evidence.</t>
        </is>
      </c>
    </row>
    <row r="340">
      <c r="A340" s="77" t="inlineStr">
        <is>
          <t>UK24</t>
        </is>
      </c>
      <c r="B340" s="77" t="inlineStr">
        <is>
          <t>Oxford Brookes</t>
        </is>
      </c>
      <c r="C340" s="77" t="inlineStr">
        <is>
          <t>Science</t>
        </is>
      </c>
      <c r="D340" s="77" t="inlineStr">
        <is>
          <t>Searched</t>
        </is>
      </c>
      <c r="E340" s="77" t="inlineStr">
        <is>
          <t>Oxford Brookes science biosciences psychology geography student consultancy project external organisation team</t>
        </is>
      </c>
      <c r="F340" s="77" t="inlineStr">
        <is>
          <t>https://www.brookes.ac.uk/study/subject-areas/biosciences; https://www.brookes.ac.uk/research/units/hls/centres/centre-for-psychological-research</t>
        </is>
      </c>
      <c r="G340" s="77" t="inlineStr">
        <is>
          <t>No qualifying science group-project route found. Biological Sciences final-year research projects may be external but are individual; the Centre for Psychological Research consultancy is staff-led, not a student scheme.</t>
        </is>
      </c>
    </row>
    <row r="341">
      <c r="A341" s="77" t="inlineStr">
        <is>
          <t>UK24</t>
        </is>
      </c>
      <c r="B341" s="77" t="inlineStr">
        <is>
          <t>Oxford Brookes</t>
        </is>
      </c>
      <c r="C341" s="77" t="inlineStr">
        <is>
          <t>Arts/humanities/social sciences</t>
        </is>
      </c>
      <c r="D341" s="77" t="inlineStr">
        <is>
          <t>Searched</t>
        </is>
      </c>
      <c r="E341" s="77" t="inlineStr">
        <is>
          <t>Oxford Brookes Sociology Politics Criminology Social Work students client project community partner module team; Oxford Brookes architecture OR planning OR art OR English OR history students live project community client group module</t>
        </is>
      </c>
      <c r="F341" s="77" t="inlineStr">
        <is>
          <t>https://www.brookes.ac.uk/courses/undergraduate/politics; https://www.brookes.ac.uk/courses/undergraduate/criminology-and-sociology</t>
        </is>
      </c>
      <c r="G341" s="77" t="inlineStr">
        <is>
          <t>Only leads: Politics 'Professional Development in Practice' (Y2 optional, projects with 'external partners', group status unstated) and Social Science Extended Project (community project or dissertation, individual/group unstated). Neither evidenced to A/B/C standard. Social Work/Criminology routes are placements.</t>
        </is>
      </c>
    </row>
    <row r="342">
      <c r="A342" s="77" t="inlineStr">
        <is>
          <t>UK24</t>
        </is>
      </c>
      <c r="B342" s="77" t="inlineStr">
        <is>
          <t>Oxford Brookes</t>
        </is>
      </c>
      <c r="C342" s="77" t="inlineStr">
        <is>
          <t>Other (law, health, design, architecture…)</t>
        </is>
      </c>
      <c r="D342" s="77" t="inlineStr">
        <is>
          <t>Searched</t>
        </is>
      </c>
      <c r="E342" s="77" t="inlineStr">
        <is>
          <t>Oxford Brookes architecture OR planning OR art OR English OR history students live project community client group module; WebFetch: architecture live-projects page</t>
        </is>
      </c>
      <c r="F342" s="77" t="inlineStr">
        <is>
          <t>https://www.brookes.ac.uk/study/subject-areas/architecture-and-the-built-environment/architecture-and-the-built-environment/live-projects</t>
        </is>
      </c>
      <c r="G342" s="77" t="inlineStr">
        <is>
          <t>School of Architecture OB1 LIVE live projects for real community/NGO/local-authority clients (first-year). Group working and current delivery not explicitly evidenced. Health/design not separately searched beyond Social Work lead; further departmental instances likely.</t>
        </is>
      </c>
    </row>
    <row r="343">
      <c r="A343" s="77" t="inlineStr">
        <is>
          <t>UK25</t>
        </is>
      </c>
      <c r="B343" s="77" t="inlineStr">
        <is>
          <t>Northumbria</t>
        </is>
      </c>
      <c r="C343" s="77" t="inlineStr">
        <is>
          <t>Central provision</t>
        </is>
      </c>
      <c r="D343" s="77" t="inlineStr">
        <is>
          <t>Searched</t>
        </is>
      </c>
      <c r="E343" s="77" t="inlineStr">
        <is>
          <t>Northumbria University Business Clinic student consultancy live client module; Northumbria Experiential learning live project employer students team Career Ready / Northumbria Futures; Northumbria Business Clinic 2025 2026 students clients cohort consultancy projects news</t>
        </is>
      </c>
      <c r="F343" s="77" t="inlineStr">
        <is>
          <t>https://corp.northumbria.ac.uk/i-am-nu/experiential-learning/; https://www.northumbria.ac.uk/study-at-northumbria/planning-your-career/services-for-employers/connect-with-our-students/projects/</t>
        </is>
      </c>
      <c r="G343" s="77" t="inlineStr">
        <is>
          <t>No university-wide compulsory scheme; experiential learning is delivered through faculty-hosted routes (Business Clinic, Live Projects Hub, Computing Live Projects, Student Law Office, Film Live Briefs, Sport Outreach). Central page claims '700 students complete a live project or clinic-based modules every year' (2021/22 audit).</t>
        </is>
      </c>
    </row>
    <row r="344">
      <c r="A344" s="77" t="inlineStr">
        <is>
          <t>UK25</t>
        </is>
      </c>
      <c r="B344" s="77" t="inlineStr">
        <is>
          <t>Northumbria</t>
        </is>
      </c>
      <c r="C344" s="77" t="inlineStr">
        <is>
          <t>Business/management</t>
        </is>
      </c>
      <c r="D344" s="77" t="inlineStr">
        <is>
          <t>Searched</t>
        </is>
      </c>
      <c r="E344" s="77" t="inlineStr">
        <is>
          <t>Business Clinic module NX9626 / NX0479 (fetched module pages); Business Clinic newsroom 2025-26</t>
        </is>
      </c>
      <c r="F344" s="77" t="inlineStr">
        <is>
          <t>https://corp.northumbria.ac.uk/study-at-northumbria/courses/ba-hons-business-management-uusbnb1/modules/nx9626-undergraduate-consultancy-project/2026/; https://www.northumbria.ac.uk/study-at-northumbria/courses/msc-business-and-management-with-advanced-practice-dtsbdn6?moduleslug=nx0479-business-clinic-pg-group-consultancy-project&amp;alttemplate=df847541-4f68-426a-8940-4c60ff4c5262&amp;y=2026; https://newsroom.northumbria.ac.uk/pressreleases/students-support-growth-of-county-durham-community-hub-3459082</t>
        </is>
      </c>
      <c r="G344" s="77" t="inlineStr">
        <is>
          <t>Newcastle Business School Business Clinic: credit-bearing UG (NX9626) and PG (NX0479, NX0477) group consultancy modules for external clients; dated July 2026 client project.</t>
        </is>
      </c>
    </row>
    <row r="345">
      <c r="A345" s="77" t="inlineStr">
        <is>
          <t>UK25</t>
        </is>
      </c>
      <c r="B345" s="77" t="inlineStr">
        <is>
          <t>Northumbria</t>
        </is>
      </c>
      <c r="C345" s="77" t="inlineStr">
        <is>
          <t>Engineering/computing</t>
        </is>
      </c>
      <c r="D345" s="77" t="inlineStr">
        <is>
          <t>Searched</t>
        </is>
      </c>
      <c r="E345" s="77" t="inlineStr">
        <is>
          <t>Northumbria engineering computing group project industry client capstone module; Northumbria Advanced Practice live project module engineering environment 12 weeks; Northumbria School of Computer Science live project real-world client</t>
        </is>
      </c>
      <c r="F345" s="77" t="inlineStr">
        <is>
          <t>https://www.northumbria.ac.uk/business-services/education-and-training/ee-learning-hub/; https://www.northumbria.ac.uk/study-at-northumbria/courses/master-of-science-mechanical-engineering-with-advanced-practice-dtsmgc6?moduleslug=kb7056-advanced-practice-semester&amp;alttemplate=df847541-4f68-426a-8940-4c60ff4c5262&amp;y=2026; https://www.northumbria.ac.uk/study-at-northumbria/courses/bsc-hons-business-computing-extended-degree-uusxcp1?moduleslug=kv5037-computing-consultancy-project&amp;alttemplate=df847541-4f68-426a-8940-4c60ff4c5262&amp;y=2027</t>
        </is>
      </c>
      <c r="G345" s="77" t="inlineStr">
        <is>
          <t>Engineering and Environment Live Projects Hub (PG Advanced Practice Semester, 12-week team projects for ~100 businesses) and Computing Consultancy Project (KV5037, group status unclear). Civil KB6031 uses a simulated client (excluded).</t>
        </is>
      </c>
    </row>
    <row r="346">
      <c r="A346" s="77" t="inlineStr">
        <is>
          <t>UK25</t>
        </is>
      </c>
      <c r="B346" s="77" t="inlineStr">
        <is>
          <t>Northumbria</t>
        </is>
      </c>
      <c r="C346" s="77" t="inlineStr">
        <is>
          <t>Science</t>
        </is>
      </c>
      <c r="D346" s="77" t="inlineStr">
        <is>
          <t>Searched</t>
        </is>
      </c>
      <c r="E346" s="77" t="inlineStr">
        <is>
          <t>Northumbria Applied Sciences student project external organisation group live brief</t>
        </is>
      </c>
      <c r="F346" s="77" t="inlineStr">
        <is>
          <t>https://www.northumbria.ac.uk/about-us/academic-departments/applied-sciences/</t>
        </is>
      </c>
      <c r="G346" s="77" t="inlineStr">
        <is>
          <t>No module-level live-brief group scheme found for Applied Sciences / Geography and Environmental Sciences; Hub PG routes cover some science/maths disciplines (see S4). Further instances possible.</t>
        </is>
      </c>
    </row>
    <row r="347">
      <c r="A347" s="77" t="inlineStr">
        <is>
          <t>UK25</t>
        </is>
      </c>
      <c r="B347" s="77" t="inlineStr">
        <is>
          <t>Northumbria</t>
        </is>
      </c>
      <c r="C347" s="77" t="inlineStr">
        <is>
          <t>Arts/humanities/social sciences</t>
        </is>
      </c>
      <c r="D347" s="77" t="inlineStr">
        <is>
          <t>Searched</t>
        </is>
      </c>
      <c r="E347" s="77" t="inlineStr">
        <is>
          <t>Northumbria Arts Design Social Sciences students live client brief group project module; Northumbria Department of Social Sciences OR Geography OR Sport students group project community partner organisation module live</t>
        </is>
      </c>
      <c r="F347" s="77" t="inlineStr">
        <is>
          <t>https://www.northumbria.ac.uk/study-at-northumbria/planning-your-career/services-for-employers/connect-with-our-students/projects/</t>
        </is>
      </c>
      <c r="G347" s="77" t="inlineStr">
        <is>
          <t>Film Live Briefs (2nd-year Film Professional Placement module, external clients), design live-brief modules and Sport Event Management / Sport Outreach found but group/partner details insufficient; recorded as evidence gaps. No Social Sciences live-client module with named partner found.</t>
        </is>
      </c>
    </row>
    <row r="348">
      <c r="A348" s="77" t="inlineStr">
        <is>
          <t>UK25</t>
        </is>
      </c>
      <c r="B348" s="77" t="inlineStr">
        <is>
          <t>Northumbria</t>
        </is>
      </c>
      <c r="C348" s="77" t="inlineStr">
        <is>
          <t>Other (law, health, design, architecture…)</t>
        </is>
      </c>
      <c r="D348" s="77" t="inlineStr">
        <is>
          <t>Searched</t>
        </is>
      </c>
      <c r="E348" s="77" t="inlineStr">
        <is>
          <t>Northumbria Law School clinic OR Health student teams real client project</t>
        </is>
      </c>
      <c r="F348" s="77" t="inlineStr">
        <is>
          <t>https://www.northumbria.ac.uk/about-us/news-events/news/pioneering-law-clinic-wins-green-gown-award/</t>
        </is>
      </c>
      <c r="G348" s="77" t="inlineStr">
        <is>
          <t>Student Law Office is real-client casework (individual advice/representation), not a client-brief group project. Building Advice Centre is a public service by final-year surveying students; no health team projects found.</t>
        </is>
      </c>
    </row>
    <row r="349">
      <c r="A349" s="77" t="inlineStr">
        <is>
          <t>UK26</t>
        </is>
      </c>
      <c r="B349" s="77" t="inlineStr">
        <is>
          <t>Portsmouth</t>
        </is>
      </c>
      <c r="C349" s="77" t="inlineStr">
        <is>
          <t>Central provision</t>
        </is>
      </c>
      <c r="D349" s="77" t="inlineStr">
        <is>
          <t>Searched</t>
        </is>
      </c>
      <c r="E349" s="77" t="inlineStr">
        <is>
          <t>University of Portsmouth student consultancy live client project module employers; WebFetch: port.ac.uk work-experience-opportunities (central Work Experience for Students page)</t>
        </is>
      </c>
      <c r="F349" s="77" t="inlineStr">
        <is>
          <t>https://www.port.ac.uk/student-life/careers-and-employment/work-experience-opportunities; https://www.port.ac.uk/business-consultancy-projects-bcp</t>
        </is>
      </c>
      <c r="G349" s="77" t="inlineStr">
        <is>
          <t>No university-wide employer project scheme found. The central work-experience page lists faculty/course routes only (Business Consultancy Project, Architecture Project Office, Accounting Clinic, Marketing Consultancy Project). Student Startup (legacy row) is an enterprise support programme and is excluded.</t>
        </is>
      </c>
    </row>
    <row r="350">
      <c r="A350" s="77" t="inlineStr">
        <is>
          <t>UK26</t>
        </is>
      </c>
      <c r="B350" s="77" t="inlineStr">
        <is>
          <t>Portsmouth</t>
        </is>
      </c>
      <c r="C350" s="77" t="inlineStr">
        <is>
          <t>Business/management</t>
        </is>
      </c>
      <c r="D350" s="77" t="inlineStr">
        <is>
          <t>Searched</t>
        </is>
      </c>
      <c r="E350" s="77" t="inlineStr">
        <is>
          <t>Portsmouth Business Consultancy Project module 2025/26 20 credits final year team client; WebFetch: business-consultancy-projects-bcp; student-consultancy; mba-consultancy-projects; offer-a-business-consultancy-project; BA Business and Management course page</t>
        </is>
      </c>
      <c r="F350" s="77" t="inlineStr">
        <is>
          <t>https://www.port.ac.uk/business-consultancy-projects-bcp; https://www.port.ac.uk/study/courses/undergraduate/ba-hons-business-and-management; https://www.port.ac.uk/business/business-connect/business-advice/mba-consultancy-projects</t>
        </is>
      </c>
      <c r="G350" s="77" t="inlineStr">
        <is>
          <t>Business Consultancy Project (20-credit UG module, teams of 3-4, local SME/public/third-sector clients, 10 weeks) and a separate Global MBA consultancy route both qualify on A/B/C. 2026 cohort referenced on the client application page.</t>
        </is>
      </c>
    </row>
    <row r="351">
      <c r="A351" s="77" t="inlineStr">
        <is>
          <t>UK26</t>
        </is>
      </c>
      <c r="B351" s="77" t="inlineStr">
        <is>
          <t>Portsmouth</t>
        </is>
      </c>
      <c r="C351" s="77" t="inlineStr">
        <is>
          <t>Engineering/computing</t>
        </is>
      </c>
      <c r="D351" s="77" t="inlineStr">
        <is>
          <t>Searched</t>
        </is>
      </c>
      <c r="E351" s="77" t="inlineStr">
        <is>
          <t>Portsmouth computing engineering group project industry client module sponsor capstone; WebFetch: BSc/MEng Computer Science course page</t>
        </is>
      </c>
      <c r="F351" s="77" t="inlineStr">
        <is>
          <t>https://www.port.ac.uk/study/courses/undergraduate/bsc-meng-computer-science</t>
        </is>
      </c>
      <c r="G351" s="77" t="inlineStr">
        <is>
          <t>Computer Science has a core 30-credit Industrial Team Project with an external client and an optional 20-credit Complex Problem Solving with an industry partner brief. The page is for September 2027 entry; current-year delivery not separately evidenced. No engineering-specific client capstone verified.</t>
        </is>
      </c>
    </row>
    <row r="352">
      <c r="A352" s="77" t="inlineStr">
        <is>
          <t>UK26</t>
        </is>
      </c>
      <c r="B352" s="77" t="inlineStr">
        <is>
          <t>Portsmouth</t>
        </is>
      </c>
      <c r="C352" s="77" t="inlineStr">
        <is>
          <t>Science</t>
        </is>
      </c>
      <c r="D352" s="77" t="inlineStr">
        <is>
          <t>Searched</t>
        </is>
      </c>
      <c r="E352" s="77" t="inlineStr">
        <is>
          <t>Portsmouth science biology pharmacy environmental students project with external organisation team client module</t>
        </is>
      </c>
      <c r="F352" s="77" t="inlineStr">
        <is>
          <t>https://www.port.ac.uk/study/courses/undergraduate/bsc-hons-environmental-science; https://www.port.ac.uk/study/courses/undergraduate/bsc-hons-pharmacology</t>
        </is>
      </c>
      <c r="G352" s="77" t="inlineStr">
        <is>
          <t>Only individual research projects/placements found (Pharmacology research-based work experience; Environmental Science research project). No group employer project verified in the sciences.</t>
        </is>
      </c>
    </row>
    <row r="353">
      <c r="A353" s="77" t="inlineStr">
        <is>
          <t>UK26</t>
        </is>
      </c>
      <c r="B353" s="77" t="inlineStr">
        <is>
          <t>Portsmouth</t>
        </is>
      </c>
      <c r="C353" s="77" t="inlineStr">
        <is>
          <t>Arts/humanities/social sciences</t>
        </is>
      </c>
      <c r="D353" s="77" t="inlineStr">
        <is>
          <t>Searched</t>
        </is>
      </c>
      <c r="E353" s="77" t="inlineStr">
        <is>
          <t>Portsmouth Creative and Cultural Industries live client project students team brief module; WebFetch: BA/BSc Creative Computing course page; Portsmouth law clinic OR criminology OR social sciences students team project community partner module</t>
        </is>
      </c>
      <c r="F353" s="77" t="inlineStr">
        <is>
          <t>https://www.port.ac.uk/study/courses/undergraduate/ba-bsc-hons-creative-computing; https://www.port.ac.uk/study/courses/undergraduate/llb-hons-law-with-criminology</t>
        </is>
      </c>
      <c r="G353" s="77" t="inlineStr">
        <is>
          <t>Creative Computing advertises real clients on live briefs but no module is tied to it; Law in Action is a team module presenting to community organisations (client role unclear). Criminology/Sociology routes are Unclear or individual.</t>
        </is>
      </c>
    </row>
    <row r="354">
      <c r="A354" s="77" t="inlineStr">
        <is>
          <t>UK26</t>
        </is>
      </c>
      <c r="B354" s="77" t="inlineStr">
        <is>
          <t>Portsmouth</t>
        </is>
      </c>
      <c r="C354" s="77" t="inlineStr">
        <is>
          <t>Other (law, health, design, architecture…)</t>
        </is>
      </c>
      <c r="D354" s="77" t="inlineStr">
        <is>
          <t>Searched</t>
        </is>
      </c>
      <c r="E354" s="77" t="inlineStr">
        <is>
          <t>Law (Law in Action / Law in the Community / Legal Clinic) and architecture (Architecture Project Office) covered by the two creative and law/criminology searches above</t>
        </is>
      </c>
      <c r="F354" s="77" t="inlineStr">
        <is>
          <t>http://www2.port.ac.uk/faculty-of-creative-and-cultural-industries/employability/information-for-students/client-projects/the-project-office/; https://www.port.ac.uk/study/courses/undergraduate/llb-hons-law-with-criminology</t>
        </is>
      </c>
      <c r="G354" s="77" t="inlineStr">
        <is>
          <t>Architecture Project Office is an optional extracurricular student consultancy (page old; fetch timed out, search summary only). Law clinics/placements are casework or placement, not group projects. Health faculties not separately searched (reduced depth).</t>
        </is>
      </c>
    </row>
    <row r="355">
      <c r="A355" s="77" t="inlineStr">
        <is>
          <t>UK27</t>
        </is>
      </c>
      <c r="B355" s="77" t="inlineStr">
        <is>
          <t>Coventry</t>
        </is>
      </c>
      <c r="C355" s="77" t="inlineStr">
        <is>
          <t>Central provision</t>
        </is>
      </c>
      <c r="D355" s="77" t="inlineStr">
        <is>
          <t>Searched</t>
        </is>
      </c>
      <c r="E355" s="77" t="inlineStr">
        <is>
          <t>Coventry University students live client project employer group module; Coventry University employer challenge students teams solve real business problem hackathon Talent Hub central employability</t>
        </is>
      </c>
      <c r="F355" s="77" t="inlineStr">
        <is>
          <t>https://www.coventry.ac.uk/study-at-coventry/student-support/enhance-your-employability/global-opportunities/go-abroad/; https://www.coventry.ac.uk/study-at-coventry/active-and-applied-learning/</t>
        </is>
      </c>
      <c r="G355" s="77" t="inlineStr">
        <is>
          <t>No central project scheme found; Global Opportunities is mobility/placement with no project element (legacy excluded). Active-learning page is generic.</t>
        </is>
      </c>
    </row>
    <row r="356">
      <c r="A356" s="77" t="inlineStr">
        <is>
          <t>UK27</t>
        </is>
      </c>
      <c r="B356" s="77" t="inlineStr">
        <is>
          <t>Coventry</t>
        </is>
      </c>
      <c r="C356" s="77" t="inlineStr">
        <is>
          <t>Business/management</t>
        </is>
      </c>
      <c r="D356" s="77" t="inlineStr">
        <is>
          <t>Searched</t>
        </is>
      </c>
      <c r="E356" s="77" t="inlineStr">
        <is>
          <t>Coventry Business School consultancy project live client students team module; Coventry University Group Consulting Project business school students placement employer brief 2025</t>
        </is>
      </c>
      <c r="F356" s="77" t="inlineStr">
        <is>
          <t>https://www.coventry.ac.uk/study-at-coventry/faculties-and-schools/coventry-business-school/employability/postgraduate-consultancy-projects/; https://www.coventry.ac.uk/london/business/internships/</t>
        </is>
      </c>
      <c r="G356" s="77" t="inlineStr">
        <is>
          <t>PG Consultancy Project is individual; Group Consulting Project (London) is group but undated employer-facing offer.</t>
        </is>
      </c>
    </row>
    <row r="357">
      <c r="A357" s="77" t="inlineStr">
        <is>
          <t>UK27</t>
        </is>
      </c>
      <c r="B357" s="77" t="inlineStr">
        <is>
          <t>Coventry</t>
        </is>
      </c>
      <c r="C357" s="77" t="inlineStr">
        <is>
          <t>Engineering/computing</t>
        </is>
      </c>
      <c r="D357" s="77" t="inlineStr">
        <is>
          <t>Searched</t>
        </is>
      </c>
      <c r="E357" s="77" t="inlineStr">
        <is>
          <t>Coventry University engineering computing group project industry client capstone; Coventry University Mechanical Engineering Industrial Group Project present findings to industry client</t>
        </is>
      </c>
      <c r="F357" s="77" t="inlineStr">
        <is>
          <t>https://www.coventry.ac.uk/course-structure/ug/eec/computer-systems-engineering-mengbeng/; https://www.coventry.ac.uk/course-structure/ug/eec/mechanical-engineering-mengbeng-hons/</t>
        </is>
      </c>
      <c r="G357" s="77" t="inlineStr">
        <is>
          <t>60-credit Industrial Group Projects in MEng Computer Systems and Mechanical Engineering; Manufacturing Engineering has split IGP modules (search summary only).</t>
        </is>
      </c>
    </row>
    <row r="358">
      <c r="A358" s="77" t="inlineStr">
        <is>
          <t>UK27</t>
        </is>
      </c>
      <c r="B358" s="77" t="inlineStr">
        <is>
          <t>Coventry</t>
        </is>
      </c>
      <c r="C358" s="77" t="inlineStr">
        <is>
          <t>Science</t>
        </is>
      </c>
      <c r="D358" s="77" t="inlineStr">
        <is>
          <t>Searched</t>
        </is>
      </c>
      <c r="E358" s="77" t="inlineStr">
        <is>
          <t>Coventry University science biosciences psychology student project external partner team module</t>
        </is>
      </c>
      <c r="F358" s="77" t="inlineStr">
        <is>
          <t>https://www.coventry.ac.uk/course-structure/ug/hls/human-biosciences-bsc/</t>
        </is>
      </c>
      <c r="G358" s="77" t="inlineStr">
        <is>
          <t>Only individual final-year research projects found.</t>
        </is>
      </c>
    </row>
    <row r="359">
      <c r="A359" s="77" t="inlineStr">
        <is>
          <t>UK27</t>
        </is>
      </c>
      <c r="B359" s="77" t="inlineStr">
        <is>
          <t>Coventry</t>
        </is>
      </c>
      <c r="C359" s="77" t="inlineStr">
        <is>
          <t>Arts/humanities/social sciences</t>
        </is>
      </c>
      <c r="D359" s="77" t="inlineStr">
        <is>
          <t>Searched</t>
        </is>
      </c>
      <c r="E359" s="77" t="inlineStr">
        <is>
          <t>Coventry University design media live brief students real client group project module</t>
        </is>
      </c>
      <c r="F359" s="77" t="inlineStr">
        <is>
          <t>https://www.coventry.ac.uk/course-structure/ug/fah/media-production-ba-hons/</t>
        </is>
      </c>
      <c r="G359" s="77" t="inlineStr">
        <is>
          <t>Media/design pages mention real client or live briefs but group basis and client role not evidenced; recorded as leads.</t>
        </is>
      </c>
    </row>
    <row r="360">
      <c r="A360" s="77" t="inlineStr">
        <is>
          <t>UK27</t>
        </is>
      </c>
      <c r="B360" s="77" t="inlineStr">
        <is>
          <t>Coventry</t>
        </is>
      </c>
      <c r="C360" s="77" t="inlineStr">
        <is>
          <t>Other (law, health, design, architecture…)</t>
        </is>
      </c>
      <c r="D360" s="77" t="inlineStr">
        <is>
          <t>Searched</t>
        </is>
      </c>
      <c r="E360" s="77" t="inlineStr">
        <is>
          <t>Coventry University Legal Clinic students real clients pro bono team</t>
        </is>
      </c>
      <c r="F360" s="77" t="inlineStr">
        <is>
          <t>https://www.coventry.ac.uk/study-at-coventry/colleges-and-schools/business-and-law/coventry-law-school/legal-clinic/</t>
        </is>
      </c>
      <c r="G360" s="77" t="inlineStr">
        <is>
          <t>Legal Clinic is client casework (excluded). Health not separately searched beyond one search-result mention; no health project route found.</t>
        </is>
      </c>
    </row>
    <row r="361">
      <c r="A361" s="77" t="inlineStr">
        <is>
          <t>UK28</t>
        </is>
      </c>
      <c r="B361" s="77" t="inlineStr">
        <is>
          <t>Nottingham Trent</t>
        </is>
      </c>
      <c r="C361" s="77" t="inlineStr">
        <is>
          <t>Central provision</t>
        </is>
      </c>
      <c r="D361" s="77" t="inlineStr">
        <is>
          <t>Searched</t>
        </is>
      </c>
      <c r="E361" s="77" t="inlineStr">
        <is>
          <t>Nottingham Trent University Grads4Nottm 2026 employer brief student teams; Grads4Nottm 10th year students groups employers two weeks challenge 27 employers; NTU Community Engaged Learning students work in groups on community partner project module</t>
        </is>
      </c>
      <c r="F361" s="77" t="inlineStr">
        <is>
          <t>https://www.ntu.ac.uk/about-us/news/news-articles/2024/06/nottingham-trent-university-students-celebrate-10th-year-of-solving-business-challenges-through-grads4nottm-initiative; https://www.ntu.ac.uk/about-us/the-centre-for-student-and-community-engagement/community-organisations/what-is-community-engaged-learning</t>
        </is>
      </c>
      <c r="G361" s="77" t="inlineStr">
        <is>
          <t>Grads4Nottm (extracurricular, 2024 latest) and Community Engaged Learning (curricular group projects with community partners, 2026/27 timetable).</t>
        </is>
      </c>
    </row>
    <row r="362">
      <c r="A362" s="77" t="inlineStr">
        <is>
          <t>UK28</t>
        </is>
      </c>
      <c r="B362" s="77" t="inlineStr">
        <is>
          <t>Nottingham Trent</t>
        </is>
      </c>
      <c r="C362" s="77" t="inlineStr">
        <is>
          <t>Business/management</t>
        </is>
      </c>
      <c r="D362" s="77" t="inlineStr">
        <is>
          <t>Searched</t>
        </is>
      </c>
      <c r="E362" s="77" t="inlineStr">
        <is>
          <t>NTU Nottingham Business School live client project module consultancy student teams; NTU Postgraduate Consultancy Projects ... clients final presentation report; #NBSBright final-year undergraduate students consultants; NTU Developing Professional Impact module team brief client presentation</t>
        </is>
      </c>
      <c r="F362" s="77" t="inlineStr">
        <is>
          <t>https://www.ntu.ac.uk/study-and-courses/academic-schools/nottingham-business-school/supporting-your-business/consultancy-and-support; https://www.ntu.ac.uk/study-and-courses/academic-schools/nottingham-business-school/supporting-your-business/nbs-bright</t>
        </is>
      </c>
      <c r="G362" s="77" t="inlineStr">
        <is>
          <t>Strongest area: PG consultancy projects, #NBSBright (2026 dates), and a core UG live-consultancy module.</t>
        </is>
      </c>
    </row>
    <row r="363">
      <c r="A363" s="77" t="inlineStr">
        <is>
          <t>UK28</t>
        </is>
      </c>
      <c r="B363" s="77" t="inlineStr">
        <is>
          <t>Nottingham Trent</t>
        </is>
      </c>
      <c r="C363" s="77" t="inlineStr">
        <is>
          <t>Engineering/computing</t>
        </is>
      </c>
      <c r="D363" s="77" t="inlineStr">
        <is>
          <t>Searched</t>
        </is>
      </c>
      <c r="E363" s="77" t="inlineStr">
        <is>
          <t>NTU computer science engineering industry project module group client external organisation; NTU Mechanical Engineering Integrated Group Design Project design challenge set by industry groups; NTU engineering students group design project industry client live brief Product Design Mechanical</t>
        </is>
      </c>
      <c r="F363" s="77" t="inlineStr">
        <is>
          <t>https://www.ntu.ac.uk/course/science-and-technology/ug/beng-hons-mechanical-engineering</t>
        </is>
      </c>
      <c r="G363" s="77" t="inlineStr">
        <is>
          <t>Engineering group design challenges 'set by industry' but external involvement unclear; no computing group client module verified.</t>
        </is>
      </c>
    </row>
    <row r="364">
      <c r="A364" s="77" t="inlineStr">
        <is>
          <t>UK28</t>
        </is>
      </c>
      <c r="B364" s="77" t="inlineStr">
        <is>
          <t>Nottingham Trent</t>
        </is>
      </c>
      <c r="C364" s="77" t="inlineStr">
        <is>
          <t>Science</t>
        </is>
      </c>
      <c r="D364" s="77" t="inlineStr">
        <is>
          <t>Searched</t>
        </is>
      </c>
      <c r="E364" s="77" t="inlineStr">
        <is>
          <t>NTU School of Science and Technology students team project external organisation environmental biosciences psychology client</t>
        </is>
      </c>
      <c r="F364" s="77" t="inlineStr"/>
      <c r="G364" s="77" t="inlineStr">
        <is>
          <t>Nothing specific found for natural/life sciences; further instances may exist.</t>
        </is>
      </c>
    </row>
    <row r="365">
      <c r="A365" s="77" t="inlineStr">
        <is>
          <t>UK28</t>
        </is>
      </c>
      <c r="B365" s="77" t="inlineStr">
        <is>
          <t>Nottingham Trent</t>
        </is>
      </c>
      <c r="C365" s="77" t="inlineStr">
        <is>
          <t>Arts/humanities/social sciences</t>
        </is>
      </c>
      <c r="D365" s="77" t="inlineStr">
        <is>
          <t>Searched</t>
        </is>
      </c>
      <c r="E365" s="77" t="inlineStr">
        <is>
          <t>NTU Community Engaged Learning ... (Sociology, Education, TESOL, Communications); NTU Co Lab module students from different disciplines live briefs community projects</t>
        </is>
      </c>
      <c r="F365" s="77" t="inlineStr">
        <is>
          <t>https://www.ntu.ac.uk/about-us/the-centre-for-student-and-community-engagement/community-organisations/what-is-community-engaged-learning/year-two-sociology</t>
        </is>
      </c>
      <c r="G365" s="77" t="inlineStr">
        <is>
          <t>CEL covers sociology, education, TESOL, animation, communications; humanities collaborative live-brief modules mentioned but not verified.</t>
        </is>
      </c>
    </row>
    <row r="366">
      <c r="A366" s="77" t="inlineStr">
        <is>
          <t>UK28</t>
        </is>
      </c>
      <c r="B366" s="77" t="inlineStr">
        <is>
          <t>Nottingham Trent</t>
        </is>
      </c>
      <c r="C366" s="77" t="inlineStr">
        <is>
          <t>Other (law, health, design, architecture…)</t>
        </is>
      </c>
      <c r="D366" s="77" t="inlineStr">
        <is>
          <t>Searched</t>
        </is>
      </c>
      <c r="E366" s="77" t="inlineStr">
        <is>
          <t>NTU School of Art and Design live brief students collaborative project client; Social Sciences Nottingham Law School clinic; NTU engineering students group design project industry client live brief Product Design</t>
        </is>
      </c>
      <c r="F366" s="77" t="inlineStr">
        <is>
          <t>https://www.ntu.ac.uk/course/architecture-design-and-the-built-environment/ug/ba-hons-product-design; https://www.ntu.ac.uk/study-and-courses/academic-schools/art-and-design/colab</t>
        </is>
      </c>
      <c r="G366" s="77" t="inlineStr">
        <is>
          <t>Art &amp; Design (Co Lab, live briefs) and Product Design group live briefs found; Nottingham Law School clinic query returned nothing; health not queried separately.</t>
        </is>
      </c>
    </row>
    <row r="367">
      <c r="A367" s="77" t="inlineStr">
        <is>
          <t>UK29</t>
        </is>
      </c>
      <c r="B367" s="77" t="inlineStr">
        <is>
          <t>Manchester Metropolitan</t>
        </is>
      </c>
      <c r="C367" s="77" t="inlineStr">
        <is>
          <t>Central provision</t>
        </is>
      </c>
      <c r="D367" s="77" t="inlineStr">
        <is>
          <t>Searched</t>
        </is>
      </c>
      <c r="E367" s="77" t="inlineStr">
        <is>
          <t>Manchester Metropolitan University live client project students team module; Manchester Met Rise award students team project employer; Manchester Met Rise project challenges problems posed by city advocates teams</t>
        </is>
      </c>
      <c r="F367" s="77" t="inlineStr">
        <is>
          <t>https://www.mmu.ac.uk/business-services/talent-recruitment-development/student-projects-consultancy; https://www.mmu.ac.uk/study/why-manchester-met/study-experience</t>
        </is>
      </c>
      <c r="G367" s="77" t="inlineStr">
        <is>
          <t>Central routes (student projects service; Rise project challenges) involve external organisations but team structure is undocumented.</t>
        </is>
      </c>
    </row>
    <row r="368">
      <c r="A368" s="77" t="inlineStr">
        <is>
          <t>UK29</t>
        </is>
      </c>
      <c r="B368" s="77" t="inlineStr">
        <is>
          <t>Manchester Metropolitan</t>
        </is>
      </c>
      <c r="C368" s="77" t="inlineStr">
        <is>
          <t>Business/management</t>
        </is>
      </c>
      <c r="D368" s="77" t="inlineStr">
        <is>
          <t>Searched</t>
        </is>
      </c>
      <c r="E368" s="77" t="inlineStr">
        <is>
          <t>Manchester Met Business School Business Challenge Project live client consultancy final year</t>
        </is>
      </c>
      <c r="F368" s="77" t="inlineStr">
        <is>
          <t>https://www.mmu.ac.uk/study/postgraduate/course/mba-master-of-business-administration</t>
        </is>
      </c>
      <c r="G368" s="77" t="inlineStr">
        <is>
          <t>Only generic live-case/consultancy statements; no specific group module verified.</t>
        </is>
      </c>
    </row>
    <row r="369">
      <c r="A369" s="77" t="inlineStr">
        <is>
          <t>UK29</t>
        </is>
      </c>
      <c r="B369" s="77" t="inlineStr">
        <is>
          <t>Manchester Metropolitan</t>
        </is>
      </c>
      <c r="C369" s="77" t="inlineStr">
        <is>
          <t>Engineering/computing</t>
        </is>
      </c>
      <c r="D369" s="77" t="inlineStr">
        <is>
          <t>Searched</t>
        </is>
      </c>
      <c r="E369" s="77" t="inlineStr">
        <is>
          <t>Manchester Met computing engineering industry project external client group project unit; Department of Engineering collaborative projects live project options industrial partners</t>
        </is>
      </c>
      <c r="F369" s="77" t="inlineStr">
        <is>
          <t>https://www.mmu.ac.uk/study/undergraduate/course/beng-mechanical-engineering; https://www.mmu.ac.uk/study/undergraduate/course/bsc-computer-science</t>
        </is>
      </c>
      <c r="G369" s="77" t="inlineStr">
        <is>
          <t>Engineering Year 2 Group Project and employer-set live projects advertised but link unconfirmed; CS Team Project has no client evidence.</t>
        </is>
      </c>
    </row>
    <row r="370">
      <c r="A370" s="77" t="inlineStr">
        <is>
          <t>UK29</t>
        </is>
      </c>
      <c r="B370" s="77" t="inlineStr">
        <is>
          <t>Manchester Metropolitan</t>
        </is>
      </c>
      <c r="C370" s="77" t="inlineStr">
        <is>
          <t>Science</t>
        </is>
      </c>
      <c r="D370" s="77" t="inlineStr">
        <is>
          <t>Searched</t>
        </is>
      </c>
      <c r="E370" s="77" t="inlineStr">
        <is>
          <t>Manchester Met Science and Engineering student project industry partner team; Manchester Met Faculty of Science and Engineering biology chemistry environmental science students project external organisation client group</t>
        </is>
      </c>
      <c r="F370" s="77" t="inlineStr">
        <is>
          <t>https://www.mmu.ac.uk/study/undergraduate/subject/biology-and-conservation</t>
        </is>
      </c>
      <c r="G370" s="77" t="inlineStr">
        <is>
          <t>No formal group client project scheme found for biological/chemical/environmental sciences.</t>
        </is>
      </c>
    </row>
    <row r="371">
      <c r="A371" s="77" t="inlineStr">
        <is>
          <t>UK29</t>
        </is>
      </c>
      <c r="B371" s="77" t="inlineStr">
        <is>
          <t>Manchester Metropolitan</t>
        </is>
      </c>
      <c r="C371" s="77" t="inlineStr">
        <is>
          <t>Arts/humanities/social sciences</t>
        </is>
      </c>
      <c r="D371" s="77" t="inlineStr">
        <is>
          <t>Searched</t>
        </is>
      </c>
      <c r="E371" s="77" t="inlineStr">
        <is>
          <t>Manchester Met Arts and Humanities students live brief client project group unit; Engaging the Humanities unit live project briefs groups DEFRA National Archives Manchester Histories</t>
        </is>
      </c>
      <c r="F371" s="77" t="inlineStr">
        <is>
          <t>https://manchester-met-innovate.mmu.ac.uk/2025/10/10/project-based-learning/</t>
        </is>
      </c>
      <c r="G371" s="77" t="inlineStr">
        <is>
          <t>Engaging the Humanities is a compulsory-in-programmes group unit with live briefs; partner coverage and current-year delivery unclear.</t>
        </is>
      </c>
    </row>
    <row r="372">
      <c r="A372" s="77" t="inlineStr">
        <is>
          <t>UK29</t>
        </is>
      </c>
      <c r="B372" s="77" t="inlineStr">
        <is>
          <t>Manchester Metropolitan</t>
        </is>
      </c>
      <c r="C372" s="77" t="inlineStr">
        <is>
          <t>Other (law, health, design, architecture…)</t>
        </is>
      </c>
      <c r="D372" s="77" t="inlineStr">
        <is>
          <t>Searched</t>
        </is>
      </c>
      <c r="E372" s="77" t="inlineStr">
        <is>
          <t>Manchester Met Law School OR Health OR Art Design students live client brief teams external organisation</t>
        </is>
      </c>
      <c r="F372" s="77" t="inlineStr">
        <is>
          <t>https://www.mmu.ac.uk/about-us/faculties/health-and-education/partnerships/work-integrated-learning</t>
        </is>
      </c>
      <c r="G372" s="77" t="inlineStr">
        <is>
          <t>Health and Education WIL live projects (individual or small group) found; nothing specific for Law or Art &amp; Design.</t>
        </is>
      </c>
    </row>
    <row r="373">
      <c r="A373" s="77" t="inlineStr">
        <is>
          <t>UK30</t>
        </is>
      </c>
      <c r="B373" s="77" t="inlineStr">
        <is>
          <t>Plymouth</t>
        </is>
      </c>
      <c r="C373" s="77" t="inlineStr">
        <is>
          <t>Central provision</t>
        </is>
      </c>
      <c r="D373" s="77" t="inlineStr">
        <is>
          <t>Searched</t>
        </is>
      </c>
      <c r="E373" s="77" t="inlineStr">
        <is>
          <t>University of Plymouth employer-set challenge students teams real-world project careers enterprise; Challenge Connect Plymouth students employers business challenge</t>
        </is>
      </c>
      <c r="F373" s="77" t="inlineStr">
        <is>
          <t>https://www.plymouth.ac.uk/about-us/teaching-and-learning/employability-in-the-curriculum-and-beyond/working-with-employers; https://www.plymouth.ac.uk/services/careers/boost-skills-development-challenge</t>
        </is>
      </c>
      <c r="G373" s="77" t="inlineStr">
        <is>
          <t>No central, verified university-wide employer project scheme; BOOST/Challenge Connect indicated but unconfirmed on fetched pages. Employability page endorses consultancy-team student projects generally.</t>
        </is>
      </c>
    </row>
    <row r="374">
      <c r="A374" s="77" t="inlineStr">
        <is>
          <t>UK30</t>
        </is>
      </c>
      <c r="B374" s="77" t="inlineStr">
        <is>
          <t>Plymouth</t>
        </is>
      </c>
      <c r="C374" s="77" t="inlineStr">
        <is>
          <t>Business/management</t>
        </is>
      </c>
      <c r="D374" s="77" t="inlineStr">
        <is>
          <t>Searched</t>
        </is>
      </c>
      <c r="E374" s="77" t="inlineStr">
        <is>
          <t>Plymouth Business School consultancy project module student teams client organisation; University of Plymouth live client project students teams external organisations module</t>
        </is>
      </c>
      <c r="F374" s="77" t="inlineStr">
        <is>
          <t>https://www.plymouth.ac.uk/courses/postgraduate/mba-master-of-business-administration; https://www.plymouth.ac.uk/courses/undergraduate/bsc-business-management-with-foundation-year; https://www.plymouth.ac.uk/schools/plymouth-business-school/inspiring-futures</t>
        </is>
      </c>
      <c r="G374" s="77" t="inlineStr">
        <is>
          <t>MBA core client project meets A/B/C; Inspiring Futures umbrella; BUSM3004 team project with unclear external partner.</t>
        </is>
      </c>
    </row>
    <row r="375">
      <c r="A375" s="77" t="inlineStr">
        <is>
          <t>UK30</t>
        </is>
      </c>
      <c r="B375" s="77" t="inlineStr">
        <is>
          <t>Plymouth</t>
        </is>
      </c>
      <c r="C375" s="77" t="inlineStr">
        <is>
          <t>Engineering/computing</t>
        </is>
      </c>
      <c r="D375" s="77" t="inlineStr">
        <is>
          <t>Searched</t>
        </is>
      </c>
      <c r="E375" s="77" t="inlineStr">
        <is>
          <t>Plymouth engineering computing final year group project industry client sponsor; Plymouth COMP2003 Computing Group Project external client software team</t>
        </is>
      </c>
      <c r="F375" s="77" t="inlineStr">
        <is>
          <t>https://www.plymouth.ac.uk/courses/undergraduate/meng-electrical-and-electronic-engineering</t>
        </is>
      </c>
      <c r="G375" s="77" t="inlineStr">
        <is>
          <t>MEng PROJ500 team prototype; industry links but partner role unclear; COMP2003 no client evidence.</t>
        </is>
      </c>
    </row>
    <row r="376">
      <c r="A376" s="77" t="inlineStr">
        <is>
          <t>UK30</t>
        </is>
      </c>
      <c r="B376" s="77" t="inlineStr">
        <is>
          <t>Plymouth</t>
        </is>
      </c>
      <c r="C376" s="77" t="inlineStr">
        <is>
          <t>Science</t>
        </is>
      </c>
      <c r="D376" s="77" t="inlineStr">
        <is>
          <t>Searched</t>
        </is>
      </c>
      <c r="E376" s="77" t="inlineStr">
        <is>
          <t>Plymouth School of Biological and Marine Sciences OR Geography OR Psychology student group project external organisation client</t>
        </is>
      </c>
      <c r="F376" s="77" t="inlineStr">
        <is>
          <t>https://www.plymouth.ac.uk/courses/undergraduate/bsc-geography-with-gis-and-data-science</t>
        </is>
      </c>
      <c r="G376" s="77" t="inlineStr">
        <is>
          <t>No qualifying science route found; Geography Sustainable Futures lacks client evidence.</t>
        </is>
      </c>
    </row>
    <row r="377">
      <c r="A377" s="77" t="inlineStr">
        <is>
          <t>UK30</t>
        </is>
      </c>
      <c r="B377" s="77" t="inlineStr">
        <is>
          <t>Plymouth</t>
        </is>
      </c>
      <c r="C377" s="77" t="inlineStr">
        <is>
          <t>Arts/humanities/social sciences</t>
        </is>
      </c>
      <c r="D377" s="77" t="inlineStr">
        <is>
          <t>Searched</t>
        </is>
      </c>
      <c r="E377" s="77" t="inlineStr">
        <is>
          <t>Plymouth social sciences humanities module live brief community partner group project students</t>
        </is>
      </c>
      <c r="F377" s="77" t="inlineStr">
        <is>
          <t>https://www.plymouth.ac.uk/courses/undergraduate/ba-photography; https://www.plymouth.ac.uk/courses/undergraduate/ba-creative-media-with-foundation; https://www.plymouth.ac.uk/courses/undergraduate/ba-architecture/live-projects</t>
        </is>
      </c>
      <c r="G377" s="77" t="inlineStr">
        <is>
          <t>Creative/design programmes use live briefs (Photography MEDI423, Creative Media, Architecture); no social science route verified.</t>
        </is>
      </c>
    </row>
    <row r="378">
      <c r="A378" s="77" t="inlineStr">
        <is>
          <t>UK30</t>
        </is>
      </c>
      <c r="B378" s="77" t="inlineStr">
        <is>
          <t>Plymouth</t>
        </is>
      </c>
      <c r="C378" s="77" t="inlineStr">
        <is>
          <t>Other (law, health, design, architecture…)</t>
        </is>
      </c>
      <c r="D378" s="77" t="inlineStr">
        <is>
          <t>Searched</t>
        </is>
      </c>
      <c r="E378" s="77" t="inlineStr">
        <is>
          <t>Plymouth health professions OR law OR medicine students interprofessional team project community organisation</t>
        </is>
      </c>
      <c r="F378" s="77" t="inlineStr">
        <is>
          <t>https://www.plymouth.ac.uk/courses/undergraduate/llb-law/medical-law-and-ethics</t>
        </is>
      </c>
      <c r="G378" s="77" t="inlineStr">
        <is>
          <t>Health/law: internal interprofessional projects only; none with external organisations found.</t>
        </is>
      </c>
    </row>
    <row r="379">
      <c r="A379" s="77" t="inlineStr">
        <is>
          <t>US01</t>
        </is>
      </c>
      <c r="B379" s="77" t="inlineStr">
        <is>
          <t>Massachusetts Institute of Technology</t>
        </is>
      </c>
      <c r="C379" s="77" t="inlineStr">
        <is>
          <t>Central provision</t>
        </is>
      </c>
      <c r="D379" s="77" t="inlineStr">
        <is>
          <t>Searched</t>
        </is>
      </c>
      <c r="E379" s="77" t="inlineStr">
        <is>
          <t>MIT central undergraduate team project external organization program UPOP OR MIT Public Service Center OR MISTI OR IDEAS OR Priscilla King Gray OR Sandbox; MIT NEET thread industry partner project team ... company sponsor; WebFetch neet.mit.edu</t>
        </is>
      </c>
      <c r="F379" s="77" t="inlineStr">
        <is>
          <t>https://neet.mit.edu/; https://neet.mit.edu/sponsor; https://news.mit.edu/2019/neet-welcomes-sponsor-and-industry-collaborator-boeing-0423</t>
        </is>
      </c>
      <c r="G379" s="77" t="inlineStr">
        <is>
          <t>No institute-wide employer-project scheme found. NEET (four cross-departmental threads) is project- and team-based and has industry sponsors, but no thread-specific employer-set group project was evidenced; UROP is individual faculty research. Central route not verified at qualifying level.</t>
        </is>
      </c>
    </row>
    <row r="380">
      <c r="A380" s="77" t="inlineStr">
        <is>
          <t>US01</t>
        </is>
      </c>
      <c r="B380" s="77" t="inlineStr">
        <is>
          <t>Massachusetts Institute of Technology</t>
        </is>
      </c>
      <c r="C380" s="77" t="inlineStr">
        <is>
          <t>Business/management</t>
        </is>
      </c>
      <c r="D380" s="77" t="inlineStr">
        <is>
          <t>Searched</t>
        </is>
      </c>
      <c r="E380" s="77" t="inlineStr">
        <is>
          <t>MIT Sloan Action Learning lab course teams host organization final report 2026; MIT Sloan MBA action learning requirement; WebFetch mitsloan.mit.edu/action-learning, /action-learning/info-hosts-1, /action-learning/op-team-project, MBAn propose-a-project and 2025-capstone-projects</t>
        </is>
      </c>
      <c r="F380" s="77" t="inlineStr">
        <is>
          <t>https://mitsloan.mit.edu/action-learning; https://mitsloan.mit.edu/action-learning/info-hosts-1; https://mitsloan.mit.edu/action-learning/op-team-project; https://mitsloan.mit.edu/programs/master-business-analytics/2025-capstone-projects</t>
        </is>
      </c>
      <c r="G380" s="77" t="inlineStr">
        <is>
          <t>Strong provision at Sloan: Action Learning labs (four-person teams, host-set problem, &gt;2,700 organisations), the OP Team Project in the MBA core, and the Master of Business Analytics capstone (38 external sponsors in 2025, mostly pairs).</t>
        </is>
      </c>
    </row>
    <row r="381">
      <c r="A381" s="77" t="inlineStr">
        <is>
          <t>US01</t>
        </is>
      </c>
      <c r="B381" s="77" t="inlineStr">
        <is>
          <t>Massachusetts Institute of Technology</t>
        </is>
      </c>
      <c r="C381" s="77" t="inlineStr">
        <is>
          <t>Engineering/computing</t>
        </is>
      </c>
      <c r="D381" s="77" t="inlineStr">
        <is>
          <t>Searched</t>
        </is>
      </c>
      <c r="E381" s="77" t="inlineStr">
        <is>
          <t>MIT engineering capstone industry sponsor team senior design project 2025-2026; MIT Beaver Works Capstone OR SDM capstone OR Gordon Engineering Leadership team projects industry partner; MIT 2.009 product engineering processes team project corporate sponsor; WebFetch ctl.mit.edu/capstone-sponsorship; sdm.mit.edu sponsor page</t>
        </is>
      </c>
      <c r="F381" s="77" t="inlineStr">
        <is>
          <t>https://ctl.mit.edu/capstone-sponsorship; https://sdm.mit.edu/industry-employers/sponsor-employees-research-projects/; https://meche.mit.edu/featured-classes/product-engineering-process</t>
        </is>
      </c>
      <c r="G381" s="77" t="inlineStr">
        <is>
          <t>Master's capstones with external sponsors verified for Supply Chain Management (CTL) and System Design and Management (spring project). 2.009 (large-team product design) shows no named external sponsors. Beaver Works capstones are Lincoln Laboratory-originated (MIT-affiliated). Undergraduate departmental capstones (1.013, 16.82 etc.) not evidenced.</t>
        </is>
      </c>
    </row>
    <row r="382">
      <c r="A382" s="77" t="inlineStr">
        <is>
          <t>US01</t>
        </is>
      </c>
      <c r="B382" s="77" t="inlineStr">
        <is>
          <t>Massachusetts Institute of Technology</t>
        </is>
      </c>
      <c r="C382" s="77" t="inlineStr">
        <is>
          <t>Science</t>
        </is>
      </c>
      <c r="D382" s="77" t="inlineStr">
        <is>
          <t>Searched</t>
        </is>
      </c>
      <c r="E382" s="77" t="inlineStr">
        <is>
          <t>MIT physics OR chemistry OR biology OR EAPS students team project external company client course</t>
        </is>
      </c>
      <c r="F382" s="77" t="inlineStr">
        <is>
          <t>https://eaps.mit.edu/education/undergraduate-program/major-programs/</t>
        </is>
      </c>
      <c r="G382" s="77" t="inlineStr">
        <is>
          <t>Only individual off-campus experience subjects (EAPS 12.080, 12.44) surfaced; no team-based employer project in the sciences found with one query.</t>
        </is>
      </c>
    </row>
    <row r="383">
      <c r="A383" s="77" t="inlineStr">
        <is>
          <t>US01</t>
        </is>
      </c>
      <c r="B383" s="77" t="inlineStr">
        <is>
          <t>Massachusetts Institute of Technology</t>
        </is>
      </c>
      <c r="C383" s="77" t="inlineStr">
        <is>
          <t>Arts/humanities/social sciences</t>
        </is>
      </c>
      <c r="D383" s="77" t="inlineStr">
        <is>
          <t>Searched</t>
        </is>
      </c>
      <c r="E383" s="77" t="inlineStr">
        <is>
          <t>MIT humanities arts social sciences OR architecture OR Media Lab students team client organization project course nonprofit city partner</t>
        </is>
      </c>
      <c r="F383" s="77" t="inlineStr">
        <is>
          <t>https://shass.mit.edu/human-insight-collaborative/shass-education-innovation-fund-projects/</t>
        </is>
      </c>
      <c r="G383" s="77" t="inlineStr">
        <is>
          <t>SHASS funding pages describe community-partner courses (e.g. 21A.406[J], Resilient Urbanism, SP.256) but mostly as planned 2025 awards; none verified as employer-linked group projects with current delivery.</t>
        </is>
      </c>
    </row>
    <row r="384">
      <c r="A384" s="77" t="inlineStr">
        <is>
          <t>US01</t>
        </is>
      </c>
      <c r="B384" s="77" t="inlineStr">
        <is>
          <t>Massachusetts Institute of Technology</t>
        </is>
      </c>
      <c r="C384" s="77" t="inlineStr">
        <is>
          <t>Other (law, health, design, architecture…)</t>
        </is>
      </c>
      <c r="D384" s="77" t="inlineStr">
        <is>
          <t>Searched</t>
        </is>
      </c>
      <c r="E384" s="77" t="inlineStr">
        <is>
          <t>MIT DUSP planning practicum client community organization student team; MIT D-Lab class students teams partner organization project; WebFetch dusp.mit.edu/subjects; d-lab.mit.edu/academics/classes/d-lab-design</t>
        </is>
      </c>
      <c r="F384" s="77" t="inlineStr">
        <is>
          <t>https://dusp.mit.edu/subjects; https://d-lab.mit.edu/academics/classes/d-lab-design</t>
        </is>
      </c>
      <c r="G384" s="77" t="inlineStr">
        <is>
          <t>Urban planning (DUSP practica, required for MCP) and D-Lab (cross-listed design classes with community partners) both client/partner-based; group basis explicit only for D-Lab.</t>
        </is>
      </c>
    </row>
    <row r="385">
      <c r="A385" s="77" t="inlineStr">
        <is>
          <t>US02</t>
        </is>
      </c>
      <c r="B385" s="77" t="inlineStr">
        <is>
          <t>Harvard</t>
        </is>
      </c>
      <c r="C385" s="77" t="inlineStr">
        <is>
          <t>Central provision</t>
        </is>
      </c>
      <c r="D385" s="77" t="inlineStr">
        <is>
          <t>Searched</t>
        </is>
      </c>
      <c r="E385" s="77" t="inlineStr">
        <is>
          <t>Mindich Program in Engaged Scholarship (WebFetch about page); Harvard FAS course students work in teams with community partner project engaged scholarship 2025-2026; Mindich academics page (WebFetch)</t>
        </is>
      </c>
      <c r="F385" s="77" t="inlineStr">
        <is>
          <t>https://engagedscholarship.fas.harvard.edu/about/; https://engagedscholarship.fas.harvard.edu/student-resources/academics/</t>
        </is>
      </c>
      <c r="G385" s="77" t="inlineStr">
        <is>
          <t>Mindich supports about 60 community/civically engaged undergraduate courses a year, but its pages say nothing on community-partner briefs, group work or assessment, so the umbrella cannot be shown to meet B or C. Individual courses (e.g. GOV 1022 Community-Based Survey Research Practicum) were not tested.</t>
        </is>
      </c>
    </row>
    <row r="386">
      <c r="A386" s="77" t="inlineStr">
        <is>
          <t>US02</t>
        </is>
      </c>
      <c r="B386" s="77" t="inlineStr">
        <is>
          <t>Harvard</t>
        </is>
      </c>
      <c r="C386" s="77" t="inlineStr">
        <is>
          <t>Business/management</t>
        </is>
      </c>
      <c r="D386" s="77" t="inlineStr">
        <is>
          <t>Searched</t>
        </is>
      </c>
      <c r="E386" s="77" t="inlineStr">
        <is>
          <t>HBS FIELD Global Immersion client company team project; HBS MBA handbook Field Global Capstone CAP required curriculum team of six Global Partner company (extended)</t>
        </is>
      </c>
      <c r="F386" s="77" t="inlineStr">
        <is>
          <t>https://www.hbs.edu/mba/handbook/academic-information-and-policies/field-global-capstone; https://www.hbs.edu/mba/academic-experience/the-field-method/field-global-capstone; https://www.hbs.edu/mba/academic-experience/the-field-method</t>
        </is>
      </c>
      <c r="G386" s="77" t="inlineStr">
        <is>
          <t>FIELD Global Capstone (required first-year MBA course) puts teams of six with partner companies abroad; qualifies. HBS pages could not be opened directly (WebFetch returned 404 or a different page), so evidence is search-index text. IFC January courses are elective and only 'could include' company team projects.</t>
        </is>
      </c>
    </row>
    <row r="387">
      <c r="A387" s="77" t="inlineStr">
        <is>
          <t>US02</t>
        </is>
      </c>
      <c r="B387" s="77" t="inlineStr">
        <is>
          <t>Harvard</t>
        </is>
      </c>
      <c r="C387" s="77" t="inlineStr">
        <is>
          <t>Engineering/computing</t>
        </is>
      </c>
      <c r="D387" s="77" t="inlineStr">
        <is>
          <t>Searched</t>
        </is>
      </c>
      <c r="E387" s="77" t="inlineStr">
        <is>
          <t>Harvard SEAS capstone project industry sponsor team ES 100 design project; IACS capstone Master's CSE industry partner project team (extended); Harvard Engineering Design Projects ES 100 sponsored capstone external client team seniors 2025</t>
        </is>
      </c>
      <c r="F387" s="77" t="inlineStr">
        <is>
          <t>https://seas.harvard.edu/applied-computation/courses; https://iacs.seas.harvard.edu/capstone; https://designfair.seas.harvard.edu/2021/cse-capstone-project-apcomp-297r; https://designfair.seas.harvard.edu/2020/engineering-sciences/engineering-design-projects-es100</t>
        </is>
      </c>
      <c r="G387" s="77" t="inlineStr">
        <is>
          <t>APCOMP 297R CSE Capstone (teams of 3-4, partner organizations) qualifies. ES 100 senior capstone is mostly individual with no general external-client model evidenced.</t>
        </is>
      </c>
    </row>
    <row r="388">
      <c r="A388" s="77" t="inlineStr">
        <is>
          <t>US02</t>
        </is>
      </c>
      <c r="B388" s="77" t="inlineStr">
        <is>
          <t>Harvard</t>
        </is>
      </c>
      <c r="C388" s="77" t="inlineStr">
        <is>
          <t>Science</t>
        </is>
      </c>
      <c r="D388" s="77" t="inlineStr">
        <is>
          <t>Searched</t>
        </is>
      </c>
      <c r="E388" s="77" t="inlineStr">
        <is>
          <t>Harvard Department of Statistics OR Physics OR Chemistry OR Life Sciences course industry partner project students teams real-world client</t>
        </is>
      </c>
      <c r="F388" s="77" t="inlineStr">
        <is>
          <t>https://extension.harvard.edu/blog/harvard-extension-school-data-science-capstone-experience/</t>
        </is>
      </c>
      <c r="G388" s="77" t="inlineStr">
        <is>
          <t>No natural-science or statistics department course with an external partner group project found. The only data-science hit is the Harvard Extension School capstone (non-degree-college route; search summary only).</t>
        </is>
      </c>
    </row>
    <row r="389">
      <c r="A389" s="77" t="inlineStr">
        <is>
          <t>US02</t>
        </is>
      </c>
      <c r="B389" s="77" t="inlineStr">
        <is>
          <t>Harvard</t>
        </is>
      </c>
      <c r="C389" s="77" t="inlineStr">
        <is>
          <t>Arts/humanities/social sciences</t>
        </is>
      </c>
      <c r="D389" s="77" t="inlineStr">
        <is>
          <t>Searched</t>
        </is>
      </c>
      <c r="E389" s="77" t="inlineStr">
        <is>
          <t>Harvard Kennedy School Policy Analysis Exercise client organization team; HKS PAE page, client page, Spring Exercise page and Past PAEs page (WebFetch); Mindich Fall 2026 / Spring 2027 course lists (WebFetch)</t>
        </is>
      </c>
      <c r="F389" s="77" t="inlineStr">
        <is>
          <t>https://www.hks.harvard.edu/educational-programs/masters-programs/master-public-policy/policy-analysis-exercise; https://www.hks.harvard.edu/more/employers/become-pae-client; https://www.hks.harvard.edu/educational-programs/masters-programs/master-public-policy/curriculum/spring-exercise</t>
        </is>
      </c>
      <c r="G389" s="77" t="inlineStr">
        <is>
          <t>HKS PAE has a public/nonprofit client, but the source pages conflict on whether it is individual or small-team, so group working is Unclear. FAS social-science engaged courses not tested at course level.</t>
        </is>
      </c>
    </row>
    <row r="390">
      <c r="A390" s="77" t="inlineStr">
        <is>
          <t>US02</t>
        </is>
      </c>
      <c r="B390" s="77" t="inlineStr">
        <is>
          <t>Harvard</t>
        </is>
      </c>
      <c r="C390" s="77" t="inlineStr">
        <is>
          <t>Other (law, health, design, architecture…)</t>
        </is>
      </c>
      <c r="D390" s="77" t="inlineStr">
        <is>
          <t>Searched</t>
        </is>
      </c>
      <c r="E390" s="77" t="inlineStr">
        <is>
          <t>Harvard Law School clinic students team client organization report; Harvard GSD studio client community partner / HGSE client-based practicum; HLS Dispute Systems Design Clinic page (WebFetch)</t>
        </is>
      </c>
      <c r="F390" s="77" t="inlineStr">
        <is>
          <t>https://hls.harvard.edu/clinics/in-house-clinics/harvard-dispute-systems-design-clinic/; https://clinics.law.harvard.edu/hlep/; https://www.gsd.harvard.edu/urban-planning-design/programs/master-in-urban-planning/community-outreach/</t>
        </is>
      </c>
      <c r="G390" s="77" t="inlineStr">
        <is>
          <t>HLS Dispute Systems Design Clinic: teams of 2-3 with a client organization/community and a final report; qualifies on A/B/C but term of current delivery is undated. GSD core planning studio with real clients and HLEP are leads (evidence gaps). HGSE returned nothing.</t>
        </is>
      </c>
    </row>
    <row r="391">
      <c r="A391" s="77" t="inlineStr">
        <is>
          <t>US05</t>
        </is>
      </c>
      <c r="B391" s="77" t="inlineStr">
        <is>
          <t>California Berkeley</t>
        </is>
      </c>
      <c r="C391" s="77" t="inlineStr">
        <is>
          <t>Central provision</t>
        </is>
      </c>
      <c r="D391" s="77" t="inlineStr">
        <is>
          <t>Searched</t>
        </is>
      </c>
      <c r="E391" s="77" t="inlineStr">
        <is>
          <t>Berkeley Discovery Partners industry project students teams external organization</t>
        </is>
      </c>
      <c r="F391" s="77" t="inlineStr">
        <is>
          <t>https://discovery.berkeley.edu/students/overview; https://cdss.berkeley.edu/discovery/partner</t>
        </is>
      </c>
      <c r="G391" s="77" t="inlineStr">
        <is>
          <t>Berkeley Discovery is a platform/framework with no scheme detail; Data Science Discovery (S2) is the concrete route found.</t>
        </is>
      </c>
    </row>
    <row r="392">
      <c r="A392" s="77" t="inlineStr">
        <is>
          <t>US05</t>
        </is>
      </c>
      <c r="B392" s="77" t="inlineStr">
        <is>
          <t>California Berkeley</t>
        </is>
      </c>
      <c r="C392" s="77" t="inlineStr">
        <is>
          <t>Business/management</t>
        </is>
      </c>
      <c r="D392" s="77" t="inlineStr">
        <is>
          <t>Searched</t>
        </is>
      </c>
      <c r="E392" s="77" t="inlineStr">
        <is>
          <t>Berkeley Haas client consulting project students team; Haas Startup Lab MBA 295T</t>
        </is>
      </c>
      <c r="F392" s="77" t="inlineStr">
        <is>
          <t>https://haas.berkeley.edu/cssl/programs-events/social-sector-solutions/; https://mba.haas.berkeley.edu/academics/experiential-learning</t>
        </is>
      </c>
      <c r="G392" s="77" t="inlineStr">
        <is>
          <t>Several Haas MBA team client courses (Social Sector Solutions, Haas@Work, Startup Lab); all graduate; currency weakly evidenced.</t>
        </is>
      </c>
    </row>
    <row r="393">
      <c r="A393" s="77" t="inlineStr">
        <is>
          <t>US05</t>
        </is>
      </c>
      <c r="B393" s="77" t="inlineStr">
        <is>
          <t>California Berkeley</t>
        </is>
      </c>
      <c r="C393" s="77" t="inlineStr">
        <is>
          <t>Engineering/computing</t>
        </is>
      </c>
      <c r="D393" s="77" t="inlineStr">
        <is>
          <t>Searched</t>
        </is>
      </c>
      <c r="E393" s="77" t="inlineStr">
        <is>
          <t>Berkeley Engineering capstone industry sponsored project team Fung Institute Master of Engineering; Berkeley data science capstone external client</t>
        </is>
      </c>
      <c r="F393" s="77" t="inlineStr">
        <is>
          <t>https://funginstitute.berkeley.edu/programs-centers/full-time-program/capstone-experience/; https://funginstitute.berkeley.edu/partners/</t>
        </is>
      </c>
      <c r="G393" s="77" t="inlineStr">
        <is>
          <t>MEng capstone with industry sponsors; undergraduate EECS/Data Science capstones not found (one follow-up search was refused by session limit).</t>
        </is>
      </c>
    </row>
    <row r="394">
      <c r="A394" s="77" t="inlineStr">
        <is>
          <t>US05</t>
        </is>
      </c>
      <c r="B394" s="77" t="inlineStr">
        <is>
          <t>California Berkeley</t>
        </is>
      </c>
      <c r="C394" s="77" t="inlineStr">
        <is>
          <t>Science</t>
        </is>
      </c>
      <c r="D394" s="77" t="inlineStr">
        <is>
          <t>Searched</t>
        </is>
      </c>
      <c r="E394" s="77" t="inlineStr">
        <is>
          <t>Berkeley natural resources/chemistry/biology/physics client project external partner</t>
        </is>
      </c>
      <c r="F394" s="77" t="inlineStr">
        <is>
          <t>https://msse.berkeley.edu/partner-with-us/</t>
        </is>
      </c>
      <c r="G394" s="77" t="inlineStr">
        <is>
          <t>Nothing undergraduate found; MSSE capstone is a lead only; Data Discovery (S2) spans data science.</t>
        </is>
      </c>
    </row>
    <row r="395">
      <c r="A395" s="77" t="inlineStr">
        <is>
          <t>US05</t>
        </is>
      </c>
      <c r="B395" s="77" t="inlineStr">
        <is>
          <t>California Berkeley</t>
        </is>
      </c>
      <c r="C395" s="77" t="inlineStr">
        <is>
          <t>Arts/humanities/social sciences</t>
        </is>
      </c>
      <c r="D395" s="77" t="inlineStr">
        <is>
          <t>Searched</t>
        </is>
      </c>
      <c r="E395" s="77" t="inlineStr">
        <is>
          <t>Berkeley Goldman School of Public Policy client organization team</t>
        </is>
      </c>
      <c r="F395" s="77" t="inlineStr">
        <is>
          <t>https://gspp.berkeley.edu/career-services/client-based-projects/introduction-to-policy-analysis-ipa; https://gspp.berkeley.edu/career-services/client-based-projects/capstone-projects</t>
        </is>
      </c>
      <c r="G395" s="77" t="inlineStr">
        <is>
          <t>GSPP IPA (team, public-sector clients) qualifies; Capstone is individual. A humanities/social-science undergraduate query was refused by the session limit and not run.</t>
        </is>
      </c>
    </row>
    <row r="396">
      <c r="A396" s="77" t="inlineStr">
        <is>
          <t>US05</t>
        </is>
      </c>
      <c r="B396" s="77" t="inlineStr">
        <is>
          <t>California Berkeley</t>
        </is>
      </c>
      <c r="C396" s="77" t="inlineStr">
        <is>
          <t>Other (law, health, design, architecture…)</t>
        </is>
      </c>
      <c r="D396" s="77" t="inlineStr">
        <is>
          <t>Searched</t>
        </is>
      </c>
      <c r="E396" s="77" t="inlineStr">
        <is>
          <t>Berkeley public health/architecture/law clinic student teams community partner client project</t>
        </is>
      </c>
      <c r="F396" s="77" t="inlineStr">
        <is>
          <t>https://www.law.berkeley.edu/experiential/clinics/environmental-law-clinic/about-the-clinic/</t>
        </is>
      </c>
      <c r="G396" s="77" t="inlineStr">
        <is>
          <t>Law clinics are client casework (excluded as evidence gap); public health items are funded student ventures; no architecture result.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2:B127"/>
  <sheetViews>
    <sheetView showGridLines="0" workbookViewId="0">
      <selection activeCell="A1" sqref="A1"/>
    </sheetView>
  </sheetViews>
  <sheetFormatPr baseColWidth="8" defaultRowHeight="15"/>
  <cols>
    <col width="30" customWidth="1" min="1" max="1"/>
    <col width="120" customWidth="1" min="2" max="2"/>
  </cols>
  <sheetData>
    <row r="2">
      <c r="A2" s="78" t="inlineStr">
        <is>
          <t>Experiential learning review: method, definitions, sample reconciliation and quality control</t>
        </is>
      </c>
    </row>
    <row r="4" ht="30" customHeight="1">
      <c r="A4" s="79" t="inlineStr">
        <is>
          <t>Research question</t>
        </is>
      </c>
      <c r="B4" s="77" t="inlineStr">
        <is>
          <t>Where do universities provide structured opportunities for students to work collaboratively on substantive projects connected to real employers or businesses, and how widely are these opportunities embedded across each institution?</t>
        </is>
      </c>
    </row>
    <row r="5" ht="30" customHeight="1">
      <c r="A5" s="79" t="inlineStr">
        <is>
          <t>A. Project-based</t>
        </is>
      </c>
      <c r="B5" s="77" t="inlineStr">
        <is>
          <t>Substantive bounded project with a defined problem/brief/research question and identifiable output. Lectures, workshops, talks, visits, networking: insufficient. Placements only with an evidenced project component.</t>
        </is>
      </c>
    </row>
    <row r="6" ht="30" customHeight="1">
      <c r="A6" s="79" t="inlineStr">
        <is>
          <t>B. Group working</t>
        </is>
      </c>
      <c r="B6" s="77" t="inlineStr">
        <is>
          <t>Students work together as a team on the project or joint output. Same class, employer mentor, supervisor collaboration or colleagues during an individual placement do not count. Mixed individual/group schemes are split by route or marked Unclear.</t>
        </is>
      </c>
    </row>
    <row r="7" ht="45" customHeight="1">
      <c r="A7" s="79" t="inlineStr">
        <is>
          <t>C. Employer / external organisation</t>
        </is>
      </c>
      <c r="B7" s="77" t="inlineStr">
        <is>
          <t>Documented participation of a real external organisation: supplies live brief/problem/data; commissions the work; participates in supervision/mentoring/feedback/assessment; or receives the outputs. Generic industry relevance, hypothetical clients, teaching cases, guest speakers, logos: insufficient. Partner types recorded separately so business-linked provision can be isolated.</t>
        </is>
      </c>
    </row>
    <row r="8" ht="30" customHeight="1">
      <c r="A8" s="79" t="inlineStr">
        <is>
          <t>Three-state values</t>
        </is>
      </c>
      <c r="B8" s="77" t="inlineStr">
        <is>
          <t>Yes = explicit supporting evidence; No = evidence establishes the criterion is not met; Unclear = insufficient evidence. Visual fills: green/red/amber; underlying values remain text.</t>
        </is>
      </c>
    </row>
    <row r="9" ht="30" customHeight="1">
      <c r="A9" s="79" t="inlineStr">
        <is>
          <t>Classification</t>
        </is>
      </c>
      <c r="B9" s="77" t="inlineStr">
        <is>
          <t>Meets all three = Yes/Yes/Yes. Potentially relevant; evidence incomplete = no No, at least one Unclear. Outside strict definition = at least one No. All three must apply to the same scheme and participation route.</t>
        </is>
      </c>
    </row>
    <row r="10" ht="30" customHeight="1">
      <c r="A10" s="79" t="inlineStr">
        <is>
          <t>Academic reach</t>
        </is>
      </c>
      <c r="B10" s="77" t="inlineStr">
        <is>
          <t>University-wide | Cross-faculty | Faculty/school | Programme/course | Unclear — based on published eligibility; administrative host recorded separately.</t>
        </is>
      </c>
    </row>
    <row r="11" ht="30" customHeight="1">
      <c r="A11" s="79" t="inlineStr">
        <is>
          <t>Operating status</t>
        </is>
      </c>
      <c r="B11" s="77" t="inlineStr">
        <is>
          <t>Current delivery confirmed | Announced/forthcoming | Historical delivery only | Paused/discontinued | Current status unclear; latest evidenced delivery year recorded separately. A working page is not proof of current delivery.</t>
        </is>
      </c>
    </row>
    <row r="12" ht="30" customHeight="1">
      <c r="A12" s="79" t="inlineStr">
        <is>
          <t>Counting</t>
        </is>
      </c>
      <c r="B12" s="77" t="inlineStr">
        <is>
          <t>Distinct scheme or materially different participation route. Umbrella programmes with recorded child routes are flagged and not counted (children are). Annual cohorts, client examples and duplicate webpages are not split.</t>
        </is>
      </c>
    </row>
    <row r="13" ht="45" customHeight="1">
      <c r="A13" s="79" t="inlineStr">
        <is>
          <t>Search protocol</t>
        </is>
      </c>
      <c r="B13" s="77" t="inlineStr">
        <is>
          <t>Each institution: central provision + business + engineering/computing + science + arts/humanities/social sciences + other (law/health/design/architecture), using targeted site: searches, module catalogues/handbooks, employer-facing project pages and local-language terms for EU institutions. 'Reviewed' = all applicable areas documented in EL search log; otherwise Partial.</t>
        </is>
      </c>
    </row>
    <row r="14" ht="60" customHeight="1">
      <c r="A14" s="79" t="inlineStr">
        <is>
          <t>EVIDENCE LIMITATION</t>
        </is>
      </c>
      <c r="B14" s="77" t="inlineStr">
        <is>
          <t>The research environment's network policy blocked direct page fetching (all hosts denied, Oct 2026). Evidence was therefore obtained through web-search extracts that quote and attribute text to specific official URLs ('search-index extract'). Extracts were not checked against a live copy of each page. Handbook years shown in URLs were recorded; undated pages were not taken as proof of current delivery. Before external publication, re-open source URLs (a spot-check sample at minimum) — enabling network access to university domains in the environment settings would allow this.</t>
        </is>
      </c>
    </row>
    <row r="15" ht="30" customHeight="1">
      <c r="A15" s="79" t="inlineStr">
        <is>
          <t>Sample reconciliation</t>
        </is>
      </c>
      <c r="B15" s="77" t="inlineStr">
        <is>
          <t>Expected 124; found 124 (Russell Group 24, additional UK 30, Australia 10, US 30, EU 30 across 10 member states). No duplicate institutions; every legacy scheme row maps to an index institution; every institution had ≥1 legacy row. Sample preserved unchanged; no substitutions.</t>
        </is>
      </c>
    </row>
    <row r="16" ht="60" customHeight="1">
      <c r="A16" s="79" t="inlineStr">
        <is>
          <t>QS reconciliation</t>
        </is>
      </c>
      <c r="B16" s="77" t="inlineStr">
        <is>
          <t>All rows record QS World University Rankings 2027 edition. 95 ranks cite the ranking table; 29 cite individual QS profile pages (mostly ranks &gt;200) — not re-verified in this review because QS pages could not be opened. Tie flags were internally consistent for ranks shared within the sample. Notes: Adelaide University is the 2026 merger of the University of Adelaide and UniSA; City St George's is the 2024 merger of City and St George's; US/EU rows are not listed in rank order (cosmetic). See Institution index column O.</t>
        </is>
      </c>
    </row>
    <row r="17" ht="30" customHeight="1">
      <c r="A17" s="79" t="inlineStr">
        <is>
          <t>Financial data</t>
        </is>
      </c>
      <c r="B17" s="77" t="inlineStr">
        <is>
          <t>Dashboard (lifelong-learning income), UK providers, Revenue evidence tabs and formulas are unchanged; the two Dashboard charts are preserved. Lifelong-learning revenue must not be interpreted as revenue from experiential learning schemes.</t>
        </is>
      </c>
    </row>
    <row r="18" ht="30" customHeight="1">
      <c r="A18" s="79" t="inlineStr">
        <is>
          <t>Legacy research</t>
        </is>
      </c>
      <c r="B18" s="77" t="inlineStr">
        <is>
          <t>The 152 legacy rows are retained in 'Legacy schemes (v3)' with a disposition column (Q) pointing to the register or exclusions tab. Institution index columns I–M still count legacy rows.</t>
        </is>
      </c>
    </row>
    <row r="21">
      <c r="A21" s="74" t="inlineStr">
        <is>
          <t>Automated QC findings (build time)</t>
        </is>
      </c>
    </row>
    <row r="22">
      <c r="A22" s="24" t="inlineStr">
        <is>
          <t>Summary</t>
        </is>
      </c>
      <c r="B22" s="32" t="inlineStr">
        <is>
          <t>0 errors, 105 warnings across 67 researched institutions (listed below; resolved items are removed on rebuild).</t>
        </is>
      </c>
    </row>
    <row r="23">
      <c r="A23" s="32" t="inlineStr">
        <is>
          <t>WARN RG01</t>
        </is>
      </c>
      <c r="B23" s="32" t="inlineStr">
        <is>
          <t>RG01-S02: possible simulation marked employer-connected — check</t>
        </is>
      </c>
    </row>
    <row r="24">
      <c r="A24" s="32" t="inlineStr">
        <is>
          <t>WARN RG02</t>
        </is>
      </c>
      <c r="B24" s="32" t="inlineStr">
        <is>
          <t>RG02-S12: employer-connected Yes but partner type Unclear</t>
        </is>
      </c>
    </row>
    <row r="25">
      <c r="A25" s="32" t="inlineStr">
        <is>
          <t>WARN RG02</t>
        </is>
      </c>
      <c r="B25" s="32" t="inlineStr">
        <is>
          <t>RG02-S16: employer-connected Yes but partner type Unclear</t>
        </is>
      </c>
    </row>
    <row r="26">
      <c r="A26" s="32" t="inlineStr">
        <is>
          <t>WARN RG03</t>
        </is>
      </c>
      <c r="B26" s="32" t="inlineStr">
        <is>
          <t>RG03-S13: possible simulation marked employer-connected — check</t>
        </is>
      </c>
    </row>
    <row r="27">
      <c r="A27" s="32" t="inlineStr">
        <is>
          <t>WARN RG05</t>
        </is>
      </c>
      <c r="B27" s="32" t="inlineStr">
        <is>
          <t>RG05-S02: employer-connected Yes but partner type Unclear</t>
        </is>
      </c>
    </row>
    <row r="28">
      <c r="A28" s="32" t="inlineStr">
        <is>
          <t>WARN RG06</t>
        </is>
      </c>
      <c r="B28" s="32" t="inlineStr">
        <is>
          <t>RG06-S02: University-wide reach without source tagged reach/eligibility</t>
        </is>
      </c>
    </row>
    <row r="29">
      <c r="A29" s="32" t="inlineStr">
        <is>
          <t>WARN RG06</t>
        </is>
      </c>
      <c r="B29" s="32" t="inlineStr">
        <is>
          <t>RG06-S08: employer-connected Yes but partner type Unclear</t>
        </is>
      </c>
    </row>
    <row r="30">
      <c r="A30" s="32" t="inlineStr">
        <is>
          <t>WARN RG06</t>
        </is>
      </c>
      <c r="B30" s="32" t="inlineStr">
        <is>
          <t>RG06-S10: employer-connected Yes but partner type Unclear</t>
        </is>
      </c>
    </row>
    <row r="31">
      <c r="A31" s="32" t="inlineStr">
        <is>
          <t>WARN RG07</t>
        </is>
      </c>
      <c r="B31" s="32" t="inlineStr">
        <is>
          <t>RG07-S02: University-wide reach without source tagged reach/eligibility</t>
        </is>
      </c>
    </row>
    <row r="32">
      <c r="A32" s="32" t="inlineStr">
        <is>
          <t>WARN RG07</t>
        </is>
      </c>
      <c r="B32" s="32" t="inlineStr">
        <is>
          <t>RG07-S04: employer-connected Yes but partner type Unclear</t>
        </is>
      </c>
    </row>
    <row r="33">
      <c r="A33" s="32" t="inlineStr">
        <is>
          <t>WARN RG08</t>
        </is>
      </c>
      <c r="B33" s="32" t="inlineStr">
        <is>
          <t>RG08-S01: employer-connected Yes but partner type Unclear</t>
        </is>
      </c>
    </row>
    <row r="34">
      <c r="A34" s="32" t="inlineStr">
        <is>
          <t>WARN RG08</t>
        </is>
      </c>
      <c r="B34" s="32" t="inlineStr">
        <is>
          <t>RG08-S02: employer-connected Yes but partner type Unclear</t>
        </is>
      </c>
    </row>
    <row r="35">
      <c r="A35" s="32" t="inlineStr">
        <is>
          <t>WARN RG08</t>
        </is>
      </c>
      <c r="B35" s="32" t="inlineStr">
        <is>
          <t>RG08-S03: employer-connected Yes but partner type Unclear</t>
        </is>
      </c>
    </row>
    <row r="36">
      <c r="A36" s="32" t="inlineStr">
        <is>
          <t>WARN RG08</t>
        </is>
      </c>
      <c r="B36" s="32" t="inlineStr">
        <is>
          <t>RG08-S05: employer-connected Yes but partner type Unclear</t>
        </is>
      </c>
    </row>
    <row r="37">
      <c r="A37" s="32" t="inlineStr">
        <is>
          <t>WARN RG10</t>
        </is>
      </c>
      <c r="B37" s="32" t="inlineStr">
        <is>
          <t>RG10-S09: possible simulation marked employer-connected — check</t>
        </is>
      </c>
    </row>
    <row r="38">
      <c r="A38" s="32" t="inlineStr">
        <is>
          <t>WARN RG10</t>
        </is>
      </c>
      <c r="B38" s="32" t="inlineStr">
        <is>
          <t>RG10-S16: University-wide reach without source tagged reach/eligibility</t>
        </is>
      </c>
    </row>
    <row r="39">
      <c r="A39" s="32" t="inlineStr">
        <is>
          <t>WARN RG11</t>
        </is>
      </c>
      <c r="B39" s="32" t="inlineStr">
        <is>
          <t>RG11-S13: employer-connected Yes but partner type Unclear</t>
        </is>
      </c>
    </row>
    <row r="40">
      <c r="A40" s="32" t="inlineStr">
        <is>
          <t>WARN RG12</t>
        </is>
      </c>
      <c r="B40" s="32" t="inlineStr">
        <is>
          <t>RG12-S01: A project=Yes but evidence text/source tag missing</t>
        </is>
      </c>
    </row>
    <row r="41">
      <c r="A41" s="32" t="inlineStr">
        <is>
          <t>WARN RG12</t>
        </is>
      </c>
      <c r="B41" s="32" t="inlineStr">
        <is>
          <t>RG12-S01: B group=Yes but evidence text/source tag missing</t>
        </is>
      </c>
    </row>
    <row r="42">
      <c r="A42" s="32" t="inlineStr">
        <is>
          <t>WARN RG12</t>
        </is>
      </c>
      <c r="B42" s="32" t="inlineStr">
        <is>
          <t>RG12-S01: C employer=Yes but evidence text/source tag missing</t>
        </is>
      </c>
    </row>
    <row r="43">
      <c r="A43" s="32" t="inlineStr">
        <is>
          <t>WARN RG12</t>
        </is>
      </c>
      <c r="B43" s="32" t="inlineStr">
        <is>
          <t>RG12-S02: employer-connected Yes but partner type Unclear</t>
        </is>
      </c>
    </row>
    <row r="44">
      <c r="A44" s="32" t="inlineStr">
        <is>
          <t>WARN RG12</t>
        </is>
      </c>
      <c r="B44" s="32" t="inlineStr">
        <is>
          <t>RG12-S04: employer-connected Yes but partner type Unclear</t>
        </is>
      </c>
    </row>
    <row r="45">
      <c r="A45" s="32" t="inlineStr">
        <is>
          <t>WARN RG12</t>
        </is>
      </c>
      <c r="B45" s="32" t="inlineStr">
        <is>
          <t>RG12-S05: employer-connected Yes but partner type Unclear</t>
        </is>
      </c>
    </row>
    <row r="46">
      <c r="A46" s="32" t="inlineStr">
        <is>
          <t>WARN RG12</t>
        </is>
      </c>
      <c r="B46" s="32" t="inlineStr">
        <is>
          <t>RG12-S09: employer-connected Yes but partner type Unclear</t>
        </is>
      </c>
    </row>
    <row r="47">
      <c r="A47" s="32" t="inlineStr">
        <is>
          <t>WARN RG12</t>
        </is>
      </c>
      <c r="B47" s="32" t="inlineStr">
        <is>
          <t>RG12-S12: employer-connected Yes but partner type Unclear</t>
        </is>
      </c>
    </row>
    <row r="48">
      <c r="A48" s="32" t="inlineStr">
        <is>
          <t>WARN RG13</t>
        </is>
      </c>
      <c r="B48" s="32" t="inlineStr">
        <is>
          <t>RG13-S11: employer-connected Yes but partner type Unclear</t>
        </is>
      </c>
    </row>
    <row r="49">
      <c r="A49" s="32" t="inlineStr">
        <is>
          <t>WARN RG14</t>
        </is>
      </c>
      <c r="B49" s="32" t="inlineStr">
        <is>
          <t>RG14-S05: employer-connected Yes but partner type Unclear</t>
        </is>
      </c>
    </row>
    <row r="50">
      <c r="A50" s="32" t="inlineStr">
        <is>
          <t>WARN RG14</t>
        </is>
      </c>
      <c r="B50" s="32" t="inlineStr">
        <is>
          <t>RG14-S05: group=Yes but group evidence mentions individual work</t>
        </is>
      </c>
    </row>
    <row r="51">
      <c r="A51" s="32" t="inlineStr">
        <is>
          <t>WARN RG15</t>
        </is>
      </c>
      <c r="B51" s="32" t="inlineStr">
        <is>
          <t>RG15-S02: group=Yes but group evidence mentions individual work</t>
        </is>
      </c>
    </row>
    <row r="52">
      <c r="A52" s="32" t="inlineStr">
        <is>
          <t>WARN RG15</t>
        </is>
      </c>
      <c r="B52" s="32" t="inlineStr">
        <is>
          <t>RG15-S07: employer-connected Yes but partner type Unclear</t>
        </is>
      </c>
    </row>
    <row r="53">
      <c r="A53" s="32" t="inlineStr">
        <is>
          <t>WARN RG17</t>
        </is>
      </c>
      <c r="B53" s="32" t="inlineStr">
        <is>
          <t>RG17-S03: employer-connected Yes but partner type Unclear</t>
        </is>
      </c>
    </row>
    <row r="54">
      <c r="A54" s="32" t="inlineStr">
        <is>
          <t>WARN RG17</t>
        </is>
      </c>
      <c r="B54" s="32" t="inlineStr">
        <is>
          <t>RG17-S04: employer-connected Yes but partner type Unclear</t>
        </is>
      </c>
    </row>
    <row r="55">
      <c r="A55" s="32" t="inlineStr">
        <is>
          <t>WARN RG17</t>
        </is>
      </c>
      <c r="B55" s="32" t="inlineStr">
        <is>
          <t>RG17-S08: employer-connected Yes but partner type Unclear</t>
        </is>
      </c>
    </row>
    <row r="56">
      <c r="A56" s="32" t="inlineStr">
        <is>
          <t>WARN RG19</t>
        </is>
      </c>
      <c r="B56" s="32" t="inlineStr">
        <is>
          <t>RG19-S05: group=Yes but group evidence mentions individual work</t>
        </is>
      </c>
    </row>
    <row r="57">
      <c r="A57" s="32" t="inlineStr">
        <is>
          <t>WARN RG19</t>
        </is>
      </c>
      <c r="B57" s="32" t="inlineStr">
        <is>
          <t>RG19-S09: University-wide reach without source tagged reach/eligibility</t>
        </is>
      </c>
    </row>
    <row r="58">
      <c r="A58" s="32" t="inlineStr">
        <is>
          <t>WARN RG20</t>
        </is>
      </c>
      <c r="B58" s="32" t="inlineStr">
        <is>
          <t>RG20-S04: employer-connected Yes but partner type Unclear</t>
        </is>
      </c>
    </row>
    <row r="59">
      <c r="A59" s="32" t="inlineStr">
        <is>
          <t>WARN RG20</t>
        </is>
      </c>
      <c r="B59" s="32" t="inlineStr">
        <is>
          <t>RG20-S05: employer-connected Yes but partner type Unclear</t>
        </is>
      </c>
    </row>
    <row r="60">
      <c r="A60" s="32" t="inlineStr">
        <is>
          <t>WARN RG20</t>
        </is>
      </c>
      <c r="B60" s="32" t="inlineStr">
        <is>
          <t>RG20-S08: employer-connected Yes but partner type Unclear</t>
        </is>
      </c>
    </row>
    <row r="61">
      <c r="A61" s="32" t="inlineStr">
        <is>
          <t>WARN RG21</t>
        </is>
      </c>
      <c r="B61" s="32" t="inlineStr">
        <is>
          <t>RG21-S03: employer-connected Yes but partner type Unclear</t>
        </is>
      </c>
    </row>
    <row r="62">
      <c r="A62" s="32" t="inlineStr">
        <is>
          <t>WARN RG21</t>
        </is>
      </c>
      <c r="B62" s="32" t="inlineStr">
        <is>
          <t>RG21-S04: employer-connected Yes but partner type Unclear</t>
        </is>
      </c>
    </row>
    <row r="63">
      <c r="A63" s="32" t="inlineStr">
        <is>
          <t>WARN RG21</t>
        </is>
      </c>
      <c r="B63" s="32" t="inlineStr">
        <is>
          <t>RG21-S08: group=Yes but group evidence mentions individual work</t>
        </is>
      </c>
    </row>
    <row r="64">
      <c r="A64" s="32" t="inlineStr">
        <is>
          <t>WARN RG22</t>
        </is>
      </c>
      <c r="B64" s="32" t="inlineStr">
        <is>
          <t>RG22-S01: group=Yes but group evidence mentions individual work</t>
        </is>
      </c>
    </row>
    <row r="65">
      <c r="A65" s="32" t="inlineStr">
        <is>
          <t>WARN RG22</t>
        </is>
      </c>
      <c r="B65" s="32" t="inlineStr">
        <is>
          <t>RG22-S07: employer-connected Yes but partner type Unclear</t>
        </is>
      </c>
    </row>
    <row r="66">
      <c r="A66" s="32" t="inlineStr">
        <is>
          <t>WARN RG22</t>
        </is>
      </c>
      <c r="B66" s="32" t="inlineStr">
        <is>
          <t>RG22-S07: possible simulation marked employer-connected — check</t>
        </is>
      </c>
    </row>
    <row r="67">
      <c r="A67" s="32" t="inlineStr">
        <is>
          <t>WARN RG22</t>
        </is>
      </c>
      <c r="B67" s="32" t="inlineStr">
        <is>
          <t>RG22-S08: employer-connected Yes but partner type Unclear</t>
        </is>
      </c>
    </row>
    <row r="68">
      <c r="A68" s="32" t="inlineStr">
        <is>
          <t>WARN RG22</t>
        </is>
      </c>
      <c r="B68" s="32" t="inlineStr">
        <is>
          <t>RG22-S08: group=Yes but group evidence mentions individual work</t>
        </is>
      </c>
    </row>
    <row r="69">
      <c r="A69" s="32" t="inlineStr">
        <is>
          <t>WARN RG22</t>
        </is>
      </c>
      <c r="B69" s="32" t="inlineStr">
        <is>
          <t>RG22-S14: employer-connected Yes but partner type Unclear</t>
        </is>
      </c>
    </row>
    <row r="70">
      <c r="A70" s="32" t="inlineStr">
        <is>
          <t>WARN RG22</t>
        </is>
      </c>
      <c r="B70" s="32" t="inlineStr">
        <is>
          <t>RG22-S16: employer-connected Yes but partner type Unclear</t>
        </is>
      </c>
    </row>
    <row r="71">
      <c r="A71" s="32" t="inlineStr">
        <is>
          <t>WARN RG22</t>
        </is>
      </c>
      <c r="B71" s="32" t="inlineStr">
        <is>
          <t>RG22-S17: University-wide reach without source tagged reach/eligibility</t>
        </is>
      </c>
    </row>
    <row r="72">
      <c r="A72" s="32" t="inlineStr">
        <is>
          <t>WARN RG23</t>
        </is>
      </c>
      <c r="B72" s="32" t="inlineStr">
        <is>
          <t>RG23-S02: employer-connected Yes but partner type Unclear</t>
        </is>
      </c>
    </row>
    <row r="73">
      <c r="A73" s="32" t="inlineStr">
        <is>
          <t>WARN RG23</t>
        </is>
      </c>
      <c r="B73" s="32" t="inlineStr">
        <is>
          <t>RG23-S04: employer-connected Yes but partner type Unclear</t>
        </is>
      </c>
    </row>
    <row r="74">
      <c r="A74" s="32" t="inlineStr">
        <is>
          <t>WARN RG23</t>
        </is>
      </c>
      <c r="B74" s="32" t="inlineStr">
        <is>
          <t>RG23-S10: employer-connected Yes but partner type Unclear</t>
        </is>
      </c>
    </row>
    <row r="75">
      <c r="A75" s="32" t="inlineStr">
        <is>
          <t>WARN RG24</t>
        </is>
      </c>
      <c r="B75" s="32" t="inlineStr">
        <is>
          <t>RG24-S08: group=Yes but group evidence mentions individual work</t>
        </is>
      </c>
    </row>
    <row r="76">
      <c r="A76" s="32" t="inlineStr">
        <is>
          <t>WARN RG24</t>
        </is>
      </c>
      <c r="B76" s="32" t="inlineStr">
        <is>
          <t>RG24-S09: group=Yes but group evidence mentions individual work</t>
        </is>
      </c>
    </row>
    <row r="77">
      <c r="A77" s="32" t="inlineStr">
        <is>
          <t>WARN RG24</t>
        </is>
      </c>
      <c r="B77" s="32" t="inlineStr">
        <is>
          <t>RG24-S12: employer-connected Yes but partner type Unclear</t>
        </is>
      </c>
    </row>
    <row r="78">
      <c r="A78" s="32" t="inlineStr">
        <is>
          <t>WARN AU01</t>
        </is>
      </c>
      <c r="B78" s="32" t="inlineStr">
        <is>
          <t>AU01-S02: employer-connected Yes but partner type Unclear</t>
        </is>
      </c>
    </row>
    <row r="79">
      <c r="A79" s="32" t="inlineStr">
        <is>
          <t>WARN AU01</t>
        </is>
      </c>
      <c r="B79" s="32" t="inlineStr">
        <is>
          <t>AU01-S04: employer-connected Yes but partner type Unclear</t>
        </is>
      </c>
    </row>
    <row r="80">
      <c r="A80" s="32" t="inlineStr">
        <is>
          <t>WARN AU02</t>
        </is>
      </c>
      <c r="B80" s="32" t="inlineStr">
        <is>
          <t>AU02-S01: employer-connected Yes but partner type Unclear</t>
        </is>
      </c>
    </row>
    <row r="81">
      <c r="A81" s="32" t="inlineStr">
        <is>
          <t>WARN AU02</t>
        </is>
      </c>
      <c r="B81" s="32" t="inlineStr">
        <is>
          <t>AU02-S02: employer-connected Yes but partner type Unclear</t>
        </is>
      </c>
    </row>
    <row r="82">
      <c r="A82" s="32" t="inlineStr">
        <is>
          <t>WARN AU02</t>
        </is>
      </c>
      <c r="B82" s="32" t="inlineStr">
        <is>
          <t>AU02-S03: B group=Yes but evidence text/source tag missing</t>
        </is>
      </c>
    </row>
    <row r="83">
      <c r="A83" s="32" t="inlineStr">
        <is>
          <t>WARN AU02</t>
        </is>
      </c>
      <c r="B83" s="32" t="inlineStr">
        <is>
          <t>AU02-S04: employer-connected Yes but partner type Unclear</t>
        </is>
      </c>
    </row>
    <row r="84">
      <c r="A84" s="32" t="inlineStr">
        <is>
          <t>WARN AU02</t>
        </is>
      </c>
      <c r="B84" s="32" t="inlineStr">
        <is>
          <t>AU02-S09: employer-connected Yes but partner type Unclear</t>
        </is>
      </c>
    </row>
    <row r="85">
      <c r="A85" s="32" t="inlineStr">
        <is>
          <t>WARN AU02</t>
        </is>
      </c>
      <c r="B85" s="32" t="inlineStr">
        <is>
          <t>AU02-S10: employer-connected Yes but partner type Unclear</t>
        </is>
      </c>
    </row>
    <row r="86">
      <c r="A86" s="32" t="inlineStr">
        <is>
          <t>WARN AU02</t>
        </is>
      </c>
      <c r="B86" s="32" t="inlineStr">
        <is>
          <t>AU02-S11: employer-connected Yes but partner type Unclear</t>
        </is>
      </c>
    </row>
    <row r="87">
      <c r="A87" s="32" t="inlineStr">
        <is>
          <t>WARN AU02</t>
        </is>
      </c>
      <c r="B87" s="32" t="inlineStr">
        <is>
          <t>AU02-S12: employer-connected Yes but partner type Unclear</t>
        </is>
      </c>
    </row>
    <row r="88">
      <c r="A88" s="32" t="inlineStr">
        <is>
          <t>WARN AU02</t>
        </is>
      </c>
      <c r="B88" s="32" t="inlineStr">
        <is>
          <t>AU02-S13: employer-connected Yes but partner type Unclear</t>
        </is>
      </c>
    </row>
    <row r="89">
      <c r="A89" s="32" t="inlineStr">
        <is>
          <t>WARN AU02</t>
        </is>
      </c>
      <c r="B89" s="32" t="inlineStr">
        <is>
          <t>AU02-S15: employer-connected Yes but partner type Unclear</t>
        </is>
      </c>
    </row>
    <row r="90">
      <c r="A90" s="32" t="inlineStr">
        <is>
          <t>WARN AU02</t>
        </is>
      </c>
      <c r="B90" s="32" t="inlineStr">
        <is>
          <t>AU02-S16: employer-connected Yes but partner type Unclear</t>
        </is>
      </c>
    </row>
    <row r="91">
      <c r="A91" s="32" t="inlineStr">
        <is>
          <t>WARN AU02</t>
        </is>
      </c>
      <c r="B91" s="32" t="inlineStr">
        <is>
          <t>AU02-S16: possible simulation marked employer-connected — check</t>
        </is>
      </c>
    </row>
    <row r="92">
      <c r="A92" s="32" t="inlineStr">
        <is>
          <t>WARN AU02</t>
        </is>
      </c>
      <c r="B92" s="32" t="inlineStr">
        <is>
          <t>AU02-S17: employer-connected Yes but partner type Unclear</t>
        </is>
      </c>
    </row>
    <row r="93">
      <c r="A93" s="32" t="inlineStr">
        <is>
          <t>WARN AU02</t>
        </is>
      </c>
      <c r="B93" s="32" t="inlineStr">
        <is>
          <t>AU02-S20: employer-connected Yes but partner type Unclear</t>
        </is>
      </c>
    </row>
    <row r="94">
      <c r="A94" s="32" t="inlineStr">
        <is>
          <t>WARN AU03</t>
        </is>
      </c>
      <c r="B94" s="32" t="inlineStr">
        <is>
          <t>AU03-S07: employer-connected Yes but partner type Unclear</t>
        </is>
      </c>
    </row>
    <row r="95">
      <c r="A95" s="32" t="inlineStr">
        <is>
          <t>WARN AU03</t>
        </is>
      </c>
      <c r="B95" s="32" t="inlineStr">
        <is>
          <t>AU03-S09: employer-connected Yes but partner type Unclear</t>
        </is>
      </c>
    </row>
    <row r="96">
      <c r="A96" s="32" t="inlineStr">
        <is>
          <t>WARN AU06</t>
        </is>
      </c>
      <c r="B96" s="32" t="inlineStr">
        <is>
          <t>AU06-S02: possible simulation marked employer-connected — check</t>
        </is>
      </c>
    </row>
    <row r="97">
      <c r="A97" s="32" t="inlineStr">
        <is>
          <t>WARN AU06</t>
        </is>
      </c>
      <c r="B97" s="32" t="inlineStr">
        <is>
          <t>AU06-S07: employer-connected Yes but partner type Unclear</t>
        </is>
      </c>
    </row>
    <row r="98">
      <c r="A98" s="32" t="inlineStr">
        <is>
          <t>WARN AU09</t>
        </is>
      </c>
      <c r="B98" s="32" t="inlineStr">
        <is>
          <t>AU09-S04: employer-connected Yes but partner type Unclear</t>
        </is>
      </c>
    </row>
    <row r="99">
      <c r="A99" s="32" t="inlineStr">
        <is>
          <t>WARN UK01</t>
        </is>
      </c>
      <c r="B99" s="32" t="inlineStr">
        <is>
          <t>UK01-S04: employer-connected Yes but partner type Unclear</t>
        </is>
      </c>
    </row>
    <row r="100">
      <c r="A100" s="32" t="inlineStr">
        <is>
          <t>WARN UK03</t>
        </is>
      </c>
      <c r="B100" s="32" t="inlineStr">
        <is>
          <t>UK03-S03: employer-connected Yes but partner type Unclear</t>
        </is>
      </c>
    </row>
    <row r="101">
      <c r="A101" s="32" t="inlineStr">
        <is>
          <t>WARN UK03</t>
        </is>
      </c>
      <c r="B101" s="32" t="inlineStr">
        <is>
          <t>UK03-S11: group=Yes but group evidence mentions individual work</t>
        </is>
      </c>
    </row>
    <row r="102">
      <c r="A102" s="32" t="inlineStr">
        <is>
          <t>WARN UK03</t>
        </is>
      </c>
      <c r="B102" s="32" t="inlineStr">
        <is>
          <t>UK03-S15: employer-connected Yes but partner type Unclear</t>
        </is>
      </c>
    </row>
    <row r="103">
      <c r="A103" s="32" t="inlineStr">
        <is>
          <t>WARN UK05</t>
        </is>
      </c>
      <c r="B103" s="32" t="inlineStr">
        <is>
          <t>UK05-S01: employer-connected Yes but partner type Unclear</t>
        </is>
      </c>
    </row>
    <row r="104">
      <c r="A104" s="32" t="inlineStr">
        <is>
          <t>WARN UK05</t>
        </is>
      </c>
      <c r="B104" s="32" t="inlineStr">
        <is>
          <t>UK05-S03: employer-connected Yes but partner type Unclear</t>
        </is>
      </c>
    </row>
    <row r="105">
      <c r="A105" s="32" t="inlineStr">
        <is>
          <t>WARN UK05</t>
        </is>
      </c>
      <c r="B105" s="32" t="inlineStr">
        <is>
          <t>UK05-S04: employer-connected Yes but partner type Unclear</t>
        </is>
      </c>
    </row>
    <row r="106">
      <c r="A106" s="32" t="inlineStr">
        <is>
          <t>WARN UK06</t>
        </is>
      </c>
      <c r="B106" s="32" t="inlineStr">
        <is>
          <t>UK06-S02: group=Yes but group evidence mentions individual work</t>
        </is>
      </c>
    </row>
    <row r="107">
      <c r="A107" s="32" t="inlineStr">
        <is>
          <t>WARN UK06</t>
        </is>
      </c>
      <c r="B107" s="32" t="inlineStr">
        <is>
          <t>UK06-S08: group=Yes but group evidence mentions individual work</t>
        </is>
      </c>
    </row>
    <row r="108">
      <c r="A108" s="32" t="inlineStr">
        <is>
          <t>WARN UK07</t>
        </is>
      </c>
      <c r="B108" s="32" t="inlineStr">
        <is>
          <t>UK07-S01: employer-connected Yes but partner type Unclear</t>
        </is>
      </c>
    </row>
    <row r="109">
      <c r="A109" s="32" t="inlineStr">
        <is>
          <t>WARN UK07</t>
        </is>
      </c>
      <c r="B109" s="32" t="inlineStr">
        <is>
          <t>UK07-S02: employer-connected Yes but partner type Unclear</t>
        </is>
      </c>
    </row>
    <row r="110">
      <c r="A110" s="32" t="inlineStr">
        <is>
          <t>WARN UK08</t>
        </is>
      </c>
      <c r="B110" s="32" t="inlineStr">
        <is>
          <t>UK08-S03: employer-connected Yes but partner type Unclear</t>
        </is>
      </c>
    </row>
    <row r="111">
      <c r="A111" s="32" t="inlineStr">
        <is>
          <t>WARN UK09</t>
        </is>
      </c>
      <c r="B111" s="32" t="inlineStr">
        <is>
          <t>UK09-S01: employer-connected Yes but partner type Unclear</t>
        </is>
      </c>
    </row>
    <row r="112">
      <c r="A112" s="32" t="inlineStr">
        <is>
          <t>WARN UK09</t>
        </is>
      </c>
      <c r="B112" s="32" t="inlineStr">
        <is>
          <t>UK09-S03: group=Yes but group evidence mentions individual work</t>
        </is>
      </c>
    </row>
    <row r="113">
      <c r="A113" s="32" t="inlineStr">
        <is>
          <t>WARN UK12</t>
        </is>
      </c>
      <c r="B113" s="32" t="inlineStr">
        <is>
          <t>UK12-S03: employer-connected Yes but partner type Unclear</t>
        </is>
      </c>
    </row>
    <row r="114">
      <c r="A114" s="32" t="inlineStr">
        <is>
          <t>WARN UK12</t>
        </is>
      </c>
      <c r="B114" s="32" t="inlineStr">
        <is>
          <t>UK12-S07: employer-connected Yes but partner type Unclear</t>
        </is>
      </c>
    </row>
    <row r="115">
      <c r="A115" s="32" t="inlineStr">
        <is>
          <t>WARN UK12</t>
        </is>
      </c>
      <c r="B115" s="32" t="inlineStr">
        <is>
          <t>UK12-S12: employer-connected Yes but partner type Unclear</t>
        </is>
      </c>
    </row>
    <row r="116">
      <c r="A116" s="32" t="inlineStr">
        <is>
          <t>WARN UK14</t>
        </is>
      </c>
      <c r="B116" s="32" t="inlineStr">
        <is>
          <t>UK14-S03: employer-connected Yes but partner type Unclear</t>
        </is>
      </c>
    </row>
    <row r="117">
      <c r="A117" s="32" t="inlineStr">
        <is>
          <t>WARN UK17</t>
        </is>
      </c>
      <c r="B117" s="32" t="inlineStr">
        <is>
          <t>UK17-S05: group=Yes but group evidence mentions individual work</t>
        </is>
      </c>
    </row>
    <row r="118">
      <c r="A118" s="32" t="inlineStr">
        <is>
          <t>WARN UK18</t>
        </is>
      </c>
      <c r="B118" s="32" t="inlineStr">
        <is>
          <t>UK18-S03: employer-connected Yes but partner type Unclear</t>
        </is>
      </c>
    </row>
    <row r="119">
      <c r="A119" s="32" t="inlineStr">
        <is>
          <t>WARN UK20</t>
        </is>
      </c>
      <c r="B119" s="32" t="inlineStr">
        <is>
          <t>UK20-S04: employer-connected Yes but partner type Unclear</t>
        </is>
      </c>
    </row>
    <row r="120">
      <c r="A120" s="32" t="inlineStr">
        <is>
          <t>WARN UK21</t>
        </is>
      </c>
      <c r="B120" s="32" t="inlineStr">
        <is>
          <t>UK21-S03: employer-connected Yes but partner type Unclear</t>
        </is>
      </c>
    </row>
    <row r="121">
      <c r="A121" s="32" t="inlineStr">
        <is>
          <t>WARN UK23</t>
        </is>
      </c>
      <c r="B121" s="32" t="inlineStr">
        <is>
          <t>UK23-S01: group=Yes but group evidence mentions individual work</t>
        </is>
      </c>
    </row>
    <row r="122">
      <c r="A122" s="32" t="inlineStr">
        <is>
          <t>WARN UK23</t>
        </is>
      </c>
      <c r="B122" s="32" t="inlineStr">
        <is>
          <t>UK23-S03: employer-connected Yes but partner type Unclear</t>
        </is>
      </c>
    </row>
    <row r="123">
      <c r="A123" s="32" t="inlineStr">
        <is>
          <t>WARN UK26</t>
        </is>
      </c>
      <c r="B123" s="32" t="inlineStr">
        <is>
          <t>UK26-S03: employer-connected Yes but partner type Unclear</t>
        </is>
      </c>
    </row>
    <row r="124">
      <c r="A124" s="32" t="inlineStr">
        <is>
          <t>WARN UK28</t>
        </is>
      </c>
      <c r="B124" s="32" t="inlineStr">
        <is>
          <t>UK28-S01: University-wide reach without source tagged reach/eligibility</t>
        </is>
      </c>
    </row>
    <row r="125">
      <c r="A125" s="32" t="inlineStr">
        <is>
          <t>WARN UK28</t>
        </is>
      </c>
      <c r="B125" s="32" t="inlineStr">
        <is>
          <t>UK28-S04: employer-connected Yes but partner type Unclear</t>
        </is>
      </c>
    </row>
    <row r="126">
      <c r="A126" s="32" t="inlineStr">
        <is>
          <t>WARN UK29</t>
        </is>
      </c>
      <c r="B126" s="32" t="inlineStr">
        <is>
          <t>UK29-S04: employer-connected Yes but partner type Unclear</t>
        </is>
      </c>
    </row>
    <row r="127">
      <c r="A127" s="32" t="inlineStr">
        <is>
          <t>WARN US02</t>
        </is>
      </c>
      <c r="B127" s="32" t="inlineStr">
        <is>
          <t>US02-S03: employer-connected Yes but partner type Unclear</t>
        </is>
      </c>
    </row>
  </sheetData>
  <pageMargins left="0.75" right="0.75" top="1" bottom="1" header="0.5" footer="0.5"/>
</worksheet>
</file>

<file path=xl/worksheets/sheet9.xml><?xml version="1.0" encoding="utf-8"?>
<worksheet xmlns="http://schemas.openxmlformats.org/spreadsheetml/2006/main">
  <sheetPr>
    <tabColor rgb="FF203B60"/>
    <outlinePr summaryBelow="1" summaryRight="1"/>
    <pageSetUpPr/>
  </sheetPr>
  <dimension ref="A1:O146"/>
  <sheetViews>
    <sheetView showGridLines="0" workbookViewId="0">
      <pane xSplit="2" ySplit="6" topLeftCell="C7" activePane="bottomRight" state="frozen"/>
      <selection activeCell="A1" sqref="A1"/>
    </sheetView>
  </sheetViews>
  <sheetFormatPr baseColWidth="8" defaultRowHeight="15"/>
  <cols>
    <col width="17" customWidth="1" min="1" max="1"/>
    <col width="35" customWidth="1" min="2" max="2"/>
    <col width="29" customWidth="1" min="3" max="3"/>
    <col width="17" customWidth="1" min="4" max="4"/>
    <col width="17" customWidth="1" min="5" max="5"/>
    <col width="18" customWidth="1" min="6" max="6"/>
    <col width="77" customWidth="1" min="7" max="7"/>
    <col width="19" customWidth="1" min="8" max="8"/>
    <col width="22" customWidth="1" min="9" max="9"/>
    <col width="29" customWidth="1" min="10" max="10"/>
    <col width="24" customWidth="1" min="11" max="11"/>
    <col width="31" customWidth="1" min="12" max="12"/>
    <col width="51" customWidth="1" min="13" max="13"/>
    <col width="12" customWidth="1" min="14" max="14"/>
    <col width="50" customWidth="1" min="15" max="15"/>
  </cols>
  <sheetData>
    <row r="1"/>
    <row r="2" ht="28" customHeight="1">
      <c r="A2" s="4" t="inlineStr">
        <is>
          <t>Institution coverage, QS eligibility and scheme reach</t>
        </is>
      </c>
      <c r="G2" s="2" t="n"/>
      <c r="H2" s="2" t="n"/>
      <c r="I2" s="2" t="n"/>
      <c r="J2" s="2" t="n"/>
      <c r="K2" s="2" t="n"/>
      <c r="L2" s="2" t="n"/>
      <c r="M2" s="2" t="n"/>
    </row>
    <row r="3" ht="36" customHeight="1">
      <c r="A3" s="6" t="inlineStr">
        <is>
          <t>QS World University Rankings 2027. 30 additional UK institutions outside the Russell Group, 30 US and 30 EU institutions in 10 member states: all within top 1000.</t>
        </is>
      </c>
      <c r="G3" s="2" t="n"/>
      <c r="H3" s="2" t="n"/>
      <c r="I3" s="2" t="n"/>
      <c r="J3" s="2" t="n"/>
      <c r="K3" s="2" t="n"/>
      <c r="L3" s="2" t="n"/>
      <c r="M3" s="2" t="n"/>
    </row>
    <row r="4" ht="36" customHeight="1">
      <c r="A4" s="6" t="inlineStr">
        <is>
          <t>Purposive selection across places and disciplines, not a random prevalence sample. Scheme counts are documented examples; failure to verify a broader scheme does not mean none exists. Research date: 8 October 2026. NOTE (Oct 2026): columns I–M count LEGACY scheme rows; see 'EL institution summary' for the strict-definition review.</t>
        </is>
      </c>
      <c r="G4" s="2" t="n"/>
      <c r="H4" s="2" t="n"/>
      <c r="I4" s="2" t="n"/>
      <c r="J4" s="2" t="n"/>
      <c r="K4" s="2" t="n"/>
      <c r="L4" s="2" t="n"/>
      <c r="M4" s="2" t="n"/>
    </row>
    <row r="5">
      <c r="A5" s="2" t="n"/>
      <c r="B5" s="2" t="n"/>
      <c r="C5" s="2" t="n"/>
      <c r="D5" s="2" t="n"/>
      <c r="E5" s="2" t="n"/>
      <c r="F5" s="2" t="n"/>
      <c r="G5" s="2" t="n"/>
      <c r="H5" s="2" t="n"/>
      <c r="I5" s="2" t="n"/>
      <c r="J5" s="2" t="n"/>
      <c r="K5" s="2" t="n"/>
      <c r="L5" s="2" t="n"/>
      <c r="M5" s="2" t="n"/>
    </row>
    <row r="6" ht="40" customHeight="1">
      <c r="A6" s="9" t="inlineStr">
        <is>
          <t>Country</t>
        </is>
      </c>
      <c r="B6" s="9" t="inlineStr">
        <is>
          <t>University</t>
        </is>
      </c>
      <c r="C6" s="9" t="inlineStr">
        <is>
          <t>Cohort</t>
        </is>
      </c>
      <c r="D6" s="9" t="inlineStr">
        <is>
          <t>QS edition</t>
        </is>
      </c>
      <c r="E6" s="9" t="inlineStr">
        <is>
          <t>QS rank</t>
        </is>
      </c>
      <c r="F6" s="9" t="inlineStr">
        <is>
          <t>Tied rank?</t>
        </is>
      </c>
      <c r="G6" s="9" t="inlineStr">
        <is>
          <t>Official ranking source</t>
        </is>
      </c>
      <c r="H6" s="9" t="inlineStr">
        <is>
          <t>UKPRN</t>
        </is>
      </c>
      <c r="I6" s="9" t="inlineStr">
        <is>
          <t>Scheme examples</t>
        </is>
      </c>
      <c r="J6" s="9" t="inlineStr">
        <is>
          <t>University-wide examples</t>
        </is>
      </c>
      <c r="K6" s="9" t="inlineStr">
        <is>
          <t>Narrower examples</t>
        </is>
      </c>
      <c r="L6" s="9" t="inlineStr">
        <is>
          <t>Unconfirmed reach examples</t>
        </is>
      </c>
      <c r="M6" s="9" t="inlineStr">
        <is>
          <t>Broadest documented reach</t>
        </is>
      </c>
      <c r="N6" s="75" t="inlineStr">
        <is>
          <t>EL review ID</t>
        </is>
      </c>
      <c r="O6" s="75" t="inlineStr">
        <is>
          <t>Sample / QS note (Oct 2026 reconciliation)</t>
        </is>
      </c>
    </row>
    <row r="7" ht="53" customHeight="1">
      <c r="A7" s="10" t="inlineStr">
        <is>
          <t>UK</t>
        </is>
      </c>
      <c r="B7" s="11" t="inlineStr">
        <is>
          <t>Birmingham</t>
        </is>
      </c>
      <c r="C7" s="10" t="inlineStr">
        <is>
          <t>Russell Group</t>
        </is>
      </c>
      <c r="D7" s="80" t="n">
        <v>2027</v>
      </c>
      <c r="E7" s="80" t="n">
        <v>68</v>
      </c>
      <c r="F7" s="10" t="inlineStr">
        <is>
          <t>Yes</t>
        </is>
      </c>
      <c r="G7" s="10" t="inlineStr">
        <is>
          <t>https://www.topuniversities.com/qs-top-uni-wur</t>
        </is>
      </c>
      <c r="H7" s="10" t="inlineStr">
        <is>
          <t>10006840</t>
        </is>
      </c>
      <c r="I7" s="80">
        <f>COUNTIF('Legacy schemes (v3)'!$B$7:$B$158,B7)</f>
        <v/>
      </c>
      <c r="J7" s="80">
        <f>COUNTIFS('Legacy schemes (v3)'!$B$7:$B$158,B7,'Legacy schemes (v3)'!$C$7:$C$158,"University-wide")</f>
        <v/>
      </c>
      <c r="K7" s="80">
        <f>COUNTIFS('Legacy schemes (v3)'!$B$7:$B$158,B7,'Legacy schemes (v3)'!$C$7:$C$158,"Cross-faculty")+COUNTIFS('Legacy schemes (v3)'!$B$7:$B$158,B7,'Legacy schemes (v3)'!$C$7:$C$158,"Faculty/school")+COUNTIFS('Legacy schemes (v3)'!$B$7:$B$158,B7,'Legacy schemes (v3)'!$C$7:$C$158,"Programme/course")</f>
        <v/>
      </c>
      <c r="L7" s="80">
        <f>COUNTIFS('Legacy schemes (v3)'!$B$7:$B$158,B7,'Legacy schemes (v3)'!$C$7:$C$158,"Not confirmed")</f>
        <v/>
      </c>
      <c r="M7" s="10">
        <f>IF(J7&gt;0,"University-wide scheme/framework documented",IF(COUNTIFS('Legacy schemes (v3)'!$B$7:$B$158,B7,'Legacy schemes (v3)'!$C$7:$C$158,"Cross-faculty")&gt;0,"Cross-faculty; broader reach unverified",IF(COUNTIFS('Legacy schemes (v3)'!$B$7:$B$158,B7,'Legacy schemes (v3)'!$C$7:$C$158,"Faculty/school")&gt;0,"Faculty/school; broader reach unverified",IF(K7&gt;0,"Programme/course; broader reach unverified","Scheme documented; reach unconfirmed"))))</f>
        <v/>
      </c>
      <c r="N7" s="32" t="inlineStr">
        <is>
          <t>RG01</t>
        </is>
      </c>
      <c r="O7" s="77" t="inlineStr"/>
    </row>
    <row r="8" ht="53" customHeight="1">
      <c r="A8" s="10" t="inlineStr">
        <is>
          <t>UK</t>
        </is>
      </c>
      <c r="B8" s="11" t="inlineStr">
        <is>
          <t>Bristol</t>
        </is>
      </c>
      <c r="C8" s="10" t="inlineStr">
        <is>
          <t>Russell Group</t>
        </is>
      </c>
      <c r="D8" s="80" t="n">
        <v>2027</v>
      </c>
      <c r="E8" s="80" t="n">
        <v>57</v>
      </c>
      <c r="F8" s="10" t="inlineStr">
        <is>
          <t>No</t>
        </is>
      </c>
      <c r="G8" s="10" t="inlineStr">
        <is>
          <t>https://www.topuniversities.com/qs-top-uni-wur</t>
        </is>
      </c>
      <c r="H8" s="10" t="inlineStr">
        <is>
          <t>10007786</t>
        </is>
      </c>
      <c r="I8" s="80">
        <f>COUNTIF('Legacy schemes (v3)'!$B$7:$B$158,B8)</f>
        <v/>
      </c>
      <c r="J8" s="80">
        <f>COUNTIFS('Legacy schemes (v3)'!$B$7:$B$158,B8,'Legacy schemes (v3)'!$C$7:$C$158,"University-wide")</f>
        <v/>
      </c>
      <c r="K8" s="80">
        <f>COUNTIFS('Legacy schemes (v3)'!$B$7:$B$158,B8,'Legacy schemes (v3)'!$C$7:$C$158,"Cross-faculty")+COUNTIFS('Legacy schemes (v3)'!$B$7:$B$158,B8,'Legacy schemes (v3)'!$C$7:$C$158,"Faculty/school")+COUNTIFS('Legacy schemes (v3)'!$B$7:$B$158,B8,'Legacy schemes (v3)'!$C$7:$C$158,"Programme/course")</f>
        <v/>
      </c>
      <c r="L8" s="80">
        <f>COUNTIFS('Legacy schemes (v3)'!$B$7:$B$158,B8,'Legacy schemes (v3)'!$C$7:$C$158,"Not confirmed")</f>
        <v/>
      </c>
      <c r="M8" s="10">
        <f>IF(J8&gt;0,"University-wide scheme/framework documented",IF(COUNTIFS('Legacy schemes (v3)'!$B$7:$B$158,B8,'Legacy schemes (v3)'!$C$7:$C$158,"Cross-faculty")&gt;0,"Cross-faculty; broader reach unverified",IF(COUNTIFS('Legacy schemes (v3)'!$B$7:$B$158,B8,'Legacy schemes (v3)'!$C$7:$C$158,"Faculty/school")&gt;0,"Faculty/school; broader reach unverified",IF(K8&gt;0,"Programme/course; broader reach unverified","Scheme documented; reach unconfirmed"))))</f>
        <v/>
      </c>
      <c r="N8" s="32" t="inlineStr">
        <is>
          <t>RG02</t>
        </is>
      </c>
      <c r="O8" s="77" t="inlineStr"/>
    </row>
    <row r="9" ht="53" customHeight="1">
      <c r="A9" s="10" t="inlineStr">
        <is>
          <t>UK</t>
        </is>
      </c>
      <c r="B9" s="11" t="inlineStr">
        <is>
          <t>Cambridge</t>
        </is>
      </c>
      <c r="C9" s="10" t="inlineStr">
        <is>
          <t>Russell Group</t>
        </is>
      </c>
      <c r="D9" s="80" t="n">
        <v>2027</v>
      </c>
      <c r="E9" s="80" t="n">
        <v>6</v>
      </c>
      <c r="F9" s="10" t="inlineStr">
        <is>
          <t>No</t>
        </is>
      </c>
      <c r="G9" s="10" t="inlineStr">
        <is>
          <t>https://www.topuniversities.com/qs-top-uni-wur</t>
        </is>
      </c>
      <c r="H9" s="10" t="inlineStr">
        <is>
          <t>10007788</t>
        </is>
      </c>
      <c r="I9" s="80">
        <f>COUNTIF('Legacy schemes (v3)'!$B$7:$B$158,B9)</f>
        <v/>
      </c>
      <c r="J9" s="80">
        <f>COUNTIFS('Legacy schemes (v3)'!$B$7:$B$158,B9,'Legacy schemes (v3)'!$C$7:$C$158,"University-wide")</f>
        <v/>
      </c>
      <c r="K9" s="80">
        <f>COUNTIFS('Legacy schemes (v3)'!$B$7:$B$158,B9,'Legacy schemes (v3)'!$C$7:$C$158,"Cross-faculty")+COUNTIFS('Legacy schemes (v3)'!$B$7:$B$158,B9,'Legacy schemes (v3)'!$C$7:$C$158,"Faculty/school")+COUNTIFS('Legacy schemes (v3)'!$B$7:$B$158,B9,'Legacy schemes (v3)'!$C$7:$C$158,"Programme/course")</f>
        <v/>
      </c>
      <c r="L9" s="80">
        <f>COUNTIFS('Legacy schemes (v3)'!$B$7:$B$158,B9,'Legacy schemes (v3)'!$C$7:$C$158,"Not confirmed")</f>
        <v/>
      </c>
      <c r="M9" s="10">
        <f>IF(J9&gt;0,"University-wide scheme/framework documented",IF(COUNTIFS('Legacy schemes (v3)'!$B$7:$B$158,B9,'Legacy schemes (v3)'!$C$7:$C$158,"Cross-faculty")&gt;0,"Cross-faculty; broader reach unverified",IF(COUNTIFS('Legacy schemes (v3)'!$B$7:$B$158,B9,'Legacy schemes (v3)'!$C$7:$C$158,"Faculty/school")&gt;0,"Faculty/school; broader reach unverified",IF(K9&gt;0,"Programme/course; broader reach unverified","Scheme documented; reach unconfirmed"))))</f>
        <v/>
      </c>
      <c r="N9" s="32" t="inlineStr">
        <is>
          <t>RG03</t>
        </is>
      </c>
      <c r="O9" s="77" t="inlineStr"/>
    </row>
    <row r="10" ht="53" customHeight="1">
      <c r="A10" s="10" t="inlineStr">
        <is>
          <t>UK</t>
        </is>
      </c>
      <c r="B10" s="11" t="inlineStr">
        <is>
          <t>Cardiff</t>
        </is>
      </c>
      <c r="C10" s="10" t="inlineStr">
        <is>
          <t>Russell Group</t>
        </is>
      </c>
      <c r="D10" s="80" t="n">
        <v>2027</v>
      </c>
      <c r="E10" s="80" t="n">
        <v>179</v>
      </c>
      <c r="F10" s="10" t="inlineStr">
        <is>
          <t>Yes</t>
        </is>
      </c>
      <c r="G10" s="10" t="inlineStr">
        <is>
          <t>https://www.topuniversities.com/qs-top-uni-wur</t>
        </is>
      </c>
      <c r="H10" s="10" t="inlineStr">
        <is>
          <t>10007814</t>
        </is>
      </c>
      <c r="I10" s="80">
        <f>COUNTIF('Legacy schemes (v3)'!$B$7:$B$158,B10)</f>
        <v/>
      </c>
      <c r="J10" s="80">
        <f>COUNTIFS('Legacy schemes (v3)'!$B$7:$B$158,B10,'Legacy schemes (v3)'!$C$7:$C$158,"University-wide")</f>
        <v/>
      </c>
      <c r="K10" s="80">
        <f>COUNTIFS('Legacy schemes (v3)'!$B$7:$B$158,B10,'Legacy schemes (v3)'!$C$7:$C$158,"Cross-faculty")+COUNTIFS('Legacy schemes (v3)'!$B$7:$B$158,B10,'Legacy schemes (v3)'!$C$7:$C$158,"Faculty/school")+COUNTIFS('Legacy schemes (v3)'!$B$7:$B$158,B10,'Legacy schemes (v3)'!$C$7:$C$158,"Programme/course")</f>
        <v/>
      </c>
      <c r="L10" s="80">
        <f>COUNTIFS('Legacy schemes (v3)'!$B$7:$B$158,B10,'Legacy schemes (v3)'!$C$7:$C$158,"Not confirmed")</f>
        <v/>
      </c>
      <c r="M10" s="10">
        <f>IF(J10&gt;0,"University-wide scheme/framework documented",IF(COUNTIFS('Legacy schemes (v3)'!$B$7:$B$158,B10,'Legacy schemes (v3)'!$C$7:$C$158,"Cross-faculty")&gt;0,"Cross-faculty; broader reach unverified",IF(COUNTIFS('Legacy schemes (v3)'!$B$7:$B$158,B10,'Legacy schemes (v3)'!$C$7:$C$158,"Faculty/school")&gt;0,"Faculty/school; broader reach unverified",IF(K10&gt;0,"Programme/course; broader reach unverified","Scheme documented; reach unconfirmed"))))</f>
        <v/>
      </c>
      <c r="N10" s="32" t="inlineStr">
        <is>
          <t>RG04</t>
        </is>
      </c>
      <c r="O10" s="77" t="inlineStr"/>
    </row>
    <row r="11" ht="53" customHeight="1">
      <c r="A11" s="10" t="inlineStr">
        <is>
          <t>UK</t>
        </is>
      </c>
      <c r="B11" s="11" t="inlineStr">
        <is>
          <t>Durham</t>
        </is>
      </c>
      <c r="C11" s="10" t="inlineStr">
        <is>
          <t>Russell Group</t>
        </is>
      </c>
      <c r="D11" s="80" t="n">
        <v>2027</v>
      </c>
      <c r="E11" s="80" t="n">
        <v>85</v>
      </c>
      <c r="F11" s="10" t="inlineStr">
        <is>
          <t>No</t>
        </is>
      </c>
      <c r="G11" s="10" t="inlineStr">
        <is>
          <t>https://www.topuniversities.com/qs-top-uni-wur</t>
        </is>
      </c>
      <c r="H11" s="10" t="inlineStr">
        <is>
          <t>10007143</t>
        </is>
      </c>
      <c r="I11" s="80">
        <f>COUNTIF('Legacy schemes (v3)'!$B$7:$B$158,B11)</f>
        <v/>
      </c>
      <c r="J11" s="80">
        <f>COUNTIFS('Legacy schemes (v3)'!$B$7:$B$158,B11,'Legacy schemes (v3)'!$C$7:$C$158,"University-wide")</f>
        <v/>
      </c>
      <c r="K11" s="80">
        <f>COUNTIFS('Legacy schemes (v3)'!$B$7:$B$158,B11,'Legacy schemes (v3)'!$C$7:$C$158,"Cross-faculty")+COUNTIFS('Legacy schemes (v3)'!$B$7:$B$158,B11,'Legacy schemes (v3)'!$C$7:$C$158,"Faculty/school")+COUNTIFS('Legacy schemes (v3)'!$B$7:$B$158,B11,'Legacy schemes (v3)'!$C$7:$C$158,"Programme/course")</f>
        <v/>
      </c>
      <c r="L11" s="80">
        <f>COUNTIFS('Legacy schemes (v3)'!$B$7:$B$158,B11,'Legacy schemes (v3)'!$C$7:$C$158,"Not confirmed")</f>
        <v/>
      </c>
      <c r="M11" s="10">
        <f>IF(J11&gt;0,"University-wide scheme/framework documented",IF(COUNTIFS('Legacy schemes (v3)'!$B$7:$B$158,B11,'Legacy schemes (v3)'!$C$7:$C$158,"Cross-faculty")&gt;0,"Cross-faculty; broader reach unverified",IF(COUNTIFS('Legacy schemes (v3)'!$B$7:$B$158,B11,'Legacy schemes (v3)'!$C$7:$C$158,"Faculty/school")&gt;0,"Faculty/school; broader reach unverified",IF(K11&gt;0,"Programme/course; broader reach unverified","Scheme documented; reach unconfirmed"))))</f>
        <v/>
      </c>
      <c r="N11" s="32" t="inlineStr">
        <is>
          <t>RG05</t>
        </is>
      </c>
      <c r="O11" s="77" t="inlineStr"/>
    </row>
    <row r="12" ht="53" customHeight="1">
      <c r="A12" s="10" t="inlineStr">
        <is>
          <t>UK</t>
        </is>
      </c>
      <c r="B12" s="11" t="inlineStr">
        <is>
          <t>Edinburgh</t>
        </is>
      </c>
      <c r="C12" s="10" t="inlineStr">
        <is>
          <t>Russell Group</t>
        </is>
      </c>
      <c r="D12" s="80" t="n">
        <v>2027</v>
      </c>
      <c r="E12" s="80" t="n">
        <v>35</v>
      </c>
      <c r="F12" s="10" t="inlineStr">
        <is>
          <t>No</t>
        </is>
      </c>
      <c r="G12" s="10" t="inlineStr">
        <is>
          <t>https://www.topuniversities.com/qs-top-uni-wur</t>
        </is>
      </c>
      <c r="H12" s="10" t="inlineStr">
        <is>
          <t>10007790</t>
        </is>
      </c>
      <c r="I12" s="80">
        <f>COUNTIF('Legacy schemes (v3)'!$B$7:$B$158,B12)</f>
        <v/>
      </c>
      <c r="J12" s="80">
        <f>COUNTIFS('Legacy schemes (v3)'!$B$7:$B$158,B12,'Legacy schemes (v3)'!$C$7:$C$158,"University-wide")</f>
        <v/>
      </c>
      <c r="K12" s="80">
        <f>COUNTIFS('Legacy schemes (v3)'!$B$7:$B$158,B12,'Legacy schemes (v3)'!$C$7:$C$158,"Cross-faculty")+COUNTIFS('Legacy schemes (v3)'!$B$7:$B$158,B12,'Legacy schemes (v3)'!$C$7:$C$158,"Faculty/school")+COUNTIFS('Legacy schemes (v3)'!$B$7:$B$158,B12,'Legacy schemes (v3)'!$C$7:$C$158,"Programme/course")</f>
        <v/>
      </c>
      <c r="L12" s="80">
        <f>COUNTIFS('Legacy schemes (v3)'!$B$7:$B$158,B12,'Legacy schemes (v3)'!$C$7:$C$158,"Not confirmed")</f>
        <v/>
      </c>
      <c r="M12" s="10">
        <f>IF(J12&gt;0,"University-wide scheme/framework documented",IF(COUNTIFS('Legacy schemes (v3)'!$B$7:$B$158,B12,'Legacy schemes (v3)'!$C$7:$C$158,"Cross-faculty")&gt;0,"Cross-faculty; broader reach unverified",IF(COUNTIFS('Legacy schemes (v3)'!$B$7:$B$158,B12,'Legacy schemes (v3)'!$C$7:$C$158,"Faculty/school")&gt;0,"Faculty/school; broader reach unverified",IF(K12&gt;0,"Programme/course; broader reach unverified","Scheme documented; reach unconfirmed"))))</f>
        <v/>
      </c>
      <c r="N12" s="32" t="inlineStr">
        <is>
          <t>RG06</t>
        </is>
      </c>
      <c r="O12" s="77" t="inlineStr"/>
    </row>
    <row r="13" ht="53" customHeight="1">
      <c r="A13" s="10" t="inlineStr">
        <is>
          <t>UK</t>
        </is>
      </c>
      <c r="B13" s="11" t="inlineStr">
        <is>
          <t>Exeter</t>
        </is>
      </c>
      <c r="C13" s="10" t="inlineStr">
        <is>
          <t>Russell Group</t>
        </is>
      </c>
      <c r="D13" s="80" t="n">
        <v>2027</v>
      </c>
      <c r="E13" s="80" t="n">
        <v>136</v>
      </c>
      <c r="F13" s="10" t="inlineStr">
        <is>
          <t>No</t>
        </is>
      </c>
      <c r="G13" s="10" t="inlineStr">
        <is>
          <t>https://www.topuniversities.com/qs-top-uni-wur</t>
        </is>
      </c>
      <c r="H13" s="10" t="inlineStr">
        <is>
          <t>10007792</t>
        </is>
      </c>
      <c r="I13" s="80">
        <f>COUNTIF('Legacy schemes (v3)'!$B$7:$B$158,B13)</f>
        <v/>
      </c>
      <c r="J13" s="80">
        <f>COUNTIFS('Legacy schemes (v3)'!$B$7:$B$158,B13,'Legacy schemes (v3)'!$C$7:$C$158,"University-wide")</f>
        <v/>
      </c>
      <c r="K13" s="80">
        <f>COUNTIFS('Legacy schemes (v3)'!$B$7:$B$158,B13,'Legacy schemes (v3)'!$C$7:$C$158,"Cross-faculty")+COUNTIFS('Legacy schemes (v3)'!$B$7:$B$158,B13,'Legacy schemes (v3)'!$C$7:$C$158,"Faculty/school")+COUNTIFS('Legacy schemes (v3)'!$B$7:$B$158,B13,'Legacy schemes (v3)'!$C$7:$C$158,"Programme/course")</f>
        <v/>
      </c>
      <c r="L13" s="80">
        <f>COUNTIFS('Legacy schemes (v3)'!$B$7:$B$158,B13,'Legacy schemes (v3)'!$C$7:$C$158,"Not confirmed")</f>
        <v/>
      </c>
      <c r="M13" s="10">
        <f>IF(J13&gt;0,"University-wide scheme/framework documented",IF(COUNTIFS('Legacy schemes (v3)'!$B$7:$B$158,B13,'Legacy schemes (v3)'!$C$7:$C$158,"Cross-faculty")&gt;0,"Cross-faculty; broader reach unverified",IF(COUNTIFS('Legacy schemes (v3)'!$B$7:$B$158,B13,'Legacy schemes (v3)'!$C$7:$C$158,"Faculty/school")&gt;0,"Faculty/school; broader reach unverified",IF(K13&gt;0,"Programme/course; broader reach unverified","Scheme documented; reach unconfirmed"))))</f>
        <v/>
      </c>
      <c r="N13" s="32" t="inlineStr">
        <is>
          <t>RG07</t>
        </is>
      </c>
      <c r="O13" s="77" t="inlineStr"/>
    </row>
    <row r="14" ht="53" customHeight="1">
      <c r="A14" s="10" t="inlineStr">
        <is>
          <t>UK</t>
        </is>
      </c>
      <c r="B14" s="11" t="inlineStr">
        <is>
          <t>Glasgow</t>
        </is>
      </c>
      <c r="C14" s="10" t="inlineStr">
        <is>
          <t>Russell Group</t>
        </is>
      </c>
      <c r="D14" s="80" t="n">
        <v>2027</v>
      </c>
      <c r="E14" s="80" t="n">
        <v>80</v>
      </c>
      <c r="F14" s="10" t="inlineStr">
        <is>
          <t>No</t>
        </is>
      </c>
      <c r="G14" s="10" t="inlineStr">
        <is>
          <t>https://www.topuniversities.com/qs-top-uni-wur</t>
        </is>
      </c>
      <c r="H14" s="10" t="inlineStr">
        <is>
          <t>10007794</t>
        </is>
      </c>
      <c r="I14" s="80">
        <f>COUNTIF('Legacy schemes (v3)'!$B$7:$B$158,B14)</f>
        <v/>
      </c>
      <c r="J14" s="80">
        <f>COUNTIFS('Legacy schemes (v3)'!$B$7:$B$158,B14,'Legacy schemes (v3)'!$C$7:$C$158,"University-wide")</f>
        <v/>
      </c>
      <c r="K14" s="80">
        <f>COUNTIFS('Legacy schemes (v3)'!$B$7:$B$158,B14,'Legacy schemes (v3)'!$C$7:$C$158,"Cross-faculty")+COUNTIFS('Legacy schemes (v3)'!$B$7:$B$158,B14,'Legacy schemes (v3)'!$C$7:$C$158,"Faculty/school")+COUNTIFS('Legacy schemes (v3)'!$B$7:$B$158,B14,'Legacy schemes (v3)'!$C$7:$C$158,"Programme/course")</f>
        <v/>
      </c>
      <c r="L14" s="80">
        <f>COUNTIFS('Legacy schemes (v3)'!$B$7:$B$158,B14,'Legacy schemes (v3)'!$C$7:$C$158,"Not confirmed")</f>
        <v/>
      </c>
      <c r="M14" s="10">
        <f>IF(J14&gt;0,"University-wide scheme/framework documented",IF(COUNTIFS('Legacy schemes (v3)'!$B$7:$B$158,B14,'Legacy schemes (v3)'!$C$7:$C$158,"Cross-faculty")&gt;0,"Cross-faculty; broader reach unverified",IF(COUNTIFS('Legacy schemes (v3)'!$B$7:$B$158,B14,'Legacy schemes (v3)'!$C$7:$C$158,"Faculty/school")&gt;0,"Faculty/school; broader reach unverified",IF(K14&gt;0,"Programme/course; broader reach unverified","Scheme documented; reach unconfirmed"))))</f>
        <v/>
      </c>
      <c r="N14" s="32" t="inlineStr">
        <is>
          <t>RG08</t>
        </is>
      </c>
      <c r="O14" s="77" t="inlineStr"/>
    </row>
    <row r="15" ht="53" customHeight="1">
      <c r="A15" s="10" t="inlineStr">
        <is>
          <t>UK</t>
        </is>
      </c>
      <c r="B15" s="11" t="inlineStr">
        <is>
          <t>Imperial College London</t>
        </is>
      </c>
      <c r="C15" s="10" t="inlineStr">
        <is>
          <t>Russell Group</t>
        </is>
      </c>
      <c r="D15" s="80" t="n">
        <v>2027</v>
      </c>
      <c r="E15" s="80" t="n">
        <v>2</v>
      </c>
      <c r="F15" s="10" t="inlineStr">
        <is>
          <t>Yes</t>
        </is>
      </c>
      <c r="G15" s="10" t="inlineStr">
        <is>
          <t>https://www.topuniversities.com/qs-top-uni-wur</t>
        </is>
      </c>
      <c r="H15" s="10" t="inlineStr">
        <is>
          <t>10003270</t>
        </is>
      </c>
      <c r="I15" s="80">
        <f>COUNTIF('Legacy schemes (v3)'!$B$7:$B$158,B15)</f>
        <v/>
      </c>
      <c r="J15" s="80">
        <f>COUNTIFS('Legacy schemes (v3)'!$B$7:$B$158,B15,'Legacy schemes (v3)'!$C$7:$C$158,"University-wide")</f>
        <v/>
      </c>
      <c r="K15" s="80">
        <f>COUNTIFS('Legacy schemes (v3)'!$B$7:$B$158,B15,'Legacy schemes (v3)'!$C$7:$C$158,"Cross-faculty")+COUNTIFS('Legacy schemes (v3)'!$B$7:$B$158,B15,'Legacy schemes (v3)'!$C$7:$C$158,"Faculty/school")+COUNTIFS('Legacy schemes (v3)'!$B$7:$B$158,B15,'Legacy schemes (v3)'!$C$7:$C$158,"Programme/course")</f>
        <v/>
      </c>
      <c r="L15" s="80">
        <f>COUNTIFS('Legacy schemes (v3)'!$B$7:$B$158,B15,'Legacy schemes (v3)'!$C$7:$C$158,"Not confirmed")</f>
        <v/>
      </c>
      <c r="M15" s="10">
        <f>IF(J15&gt;0,"University-wide scheme/framework documented",IF(COUNTIFS('Legacy schemes (v3)'!$B$7:$B$158,B15,'Legacy schemes (v3)'!$C$7:$C$158,"Cross-faculty")&gt;0,"Cross-faculty; broader reach unverified",IF(COUNTIFS('Legacy schemes (v3)'!$B$7:$B$158,B15,'Legacy schemes (v3)'!$C$7:$C$158,"Faculty/school")&gt;0,"Faculty/school; broader reach unverified",IF(K15&gt;0,"Programme/course; broader reach unverified","Scheme documented; reach unconfirmed"))))</f>
        <v/>
      </c>
      <c r="N15" s="32" t="inlineStr">
        <is>
          <t>RG09</t>
        </is>
      </c>
      <c r="O15" s="77" t="inlineStr"/>
    </row>
    <row r="16" ht="53" customHeight="1">
      <c r="A16" s="10" t="inlineStr">
        <is>
          <t>UK</t>
        </is>
      </c>
      <c r="B16" s="11" t="inlineStr">
        <is>
          <t>King’s College London</t>
        </is>
      </c>
      <c r="C16" s="10" t="inlineStr">
        <is>
          <t>Russell Group</t>
        </is>
      </c>
      <c r="D16" s="80" t="n">
        <v>2027</v>
      </c>
      <c r="E16" s="80" t="n">
        <v>37</v>
      </c>
      <c r="F16" s="10" t="inlineStr">
        <is>
          <t>No</t>
        </is>
      </c>
      <c r="G16" s="10" t="inlineStr">
        <is>
          <t>https://www.topuniversities.com/qs-top-uni-wur</t>
        </is>
      </c>
      <c r="H16" s="10" t="inlineStr">
        <is>
          <t>10003645</t>
        </is>
      </c>
      <c r="I16" s="80">
        <f>COUNTIF('Legacy schemes (v3)'!$B$7:$B$158,B16)</f>
        <v/>
      </c>
      <c r="J16" s="80">
        <f>COUNTIFS('Legacy schemes (v3)'!$B$7:$B$158,B16,'Legacy schemes (v3)'!$C$7:$C$158,"University-wide")</f>
        <v/>
      </c>
      <c r="K16" s="80">
        <f>COUNTIFS('Legacy schemes (v3)'!$B$7:$B$158,B16,'Legacy schemes (v3)'!$C$7:$C$158,"Cross-faculty")+COUNTIFS('Legacy schemes (v3)'!$B$7:$B$158,B16,'Legacy schemes (v3)'!$C$7:$C$158,"Faculty/school")+COUNTIFS('Legacy schemes (v3)'!$B$7:$B$158,B16,'Legacy schemes (v3)'!$C$7:$C$158,"Programme/course")</f>
        <v/>
      </c>
      <c r="L16" s="80">
        <f>COUNTIFS('Legacy schemes (v3)'!$B$7:$B$158,B16,'Legacy schemes (v3)'!$C$7:$C$158,"Not confirmed")</f>
        <v/>
      </c>
      <c r="M16" s="10">
        <f>IF(J16&gt;0,"University-wide scheme/framework documented",IF(COUNTIFS('Legacy schemes (v3)'!$B$7:$B$158,B16,'Legacy schemes (v3)'!$C$7:$C$158,"Cross-faculty")&gt;0,"Cross-faculty; broader reach unverified",IF(COUNTIFS('Legacy schemes (v3)'!$B$7:$B$158,B16,'Legacy schemes (v3)'!$C$7:$C$158,"Faculty/school")&gt;0,"Faculty/school; broader reach unverified",IF(K16&gt;0,"Programme/course; broader reach unverified","Scheme documented; reach unconfirmed"))))</f>
        <v/>
      </c>
      <c r="N16" s="32" t="inlineStr">
        <is>
          <t>RG10</t>
        </is>
      </c>
      <c r="O16" s="77" t="inlineStr"/>
    </row>
    <row r="17" ht="53" customHeight="1">
      <c r="A17" s="10" t="inlineStr">
        <is>
          <t>UK</t>
        </is>
      </c>
      <c r="B17" s="11" t="inlineStr">
        <is>
          <t>Leeds</t>
        </is>
      </c>
      <c r="C17" s="10" t="inlineStr">
        <is>
          <t>Russell Group</t>
        </is>
      </c>
      <c r="D17" s="80" t="n">
        <v>2027</v>
      </c>
      <c r="E17" s="80" t="n">
        <v>77</v>
      </c>
      <c r="F17" s="10" t="inlineStr">
        <is>
          <t>Yes</t>
        </is>
      </c>
      <c r="G17" s="10" t="inlineStr">
        <is>
          <t>https://www.topuniversities.com/qs-top-uni-wur</t>
        </is>
      </c>
      <c r="H17" s="10" t="inlineStr">
        <is>
          <t>10007795</t>
        </is>
      </c>
      <c r="I17" s="80">
        <f>COUNTIF('Legacy schemes (v3)'!$B$7:$B$158,B17)</f>
        <v/>
      </c>
      <c r="J17" s="80">
        <f>COUNTIFS('Legacy schemes (v3)'!$B$7:$B$158,B17,'Legacy schemes (v3)'!$C$7:$C$158,"University-wide")</f>
        <v/>
      </c>
      <c r="K17" s="80">
        <f>COUNTIFS('Legacy schemes (v3)'!$B$7:$B$158,B17,'Legacy schemes (v3)'!$C$7:$C$158,"Cross-faculty")+COUNTIFS('Legacy schemes (v3)'!$B$7:$B$158,B17,'Legacy schemes (v3)'!$C$7:$C$158,"Faculty/school")+COUNTIFS('Legacy schemes (v3)'!$B$7:$B$158,B17,'Legacy schemes (v3)'!$C$7:$C$158,"Programme/course")</f>
        <v/>
      </c>
      <c r="L17" s="80">
        <f>COUNTIFS('Legacy schemes (v3)'!$B$7:$B$158,B17,'Legacy schemes (v3)'!$C$7:$C$158,"Not confirmed")</f>
        <v/>
      </c>
      <c r="M17" s="10">
        <f>IF(J17&gt;0,"University-wide scheme/framework documented",IF(COUNTIFS('Legacy schemes (v3)'!$B$7:$B$158,B17,'Legacy schemes (v3)'!$C$7:$C$158,"Cross-faculty")&gt;0,"Cross-faculty; broader reach unverified",IF(COUNTIFS('Legacy schemes (v3)'!$B$7:$B$158,B17,'Legacy schemes (v3)'!$C$7:$C$158,"Faculty/school")&gt;0,"Faculty/school; broader reach unverified",IF(K17&gt;0,"Programme/course; broader reach unverified","Scheme documented; reach unconfirmed"))))</f>
        <v/>
      </c>
      <c r="N17" s="32" t="inlineStr">
        <is>
          <t>RG11</t>
        </is>
      </c>
      <c r="O17" s="77" t="inlineStr"/>
    </row>
    <row r="18" ht="53" customHeight="1">
      <c r="A18" s="10" t="inlineStr">
        <is>
          <t>UK</t>
        </is>
      </c>
      <c r="B18" s="11" t="inlineStr">
        <is>
          <t>Liverpool</t>
        </is>
      </c>
      <c r="C18" s="10" t="inlineStr">
        <is>
          <t>Russell Group</t>
        </is>
      </c>
      <c r="D18" s="80" t="n">
        <v>2027</v>
      </c>
      <c r="E18" s="80" t="n">
        <v>139</v>
      </c>
      <c r="F18" s="10" t="inlineStr">
        <is>
          <t>No</t>
        </is>
      </c>
      <c r="G18" s="10" t="inlineStr">
        <is>
          <t>https://www.topuniversities.com/qs-top-uni-wur</t>
        </is>
      </c>
      <c r="H18" s="10" t="inlineStr">
        <is>
          <t>10006842</t>
        </is>
      </c>
      <c r="I18" s="80">
        <f>COUNTIF('Legacy schemes (v3)'!$B$7:$B$158,B18)</f>
        <v/>
      </c>
      <c r="J18" s="80">
        <f>COUNTIFS('Legacy schemes (v3)'!$B$7:$B$158,B18,'Legacy schemes (v3)'!$C$7:$C$158,"University-wide")</f>
        <v/>
      </c>
      <c r="K18" s="80">
        <f>COUNTIFS('Legacy schemes (v3)'!$B$7:$B$158,B18,'Legacy schemes (v3)'!$C$7:$C$158,"Cross-faculty")+COUNTIFS('Legacy schemes (v3)'!$B$7:$B$158,B18,'Legacy schemes (v3)'!$C$7:$C$158,"Faculty/school")+COUNTIFS('Legacy schemes (v3)'!$B$7:$B$158,B18,'Legacy schemes (v3)'!$C$7:$C$158,"Programme/course")</f>
        <v/>
      </c>
      <c r="L18" s="80">
        <f>COUNTIFS('Legacy schemes (v3)'!$B$7:$B$158,B18,'Legacy schemes (v3)'!$C$7:$C$158,"Not confirmed")</f>
        <v/>
      </c>
      <c r="M18" s="10">
        <f>IF(J18&gt;0,"University-wide scheme/framework documented",IF(COUNTIFS('Legacy schemes (v3)'!$B$7:$B$158,B18,'Legacy schemes (v3)'!$C$7:$C$158,"Cross-faculty")&gt;0,"Cross-faculty; broader reach unverified",IF(COUNTIFS('Legacy schemes (v3)'!$B$7:$B$158,B18,'Legacy schemes (v3)'!$C$7:$C$158,"Faculty/school")&gt;0,"Faculty/school; broader reach unverified",IF(K18&gt;0,"Programme/course; broader reach unverified","Scheme documented; reach unconfirmed"))))</f>
        <v/>
      </c>
      <c r="N18" s="32" t="inlineStr">
        <is>
          <t>RG12</t>
        </is>
      </c>
      <c r="O18" s="77" t="inlineStr"/>
    </row>
    <row r="19" ht="53" customHeight="1">
      <c r="A19" s="10" t="inlineStr">
        <is>
          <t>UK</t>
        </is>
      </c>
      <c r="B19" s="11" t="inlineStr">
        <is>
          <t>London School of Economics</t>
        </is>
      </c>
      <c r="C19" s="10" t="inlineStr">
        <is>
          <t>Russell Group</t>
        </is>
      </c>
      <c r="D19" s="80" t="n">
        <v>2027</v>
      </c>
      <c r="E19" s="80" t="n">
        <v>62</v>
      </c>
      <c r="F19" s="10" t="inlineStr">
        <is>
          <t>No</t>
        </is>
      </c>
      <c r="G19" s="10" t="inlineStr">
        <is>
          <t>https://www.topuniversities.com/qs-top-uni-wur</t>
        </is>
      </c>
      <c r="H19" s="10" t="inlineStr">
        <is>
          <t>10004063</t>
        </is>
      </c>
      <c r="I19" s="80">
        <f>COUNTIF('Legacy schemes (v3)'!$B$7:$B$158,B19)</f>
        <v/>
      </c>
      <c r="J19" s="80">
        <f>COUNTIFS('Legacy schemes (v3)'!$B$7:$B$158,B19,'Legacy schemes (v3)'!$C$7:$C$158,"University-wide")</f>
        <v/>
      </c>
      <c r="K19" s="80">
        <f>COUNTIFS('Legacy schemes (v3)'!$B$7:$B$158,B19,'Legacy schemes (v3)'!$C$7:$C$158,"Cross-faculty")+COUNTIFS('Legacy schemes (v3)'!$B$7:$B$158,B19,'Legacy schemes (v3)'!$C$7:$C$158,"Faculty/school")+COUNTIFS('Legacy schemes (v3)'!$B$7:$B$158,B19,'Legacy schemes (v3)'!$C$7:$C$158,"Programme/course")</f>
        <v/>
      </c>
      <c r="L19" s="80">
        <f>COUNTIFS('Legacy schemes (v3)'!$B$7:$B$158,B19,'Legacy schemes (v3)'!$C$7:$C$158,"Not confirmed")</f>
        <v/>
      </c>
      <c r="M19" s="10">
        <f>IF(J19&gt;0,"University-wide scheme/framework documented",IF(COUNTIFS('Legacy schemes (v3)'!$B$7:$B$158,B19,'Legacy schemes (v3)'!$C$7:$C$158,"Cross-faculty")&gt;0,"Cross-faculty; broader reach unverified",IF(COUNTIFS('Legacy schemes (v3)'!$B$7:$B$158,B19,'Legacy schemes (v3)'!$C$7:$C$158,"Faculty/school")&gt;0,"Faculty/school; broader reach unverified",IF(K19&gt;0,"Programme/course; broader reach unverified","Scheme documented; reach unconfirmed"))))</f>
        <v/>
      </c>
      <c r="N19" s="32" t="inlineStr">
        <is>
          <t>RG13</t>
        </is>
      </c>
      <c r="O19" s="77" t="inlineStr"/>
    </row>
    <row r="20" ht="53" customHeight="1">
      <c r="A20" s="10" t="inlineStr">
        <is>
          <t>UK</t>
        </is>
      </c>
      <c r="B20" s="11" t="inlineStr">
        <is>
          <t>Manchester</t>
        </is>
      </c>
      <c r="C20" s="10" t="inlineStr">
        <is>
          <t>Russell Group</t>
        </is>
      </c>
      <c r="D20" s="80" t="n">
        <v>2027</v>
      </c>
      <c r="E20" s="80" t="n">
        <v>40</v>
      </c>
      <c r="F20" s="10" t="inlineStr">
        <is>
          <t>Yes</t>
        </is>
      </c>
      <c r="G20" s="10" t="inlineStr">
        <is>
          <t>https://www.topuniversities.com/qs-top-uni-wur</t>
        </is>
      </c>
      <c r="H20" s="10" t="inlineStr">
        <is>
          <t>10007798</t>
        </is>
      </c>
      <c r="I20" s="80">
        <f>COUNTIF('Legacy schemes (v3)'!$B$7:$B$158,B20)</f>
        <v/>
      </c>
      <c r="J20" s="80">
        <f>COUNTIFS('Legacy schemes (v3)'!$B$7:$B$158,B20,'Legacy schemes (v3)'!$C$7:$C$158,"University-wide")</f>
        <v/>
      </c>
      <c r="K20" s="80">
        <f>COUNTIFS('Legacy schemes (v3)'!$B$7:$B$158,B20,'Legacy schemes (v3)'!$C$7:$C$158,"Cross-faculty")+COUNTIFS('Legacy schemes (v3)'!$B$7:$B$158,B20,'Legacy schemes (v3)'!$C$7:$C$158,"Faculty/school")+COUNTIFS('Legacy schemes (v3)'!$B$7:$B$158,B20,'Legacy schemes (v3)'!$C$7:$C$158,"Programme/course")</f>
        <v/>
      </c>
      <c r="L20" s="80">
        <f>COUNTIFS('Legacy schemes (v3)'!$B$7:$B$158,B20,'Legacy schemes (v3)'!$C$7:$C$158,"Not confirmed")</f>
        <v/>
      </c>
      <c r="M20" s="10">
        <f>IF(J20&gt;0,"University-wide scheme/framework documented",IF(COUNTIFS('Legacy schemes (v3)'!$B$7:$B$158,B20,'Legacy schemes (v3)'!$C$7:$C$158,"Cross-faculty")&gt;0,"Cross-faculty; broader reach unverified",IF(COUNTIFS('Legacy schemes (v3)'!$B$7:$B$158,B20,'Legacy schemes (v3)'!$C$7:$C$158,"Faculty/school")&gt;0,"Faculty/school; broader reach unverified",IF(K20&gt;0,"Programme/course; broader reach unverified","Scheme documented; reach unconfirmed"))))</f>
        <v/>
      </c>
      <c r="N20" s="32" t="inlineStr">
        <is>
          <t>RG14</t>
        </is>
      </c>
      <c r="O20" s="77" t="inlineStr"/>
    </row>
    <row r="21" ht="53" customHeight="1">
      <c r="A21" s="10" t="inlineStr">
        <is>
          <t>UK</t>
        </is>
      </c>
      <c r="B21" s="11" t="inlineStr">
        <is>
          <t>Newcastle</t>
        </is>
      </c>
      <c r="C21" s="10" t="inlineStr">
        <is>
          <t>Russell Group</t>
        </is>
      </c>
      <c r="D21" s="80" t="n">
        <v>2027</v>
      </c>
      <c r="E21" s="80" t="n">
        <v>149</v>
      </c>
      <c r="F21" s="10" t="inlineStr">
        <is>
          <t>No</t>
        </is>
      </c>
      <c r="G21" s="10" t="inlineStr">
        <is>
          <t>https://www.topuniversities.com/qs-top-uni-wur</t>
        </is>
      </c>
      <c r="H21" s="10" t="inlineStr">
        <is>
          <t>10007799</t>
        </is>
      </c>
      <c r="I21" s="80">
        <f>COUNTIF('Legacy schemes (v3)'!$B$7:$B$158,B21)</f>
        <v/>
      </c>
      <c r="J21" s="80">
        <f>COUNTIFS('Legacy schemes (v3)'!$B$7:$B$158,B21,'Legacy schemes (v3)'!$C$7:$C$158,"University-wide")</f>
        <v/>
      </c>
      <c r="K21" s="80">
        <f>COUNTIFS('Legacy schemes (v3)'!$B$7:$B$158,B21,'Legacy schemes (v3)'!$C$7:$C$158,"Cross-faculty")+COUNTIFS('Legacy schemes (v3)'!$B$7:$B$158,B21,'Legacy schemes (v3)'!$C$7:$C$158,"Faculty/school")+COUNTIFS('Legacy schemes (v3)'!$B$7:$B$158,B21,'Legacy schemes (v3)'!$C$7:$C$158,"Programme/course")</f>
        <v/>
      </c>
      <c r="L21" s="80">
        <f>COUNTIFS('Legacy schemes (v3)'!$B$7:$B$158,B21,'Legacy schemes (v3)'!$C$7:$C$158,"Not confirmed")</f>
        <v/>
      </c>
      <c r="M21" s="10">
        <f>IF(J21&gt;0,"University-wide scheme/framework documented",IF(COUNTIFS('Legacy schemes (v3)'!$B$7:$B$158,B21,'Legacy schemes (v3)'!$C$7:$C$158,"Cross-faculty")&gt;0,"Cross-faculty; broader reach unverified",IF(COUNTIFS('Legacy schemes (v3)'!$B$7:$B$158,B21,'Legacy schemes (v3)'!$C$7:$C$158,"Faculty/school")&gt;0,"Faculty/school; broader reach unverified",IF(K21&gt;0,"Programme/course; broader reach unverified","Scheme documented; reach unconfirmed"))))</f>
        <v/>
      </c>
      <c r="N21" s="32" t="inlineStr">
        <is>
          <t>RG15</t>
        </is>
      </c>
      <c r="O21" s="77" t="inlineStr"/>
    </row>
    <row r="22" ht="53" customHeight="1">
      <c r="A22" s="10" t="inlineStr">
        <is>
          <t>UK</t>
        </is>
      </c>
      <c r="B22" s="11" t="inlineStr">
        <is>
          <t>Nottingham</t>
        </is>
      </c>
      <c r="C22" s="10" t="inlineStr">
        <is>
          <t>Russell Group</t>
        </is>
      </c>
      <c r="D22" s="80" t="n">
        <v>2027</v>
      </c>
      <c r="E22" s="80" t="n">
        <v>97</v>
      </c>
      <c r="F22" s="10" t="inlineStr">
        <is>
          <t>Yes</t>
        </is>
      </c>
      <c r="G22" s="10" t="inlineStr">
        <is>
          <t>https://www.topuniversities.com/qs-top-uni-wur</t>
        </is>
      </c>
      <c r="H22" s="10" t="inlineStr">
        <is>
          <t>10007154</t>
        </is>
      </c>
      <c r="I22" s="80">
        <f>COUNTIF('Legacy schemes (v3)'!$B$7:$B$158,B22)</f>
        <v/>
      </c>
      <c r="J22" s="80">
        <f>COUNTIFS('Legacy schemes (v3)'!$B$7:$B$158,B22,'Legacy schemes (v3)'!$C$7:$C$158,"University-wide")</f>
        <v/>
      </c>
      <c r="K22" s="80">
        <f>COUNTIFS('Legacy schemes (v3)'!$B$7:$B$158,B22,'Legacy schemes (v3)'!$C$7:$C$158,"Cross-faculty")+COUNTIFS('Legacy schemes (v3)'!$B$7:$B$158,B22,'Legacy schemes (v3)'!$C$7:$C$158,"Faculty/school")+COUNTIFS('Legacy schemes (v3)'!$B$7:$B$158,B22,'Legacy schemes (v3)'!$C$7:$C$158,"Programme/course")</f>
        <v/>
      </c>
      <c r="L22" s="80">
        <f>COUNTIFS('Legacy schemes (v3)'!$B$7:$B$158,B22,'Legacy schemes (v3)'!$C$7:$C$158,"Not confirmed")</f>
        <v/>
      </c>
      <c r="M22" s="10">
        <f>IF(J22&gt;0,"University-wide scheme/framework documented",IF(COUNTIFS('Legacy schemes (v3)'!$B$7:$B$158,B22,'Legacy schemes (v3)'!$C$7:$C$158,"Cross-faculty")&gt;0,"Cross-faculty; broader reach unverified",IF(COUNTIFS('Legacy schemes (v3)'!$B$7:$B$158,B22,'Legacy schemes (v3)'!$C$7:$C$158,"Faculty/school")&gt;0,"Faculty/school; broader reach unverified",IF(K22&gt;0,"Programme/course; broader reach unverified","Scheme documented; reach unconfirmed"))))</f>
        <v/>
      </c>
      <c r="N22" s="32" t="inlineStr">
        <is>
          <t>RG16</t>
        </is>
      </c>
      <c r="O22" s="77" t="inlineStr"/>
    </row>
    <row r="23" ht="53" customHeight="1">
      <c r="A23" s="10" t="inlineStr">
        <is>
          <t>UK</t>
        </is>
      </c>
      <c r="B23" s="11" t="inlineStr">
        <is>
          <t>Oxford</t>
        </is>
      </c>
      <c r="C23" s="10" t="inlineStr">
        <is>
          <t>Russell Group</t>
        </is>
      </c>
      <c r="D23" s="80" t="n">
        <v>2027</v>
      </c>
      <c r="E23" s="80" t="n">
        <v>4</v>
      </c>
      <c r="F23" s="10" t="inlineStr">
        <is>
          <t>No</t>
        </is>
      </c>
      <c r="G23" s="10" t="inlineStr">
        <is>
          <t>https://www.topuniversities.com/qs-top-uni-wur</t>
        </is>
      </c>
      <c r="H23" s="10" t="inlineStr">
        <is>
          <t>10007774</t>
        </is>
      </c>
      <c r="I23" s="80">
        <f>COUNTIF('Legacy schemes (v3)'!$B$7:$B$158,B23)</f>
        <v/>
      </c>
      <c r="J23" s="80">
        <f>COUNTIFS('Legacy schemes (v3)'!$B$7:$B$158,B23,'Legacy schemes (v3)'!$C$7:$C$158,"University-wide")</f>
        <v/>
      </c>
      <c r="K23" s="80">
        <f>COUNTIFS('Legacy schemes (v3)'!$B$7:$B$158,B23,'Legacy schemes (v3)'!$C$7:$C$158,"Cross-faculty")+COUNTIFS('Legacy schemes (v3)'!$B$7:$B$158,B23,'Legacy schemes (v3)'!$C$7:$C$158,"Faculty/school")+COUNTIFS('Legacy schemes (v3)'!$B$7:$B$158,B23,'Legacy schemes (v3)'!$C$7:$C$158,"Programme/course")</f>
        <v/>
      </c>
      <c r="L23" s="80">
        <f>COUNTIFS('Legacy schemes (v3)'!$B$7:$B$158,B23,'Legacy schemes (v3)'!$C$7:$C$158,"Not confirmed")</f>
        <v/>
      </c>
      <c r="M23" s="10">
        <f>IF(J23&gt;0,"University-wide scheme/framework documented",IF(COUNTIFS('Legacy schemes (v3)'!$B$7:$B$158,B23,'Legacy schemes (v3)'!$C$7:$C$158,"Cross-faculty")&gt;0,"Cross-faculty; broader reach unverified",IF(COUNTIFS('Legacy schemes (v3)'!$B$7:$B$158,B23,'Legacy schemes (v3)'!$C$7:$C$158,"Faculty/school")&gt;0,"Faculty/school; broader reach unverified",IF(K23&gt;0,"Programme/course; broader reach unverified","Scheme documented; reach unconfirmed"))))</f>
        <v/>
      </c>
      <c r="N23" s="32" t="inlineStr">
        <is>
          <t>RG17</t>
        </is>
      </c>
      <c r="O23" s="77" t="inlineStr"/>
    </row>
    <row r="24" ht="53" customHeight="1">
      <c r="A24" s="10" t="inlineStr">
        <is>
          <t>UK</t>
        </is>
      </c>
      <c r="B24" s="11" t="inlineStr">
        <is>
          <t>Queen Mary University of London</t>
        </is>
      </c>
      <c r="C24" s="10" t="inlineStr">
        <is>
          <t>Russell Group</t>
        </is>
      </c>
      <c r="D24" s="80" t="n">
        <v>2027</v>
      </c>
      <c r="E24" s="80" t="n">
        <v>103</v>
      </c>
      <c r="F24" s="10" t="inlineStr">
        <is>
          <t>No</t>
        </is>
      </c>
      <c r="G24" s="10" t="inlineStr">
        <is>
          <t>https://www.topuniversities.com/qs-top-uni-wur</t>
        </is>
      </c>
      <c r="H24" s="10" t="inlineStr">
        <is>
          <t>10007775</t>
        </is>
      </c>
      <c r="I24" s="80">
        <f>COUNTIF('Legacy schemes (v3)'!$B$7:$B$158,B24)</f>
        <v/>
      </c>
      <c r="J24" s="80">
        <f>COUNTIFS('Legacy schemes (v3)'!$B$7:$B$158,B24,'Legacy schemes (v3)'!$C$7:$C$158,"University-wide")</f>
        <v/>
      </c>
      <c r="K24" s="80">
        <f>COUNTIFS('Legacy schemes (v3)'!$B$7:$B$158,B24,'Legacy schemes (v3)'!$C$7:$C$158,"Cross-faculty")+COUNTIFS('Legacy schemes (v3)'!$B$7:$B$158,B24,'Legacy schemes (v3)'!$C$7:$C$158,"Faculty/school")+COUNTIFS('Legacy schemes (v3)'!$B$7:$B$158,B24,'Legacy schemes (v3)'!$C$7:$C$158,"Programme/course")</f>
        <v/>
      </c>
      <c r="L24" s="80">
        <f>COUNTIFS('Legacy schemes (v3)'!$B$7:$B$158,B24,'Legacy schemes (v3)'!$C$7:$C$158,"Not confirmed")</f>
        <v/>
      </c>
      <c r="M24" s="10">
        <f>IF(J24&gt;0,"University-wide scheme/framework documented",IF(COUNTIFS('Legacy schemes (v3)'!$B$7:$B$158,B24,'Legacy schemes (v3)'!$C$7:$C$158,"Cross-faculty")&gt;0,"Cross-faculty; broader reach unverified",IF(COUNTIFS('Legacy schemes (v3)'!$B$7:$B$158,B24,'Legacy schemes (v3)'!$C$7:$C$158,"Faculty/school")&gt;0,"Faculty/school; broader reach unverified",IF(K24&gt;0,"Programme/course; broader reach unverified","Scheme documented; reach unconfirmed"))))</f>
        <v/>
      </c>
      <c r="N24" s="32" t="inlineStr">
        <is>
          <t>RG18</t>
        </is>
      </c>
      <c r="O24" s="77" t="inlineStr"/>
    </row>
    <row r="25" ht="53" customHeight="1">
      <c r="A25" s="10" t="inlineStr">
        <is>
          <t>UK</t>
        </is>
      </c>
      <c r="B25" s="11" t="inlineStr">
        <is>
          <t>Queen’s University Belfast</t>
        </is>
      </c>
      <c r="C25" s="10" t="inlineStr">
        <is>
          <t>Russell Group</t>
        </is>
      </c>
      <c r="D25" s="80" t="n">
        <v>2027</v>
      </c>
      <c r="E25" s="80" t="n">
        <v>174</v>
      </c>
      <c r="F25" s="10" t="inlineStr">
        <is>
          <t>Yes</t>
        </is>
      </c>
      <c r="G25" s="10" t="inlineStr">
        <is>
          <t>https://www.topuniversities.com/qs-top-uni-wur</t>
        </is>
      </c>
      <c r="H25" s="10" t="inlineStr">
        <is>
          <t>10005343</t>
        </is>
      </c>
      <c r="I25" s="80">
        <f>COUNTIF('Legacy schemes (v3)'!$B$7:$B$158,B25)</f>
        <v/>
      </c>
      <c r="J25" s="80">
        <f>COUNTIFS('Legacy schemes (v3)'!$B$7:$B$158,B25,'Legacy schemes (v3)'!$C$7:$C$158,"University-wide")</f>
        <v/>
      </c>
      <c r="K25" s="80">
        <f>COUNTIFS('Legacy schemes (v3)'!$B$7:$B$158,B25,'Legacy schemes (v3)'!$C$7:$C$158,"Cross-faculty")+COUNTIFS('Legacy schemes (v3)'!$B$7:$B$158,B25,'Legacy schemes (v3)'!$C$7:$C$158,"Faculty/school")+COUNTIFS('Legacy schemes (v3)'!$B$7:$B$158,B25,'Legacy schemes (v3)'!$C$7:$C$158,"Programme/course")</f>
        <v/>
      </c>
      <c r="L25" s="80">
        <f>COUNTIFS('Legacy schemes (v3)'!$B$7:$B$158,B25,'Legacy schemes (v3)'!$C$7:$C$158,"Not confirmed")</f>
        <v/>
      </c>
      <c r="M25" s="10">
        <f>IF(J25&gt;0,"University-wide scheme/framework documented",IF(COUNTIFS('Legacy schemes (v3)'!$B$7:$B$158,B25,'Legacy schemes (v3)'!$C$7:$C$158,"Cross-faculty")&gt;0,"Cross-faculty; broader reach unverified",IF(COUNTIFS('Legacy schemes (v3)'!$B$7:$B$158,B25,'Legacy schemes (v3)'!$C$7:$C$158,"Faculty/school")&gt;0,"Faculty/school; broader reach unverified",IF(K25&gt;0,"Programme/course; broader reach unverified","Scheme documented; reach unconfirmed"))))</f>
        <v/>
      </c>
      <c r="N25" s="32" t="inlineStr">
        <is>
          <t>RG19</t>
        </is>
      </c>
      <c r="O25" s="77" t="inlineStr"/>
    </row>
    <row r="26" ht="53" customHeight="1">
      <c r="A26" s="10" t="inlineStr">
        <is>
          <t>UK</t>
        </is>
      </c>
      <c r="B26" s="11" t="inlineStr">
        <is>
          <t>Sheffield</t>
        </is>
      </c>
      <c r="C26" s="10" t="inlineStr">
        <is>
          <t>Russell Group</t>
        </is>
      </c>
      <c r="D26" s="80" t="n">
        <v>2027</v>
      </c>
      <c r="E26" s="80" t="n">
        <v>82</v>
      </c>
      <c r="F26" s="10" t="inlineStr">
        <is>
          <t>Yes</t>
        </is>
      </c>
      <c r="G26" s="10" t="inlineStr">
        <is>
          <t>https://www.topuniversities.com/qs-top-uni-wur</t>
        </is>
      </c>
      <c r="H26" s="10" t="inlineStr">
        <is>
          <t>10007157</t>
        </is>
      </c>
      <c r="I26" s="80">
        <f>COUNTIF('Legacy schemes (v3)'!$B$7:$B$158,B26)</f>
        <v/>
      </c>
      <c r="J26" s="80">
        <f>COUNTIFS('Legacy schemes (v3)'!$B$7:$B$158,B26,'Legacy schemes (v3)'!$C$7:$C$158,"University-wide")</f>
        <v/>
      </c>
      <c r="K26" s="80">
        <f>COUNTIFS('Legacy schemes (v3)'!$B$7:$B$158,B26,'Legacy schemes (v3)'!$C$7:$C$158,"Cross-faculty")+COUNTIFS('Legacy schemes (v3)'!$B$7:$B$158,B26,'Legacy schemes (v3)'!$C$7:$C$158,"Faculty/school")+COUNTIFS('Legacy schemes (v3)'!$B$7:$B$158,B26,'Legacy schemes (v3)'!$C$7:$C$158,"Programme/course")</f>
        <v/>
      </c>
      <c r="L26" s="80">
        <f>COUNTIFS('Legacy schemes (v3)'!$B$7:$B$158,B26,'Legacy schemes (v3)'!$C$7:$C$158,"Not confirmed")</f>
        <v/>
      </c>
      <c r="M26" s="10">
        <f>IF(J26&gt;0,"University-wide scheme/framework documented",IF(COUNTIFS('Legacy schemes (v3)'!$B$7:$B$158,B26,'Legacy schemes (v3)'!$C$7:$C$158,"Cross-faculty")&gt;0,"Cross-faculty; broader reach unverified",IF(COUNTIFS('Legacy schemes (v3)'!$B$7:$B$158,B26,'Legacy schemes (v3)'!$C$7:$C$158,"Faculty/school")&gt;0,"Faculty/school; broader reach unverified",IF(K26&gt;0,"Programme/course; broader reach unverified","Scheme documented; reach unconfirmed"))))</f>
        <v/>
      </c>
      <c r="N26" s="32" t="inlineStr">
        <is>
          <t>RG20</t>
        </is>
      </c>
      <c r="O26" s="77" t="inlineStr"/>
    </row>
    <row r="27" ht="53" customHeight="1">
      <c r="A27" s="10" t="inlineStr">
        <is>
          <t>UK</t>
        </is>
      </c>
      <c r="B27" s="11" t="inlineStr">
        <is>
          <t>Southampton</t>
        </is>
      </c>
      <c r="C27" s="10" t="inlineStr">
        <is>
          <t>Russell Group</t>
        </is>
      </c>
      <c r="D27" s="80" t="n">
        <v>2027</v>
      </c>
      <c r="E27" s="80" t="n">
        <v>111</v>
      </c>
      <c r="F27" s="10" t="inlineStr">
        <is>
          <t>Yes</t>
        </is>
      </c>
      <c r="G27" s="10" t="inlineStr">
        <is>
          <t>https://www.topuniversities.com/qs-top-uni-wur</t>
        </is>
      </c>
      <c r="H27" s="10" t="inlineStr">
        <is>
          <t>10007158</t>
        </is>
      </c>
      <c r="I27" s="80">
        <f>COUNTIF('Legacy schemes (v3)'!$B$7:$B$158,B27)</f>
        <v/>
      </c>
      <c r="J27" s="80">
        <f>COUNTIFS('Legacy schemes (v3)'!$B$7:$B$158,B27,'Legacy schemes (v3)'!$C$7:$C$158,"University-wide")</f>
        <v/>
      </c>
      <c r="K27" s="80">
        <f>COUNTIFS('Legacy schemes (v3)'!$B$7:$B$158,B27,'Legacy schemes (v3)'!$C$7:$C$158,"Cross-faculty")+COUNTIFS('Legacy schemes (v3)'!$B$7:$B$158,B27,'Legacy schemes (v3)'!$C$7:$C$158,"Faculty/school")+COUNTIFS('Legacy schemes (v3)'!$B$7:$B$158,B27,'Legacy schemes (v3)'!$C$7:$C$158,"Programme/course")</f>
        <v/>
      </c>
      <c r="L27" s="80">
        <f>COUNTIFS('Legacy schemes (v3)'!$B$7:$B$158,B27,'Legacy schemes (v3)'!$C$7:$C$158,"Not confirmed")</f>
        <v/>
      </c>
      <c r="M27" s="10">
        <f>IF(J27&gt;0,"University-wide scheme/framework documented",IF(COUNTIFS('Legacy schemes (v3)'!$B$7:$B$158,B27,'Legacy schemes (v3)'!$C$7:$C$158,"Cross-faculty")&gt;0,"Cross-faculty; broader reach unverified",IF(COUNTIFS('Legacy schemes (v3)'!$B$7:$B$158,B27,'Legacy schemes (v3)'!$C$7:$C$158,"Faculty/school")&gt;0,"Faculty/school; broader reach unverified",IF(K27&gt;0,"Programme/course; broader reach unverified","Scheme documented; reach unconfirmed"))))</f>
        <v/>
      </c>
      <c r="N27" s="32" t="inlineStr">
        <is>
          <t>RG21</t>
        </is>
      </c>
      <c r="O27" s="77" t="inlineStr"/>
    </row>
    <row r="28" ht="53" customHeight="1">
      <c r="A28" s="10" t="inlineStr">
        <is>
          <t>UK</t>
        </is>
      </c>
      <c r="B28" s="11" t="inlineStr">
        <is>
          <t>UCL</t>
        </is>
      </c>
      <c r="C28" s="10" t="inlineStr">
        <is>
          <t>Russell Group</t>
        </is>
      </c>
      <c r="D28" s="80" t="n">
        <v>2027</v>
      </c>
      <c r="E28" s="80" t="n">
        <v>8</v>
      </c>
      <c r="F28" s="10" t="inlineStr">
        <is>
          <t>Yes</t>
        </is>
      </c>
      <c r="G28" s="10" t="inlineStr">
        <is>
          <t>https://www.topuniversities.com/qs-top-uni-wur</t>
        </is>
      </c>
      <c r="H28" s="10" t="inlineStr">
        <is>
          <t>10007784</t>
        </is>
      </c>
      <c r="I28" s="80">
        <f>COUNTIF('Legacy schemes (v3)'!$B$7:$B$158,B28)</f>
        <v/>
      </c>
      <c r="J28" s="80">
        <f>COUNTIFS('Legacy schemes (v3)'!$B$7:$B$158,B28,'Legacy schemes (v3)'!$C$7:$C$158,"University-wide")</f>
        <v/>
      </c>
      <c r="K28" s="80">
        <f>COUNTIFS('Legacy schemes (v3)'!$B$7:$B$158,B28,'Legacy schemes (v3)'!$C$7:$C$158,"Cross-faculty")+COUNTIFS('Legacy schemes (v3)'!$B$7:$B$158,B28,'Legacy schemes (v3)'!$C$7:$C$158,"Faculty/school")+COUNTIFS('Legacy schemes (v3)'!$B$7:$B$158,B28,'Legacy schemes (v3)'!$C$7:$C$158,"Programme/course")</f>
        <v/>
      </c>
      <c r="L28" s="80">
        <f>COUNTIFS('Legacy schemes (v3)'!$B$7:$B$158,B28,'Legacy schemes (v3)'!$C$7:$C$158,"Not confirmed")</f>
        <v/>
      </c>
      <c r="M28" s="10">
        <f>IF(J28&gt;0,"University-wide scheme/framework documented",IF(COUNTIFS('Legacy schemes (v3)'!$B$7:$B$158,B28,'Legacy schemes (v3)'!$C$7:$C$158,"Cross-faculty")&gt;0,"Cross-faculty; broader reach unverified",IF(COUNTIFS('Legacy schemes (v3)'!$B$7:$B$158,B28,'Legacy schemes (v3)'!$C$7:$C$158,"Faculty/school")&gt;0,"Faculty/school; broader reach unverified",IF(K28&gt;0,"Programme/course; broader reach unverified","Scheme documented; reach unconfirmed"))))</f>
        <v/>
      </c>
      <c r="N28" s="32" t="inlineStr">
        <is>
          <t>RG22</t>
        </is>
      </c>
      <c r="O28" s="77" t="inlineStr"/>
    </row>
    <row r="29" ht="53" customHeight="1">
      <c r="A29" s="10" t="inlineStr">
        <is>
          <t>UK</t>
        </is>
      </c>
      <c r="B29" s="11" t="inlineStr">
        <is>
          <t>Warwick</t>
        </is>
      </c>
      <c r="C29" s="10" t="inlineStr">
        <is>
          <t>Russell Group</t>
        </is>
      </c>
      <c r="D29" s="80" t="n">
        <v>2027</v>
      </c>
      <c r="E29" s="80" t="n">
        <v>68</v>
      </c>
      <c r="F29" s="10" t="inlineStr">
        <is>
          <t>Yes</t>
        </is>
      </c>
      <c r="G29" s="10" t="inlineStr">
        <is>
          <t>https://www.topuniversities.com/qs-top-uni-wur</t>
        </is>
      </c>
      <c r="H29" s="10" t="inlineStr">
        <is>
          <t>10007163</t>
        </is>
      </c>
      <c r="I29" s="80">
        <f>COUNTIF('Legacy schemes (v3)'!$B$7:$B$158,B29)</f>
        <v/>
      </c>
      <c r="J29" s="80">
        <f>COUNTIFS('Legacy schemes (v3)'!$B$7:$B$158,B29,'Legacy schemes (v3)'!$C$7:$C$158,"University-wide")</f>
        <v/>
      </c>
      <c r="K29" s="80">
        <f>COUNTIFS('Legacy schemes (v3)'!$B$7:$B$158,B29,'Legacy schemes (v3)'!$C$7:$C$158,"Cross-faculty")+COUNTIFS('Legacy schemes (v3)'!$B$7:$B$158,B29,'Legacy schemes (v3)'!$C$7:$C$158,"Faculty/school")+COUNTIFS('Legacy schemes (v3)'!$B$7:$B$158,B29,'Legacy schemes (v3)'!$C$7:$C$158,"Programme/course")</f>
        <v/>
      </c>
      <c r="L29" s="80">
        <f>COUNTIFS('Legacy schemes (v3)'!$B$7:$B$158,B29,'Legacy schemes (v3)'!$C$7:$C$158,"Not confirmed")</f>
        <v/>
      </c>
      <c r="M29" s="10">
        <f>IF(J29&gt;0,"University-wide scheme/framework documented",IF(COUNTIFS('Legacy schemes (v3)'!$B$7:$B$158,B29,'Legacy schemes (v3)'!$C$7:$C$158,"Cross-faculty")&gt;0,"Cross-faculty; broader reach unverified",IF(COUNTIFS('Legacy schemes (v3)'!$B$7:$B$158,B29,'Legacy schemes (v3)'!$C$7:$C$158,"Faculty/school")&gt;0,"Faculty/school; broader reach unverified",IF(K29&gt;0,"Programme/course; broader reach unverified","Scheme documented; reach unconfirmed"))))</f>
        <v/>
      </c>
      <c r="N29" s="32" t="inlineStr">
        <is>
          <t>RG23</t>
        </is>
      </c>
      <c r="O29" s="77" t="inlineStr"/>
    </row>
    <row r="30" ht="53" customHeight="1">
      <c r="A30" s="10" t="inlineStr">
        <is>
          <t>UK</t>
        </is>
      </c>
      <c r="B30" s="11" t="inlineStr">
        <is>
          <t>York</t>
        </is>
      </c>
      <c r="C30" s="10" t="inlineStr">
        <is>
          <t>Russell Group</t>
        </is>
      </c>
      <c r="D30" s="80" t="n">
        <v>2027</v>
      </c>
      <c r="E30" s="80" t="n">
        <v>158</v>
      </c>
      <c r="F30" s="10" t="inlineStr">
        <is>
          <t>Yes</t>
        </is>
      </c>
      <c r="G30" s="10" t="inlineStr">
        <is>
          <t>https://www.topuniversities.com/qs-top-uni-wur</t>
        </is>
      </c>
      <c r="H30" s="10" t="inlineStr">
        <is>
          <t>10007167</t>
        </is>
      </c>
      <c r="I30" s="80">
        <f>COUNTIF('Legacy schemes (v3)'!$B$7:$B$158,B30)</f>
        <v/>
      </c>
      <c r="J30" s="80">
        <f>COUNTIFS('Legacy schemes (v3)'!$B$7:$B$158,B30,'Legacy schemes (v3)'!$C$7:$C$158,"University-wide")</f>
        <v/>
      </c>
      <c r="K30" s="80">
        <f>COUNTIFS('Legacy schemes (v3)'!$B$7:$B$158,B30,'Legacy schemes (v3)'!$C$7:$C$158,"Cross-faculty")+COUNTIFS('Legacy schemes (v3)'!$B$7:$B$158,B30,'Legacy schemes (v3)'!$C$7:$C$158,"Faculty/school")+COUNTIFS('Legacy schemes (v3)'!$B$7:$B$158,B30,'Legacy schemes (v3)'!$C$7:$C$158,"Programme/course")</f>
        <v/>
      </c>
      <c r="L30" s="80">
        <f>COUNTIFS('Legacy schemes (v3)'!$B$7:$B$158,B30,'Legacy schemes (v3)'!$C$7:$C$158,"Not confirmed")</f>
        <v/>
      </c>
      <c r="M30" s="10">
        <f>IF(J30&gt;0,"University-wide scheme/framework documented",IF(COUNTIFS('Legacy schemes (v3)'!$B$7:$B$158,B30,'Legacy schemes (v3)'!$C$7:$C$158,"Cross-faculty")&gt;0,"Cross-faculty; broader reach unverified",IF(COUNTIFS('Legacy schemes (v3)'!$B$7:$B$158,B30,'Legacy schemes (v3)'!$C$7:$C$158,"Faculty/school")&gt;0,"Faculty/school; broader reach unverified",IF(K30&gt;0,"Programme/course; broader reach unverified","Scheme documented; reach unconfirmed"))))</f>
        <v/>
      </c>
      <c r="N30" s="32" t="inlineStr">
        <is>
          <t>RG24</t>
        </is>
      </c>
      <c r="O30" s="77" t="inlineStr"/>
    </row>
    <row r="31" ht="53" customHeight="1">
      <c r="A31" s="10" t="inlineStr">
        <is>
          <t>Australia</t>
        </is>
      </c>
      <c r="B31" s="11" t="inlineStr">
        <is>
          <t>UNSW Sydney</t>
        </is>
      </c>
      <c r="C31" s="10" t="inlineStr">
        <is>
          <t>Australia top 10</t>
        </is>
      </c>
      <c r="D31" s="80" t="n">
        <v>2027</v>
      </c>
      <c r="E31" s="80" t="n">
        <v>19</v>
      </c>
      <c r="F31" s="10" t="inlineStr">
        <is>
          <t>No</t>
        </is>
      </c>
      <c r="G31" s="10" t="inlineStr">
        <is>
          <t>https://www.topuniversities.com/qs-top-uni-wur</t>
        </is>
      </c>
      <c r="H31" s="10" t="inlineStr">
        <is>
          <t>n.a.</t>
        </is>
      </c>
      <c r="I31" s="80">
        <f>COUNTIF('Legacy schemes (v3)'!$B$7:$B$158,B31)</f>
        <v/>
      </c>
      <c r="J31" s="80">
        <f>COUNTIFS('Legacy schemes (v3)'!$B$7:$B$158,B31,'Legacy schemes (v3)'!$C$7:$C$158,"University-wide")</f>
        <v/>
      </c>
      <c r="K31" s="80">
        <f>COUNTIFS('Legacy schemes (v3)'!$B$7:$B$158,B31,'Legacy schemes (v3)'!$C$7:$C$158,"Cross-faculty")+COUNTIFS('Legacy schemes (v3)'!$B$7:$B$158,B31,'Legacy schemes (v3)'!$C$7:$C$158,"Faculty/school")+COUNTIFS('Legacy schemes (v3)'!$B$7:$B$158,B31,'Legacy schemes (v3)'!$C$7:$C$158,"Programme/course")</f>
        <v/>
      </c>
      <c r="L31" s="80">
        <f>COUNTIFS('Legacy schemes (v3)'!$B$7:$B$158,B31,'Legacy schemes (v3)'!$C$7:$C$158,"Not confirmed")</f>
        <v/>
      </c>
      <c r="M31" s="10">
        <f>IF(J31&gt;0,"University-wide scheme/framework documented",IF(COUNTIFS('Legacy schemes (v3)'!$B$7:$B$158,B31,'Legacy schemes (v3)'!$C$7:$C$158,"Cross-faculty")&gt;0,"Cross-faculty; broader reach unverified",IF(COUNTIFS('Legacy schemes (v3)'!$B$7:$B$158,B31,'Legacy schemes (v3)'!$C$7:$C$158,"Faculty/school")&gt;0,"Faculty/school; broader reach unverified",IF(K31&gt;0,"Programme/course; broader reach unverified","Scheme documented; reach unconfirmed"))))</f>
        <v/>
      </c>
      <c r="N31" s="32" t="inlineStr">
        <is>
          <t>AU01</t>
        </is>
      </c>
      <c r="O31" s="77" t="inlineStr"/>
    </row>
    <row r="32" ht="53" customHeight="1">
      <c r="A32" s="10" t="inlineStr">
        <is>
          <t>Australia</t>
        </is>
      </c>
      <c r="B32" s="11" t="inlineStr">
        <is>
          <t>Melbourne</t>
        </is>
      </c>
      <c r="C32" s="10" t="inlineStr">
        <is>
          <t>Australia top 10</t>
        </is>
      </c>
      <c r="D32" s="80" t="n">
        <v>2027</v>
      </c>
      <c r="E32" s="80" t="n">
        <v>22</v>
      </c>
      <c r="F32" s="10" t="inlineStr">
        <is>
          <t>Yes</t>
        </is>
      </c>
      <c r="G32" s="10" t="inlineStr">
        <is>
          <t>https://www.topuniversities.com/qs-top-uni-wur</t>
        </is>
      </c>
      <c r="H32" s="10" t="inlineStr">
        <is>
          <t>n.a.</t>
        </is>
      </c>
      <c r="I32" s="80">
        <f>COUNTIF('Legacy schemes (v3)'!$B$7:$B$158,B32)</f>
        <v/>
      </c>
      <c r="J32" s="80">
        <f>COUNTIFS('Legacy schemes (v3)'!$B$7:$B$158,B32,'Legacy schemes (v3)'!$C$7:$C$158,"University-wide")</f>
        <v/>
      </c>
      <c r="K32" s="80">
        <f>COUNTIFS('Legacy schemes (v3)'!$B$7:$B$158,B32,'Legacy schemes (v3)'!$C$7:$C$158,"Cross-faculty")+COUNTIFS('Legacy schemes (v3)'!$B$7:$B$158,B32,'Legacy schemes (v3)'!$C$7:$C$158,"Faculty/school")+COUNTIFS('Legacy schemes (v3)'!$B$7:$B$158,B32,'Legacy schemes (v3)'!$C$7:$C$158,"Programme/course")</f>
        <v/>
      </c>
      <c r="L32" s="80">
        <f>COUNTIFS('Legacy schemes (v3)'!$B$7:$B$158,B32,'Legacy schemes (v3)'!$C$7:$C$158,"Not confirmed")</f>
        <v/>
      </c>
      <c r="M32" s="10">
        <f>IF(J32&gt;0,"University-wide scheme/framework documented",IF(COUNTIFS('Legacy schemes (v3)'!$B$7:$B$158,B32,'Legacy schemes (v3)'!$C$7:$C$158,"Cross-faculty")&gt;0,"Cross-faculty; broader reach unverified",IF(COUNTIFS('Legacy schemes (v3)'!$B$7:$B$158,B32,'Legacy schemes (v3)'!$C$7:$C$158,"Faculty/school")&gt;0,"Faculty/school; broader reach unverified",IF(K32&gt;0,"Programme/course; broader reach unverified","Scheme documented; reach unconfirmed"))))</f>
        <v/>
      </c>
      <c r="N32" s="32" t="inlineStr">
        <is>
          <t>AU02</t>
        </is>
      </c>
      <c r="O32" s="77" t="inlineStr"/>
    </row>
    <row r="33" ht="53" customHeight="1">
      <c r="A33" s="10" t="inlineStr">
        <is>
          <t>Australia</t>
        </is>
      </c>
      <c r="B33" s="11" t="inlineStr">
        <is>
          <t>Sydney</t>
        </is>
      </c>
      <c r="C33" s="10" t="inlineStr">
        <is>
          <t>Australia top 10</t>
        </is>
      </c>
      <c r="D33" s="80" t="n">
        <v>2027</v>
      </c>
      <c r="E33" s="80" t="n">
        <v>28</v>
      </c>
      <c r="F33" s="10" t="inlineStr">
        <is>
          <t>No</t>
        </is>
      </c>
      <c r="G33" s="10" t="inlineStr">
        <is>
          <t>https://www.topuniversities.com/qs-top-uni-wur</t>
        </is>
      </c>
      <c r="H33" s="10" t="inlineStr">
        <is>
          <t>n.a.</t>
        </is>
      </c>
      <c r="I33" s="80">
        <f>COUNTIF('Legacy schemes (v3)'!$B$7:$B$158,B33)</f>
        <v/>
      </c>
      <c r="J33" s="80">
        <f>COUNTIFS('Legacy schemes (v3)'!$B$7:$B$158,B33,'Legacy schemes (v3)'!$C$7:$C$158,"University-wide")</f>
        <v/>
      </c>
      <c r="K33" s="80">
        <f>COUNTIFS('Legacy schemes (v3)'!$B$7:$B$158,B33,'Legacy schemes (v3)'!$C$7:$C$158,"Cross-faculty")+COUNTIFS('Legacy schemes (v3)'!$B$7:$B$158,B33,'Legacy schemes (v3)'!$C$7:$C$158,"Faculty/school")+COUNTIFS('Legacy schemes (v3)'!$B$7:$B$158,B33,'Legacy schemes (v3)'!$C$7:$C$158,"Programme/course")</f>
        <v/>
      </c>
      <c r="L33" s="80">
        <f>COUNTIFS('Legacy schemes (v3)'!$B$7:$B$158,B33,'Legacy schemes (v3)'!$C$7:$C$158,"Not confirmed")</f>
        <v/>
      </c>
      <c r="M33" s="10">
        <f>IF(J33&gt;0,"University-wide scheme/framework documented",IF(COUNTIFS('Legacy schemes (v3)'!$B$7:$B$158,B33,'Legacy schemes (v3)'!$C$7:$C$158,"Cross-faculty")&gt;0,"Cross-faculty; broader reach unverified",IF(COUNTIFS('Legacy schemes (v3)'!$B$7:$B$158,B33,'Legacy schemes (v3)'!$C$7:$C$158,"Faculty/school")&gt;0,"Faculty/school; broader reach unverified",IF(K33&gt;0,"Programme/course; broader reach unverified","Scheme documented; reach unconfirmed"))))</f>
        <v/>
      </c>
      <c r="N33" s="32" t="inlineStr">
        <is>
          <t>AU03</t>
        </is>
      </c>
      <c r="O33" s="77" t="inlineStr"/>
    </row>
    <row r="34" ht="53" customHeight="1">
      <c r="A34" s="10" t="inlineStr">
        <is>
          <t>Australia</t>
        </is>
      </c>
      <c r="B34" s="11" t="inlineStr">
        <is>
          <t>Australian National University</t>
        </is>
      </c>
      <c r="C34" s="10" t="inlineStr">
        <is>
          <t>Australia top 10</t>
        </is>
      </c>
      <c r="D34" s="80" t="n">
        <v>2027</v>
      </c>
      <c r="E34" s="80" t="n">
        <v>29</v>
      </c>
      <c r="F34" s="10" t="inlineStr">
        <is>
          <t>No</t>
        </is>
      </c>
      <c r="G34" s="10" t="inlineStr">
        <is>
          <t>https://www.topuniversities.com/qs-top-uni-wur</t>
        </is>
      </c>
      <c r="H34" s="10" t="inlineStr">
        <is>
          <t>n.a.</t>
        </is>
      </c>
      <c r="I34" s="80">
        <f>COUNTIF('Legacy schemes (v3)'!$B$7:$B$158,B34)</f>
        <v/>
      </c>
      <c r="J34" s="80">
        <f>COUNTIFS('Legacy schemes (v3)'!$B$7:$B$158,B34,'Legacy schemes (v3)'!$C$7:$C$158,"University-wide")</f>
        <v/>
      </c>
      <c r="K34" s="80">
        <f>COUNTIFS('Legacy schemes (v3)'!$B$7:$B$158,B34,'Legacy schemes (v3)'!$C$7:$C$158,"Cross-faculty")+COUNTIFS('Legacy schemes (v3)'!$B$7:$B$158,B34,'Legacy schemes (v3)'!$C$7:$C$158,"Faculty/school")+COUNTIFS('Legacy schemes (v3)'!$B$7:$B$158,B34,'Legacy schemes (v3)'!$C$7:$C$158,"Programme/course")</f>
        <v/>
      </c>
      <c r="L34" s="80">
        <f>COUNTIFS('Legacy schemes (v3)'!$B$7:$B$158,B34,'Legacy schemes (v3)'!$C$7:$C$158,"Not confirmed")</f>
        <v/>
      </c>
      <c r="M34" s="10">
        <f>IF(J34&gt;0,"University-wide scheme/framework documented",IF(COUNTIFS('Legacy schemes (v3)'!$B$7:$B$158,B34,'Legacy schemes (v3)'!$C$7:$C$158,"Cross-faculty")&gt;0,"Cross-faculty; broader reach unverified",IF(COUNTIFS('Legacy schemes (v3)'!$B$7:$B$158,B34,'Legacy schemes (v3)'!$C$7:$C$158,"Faculty/school")&gt;0,"Faculty/school; broader reach unverified",IF(K34&gt;0,"Programme/course; broader reach unverified","Scheme documented; reach unconfirmed"))))</f>
        <v/>
      </c>
      <c r="N34" s="32" t="inlineStr">
        <is>
          <t>AU04</t>
        </is>
      </c>
      <c r="O34" s="77" t="inlineStr"/>
    </row>
    <row r="35" ht="53" customHeight="1">
      <c r="A35" s="10" t="inlineStr">
        <is>
          <t>Australia</t>
        </is>
      </c>
      <c r="B35" s="11" t="inlineStr">
        <is>
          <t>Monash</t>
        </is>
      </c>
      <c r="C35" s="10" t="inlineStr">
        <is>
          <t>Australia top 10</t>
        </is>
      </c>
      <c r="D35" s="80" t="n">
        <v>2027</v>
      </c>
      <c r="E35" s="80" t="n">
        <v>31</v>
      </c>
      <c r="F35" s="10" t="inlineStr">
        <is>
          <t>No</t>
        </is>
      </c>
      <c r="G35" s="10" t="inlineStr">
        <is>
          <t>https://www.topuniversities.com/qs-top-uni-wur</t>
        </is>
      </c>
      <c r="H35" s="10" t="inlineStr">
        <is>
          <t>n.a.</t>
        </is>
      </c>
      <c r="I35" s="80">
        <f>COUNTIF('Legacy schemes (v3)'!$B$7:$B$158,B35)</f>
        <v/>
      </c>
      <c r="J35" s="80">
        <f>COUNTIFS('Legacy schemes (v3)'!$B$7:$B$158,B35,'Legacy schemes (v3)'!$C$7:$C$158,"University-wide")</f>
        <v/>
      </c>
      <c r="K35" s="80">
        <f>COUNTIFS('Legacy schemes (v3)'!$B$7:$B$158,B35,'Legacy schemes (v3)'!$C$7:$C$158,"Cross-faculty")+COUNTIFS('Legacy schemes (v3)'!$B$7:$B$158,B35,'Legacy schemes (v3)'!$C$7:$C$158,"Faculty/school")+COUNTIFS('Legacy schemes (v3)'!$B$7:$B$158,B35,'Legacy schemes (v3)'!$C$7:$C$158,"Programme/course")</f>
        <v/>
      </c>
      <c r="L35" s="80">
        <f>COUNTIFS('Legacy schemes (v3)'!$B$7:$B$158,B35,'Legacy schemes (v3)'!$C$7:$C$158,"Not confirmed")</f>
        <v/>
      </c>
      <c r="M35" s="10">
        <f>IF(J35&gt;0,"University-wide scheme/framework documented",IF(COUNTIFS('Legacy schemes (v3)'!$B$7:$B$158,B35,'Legacy schemes (v3)'!$C$7:$C$158,"Cross-faculty")&gt;0,"Cross-faculty; broader reach unverified",IF(COUNTIFS('Legacy schemes (v3)'!$B$7:$B$158,B35,'Legacy schemes (v3)'!$C$7:$C$158,"Faculty/school")&gt;0,"Faculty/school; broader reach unverified",IF(K35&gt;0,"Programme/course; broader reach unverified","Scheme documented; reach unconfirmed"))))</f>
        <v/>
      </c>
      <c r="N35" s="32" t="inlineStr">
        <is>
          <t>AU05</t>
        </is>
      </c>
      <c r="O35" s="77" t="inlineStr"/>
    </row>
    <row r="36" ht="53" customHeight="1">
      <c r="A36" s="10" t="inlineStr">
        <is>
          <t>Australia</t>
        </is>
      </c>
      <c r="B36" s="11" t="inlineStr">
        <is>
          <t>Queensland</t>
        </is>
      </c>
      <c r="C36" s="10" t="inlineStr">
        <is>
          <t>Australia top 10</t>
        </is>
      </c>
      <c r="D36" s="80" t="n">
        <v>2027</v>
      </c>
      <c r="E36" s="80" t="n">
        <v>40</v>
      </c>
      <c r="F36" s="10" t="inlineStr">
        <is>
          <t>Yes</t>
        </is>
      </c>
      <c r="G36" s="10" t="inlineStr">
        <is>
          <t>https://www.topuniversities.com/qs-top-uni-wur</t>
        </is>
      </c>
      <c r="H36" s="10" t="inlineStr">
        <is>
          <t>n.a.</t>
        </is>
      </c>
      <c r="I36" s="80">
        <f>COUNTIF('Legacy schemes (v3)'!$B$7:$B$158,B36)</f>
        <v/>
      </c>
      <c r="J36" s="80">
        <f>COUNTIFS('Legacy schemes (v3)'!$B$7:$B$158,B36,'Legacy schemes (v3)'!$C$7:$C$158,"University-wide")</f>
        <v/>
      </c>
      <c r="K36" s="80">
        <f>COUNTIFS('Legacy schemes (v3)'!$B$7:$B$158,B36,'Legacy schemes (v3)'!$C$7:$C$158,"Cross-faculty")+COUNTIFS('Legacy schemes (v3)'!$B$7:$B$158,B36,'Legacy schemes (v3)'!$C$7:$C$158,"Faculty/school")+COUNTIFS('Legacy schemes (v3)'!$B$7:$B$158,B36,'Legacy schemes (v3)'!$C$7:$C$158,"Programme/course")</f>
        <v/>
      </c>
      <c r="L36" s="80">
        <f>COUNTIFS('Legacy schemes (v3)'!$B$7:$B$158,B36,'Legacy schemes (v3)'!$C$7:$C$158,"Not confirmed")</f>
        <v/>
      </c>
      <c r="M36" s="10">
        <f>IF(J36&gt;0,"University-wide scheme/framework documented",IF(COUNTIFS('Legacy schemes (v3)'!$B$7:$B$158,B36,'Legacy schemes (v3)'!$C$7:$C$158,"Cross-faculty")&gt;0,"Cross-faculty; broader reach unverified",IF(COUNTIFS('Legacy schemes (v3)'!$B$7:$B$158,B36,'Legacy schemes (v3)'!$C$7:$C$158,"Faculty/school")&gt;0,"Faculty/school; broader reach unverified",IF(K36&gt;0,"Programme/course; broader reach unverified","Scheme documented; reach unconfirmed"))))</f>
        <v/>
      </c>
      <c r="N36" s="32" t="inlineStr">
        <is>
          <t>AU06</t>
        </is>
      </c>
      <c r="O36" s="77" t="inlineStr"/>
    </row>
    <row r="37" ht="53" customHeight="1">
      <c r="A37" s="10" t="inlineStr">
        <is>
          <t>Australia</t>
        </is>
      </c>
      <c r="B37" s="11" t="inlineStr">
        <is>
          <t>Western Australia</t>
        </is>
      </c>
      <c r="C37" s="10" t="inlineStr">
        <is>
          <t>Australia top 10</t>
        </is>
      </c>
      <c r="D37" s="80" t="n">
        <v>2027</v>
      </c>
      <c r="E37" s="80" t="n">
        <v>77</v>
      </c>
      <c r="F37" s="10" t="inlineStr">
        <is>
          <t>Yes</t>
        </is>
      </c>
      <c r="G37" s="10" t="inlineStr">
        <is>
          <t>https://www.topuniversities.com/qs-top-uni-wur</t>
        </is>
      </c>
      <c r="H37" s="10" t="inlineStr">
        <is>
          <t>n.a.</t>
        </is>
      </c>
      <c r="I37" s="80">
        <f>COUNTIF('Legacy schemes (v3)'!$B$7:$B$158,B37)</f>
        <v/>
      </c>
      <c r="J37" s="80">
        <f>COUNTIFS('Legacy schemes (v3)'!$B$7:$B$158,B37,'Legacy schemes (v3)'!$C$7:$C$158,"University-wide")</f>
        <v/>
      </c>
      <c r="K37" s="80">
        <f>COUNTIFS('Legacy schemes (v3)'!$B$7:$B$158,B37,'Legacy schemes (v3)'!$C$7:$C$158,"Cross-faculty")+COUNTIFS('Legacy schemes (v3)'!$B$7:$B$158,B37,'Legacy schemes (v3)'!$C$7:$C$158,"Faculty/school")+COUNTIFS('Legacy schemes (v3)'!$B$7:$B$158,B37,'Legacy schemes (v3)'!$C$7:$C$158,"Programme/course")</f>
        <v/>
      </c>
      <c r="L37" s="80">
        <f>COUNTIFS('Legacy schemes (v3)'!$B$7:$B$158,B37,'Legacy schemes (v3)'!$C$7:$C$158,"Not confirmed")</f>
        <v/>
      </c>
      <c r="M37" s="10">
        <f>IF(J37&gt;0,"University-wide scheme/framework documented",IF(COUNTIFS('Legacy schemes (v3)'!$B$7:$B$158,B37,'Legacy schemes (v3)'!$C$7:$C$158,"Cross-faculty")&gt;0,"Cross-faculty; broader reach unverified",IF(COUNTIFS('Legacy schemes (v3)'!$B$7:$B$158,B37,'Legacy schemes (v3)'!$C$7:$C$158,"Faculty/school")&gt;0,"Faculty/school; broader reach unverified",IF(K37&gt;0,"Programme/course; broader reach unverified","Scheme documented; reach unconfirmed"))))</f>
        <v/>
      </c>
      <c r="N37" s="32" t="inlineStr">
        <is>
          <t>AU07</t>
        </is>
      </c>
      <c r="O37" s="77" t="inlineStr"/>
    </row>
    <row r="38" ht="53" customHeight="1">
      <c r="A38" s="10" t="inlineStr">
        <is>
          <t>Australia</t>
        </is>
      </c>
      <c r="B38" s="11" t="inlineStr">
        <is>
          <t>Adelaide University</t>
        </is>
      </c>
      <c r="C38" s="10" t="inlineStr">
        <is>
          <t>Australia top 10</t>
        </is>
      </c>
      <c r="D38" s="80" t="n">
        <v>2027</v>
      </c>
      <c r="E38" s="80" t="n">
        <v>79</v>
      </c>
      <c r="F38" s="10" t="inlineStr">
        <is>
          <t>No</t>
        </is>
      </c>
      <c r="G38" s="10" t="inlineStr">
        <is>
          <t>https://www.topuniversities.com/qs-top-uni-wur</t>
        </is>
      </c>
      <c r="H38" s="10" t="inlineStr">
        <is>
          <t>n.a.</t>
        </is>
      </c>
      <c r="I38" s="80">
        <f>COUNTIF('Legacy schemes (v3)'!$B$7:$B$158,B38)</f>
        <v/>
      </c>
      <c r="J38" s="80">
        <f>COUNTIFS('Legacy schemes (v3)'!$B$7:$B$158,B38,'Legacy schemes (v3)'!$C$7:$C$158,"University-wide")</f>
        <v/>
      </c>
      <c r="K38" s="80">
        <f>COUNTIFS('Legacy schemes (v3)'!$B$7:$B$158,B38,'Legacy schemes (v3)'!$C$7:$C$158,"Cross-faculty")+COUNTIFS('Legacy schemes (v3)'!$B$7:$B$158,B38,'Legacy schemes (v3)'!$C$7:$C$158,"Faculty/school")+COUNTIFS('Legacy schemes (v3)'!$B$7:$B$158,B38,'Legacy schemes (v3)'!$C$7:$C$158,"Programme/course")</f>
        <v/>
      </c>
      <c r="L38" s="80">
        <f>COUNTIFS('Legacy schemes (v3)'!$B$7:$B$158,B38,'Legacy schemes (v3)'!$C$7:$C$158,"Not confirmed")</f>
        <v/>
      </c>
      <c r="M38" s="10">
        <f>IF(J38&gt;0,"University-wide scheme/framework documented",IF(COUNTIFS('Legacy schemes (v3)'!$B$7:$B$158,B38,'Legacy schemes (v3)'!$C$7:$C$158,"Cross-faculty")&gt;0,"Cross-faculty; broader reach unverified",IF(COUNTIFS('Legacy schemes (v3)'!$B$7:$B$158,B38,'Legacy schemes (v3)'!$C$7:$C$158,"Faculty/school")&gt;0,"Faculty/school; broader reach unverified",IF(K38&gt;0,"Programme/course; broader reach unverified","Scheme documented; reach unconfirmed"))))</f>
        <v/>
      </c>
      <c r="N38" s="32" t="inlineStr">
        <is>
          <t>AU08</t>
        </is>
      </c>
      <c r="O38" s="77" t="inlineStr">
        <is>
          <t>Merged institution (University of Adelaide + UniSA) operating from 2026; pre-2026 scheme evidence relates to predecessor universities.</t>
        </is>
      </c>
    </row>
    <row r="39" ht="53" customHeight="1">
      <c r="A39" s="10" t="inlineStr">
        <is>
          <t>Australia</t>
        </is>
      </c>
      <c r="B39" s="11" t="inlineStr">
        <is>
          <t>University of Technology Sydney</t>
        </is>
      </c>
      <c r="C39" s="10" t="inlineStr">
        <is>
          <t>Australia top 10</t>
        </is>
      </c>
      <c r="D39" s="80" t="n">
        <v>2027</v>
      </c>
      <c r="E39" s="80" t="n">
        <v>87</v>
      </c>
      <c r="F39" s="10" t="inlineStr">
        <is>
          <t>Yes</t>
        </is>
      </c>
      <c r="G39" s="10" t="inlineStr">
        <is>
          <t>https://www.topuniversities.com/qs-top-uni-wur</t>
        </is>
      </c>
      <c r="H39" s="10" t="inlineStr">
        <is>
          <t>n.a.</t>
        </is>
      </c>
      <c r="I39" s="80">
        <f>COUNTIF('Legacy schemes (v3)'!$B$7:$B$158,B39)</f>
        <v/>
      </c>
      <c r="J39" s="80">
        <f>COUNTIFS('Legacy schemes (v3)'!$B$7:$B$158,B39,'Legacy schemes (v3)'!$C$7:$C$158,"University-wide")</f>
        <v/>
      </c>
      <c r="K39" s="80">
        <f>COUNTIFS('Legacy schemes (v3)'!$B$7:$B$158,B39,'Legacy schemes (v3)'!$C$7:$C$158,"Cross-faculty")+COUNTIFS('Legacy schemes (v3)'!$B$7:$B$158,B39,'Legacy schemes (v3)'!$C$7:$C$158,"Faculty/school")+COUNTIFS('Legacy schemes (v3)'!$B$7:$B$158,B39,'Legacy schemes (v3)'!$C$7:$C$158,"Programme/course")</f>
        <v/>
      </c>
      <c r="L39" s="80">
        <f>COUNTIFS('Legacy schemes (v3)'!$B$7:$B$158,B39,'Legacy schemes (v3)'!$C$7:$C$158,"Not confirmed")</f>
        <v/>
      </c>
      <c r="M39" s="10">
        <f>IF(J39&gt;0,"University-wide scheme/framework documented",IF(COUNTIFS('Legacy schemes (v3)'!$B$7:$B$158,B39,'Legacy schemes (v3)'!$C$7:$C$158,"Cross-faculty")&gt;0,"Cross-faculty; broader reach unverified",IF(COUNTIFS('Legacy schemes (v3)'!$B$7:$B$158,B39,'Legacy schemes (v3)'!$C$7:$C$158,"Faculty/school")&gt;0,"Faculty/school; broader reach unverified",IF(K39&gt;0,"Programme/course; broader reach unverified","Scheme documented; reach unconfirmed"))))</f>
        <v/>
      </c>
      <c r="N39" s="32" t="inlineStr">
        <is>
          <t>AU09</t>
        </is>
      </c>
      <c r="O39" s="77" t="inlineStr"/>
    </row>
    <row r="40" ht="53" customHeight="1">
      <c r="A40" s="10" t="inlineStr">
        <is>
          <t>Australia</t>
        </is>
      </c>
      <c r="B40" s="11" t="inlineStr">
        <is>
          <t>RMIT</t>
        </is>
      </c>
      <c r="C40" s="10" t="inlineStr">
        <is>
          <t>Australia top 10</t>
        </is>
      </c>
      <c r="D40" s="80" t="n">
        <v>2027</v>
      </c>
      <c r="E40" s="80" t="n">
        <v>119</v>
      </c>
      <c r="F40" s="10" t="inlineStr">
        <is>
          <t>Yes</t>
        </is>
      </c>
      <c r="G40" s="10" t="inlineStr">
        <is>
          <t>https://www.topuniversities.com/qs-top-uni-wur</t>
        </is>
      </c>
      <c r="H40" s="10" t="inlineStr">
        <is>
          <t>n.a.</t>
        </is>
      </c>
      <c r="I40" s="80">
        <f>COUNTIF('Legacy schemes (v3)'!$B$7:$B$158,B40)</f>
        <v/>
      </c>
      <c r="J40" s="80">
        <f>COUNTIFS('Legacy schemes (v3)'!$B$7:$B$158,B40,'Legacy schemes (v3)'!$C$7:$C$158,"University-wide")</f>
        <v/>
      </c>
      <c r="K40" s="80">
        <f>COUNTIFS('Legacy schemes (v3)'!$B$7:$B$158,B40,'Legacy schemes (v3)'!$C$7:$C$158,"Cross-faculty")+COUNTIFS('Legacy schemes (v3)'!$B$7:$B$158,B40,'Legacy schemes (v3)'!$C$7:$C$158,"Faculty/school")+COUNTIFS('Legacy schemes (v3)'!$B$7:$B$158,B40,'Legacy schemes (v3)'!$C$7:$C$158,"Programme/course")</f>
        <v/>
      </c>
      <c r="L40" s="80">
        <f>COUNTIFS('Legacy schemes (v3)'!$B$7:$B$158,B40,'Legacy schemes (v3)'!$C$7:$C$158,"Not confirmed")</f>
        <v/>
      </c>
      <c r="M40" s="10">
        <f>IF(J40&gt;0,"University-wide scheme/framework documented",IF(COUNTIFS('Legacy schemes (v3)'!$B$7:$B$158,B40,'Legacy schemes (v3)'!$C$7:$C$158,"Cross-faculty")&gt;0,"Cross-faculty; broader reach unverified",IF(COUNTIFS('Legacy schemes (v3)'!$B$7:$B$158,B40,'Legacy schemes (v3)'!$C$7:$C$158,"Faculty/school")&gt;0,"Faculty/school; broader reach unverified",IF(K40&gt;0,"Programme/course; broader reach unverified","Scheme documented; reach unconfirmed"))))</f>
        <v/>
      </c>
      <c r="N40" s="32" t="inlineStr">
        <is>
          <t>AU10</t>
        </is>
      </c>
      <c r="O40" s="77" t="inlineStr"/>
    </row>
    <row r="41" ht="53" customHeight="1">
      <c r="A41" s="10" t="inlineStr">
        <is>
          <t>UK</t>
        </is>
      </c>
      <c r="B41" s="11" t="inlineStr">
        <is>
          <t>Bath</t>
        </is>
      </c>
      <c r="C41" s="10" t="inlineStr">
        <is>
          <t>Additional UK sample</t>
        </is>
      </c>
      <c r="D41" s="80" t="n">
        <v>2027</v>
      </c>
      <c r="E41" s="80" t="n">
        <v>125</v>
      </c>
      <c r="F41" s="10" t="inlineStr">
        <is>
          <t>No</t>
        </is>
      </c>
      <c r="G41" s="10" t="inlineStr">
        <is>
          <t>https://www.topuniversities.com/qs-top-uni-wur</t>
        </is>
      </c>
      <c r="H41" s="10" t="inlineStr">
        <is>
          <t>10007850</t>
        </is>
      </c>
      <c r="I41" s="80">
        <f>COUNTIF('Legacy schemes (v3)'!$B$7:$B$158,B41)</f>
        <v/>
      </c>
      <c r="J41" s="80">
        <f>COUNTIFS('Legacy schemes (v3)'!$B$7:$B$158,B41,'Legacy schemes (v3)'!$C$7:$C$158,"University-wide")</f>
        <v/>
      </c>
      <c r="K41" s="80">
        <f>COUNTIFS('Legacy schemes (v3)'!$B$7:$B$158,B41,'Legacy schemes (v3)'!$C$7:$C$158,"Cross-faculty")+COUNTIFS('Legacy schemes (v3)'!$B$7:$B$158,B41,'Legacy schemes (v3)'!$C$7:$C$158,"Faculty/school")+COUNTIFS('Legacy schemes (v3)'!$B$7:$B$158,B41,'Legacy schemes (v3)'!$C$7:$C$158,"Programme/course")</f>
        <v/>
      </c>
      <c r="L41" s="80">
        <f>COUNTIFS('Legacy schemes (v3)'!$B$7:$B$158,B41,'Legacy schemes (v3)'!$C$7:$C$158,"Not confirmed")</f>
        <v/>
      </c>
      <c r="M41" s="10">
        <f>IF(J41&gt;0,"University-wide scheme/framework documented",IF(COUNTIFS('Legacy schemes (v3)'!$B$7:$B$158,B41,'Legacy schemes (v3)'!$C$7:$C$158,"Cross-faculty")&gt;0,"Cross-faculty; broader reach unverified",IF(COUNTIFS('Legacy schemes (v3)'!$B$7:$B$158,B41,'Legacy schemes (v3)'!$C$7:$C$158,"Faculty/school")&gt;0,"Faculty/school; broader reach unverified",IF(K41&gt;0,"Programme/course; broader reach unverified","Scheme documented; reach unconfirmed"))))</f>
        <v/>
      </c>
      <c r="N41" s="32" t="inlineStr">
        <is>
          <t>UK01</t>
        </is>
      </c>
      <c r="O41" s="77" t="inlineStr"/>
    </row>
    <row r="42" ht="53" customHeight="1">
      <c r="A42" s="10" t="inlineStr">
        <is>
          <t>UK</t>
        </is>
      </c>
      <c r="B42" s="11" t="inlineStr">
        <is>
          <t>St Andrews</t>
        </is>
      </c>
      <c r="C42" s="10" t="inlineStr">
        <is>
          <t>Additional UK sample</t>
        </is>
      </c>
      <c r="D42" s="80" t="n">
        <v>2027</v>
      </c>
      <c r="E42" s="80" t="n">
        <v>115</v>
      </c>
      <c r="F42" s="10" t="inlineStr">
        <is>
          <t>Yes</t>
        </is>
      </c>
      <c r="G42" s="10" t="inlineStr">
        <is>
          <t>https://www.topuniversities.com/qs-top-uni-wur</t>
        </is>
      </c>
      <c r="H42" s="10" t="inlineStr">
        <is>
          <t>10007803</t>
        </is>
      </c>
      <c r="I42" s="80">
        <f>COUNTIF('Legacy schemes (v3)'!$B$7:$B$158,B42)</f>
        <v/>
      </c>
      <c r="J42" s="80">
        <f>COUNTIFS('Legacy schemes (v3)'!$B$7:$B$158,B42,'Legacy schemes (v3)'!$C$7:$C$158,"University-wide")</f>
        <v/>
      </c>
      <c r="K42" s="80">
        <f>COUNTIFS('Legacy schemes (v3)'!$B$7:$B$158,B42,'Legacy schemes (v3)'!$C$7:$C$158,"Cross-faculty")+COUNTIFS('Legacy schemes (v3)'!$B$7:$B$158,B42,'Legacy schemes (v3)'!$C$7:$C$158,"Faculty/school")+COUNTIFS('Legacy schemes (v3)'!$B$7:$B$158,B42,'Legacy schemes (v3)'!$C$7:$C$158,"Programme/course")</f>
        <v/>
      </c>
      <c r="L42" s="80">
        <f>COUNTIFS('Legacy schemes (v3)'!$B$7:$B$158,B42,'Legacy schemes (v3)'!$C$7:$C$158,"Not confirmed")</f>
        <v/>
      </c>
      <c r="M42" s="10">
        <f>IF(J42&gt;0,"University-wide scheme/framework documented",IF(COUNTIFS('Legacy schemes (v3)'!$B$7:$B$158,B42,'Legacy schemes (v3)'!$C$7:$C$158,"Cross-faculty")&gt;0,"Cross-faculty; broader reach unverified",IF(COUNTIFS('Legacy schemes (v3)'!$B$7:$B$158,B42,'Legacy schemes (v3)'!$C$7:$C$158,"Faculty/school")&gt;0,"Faculty/school; broader reach unverified",IF(K42&gt;0,"Programme/course; broader reach unverified","Scheme documented; reach unconfirmed"))))</f>
        <v/>
      </c>
      <c r="N42" s="32" t="inlineStr">
        <is>
          <t>UK02</t>
        </is>
      </c>
      <c r="O42" s="77" t="inlineStr"/>
    </row>
    <row r="43" ht="53" customHeight="1">
      <c r="A43" s="10" t="inlineStr">
        <is>
          <t>UK</t>
        </is>
      </c>
      <c r="B43" s="11" t="inlineStr">
        <is>
          <t>Lancaster</t>
        </is>
      </c>
      <c r="C43" s="10" t="inlineStr">
        <is>
          <t>Additional UK sample</t>
        </is>
      </c>
      <c r="D43" s="80" t="n">
        <v>2027</v>
      </c>
      <c r="E43" s="80" t="n">
        <v>164</v>
      </c>
      <c r="F43" s="10" t="inlineStr">
        <is>
          <t>No</t>
        </is>
      </c>
      <c r="G43" s="10" t="inlineStr">
        <is>
          <t>https://www.topuniversities.com/qs-top-uni-wur</t>
        </is>
      </c>
      <c r="H43" s="10" t="inlineStr">
        <is>
          <t>10007768</t>
        </is>
      </c>
      <c r="I43" s="80">
        <f>COUNTIF('Legacy schemes (v3)'!$B$7:$B$158,B43)</f>
        <v/>
      </c>
      <c r="J43" s="80">
        <f>COUNTIFS('Legacy schemes (v3)'!$B$7:$B$158,B43,'Legacy schemes (v3)'!$C$7:$C$158,"University-wide")</f>
        <v/>
      </c>
      <c r="K43" s="80">
        <f>COUNTIFS('Legacy schemes (v3)'!$B$7:$B$158,B43,'Legacy schemes (v3)'!$C$7:$C$158,"Cross-faculty")+COUNTIFS('Legacy schemes (v3)'!$B$7:$B$158,B43,'Legacy schemes (v3)'!$C$7:$C$158,"Faculty/school")+COUNTIFS('Legacy schemes (v3)'!$B$7:$B$158,B43,'Legacy schemes (v3)'!$C$7:$C$158,"Programme/course")</f>
        <v/>
      </c>
      <c r="L43" s="80">
        <f>COUNTIFS('Legacy schemes (v3)'!$B$7:$B$158,B43,'Legacy schemes (v3)'!$C$7:$C$158,"Not confirmed")</f>
        <v/>
      </c>
      <c r="M43" s="10">
        <f>IF(J43&gt;0,"University-wide scheme/framework documented",IF(COUNTIFS('Legacy schemes (v3)'!$B$7:$B$158,B43,'Legacy schemes (v3)'!$C$7:$C$158,"Cross-faculty")&gt;0,"Cross-faculty; broader reach unverified",IF(COUNTIFS('Legacy schemes (v3)'!$B$7:$B$158,B43,'Legacy schemes (v3)'!$C$7:$C$158,"Faculty/school")&gt;0,"Faculty/school; broader reach unverified",IF(K43&gt;0,"Programme/course; broader reach unverified","Scheme documented; reach unconfirmed"))))</f>
        <v/>
      </c>
      <c r="N43" s="32" t="inlineStr">
        <is>
          <t>UK03</t>
        </is>
      </c>
      <c r="O43" s="77" t="inlineStr"/>
    </row>
    <row r="44" ht="53" customHeight="1">
      <c r="A44" s="10" t="inlineStr">
        <is>
          <t>UK</t>
        </is>
      </c>
      <c r="B44" s="11" t="inlineStr">
        <is>
          <t>Loughborough</t>
        </is>
      </c>
      <c r="C44" s="10" t="inlineStr">
        <is>
          <t>Additional UK sample</t>
        </is>
      </c>
      <c r="D44" s="80" t="n">
        <v>2027</v>
      </c>
      <c r="E44" s="80" t="n">
        <v>203</v>
      </c>
      <c r="F44" s="10" t="inlineStr">
        <is>
          <t>No</t>
        </is>
      </c>
      <c r="G44" s="10" t="inlineStr">
        <is>
          <t>https://www.topuniversities.com/universities/loughborough-university</t>
        </is>
      </c>
      <c r="H44" s="10" t="inlineStr">
        <is>
          <t>10004113</t>
        </is>
      </c>
      <c r="I44" s="80">
        <f>COUNTIF('Legacy schemes (v3)'!$B$7:$B$158,B44)</f>
        <v/>
      </c>
      <c r="J44" s="80">
        <f>COUNTIFS('Legacy schemes (v3)'!$B$7:$B$158,B44,'Legacy schemes (v3)'!$C$7:$C$158,"University-wide")</f>
        <v/>
      </c>
      <c r="K44" s="80">
        <f>COUNTIFS('Legacy schemes (v3)'!$B$7:$B$158,B44,'Legacy schemes (v3)'!$C$7:$C$158,"Cross-faculty")+COUNTIFS('Legacy schemes (v3)'!$B$7:$B$158,B44,'Legacy schemes (v3)'!$C$7:$C$158,"Faculty/school")+COUNTIFS('Legacy schemes (v3)'!$B$7:$B$158,B44,'Legacy schemes (v3)'!$C$7:$C$158,"Programme/course")</f>
        <v/>
      </c>
      <c r="L44" s="80">
        <f>COUNTIFS('Legacy schemes (v3)'!$B$7:$B$158,B44,'Legacy schemes (v3)'!$C$7:$C$158,"Not confirmed")</f>
        <v/>
      </c>
      <c r="M44" s="10">
        <f>IF(J44&gt;0,"University-wide scheme/framework documented",IF(COUNTIFS('Legacy schemes (v3)'!$B$7:$B$158,B44,'Legacy schemes (v3)'!$C$7:$C$158,"Cross-faculty")&gt;0,"Cross-faculty; broader reach unverified",IF(COUNTIFS('Legacy schemes (v3)'!$B$7:$B$158,B44,'Legacy schemes (v3)'!$C$7:$C$158,"Faculty/school")&gt;0,"Faculty/school; broader reach unverified",IF(K44&gt;0,"Programme/course; broader reach unverified","Scheme documented; reach unconfirmed"))))</f>
        <v/>
      </c>
      <c r="N44" s="32" t="inlineStr">
        <is>
          <t>UK04</t>
        </is>
      </c>
      <c r="O44" s="77" t="inlineStr">
        <is>
          <t>QS rank sourced from institution profile page (not ranking table); not re-verified in this review.</t>
        </is>
      </c>
    </row>
    <row r="45" ht="53" customHeight="1">
      <c r="A45" s="10" t="inlineStr">
        <is>
          <t>UK</t>
        </is>
      </c>
      <c r="B45" s="11" t="inlineStr">
        <is>
          <t>Aberdeen</t>
        </is>
      </c>
      <c r="C45" s="10" t="inlineStr">
        <is>
          <t>Additional UK sample</t>
        </is>
      </c>
      <c r="D45" s="80" t="n">
        <v>2027</v>
      </c>
      <c r="E45" s="80" t="n">
        <v>288</v>
      </c>
      <c r="F45" s="10" t="inlineStr">
        <is>
          <t>No</t>
        </is>
      </c>
      <c r="G45" s="10" t="inlineStr">
        <is>
          <t>https://www.topuniversities.com/universities/university-aberdeen</t>
        </is>
      </c>
      <c r="H45" s="10" t="inlineStr">
        <is>
          <t>10007783</t>
        </is>
      </c>
      <c r="I45" s="80">
        <f>COUNTIF('Legacy schemes (v3)'!$B$7:$B$158,B45)</f>
        <v/>
      </c>
      <c r="J45" s="80">
        <f>COUNTIFS('Legacy schemes (v3)'!$B$7:$B$158,B45,'Legacy schemes (v3)'!$C$7:$C$158,"University-wide")</f>
        <v/>
      </c>
      <c r="K45" s="80">
        <f>COUNTIFS('Legacy schemes (v3)'!$B$7:$B$158,B45,'Legacy schemes (v3)'!$C$7:$C$158,"Cross-faculty")+COUNTIFS('Legacy schemes (v3)'!$B$7:$B$158,B45,'Legacy schemes (v3)'!$C$7:$C$158,"Faculty/school")+COUNTIFS('Legacy schemes (v3)'!$B$7:$B$158,B45,'Legacy schemes (v3)'!$C$7:$C$158,"Programme/course")</f>
        <v/>
      </c>
      <c r="L45" s="80">
        <f>COUNTIFS('Legacy schemes (v3)'!$B$7:$B$158,B45,'Legacy schemes (v3)'!$C$7:$C$158,"Not confirmed")</f>
        <v/>
      </c>
      <c r="M45" s="10">
        <f>IF(J45&gt;0,"University-wide scheme/framework documented",IF(COUNTIFS('Legacy schemes (v3)'!$B$7:$B$158,B45,'Legacy schemes (v3)'!$C$7:$C$158,"Cross-faculty")&gt;0,"Cross-faculty; broader reach unverified",IF(COUNTIFS('Legacy schemes (v3)'!$B$7:$B$158,B45,'Legacy schemes (v3)'!$C$7:$C$158,"Faculty/school")&gt;0,"Faculty/school; broader reach unverified",IF(K45&gt;0,"Programme/course; broader reach unverified","Scheme documented; reach unconfirmed"))))</f>
        <v/>
      </c>
      <c r="N45" s="32" t="inlineStr">
        <is>
          <t>UK05</t>
        </is>
      </c>
      <c r="O45" s="77" t="inlineStr">
        <is>
          <t>QS rank sourced from institution profile page (not ranking table); not re-verified in this review.</t>
        </is>
      </c>
    </row>
    <row r="46" ht="53" customHeight="1">
      <c r="A46" s="10" t="inlineStr">
        <is>
          <t>UK</t>
        </is>
      </c>
      <c r="B46" s="11" t="inlineStr">
        <is>
          <t>Reading</t>
        </is>
      </c>
      <c r="C46" s="10" t="inlineStr">
        <is>
          <t>Additional UK sample</t>
        </is>
      </c>
      <c r="D46" s="80" t="n">
        <v>2027</v>
      </c>
      <c r="E46" s="80" t="n">
        <v>196</v>
      </c>
      <c r="F46" s="10" t="inlineStr">
        <is>
          <t>Yes</t>
        </is>
      </c>
      <c r="G46" s="10" t="inlineStr">
        <is>
          <t>https://www.topuniversities.com/qs-top-uni-wur</t>
        </is>
      </c>
      <c r="H46" s="10" t="inlineStr">
        <is>
          <t>10007802</t>
        </is>
      </c>
      <c r="I46" s="80">
        <f>COUNTIF('Legacy schemes (v3)'!$B$7:$B$158,B46)</f>
        <v/>
      </c>
      <c r="J46" s="80">
        <f>COUNTIFS('Legacy schemes (v3)'!$B$7:$B$158,B46,'Legacy schemes (v3)'!$C$7:$C$158,"University-wide")</f>
        <v/>
      </c>
      <c r="K46" s="80">
        <f>COUNTIFS('Legacy schemes (v3)'!$B$7:$B$158,B46,'Legacy schemes (v3)'!$C$7:$C$158,"Cross-faculty")+COUNTIFS('Legacy schemes (v3)'!$B$7:$B$158,B46,'Legacy schemes (v3)'!$C$7:$C$158,"Faculty/school")+COUNTIFS('Legacy schemes (v3)'!$B$7:$B$158,B46,'Legacy schemes (v3)'!$C$7:$C$158,"Programme/course")</f>
        <v/>
      </c>
      <c r="L46" s="80">
        <f>COUNTIFS('Legacy schemes (v3)'!$B$7:$B$158,B46,'Legacy schemes (v3)'!$C$7:$C$158,"Not confirmed")</f>
        <v/>
      </c>
      <c r="M46" s="10">
        <f>IF(J46&gt;0,"University-wide scheme/framework documented",IF(COUNTIFS('Legacy schemes (v3)'!$B$7:$B$158,B46,'Legacy schemes (v3)'!$C$7:$C$158,"Cross-faculty")&gt;0,"Cross-faculty; broader reach unverified",IF(COUNTIFS('Legacy schemes (v3)'!$B$7:$B$158,B46,'Legacy schemes (v3)'!$C$7:$C$158,"Faculty/school")&gt;0,"Faculty/school; broader reach unverified",IF(K46&gt;0,"Programme/course; broader reach unverified","Scheme documented; reach unconfirmed"))))</f>
        <v/>
      </c>
      <c r="N46" s="32" t="inlineStr">
        <is>
          <t>UK06</t>
        </is>
      </c>
      <c r="O46" s="77" t="inlineStr"/>
    </row>
    <row r="47" ht="53" customHeight="1">
      <c r="A47" s="10" t="inlineStr">
        <is>
          <t>UK</t>
        </is>
      </c>
      <c r="B47" s="11" t="inlineStr">
        <is>
          <t>Surrey</t>
        </is>
      </c>
      <c r="C47" s="10" t="inlineStr">
        <is>
          <t>Additional UK sample</t>
        </is>
      </c>
      <c r="D47" s="80" t="n">
        <v>2027</v>
      </c>
      <c r="E47" s="80" t="n">
        <v>246</v>
      </c>
      <c r="F47" s="10" t="inlineStr">
        <is>
          <t>Yes</t>
        </is>
      </c>
      <c r="G47" s="10" t="inlineStr">
        <is>
          <t>https://www.topuniversities.com/universities/university-surrey</t>
        </is>
      </c>
      <c r="H47" s="10" t="inlineStr">
        <is>
          <t>10007160</t>
        </is>
      </c>
      <c r="I47" s="80">
        <f>COUNTIF('Legacy schemes (v3)'!$B$7:$B$158,B47)</f>
        <v/>
      </c>
      <c r="J47" s="80">
        <f>COUNTIFS('Legacy schemes (v3)'!$B$7:$B$158,B47,'Legacy schemes (v3)'!$C$7:$C$158,"University-wide")</f>
        <v/>
      </c>
      <c r="K47" s="80">
        <f>COUNTIFS('Legacy schemes (v3)'!$B$7:$B$158,B47,'Legacy schemes (v3)'!$C$7:$C$158,"Cross-faculty")+COUNTIFS('Legacy schemes (v3)'!$B$7:$B$158,B47,'Legacy schemes (v3)'!$C$7:$C$158,"Faculty/school")+COUNTIFS('Legacy schemes (v3)'!$B$7:$B$158,B47,'Legacy schemes (v3)'!$C$7:$C$158,"Programme/course")</f>
        <v/>
      </c>
      <c r="L47" s="80">
        <f>COUNTIFS('Legacy schemes (v3)'!$B$7:$B$158,B47,'Legacy schemes (v3)'!$C$7:$C$158,"Not confirmed")</f>
        <v/>
      </c>
      <c r="M47" s="10">
        <f>IF(J47&gt;0,"University-wide scheme/framework documented",IF(COUNTIFS('Legacy schemes (v3)'!$B$7:$B$158,B47,'Legacy schemes (v3)'!$C$7:$C$158,"Cross-faculty")&gt;0,"Cross-faculty; broader reach unverified",IF(COUNTIFS('Legacy schemes (v3)'!$B$7:$B$158,B47,'Legacy schemes (v3)'!$C$7:$C$158,"Faculty/school")&gt;0,"Faculty/school; broader reach unverified",IF(K47&gt;0,"Programme/course; broader reach unverified","Scheme documented; reach unconfirmed"))))</f>
        <v/>
      </c>
      <c r="N47" s="32" t="inlineStr">
        <is>
          <t>UK07</t>
        </is>
      </c>
      <c r="O47" s="77" t="inlineStr">
        <is>
          <t>QS rank sourced from institution profile page (not ranking table); not re-verified in this review.</t>
        </is>
      </c>
    </row>
    <row r="48" ht="53" customHeight="1">
      <c r="A48" s="10" t="inlineStr">
        <is>
          <t>UK</t>
        </is>
      </c>
      <c r="B48" s="11" t="inlineStr">
        <is>
          <t>Sussex</t>
        </is>
      </c>
      <c r="C48" s="10" t="inlineStr">
        <is>
          <t>Additional UK sample</t>
        </is>
      </c>
      <c r="D48" s="80" t="n">
        <v>2027</v>
      </c>
      <c r="E48" s="80" t="n">
        <v>273</v>
      </c>
      <c r="F48" s="10" t="inlineStr">
        <is>
          <t>Yes</t>
        </is>
      </c>
      <c r="G48" s="10" t="inlineStr">
        <is>
          <t>https://www.topuniversities.com/universities/university-sussex</t>
        </is>
      </c>
      <c r="H48" s="10" t="inlineStr">
        <is>
          <t>10007806</t>
        </is>
      </c>
      <c r="I48" s="80">
        <f>COUNTIF('Legacy schemes (v3)'!$B$7:$B$158,B48)</f>
        <v/>
      </c>
      <c r="J48" s="80">
        <f>COUNTIFS('Legacy schemes (v3)'!$B$7:$B$158,B48,'Legacy schemes (v3)'!$C$7:$C$158,"University-wide")</f>
        <v/>
      </c>
      <c r="K48" s="80">
        <f>COUNTIFS('Legacy schemes (v3)'!$B$7:$B$158,B48,'Legacy schemes (v3)'!$C$7:$C$158,"Cross-faculty")+COUNTIFS('Legacy schemes (v3)'!$B$7:$B$158,B48,'Legacy schemes (v3)'!$C$7:$C$158,"Faculty/school")+COUNTIFS('Legacy schemes (v3)'!$B$7:$B$158,B48,'Legacy schemes (v3)'!$C$7:$C$158,"Programme/course")</f>
        <v/>
      </c>
      <c r="L48" s="80">
        <f>COUNTIFS('Legacy schemes (v3)'!$B$7:$B$158,B48,'Legacy schemes (v3)'!$C$7:$C$158,"Not confirmed")</f>
        <v/>
      </c>
      <c r="M48" s="10">
        <f>IF(J48&gt;0,"University-wide scheme/framework documented",IF(COUNTIFS('Legacy schemes (v3)'!$B$7:$B$158,B48,'Legacy schemes (v3)'!$C$7:$C$158,"Cross-faculty")&gt;0,"Cross-faculty; broader reach unverified",IF(COUNTIFS('Legacy schemes (v3)'!$B$7:$B$158,B48,'Legacy schemes (v3)'!$C$7:$C$158,"Faculty/school")&gt;0,"Faculty/school; broader reach unverified",IF(K48&gt;0,"Programme/course; broader reach unverified","Scheme documented; reach unconfirmed"))))</f>
        <v/>
      </c>
      <c r="N48" s="32" t="inlineStr">
        <is>
          <t>UK08</t>
        </is>
      </c>
      <c r="O48" s="77" t="inlineStr">
        <is>
          <t>QS rank sourced from institution profile page (not ranking table); not re-verified in this review.</t>
        </is>
      </c>
    </row>
    <row r="49" ht="53" customHeight="1">
      <c r="A49" s="10" t="inlineStr">
        <is>
          <t>UK</t>
        </is>
      </c>
      <c r="B49" s="11" t="inlineStr">
        <is>
          <t>Leicester</t>
        </is>
      </c>
      <c r="C49" s="10" t="inlineStr">
        <is>
          <t>Additional UK sample</t>
        </is>
      </c>
      <c r="D49" s="80" t="n">
        <v>2027</v>
      </c>
      <c r="E49" s="80" t="n">
        <v>314</v>
      </c>
      <c r="F49" s="10" t="inlineStr">
        <is>
          <t>Yes</t>
        </is>
      </c>
      <c r="G49" s="10" t="inlineStr">
        <is>
          <t>https://www.topuniversities.com/universities/university-leicester</t>
        </is>
      </c>
      <c r="H49" s="10" t="inlineStr">
        <is>
          <t>10007796</t>
        </is>
      </c>
      <c r="I49" s="80">
        <f>COUNTIF('Legacy schemes (v3)'!$B$7:$B$158,B49)</f>
        <v/>
      </c>
      <c r="J49" s="80">
        <f>COUNTIFS('Legacy schemes (v3)'!$B$7:$B$158,B49,'Legacy schemes (v3)'!$C$7:$C$158,"University-wide")</f>
        <v/>
      </c>
      <c r="K49" s="80">
        <f>COUNTIFS('Legacy schemes (v3)'!$B$7:$B$158,B49,'Legacy schemes (v3)'!$C$7:$C$158,"Cross-faculty")+COUNTIFS('Legacy schemes (v3)'!$B$7:$B$158,B49,'Legacy schemes (v3)'!$C$7:$C$158,"Faculty/school")+COUNTIFS('Legacy schemes (v3)'!$B$7:$B$158,B49,'Legacy schemes (v3)'!$C$7:$C$158,"Programme/course")</f>
        <v/>
      </c>
      <c r="L49" s="80">
        <f>COUNTIFS('Legacy schemes (v3)'!$B$7:$B$158,B49,'Legacy schemes (v3)'!$C$7:$C$158,"Not confirmed")</f>
        <v/>
      </c>
      <c r="M49" s="10">
        <f>IF(J49&gt;0,"University-wide scheme/framework documented",IF(COUNTIFS('Legacy schemes (v3)'!$B$7:$B$158,B49,'Legacy schemes (v3)'!$C$7:$C$158,"Cross-faculty")&gt;0,"Cross-faculty; broader reach unverified",IF(COUNTIFS('Legacy schemes (v3)'!$B$7:$B$158,B49,'Legacy schemes (v3)'!$C$7:$C$158,"Faculty/school")&gt;0,"Faculty/school; broader reach unverified",IF(K49&gt;0,"Programme/course; broader reach unverified","Scheme documented; reach unconfirmed"))))</f>
        <v/>
      </c>
      <c r="N49" s="32" t="inlineStr">
        <is>
          <t>UK09</t>
        </is>
      </c>
      <c r="O49" s="77" t="inlineStr">
        <is>
          <t>QS rank sourced from institution profile page (not ranking table); not re-verified in this review.</t>
        </is>
      </c>
    </row>
    <row r="50" ht="53" customHeight="1">
      <c r="A50" s="10" t="inlineStr">
        <is>
          <t>UK</t>
        </is>
      </c>
      <c r="B50" s="11" t="inlineStr">
        <is>
          <t>Strathclyde</t>
        </is>
      </c>
      <c r="C50" s="10" t="inlineStr">
        <is>
          <t>Additional UK sample</t>
        </is>
      </c>
      <c r="D50" s="80" t="n">
        <v>2027</v>
      </c>
      <c r="E50" s="80" t="n">
        <v>230</v>
      </c>
      <c r="F50" s="10" t="inlineStr">
        <is>
          <t>Yes</t>
        </is>
      </c>
      <c r="G50" s="10" t="inlineStr">
        <is>
          <t>https://www.topuniversities.com/universities/university-strathclyde</t>
        </is>
      </c>
      <c r="H50" s="10" t="inlineStr">
        <is>
          <t>10007805</t>
        </is>
      </c>
      <c r="I50" s="80">
        <f>COUNTIF('Legacy schemes (v3)'!$B$7:$B$158,B50)</f>
        <v/>
      </c>
      <c r="J50" s="80">
        <f>COUNTIFS('Legacy schemes (v3)'!$B$7:$B$158,B50,'Legacy schemes (v3)'!$C$7:$C$158,"University-wide")</f>
        <v/>
      </c>
      <c r="K50" s="80">
        <f>COUNTIFS('Legacy schemes (v3)'!$B$7:$B$158,B50,'Legacy schemes (v3)'!$C$7:$C$158,"Cross-faculty")+COUNTIFS('Legacy schemes (v3)'!$B$7:$B$158,B50,'Legacy schemes (v3)'!$C$7:$C$158,"Faculty/school")+COUNTIFS('Legacy schemes (v3)'!$B$7:$B$158,B50,'Legacy schemes (v3)'!$C$7:$C$158,"Programme/course")</f>
        <v/>
      </c>
      <c r="L50" s="80">
        <f>COUNTIFS('Legacy schemes (v3)'!$B$7:$B$158,B50,'Legacy schemes (v3)'!$C$7:$C$158,"Not confirmed")</f>
        <v/>
      </c>
      <c r="M50" s="10">
        <f>IF(J50&gt;0,"University-wide scheme/framework documented",IF(COUNTIFS('Legacy schemes (v3)'!$B$7:$B$158,B50,'Legacy schemes (v3)'!$C$7:$C$158,"Cross-faculty")&gt;0,"Cross-faculty; broader reach unverified",IF(COUNTIFS('Legacy schemes (v3)'!$B$7:$B$158,B50,'Legacy schemes (v3)'!$C$7:$C$158,"Faculty/school")&gt;0,"Faculty/school; broader reach unverified",IF(K50&gt;0,"Programme/course; broader reach unverified","Scheme documented; reach unconfirmed"))))</f>
        <v/>
      </c>
      <c r="N50" s="32" t="inlineStr">
        <is>
          <t>UK10</t>
        </is>
      </c>
      <c r="O50" s="77" t="inlineStr">
        <is>
          <t>QS rank sourced from institution profile page (not ranking table); not re-verified in this review.</t>
        </is>
      </c>
    </row>
    <row r="51" ht="53" customHeight="1">
      <c r="A51" s="10" t="inlineStr">
        <is>
          <t>UK</t>
        </is>
      </c>
      <c r="B51" s="11" t="inlineStr">
        <is>
          <t>Heriot-Watt</t>
        </is>
      </c>
      <c r="C51" s="10" t="inlineStr">
        <is>
          <t>Additional UK sample</t>
        </is>
      </c>
      <c r="D51" s="80" t="n">
        <v>2027</v>
      </c>
      <c r="E51" s="80" t="n">
        <v>325</v>
      </c>
      <c r="F51" s="10" t="inlineStr">
        <is>
          <t>No</t>
        </is>
      </c>
      <c r="G51" s="10" t="inlineStr">
        <is>
          <t>https://www.topuniversities.com/universities/heriot-watt-university</t>
        </is>
      </c>
      <c r="H51" s="10" t="inlineStr">
        <is>
          <t>10007764</t>
        </is>
      </c>
      <c r="I51" s="80">
        <f>COUNTIF('Legacy schemes (v3)'!$B$7:$B$158,B51)</f>
        <v/>
      </c>
      <c r="J51" s="80">
        <f>COUNTIFS('Legacy schemes (v3)'!$B$7:$B$158,B51,'Legacy schemes (v3)'!$C$7:$C$158,"University-wide")</f>
        <v/>
      </c>
      <c r="K51" s="80">
        <f>COUNTIFS('Legacy schemes (v3)'!$B$7:$B$158,B51,'Legacy schemes (v3)'!$C$7:$C$158,"Cross-faculty")+COUNTIFS('Legacy schemes (v3)'!$B$7:$B$158,B51,'Legacy schemes (v3)'!$C$7:$C$158,"Faculty/school")+COUNTIFS('Legacy schemes (v3)'!$B$7:$B$158,B51,'Legacy schemes (v3)'!$C$7:$C$158,"Programme/course")</f>
        <v/>
      </c>
      <c r="L51" s="80">
        <f>COUNTIFS('Legacy schemes (v3)'!$B$7:$B$158,B51,'Legacy schemes (v3)'!$C$7:$C$158,"Not confirmed")</f>
        <v/>
      </c>
      <c r="M51" s="10">
        <f>IF(J51&gt;0,"University-wide scheme/framework documented",IF(COUNTIFS('Legacy schemes (v3)'!$B$7:$B$158,B51,'Legacy schemes (v3)'!$C$7:$C$158,"Cross-faculty")&gt;0,"Cross-faculty; broader reach unverified",IF(COUNTIFS('Legacy schemes (v3)'!$B$7:$B$158,B51,'Legacy schemes (v3)'!$C$7:$C$158,"Faculty/school")&gt;0,"Faculty/school; broader reach unverified",IF(K51&gt;0,"Programme/course; broader reach unverified","Scheme documented; reach unconfirmed"))))</f>
        <v/>
      </c>
      <c r="N51" s="32" t="inlineStr">
        <is>
          <t>UK11</t>
        </is>
      </c>
      <c r="O51" s="77" t="inlineStr">
        <is>
          <t>QS rank sourced from institution profile page (not ranking table); not re-verified in this review.</t>
        </is>
      </c>
    </row>
    <row r="52" ht="53" customHeight="1">
      <c r="A52" s="10" t="inlineStr">
        <is>
          <t>UK</t>
        </is>
      </c>
      <c r="B52" s="11" t="inlineStr">
        <is>
          <t>East Anglia</t>
        </is>
      </c>
      <c r="C52" s="10" t="inlineStr">
        <is>
          <t>Additional UK sample</t>
        </is>
      </c>
      <c r="D52" s="80" t="n">
        <v>2027</v>
      </c>
      <c r="E52" s="80" t="n">
        <v>381</v>
      </c>
      <c r="F52" s="10" t="inlineStr">
        <is>
          <t>Yes</t>
        </is>
      </c>
      <c r="G52" s="10" t="inlineStr">
        <is>
          <t>https://www.topuniversities.com/universities/university-east-anglia-uea</t>
        </is>
      </c>
      <c r="H52" s="10" t="inlineStr">
        <is>
          <t>10007789</t>
        </is>
      </c>
      <c r="I52" s="80">
        <f>COUNTIF('Legacy schemes (v3)'!$B$7:$B$158,B52)</f>
        <v/>
      </c>
      <c r="J52" s="80">
        <f>COUNTIFS('Legacy schemes (v3)'!$B$7:$B$158,B52,'Legacy schemes (v3)'!$C$7:$C$158,"University-wide")</f>
        <v/>
      </c>
      <c r="K52" s="80">
        <f>COUNTIFS('Legacy schemes (v3)'!$B$7:$B$158,B52,'Legacy schemes (v3)'!$C$7:$C$158,"Cross-faculty")+COUNTIFS('Legacy schemes (v3)'!$B$7:$B$158,B52,'Legacy schemes (v3)'!$C$7:$C$158,"Faculty/school")+COUNTIFS('Legacy schemes (v3)'!$B$7:$B$158,B52,'Legacy schemes (v3)'!$C$7:$C$158,"Programme/course")</f>
        <v/>
      </c>
      <c r="L52" s="80">
        <f>COUNTIFS('Legacy schemes (v3)'!$B$7:$B$158,B52,'Legacy schemes (v3)'!$C$7:$C$158,"Not confirmed")</f>
        <v/>
      </c>
      <c r="M52" s="10">
        <f>IF(J52&gt;0,"University-wide scheme/framework documented",IF(COUNTIFS('Legacy schemes (v3)'!$B$7:$B$158,B52,'Legacy schemes (v3)'!$C$7:$C$158,"Cross-faculty")&gt;0,"Cross-faculty; broader reach unverified",IF(COUNTIFS('Legacy schemes (v3)'!$B$7:$B$158,B52,'Legacy schemes (v3)'!$C$7:$C$158,"Faculty/school")&gt;0,"Faculty/school; broader reach unverified",IF(K52&gt;0,"Programme/course; broader reach unverified","Scheme documented; reach unconfirmed"))))</f>
        <v/>
      </c>
      <c r="N52" s="32" t="inlineStr">
        <is>
          <t>UK12</t>
        </is>
      </c>
      <c r="O52" s="77" t="inlineStr">
        <is>
          <t>QS rank sourced from institution profile page (not ranking table); not re-verified in this review.</t>
        </is>
      </c>
    </row>
    <row r="53" ht="53" customHeight="1">
      <c r="A53" s="10" t="inlineStr">
        <is>
          <t>UK</t>
        </is>
      </c>
      <c r="B53" s="11" t="inlineStr">
        <is>
          <t>Dundee</t>
        </is>
      </c>
      <c r="C53" s="10" t="inlineStr">
        <is>
          <t>Additional UK sample</t>
        </is>
      </c>
      <c r="D53" s="80" t="n">
        <v>2027</v>
      </c>
      <c r="E53" s="80" t="n">
        <v>447</v>
      </c>
      <c r="F53" s="10" t="inlineStr">
        <is>
          <t>Yes</t>
        </is>
      </c>
      <c r="G53" s="10" t="inlineStr">
        <is>
          <t>https://www.topuniversities.com/universities/university-dundee</t>
        </is>
      </c>
      <c r="H53" s="10" t="inlineStr">
        <is>
          <t>10007852</t>
        </is>
      </c>
      <c r="I53" s="80">
        <f>COUNTIF('Legacy schemes (v3)'!$B$7:$B$158,B53)</f>
        <v/>
      </c>
      <c r="J53" s="80">
        <f>COUNTIFS('Legacy schemes (v3)'!$B$7:$B$158,B53,'Legacy schemes (v3)'!$C$7:$C$158,"University-wide")</f>
        <v/>
      </c>
      <c r="K53" s="80">
        <f>COUNTIFS('Legacy schemes (v3)'!$B$7:$B$158,B53,'Legacy schemes (v3)'!$C$7:$C$158,"Cross-faculty")+COUNTIFS('Legacy schemes (v3)'!$B$7:$B$158,B53,'Legacy schemes (v3)'!$C$7:$C$158,"Faculty/school")+COUNTIFS('Legacy schemes (v3)'!$B$7:$B$158,B53,'Legacy schemes (v3)'!$C$7:$C$158,"Programme/course")</f>
        <v/>
      </c>
      <c r="L53" s="80">
        <f>COUNTIFS('Legacy schemes (v3)'!$B$7:$B$158,B53,'Legacy schemes (v3)'!$C$7:$C$158,"Not confirmed")</f>
        <v/>
      </c>
      <c r="M53" s="10">
        <f>IF(J53&gt;0,"University-wide scheme/framework documented",IF(COUNTIFS('Legacy schemes (v3)'!$B$7:$B$158,B53,'Legacy schemes (v3)'!$C$7:$C$158,"Cross-faculty")&gt;0,"Cross-faculty; broader reach unverified",IF(COUNTIFS('Legacy schemes (v3)'!$B$7:$B$158,B53,'Legacy schemes (v3)'!$C$7:$C$158,"Faculty/school")&gt;0,"Faculty/school; broader reach unverified",IF(K53&gt;0,"Programme/course; broader reach unverified","Scheme documented; reach unconfirmed"))))</f>
        <v/>
      </c>
      <c r="N53" s="32" t="inlineStr">
        <is>
          <t>UK13</t>
        </is>
      </c>
      <c r="O53" s="77" t="inlineStr">
        <is>
          <t>QS rank sourced from institution profile page (not ranking table); not re-verified in this review.</t>
        </is>
      </c>
    </row>
    <row r="54" ht="53" customHeight="1">
      <c r="A54" s="10" t="inlineStr">
        <is>
          <t>UK</t>
        </is>
      </c>
      <c r="B54" s="11" t="inlineStr">
        <is>
          <t>Swansea</t>
        </is>
      </c>
      <c r="C54" s="10" t="inlineStr">
        <is>
          <t>Additional UK sample</t>
        </is>
      </c>
      <c r="D54" s="80" t="n">
        <v>2027</v>
      </c>
      <c r="E54" s="80" t="n">
        <v>322</v>
      </c>
      <c r="F54" s="10" t="inlineStr">
        <is>
          <t>Yes</t>
        </is>
      </c>
      <c r="G54" s="10" t="inlineStr">
        <is>
          <t>https://www.topuniversities.com/universities/swansea-university</t>
        </is>
      </c>
      <c r="H54" s="10" t="inlineStr">
        <is>
          <t>10007855</t>
        </is>
      </c>
      <c r="I54" s="80">
        <f>COUNTIF('Legacy schemes (v3)'!$B$7:$B$158,B54)</f>
        <v/>
      </c>
      <c r="J54" s="80">
        <f>COUNTIFS('Legacy schemes (v3)'!$B$7:$B$158,B54,'Legacy schemes (v3)'!$C$7:$C$158,"University-wide")</f>
        <v/>
      </c>
      <c r="K54" s="80">
        <f>COUNTIFS('Legacy schemes (v3)'!$B$7:$B$158,B54,'Legacy schemes (v3)'!$C$7:$C$158,"Cross-faculty")+COUNTIFS('Legacy schemes (v3)'!$B$7:$B$158,B54,'Legacy schemes (v3)'!$C$7:$C$158,"Faculty/school")+COUNTIFS('Legacy schemes (v3)'!$B$7:$B$158,B54,'Legacy schemes (v3)'!$C$7:$C$158,"Programme/course")</f>
        <v/>
      </c>
      <c r="L54" s="80">
        <f>COUNTIFS('Legacy schemes (v3)'!$B$7:$B$158,B54,'Legacy schemes (v3)'!$C$7:$C$158,"Not confirmed")</f>
        <v/>
      </c>
      <c r="M54" s="10">
        <f>IF(J54&gt;0,"University-wide scheme/framework documented",IF(COUNTIFS('Legacy schemes (v3)'!$B$7:$B$158,B54,'Legacy schemes (v3)'!$C$7:$C$158,"Cross-faculty")&gt;0,"Cross-faculty; broader reach unverified",IF(COUNTIFS('Legacy schemes (v3)'!$B$7:$B$158,B54,'Legacy schemes (v3)'!$C$7:$C$158,"Faculty/school")&gt;0,"Faculty/school; broader reach unverified",IF(K54&gt;0,"Programme/course; broader reach unverified","Scheme documented; reach unconfirmed"))))</f>
        <v/>
      </c>
      <c r="N54" s="32" t="inlineStr">
        <is>
          <t>UK14</t>
        </is>
      </c>
      <c r="O54" s="77" t="inlineStr">
        <is>
          <t>QS rank sourced from institution profile page (not ranking table); not re-verified in this review.</t>
        </is>
      </c>
    </row>
    <row r="55" ht="53" customHeight="1">
      <c r="A55" s="10" t="inlineStr">
        <is>
          <t>UK</t>
        </is>
      </c>
      <c r="B55" s="11" t="inlineStr">
        <is>
          <t>Essex</t>
        </is>
      </c>
      <c r="C55" s="10" t="inlineStr">
        <is>
          <t>Additional UK sample</t>
        </is>
      </c>
      <c r="D55" s="80" t="n">
        <v>2027</v>
      </c>
      <c r="E55" s="80" t="n">
        <v>438</v>
      </c>
      <c r="F55" s="10" t="inlineStr">
        <is>
          <t>Yes</t>
        </is>
      </c>
      <c r="G55" s="10" t="inlineStr">
        <is>
          <t>https://www.topuniversities.com/universities/essex-university</t>
        </is>
      </c>
      <c r="H55" s="10" t="inlineStr">
        <is>
          <t>10007791</t>
        </is>
      </c>
      <c r="I55" s="80">
        <f>COUNTIF('Legacy schemes (v3)'!$B$7:$B$158,B55)</f>
        <v/>
      </c>
      <c r="J55" s="80">
        <f>COUNTIFS('Legacy schemes (v3)'!$B$7:$B$158,B55,'Legacy schemes (v3)'!$C$7:$C$158,"University-wide")</f>
        <v/>
      </c>
      <c r="K55" s="80">
        <f>COUNTIFS('Legacy schemes (v3)'!$B$7:$B$158,B55,'Legacy schemes (v3)'!$C$7:$C$158,"Cross-faculty")+COUNTIFS('Legacy schemes (v3)'!$B$7:$B$158,B55,'Legacy schemes (v3)'!$C$7:$C$158,"Faculty/school")+COUNTIFS('Legacy schemes (v3)'!$B$7:$B$158,B55,'Legacy schemes (v3)'!$C$7:$C$158,"Programme/course")</f>
        <v/>
      </c>
      <c r="L55" s="80">
        <f>COUNTIFS('Legacy schemes (v3)'!$B$7:$B$158,B55,'Legacy schemes (v3)'!$C$7:$C$158,"Not confirmed")</f>
        <v/>
      </c>
      <c r="M55" s="10">
        <f>IF(J55&gt;0,"University-wide scheme/framework documented",IF(COUNTIFS('Legacy schemes (v3)'!$B$7:$B$158,B55,'Legacy schemes (v3)'!$C$7:$C$158,"Cross-faculty")&gt;0,"Cross-faculty; broader reach unverified",IF(COUNTIFS('Legacy schemes (v3)'!$B$7:$B$158,B55,'Legacy schemes (v3)'!$C$7:$C$158,"Faculty/school")&gt;0,"Faculty/school; broader reach unverified",IF(K55&gt;0,"Programme/course; broader reach unverified","Scheme documented; reach unconfirmed"))))</f>
        <v/>
      </c>
      <c r="N55" s="32" t="inlineStr">
        <is>
          <t>UK15</t>
        </is>
      </c>
      <c r="O55" s="77" t="inlineStr">
        <is>
          <t>QS rank sourced from institution profile page (not ranking table); not re-verified in this review.</t>
        </is>
      </c>
    </row>
    <row r="56" ht="53" customHeight="1">
      <c r="A56" s="10" t="inlineStr">
        <is>
          <t>UK</t>
        </is>
      </c>
      <c r="B56" s="11" t="inlineStr">
        <is>
          <t>Kent</t>
        </is>
      </c>
      <c r="C56" s="10" t="inlineStr">
        <is>
          <t>Additional UK sample</t>
        </is>
      </c>
      <c r="D56" s="80" t="n">
        <v>2027</v>
      </c>
      <c r="E56" s="80" t="n">
        <v>415</v>
      </c>
      <c r="F56" s="10" t="inlineStr">
        <is>
          <t>No</t>
        </is>
      </c>
      <c r="G56" s="10" t="inlineStr">
        <is>
          <t>https://www.topuniversities.com/universities/university-kent</t>
        </is>
      </c>
      <c r="H56" s="10" t="inlineStr">
        <is>
          <t>10007150</t>
        </is>
      </c>
      <c r="I56" s="80">
        <f>COUNTIF('Legacy schemes (v3)'!$B$7:$B$158,B56)</f>
        <v/>
      </c>
      <c r="J56" s="80">
        <f>COUNTIFS('Legacy schemes (v3)'!$B$7:$B$158,B56,'Legacy schemes (v3)'!$C$7:$C$158,"University-wide")</f>
        <v/>
      </c>
      <c r="K56" s="80">
        <f>COUNTIFS('Legacy schemes (v3)'!$B$7:$B$158,B56,'Legacy schemes (v3)'!$C$7:$C$158,"Cross-faculty")+COUNTIFS('Legacy schemes (v3)'!$B$7:$B$158,B56,'Legacy schemes (v3)'!$C$7:$C$158,"Faculty/school")+COUNTIFS('Legacy schemes (v3)'!$B$7:$B$158,B56,'Legacy schemes (v3)'!$C$7:$C$158,"Programme/course")</f>
        <v/>
      </c>
      <c r="L56" s="80">
        <f>COUNTIFS('Legacy schemes (v3)'!$B$7:$B$158,B56,'Legacy schemes (v3)'!$C$7:$C$158,"Not confirmed")</f>
        <v/>
      </c>
      <c r="M56" s="10">
        <f>IF(J56&gt;0,"University-wide scheme/framework documented",IF(COUNTIFS('Legacy schemes (v3)'!$B$7:$B$158,B56,'Legacy schemes (v3)'!$C$7:$C$158,"Cross-faculty")&gt;0,"Cross-faculty; broader reach unverified",IF(COUNTIFS('Legacy schemes (v3)'!$B$7:$B$158,B56,'Legacy schemes (v3)'!$C$7:$C$158,"Faculty/school")&gt;0,"Faculty/school; broader reach unverified",IF(K56&gt;0,"Programme/course; broader reach unverified","Scheme documented; reach unconfirmed"))))</f>
        <v/>
      </c>
      <c r="N56" s="32" t="inlineStr">
        <is>
          <t>UK16</t>
        </is>
      </c>
      <c r="O56" s="77" t="inlineStr">
        <is>
          <t>QS rank sourced from institution profile page (not ranking table); not re-verified in this review.</t>
        </is>
      </c>
    </row>
    <row r="57" ht="53" customHeight="1">
      <c r="A57" s="10" t="inlineStr">
        <is>
          <t>UK</t>
        </is>
      </c>
      <c r="B57" s="11" t="inlineStr">
        <is>
          <t>Brunel</t>
        </is>
      </c>
      <c r="C57" s="10" t="inlineStr">
        <is>
          <t>Additional UK sample</t>
        </is>
      </c>
      <c r="D57" s="80" t="n">
        <v>2027</v>
      </c>
      <c r="E57" s="80" t="n">
        <v>353</v>
      </c>
      <c r="F57" s="10" t="inlineStr">
        <is>
          <t>No</t>
        </is>
      </c>
      <c r="G57" s="10" t="inlineStr">
        <is>
          <t>https://www.topuniversities.com/universities/brunel-university-london</t>
        </is>
      </c>
      <c r="H57" s="10" t="inlineStr">
        <is>
          <t>10000961</t>
        </is>
      </c>
      <c r="I57" s="80">
        <f>COUNTIF('Legacy schemes (v3)'!$B$7:$B$158,B57)</f>
        <v/>
      </c>
      <c r="J57" s="80">
        <f>COUNTIFS('Legacy schemes (v3)'!$B$7:$B$158,B57,'Legacy schemes (v3)'!$C$7:$C$158,"University-wide")</f>
        <v/>
      </c>
      <c r="K57" s="80">
        <f>COUNTIFS('Legacy schemes (v3)'!$B$7:$B$158,B57,'Legacy schemes (v3)'!$C$7:$C$158,"Cross-faculty")+COUNTIFS('Legacy schemes (v3)'!$B$7:$B$158,B57,'Legacy schemes (v3)'!$C$7:$C$158,"Faculty/school")+COUNTIFS('Legacy schemes (v3)'!$B$7:$B$158,B57,'Legacy schemes (v3)'!$C$7:$C$158,"Programme/course")</f>
        <v/>
      </c>
      <c r="L57" s="80">
        <f>COUNTIFS('Legacy schemes (v3)'!$B$7:$B$158,B57,'Legacy schemes (v3)'!$C$7:$C$158,"Not confirmed")</f>
        <v/>
      </c>
      <c r="M57" s="10">
        <f>IF(J57&gt;0,"University-wide scheme/framework documented",IF(COUNTIFS('Legacy schemes (v3)'!$B$7:$B$158,B57,'Legacy schemes (v3)'!$C$7:$C$158,"Cross-faculty")&gt;0,"Cross-faculty; broader reach unverified",IF(COUNTIFS('Legacy schemes (v3)'!$B$7:$B$158,B57,'Legacy schemes (v3)'!$C$7:$C$158,"Faculty/school")&gt;0,"Faculty/school; broader reach unverified",IF(K57&gt;0,"Programme/course; broader reach unverified","Scheme documented; reach unconfirmed"))))</f>
        <v/>
      </c>
      <c r="N57" s="32" t="inlineStr">
        <is>
          <t>UK17</t>
        </is>
      </c>
      <c r="O57" s="77" t="inlineStr">
        <is>
          <t>QS rank sourced from institution profile page (not ranking table); not re-verified in this review.</t>
        </is>
      </c>
    </row>
    <row r="58" ht="53" customHeight="1">
      <c r="A58" s="10" t="inlineStr">
        <is>
          <t>UK</t>
        </is>
      </c>
      <c r="B58" s="11" t="inlineStr">
        <is>
          <t>Aston</t>
        </is>
      </c>
      <c r="C58" s="10" t="inlineStr">
        <is>
          <t>Additional UK sample</t>
        </is>
      </c>
      <c r="D58" s="80" t="n">
        <v>2027</v>
      </c>
      <c r="E58" s="80" t="n">
        <v>416</v>
      </c>
      <c r="F58" s="10" t="inlineStr">
        <is>
          <t>Yes</t>
        </is>
      </c>
      <c r="G58" s="10" t="inlineStr">
        <is>
          <t>https://www.topuniversities.com/universities/aston-university</t>
        </is>
      </c>
      <c r="H58" s="10" t="inlineStr">
        <is>
          <t>10007759</t>
        </is>
      </c>
      <c r="I58" s="80">
        <f>COUNTIF('Legacy schemes (v3)'!$B$7:$B$158,B58)</f>
        <v/>
      </c>
      <c r="J58" s="80">
        <f>COUNTIFS('Legacy schemes (v3)'!$B$7:$B$158,B58,'Legacy schemes (v3)'!$C$7:$C$158,"University-wide")</f>
        <v/>
      </c>
      <c r="K58" s="80">
        <f>COUNTIFS('Legacy schemes (v3)'!$B$7:$B$158,B58,'Legacy schemes (v3)'!$C$7:$C$158,"Cross-faculty")+COUNTIFS('Legacy schemes (v3)'!$B$7:$B$158,B58,'Legacy schemes (v3)'!$C$7:$C$158,"Faculty/school")+COUNTIFS('Legacy schemes (v3)'!$B$7:$B$158,B58,'Legacy schemes (v3)'!$C$7:$C$158,"Programme/course")</f>
        <v/>
      </c>
      <c r="L58" s="80">
        <f>COUNTIFS('Legacy schemes (v3)'!$B$7:$B$158,B58,'Legacy schemes (v3)'!$C$7:$C$158,"Not confirmed")</f>
        <v/>
      </c>
      <c r="M58" s="10">
        <f>IF(J58&gt;0,"University-wide scheme/framework documented",IF(COUNTIFS('Legacy schemes (v3)'!$B$7:$B$158,B58,'Legacy schemes (v3)'!$C$7:$C$158,"Cross-faculty")&gt;0,"Cross-faculty; broader reach unverified",IF(COUNTIFS('Legacy schemes (v3)'!$B$7:$B$158,B58,'Legacy schemes (v3)'!$C$7:$C$158,"Faculty/school")&gt;0,"Faculty/school; broader reach unverified",IF(K58&gt;0,"Programme/course; broader reach unverified","Scheme documented; reach unconfirmed"))))</f>
        <v/>
      </c>
      <c r="N58" s="32" t="inlineStr">
        <is>
          <t>UK18</t>
        </is>
      </c>
      <c r="O58" s="77" t="inlineStr">
        <is>
          <t>QS rank sourced from institution profile page (not ranking table); not re-verified in this review.</t>
        </is>
      </c>
    </row>
    <row r="59" ht="53" customHeight="1">
      <c r="A59" s="10" t="inlineStr">
        <is>
          <t>UK</t>
        </is>
      </c>
      <c r="B59" s="11" t="inlineStr">
        <is>
          <t>Stirling</t>
        </is>
      </c>
      <c r="C59" s="10" t="inlineStr">
        <is>
          <t>Additional UK sample</t>
        </is>
      </c>
      <c r="D59" s="80" t="n">
        <v>2027</v>
      </c>
      <c r="E59" s="80" t="n">
        <v>560</v>
      </c>
      <c r="F59" s="10" t="inlineStr">
        <is>
          <t>Yes</t>
        </is>
      </c>
      <c r="G59" s="10" t="inlineStr">
        <is>
          <t>https://www.topuniversities.com/universities/university-stirling</t>
        </is>
      </c>
      <c r="H59" s="10" t="inlineStr">
        <is>
          <t>10007804</t>
        </is>
      </c>
      <c r="I59" s="80">
        <f>COUNTIF('Legacy schemes (v3)'!$B$7:$B$158,B59)</f>
        <v/>
      </c>
      <c r="J59" s="80">
        <f>COUNTIFS('Legacy schemes (v3)'!$B$7:$B$158,B59,'Legacy schemes (v3)'!$C$7:$C$158,"University-wide")</f>
        <v/>
      </c>
      <c r="K59" s="80">
        <f>COUNTIFS('Legacy schemes (v3)'!$B$7:$B$158,B59,'Legacy schemes (v3)'!$C$7:$C$158,"Cross-faculty")+COUNTIFS('Legacy schemes (v3)'!$B$7:$B$158,B59,'Legacy schemes (v3)'!$C$7:$C$158,"Faculty/school")+COUNTIFS('Legacy schemes (v3)'!$B$7:$B$158,B59,'Legacy schemes (v3)'!$C$7:$C$158,"Programme/course")</f>
        <v/>
      </c>
      <c r="L59" s="80">
        <f>COUNTIFS('Legacy schemes (v3)'!$B$7:$B$158,B59,'Legacy schemes (v3)'!$C$7:$C$158,"Not confirmed")</f>
        <v/>
      </c>
      <c r="M59" s="10">
        <f>IF(J59&gt;0,"University-wide scheme/framework documented",IF(COUNTIFS('Legacy schemes (v3)'!$B$7:$B$158,B59,'Legacy schemes (v3)'!$C$7:$C$158,"Cross-faculty")&gt;0,"Cross-faculty; broader reach unverified",IF(COUNTIFS('Legacy schemes (v3)'!$B$7:$B$158,B59,'Legacy schemes (v3)'!$C$7:$C$158,"Faculty/school")&gt;0,"Faculty/school; broader reach unverified",IF(K59&gt;0,"Programme/course; broader reach unverified","Scheme documented; reach unconfirmed"))))</f>
        <v/>
      </c>
      <c r="N59" s="32" t="inlineStr">
        <is>
          <t>UK19</t>
        </is>
      </c>
      <c r="O59" s="77" t="inlineStr">
        <is>
          <t>QS rank sourced from institution profile page (not ranking table); not re-verified in this review.</t>
        </is>
      </c>
    </row>
    <row r="60" ht="53" customHeight="1">
      <c r="A60" s="10" t="inlineStr">
        <is>
          <t>UK</t>
        </is>
      </c>
      <c r="B60" s="11" t="inlineStr">
        <is>
          <t>SOAS</t>
        </is>
      </c>
      <c r="C60" s="10" t="inlineStr">
        <is>
          <t>Additional UK sample</t>
        </is>
      </c>
      <c r="D60" s="80" t="n">
        <v>2027</v>
      </c>
      <c r="E60" s="80" t="n">
        <v>458</v>
      </c>
      <c r="F60" s="10" t="inlineStr">
        <is>
          <t>Yes</t>
        </is>
      </c>
      <c r="G60" s="10" t="inlineStr">
        <is>
          <t>https://www.topuniversities.com/universities/soas-university-london</t>
        </is>
      </c>
      <c r="H60" s="10" t="inlineStr">
        <is>
          <t>10007780</t>
        </is>
      </c>
      <c r="I60" s="80">
        <f>COUNTIF('Legacy schemes (v3)'!$B$7:$B$158,B60)</f>
        <v/>
      </c>
      <c r="J60" s="80">
        <f>COUNTIFS('Legacy schemes (v3)'!$B$7:$B$158,B60,'Legacy schemes (v3)'!$C$7:$C$158,"University-wide")</f>
        <v/>
      </c>
      <c r="K60" s="80">
        <f>COUNTIFS('Legacy schemes (v3)'!$B$7:$B$158,B60,'Legacy schemes (v3)'!$C$7:$C$158,"Cross-faculty")+COUNTIFS('Legacy schemes (v3)'!$B$7:$B$158,B60,'Legacy schemes (v3)'!$C$7:$C$158,"Faculty/school")+COUNTIFS('Legacy schemes (v3)'!$B$7:$B$158,B60,'Legacy schemes (v3)'!$C$7:$C$158,"Programme/course")</f>
        <v/>
      </c>
      <c r="L60" s="80">
        <f>COUNTIFS('Legacy schemes (v3)'!$B$7:$B$158,B60,'Legacy schemes (v3)'!$C$7:$C$158,"Not confirmed")</f>
        <v/>
      </c>
      <c r="M60" s="10">
        <f>IF(J60&gt;0,"University-wide scheme/framework documented",IF(COUNTIFS('Legacy schemes (v3)'!$B$7:$B$158,B60,'Legacy schemes (v3)'!$C$7:$C$158,"Cross-faculty")&gt;0,"Cross-faculty; broader reach unverified",IF(COUNTIFS('Legacy schemes (v3)'!$B$7:$B$158,B60,'Legacy schemes (v3)'!$C$7:$C$158,"Faculty/school")&gt;0,"Faculty/school; broader reach unverified",IF(K60&gt;0,"Programme/course; broader reach unverified","Scheme documented; reach unconfirmed"))))</f>
        <v/>
      </c>
      <c r="N60" s="32" t="inlineStr">
        <is>
          <t>UK20</t>
        </is>
      </c>
      <c r="O60" s="77" t="inlineStr">
        <is>
          <t>QS rank sourced from institution profile page (not ranking table); not re-verified in this review.</t>
        </is>
      </c>
    </row>
    <row r="61" ht="53" customHeight="1">
      <c r="A61" s="10" t="inlineStr">
        <is>
          <t>UK</t>
        </is>
      </c>
      <c r="B61" s="11" t="inlineStr">
        <is>
          <t>Birkbeck</t>
        </is>
      </c>
      <c r="C61" s="10" t="inlineStr">
        <is>
          <t>Additional UK sample</t>
        </is>
      </c>
      <c r="D61" s="80" t="n">
        <v>2027</v>
      </c>
      <c r="E61" s="80" t="n">
        <v>354</v>
      </c>
      <c r="F61" s="10" t="inlineStr">
        <is>
          <t>Yes</t>
        </is>
      </c>
      <c r="G61" s="10" t="inlineStr">
        <is>
          <t>https://www.topuniversities.com/universities/birkbeck-university-london</t>
        </is>
      </c>
      <c r="H61" s="10" t="inlineStr">
        <is>
          <t>10007760</t>
        </is>
      </c>
      <c r="I61" s="80">
        <f>COUNTIF('Legacy schemes (v3)'!$B$7:$B$158,B61)</f>
        <v/>
      </c>
      <c r="J61" s="80">
        <f>COUNTIFS('Legacy schemes (v3)'!$B$7:$B$158,B61,'Legacy schemes (v3)'!$C$7:$C$158,"University-wide")</f>
        <v/>
      </c>
      <c r="K61" s="80">
        <f>COUNTIFS('Legacy schemes (v3)'!$B$7:$B$158,B61,'Legacy schemes (v3)'!$C$7:$C$158,"Cross-faculty")+COUNTIFS('Legacy schemes (v3)'!$B$7:$B$158,B61,'Legacy schemes (v3)'!$C$7:$C$158,"Faculty/school")+COUNTIFS('Legacy schemes (v3)'!$B$7:$B$158,B61,'Legacy schemes (v3)'!$C$7:$C$158,"Programme/course")</f>
        <v/>
      </c>
      <c r="L61" s="80">
        <f>COUNTIFS('Legacy schemes (v3)'!$B$7:$B$158,B61,'Legacy schemes (v3)'!$C$7:$C$158,"Not confirmed")</f>
        <v/>
      </c>
      <c r="M61" s="10">
        <f>IF(J61&gt;0,"University-wide scheme/framework documented",IF(COUNTIFS('Legacy schemes (v3)'!$B$7:$B$158,B61,'Legacy schemes (v3)'!$C$7:$C$158,"Cross-faculty")&gt;0,"Cross-faculty; broader reach unverified",IF(COUNTIFS('Legacy schemes (v3)'!$B$7:$B$158,B61,'Legacy schemes (v3)'!$C$7:$C$158,"Faculty/school")&gt;0,"Faculty/school; broader reach unverified",IF(K61&gt;0,"Programme/course; broader reach unverified","Scheme documented; reach unconfirmed"))))</f>
        <v/>
      </c>
      <c r="N61" s="32" t="inlineStr">
        <is>
          <t>UK21</t>
        </is>
      </c>
      <c r="O61" s="77" t="inlineStr">
        <is>
          <t>QS rank sourced from institution profile page (not ranking table); not re-verified in this review.</t>
        </is>
      </c>
    </row>
    <row r="62" ht="53" customHeight="1">
      <c r="A62" s="10" t="inlineStr">
        <is>
          <t>UK</t>
        </is>
      </c>
      <c r="B62" s="11" t="inlineStr">
        <is>
          <t>Royal Holloway</t>
        </is>
      </c>
      <c r="C62" s="10" t="inlineStr">
        <is>
          <t>Additional UK sample</t>
        </is>
      </c>
      <c r="D62" s="80" t="n">
        <v>2027</v>
      </c>
      <c r="E62" s="80" t="n">
        <v>485</v>
      </c>
      <c r="F62" s="10" t="inlineStr">
        <is>
          <t>Yes</t>
        </is>
      </c>
      <c r="G62" s="10" t="inlineStr">
        <is>
          <t>https://www.topuniversities.com/universities/royal-holloway-university-london</t>
        </is>
      </c>
      <c r="H62" s="10" t="inlineStr">
        <is>
          <t>10005553</t>
        </is>
      </c>
      <c r="I62" s="80">
        <f>COUNTIF('Legacy schemes (v3)'!$B$7:$B$158,B62)</f>
        <v/>
      </c>
      <c r="J62" s="80">
        <f>COUNTIFS('Legacy schemes (v3)'!$B$7:$B$158,B62,'Legacy schemes (v3)'!$C$7:$C$158,"University-wide")</f>
        <v/>
      </c>
      <c r="K62" s="80">
        <f>COUNTIFS('Legacy schemes (v3)'!$B$7:$B$158,B62,'Legacy schemes (v3)'!$C$7:$C$158,"Cross-faculty")+COUNTIFS('Legacy schemes (v3)'!$B$7:$B$158,B62,'Legacy schemes (v3)'!$C$7:$C$158,"Faculty/school")+COUNTIFS('Legacy schemes (v3)'!$B$7:$B$158,B62,'Legacy schemes (v3)'!$C$7:$C$158,"Programme/course")</f>
        <v/>
      </c>
      <c r="L62" s="80">
        <f>COUNTIFS('Legacy schemes (v3)'!$B$7:$B$158,B62,'Legacy schemes (v3)'!$C$7:$C$158,"Not confirmed")</f>
        <v/>
      </c>
      <c r="M62" s="10">
        <f>IF(J62&gt;0,"University-wide scheme/framework documented",IF(COUNTIFS('Legacy schemes (v3)'!$B$7:$B$158,B62,'Legacy schemes (v3)'!$C$7:$C$158,"Cross-faculty")&gt;0,"Cross-faculty; broader reach unverified",IF(COUNTIFS('Legacy schemes (v3)'!$B$7:$B$158,B62,'Legacy schemes (v3)'!$C$7:$C$158,"Faculty/school")&gt;0,"Faculty/school; broader reach unverified",IF(K62&gt;0,"Programme/course; broader reach unverified","Scheme documented; reach unconfirmed"))))</f>
        <v/>
      </c>
      <c r="N62" s="32" t="inlineStr">
        <is>
          <t>UK22</t>
        </is>
      </c>
      <c r="O62" s="77" t="inlineStr">
        <is>
          <t>QS rank sourced from institution profile page (not ranking table); not re-verified in this review.</t>
        </is>
      </c>
    </row>
    <row r="63" ht="53" customHeight="1">
      <c r="A63" s="10" t="inlineStr">
        <is>
          <t>UK</t>
        </is>
      </c>
      <c r="B63" s="11" t="inlineStr">
        <is>
          <t>City St George’s</t>
        </is>
      </c>
      <c r="C63" s="10" t="inlineStr">
        <is>
          <t>Additional UK sample</t>
        </is>
      </c>
      <c r="D63" s="80" t="n">
        <v>2027</v>
      </c>
      <c r="E63" s="80" t="n">
        <v>361</v>
      </c>
      <c r="F63" s="10" t="inlineStr">
        <is>
          <t>Yes</t>
        </is>
      </c>
      <c r="G63" s="10" t="inlineStr">
        <is>
          <t>https://www.topuniversities.com/universities/city-st-georges-university-london</t>
        </is>
      </c>
      <c r="H63" s="10" t="inlineStr">
        <is>
          <t>10001478</t>
        </is>
      </c>
      <c r="I63" s="80">
        <f>COUNTIF('Legacy schemes (v3)'!$B$7:$B$158,B63)</f>
        <v/>
      </c>
      <c r="J63" s="80">
        <f>COUNTIFS('Legacy schemes (v3)'!$B$7:$B$158,B63,'Legacy schemes (v3)'!$C$7:$C$158,"University-wide")</f>
        <v/>
      </c>
      <c r="K63" s="80">
        <f>COUNTIFS('Legacy schemes (v3)'!$B$7:$B$158,B63,'Legacy schemes (v3)'!$C$7:$C$158,"Cross-faculty")+COUNTIFS('Legacy schemes (v3)'!$B$7:$B$158,B63,'Legacy schemes (v3)'!$C$7:$C$158,"Faculty/school")+COUNTIFS('Legacy schemes (v3)'!$B$7:$B$158,B63,'Legacy schemes (v3)'!$C$7:$C$158,"Programme/course")</f>
        <v/>
      </c>
      <c r="L63" s="80">
        <f>COUNTIFS('Legacy schemes (v3)'!$B$7:$B$158,B63,'Legacy schemes (v3)'!$C$7:$C$158,"Not confirmed")</f>
        <v/>
      </c>
      <c r="M63" s="10">
        <f>IF(J63&gt;0,"University-wide scheme/framework documented",IF(COUNTIFS('Legacy schemes (v3)'!$B$7:$B$158,B63,'Legacy schemes (v3)'!$C$7:$C$158,"Cross-faculty")&gt;0,"Cross-faculty; broader reach unverified",IF(COUNTIFS('Legacy schemes (v3)'!$B$7:$B$158,B63,'Legacy schemes (v3)'!$C$7:$C$158,"Faculty/school")&gt;0,"Faculty/school; broader reach unverified",IF(K63&gt;0,"Programme/course; broader reach unverified","Scheme documented; reach unconfirmed"))))</f>
        <v/>
      </c>
      <c r="N63" s="32" t="inlineStr">
        <is>
          <t>UK23</t>
        </is>
      </c>
      <c r="O63" s="77" t="inlineStr">
        <is>
          <t>Merged institution (City + St George's, 2024); evidence may be badged City or Bayes Business School.</t>
        </is>
      </c>
    </row>
    <row r="64" ht="53" customHeight="1">
      <c r="A64" s="10" t="inlineStr">
        <is>
          <t>UK</t>
        </is>
      </c>
      <c r="B64" s="11" t="inlineStr">
        <is>
          <t>Oxford Brookes</t>
        </is>
      </c>
      <c r="C64" s="10" t="inlineStr">
        <is>
          <t>Additional UK sample</t>
        </is>
      </c>
      <c r="D64" s="80" t="n">
        <v>2027</v>
      </c>
      <c r="E64" s="80" t="n">
        <v>411</v>
      </c>
      <c r="F64" s="10" t="inlineStr">
        <is>
          <t>Yes</t>
        </is>
      </c>
      <c r="G64" s="10" t="inlineStr">
        <is>
          <t>https://www.topuniversities.com/universities/oxford-brookes-university</t>
        </is>
      </c>
      <c r="H64" s="10" t="inlineStr">
        <is>
          <t>10004930</t>
        </is>
      </c>
      <c r="I64" s="80">
        <f>COUNTIF('Legacy schemes (v3)'!$B$7:$B$158,B64)</f>
        <v/>
      </c>
      <c r="J64" s="80">
        <f>COUNTIFS('Legacy schemes (v3)'!$B$7:$B$158,B64,'Legacy schemes (v3)'!$C$7:$C$158,"University-wide")</f>
        <v/>
      </c>
      <c r="K64" s="80">
        <f>COUNTIFS('Legacy schemes (v3)'!$B$7:$B$158,B64,'Legacy schemes (v3)'!$C$7:$C$158,"Cross-faculty")+COUNTIFS('Legacy schemes (v3)'!$B$7:$B$158,B64,'Legacy schemes (v3)'!$C$7:$C$158,"Faculty/school")+COUNTIFS('Legacy schemes (v3)'!$B$7:$B$158,B64,'Legacy schemes (v3)'!$C$7:$C$158,"Programme/course")</f>
        <v/>
      </c>
      <c r="L64" s="80">
        <f>COUNTIFS('Legacy schemes (v3)'!$B$7:$B$158,B64,'Legacy schemes (v3)'!$C$7:$C$158,"Not confirmed")</f>
        <v/>
      </c>
      <c r="M64" s="10">
        <f>IF(J64&gt;0,"University-wide scheme/framework documented",IF(COUNTIFS('Legacy schemes (v3)'!$B$7:$B$158,B64,'Legacy schemes (v3)'!$C$7:$C$158,"Cross-faculty")&gt;0,"Cross-faculty; broader reach unverified",IF(COUNTIFS('Legacy schemes (v3)'!$B$7:$B$158,B64,'Legacy schemes (v3)'!$C$7:$C$158,"Faculty/school")&gt;0,"Faculty/school; broader reach unverified",IF(K64&gt;0,"Programme/course; broader reach unverified","Scheme documented; reach unconfirmed"))))</f>
        <v/>
      </c>
      <c r="N64" s="32" t="inlineStr">
        <is>
          <t>UK24</t>
        </is>
      </c>
      <c r="O64" s="77" t="inlineStr">
        <is>
          <t>QS rank sourced from institution profile page (not ranking table); not re-verified in this review.</t>
        </is>
      </c>
    </row>
    <row r="65" ht="53" customHeight="1">
      <c r="A65" s="10" t="inlineStr">
        <is>
          <t>UK</t>
        </is>
      </c>
      <c r="B65" s="11" t="inlineStr">
        <is>
          <t>Northumbria</t>
        </is>
      </c>
      <c r="C65" s="10" t="inlineStr">
        <is>
          <t>Additional UK sample</t>
        </is>
      </c>
      <c r="D65" s="80" t="n">
        <v>2027</v>
      </c>
      <c r="E65" s="80" t="n">
        <v>528</v>
      </c>
      <c r="F65" s="10" t="inlineStr">
        <is>
          <t>Yes</t>
        </is>
      </c>
      <c r="G65" s="10" t="inlineStr">
        <is>
          <t>https://www.topuniversities.com/universities/northumbria-university-newcastle</t>
        </is>
      </c>
      <c r="H65" s="10" t="inlineStr">
        <is>
          <t>10001282</t>
        </is>
      </c>
      <c r="I65" s="80">
        <f>COUNTIF('Legacy schemes (v3)'!$B$7:$B$158,B65)</f>
        <v/>
      </c>
      <c r="J65" s="80">
        <f>COUNTIFS('Legacy schemes (v3)'!$B$7:$B$158,B65,'Legacy schemes (v3)'!$C$7:$C$158,"University-wide")</f>
        <v/>
      </c>
      <c r="K65" s="80">
        <f>COUNTIFS('Legacy schemes (v3)'!$B$7:$B$158,B65,'Legacy schemes (v3)'!$C$7:$C$158,"Cross-faculty")+COUNTIFS('Legacy schemes (v3)'!$B$7:$B$158,B65,'Legacy schemes (v3)'!$C$7:$C$158,"Faculty/school")+COUNTIFS('Legacy schemes (v3)'!$B$7:$B$158,B65,'Legacy schemes (v3)'!$C$7:$C$158,"Programme/course")</f>
        <v/>
      </c>
      <c r="L65" s="80">
        <f>COUNTIFS('Legacy schemes (v3)'!$B$7:$B$158,B65,'Legacy schemes (v3)'!$C$7:$C$158,"Not confirmed")</f>
        <v/>
      </c>
      <c r="M65" s="10">
        <f>IF(J65&gt;0,"University-wide scheme/framework documented",IF(COUNTIFS('Legacy schemes (v3)'!$B$7:$B$158,B65,'Legacy schemes (v3)'!$C$7:$C$158,"Cross-faculty")&gt;0,"Cross-faculty; broader reach unverified",IF(COUNTIFS('Legacy schemes (v3)'!$B$7:$B$158,B65,'Legacy schemes (v3)'!$C$7:$C$158,"Faculty/school")&gt;0,"Faculty/school; broader reach unverified",IF(K65&gt;0,"Programme/course; broader reach unverified","Scheme documented; reach unconfirmed"))))</f>
        <v/>
      </c>
      <c r="N65" s="32" t="inlineStr">
        <is>
          <t>UK25</t>
        </is>
      </c>
      <c r="O65" s="77" t="inlineStr">
        <is>
          <t>QS rank sourced from institution profile page (not ranking table); not re-verified in this review.</t>
        </is>
      </c>
    </row>
    <row r="66" ht="53" customHeight="1">
      <c r="A66" s="10" t="inlineStr">
        <is>
          <t>UK</t>
        </is>
      </c>
      <c r="B66" s="11" t="inlineStr">
        <is>
          <t>Portsmouth</t>
        </is>
      </c>
      <c r="C66" s="10" t="inlineStr">
        <is>
          <t>Additional UK sample</t>
        </is>
      </c>
      <c r="D66" s="80" t="n">
        <v>2027</v>
      </c>
      <c r="E66" s="80" t="n">
        <v>662</v>
      </c>
      <c r="F66" s="10" t="inlineStr">
        <is>
          <t>Yes</t>
        </is>
      </c>
      <c r="G66" s="10" t="inlineStr">
        <is>
          <t>https://www.topuniversities.com/universities/university-portsmouth</t>
        </is>
      </c>
      <c r="H66" s="10" t="inlineStr">
        <is>
          <t>10007155</t>
        </is>
      </c>
      <c r="I66" s="80">
        <f>COUNTIF('Legacy schemes (v3)'!$B$7:$B$158,B66)</f>
        <v/>
      </c>
      <c r="J66" s="80">
        <f>COUNTIFS('Legacy schemes (v3)'!$B$7:$B$158,B66,'Legacy schemes (v3)'!$C$7:$C$158,"University-wide")</f>
        <v/>
      </c>
      <c r="K66" s="80">
        <f>COUNTIFS('Legacy schemes (v3)'!$B$7:$B$158,B66,'Legacy schemes (v3)'!$C$7:$C$158,"Cross-faculty")+COUNTIFS('Legacy schemes (v3)'!$B$7:$B$158,B66,'Legacy schemes (v3)'!$C$7:$C$158,"Faculty/school")+COUNTIFS('Legacy schemes (v3)'!$B$7:$B$158,B66,'Legacy schemes (v3)'!$C$7:$C$158,"Programme/course")</f>
        <v/>
      </c>
      <c r="L66" s="80">
        <f>COUNTIFS('Legacy schemes (v3)'!$B$7:$B$158,B66,'Legacy schemes (v3)'!$C$7:$C$158,"Not confirmed")</f>
        <v/>
      </c>
      <c r="M66" s="10">
        <f>IF(J66&gt;0,"University-wide scheme/framework documented",IF(COUNTIFS('Legacy schemes (v3)'!$B$7:$B$158,B66,'Legacy schemes (v3)'!$C$7:$C$158,"Cross-faculty")&gt;0,"Cross-faculty; broader reach unverified",IF(COUNTIFS('Legacy schemes (v3)'!$B$7:$B$158,B66,'Legacy schemes (v3)'!$C$7:$C$158,"Faculty/school")&gt;0,"Faculty/school; broader reach unverified",IF(K66&gt;0,"Programme/course; broader reach unverified","Scheme documented; reach unconfirmed"))))</f>
        <v/>
      </c>
      <c r="N66" s="32" t="inlineStr">
        <is>
          <t>UK26</t>
        </is>
      </c>
      <c r="O66" s="77" t="inlineStr">
        <is>
          <t>QS rank sourced from institution profile page (not ranking table); not re-verified in this review.</t>
        </is>
      </c>
    </row>
    <row r="67" ht="53" customHeight="1">
      <c r="A67" s="10" t="inlineStr">
        <is>
          <t>UK</t>
        </is>
      </c>
      <c r="B67" s="11" t="inlineStr">
        <is>
          <t>Coventry</t>
        </is>
      </c>
      <c r="C67" s="10" t="inlineStr">
        <is>
          <t>Additional UK sample</t>
        </is>
      </c>
      <c r="D67" s="80" t="n">
        <v>2027</v>
      </c>
      <c r="E67" s="80" t="n">
        <v>581</v>
      </c>
      <c r="F67" s="10" t="inlineStr">
        <is>
          <t>Yes</t>
        </is>
      </c>
      <c r="G67" s="10" t="inlineStr">
        <is>
          <t>https://www.topuniversities.com/universities/coventry-university</t>
        </is>
      </c>
      <c r="H67" s="10" t="inlineStr">
        <is>
          <t>10001726</t>
        </is>
      </c>
      <c r="I67" s="80">
        <f>COUNTIF('Legacy schemes (v3)'!$B$7:$B$158,B67)</f>
        <v/>
      </c>
      <c r="J67" s="80">
        <f>COUNTIFS('Legacy schemes (v3)'!$B$7:$B$158,B67,'Legacy schemes (v3)'!$C$7:$C$158,"University-wide")</f>
        <v/>
      </c>
      <c r="K67" s="80">
        <f>COUNTIFS('Legacy schemes (v3)'!$B$7:$B$158,B67,'Legacy schemes (v3)'!$C$7:$C$158,"Cross-faculty")+COUNTIFS('Legacy schemes (v3)'!$B$7:$B$158,B67,'Legacy schemes (v3)'!$C$7:$C$158,"Faculty/school")+COUNTIFS('Legacy schemes (v3)'!$B$7:$B$158,B67,'Legacy schemes (v3)'!$C$7:$C$158,"Programme/course")</f>
        <v/>
      </c>
      <c r="L67" s="80">
        <f>COUNTIFS('Legacy schemes (v3)'!$B$7:$B$158,B67,'Legacy schemes (v3)'!$C$7:$C$158,"Not confirmed")</f>
        <v/>
      </c>
      <c r="M67" s="10">
        <f>IF(J67&gt;0,"University-wide scheme/framework documented",IF(COUNTIFS('Legacy schemes (v3)'!$B$7:$B$158,B67,'Legacy schemes (v3)'!$C$7:$C$158,"Cross-faculty")&gt;0,"Cross-faculty; broader reach unverified",IF(COUNTIFS('Legacy schemes (v3)'!$B$7:$B$158,B67,'Legacy schemes (v3)'!$C$7:$C$158,"Faculty/school")&gt;0,"Faculty/school; broader reach unverified",IF(K67&gt;0,"Programme/course; broader reach unverified","Scheme documented; reach unconfirmed"))))</f>
        <v/>
      </c>
      <c r="N67" s="32" t="inlineStr">
        <is>
          <t>UK27</t>
        </is>
      </c>
      <c r="O67" s="77" t="inlineStr">
        <is>
          <t>QS rank sourced from institution profile page (not ranking table); not re-verified in this review.</t>
        </is>
      </c>
    </row>
    <row r="68" ht="53" customHeight="1">
      <c r="A68" s="10" t="inlineStr">
        <is>
          <t>UK</t>
        </is>
      </c>
      <c r="B68" s="11" t="inlineStr">
        <is>
          <t>Nottingham Trent</t>
        </is>
      </c>
      <c r="C68" s="10" t="inlineStr">
        <is>
          <t>Additional UK sample</t>
        </is>
      </c>
      <c r="D68" s="80" t="n">
        <v>2027</v>
      </c>
      <c r="E68" s="80" t="n">
        <v>639</v>
      </c>
      <c r="F68" s="10" t="inlineStr">
        <is>
          <t>Yes</t>
        </is>
      </c>
      <c r="G68" s="10" t="inlineStr">
        <is>
          <t>https://www.topuniversities.com/universities/nottingham-trent-university</t>
        </is>
      </c>
      <c r="H68" s="10" t="inlineStr">
        <is>
          <t>10004797</t>
        </is>
      </c>
      <c r="I68" s="80">
        <f>COUNTIF('Legacy schemes (v3)'!$B$7:$B$158,B68)</f>
        <v/>
      </c>
      <c r="J68" s="80">
        <f>COUNTIFS('Legacy schemes (v3)'!$B$7:$B$158,B68,'Legacy schemes (v3)'!$C$7:$C$158,"University-wide")</f>
        <v/>
      </c>
      <c r="K68" s="80">
        <f>COUNTIFS('Legacy schemes (v3)'!$B$7:$B$158,B68,'Legacy schemes (v3)'!$C$7:$C$158,"Cross-faculty")+COUNTIFS('Legacy schemes (v3)'!$B$7:$B$158,B68,'Legacy schemes (v3)'!$C$7:$C$158,"Faculty/school")+COUNTIFS('Legacy schemes (v3)'!$B$7:$B$158,B68,'Legacy schemes (v3)'!$C$7:$C$158,"Programme/course")</f>
        <v/>
      </c>
      <c r="L68" s="80">
        <f>COUNTIFS('Legacy schemes (v3)'!$B$7:$B$158,B68,'Legacy schemes (v3)'!$C$7:$C$158,"Not confirmed")</f>
        <v/>
      </c>
      <c r="M68" s="10">
        <f>IF(J68&gt;0,"University-wide scheme/framework documented",IF(COUNTIFS('Legacy schemes (v3)'!$B$7:$B$158,B68,'Legacy schemes (v3)'!$C$7:$C$158,"Cross-faculty")&gt;0,"Cross-faculty; broader reach unverified",IF(COUNTIFS('Legacy schemes (v3)'!$B$7:$B$158,B68,'Legacy schemes (v3)'!$C$7:$C$158,"Faculty/school")&gt;0,"Faculty/school; broader reach unverified",IF(K68&gt;0,"Programme/course; broader reach unverified","Scheme documented; reach unconfirmed"))))</f>
        <v/>
      </c>
      <c r="N68" s="32" t="inlineStr">
        <is>
          <t>UK28</t>
        </is>
      </c>
      <c r="O68" s="77" t="inlineStr">
        <is>
          <t>QS rank sourced from institution profile page (not ranking table); not re-verified in this review.</t>
        </is>
      </c>
    </row>
    <row r="69" ht="53" customHeight="1">
      <c r="A69" s="10" t="inlineStr">
        <is>
          <t>UK</t>
        </is>
      </c>
      <c r="B69" s="11" t="inlineStr">
        <is>
          <t>Manchester Metropolitan</t>
        </is>
      </c>
      <c r="C69" s="10" t="inlineStr">
        <is>
          <t>Additional UK sample</t>
        </is>
      </c>
      <c r="D69" s="80" t="n">
        <v>2027</v>
      </c>
      <c r="E69" s="80" t="n">
        <v>600</v>
      </c>
      <c r="F69" s="10" t="inlineStr">
        <is>
          <t>Yes</t>
        </is>
      </c>
      <c r="G69" s="10" t="inlineStr">
        <is>
          <t>https://www.topuniversities.com/universities/manchester-metropolitan-university</t>
        </is>
      </c>
      <c r="H69" s="10" t="inlineStr">
        <is>
          <t>10004180</t>
        </is>
      </c>
      <c r="I69" s="80">
        <f>COUNTIF('Legacy schemes (v3)'!$B$7:$B$158,B69)</f>
        <v/>
      </c>
      <c r="J69" s="80">
        <f>COUNTIFS('Legacy schemes (v3)'!$B$7:$B$158,B69,'Legacy schemes (v3)'!$C$7:$C$158,"University-wide")</f>
        <v/>
      </c>
      <c r="K69" s="80">
        <f>COUNTIFS('Legacy schemes (v3)'!$B$7:$B$158,B69,'Legacy schemes (v3)'!$C$7:$C$158,"Cross-faculty")+COUNTIFS('Legacy schemes (v3)'!$B$7:$B$158,B69,'Legacy schemes (v3)'!$C$7:$C$158,"Faculty/school")+COUNTIFS('Legacy schemes (v3)'!$B$7:$B$158,B69,'Legacy schemes (v3)'!$C$7:$C$158,"Programme/course")</f>
        <v/>
      </c>
      <c r="L69" s="80">
        <f>COUNTIFS('Legacy schemes (v3)'!$B$7:$B$158,B69,'Legacy schemes (v3)'!$C$7:$C$158,"Not confirmed")</f>
        <v/>
      </c>
      <c r="M69" s="10">
        <f>IF(J69&gt;0,"University-wide scheme/framework documented",IF(COUNTIFS('Legacy schemes (v3)'!$B$7:$B$158,B69,'Legacy schemes (v3)'!$C$7:$C$158,"Cross-faculty")&gt;0,"Cross-faculty; broader reach unverified",IF(COUNTIFS('Legacy schemes (v3)'!$B$7:$B$158,B69,'Legacy schemes (v3)'!$C$7:$C$158,"Faculty/school")&gt;0,"Faculty/school; broader reach unverified",IF(K69&gt;0,"Programme/course; broader reach unverified","Scheme documented; reach unconfirmed"))))</f>
        <v/>
      </c>
      <c r="N69" s="32" t="inlineStr">
        <is>
          <t>UK29</t>
        </is>
      </c>
      <c r="O69" s="77" t="inlineStr">
        <is>
          <t>QS rank sourced from institution profile page (not ranking table); not re-verified in this review.</t>
        </is>
      </c>
    </row>
    <row r="70" ht="53" customHeight="1">
      <c r="A70" s="10" t="inlineStr">
        <is>
          <t>UK</t>
        </is>
      </c>
      <c r="B70" s="11" t="inlineStr">
        <is>
          <t>Plymouth</t>
        </is>
      </c>
      <c r="C70" s="10" t="inlineStr">
        <is>
          <t>Additional UK sample</t>
        </is>
      </c>
      <c r="D70" s="80" t="n">
        <v>2027</v>
      </c>
      <c r="E70" s="80" t="n">
        <v>691</v>
      </c>
      <c r="F70" s="10" t="inlineStr">
        <is>
          <t>Yes</t>
        </is>
      </c>
      <c r="G70" s="10" t="inlineStr">
        <is>
          <t>https://www.topuniversities.com/universities/university-plymouth</t>
        </is>
      </c>
      <c r="H70" s="10" t="inlineStr">
        <is>
          <t>10007801</t>
        </is>
      </c>
      <c r="I70" s="80">
        <f>COUNTIF('Legacy schemes (v3)'!$B$7:$B$158,B70)</f>
        <v/>
      </c>
      <c r="J70" s="80">
        <f>COUNTIFS('Legacy schemes (v3)'!$B$7:$B$158,B70,'Legacy schemes (v3)'!$C$7:$C$158,"University-wide")</f>
        <v/>
      </c>
      <c r="K70" s="80">
        <f>COUNTIFS('Legacy schemes (v3)'!$B$7:$B$158,B70,'Legacy schemes (v3)'!$C$7:$C$158,"Cross-faculty")+COUNTIFS('Legacy schemes (v3)'!$B$7:$B$158,B70,'Legacy schemes (v3)'!$C$7:$C$158,"Faculty/school")+COUNTIFS('Legacy schemes (v3)'!$B$7:$B$158,B70,'Legacy schemes (v3)'!$C$7:$C$158,"Programme/course")</f>
        <v/>
      </c>
      <c r="L70" s="80">
        <f>COUNTIFS('Legacy schemes (v3)'!$B$7:$B$158,B70,'Legacy schemes (v3)'!$C$7:$C$158,"Not confirmed")</f>
        <v/>
      </c>
      <c r="M70" s="10">
        <f>IF(J70&gt;0,"University-wide scheme/framework documented",IF(COUNTIFS('Legacy schemes (v3)'!$B$7:$B$158,B70,'Legacy schemes (v3)'!$C$7:$C$158,"Cross-faculty")&gt;0,"Cross-faculty; broader reach unverified",IF(COUNTIFS('Legacy schemes (v3)'!$B$7:$B$158,B70,'Legacy schemes (v3)'!$C$7:$C$158,"Faculty/school")&gt;0,"Faculty/school; broader reach unverified",IF(K70&gt;0,"Programme/course; broader reach unverified","Scheme documented; reach unconfirmed"))))</f>
        <v/>
      </c>
      <c r="N70" s="32" t="inlineStr">
        <is>
          <t>UK30</t>
        </is>
      </c>
      <c r="O70" s="77" t="inlineStr">
        <is>
          <t>QS rank sourced from institution profile page (not ranking table); not re-verified in this review.</t>
        </is>
      </c>
    </row>
    <row r="71" ht="53" customHeight="1">
      <c r="A71" s="10" t="inlineStr">
        <is>
          <t>US</t>
        </is>
      </c>
      <c r="B71" s="11" t="inlineStr">
        <is>
          <t>Massachusetts Institute of Technology</t>
        </is>
      </c>
      <c r="C71" s="10" t="inlineStr">
        <is>
          <t>US sample</t>
        </is>
      </c>
      <c r="D71" s="80" t="n">
        <v>2027</v>
      </c>
      <c r="E71" s="80" t="n">
        <v>1</v>
      </c>
      <c r="F71" s="10" t="inlineStr">
        <is>
          <t>No</t>
        </is>
      </c>
      <c r="G71" s="10" t="inlineStr">
        <is>
          <t>https://www.topuniversities.com/qs-top-uni-wur</t>
        </is>
      </c>
      <c r="H71" s="10" t="inlineStr">
        <is>
          <t>n.a.</t>
        </is>
      </c>
      <c r="I71" s="80">
        <f>COUNTIF('Legacy schemes (v3)'!$B$7:$B$158,B71)</f>
        <v/>
      </c>
      <c r="J71" s="80">
        <f>COUNTIFS('Legacy schemes (v3)'!$B$7:$B$158,B71,'Legacy schemes (v3)'!$C$7:$C$158,"University-wide")</f>
        <v/>
      </c>
      <c r="K71" s="80">
        <f>COUNTIFS('Legacy schemes (v3)'!$B$7:$B$158,B71,'Legacy schemes (v3)'!$C$7:$C$158,"Cross-faculty")+COUNTIFS('Legacy schemes (v3)'!$B$7:$B$158,B71,'Legacy schemes (v3)'!$C$7:$C$158,"Faculty/school")+COUNTIFS('Legacy schemes (v3)'!$B$7:$B$158,B71,'Legacy schemes (v3)'!$C$7:$C$158,"Programme/course")</f>
        <v/>
      </c>
      <c r="L71" s="80">
        <f>COUNTIFS('Legacy schemes (v3)'!$B$7:$B$158,B71,'Legacy schemes (v3)'!$C$7:$C$158,"Not confirmed")</f>
        <v/>
      </c>
      <c r="M71" s="10">
        <f>IF(J71&gt;0,"University-wide scheme/framework documented",IF(COUNTIFS('Legacy schemes (v3)'!$B$7:$B$158,B71,'Legacy schemes (v3)'!$C$7:$C$158,"Cross-faculty")&gt;0,"Cross-faculty; broader reach unverified",IF(COUNTIFS('Legacy schemes (v3)'!$B$7:$B$158,B71,'Legacy schemes (v3)'!$C$7:$C$158,"Faculty/school")&gt;0,"Faculty/school; broader reach unverified",IF(K71&gt;0,"Programme/course; broader reach unverified","Scheme documented; reach unconfirmed"))))</f>
        <v/>
      </c>
      <c r="N71" s="32" t="inlineStr">
        <is>
          <t>US01</t>
        </is>
      </c>
      <c r="O71" s="77" t="inlineStr"/>
    </row>
    <row r="72" ht="53" customHeight="1">
      <c r="A72" s="10" t="inlineStr">
        <is>
          <t>US</t>
        </is>
      </c>
      <c r="B72" s="11" t="inlineStr">
        <is>
          <t>Harvard</t>
        </is>
      </c>
      <c r="C72" s="10" t="inlineStr">
        <is>
          <t>US sample</t>
        </is>
      </c>
      <c r="D72" s="80" t="n">
        <v>2027</v>
      </c>
      <c r="E72" s="80" t="n">
        <v>5</v>
      </c>
      <c r="F72" s="10" t="inlineStr">
        <is>
          <t>No</t>
        </is>
      </c>
      <c r="G72" s="10" t="inlineStr">
        <is>
          <t>https://www.topuniversities.com/qs-top-uni-wur</t>
        </is>
      </c>
      <c r="H72" s="10" t="inlineStr">
        <is>
          <t>n.a.</t>
        </is>
      </c>
      <c r="I72" s="80">
        <f>COUNTIF('Legacy schemes (v3)'!$B$7:$B$158,B72)</f>
        <v/>
      </c>
      <c r="J72" s="80">
        <f>COUNTIFS('Legacy schemes (v3)'!$B$7:$B$158,B72,'Legacy schemes (v3)'!$C$7:$C$158,"University-wide")</f>
        <v/>
      </c>
      <c r="K72" s="80">
        <f>COUNTIFS('Legacy schemes (v3)'!$B$7:$B$158,B72,'Legacy schemes (v3)'!$C$7:$C$158,"Cross-faculty")+COUNTIFS('Legacy schemes (v3)'!$B$7:$B$158,B72,'Legacy schemes (v3)'!$C$7:$C$158,"Faculty/school")+COUNTIFS('Legacy schemes (v3)'!$B$7:$B$158,B72,'Legacy schemes (v3)'!$C$7:$C$158,"Programme/course")</f>
        <v/>
      </c>
      <c r="L72" s="80">
        <f>COUNTIFS('Legacy schemes (v3)'!$B$7:$B$158,B72,'Legacy schemes (v3)'!$C$7:$C$158,"Not confirmed")</f>
        <v/>
      </c>
      <c r="M72" s="10">
        <f>IF(J72&gt;0,"University-wide scheme/framework documented",IF(COUNTIFS('Legacy schemes (v3)'!$B$7:$B$158,B72,'Legacy schemes (v3)'!$C$7:$C$158,"Cross-faculty")&gt;0,"Cross-faculty; broader reach unverified",IF(COUNTIFS('Legacy schemes (v3)'!$B$7:$B$158,B72,'Legacy schemes (v3)'!$C$7:$C$158,"Faculty/school")&gt;0,"Faculty/school; broader reach unverified",IF(K72&gt;0,"Programme/course; broader reach unverified","Scheme documented; reach unconfirmed"))))</f>
        <v/>
      </c>
      <c r="N72" s="32" t="inlineStr">
        <is>
          <t>US02</t>
        </is>
      </c>
      <c r="O72" s="77" t="inlineStr"/>
    </row>
    <row r="73" ht="53" customHeight="1">
      <c r="A73" s="10" t="inlineStr">
        <is>
          <t>US</t>
        </is>
      </c>
      <c r="B73" s="11" t="inlineStr">
        <is>
          <t>Stanford</t>
        </is>
      </c>
      <c r="C73" s="10" t="inlineStr">
        <is>
          <t>US sample</t>
        </is>
      </c>
      <c r="D73" s="80" t="n">
        <v>2027</v>
      </c>
      <c r="E73" s="80" t="n">
        <v>2</v>
      </c>
      <c r="F73" s="10" t="inlineStr">
        <is>
          <t>Yes</t>
        </is>
      </c>
      <c r="G73" s="10" t="inlineStr">
        <is>
          <t>https://www.topuniversities.com/qs-top-uni-wur</t>
        </is>
      </c>
      <c r="H73" s="10" t="inlineStr">
        <is>
          <t>n.a.</t>
        </is>
      </c>
      <c r="I73" s="80">
        <f>COUNTIF('Legacy schemes (v3)'!$B$7:$B$158,B73)</f>
        <v/>
      </c>
      <c r="J73" s="80">
        <f>COUNTIFS('Legacy schemes (v3)'!$B$7:$B$158,B73,'Legacy schemes (v3)'!$C$7:$C$158,"University-wide")</f>
        <v/>
      </c>
      <c r="K73" s="80">
        <f>COUNTIFS('Legacy schemes (v3)'!$B$7:$B$158,B73,'Legacy schemes (v3)'!$C$7:$C$158,"Cross-faculty")+COUNTIFS('Legacy schemes (v3)'!$B$7:$B$158,B73,'Legacy schemes (v3)'!$C$7:$C$158,"Faculty/school")+COUNTIFS('Legacy schemes (v3)'!$B$7:$B$158,B73,'Legacy schemes (v3)'!$C$7:$C$158,"Programme/course")</f>
        <v/>
      </c>
      <c r="L73" s="80">
        <f>COUNTIFS('Legacy schemes (v3)'!$B$7:$B$158,B73,'Legacy schemes (v3)'!$C$7:$C$158,"Not confirmed")</f>
        <v/>
      </c>
      <c r="M73" s="10">
        <f>IF(J73&gt;0,"University-wide scheme/framework documented",IF(COUNTIFS('Legacy schemes (v3)'!$B$7:$B$158,B73,'Legacy schemes (v3)'!$C$7:$C$158,"Cross-faculty")&gt;0,"Cross-faculty; broader reach unverified",IF(COUNTIFS('Legacy schemes (v3)'!$B$7:$B$158,B73,'Legacy schemes (v3)'!$C$7:$C$158,"Faculty/school")&gt;0,"Faculty/school; broader reach unverified",IF(K73&gt;0,"Programme/course; broader reach unverified","Scheme documented; reach unconfirmed"))))</f>
        <v/>
      </c>
      <c r="N73" s="32" t="inlineStr">
        <is>
          <t>US03</t>
        </is>
      </c>
      <c r="O73" s="77" t="inlineStr"/>
    </row>
    <row r="74" ht="53" customHeight="1">
      <c r="A74" s="10" t="inlineStr">
        <is>
          <t>US</t>
        </is>
      </c>
      <c r="B74" s="11" t="inlineStr">
        <is>
          <t>California Institute of Technology</t>
        </is>
      </c>
      <c r="C74" s="10" t="inlineStr">
        <is>
          <t>US sample</t>
        </is>
      </c>
      <c r="D74" s="80" t="n">
        <v>2027</v>
      </c>
      <c r="E74" s="80" t="n">
        <v>7</v>
      </c>
      <c r="F74" s="10" t="inlineStr">
        <is>
          <t>No</t>
        </is>
      </c>
      <c r="G74" s="10" t="inlineStr">
        <is>
          <t>https://www.topuniversities.com/qs-top-uni-wur</t>
        </is>
      </c>
      <c r="H74" s="10" t="inlineStr">
        <is>
          <t>n.a.</t>
        </is>
      </c>
      <c r="I74" s="80">
        <f>COUNTIF('Legacy schemes (v3)'!$B$7:$B$158,B74)</f>
        <v/>
      </c>
      <c r="J74" s="80">
        <f>COUNTIFS('Legacy schemes (v3)'!$B$7:$B$158,B74,'Legacy schemes (v3)'!$C$7:$C$158,"University-wide")</f>
        <v/>
      </c>
      <c r="K74" s="80">
        <f>COUNTIFS('Legacy schemes (v3)'!$B$7:$B$158,B74,'Legacy schemes (v3)'!$C$7:$C$158,"Cross-faculty")+COUNTIFS('Legacy schemes (v3)'!$B$7:$B$158,B74,'Legacy schemes (v3)'!$C$7:$C$158,"Faculty/school")+COUNTIFS('Legacy schemes (v3)'!$B$7:$B$158,B74,'Legacy schemes (v3)'!$C$7:$C$158,"Programme/course")</f>
        <v/>
      </c>
      <c r="L74" s="80">
        <f>COUNTIFS('Legacy schemes (v3)'!$B$7:$B$158,B74,'Legacy schemes (v3)'!$C$7:$C$158,"Not confirmed")</f>
        <v/>
      </c>
      <c r="M74" s="10">
        <f>IF(J74&gt;0,"University-wide scheme/framework documented",IF(COUNTIFS('Legacy schemes (v3)'!$B$7:$B$158,B74,'Legacy schemes (v3)'!$C$7:$C$158,"Cross-faculty")&gt;0,"Cross-faculty; broader reach unverified",IF(COUNTIFS('Legacy schemes (v3)'!$B$7:$B$158,B74,'Legacy schemes (v3)'!$C$7:$C$158,"Faculty/school")&gt;0,"Faculty/school; broader reach unverified",IF(K74&gt;0,"Programme/course; broader reach unverified","Scheme documented; reach unconfirmed"))))</f>
        <v/>
      </c>
      <c r="N74" s="32" t="inlineStr">
        <is>
          <t>US04</t>
        </is>
      </c>
      <c r="O74" s="77" t="inlineStr"/>
    </row>
    <row r="75" ht="53" customHeight="1">
      <c r="A75" s="10" t="inlineStr">
        <is>
          <t>US</t>
        </is>
      </c>
      <c r="B75" s="11" t="inlineStr">
        <is>
          <t>California Berkeley</t>
        </is>
      </c>
      <c r="C75" s="10" t="inlineStr">
        <is>
          <t>US sample</t>
        </is>
      </c>
      <c r="D75" s="80" t="n">
        <v>2027</v>
      </c>
      <c r="E75" s="80" t="n">
        <v>20</v>
      </c>
      <c r="F75" s="10" t="inlineStr">
        <is>
          <t>Yes</t>
        </is>
      </c>
      <c r="G75" s="10" t="inlineStr">
        <is>
          <t>https://www.topuniversities.com/qs-top-uni-wur</t>
        </is>
      </c>
      <c r="H75" s="10" t="inlineStr">
        <is>
          <t>n.a.</t>
        </is>
      </c>
      <c r="I75" s="80">
        <f>COUNTIF('Legacy schemes (v3)'!$B$7:$B$158,B75)</f>
        <v/>
      </c>
      <c r="J75" s="80">
        <f>COUNTIFS('Legacy schemes (v3)'!$B$7:$B$158,B75,'Legacy schemes (v3)'!$C$7:$C$158,"University-wide")</f>
        <v/>
      </c>
      <c r="K75" s="80">
        <f>COUNTIFS('Legacy schemes (v3)'!$B$7:$B$158,B75,'Legacy schemes (v3)'!$C$7:$C$158,"Cross-faculty")+COUNTIFS('Legacy schemes (v3)'!$B$7:$B$158,B75,'Legacy schemes (v3)'!$C$7:$C$158,"Faculty/school")+COUNTIFS('Legacy schemes (v3)'!$B$7:$B$158,B75,'Legacy schemes (v3)'!$C$7:$C$158,"Programme/course")</f>
        <v/>
      </c>
      <c r="L75" s="80">
        <f>COUNTIFS('Legacy schemes (v3)'!$B$7:$B$158,B75,'Legacy schemes (v3)'!$C$7:$C$158,"Not confirmed")</f>
        <v/>
      </c>
      <c r="M75" s="10">
        <f>IF(J75&gt;0,"University-wide scheme/framework documented",IF(COUNTIFS('Legacy schemes (v3)'!$B$7:$B$158,B75,'Legacy schemes (v3)'!$C$7:$C$158,"Cross-faculty")&gt;0,"Cross-faculty; broader reach unverified",IF(COUNTIFS('Legacy schemes (v3)'!$B$7:$B$158,B75,'Legacy schemes (v3)'!$C$7:$C$158,"Faculty/school")&gt;0,"Faculty/school; broader reach unverified",IF(K75&gt;0,"Programme/course; broader reach unverified","Scheme documented; reach unconfirmed"))))</f>
        <v/>
      </c>
      <c r="N75" s="32" t="inlineStr">
        <is>
          <t>US05</t>
        </is>
      </c>
      <c r="O75" s="77" t="inlineStr"/>
    </row>
    <row r="76" ht="53" customHeight="1">
      <c r="A76" s="10" t="inlineStr">
        <is>
          <t>US</t>
        </is>
      </c>
      <c r="B76" s="11" t="inlineStr">
        <is>
          <t>Chicago</t>
        </is>
      </c>
      <c r="C76" s="10" t="inlineStr">
        <is>
          <t>US sample</t>
        </is>
      </c>
      <c r="D76" s="80" t="n">
        <v>2027</v>
      </c>
      <c r="E76" s="80" t="n">
        <v>24</v>
      </c>
      <c r="F76" s="10" t="inlineStr">
        <is>
          <t>No</t>
        </is>
      </c>
      <c r="G76" s="10" t="inlineStr">
        <is>
          <t>https://www.topuniversities.com/qs-top-uni-wur</t>
        </is>
      </c>
      <c r="H76" s="10" t="inlineStr">
        <is>
          <t>n.a.</t>
        </is>
      </c>
      <c r="I76" s="80">
        <f>COUNTIF('Legacy schemes (v3)'!$B$7:$B$158,B76)</f>
        <v/>
      </c>
      <c r="J76" s="80">
        <f>COUNTIFS('Legacy schemes (v3)'!$B$7:$B$158,B76,'Legacy schemes (v3)'!$C$7:$C$158,"University-wide")</f>
        <v/>
      </c>
      <c r="K76" s="80">
        <f>COUNTIFS('Legacy schemes (v3)'!$B$7:$B$158,B76,'Legacy schemes (v3)'!$C$7:$C$158,"Cross-faculty")+COUNTIFS('Legacy schemes (v3)'!$B$7:$B$158,B76,'Legacy schemes (v3)'!$C$7:$C$158,"Faculty/school")+COUNTIFS('Legacy schemes (v3)'!$B$7:$B$158,B76,'Legacy schemes (v3)'!$C$7:$C$158,"Programme/course")</f>
        <v/>
      </c>
      <c r="L76" s="80">
        <f>COUNTIFS('Legacy schemes (v3)'!$B$7:$B$158,B76,'Legacy schemes (v3)'!$C$7:$C$158,"Not confirmed")</f>
        <v/>
      </c>
      <c r="M76" s="10">
        <f>IF(J76&gt;0,"University-wide scheme/framework documented",IF(COUNTIFS('Legacy schemes (v3)'!$B$7:$B$158,B76,'Legacy schemes (v3)'!$C$7:$C$158,"Cross-faculty")&gt;0,"Cross-faculty; broader reach unverified",IF(COUNTIFS('Legacy schemes (v3)'!$B$7:$B$158,B76,'Legacy schemes (v3)'!$C$7:$C$158,"Faculty/school")&gt;0,"Faculty/school; broader reach unverified",IF(K76&gt;0,"Programme/course; broader reach unverified","Scheme documented; reach unconfirmed"))))</f>
        <v/>
      </c>
      <c r="N76" s="32" t="inlineStr">
        <is>
          <t>US06</t>
        </is>
      </c>
      <c r="O76" s="77" t="inlineStr"/>
    </row>
    <row r="77" ht="53" customHeight="1">
      <c r="A77" s="10" t="inlineStr">
        <is>
          <t>US</t>
        </is>
      </c>
      <c r="B77" s="11" t="inlineStr">
        <is>
          <t>Pennsylvania</t>
        </is>
      </c>
      <c r="C77" s="10" t="inlineStr">
        <is>
          <t>US sample</t>
        </is>
      </c>
      <c r="D77" s="80" t="n">
        <v>2027</v>
      </c>
      <c r="E77" s="80" t="n">
        <v>15</v>
      </c>
      <c r="F77" s="10" t="inlineStr">
        <is>
          <t>No</t>
        </is>
      </c>
      <c r="G77" s="10" t="inlineStr">
        <is>
          <t>https://www.topuniversities.com/qs-top-uni-wur</t>
        </is>
      </c>
      <c r="H77" s="10" t="inlineStr">
        <is>
          <t>n.a.</t>
        </is>
      </c>
      <c r="I77" s="80">
        <f>COUNTIF('Legacy schemes (v3)'!$B$7:$B$158,B77)</f>
        <v/>
      </c>
      <c r="J77" s="80">
        <f>COUNTIFS('Legacy schemes (v3)'!$B$7:$B$158,B77,'Legacy schemes (v3)'!$C$7:$C$158,"University-wide")</f>
        <v/>
      </c>
      <c r="K77" s="80">
        <f>COUNTIFS('Legacy schemes (v3)'!$B$7:$B$158,B77,'Legacy schemes (v3)'!$C$7:$C$158,"Cross-faculty")+COUNTIFS('Legacy schemes (v3)'!$B$7:$B$158,B77,'Legacy schemes (v3)'!$C$7:$C$158,"Faculty/school")+COUNTIFS('Legacy schemes (v3)'!$B$7:$B$158,B77,'Legacy schemes (v3)'!$C$7:$C$158,"Programme/course")</f>
        <v/>
      </c>
      <c r="L77" s="80">
        <f>COUNTIFS('Legacy schemes (v3)'!$B$7:$B$158,B77,'Legacy schemes (v3)'!$C$7:$C$158,"Not confirmed")</f>
        <v/>
      </c>
      <c r="M77" s="10">
        <f>IF(J77&gt;0,"University-wide scheme/framework documented",IF(COUNTIFS('Legacy schemes (v3)'!$B$7:$B$158,B77,'Legacy schemes (v3)'!$C$7:$C$158,"Cross-faculty")&gt;0,"Cross-faculty; broader reach unverified",IF(COUNTIFS('Legacy schemes (v3)'!$B$7:$B$158,B77,'Legacy schemes (v3)'!$C$7:$C$158,"Faculty/school")&gt;0,"Faculty/school; broader reach unverified",IF(K77&gt;0,"Programme/course; broader reach unverified","Scheme documented; reach unconfirmed"))))</f>
        <v/>
      </c>
      <c r="N77" s="32" t="inlineStr">
        <is>
          <t>US07</t>
        </is>
      </c>
      <c r="O77" s="77" t="inlineStr"/>
    </row>
    <row r="78" ht="53" customHeight="1">
      <c r="A78" s="10" t="inlineStr">
        <is>
          <t>US</t>
        </is>
      </c>
      <c r="B78" s="11" t="inlineStr">
        <is>
          <t>Cornell</t>
        </is>
      </c>
      <c r="C78" s="10" t="inlineStr">
        <is>
          <t>US sample</t>
        </is>
      </c>
      <c r="D78" s="80" t="n">
        <v>2027</v>
      </c>
      <c r="E78" s="80" t="n">
        <v>16</v>
      </c>
      <c r="F78" s="10" t="inlineStr">
        <is>
          <t>Yes</t>
        </is>
      </c>
      <c r="G78" s="10" t="inlineStr">
        <is>
          <t>https://www.topuniversities.com/qs-top-uni-wur</t>
        </is>
      </c>
      <c r="H78" s="10" t="inlineStr">
        <is>
          <t>n.a.</t>
        </is>
      </c>
      <c r="I78" s="80">
        <f>COUNTIF('Legacy schemes (v3)'!$B$7:$B$158,B78)</f>
        <v/>
      </c>
      <c r="J78" s="80">
        <f>COUNTIFS('Legacy schemes (v3)'!$B$7:$B$158,B78,'Legacy schemes (v3)'!$C$7:$C$158,"University-wide")</f>
        <v/>
      </c>
      <c r="K78" s="80">
        <f>COUNTIFS('Legacy schemes (v3)'!$B$7:$B$158,B78,'Legacy schemes (v3)'!$C$7:$C$158,"Cross-faculty")+COUNTIFS('Legacy schemes (v3)'!$B$7:$B$158,B78,'Legacy schemes (v3)'!$C$7:$C$158,"Faculty/school")+COUNTIFS('Legacy schemes (v3)'!$B$7:$B$158,B78,'Legacy schemes (v3)'!$C$7:$C$158,"Programme/course")</f>
        <v/>
      </c>
      <c r="L78" s="80">
        <f>COUNTIFS('Legacy schemes (v3)'!$B$7:$B$158,B78,'Legacy schemes (v3)'!$C$7:$C$158,"Not confirmed")</f>
        <v/>
      </c>
      <c r="M78" s="10">
        <f>IF(J78&gt;0,"University-wide scheme/framework documented",IF(COUNTIFS('Legacy schemes (v3)'!$B$7:$B$158,B78,'Legacy schemes (v3)'!$C$7:$C$158,"Cross-faculty")&gt;0,"Cross-faculty; broader reach unverified",IF(COUNTIFS('Legacy schemes (v3)'!$B$7:$B$158,B78,'Legacy schemes (v3)'!$C$7:$C$158,"Faculty/school")&gt;0,"Faculty/school; broader reach unverified",IF(K78&gt;0,"Programme/course; broader reach unverified","Scheme documented; reach unconfirmed"))))</f>
        <v/>
      </c>
      <c r="N78" s="32" t="inlineStr">
        <is>
          <t>US08</t>
        </is>
      </c>
      <c r="O78" s="77" t="inlineStr"/>
    </row>
    <row r="79" ht="53" customHeight="1">
      <c r="A79" s="10" t="inlineStr">
        <is>
          <t>US</t>
        </is>
      </c>
      <c r="B79" s="11" t="inlineStr">
        <is>
          <t>Yale</t>
        </is>
      </c>
      <c r="C79" s="10" t="inlineStr">
        <is>
          <t>US sample</t>
        </is>
      </c>
      <c r="D79" s="80" t="n">
        <v>2027</v>
      </c>
      <c r="E79" s="80" t="n">
        <v>16</v>
      </c>
      <c r="F79" s="10" t="inlineStr">
        <is>
          <t>Yes</t>
        </is>
      </c>
      <c r="G79" s="10" t="inlineStr">
        <is>
          <t>https://www.topuniversities.com/qs-top-uni-wur</t>
        </is>
      </c>
      <c r="H79" s="10" t="inlineStr">
        <is>
          <t>n.a.</t>
        </is>
      </c>
      <c r="I79" s="80">
        <f>COUNTIF('Legacy schemes (v3)'!$B$7:$B$158,B79)</f>
        <v/>
      </c>
      <c r="J79" s="80">
        <f>COUNTIFS('Legacy schemes (v3)'!$B$7:$B$158,B79,'Legacy schemes (v3)'!$C$7:$C$158,"University-wide")</f>
        <v/>
      </c>
      <c r="K79" s="80">
        <f>COUNTIFS('Legacy schemes (v3)'!$B$7:$B$158,B79,'Legacy schemes (v3)'!$C$7:$C$158,"Cross-faculty")+COUNTIFS('Legacy schemes (v3)'!$B$7:$B$158,B79,'Legacy schemes (v3)'!$C$7:$C$158,"Faculty/school")+COUNTIFS('Legacy schemes (v3)'!$B$7:$B$158,B79,'Legacy schemes (v3)'!$C$7:$C$158,"Programme/course")</f>
        <v/>
      </c>
      <c r="L79" s="80">
        <f>COUNTIFS('Legacy schemes (v3)'!$B$7:$B$158,B79,'Legacy schemes (v3)'!$C$7:$C$158,"Not confirmed")</f>
        <v/>
      </c>
      <c r="M79" s="10">
        <f>IF(J79&gt;0,"University-wide scheme/framework documented",IF(COUNTIFS('Legacy schemes (v3)'!$B$7:$B$158,B79,'Legacy schemes (v3)'!$C$7:$C$158,"Cross-faculty")&gt;0,"Cross-faculty; broader reach unverified",IF(COUNTIFS('Legacy schemes (v3)'!$B$7:$B$158,B79,'Legacy schemes (v3)'!$C$7:$C$158,"Faculty/school")&gt;0,"Faculty/school; broader reach unverified",IF(K79&gt;0,"Programme/course; broader reach unverified","Scheme documented; reach unconfirmed"))))</f>
        <v/>
      </c>
      <c r="N79" s="32" t="inlineStr">
        <is>
          <t>US09</t>
        </is>
      </c>
      <c r="O79" s="77" t="inlineStr"/>
    </row>
    <row r="80" ht="53" customHeight="1">
      <c r="A80" s="10" t="inlineStr">
        <is>
          <t>US</t>
        </is>
      </c>
      <c r="B80" s="11" t="inlineStr">
        <is>
          <t>Princeton</t>
        </is>
      </c>
      <c r="C80" s="10" t="inlineStr">
        <is>
          <t>US sample</t>
        </is>
      </c>
      <c r="D80" s="80" t="n">
        <v>2027</v>
      </c>
      <c r="E80" s="80" t="n">
        <v>27</v>
      </c>
      <c r="F80" s="10" t="inlineStr">
        <is>
          <t>No</t>
        </is>
      </c>
      <c r="G80" s="10" t="inlineStr">
        <is>
          <t>https://www.topuniversities.com/qs-top-uni-wur</t>
        </is>
      </c>
      <c r="H80" s="10" t="inlineStr">
        <is>
          <t>n.a.</t>
        </is>
      </c>
      <c r="I80" s="80">
        <f>COUNTIF('Legacy schemes (v3)'!$B$7:$B$158,B80)</f>
        <v/>
      </c>
      <c r="J80" s="80">
        <f>COUNTIFS('Legacy schemes (v3)'!$B$7:$B$158,B80,'Legacy schemes (v3)'!$C$7:$C$158,"University-wide")</f>
        <v/>
      </c>
      <c r="K80" s="80">
        <f>COUNTIFS('Legacy schemes (v3)'!$B$7:$B$158,B80,'Legacy schemes (v3)'!$C$7:$C$158,"Cross-faculty")+COUNTIFS('Legacy schemes (v3)'!$B$7:$B$158,B80,'Legacy schemes (v3)'!$C$7:$C$158,"Faculty/school")+COUNTIFS('Legacy schemes (v3)'!$B$7:$B$158,B80,'Legacy schemes (v3)'!$C$7:$C$158,"Programme/course")</f>
        <v/>
      </c>
      <c r="L80" s="80">
        <f>COUNTIFS('Legacy schemes (v3)'!$B$7:$B$158,B80,'Legacy schemes (v3)'!$C$7:$C$158,"Not confirmed")</f>
        <v/>
      </c>
      <c r="M80" s="10">
        <f>IF(J80&gt;0,"University-wide scheme/framework documented",IF(COUNTIFS('Legacy schemes (v3)'!$B$7:$B$158,B80,'Legacy schemes (v3)'!$C$7:$C$158,"Cross-faculty")&gt;0,"Cross-faculty; broader reach unverified",IF(COUNTIFS('Legacy schemes (v3)'!$B$7:$B$158,B80,'Legacy schemes (v3)'!$C$7:$C$158,"Faculty/school")&gt;0,"Faculty/school; broader reach unverified",IF(K80&gt;0,"Programme/course; broader reach unverified","Scheme documented; reach unconfirmed"))))</f>
        <v/>
      </c>
      <c r="N80" s="32" t="inlineStr">
        <is>
          <t>US10</t>
        </is>
      </c>
      <c r="O80" s="77" t="inlineStr"/>
    </row>
    <row r="81" ht="53" customHeight="1">
      <c r="A81" s="10" t="inlineStr">
        <is>
          <t>US</t>
        </is>
      </c>
      <c r="B81" s="11" t="inlineStr">
        <is>
          <t>Columbia</t>
        </is>
      </c>
      <c r="C81" s="10" t="inlineStr">
        <is>
          <t>US sample</t>
        </is>
      </c>
      <c r="D81" s="80" t="n">
        <v>2027</v>
      </c>
      <c r="E81" s="80" t="n">
        <v>43</v>
      </c>
      <c r="F81" s="10" t="inlineStr">
        <is>
          <t>Yes</t>
        </is>
      </c>
      <c r="G81" s="10" t="inlineStr">
        <is>
          <t>https://www.topuniversities.com/qs-top-uni-wur</t>
        </is>
      </c>
      <c r="H81" s="10" t="inlineStr">
        <is>
          <t>n.a.</t>
        </is>
      </c>
      <c r="I81" s="80">
        <f>COUNTIF('Legacy schemes (v3)'!$B$7:$B$158,B81)</f>
        <v/>
      </c>
      <c r="J81" s="80">
        <f>COUNTIFS('Legacy schemes (v3)'!$B$7:$B$158,B81,'Legacy schemes (v3)'!$C$7:$C$158,"University-wide")</f>
        <v/>
      </c>
      <c r="K81" s="80">
        <f>COUNTIFS('Legacy schemes (v3)'!$B$7:$B$158,B81,'Legacy schemes (v3)'!$C$7:$C$158,"Cross-faculty")+COUNTIFS('Legacy schemes (v3)'!$B$7:$B$158,B81,'Legacy schemes (v3)'!$C$7:$C$158,"Faculty/school")+COUNTIFS('Legacy schemes (v3)'!$B$7:$B$158,B81,'Legacy schemes (v3)'!$C$7:$C$158,"Programme/course")</f>
        <v/>
      </c>
      <c r="L81" s="80">
        <f>COUNTIFS('Legacy schemes (v3)'!$B$7:$B$158,B81,'Legacy schemes (v3)'!$C$7:$C$158,"Not confirmed")</f>
        <v/>
      </c>
      <c r="M81" s="10">
        <f>IF(J81&gt;0,"University-wide scheme/framework documented",IF(COUNTIFS('Legacy schemes (v3)'!$B$7:$B$158,B81,'Legacy schemes (v3)'!$C$7:$C$158,"Cross-faculty")&gt;0,"Cross-faculty; broader reach unverified",IF(COUNTIFS('Legacy schemes (v3)'!$B$7:$B$158,B81,'Legacy schemes (v3)'!$C$7:$C$158,"Faculty/school")&gt;0,"Faculty/school; broader reach unverified",IF(K81&gt;0,"Programme/course; broader reach unverified","Scheme documented; reach unconfirmed"))))</f>
        <v/>
      </c>
      <c r="N81" s="32" t="inlineStr">
        <is>
          <t>US11</t>
        </is>
      </c>
      <c r="O81" s="77" t="inlineStr"/>
    </row>
    <row r="82" ht="53" customHeight="1">
      <c r="A82" s="10" t="inlineStr">
        <is>
          <t>US</t>
        </is>
      </c>
      <c r="B82" s="11" t="inlineStr">
        <is>
          <t>Johns Hopkins</t>
        </is>
      </c>
      <c r="C82" s="10" t="inlineStr">
        <is>
          <t>US sample</t>
        </is>
      </c>
      <c r="D82" s="80" t="n">
        <v>2027</v>
      </c>
      <c r="E82" s="80" t="n">
        <v>20</v>
      </c>
      <c r="F82" s="10" t="inlineStr">
        <is>
          <t>Yes</t>
        </is>
      </c>
      <c r="G82" s="10" t="inlineStr">
        <is>
          <t>https://www.topuniversities.com/qs-top-uni-wur</t>
        </is>
      </c>
      <c r="H82" s="10" t="inlineStr">
        <is>
          <t>n.a.</t>
        </is>
      </c>
      <c r="I82" s="80">
        <f>COUNTIF('Legacy schemes (v3)'!$B$7:$B$158,B82)</f>
        <v/>
      </c>
      <c r="J82" s="80">
        <f>COUNTIFS('Legacy schemes (v3)'!$B$7:$B$158,B82,'Legacy schemes (v3)'!$C$7:$C$158,"University-wide")</f>
        <v/>
      </c>
      <c r="K82" s="80">
        <f>COUNTIFS('Legacy schemes (v3)'!$B$7:$B$158,B82,'Legacy schemes (v3)'!$C$7:$C$158,"Cross-faculty")+COUNTIFS('Legacy schemes (v3)'!$B$7:$B$158,B82,'Legacy schemes (v3)'!$C$7:$C$158,"Faculty/school")+COUNTIFS('Legacy schemes (v3)'!$B$7:$B$158,B82,'Legacy schemes (v3)'!$C$7:$C$158,"Programme/course")</f>
        <v/>
      </c>
      <c r="L82" s="80">
        <f>COUNTIFS('Legacy schemes (v3)'!$B$7:$B$158,B82,'Legacy schemes (v3)'!$C$7:$C$158,"Not confirmed")</f>
        <v/>
      </c>
      <c r="M82" s="10">
        <f>IF(J82&gt;0,"University-wide scheme/framework documented",IF(COUNTIFS('Legacy schemes (v3)'!$B$7:$B$158,B82,'Legacy schemes (v3)'!$C$7:$C$158,"Cross-faculty")&gt;0,"Cross-faculty; broader reach unverified",IF(COUNTIFS('Legacy schemes (v3)'!$B$7:$B$158,B82,'Legacy schemes (v3)'!$C$7:$C$158,"Faculty/school")&gt;0,"Faculty/school; broader reach unverified",IF(K82&gt;0,"Programme/course; broader reach unverified","Scheme documented; reach unconfirmed"))))</f>
        <v/>
      </c>
      <c r="N82" s="32" t="inlineStr">
        <is>
          <t>US12</t>
        </is>
      </c>
      <c r="O82" s="77" t="inlineStr"/>
    </row>
    <row r="83" ht="53" customHeight="1">
      <c r="A83" s="10" t="inlineStr">
        <is>
          <t>US</t>
        </is>
      </c>
      <c r="B83" s="11" t="inlineStr">
        <is>
          <t>Michigan Ann Arbor</t>
        </is>
      </c>
      <c r="C83" s="10" t="inlineStr">
        <is>
          <t>US sample</t>
        </is>
      </c>
      <c r="D83" s="80" t="n">
        <v>2027</v>
      </c>
      <c r="E83" s="80" t="n">
        <v>51</v>
      </c>
      <c r="F83" s="10" t="inlineStr">
        <is>
          <t>No</t>
        </is>
      </c>
      <c r="G83" s="10" t="inlineStr">
        <is>
          <t>https://www.topuniversities.com/qs-top-uni-wur</t>
        </is>
      </c>
      <c r="H83" s="10" t="inlineStr">
        <is>
          <t>n.a.</t>
        </is>
      </c>
      <c r="I83" s="80">
        <f>COUNTIF('Legacy schemes (v3)'!$B$7:$B$158,B83)</f>
        <v/>
      </c>
      <c r="J83" s="80">
        <f>COUNTIFS('Legacy schemes (v3)'!$B$7:$B$158,B83,'Legacy schemes (v3)'!$C$7:$C$158,"University-wide")</f>
        <v/>
      </c>
      <c r="K83" s="80">
        <f>COUNTIFS('Legacy schemes (v3)'!$B$7:$B$158,B83,'Legacy schemes (v3)'!$C$7:$C$158,"Cross-faculty")+COUNTIFS('Legacy schemes (v3)'!$B$7:$B$158,B83,'Legacy schemes (v3)'!$C$7:$C$158,"Faculty/school")+COUNTIFS('Legacy schemes (v3)'!$B$7:$B$158,B83,'Legacy schemes (v3)'!$C$7:$C$158,"Programme/course")</f>
        <v/>
      </c>
      <c r="L83" s="80">
        <f>COUNTIFS('Legacy schemes (v3)'!$B$7:$B$158,B83,'Legacy schemes (v3)'!$C$7:$C$158,"Not confirmed")</f>
        <v/>
      </c>
      <c r="M83" s="10">
        <f>IF(J83&gt;0,"University-wide scheme/framework documented",IF(COUNTIFS('Legacy schemes (v3)'!$B$7:$B$158,B83,'Legacy schemes (v3)'!$C$7:$C$158,"Cross-faculty")&gt;0,"Cross-faculty; broader reach unverified",IF(COUNTIFS('Legacy schemes (v3)'!$B$7:$B$158,B83,'Legacy schemes (v3)'!$C$7:$C$158,"Faculty/school")&gt;0,"Faculty/school; broader reach unverified",IF(K83&gt;0,"Programme/course; broader reach unverified","Scheme documented; reach unconfirmed"))))</f>
        <v/>
      </c>
      <c r="N83" s="32" t="inlineStr">
        <is>
          <t>US13</t>
        </is>
      </c>
      <c r="O83" s="77" t="inlineStr"/>
    </row>
    <row r="84" ht="53" customHeight="1">
      <c r="A84" s="10" t="inlineStr">
        <is>
          <t>US</t>
        </is>
      </c>
      <c r="B84" s="11" t="inlineStr">
        <is>
          <t>California Los Angeles</t>
        </is>
      </c>
      <c r="C84" s="10" t="inlineStr">
        <is>
          <t>US sample</t>
        </is>
      </c>
      <c r="D84" s="80" t="n">
        <v>2027</v>
      </c>
      <c r="E84" s="80" t="n">
        <v>49</v>
      </c>
      <c r="F84" s="10" t="inlineStr">
        <is>
          <t>No</t>
        </is>
      </c>
      <c r="G84" s="10" t="inlineStr">
        <is>
          <t>https://www.topuniversities.com/qs-top-uni-wur</t>
        </is>
      </c>
      <c r="H84" s="10" t="inlineStr">
        <is>
          <t>n.a.</t>
        </is>
      </c>
      <c r="I84" s="80">
        <f>COUNTIF('Legacy schemes (v3)'!$B$7:$B$158,B84)</f>
        <v/>
      </c>
      <c r="J84" s="80">
        <f>COUNTIFS('Legacy schemes (v3)'!$B$7:$B$158,B84,'Legacy schemes (v3)'!$C$7:$C$158,"University-wide")</f>
        <v/>
      </c>
      <c r="K84" s="80">
        <f>COUNTIFS('Legacy schemes (v3)'!$B$7:$B$158,B84,'Legacy schemes (v3)'!$C$7:$C$158,"Cross-faculty")+COUNTIFS('Legacy schemes (v3)'!$B$7:$B$158,B84,'Legacy schemes (v3)'!$C$7:$C$158,"Faculty/school")+COUNTIFS('Legacy schemes (v3)'!$B$7:$B$158,B84,'Legacy schemes (v3)'!$C$7:$C$158,"Programme/course")</f>
        <v/>
      </c>
      <c r="L84" s="80">
        <f>COUNTIFS('Legacy schemes (v3)'!$B$7:$B$158,B84,'Legacy schemes (v3)'!$C$7:$C$158,"Not confirmed")</f>
        <v/>
      </c>
      <c r="M84" s="10">
        <f>IF(J84&gt;0,"University-wide scheme/framework documented",IF(COUNTIFS('Legacy schemes (v3)'!$B$7:$B$158,B84,'Legacy schemes (v3)'!$C$7:$C$158,"Cross-faculty")&gt;0,"Cross-faculty; broader reach unverified",IF(COUNTIFS('Legacy schemes (v3)'!$B$7:$B$158,B84,'Legacy schemes (v3)'!$C$7:$C$158,"Faculty/school")&gt;0,"Faculty/school; broader reach unverified",IF(K84&gt;0,"Programme/course; broader reach unverified","Scheme documented; reach unconfirmed"))))</f>
        <v/>
      </c>
      <c r="N84" s="32" t="inlineStr">
        <is>
          <t>US14</t>
        </is>
      </c>
      <c r="O84" s="77" t="inlineStr"/>
    </row>
    <row r="85" ht="53" customHeight="1">
      <c r="A85" s="10" t="inlineStr">
        <is>
          <t>US</t>
        </is>
      </c>
      <c r="B85" s="11" t="inlineStr">
        <is>
          <t>Duke</t>
        </is>
      </c>
      <c r="C85" s="10" t="inlineStr">
        <is>
          <t>US sample</t>
        </is>
      </c>
      <c r="D85" s="80" t="n">
        <v>2027</v>
      </c>
      <c r="E85" s="80" t="n">
        <v>70</v>
      </c>
      <c r="F85" s="10" t="inlineStr">
        <is>
          <t>No</t>
        </is>
      </c>
      <c r="G85" s="10" t="inlineStr">
        <is>
          <t>https://www.topuniversities.com/qs-top-uni-wur</t>
        </is>
      </c>
      <c r="H85" s="10" t="inlineStr">
        <is>
          <t>n.a.</t>
        </is>
      </c>
      <c r="I85" s="80">
        <f>COUNTIF('Legacy schemes (v3)'!$B$7:$B$158,B85)</f>
        <v/>
      </c>
      <c r="J85" s="80">
        <f>COUNTIFS('Legacy schemes (v3)'!$B$7:$B$158,B85,'Legacy schemes (v3)'!$C$7:$C$158,"University-wide")</f>
        <v/>
      </c>
      <c r="K85" s="80">
        <f>COUNTIFS('Legacy schemes (v3)'!$B$7:$B$158,B85,'Legacy schemes (v3)'!$C$7:$C$158,"Cross-faculty")+COUNTIFS('Legacy schemes (v3)'!$B$7:$B$158,B85,'Legacy schemes (v3)'!$C$7:$C$158,"Faculty/school")+COUNTIFS('Legacy schemes (v3)'!$B$7:$B$158,B85,'Legacy schemes (v3)'!$C$7:$C$158,"Programme/course")</f>
        <v/>
      </c>
      <c r="L85" s="80">
        <f>COUNTIFS('Legacy schemes (v3)'!$B$7:$B$158,B85,'Legacy schemes (v3)'!$C$7:$C$158,"Not confirmed")</f>
        <v/>
      </c>
      <c r="M85" s="10">
        <f>IF(J85&gt;0,"University-wide scheme/framework documented",IF(COUNTIFS('Legacy schemes (v3)'!$B$7:$B$158,B85,'Legacy schemes (v3)'!$C$7:$C$158,"Cross-faculty")&gt;0,"Cross-faculty; broader reach unverified",IF(COUNTIFS('Legacy schemes (v3)'!$B$7:$B$158,B85,'Legacy schemes (v3)'!$C$7:$C$158,"Faculty/school")&gt;0,"Faculty/school; broader reach unverified",IF(K85&gt;0,"Programme/course; broader reach unverified","Scheme documented; reach unconfirmed"))))</f>
        <v/>
      </c>
      <c r="N85" s="32" t="inlineStr">
        <is>
          <t>US15</t>
        </is>
      </c>
      <c r="O85" s="77" t="inlineStr"/>
    </row>
    <row r="86" ht="53" customHeight="1">
      <c r="A86" s="10" t="inlineStr">
        <is>
          <t>US</t>
        </is>
      </c>
      <c r="B86" s="11" t="inlineStr">
        <is>
          <t>New York University</t>
        </is>
      </c>
      <c r="C86" s="10" t="inlineStr">
        <is>
          <t>US sample</t>
        </is>
      </c>
      <c r="D86" s="80" t="n">
        <v>2027</v>
      </c>
      <c r="E86" s="80" t="n">
        <v>58</v>
      </c>
      <c r="F86" s="10" t="inlineStr">
        <is>
          <t>No</t>
        </is>
      </c>
      <c r="G86" s="10" t="inlineStr">
        <is>
          <t>https://www.topuniversities.com/qs-top-uni-wur</t>
        </is>
      </c>
      <c r="H86" s="10" t="inlineStr">
        <is>
          <t>n.a.</t>
        </is>
      </c>
      <c r="I86" s="80">
        <f>COUNTIF('Legacy schemes (v3)'!$B$7:$B$158,B86)</f>
        <v/>
      </c>
      <c r="J86" s="80">
        <f>COUNTIFS('Legacy schemes (v3)'!$B$7:$B$158,B86,'Legacy schemes (v3)'!$C$7:$C$158,"University-wide")</f>
        <v/>
      </c>
      <c r="K86" s="80">
        <f>COUNTIFS('Legacy schemes (v3)'!$B$7:$B$158,B86,'Legacy schemes (v3)'!$C$7:$C$158,"Cross-faculty")+COUNTIFS('Legacy schemes (v3)'!$B$7:$B$158,B86,'Legacy schemes (v3)'!$C$7:$C$158,"Faculty/school")+COUNTIFS('Legacy schemes (v3)'!$B$7:$B$158,B86,'Legacy schemes (v3)'!$C$7:$C$158,"Programme/course")</f>
        <v/>
      </c>
      <c r="L86" s="80">
        <f>COUNTIFS('Legacy schemes (v3)'!$B$7:$B$158,B86,'Legacy schemes (v3)'!$C$7:$C$158,"Not confirmed")</f>
        <v/>
      </c>
      <c r="M86" s="10">
        <f>IF(J86&gt;0,"University-wide scheme/framework documented",IF(COUNTIFS('Legacy schemes (v3)'!$B$7:$B$158,B86,'Legacy schemes (v3)'!$C$7:$C$158,"Cross-faculty")&gt;0,"Cross-faculty; broader reach unverified",IF(COUNTIFS('Legacy schemes (v3)'!$B$7:$B$158,B86,'Legacy schemes (v3)'!$C$7:$C$158,"Faculty/school")&gt;0,"Faculty/school; broader reach unverified",IF(K86&gt;0,"Programme/course; broader reach unverified","Scheme documented; reach unconfirmed"))))</f>
        <v/>
      </c>
      <c r="N86" s="32" t="inlineStr">
        <is>
          <t>US16</t>
        </is>
      </c>
      <c r="O86" s="77" t="inlineStr"/>
    </row>
    <row r="87" ht="53" customHeight="1">
      <c r="A87" s="10" t="inlineStr">
        <is>
          <t>US</t>
        </is>
      </c>
      <c r="B87" s="11" t="inlineStr">
        <is>
          <t>Northwestern</t>
        </is>
      </c>
      <c r="C87" s="10" t="inlineStr">
        <is>
          <t>US sample</t>
        </is>
      </c>
      <c r="D87" s="80" t="n">
        <v>2027</v>
      </c>
      <c r="E87" s="80" t="n">
        <v>45</v>
      </c>
      <c r="F87" s="10" t="inlineStr">
        <is>
          <t>Yes</t>
        </is>
      </c>
      <c r="G87" s="10" t="inlineStr">
        <is>
          <t>https://www.topuniversities.com/qs-top-uni-wur</t>
        </is>
      </c>
      <c r="H87" s="10" t="inlineStr">
        <is>
          <t>n.a.</t>
        </is>
      </c>
      <c r="I87" s="80">
        <f>COUNTIF('Legacy schemes (v3)'!$B$7:$B$158,B87)</f>
        <v/>
      </c>
      <c r="J87" s="80">
        <f>COUNTIFS('Legacy schemes (v3)'!$B$7:$B$158,B87,'Legacy schemes (v3)'!$C$7:$C$158,"University-wide")</f>
        <v/>
      </c>
      <c r="K87" s="80">
        <f>COUNTIFS('Legacy schemes (v3)'!$B$7:$B$158,B87,'Legacy schemes (v3)'!$C$7:$C$158,"Cross-faculty")+COUNTIFS('Legacy schemes (v3)'!$B$7:$B$158,B87,'Legacy schemes (v3)'!$C$7:$C$158,"Faculty/school")+COUNTIFS('Legacy schemes (v3)'!$B$7:$B$158,B87,'Legacy schemes (v3)'!$C$7:$C$158,"Programme/course")</f>
        <v/>
      </c>
      <c r="L87" s="80">
        <f>COUNTIFS('Legacy schemes (v3)'!$B$7:$B$158,B87,'Legacy schemes (v3)'!$C$7:$C$158,"Not confirmed")</f>
        <v/>
      </c>
      <c r="M87" s="10">
        <f>IF(J87&gt;0,"University-wide scheme/framework documented",IF(COUNTIFS('Legacy schemes (v3)'!$B$7:$B$158,B87,'Legacy schemes (v3)'!$C$7:$C$158,"Cross-faculty")&gt;0,"Cross-faculty; broader reach unverified",IF(COUNTIFS('Legacy schemes (v3)'!$B$7:$B$158,B87,'Legacy schemes (v3)'!$C$7:$C$158,"Faculty/school")&gt;0,"Faculty/school; broader reach unverified",IF(K87&gt;0,"Programme/course; broader reach unverified","Scheme documented; reach unconfirmed"))))</f>
        <v/>
      </c>
      <c r="N87" s="32" t="inlineStr">
        <is>
          <t>US17</t>
        </is>
      </c>
      <c r="O87" s="77" t="inlineStr"/>
    </row>
    <row r="88" ht="53" customHeight="1">
      <c r="A88" s="10" t="inlineStr">
        <is>
          <t>US</t>
        </is>
      </c>
      <c r="B88" s="11" t="inlineStr">
        <is>
          <t>Carnegie Mellon</t>
        </is>
      </c>
      <c r="C88" s="10" t="inlineStr">
        <is>
          <t>US sample</t>
        </is>
      </c>
      <c r="D88" s="80" t="n">
        <v>2027</v>
      </c>
      <c r="E88" s="80" t="n">
        <v>55</v>
      </c>
      <c r="F88" s="10" t="inlineStr">
        <is>
          <t>No</t>
        </is>
      </c>
      <c r="G88" s="10" t="inlineStr">
        <is>
          <t>https://www.topuniversities.com/qs-top-uni-wur</t>
        </is>
      </c>
      <c r="H88" s="10" t="inlineStr">
        <is>
          <t>n.a.</t>
        </is>
      </c>
      <c r="I88" s="80">
        <f>COUNTIF('Legacy schemes (v3)'!$B$7:$B$158,B88)</f>
        <v/>
      </c>
      <c r="J88" s="80">
        <f>COUNTIFS('Legacy schemes (v3)'!$B$7:$B$158,B88,'Legacy schemes (v3)'!$C$7:$C$158,"University-wide")</f>
        <v/>
      </c>
      <c r="K88" s="80">
        <f>COUNTIFS('Legacy schemes (v3)'!$B$7:$B$158,B88,'Legacy schemes (v3)'!$C$7:$C$158,"Cross-faculty")+COUNTIFS('Legacy schemes (v3)'!$B$7:$B$158,B88,'Legacy schemes (v3)'!$C$7:$C$158,"Faculty/school")+COUNTIFS('Legacy schemes (v3)'!$B$7:$B$158,B88,'Legacy schemes (v3)'!$C$7:$C$158,"Programme/course")</f>
        <v/>
      </c>
      <c r="L88" s="80">
        <f>COUNTIFS('Legacy schemes (v3)'!$B$7:$B$158,B88,'Legacy schemes (v3)'!$C$7:$C$158,"Not confirmed")</f>
        <v/>
      </c>
      <c r="M88" s="10">
        <f>IF(J88&gt;0,"University-wide scheme/framework documented",IF(COUNTIFS('Legacy schemes (v3)'!$B$7:$B$158,B88,'Legacy schemes (v3)'!$C$7:$C$158,"Cross-faculty")&gt;0,"Cross-faculty; broader reach unverified",IF(COUNTIFS('Legacy schemes (v3)'!$B$7:$B$158,B88,'Legacy schemes (v3)'!$C$7:$C$158,"Faculty/school")&gt;0,"Faculty/school; broader reach unverified",IF(K88&gt;0,"Programme/course; broader reach unverified","Scheme documented; reach unconfirmed"))))</f>
        <v/>
      </c>
      <c r="N88" s="32" t="inlineStr">
        <is>
          <t>US18</t>
        </is>
      </c>
      <c r="O88" s="77" t="inlineStr"/>
    </row>
    <row r="89" ht="53" customHeight="1">
      <c r="A89" s="10" t="inlineStr">
        <is>
          <t>US</t>
        </is>
      </c>
      <c r="B89" s="11" t="inlineStr">
        <is>
          <t>Southern California</t>
        </is>
      </c>
      <c r="C89" s="10" t="inlineStr">
        <is>
          <t>US sample</t>
        </is>
      </c>
      <c r="D89" s="80" t="n">
        <v>2027</v>
      </c>
      <c r="E89" s="80" t="n">
        <v>153</v>
      </c>
      <c r="F89" s="10" t="inlineStr">
        <is>
          <t>No</t>
        </is>
      </c>
      <c r="G89" s="10" t="inlineStr">
        <is>
          <t>https://www.topuniversities.com/qs-top-uni-wur</t>
        </is>
      </c>
      <c r="H89" s="10" t="inlineStr">
        <is>
          <t>n.a.</t>
        </is>
      </c>
      <c r="I89" s="80">
        <f>COUNTIF('Legacy schemes (v3)'!$B$7:$B$158,B89)</f>
        <v/>
      </c>
      <c r="J89" s="80">
        <f>COUNTIFS('Legacy schemes (v3)'!$B$7:$B$158,B89,'Legacy schemes (v3)'!$C$7:$C$158,"University-wide")</f>
        <v/>
      </c>
      <c r="K89" s="80">
        <f>COUNTIFS('Legacy schemes (v3)'!$B$7:$B$158,B89,'Legacy schemes (v3)'!$C$7:$C$158,"Cross-faculty")+COUNTIFS('Legacy schemes (v3)'!$B$7:$B$158,B89,'Legacy schemes (v3)'!$C$7:$C$158,"Faculty/school")+COUNTIFS('Legacy schemes (v3)'!$B$7:$B$158,B89,'Legacy schemes (v3)'!$C$7:$C$158,"Programme/course")</f>
        <v/>
      </c>
      <c r="L89" s="80">
        <f>COUNTIFS('Legacy schemes (v3)'!$B$7:$B$158,B89,'Legacy schemes (v3)'!$C$7:$C$158,"Not confirmed")</f>
        <v/>
      </c>
      <c r="M89" s="10">
        <f>IF(J89&gt;0,"University-wide scheme/framework documented",IF(COUNTIFS('Legacy schemes (v3)'!$B$7:$B$158,B89,'Legacy schemes (v3)'!$C$7:$C$158,"Cross-faculty")&gt;0,"Cross-faculty; broader reach unverified",IF(COUNTIFS('Legacy schemes (v3)'!$B$7:$B$158,B89,'Legacy schemes (v3)'!$C$7:$C$158,"Faculty/school")&gt;0,"Faculty/school; broader reach unverified",IF(K89&gt;0,"Programme/course; broader reach unverified","Scheme documented; reach unconfirmed"))))</f>
        <v/>
      </c>
      <c r="N89" s="32" t="inlineStr">
        <is>
          <t>US19</t>
        </is>
      </c>
      <c r="O89" s="77" t="inlineStr"/>
    </row>
    <row r="90" ht="53" customHeight="1">
      <c r="A90" s="10" t="inlineStr">
        <is>
          <t>US</t>
        </is>
      </c>
      <c r="B90" s="11" t="inlineStr">
        <is>
          <t>Texas Austin</t>
        </is>
      </c>
      <c r="C90" s="10" t="inlineStr">
        <is>
          <t>US sample</t>
        </is>
      </c>
      <c r="D90" s="80" t="n">
        <v>2027</v>
      </c>
      <c r="E90" s="80" t="n">
        <v>72</v>
      </c>
      <c r="F90" s="10" t="inlineStr">
        <is>
          <t>No</t>
        </is>
      </c>
      <c r="G90" s="10" t="inlineStr">
        <is>
          <t>https://www.topuniversities.com/qs-top-uni-wur</t>
        </is>
      </c>
      <c r="H90" s="10" t="inlineStr">
        <is>
          <t>n.a.</t>
        </is>
      </c>
      <c r="I90" s="80">
        <f>COUNTIF('Legacy schemes (v3)'!$B$7:$B$158,B90)</f>
        <v/>
      </c>
      <c r="J90" s="80">
        <f>COUNTIFS('Legacy schemes (v3)'!$B$7:$B$158,B90,'Legacy schemes (v3)'!$C$7:$C$158,"University-wide")</f>
        <v/>
      </c>
      <c r="K90" s="80">
        <f>COUNTIFS('Legacy schemes (v3)'!$B$7:$B$158,B90,'Legacy schemes (v3)'!$C$7:$C$158,"Cross-faculty")+COUNTIFS('Legacy schemes (v3)'!$B$7:$B$158,B90,'Legacy schemes (v3)'!$C$7:$C$158,"Faculty/school")+COUNTIFS('Legacy schemes (v3)'!$B$7:$B$158,B90,'Legacy schemes (v3)'!$C$7:$C$158,"Programme/course")</f>
        <v/>
      </c>
      <c r="L90" s="80">
        <f>COUNTIFS('Legacy schemes (v3)'!$B$7:$B$158,B90,'Legacy schemes (v3)'!$C$7:$C$158,"Not confirmed")</f>
        <v/>
      </c>
      <c r="M90" s="10">
        <f>IF(J90&gt;0,"University-wide scheme/framework documented",IF(COUNTIFS('Legacy schemes (v3)'!$B$7:$B$158,B90,'Legacy schemes (v3)'!$C$7:$C$158,"Cross-faculty")&gt;0,"Cross-faculty; broader reach unverified",IF(COUNTIFS('Legacy schemes (v3)'!$B$7:$B$158,B90,'Legacy schemes (v3)'!$C$7:$C$158,"Faculty/school")&gt;0,"Faculty/school; broader reach unverified",IF(K90&gt;0,"Programme/course; broader reach unverified","Scheme documented; reach unconfirmed"))))</f>
        <v/>
      </c>
      <c r="N90" s="32" t="inlineStr">
        <is>
          <t>US20</t>
        </is>
      </c>
      <c r="O90" s="77" t="inlineStr"/>
    </row>
    <row r="91" ht="53" customHeight="1">
      <c r="A91" s="10" t="inlineStr">
        <is>
          <t>US</t>
        </is>
      </c>
      <c r="B91" s="11" t="inlineStr">
        <is>
          <t>California San Diego</t>
        </is>
      </c>
      <c r="C91" s="10" t="inlineStr">
        <is>
          <t>US sample</t>
        </is>
      </c>
      <c r="D91" s="80" t="n">
        <v>2027</v>
      </c>
      <c r="E91" s="80" t="n">
        <v>81</v>
      </c>
      <c r="F91" s="10" t="inlineStr">
        <is>
          <t>No</t>
        </is>
      </c>
      <c r="G91" s="10" t="inlineStr">
        <is>
          <t>https://www.topuniversities.com/qs-top-uni-wur</t>
        </is>
      </c>
      <c r="H91" s="10" t="inlineStr">
        <is>
          <t>n.a.</t>
        </is>
      </c>
      <c r="I91" s="80">
        <f>COUNTIF('Legacy schemes (v3)'!$B$7:$B$158,B91)</f>
        <v/>
      </c>
      <c r="J91" s="80">
        <f>COUNTIFS('Legacy schemes (v3)'!$B$7:$B$158,B91,'Legacy schemes (v3)'!$C$7:$C$158,"University-wide")</f>
        <v/>
      </c>
      <c r="K91" s="80">
        <f>COUNTIFS('Legacy schemes (v3)'!$B$7:$B$158,B91,'Legacy schemes (v3)'!$C$7:$C$158,"Cross-faculty")+COUNTIFS('Legacy schemes (v3)'!$B$7:$B$158,B91,'Legacy schemes (v3)'!$C$7:$C$158,"Faculty/school")+COUNTIFS('Legacy schemes (v3)'!$B$7:$B$158,B91,'Legacy schemes (v3)'!$C$7:$C$158,"Programme/course")</f>
        <v/>
      </c>
      <c r="L91" s="80">
        <f>COUNTIFS('Legacy schemes (v3)'!$B$7:$B$158,B91,'Legacy schemes (v3)'!$C$7:$C$158,"Not confirmed")</f>
        <v/>
      </c>
      <c r="M91" s="10">
        <f>IF(J91&gt;0,"University-wide scheme/framework documented",IF(COUNTIFS('Legacy schemes (v3)'!$B$7:$B$158,B91,'Legacy schemes (v3)'!$C$7:$C$158,"Cross-faculty")&gt;0,"Cross-faculty; broader reach unverified",IF(COUNTIFS('Legacy schemes (v3)'!$B$7:$B$158,B91,'Legacy schemes (v3)'!$C$7:$C$158,"Faculty/school")&gt;0,"Faculty/school; broader reach unverified",IF(K91&gt;0,"Programme/course; broader reach unverified","Scheme documented; reach unconfirmed"))))</f>
        <v/>
      </c>
      <c r="N91" s="32" t="inlineStr">
        <is>
          <t>US21</t>
        </is>
      </c>
      <c r="O91" s="77" t="inlineStr"/>
    </row>
    <row r="92" ht="53" customHeight="1">
      <c r="A92" s="10" t="inlineStr">
        <is>
          <t>US</t>
        </is>
      </c>
      <c r="B92" s="11" t="inlineStr">
        <is>
          <t>Brown</t>
        </is>
      </c>
      <c r="C92" s="10" t="inlineStr">
        <is>
          <t>US sample</t>
        </is>
      </c>
      <c r="D92" s="80" t="n">
        <v>2027</v>
      </c>
      <c r="E92" s="80" t="n">
        <v>66</v>
      </c>
      <c r="F92" s="10" t="inlineStr">
        <is>
          <t>No</t>
        </is>
      </c>
      <c r="G92" s="10" t="inlineStr">
        <is>
          <t>https://www.topuniversities.com/qs-top-uni-wur</t>
        </is>
      </c>
      <c r="H92" s="10" t="inlineStr">
        <is>
          <t>n.a.</t>
        </is>
      </c>
      <c r="I92" s="80">
        <f>COUNTIF('Legacy schemes (v3)'!$B$7:$B$158,B92)</f>
        <v/>
      </c>
      <c r="J92" s="80">
        <f>COUNTIFS('Legacy schemes (v3)'!$B$7:$B$158,B92,'Legacy schemes (v3)'!$C$7:$C$158,"University-wide")</f>
        <v/>
      </c>
      <c r="K92" s="80">
        <f>COUNTIFS('Legacy schemes (v3)'!$B$7:$B$158,B92,'Legacy schemes (v3)'!$C$7:$C$158,"Cross-faculty")+COUNTIFS('Legacy schemes (v3)'!$B$7:$B$158,B92,'Legacy schemes (v3)'!$C$7:$C$158,"Faculty/school")+COUNTIFS('Legacy schemes (v3)'!$B$7:$B$158,B92,'Legacy schemes (v3)'!$C$7:$C$158,"Programme/course")</f>
        <v/>
      </c>
      <c r="L92" s="80">
        <f>COUNTIFS('Legacy schemes (v3)'!$B$7:$B$158,B92,'Legacy schemes (v3)'!$C$7:$C$158,"Not confirmed")</f>
        <v/>
      </c>
      <c r="M92" s="10">
        <f>IF(J92&gt;0,"University-wide scheme/framework documented",IF(COUNTIFS('Legacy schemes (v3)'!$B$7:$B$158,B92,'Legacy schemes (v3)'!$C$7:$C$158,"Cross-faculty")&gt;0,"Cross-faculty; broader reach unverified",IF(COUNTIFS('Legacy schemes (v3)'!$B$7:$B$158,B92,'Legacy schemes (v3)'!$C$7:$C$158,"Faculty/school")&gt;0,"Faculty/school; broader reach unverified",IF(K92&gt;0,"Programme/course; broader reach unverified","Scheme documented; reach unconfirmed"))))</f>
        <v/>
      </c>
      <c r="N92" s="32" t="inlineStr">
        <is>
          <t>US22</t>
        </is>
      </c>
      <c r="O92" s="77" t="inlineStr"/>
    </row>
    <row r="93" ht="53" customHeight="1">
      <c r="A93" s="10" t="inlineStr">
        <is>
          <t>US</t>
        </is>
      </c>
      <c r="B93" s="11" t="inlineStr">
        <is>
          <t>Illinois Urbana-Champaign</t>
        </is>
      </c>
      <c r="C93" s="10" t="inlineStr">
        <is>
          <t>US sample</t>
        </is>
      </c>
      <c r="D93" s="80" t="n">
        <v>2027</v>
      </c>
      <c r="E93" s="80" t="n">
        <v>74</v>
      </c>
      <c r="F93" s="10" t="inlineStr">
        <is>
          <t>No</t>
        </is>
      </c>
      <c r="G93" s="10" t="inlineStr">
        <is>
          <t>https://www.topuniversities.com/qs-top-uni-wur</t>
        </is>
      </c>
      <c r="H93" s="10" t="inlineStr">
        <is>
          <t>n.a.</t>
        </is>
      </c>
      <c r="I93" s="80">
        <f>COUNTIF('Legacy schemes (v3)'!$B$7:$B$158,B93)</f>
        <v/>
      </c>
      <c r="J93" s="80">
        <f>COUNTIFS('Legacy schemes (v3)'!$B$7:$B$158,B93,'Legacy schemes (v3)'!$C$7:$C$158,"University-wide")</f>
        <v/>
      </c>
      <c r="K93" s="80">
        <f>COUNTIFS('Legacy schemes (v3)'!$B$7:$B$158,B93,'Legacy schemes (v3)'!$C$7:$C$158,"Cross-faculty")+COUNTIFS('Legacy schemes (v3)'!$B$7:$B$158,B93,'Legacy schemes (v3)'!$C$7:$C$158,"Faculty/school")+COUNTIFS('Legacy schemes (v3)'!$B$7:$B$158,B93,'Legacy schemes (v3)'!$C$7:$C$158,"Programme/course")</f>
        <v/>
      </c>
      <c r="L93" s="80">
        <f>COUNTIFS('Legacy schemes (v3)'!$B$7:$B$158,B93,'Legacy schemes (v3)'!$C$7:$C$158,"Not confirmed")</f>
        <v/>
      </c>
      <c r="M93" s="10">
        <f>IF(J93&gt;0,"University-wide scheme/framework documented",IF(COUNTIFS('Legacy schemes (v3)'!$B$7:$B$158,B93,'Legacy schemes (v3)'!$C$7:$C$158,"Cross-faculty")&gt;0,"Cross-faculty; broader reach unverified",IF(COUNTIFS('Legacy schemes (v3)'!$B$7:$B$158,B93,'Legacy schemes (v3)'!$C$7:$C$158,"Faculty/school")&gt;0,"Faculty/school; broader reach unverified",IF(K93&gt;0,"Programme/course; broader reach unverified","Scheme documented; reach unconfirmed"))))</f>
        <v/>
      </c>
      <c r="N93" s="32" t="inlineStr">
        <is>
          <t>US23</t>
        </is>
      </c>
      <c r="O93" s="77" t="inlineStr"/>
    </row>
    <row r="94" ht="53" customHeight="1">
      <c r="A94" s="10" t="inlineStr">
        <is>
          <t>US</t>
        </is>
      </c>
      <c r="B94" s="11" t="inlineStr">
        <is>
          <t>Georgia Institute of Technology</t>
        </is>
      </c>
      <c r="C94" s="10" t="inlineStr">
        <is>
          <t>US sample</t>
        </is>
      </c>
      <c r="D94" s="80" t="n">
        <v>2027</v>
      </c>
      <c r="E94" s="80" t="n">
        <v>142</v>
      </c>
      <c r="F94" s="10" t="inlineStr">
        <is>
          <t>Yes</t>
        </is>
      </c>
      <c r="G94" s="10" t="inlineStr">
        <is>
          <t>https://www.topuniversities.com/qs-top-uni-wur</t>
        </is>
      </c>
      <c r="H94" s="10" t="inlineStr">
        <is>
          <t>n.a.</t>
        </is>
      </c>
      <c r="I94" s="80">
        <f>COUNTIF('Legacy schemes (v3)'!$B$7:$B$158,B94)</f>
        <v/>
      </c>
      <c r="J94" s="80">
        <f>COUNTIFS('Legacy schemes (v3)'!$B$7:$B$158,B94,'Legacy schemes (v3)'!$C$7:$C$158,"University-wide")</f>
        <v/>
      </c>
      <c r="K94" s="80">
        <f>COUNTIFS('Legacy schemes (v3)'!$B$7:$B$158,B94,'Legacy schemes (v3)'!$C$7:$C$158,"Cross-faculty")+COUNTIFS('Legacy schemes (v3)'!$B$7:$B$158,B94,'Legacy schemes (v3)'!$C$7:$C$158,"Faculty/school")+COUNTIFS('Legacy schemes (v3)'!$B$7:$B$158,B94,'Legacy schemes (v3)'!$C$7:$C$158,"Programme/course")</f>
        <v/>
      </c>
      <c r="L94" s="80">
        <f>COUNTIFS('Legacy schemes (v3)'!$B$7:$B$158,B94,'Legacy schemes (v3)'!$C$7:$C$158,"Not confirmed")</f>
        <v/>
      </c>
      <c r="M94" s="10">
        <f>IF(J94&gt;0,"University-wide scheme/framework documented",IF(COUNTIFS('Legacy schemes (v3)'!$B$7:$B$158,B94,'Legacy schemes (v3)'!$C$7:$C$158,"Cross-faculty")&gt;0,"Cross-faculty; broader reach unverified",IF(COUNTIFS('Legacy schemes (v3)'!$B$7:$B$158,B94,'Legacy schemes (v3)'!$C$7:$C$158,"Faculty/school")&gt;0,"Faculty/school; broader reach unverified",IF(K94&gt;0,"Programme/course; broader reach unverified","Scheme documented; reach unconfirmed"))))</f>
        <v/>
      </c>
      <c r="N94" s="32" t="inlineStr">
        <is>
          <t>US24</t>
        </is>
      </c>
      <c r="O94" s="77" t="inlineStr"/>
    </row>
    <row r="95" ht="53" customHeight="1">
      <c r="A95" s="10" t="inlineStr">
        <is>
          <t>US</t>
        </is>
      </c>
      <c r="B95" s="11" t="inlineStr">
        <is>
          <t>Purdue</t>
        </is>
      </c>
      <c r="C95" s="10" t="inlineStr">
        <is>
          <t>US sample</t>
        </is>
      </c>
      <c r="D95" s="80" t="n">
        <v>2027</v>
      </c>
      <c r="E95" s="80" t="n">
        <v>100</v>
      </c>
      <c r="F95" s="10" t="inlineStr">
        <is>
          <t>Yes</t>
        </is>
      </c>
      <c r="G95" s="10" t="inlineStr">
        <is>
          <t>https://www.topuniversities.com/qs-top-uni-wur</t>
        </is>
      </c>
      <c r="H95" s="10" t="inlineStr">
        <is>
          <t>n.a.</t>
        </is>
      </c>
      <c r="I95" s="80">
        <f>COUNTIF('Legacy schemes (v3)'!$B$7:$B$158,B95)</f>
        <v/>
      </c>
      <c r="J95" s="80">
        <f>COUNTIFS('Legacy schemes (v3)'!$B$7:$B$158,B95,'Legacy schemes (v3)'!$C$7:$C$158,"University-wide")</f>
        <v/>
      </c>
      <c r="K95" s="80">
        <f>COUNTIFS('Legacy schemes (v3)'!$B$7:$B$158,B95,'Legacy schemes (v3)'!$C$7:$C$158,"Cross-faculty")+COUNTIFS('Legacy schemes (v3)'!$B$7:$B$158,B95,'Legacy schemes (v3)'!$C$7:$C$158,"Faculty/school")+COUNTIFS('Legacy schemes (v3)'!$B$7:$B$158,B95,'Legacy schemes (v3)'!$C$7:$C$158,"Programme/course")</f>
        <v/>
      </c>
      <c r="L95" s="80">
        <f>COUNTIFS('Legacy schemes (v3)'!$B$7:$B$158,B95,'Legacy schemes (v3)'!$C$7:$C$158,"Not confirmed")</f>
        <v/>
      </c>
      <c r="M95" s="10">
        <f>IF(J95&gt;0,"University-wide scheme/framework documented",IF(COUNTIFS('Legacy schemes (v3)'!$B$7:$B$158,B95,'Legacy schemes (v3)'!$C$7:$C$158,"Cross-faculty")&gt;0,"Cross-faculty; broader reach unverified",IF(COUNTIFS('Legacy schemes (v3)'!$B$7:$B$158,B95,'Legacy schemes (v3)'!$C$7:$C$158,"Faculty/school")&gt;0,"Faculty/school; broader reach unverified",IF(K95&gt;0,"Programme/course; broader reach unverified","Scheme documented; reach unconfirmed"))))</f>
        <v/>
      </c>
      <c r="N95" s="32" t="inlineStr">
        <is>
          <t>US25</t>
        </is>
      </c>
      <c r="O95" s="77" t="inlineStr"/>
    </row>
    <row r="96" ht="53" customHeight="1">
      <c r="A96" s="10" t="inlineStr">
        <is>
          <t>US</t>
        </is>
      </c>
      <c r="B96" s="11" t="inlineStr">
        <is>
          <t>Wisconsin Madison</t>
        </is>
      </c>
      <c r="C96" s="10" t="inlineStr">
        <is>
          <t>US sample</t>
        </is>
      </c>
      <c r="D96" s="80" t="n">
        <v>2027</v>
      </c>
      <c r="E96" s="80" t="n">
        <v>131</v>
      </c>
      <c r="F96" s="10" t="inlineStr">
        <is>
          <t>Yes</t>
        </is>
      </c>
      <c r="G96" s="10" t="inlineStr">
        <is>
          <t>https://www.topuniversities.com/qs-top-uni-wur</t>
        </is>
      </c>
      <c r="H96" s="10" t="inlineStr">
        <is>
          <t>n.a.</t>
        </is>
      </c>
      <c r="I96" s="80">
        <f>COUNTIF('Legacy schemes (v3)'!$B$7:$B$158,B96)</f>
        <v/>
      </c>
      <c r="J96" s="80">
        <f>COUNTIFS('Legacy schemes (v3)'!$B$7:$B$158,B96,'Legacy schemes (v3)'!$C$7:$C$158,"University-wide")</f>
        <v/>
      </c>
      <c r="K96" s="80">
        <f>COUNTIFS('Legacy schemes (v3)'!$B$7:$B$158,B96,'Legacy schemes (v3)'!$C$7:$C$158,"Cross-faculty")+COUNTIFS('Legacy schemes (v3)'!$B$7:$B$158,B96,'Legacy schemes (v3)'!$C$7:$C$158,"Faculty/school")+COUNTIFS('Legacy schemes (v3)'!$B$7:$B$158,B96,'Legacy schemes (v3)'!$C$7:$C$158,"Programme/course")</f>
        <v/>
      </c>
      <c r="L96" s="80">
        <f>COUNTIFS('Legacy schemes (v3)'!$B$7:$B$158,B96,'Legacy schemes (v3)'!$C$7:$C$158,"Not confirmed")</f>
        <v/>
      </c>
      <c r="M96" s="10">
        <f>IF(J96&gt;0,"University-wide scheme/framework documented",IF(COUNTIFS('Legacy schemes (v3)'!$B$7:$B$158,B96,'Legacy schemes (v3)'!$C$7:$C$158,"Cross-faculty")&gt;0,"Cross-faculty; broader reach unverified",IF(COUNTIFS('Legacy schemes (v3)'!$B$7:$B$158,B96,'Legacy schemes (v3)'!$C$7:$C$158,"Faculty/school")&gt;0,"Faculty/school; broader reach unverified",IF(K96&gt;0,"Programme/course; broader reach unverified","Scheme documented; reach unconfirmed"))))</f>
        <v/>
      </c>
      <c r="N96" s="32" t="inlineStr">
        <is>
          <t>US26</t>
        </is>
      </c>
      <c r="O96" s="77" t="inlineStr"/>
    </row>
    <row r="97" ht="53" customHeight="1">
      <c r="A97" s="10" t="inlineStr">
        <is>
          <t>US</t>
        </is>
      </c>
      <c r="B97" s="11" t="inlineStr">
        <is>
          <t>Washington</t>
        </is>
      </c>
      <c r="C97" s="10" t="inlineStr">
        <is>
          <t>US sample</t>
        </is>
      </c>
      <c r="D97" s="80" t="n">
        <v>2027</v>
      </c>
      <c r="E97" s="80" t="n">
        <v>92</v>
      </c>
      <c r="F97" s="10" t="inlineStr">
        <is>
          <t>Yes</t>
        </is>
      </c>
      <c r="G97" s="10" t="inlineStr">
        <is>
          <t>https://www.topuniversities.com/qs-top-uni-wur</t>
        </is>
      </c>
      <c r="H97" s="10" t="inlineStr">
        <is>
          <t>n.a.</t>
        </is>
      </c>
      <c r="I97" s="80">
        <f>COUNTIF('Legacy schemes (v3)'!$B$7:$B$158,B97)</f>
        <v/>
      </c>
      <c r="J97" s="80">
        <f>COUNTIFS('Legacy schemes (v3)'!$B$7:$B$158,B97,'Legacy schemes (v3)'!$C$7:$C$158,"University-wide")</f>
        <v/>
      </c>
      <c r="K97" s="80">
        <f>COUNTIFS('Legacy schemes (v3)'!$B$7:$B$158,B97,'Legacy schemes (v3)'!$C$7:$C$158,"Cross-faculty")+COUNTIFS('Legacy schemes (v3)'!$B$7:$B$158,B97,'Legacy schemes (v3)'!$C$7:$C$158,"Faculty/school")+COUNTIFS('Legacy schemes (v3)'!$B$7:$B$158,B97,'Legacy schemes (v3)'!$C$7:$C$158,"Programme/course")</f>
        <v/>
      </c>
      <c r="L97" s="80">
        <f>COUNTIFS('Legacy schemes (v3)'!$B$7:$B$158,B97,'Legacy schemes (v3)'!$C$7:$C$158,"Not confirmed")</f>
        <v/>
      </c>
      <c r="M97" s="10">
        <f>IF(J97&gt;0,"University-wide scheme/framework documented",IF(COUNTIFS('Legacy schemes (v3)'!$B$7:$B$158,B97,'Legacy schemes (v3)'!$C$7:$C$158,"Cross-faculty")&gt;0,"Cross-faculty; broader reach unverified",IF(COUNTIFS('Legacy schemes (v3)'!$B$7:$B$158,B97,'Legacy schemes (v3)'!$C$7:$C$158,"Faculty/school")&gt;0,"Faculty/school; broader reach unverified",IF(K97&gt;0,"Programme/course; broader reach unverified","Scheme documented; reach unconfirmed"))))</f>
        <v/>
      </c>
      <c r="N97" s="32" t="inlineStr">
        <is>
          <t>US27</t>
        </is>
      </c>
      <c r="O97" s="77" t="inlineStr"/>
    </row>
    <row r="98" ht="53" customHeight="1">
      <c r="A98" s="10" t="inlineStr">
        <is>
          <t>US</t>
        </is>
      </c>
      <c r="B98" s="11" t="inlineStr">
        <is>
          <t>Boston University</t>
        </is>
      </c>
      <c r="C98" s="10" t="inlineStr">
        <is>
          <t>US sample</t>
        </is>
      </c>
      <c r="D98" s="80" t="n">
        <v>2027</v>
      </c>
      <c r="E98" s="80" t="n">
        <v>94</v>
      </c>
      <c r="F98" s="10" t="inlineStr">
        <is>
          <t>No</t>
        </is>
      </c>
      <c r="G98" s="10" t="inlineStr">
        <is>
          <t>https://www.topuniversities.com/qs-top-uni-wur</t>
        </is>
      </c>
      <c r="H98" s="10" t="inlineStr">
        <is>
          <t>n.a.</t>
        </is>
      </c>
      <c r="I98" s="80">
        <f>COUNTIF('Legacy schemes (v3)'!$B$7:$B$158,B98)</f>
        <v/>
      </c>
      <c r="J98" s="80">
        <f>COUNTIFS('Legacy schemes (v3)'!$B$7:$B$158,B98,'Legacy schemes (v3)'!$C$7:$C$158,"University-wide")</f>
        <v/>
      </c>
      <c r="K98" s="80">
        <f>COUNTIFS('Legacy schemes (v3)'!$B$7:$B$158,B98,'Legacy schemes (v3)'!$C$7:$C$158,"Cross-faculty")+COUNTIFS('Legacy schemes (v3)'!$B$7:$B$158,B98,'Legacy schemes (v3)'!$C$7:$C$158,"Faculty/school")+COUNTIFS('Legacy schemes (v3)'!$B$7:$B$158,B98,'Legacy schemes (v3)'!$C$7:$C$158,"Programme/course")</f>
        <v/>
      </c>
      <c r="L98" s="80">
        <f>COUNTIFS('Legacy schemes (v3)'!$B$7:$B$158,B98,'Legacy schemes (v3)'!$C$7:$C$158,"Not confirmed")</f>
        <v/>
      </c>
      <c r="M98" s="10">
        <f>IF(J98&gt;0,"University-wide scheme/framework documented",IF(COUNTIFS('Legacy schemes (v3)'!$B$7:$B$158,B98,'Legacy schemes (v3)'!$C$7:$C$158,"Cross-faculty")&gt;0,"Cross-faculty; broader reach unverified",IF(COUNTIFS('Legacy schemes (v3)'!$B$7:$B$158,B98,'Legacy schemes (v3)'!$C$7:$C$158,"Faculty/school")&gt;0,"Faculty/school; broader reach unverified",IF(K98&gt;0,"Programme/course; broader reach unverified","Scheme documented; reach unconfirmed"))))</f>
        <v/>
      </c>
      <c r="N98" s="32" t="inlineStr">
        <is>
          <t>US28</t>
        </is>
      </c>
      <c r="O98" s="77" t="inlineStr"/>
    </row>
    <row r="99" ht="53" customHeight="1">
      <c r="A99" s="10" t="inlineStr">
        <is>
          <t>US</t>
        </is>
      </c>
      <c r="B99" s="11" t="inlineStr">
        <is>
          <t>Pennsylvania State</t>
        </is>
      </c>
      <c r="C99" s="10" t="inlineStr">
        <is>
          <t>US sample</t>
        </is>
      </c>
      <c r="D99" s="80" t="n">
        <v>2027</v>
      </c>
      <c r="E99" s="80" t="n">
        <v>92</v>
      </c>
      <c r="F99" s="10" t="inlineStr">
        <is>
          <t>Yes</t>
        </is>
      </c>
      <c r="G99" s="10" t="inlineStr">
        <is>
          <t>https://www.topuniversities.com/qs-top-uni-wur</t>
        </is>
      </c>
      <c r="H99" s="10" t="inlineStr">
        <is>
          <t>n.a.</t>
        </is>
      </c>
      <c r="I99" s="80">
        <f>COUNTIF('Legacy schemes (v3)'!$B$7:$B$158,B99)</f>
        <v/>
      </c>
      <c r="J99" s="80">
        <f>COUNTIFS('Legacy schemes (v3)'!$B$7:$B$158,B99,'Legacy schemes (v3)'!$C$7:$C$158,"University-wide")</f>
        <v/>
      </c>
      <c r="K99" s="80">
        <f>COUNTIFS('Legacy schemes (v3)'!$B$7:$B$158,B99,'Legacy schemes (v3)'!$C$7:$C$158,"Cross-faculty")+COUNTIFS('Legacy schemes (v3)'!$B$7:$B$158,B99,'Legacy schemes (v3)'!$C$7:$C$158,"Faculty/school")+COUNTIFS('Legacy schemes (v3)'!$B$7:$B$158,B99,'Legacy schemes (v3)'!$C$7:$C$158,"Programme/course")</f>
        <v/>
      </c>
      <c r="L99" s="80">
        <f>COUNTIFS('Legacy schemes (v3)'!$B$7:$B$158,B99,'Legacy schemes (v3)'!$C$7:$C$158,"Not confirmed")</f>
        <v/>
      </c>
      <c r="M99" s="10">
        <f>IF(J99&gt;0,"University-wide scheme/framework documented",IF(COUNTIFS('Legacy schemes (v3)'!$B$7:$B$158,B99,'Legacy schemes (v3)'!$C$7:$C$158,"Cross-faculty")&gt;0,"Cross-faculty; broader reach unverified",IF(COUNTIFS('Legacy schemes (v3)'!$B$7:$B$158,B99,'Legacy schemes (v3)'!$C$7:$C$158,"Faculty/school")&gt;0,"Faculty/school; broader reach unverified",IF(K99&gt;0,"Programme/course; broader reach unverified","Scheme documented; reach unconfirmed"))))</f>
        <v/>
      </c>
      <c r="N99" s="32" t="inlineStr">
        <is>
          <t>US29</t>
        </is>
      </c>
      <c r="O99" s="77" t="inlineStr"/>
    </row>
    <row r="100" ht="53" customHeight="1">
      <c r="A100" s="10" t="inlineStr">
        <is>
          <t>US</t>
        </is>
      </c>
      <c r="B100" s="11" t="inlineStr">
        <is>
          <t>Ohio State</t>
        </is>
      </c>
      <c r="C100" s="10" t="inlineStr">
        <is>
          <t>US sample</t>
        </is>
      </c>
      <c r="D100" s="80" t="n">
        <v>2027</v>
      </c>
      <c r="E100" s="80" t="n">
        <v>201</v>
      </c>
      <c r="F100" s="10" t="inlineStr">
        <is>
          <t>Yes</t>
        </is>
      </c>
      <c r="G100" s="10" t="inlineStr">
        <is>
          <t>https://www.topuniversities.com/universities/ohio-state-university</t>
        </is>
      </c>
      <c r="H100" s="10" t="inlineStr">
        <is>
          <t>n.a.</t>
        </is>
      </c>
      <c r="I100" s="80">
        <f>COUNTIF('Legacy schemes (v3)'!$B$7:$B$158,B100)</f>
        <v/>
      </c>
      <c r="J100" s="80">
        <f>COUNTIFS('Legacy schemes (v3)'!$B$7:$B$158,B100,'Legacy schemes (v3)'!$C$7:$C$158,"University-wide")</f>
        <v/>
      </c>
      <c r="K100" s="80">
        <f>COUNTIFS('Legacy schemes (v3)'!$B$7:$B$158,B100,'Legacy schemes (v3)'!$C$7:$C$158,"Cross-faculty")+COUNTIFS('Legacy schemes (v3)'!$B$7:$B$158,B100,'Legacy schemes (v3)'!$C$7:$C$158,"Faculty/school")+COUNTIFS('Legacy schemes (v3)'!$B$7:$B$158,B100,'Legacy schemes (v3)'!$C$7:$C$158,"Programme/course")</f>
        <v/>
      </c>
      <c r="L100" s="80">
        <f>COUNTIFS('Legacy schemes (v3)'!$B$7:$B$158,B100,'Legacy schemes (v3)'!$C$7:$C$158,"Not confirmed")</f>
        <v/>
      </c>
      <c r="M100" s="10">
        <f>IF(J100&gt;0,"University-wide scheme/framework documented",IF(COUNTIFS('Legacy schemes (v3)'!$B$7:$B$158,B100,'Legacy schemes (v3)'!$C$7:$C$158,"Cross-faculty")&gt;0,"Cross-faculty; broader reach unverified",IF(COUNTIFS('Legacy schemes (v3)'!$B$7:$B$158,B100,'Legacy schemes (v3)'!$C$7:$C$158,"Faculty/school")&gt;0,"Faculty/school; broader reach unverified",IF(K100&gt;0,"Programme/course; broader reach unverified","Scheme documented; reach unconfirmed"))))</f>
        <v/>
      </c>
      <c r="N100" s="32" t="inlineStr">
        <is>
          <t>US30</t>
        </is>
      </c>
      <c r="O100" s="77" t="inlineStr">
        <is>
          <t>QS source is an institution profile page rather than the ranking table; rank 201 sits at the edge of the published table.</t>
        </is>
      </c>
    </row>
    <row r="101" ht="53" customHeight="1">
      <c r="A101" s="10" t="inlineStr">
        <is>
          <t>France</t>
        </is>
      </c>
      <c r="B101" s="11" t="inlineStr">
        <is>
          <t>PSL</t>
        </is>
      </c>
      <c r="C101" s="10" t="inlineStr">
        <is>
          <t>EU sample</t>
        </is>
      </c>
      <c r="D101" s="80" t="n">
        <v>2027</v>
      </c>
      <c r="E101" s="80" t="n">
        <v>34</v>
      </c>
      <c r="F101" s="10" t="inlineStr">
        <is>
          <t>No</t>
        </is>
      </c>
      <c r="G101" s="10" t="inlineStr">
        <is>
          <t>https://www.topuniversities.com/qs-top-uni-wur</t>
        </is>
      </c>
      <c r="H101" s="10" t="inlineStr">
        <is>
          <t>n.a.</t>
        </is>
      </c>
      <c r="I101" s="80">
        <f>COUNTIF('Legacy schemes (v3)'!$B$7:$B$158,B101)</f>
        <v/>
      </c>
      <c r="J101" s="80">
        <f>COUNTIFS('Legacy schemes (v3)'!$B$7:$B$158,B101,'Legacy schemes (v3)'!$C$7:$C$158,"University-wide")</f>
        <v/>
      </c>
      <c r="K101" s="80">
        <f>COUNTIFS('Legacy schemes (v3)'!$B$7:$B$158,B101,'Legacy schemes (v3)'!$C$7:$C$158,"Cross-faculty")+COUNTIFS('Legacy schemes (v3)'!$B$7:$B$158,B101,'Legacy schemes (v3)'!$C$7:$C$158,"Faculty/school")+COUNTIFS('Legacy schemes (v3)'!$B$7:$B$158,B101,'Legacy schemes (v3)'!$C$7:$C$158,"Programme/course")</f>
        <v/>
      </c>
      <c r="L101" s="80">
        <f>COUNTIFS('Legacy schemes (v3)'!$B$7:$B$158,B101,'Legacy schemes (v3)'!$C$7:$C$158,"Not confirmed")</f>
        <v/>
      </c>
      <c r="M101" s="10">
        <f>IF(J101&gt;0,"University-wide scheme/framework documented",IF(COUNTIFS('Legacy schemes (v3)'!$B$7:$B$158,B101,'Legacy schemes (v3)'!$C$7:$C$158,"Cross-faculty")&gt;0,"Cross-faculty; broader reach unverified",IF(COUNTIFS('Legacy schemes (v3)'!$B$7:$B$158,B101,'Legacy schemes (v3)'!$C$7:$C$158,"Faculty/school")&gt;0,"Faculty/school; broader reach unverified",IF(K101&gt;0,"Programme/course; broader reach unverified","Scheme documented; reach unconfirmed"))))</f>
        <v/>
      </c>
      <c r="N101" s="32" t="inlineStr">
        <is>
          <t>EU01</t>
        </is>
      </c>
      <c r="O101" s="77" t="inlineStr"/>
    </row>
    <row r="102" ht="53" customHeight="1">
      <c r="A102" s="10" t="inlineStr">
        <is>
          <t>France</t>
        </is>
      </c>
      <c r="B102" s="11" t="inlineStr">
        <is>
          <t>Paris-Saclay</t>
        </is>
      </c>
      <c r="C102" s="10" t="inlineStr">
        <is>
          <t>EU sample</t>
        </is>
      </c>
      <c r="D102" s="80" t="n">
        <v>2027</v>
      </c>
      <c r="E102" s="80" t="n">
        <v>76</v>
      </c>
      <c r="F102" s="10" t="inlineStr">
        <is>
          <t>No</t>
        </is>
      </c>
      <c r="G102" s="10" t="inlineStr">
        <is>
          <t>https://www.topuniversities.com/qs-top-uni-wur</t>
        </is>
      </c>
      <c r="H102" s="10" t="inlineStr">
        <is>
          <t>n.a.</t>
        </is>
      </c>
      <c r="I102" s="80">
        <f>COUNTIF('Legacy schemes (v3)'!$B$7:$B$158,B102)</f>
        <v/>
      </c>
      <c r="J102" s="80">
        <f>COUNTIFS('Legacy schemes (v3)'!$B$7:$B$158,B102,'Legacy schemes (v3)'!$C$7:$C$158,"University-wide")</f>
        <v/>
      </c>
      <c r="K102" s="80">
        <f>COUNTIFS('Legacy schemes (v3)'!$B$7:$B$158,B102,'Legacy schemes (v3)'!$C$7:$C$158,"Cross-faculty")+COUNTIFS('Legacy schemes (v3)'!$B$7:$B$158,B102,'Legacy schemes (v3)'!$C$7:$C$158,"Faculty/school")+COUNTIFS('Legacy schemes (v3)'!$B$7:$B$158,B102,'Legacy schemes (v3)'!$C$7:$C$158,"Programme/course")</f>
        <v/>
      </c>
      <c r="L102" s="80">
        <f>COUNTIFS('Legacy schemes (v3)'!$B$7:$B$158,B102,'Legacy schemes (v3)'!$C$7:$C$158,"Not confirmed")</f>
        <v/>
      </c>
      <c r="M102" s="10">
        <f>IF(J102&gt;0,"University-wide scheme/framework documented",IF(COUNTIFS('Legacy schemes (v3)'!$B$7:$B$158,B102,'Legacy schemes (v3)'!$C$7:$C$158,"Cross-faculty")&gt;0,"Cross-faculty; broader reach unverified",IF(COUNTIFS('Legacy schemes (v3)'!$B$7:$B$158,B102,'Legacy schemes (v3)'!$C$7:$C$158,"Faculty/school")&gt;0,"Faculty/school; broader reach unverified",IF(K102&gt;0,"Programme/course; broader reach unverified","Scheme documented; reach unconfirmed"))))</f>
        <v/>
      </c>
      <c r="N102" s="32" t="inlineStr">
        <is>
          <t>EU02</t>
        </is>
      </c>
      <c r="O102" s="77" t="inlineStr"/>
    </row>
    <row r="103" ht="53" customHeight="1">
      <c r="A103" s="10" t="inlineStr">
        <is>
          <t>France</t>
        </is>
      </c>
      <c r="B103" s="11" t="inlineStr">
        <is>
          <t>Sorbonne University</t>
        </is>
      </c>
      <c r="C103" s="10" t="inlineStr">
        <is>
          <t>EU sample</t>
        </is>
      </c>
      <c r="D103" s="80" t="n">
        <v>2027</v>
      </c>
      <c r="E103" s="80" t="n">
        <v>73</v>
      </c>
      <c r="F103" s="10" t="inlineStr">
        <is>
          <t>No</t>
        </is>
      </c>
      <c r="G103" s="10" t="inlineStr">
        <is>
          <t>https://www.topuniversities.com/qs-top-uni-wur</t>
        </is>
      </c>
      <c r="H103" s="10" t="inlineStr">
        <is>
          <t>n.a.</t>
        </is>
      </c>
      <c r="I103" s="80">
        <f>COUNTIF('Legacy schemes (v3)'!$B$7:$B$158,B103)</f>
        <v/>
      </c>
      <c r="J103" s="80">
        <f>COUNTIFS('Legacy schemes (v3)'!$B$7:$B$158,B103,'Legacy schemes (v3)'!$C$7:$C$158,"University-wide")</f>
        <v/>
      </c>
      <c r="K103" s="80">
        <f>COUNTIFS('Legacy schemes (v3)'!$B$7:$B$158,B103,'Legacy schemes (v3)'!$C$7:$C$158,"Cross-faculty")+COUNTIFS('Legacy schemes (v3)'!$B$7:$B$158,B103,'Legacy schemes (v3)'!$C$7:$C$158,"Faculty/school")+COUNTIFS('Legacy schemes (v3)'!$B$7:$B$158,B103,'Legacy schemes (v3)'!$C$7:$C$158,"Programme/course")</f>
        <v/>
      </c>
      <c r="L103" s="80">
        <f>COUNTIFS('Legacy schemes (v3)'!$B$7:$B$158,B103,'Legacy schemes (v3)'!$C$7:$C$158,"Not confirmed")</f>
        <v/>
      </c>
      <c r="M103" s="10">
        <f>IF(J103&gt;0,"University-wide scheme/framework documented",IF(COUNTIFS('Legacy schemes (v3)'!$B$7:$B$158,B103,'Legacy schemes (v3)'!$C$7:$C$158,"Cross-faculty")&gt;0,"Cross-faculty; broader reach unverified",IF(COUNTIFS('Legacy schemes (v3)'!$B$7:$B$158,B103,'Legacy schemes (v3)'!$C$7:$C$158,"Faculty/school")&gt;0,"Faculty/school; broader reach unverified",IF(K103&gt;0,"Programme/course; broader reach unverified","Scheme documented; reach unconfirmed"))))</f>
        <v/>
      </c>
      <c r="N103" s="32" t="inlineStr">
        <is>
          <t>EU03</t>
        </is>
      </c>
      <c r="O103" s="77" t="inlineStr"/>
    </row>
    <row r="104" ht="53" customHeight="1">
      <c r="A104" s="10" t="inlineStr">
        <is>
          <t>France</t>
        </is>
      </c>
      <c r="B104" s="11" t="inlineStr">
        <is>
          <t>Institut Polytechnique de Paris</t>
        </is>
      </c>
      <c r="C104" s="10" t="inlineStr">
        <is>
          <t>EU sample</t>
        </is>
      </c>
      <c r="D104" s="80" t="n">
        <v>2027</v>
      </c>
      <c r="E104" s="80" t="n">
        <v>43</v>
      </c>
      <c r="F104" s="10" t="inlineStr">
        <is>
          <t>Yes</t>
        </is>
      </c>
      <c r="G104" s="10" t="inlineStr">
        <is>
          <t>https://www.topuniversities.com/qs-top-uni-wur</t>
        </is>
      </c>
      <c r="H104" s="10" t="inlineStr">
        <is>
          <t>n.a.</t>
        </is>
      </c>
      <c r="I104" s="80">
        <f>COUNTIF('Legacy schemes (v3)'!$B$7:$B$158,B104)</f>
        <v/>
      </c>
      <c r="J104" s="80">
        <f>COUNTIFS('Legacy schemes (v3)'!$B$7:$B$158,B104,'Legacy schemes (v3)'!$C$7:$C$158,"University-wide")</f>
        <v/>
      </c>
      <c r="K104" s="80">
        <f>COUNTIFS('Legacy schemes (v3)'!$B$7:$B$158,B104,'Legacy schemes (v3)'!$C$7:$C$158,"Cross-faculty")+COUNTIFS('Legacy schemes (v3)'!$B$7:$B$158,B104,'Legacy schemes (v3)'!$C$7:$C$158,"Faculty/school")+COUNTIFS('Legacy schemes (v3)'!$B$7:$B$158,B104,'Legacy schemes (v3)'!$C$7:$C$158,"Programme/course")</f>
        <v/>
      </c>
      <c r="L104" s="80">
        <f>COUNTIFS('Legacy schemes (v3)'!$B$7:$B$158,B104,'Legacy schemes (v3)'!$C$7:$C$158,"Not confirmed")</f>
        <v/>
      </c>
      <c r="M104" s="10">
        <f>IF(J104&gt;0,"University-wide scheme/framework documented",IF(COUNTIFS('Legacy schemes (v3)'!$B$7:$B$158,B104,'Legacy schemes (v3)'!$C$7:$C$158,"Cross-faculty")&gt;0,"Cross-faculty; broader reach unverified",IF(COUNTIFS('Legacy schemes (v3)'!$B$7:$B$158,B104,'Legacy schemes (v3)'!$C$7:$C$158,"Faculty/school")&gt;0,"Faculty/school; broader reach unverified",IF(K104&gt;0,"Programme/course; broader reach unverified","Scheme documented; reach unconfirmed"))))</f>
        <v/>
      </c>
      <c r="N104" s="32" t="inlineStr">
        <is>
          <t>EU04</t>
        </is>
      </c>
      <c r="O104" s="77" t="inlineStr"/>
    </row>
    <row r="105" ht="53" customHeight="1">
      <c r="A105" s="10" t="inlineStr">
        <is>
          <t>France</t>
        </is>
      </c>
      <c r="B105" s="11" t="inlineStr">
        <is>
          <t>Sciences Po</t>
        </is>
      </c>
      <c r="C105" s="10" t="inlineStr">
        <is>
          <t>EU sample</t>
        </is>
      </c>
      <c r="D105" s="80" t="n">
        <v>2027</v>
      </c>
      <c r="E105" s="80" t="n">
        <v>354</v>
      </c>
      <c r="F105" s="10" t="inlineStr">
        <is>
          <t>Yes</t>
        </is>
      </c>
      <c r="G105" s="10" t="inlineStr">
        <is>
          <t>https://www.topuniversities.com/universities/sciences-po</t>
        </is>
      </c>
      <c r="H105" s="10" t="inlineStr">
        <is>
          <t>n.a.</t>
        </is>
      </c>
      <c r="I105" s="80">
        <f>COUNTIF('Legacy schemes (v3)'!$B$7:$B$158,B105)</f>
        <v/>
      </c>
      <c r="J105" s="80">
        <f>COUNTIFS('Legacy schemes (v3)'!$B$7:$B$158,B105,'Legacy schemes (v3)'!$C$7:$C$158,"University-wide")</f>
        <v/>
      </c>
      <c r="K105" s="80">
        <f>COUNTIFS('Legacy schemes (v3)'!$B$7:$B$158,B105,'Legacy schemes (v3)'!$C$7:$C$158,"Cross-faculty")+COUNTIFS('Legacy schemes (v3)'!$B$7:$B$158,B105,'Legacy schemes (v3)'!$C$7:$C$158,"Faculty/school")+COUNTIFS('Legacy schemes (v3)'!$B$7:$B$158,B105,'Legacy schemes (v3)'!$C$7:$C$158,"Programme/course")</f>
        <v/>
      </c>
      <c r="L105" s="80">
        <f>COUNTIFS('Legacy schemes (v3)'!$B$7:$B$158,B105,'Legacy schemes (v3)'!$C$7:$C$158,"Not confirmed")</f>
        <v/>
      </c>
      <c r="M105" s="10">
        <f>IF(J105&gt;0,"University-wide scheme/framework documented",IF(COUNTIFS('Legacy schemes (v3)'!$B$7:$B$158,B105,'Legacy schemes (v3)'!$C$7:$C$158,"Cross-faculty")&gt;0,"Cross-faculty; broader reach unverified",IF(COUNTIFS('Legacy schemes (v3)'!$B$7:$B$158,B105,'Legacy schemes (v3)'!$C$7:$C$158,"Faculty/school")&gt;0,"Faculty/school; broader reach unverified",IF(K105&gt;0,"Programme/course; broader reach unverified","Scheme documented; reach unconfirmed"))))</f>
        <v/>
      </c>
      <c r="N105" s="32" t="inlineStr">
        <is>
          <t>EU05</t>
        </is>
      </c>
      <c r="O105" s="77" t="inlineStr">
        <is>
          <t>QS rank sourced from institution profile page (not ranking table); not re-verified in this review.</t>
        </is>
      </c>
    </row>
    <row r="106" ht="53" customHeight="1">
      <c r="A106" s="10" t="inlineStr">
        <is>
          <t>Germany</t>
        </is>
      </c>
      <c r="B106" s="11" t="inlineStr">
        <is>
          <t>Technical University of Munich</t>
        </is>
      </c>
      <c r="C106" s="10" t="inlineStr">
        <is>
          <t>EU sample</t>
        </is>
      </c>
      <c r="D106" s="80" t="n">
        <v>2027</v>
      </c>
      <c r="E106" s="80" t="n">
        <v>25</v>
      </c>
      <c r="F106" s="10" t="inlineStr">
        <is>
          <t>No</t>
        </is>
      </c>
      <c r="G106" s="10" t="inlineStr">
        <is>
          <t>https://www.topuniversities.com/qs-top-uni-wur</t>
        </is>
      </c>
      <c r="H106" s="10" t="inlineStr">
        <is>
          <t>n.a.</t>
        </is>
      </c>
      <c r="I106" s="80">
        <f>COUNTIF('Legacy schemes (v3)'!$B$7:$B$158,B106)</f>
        <v/>
      </c>
      <c r="J106" s="80">
        <f>COUNTIFS('Legacy schemes (v3)'!$B$7:$B$158,B106,'Legacy schemes (v3)'!$C$7:$C$158,"University-wide")</f>
        <v/>
      </c>
      <c r="K106" s="80">
        <f>COUNTIFS('Legacy schemes (v3)'!$B$7:$B$158,B106,'Legacy schemes (v3)'!$C$7:$C$158,"Cross-faculty")+COUNTIFS('Legacy schemes (v3)'!$B$7:$B$158,B106,'Legacy schemes (v3)'!$C$7:$C$158,"Faculty/school")+COUNTIFS('Legacy schemes (v3)'!$B$7:$B$158,B106,'Legacy schemes (v3)'!$C$7:$C$158,"Programme/course")</f>
        <v/>
      </c>
      <c r="L106" s="80">
        <f>COUNTIFS('Legacy schemes (v3)'!$B$7:$B$158,B106,'Legacy schemes (v3)'!$C$7:$C$158,"Not confirmed")</f>
        <v/>
      </c>
      <c r="M106" s="10">
        <f>IF(J106&gt;0,"University-wide scheme/framework documented",IF(COUNTIFS('Legacy schemes (v3)'!$B$7:$B$158,B106,'Legacy schemes (v3)'!$C$7:$C$158,"Cross-faculty")&gt;0,"Cross-faculty; broader reach unverified",IF(COUNTIFS('Legacy schemes (v3)'!$B$7:$B$158,B106,'Legacy schemes (v3)'!$C$7:$C$158,"Faculty/school")&gt;0,"Faculty/school; broader reach unverified",IF(K106&gt;0,"Programme/course; broader reach unverified","Scheme documented; reach unconfirmed"))))</f>
        <v/>
      </c>
      <c r="N106" s="32" t="inlineStr">
        <is>
          <t>EU06</t>
        </is>
      </c>
      <c r="O106" s="77" t="inlineStr"/>
    </row>
    <row r="107" ht="53" customHeight="1">
      <c r="A107" s="10" t="inlineStr">
        <is>
          <t>Germany</t>
        </is>
      </c>
      <c r="B107" s="11" t="inlineStr">
        <is>
          <t>LMU Munich</t>
        </is>
      </c>
      <c r="C107" s="10" t="inlineStr">
        <is>
          <t>EU sample</t>
        </is>
      </c>
      <c r="D107" s="80" t="n">
        <v>2027</v>
      </c>
      <c r="E107" s="80" t="n">
        <v>61</v>
      </c>
      <c r="F107" s="10" t="inlineStr">
        <is>
          <t>No</t>
        </is>
      </c>
      <c r="G107" s="10" t="inlineStr">
        <is>
          <t>https://www.topuniversities.com/qs-top-uni-wur</t>
        </is>
      </c>
      <c r="H107" s="10" t="inlineStr">
        <is>
          <t>n.a.</t>
        </is>
      </c>
      <c r="I107" s="80">
        <f>COUNTIF('Legacy schemes (v3)'!$B$7:$B$158,B107)</f>
        <v/>
      </c>
      <c r="J107" s="80">
        <f>COUNTIFS('Legacy schemes (v3)'!$B$7:$B$158,B107,'Legacy schemes (v3)'!$C$7:$C$158,"University-wide")</f>
        <v/>
      </c>
      <c r="K107" s="80">
        <f>COUNTIFS('Legacy schemes (v3)'!$B$7:$B$158,B107,'Legacy schemes (v3)'!$C$7:$C$158,"Cross-faculty")+COUNTIFS('Legacy schemes (v3)'!$B$7:$B$158,B107,'Legacy schemes (v3)'!$C$7:$C$158,"Faculty/school")+COUNTIFS('Legacy schemes (v3)'!$B$7:$B$158,B107,'Legacy schemes (v3)'!$C$7:$C$158,"Programme/course")</f>
        <v/>
      </c>
      <c r="L107" s="80">
        <f>COUNTIFS('Legacy schemes (v3)'!$B$7:$B$158,B107,'Legacy schemes (v3)'!$C$7:$C$158,"Not confirmed")</f>
        <v/>
      </c>
      <c r="M107" s="10">
        <f>IF(J107&gt;0,"University-wide scheme/framework documented",IF(COUNTIFS('Legacy schemes (v3)'!$B$7:$B$158,B107,'Legacy schemes (v3)'!$C$7:$C$158,"Cross-faculty")&gt;0,"Cross-faculty; broader reach unverified",IF(COUNTIFS('Legacy schemes (v3)'!$B$7:$B$158,B107,'Legacy schemes (v3)'!$C$7:$C$158,"Faculty/school")&gt;0,"Faculty/school; broader reach unverified",IF(K107&gt;0,"Programme/course; broader reach unverified","Scheme documented; reach unconfirmed"))))</f>
        <v/>
      </c>
      <c r="N107" s="32" t="inlineStr">
        <is>
          <t>EU07</t>
        </is>
      </c>
      <c r="O107" s="77" t="inlineStr"/>
    </row>
    <row r="108" ht="53" customHeight="1">
      <c r="A108" s="10" t="inlineStr">
        <is>
          <t>Germany</t>
        </is>
      </c>
      <c r="B108" s="11" t="inlineStr">
        <is>
          <t>Heidelberg</t>
        </is>
      </c>
      <c r="C108" s="10" t="inlineStr">
        <is>
          <t>EU sample</t>
        </is>
      </c>
      <c r="D108" s="80" t="n">
        <v>2027</v>
      </c>
      <c r="E108" s="80" t="n">
        <v>86</v>
      </c>
      <c r="F108" s="10" t="inlineStr">
        <is>
          <t>No</t>
        </is>
      </c>
      <c r="G108" s="10" t="inlineStr">
        <is>
          <t>https://www.topuniversities.com/qs-top-uni-wur</t>
        </is>
      </c>
      <c r="H108" s="10" t="inlineStr">
        <is>
          <t>n.a.</t>
        </is>
      </c>
      <c r="I108" s="80">
        <f>COUNTIF('Legacy schemes (v3)'!$B$7:$B$158,B108)</f>
        <v/>
      </c>
      <c r="J108" s="80">
        <f>COUNTIFS('Legacy schemes (v3)'!$B$7:$B$158,B108,'Legacy schemes (v3)'!$C$7:$C$158,"University-wide")</f>
        <v/>
      </c>
      <c r="K108" s="80">
        <f>COUNTIFS('Legacy schemes (v3)'!$B$7:$B$158,B108,'Legacy schemes (v3)'!$C$7:$C$158,"Cross-faculty")+COUNTIFS('Legacy schemes (v3)'!$B$7:$B$158,B108,'Legacy schemes (v3)'!$C$7:$C$158,"Faculty/school")+COUNTIFS('Legacy schemes (v3)'!$B$7:$B$158,B108,'Legacy schemes (v3)'!$C$7:$C$158,"Programme/course")</f>
        <v/>
      </c>
      <c r="L108" s="80">
        <f>COUNTIFS('Legacy schemes (v3)'!$B$7:$B$158,B108,'Legacy schemes (v3)'!$C$7:$C$158,"Not confirmed")</f>
        <v/>
      </c>
      <c r="M108" s="10">
        <f>IF(J108&gt;0,"University-wide scheme/framework documented",IF(COUNTIFS('Legacy schemes (v3)'!$B$7:$B$158,B108,'Legacy schemes (v3)'!$C$7:$C$158,"Cross-faculty")&gt;0,"Cross-faculty; broader reach unverified",IF(COUNTIFS('Legacy schemes (v3)'!$B$7:$B$158,B108,'Legacy schemes (v3)'!$C$7:$C$158,"Faculty/school")&gt;0,"Faculty/school; broader reach unverified",IF(K108&gt;0,"Programme/course; broader reach unverified","Scheme documented; reach unconfirmed"))))</f>
        <v/>
      </c>
      <c r="N108" s="32" t="inlineStr">
        <is>
          <t>EU08</t>
        </is>
      </c>
      <c r="O108" s="77" t="inlineStr"/>
    </row>
    <row r="109" ht="53" customHeight="1">
      <c r="A109" s="10" t="inlineStr">
        <is>
          <t>Germany</t>
        </is>
      </c>
      <c r="B109" s="11" t="inlineStr">
        <is>
          <t>RWTH Aachen</t>
        </is>
      </c>
      <c r="C109" s="10" t="inlineStr">
        <is>
          <t>EU sample</t>
        </is>
      </c>
      <c r="D109" s="80" t="n">
        <v>2027</v>
      </c>
      <c r="E109" s="80" t="n">
        <v>104</v>
      </c>
      <c r="F109" s="10" t="inlineStr">
        <is>
          <t>No</t>
        </is>
      </c>
      <c r="G109" s="10" t="inlineStr">
        <is>
          <t>https://www.topuniversities.com/qs-top-uni-wur</t>
        </is>
      </c>
      <c r="H109" s="10" t="inlineStr">
        <is>
          <t>n.a.</t>
        </is>
      </c>
      <c r="I109" s="80">
        <f>COUNTIF('Legacy schemes (v3)'!$B$7:$B$158,B109)</f>
        <v/>
      </c>
      <c r="J109" s="80">
        <f>COUNTIFS('Legacy schemes (v3)'!$B$7:$B$158,B109,'Legacy schemes (v3)'!$C$7:$C$158,"University-wide")</f>
        <v/>
      </c>
      <c r="K109" s="80">
        <f>COUNTIFS('Legacy schemes (v3)'!$B$7:$B$158,B109,'Legacy schemes (v3)'!$C$7:$C$158,"Cross-faculty")+COUNTIFS('Legacy schemes (v3)'!$B$7:$B$158,B109,'Legacy schemes (v3)'!$C$7:$C$158,"Faculty/school")+COUNTIFS('Legacy schemes (v3)'!$B$7:$B$158,B109,'Legacy schemes (v3)'!$C$7:$C$158,"Programme/course")</f>
        <v/>
      </c>
      <c r="L109" s="80">
        <f>COUNTIFS('Legacy schemes (v3)'!$B$7:$B$158,B109,'Legacy schemes (v3)'!$C$7:$C$158,"Not confirmed")</f>
        <v/>
      </c>
      <c r="M109" s="10">
        <f>IF(J109&gt;0,"University-wide scheme/framework documented",IF(COUNTIFS('Legacy schemes (v3)'!$B$7:$B$158,B109,'Legacy schemes (v3)'!$C$7:$C$158,"Cross-faculty")&gt;0,"Cross-faculty; broader reach unverified",IF(COUNTIFS('Legacy schemes (v3)'!$B$7:$B$158,B109,'Legacy schemes (v3)'!$C$7:$C$158,"Faculty/school")&gt;0,"Faculty/school; broader reach unverified",IF(K109&gt;0,"Programme/course; broader reach unverified","Scheme documented; reach unconfirmed"))))</f>
        <v/>
      </c>
      <c r="N109" s="32" t="inlineStr">
        <is>
          <t>EU09</t>
        </is>
      </c>
      <c r="O109" s="77" t="inlineStr"/>
    </row>
    <row r="110" ht="53" customHeight="1">
      <c r="A110" s="10" t="inlineStr">
        <is>
          <t>Germany</t>
        </is>
      </c>
      <c r="B110" s="11" t="inlineStr">
        <is>
          <t>Karlsruhe Institute of Technology</t>
        </is>
      </c>
      <c r="C110" s="10" t="inlineStr">
        <is>
          <t>EU sample</t>
        </is>
      </c>
      <c r="D110" s="80" t="n">
        <v>2027</v>
      </c>
      <c r="E110" s="80" t="n">
        <v>110</v>
      </c>
      <c r="F110" s="10" t="inlineStr">
        <is>
          <t>No</t>
        </is>
      </c>
      <c r="G110" s="10" t="inlineStr">
        <is>
          <t>https://www.topuniversities.com/qs-top-uni-wur</t>
        </is>
      </c>
      <c r="H110" s="10" t="inlineStr">
        <is>
          <t>n.a.</t>
        </is>
      </c>
      <c r="I110" s="80">
        <f>COUNTIF('Legacy schemes (v3)'!$B$7:$B$158,B110)</f>
        <v/>
      </c>
      <c r="J110" s="80">
        <f>COUNTIFS('Legacy schemes (v3)'!$B$7:$B$158,B110,'Legacy schemes (v3)'!$C$7:$C$158,"University-wide")</f>
        <v/>
      </c>
      <c r="K110" s="80">
        <f>COUNTIFS('Legacy schemes (v3)'!$B$7:$B$158,B110,'Legacy schemes (v3)'!$C$7:$C$158,"Cross-faculty")+COUNTIFS('Legacy schemes (v3)'!$B$7:$B$158,B110,'Legacy schemes (v3)'!$C$7:$C$158,"Faculty/school")+COUNTIFS('Legacy schemes (v3)'!$B$7:$B$158,B110,'Legacy schemes (v3)'!$C$7:$C$158,"Programme/course")</f>
        <v/>
      </c>
      <c r="L110" s="80">
        <f>COUNTIFS('Legacy schemes (v3)'!$B$7:$B$158,B110,'Legacy schemes (v3)'!$C$7:$C$158,"Not confirmed")</f>
        <v/>
      </c>
      <c r="M110" s="10">
        <f>IF(J110&gt;0,"University-wide scheme/framework documented",IF(COUNTIFS('Legacy schemes (v3)'!$B$7:$B$158,B110,'Legacy schemes (v3)'!$C$7:$C$158,"Cross-faculty")&gt;0,"Cross-faculty; broader reach unverified",IF(COUNTIFS('Legacy schemes (v3)'!$B$7:$B$158,B110,'Legacy schemes (v3)'!$C$7:$C$158,"Faculty/school")&gt;0,"Faculty/school; broader reach unverified",IF(K110&gt;0,"Programme/course; broader reach unverified","Scheme documented; reach unconfirmed"))))</f>
        <v/>
      </c>
      <c r="N110" s="32" t="inlineStr">
        <is>
          <t>EU10</t>
        </is>
      </c>
      <c r="O110" s="77" t="inlineStr"/>
    </row>
    <row r="111" ht="53" customHeight="1">
      <c r="A111" s="10" t="inlineStr">
        <is>
          <t>Germany</t>
        </is>
      </c>
      <c r="B111" s="11" t="inlineStr">
        <is>
          <t>Humboldt Berlin</t>
        </is>
      </c>
      <c r="C111" s="10" t="inlineStr">
        <is>
          <t>EU sample</t>
        </is>
      </c>
      <c r="D111" s="80" t="n">
        <v>2027</v>
      </c>
      <c r="E111" s="80" t="n">
        <v>140</v>
      </c>
      <c r="F111" s="10" t="inlineStr">
        <is>
          <t>Yes</t>
        </is>
      </c>
      <c r="G111" s="10" t="inlineStr">
        <is>
          <t>https://www.topuniversities.com/qs-top-uni-wur</t>
        </is>
      </c>
      <c r="H111" s="10" t="inlineStr">
        <is>
          <t>n.a.</t>
        </is>
      </c>
      <c r="I111" s="80">
        <f>COUNTIF('Legacy schemes (v3)'!$B$7:$B$158,B111)</f>
        <v/>
      </c>
      <c r="J111" s="80">
        <f>COUNTIFS('Legacy schemes (v3)'!$B$7:$B$158,B111,'Legacy schemes (v3)'!$C$7:$C$158,"University-wide")</f>
        <v/>
      </c>
      <c r="K111" s="80">
        <f>COUNTIFS('Legacy schemes (v3)'!$B$7:$B$158,B111,'Legacy schemes (v3)'!$C$7:$C$158,"Cross-faculty")+COUNTIFS('Legacy schemes (v3)'!$B$7:$B$158,B111,'Legacy schemes (v3)'!$C$7:$C$158,"Faculty/school")+COUNTIFS('Legacy schemes (v3)'!$B$7:$B$158,B111,'Legacy schemes (v3)'!$C$7:$C$158,"Programme/course")</f>
        <v/>
      </c>
      <c r="L111" s="80">
        <f>COUNTIFS('Legacy schemes (v3)'!$B$7:$B$158,B111,'Legacy schemes (v3)'!$C$7:$C$158,"Not confirmed")</f>
        <v/>
      </c>
      <c r="M111" s="10">
        <f>IF(J111&gt;0,"University-wide scheme/framework documented",IF(COUNTIFS('Legacy schemes (v3)'!$B$7:$B$158,B111,'Legacy schemes (v3)'!$C$7:$C$158,"Cross-faculty")&gt;0,"Cross-faculty; broader reach unverified",IF(COUNTIFS('Legacy schemes (v3)'!$B$7:$B$158,B111,'Legacy schemes (v3)'!$C$7:$C$158,"Faculty/school")&gt;0,"Faculty/school; broader reach unverified",IF(K111&gt;0,"Programme/course; broader reach unverified","Scheme documented; reach unconfirmed"))))</f>
        <v/>
      </c>
      <c r="N111" s="32" t="inlineStr">
        <is>
          <t>EU11</t>
        </is>
      </c>
      <c r="O111" s="77" t="inlineStr"/>
    </row>
    <row r="112" ht="53" customHeight="1">
      <c r="A112" s="10" t="inlineStr">
        <is>
          <t>Netherlands</t>
        </is>
      </c>
      <c r="B112" s="11" t="inlineStr">
        <is>
          <t>Delft University of Technology</t>
        </is>
      </c>
      <c r="C112" s="10" t="inlineStr">
        <is>
          <t>EU sample</t>
        </is>
      </c>
      <c r="D112" s="80" t="n">
        <v>2027</v>
      </c>
      <c r="E112" s="80" t="n">
        <v>48</v>
      </c>
      <c r="F112" s="10" t="inlineStr">
        <is>
          <t>No</t>
        </is>
      </c>
      <c r="G112" s="10" t="inlineStr">
        <is>
          <t>https://www.topuniversities.com/qs-top-uni-wur</t>
        </is>
      </c>
      <c r="H112" s="10" t="inlineStr">
        <is>
          <t>n.a.</t>
        </is>
      </c>
      <c r="I112" s="80">
        <f>COUNTIF('Legacy schemes (v3)'!$B$7:$B$158,B112)</f>
        <v/>
      </c>
      <c r="J112" s="80">
        <f>COUNTIFS('Legacy schemes (v3)'!$B$7:$B$158,B112,'Legacy schemes (v3)'!$C$7:$C$158,"University-wide")</f>
        <v/>
      </c>
      <c r="K112" s="80">
        <f>COUNTIFS('Legacy schemes (v3)'!$B$7:$B$158,B112,'Legacy schemes (v3)'!$C$7:$C$158,"Cross-faculty")+COUNTIFS('Legacy schemes (v3)'!$B$7:$B$158,B112,'Legacy schemes (v3)'!$C$7:$C$158,"Faculty/school")+COUNTIFS('Legacy schemes (v3)'!$B$7:$B$158,B112,'Legacy schemes (v3)'!$C$7:$C$158,"Programme/course")</f>
        <v/>
      </c>
      <c r="L112" s="80">
        <f>COUNTIFS('Legacy schemes (v3)'!$B$7:$B$158,B112,'Legacy schemes (v3)'!$C$7:$C$158,"Not confirmed")</f>
        <v/>
      </c>
      <c r="M112" s="10">
        <f>IF(J112&gt;0,"University-wide scheme/framework documented",IF(COUNTIFS('Legacy schemes (v3)'!$B$7:$B$158,B112,'Legacy schemes (v3)'!$C$7:$C$158,"Cross-faculty")&gt;0,"Cross-faculty; broader reach unverified",IF(COUNTIFS('Legacy schemes (v3)'!$B$7:$B$158,B112,'Legacy schemes (v3)'!$C$7:$C$158,"Faculty/school")&gt;0,"Faculty/school; broader reach unverified",IF(K112&gt;0,"Programme/course; broader reach unverified","Scheme documented; reach unconfirmed"))))</f>
        <v/>
      </c>
      <c r="N112" s="32" t="inlineStr">
        <is>
          <t>EU12</t>
        </is>
      </c>
      <c r="O112" s="77" t="inlineStr"/>
    </row>
    <row r="113" ht="53" customHeight="1">
      <c r="A113" s="10" t="inlineStr">
        <is>
          <t>Netherlands</t>
        </is>
      </c>
      <c r="B113" s="11" t="inlineStr">
        <is>
          <t>Amsterdam</t>
        </is>
      </c>
      <c r="C113" s="10" t="inlineStr">
        <is>
          <t>EU sample</t>
        </is>
      </c>
      <c r="D113" s="80" t="n">
        <v>2027</v>
      </c>
      <c r="E113" s="80" t="n">
        <v>60</v>
      </c>
      <c r="F113" s="10" t="inlineStr">
        <is>
          <t>No</t>
        </is>
      </c>
      <c r="G113" s="10" t="inlineStr">
        <is>
          <t>https://www.topuniversities.com/qs-top-uni-wur</t>
        </is>
      </c>
      <c r="H113" s="10" t="inlineStr">
        <is>
          <t>n.a.</t>
        </is>
      </c>
      <c r="I113" s="80">
        <f>COUNTIF('Legacy schemes (v3)'!$B$7:$B$158,B113)</f>
        <v/>
      </c>
      <c r="J113" s="80">
        <f>COUNTIFS('Legacy schemes (v3)'!$B$7:$B$158,B113,'Legacy schemes (v3)'!$C$7:$C$158,"University-wide")</f>
        <v/>
      </c>
      <c r="K113" s="80">
        <f>COUNTIFS('Legacy schemes (v3)'!$B$7:$B$158,B113,'Legacy schemes (v3)'!$C$7:$C$158,"Cross-faculty")+COUNTIFS('Legacy schemes (v3)'!$B$7:$B$158,B113,'Legacy schemes (v3)'!$C$7:$C$158,"Faculty/school")+COUNTIFS('Legacy schemes (v3)'!$B$7:$B$158,B113,'Legacy schemes (v3)'!$C$7:$C$158,"Programme/course")</f>
        <v/>
      </c>
      <c r="L113" s="80">
        <f>COUNTIFS('Legacy schemes (v3)'!$B$7:$B$158,B113,'Legacy schemes (v3)'!$C$7:$C$158,"Not confirmed")</f>
        <v/>
      </c>
      <c r="M113" s="10">
        <f>IF(J113&gt;0,"University-wide scheme/framework documented",IF(COUNTIFS('Legacy schemes (v3)'!$B$7:$B$158,B113,'Legacy schemes (v3)'!$C$7:$C$158,"Cross-faculty")&gt;0,"Cross-faculty; broader reach unverified",IF(COUNTIFS('Legacy schemes (v3)'!$B$7:$B$158,B113,'Legacy schemes (v3)'!$C$7:$C$158,"Faculty/school")&gt;0,"Faculty/school; broader reach unverified",IF(K113&gt;0,"Programme/course; broader reach unverified","Scheme documented; reach unconfirmed"))))</f>
        <v/>
      </c>
      <c r="N113" s="32" t="inlineStr">
        <is>
          <t>EU13</t>
        </is>
      </c>
      <c r="O113" s="77" t="inlineStr"/>
    </row>
    <row r="114" ht="53" customHeight="1">
      <c r="A114" s="10" t="inlineStr">
        <is>
          <t>Netherlands</t>
        </is>
      </c>
      <c r="B114" s="11" t="inlineStr">
        <is>
          <t>Utrecht</t>
        </is>
      </c>
      <c r="C114" s="10" t="inlineStr">
        <is>
          <t>EU sample</t>
        </is>
      </c>
      <c r="D114" s="80" t="n">
        <v>2027</v>
      </c>
      <c r="E114" s="80" t="n">
        <v>113</v>
      </c>
      <c r="F114" s="10" t="inlineStr">
        <is>
          <t>Yes</t>
        </is>
      </c>
      <c r="G114" s="10" t="inlineStr">
        <is>
          <t>https://www.topuniversities.com/qs-top-uni-wur</t>
        </is>
      </c>
      <c r="H114" s="10" t="inlineStr">
        <is>
          <t>n.a.</t>
        </is>
      </c>
      <c r="I114" s="80">
        <f>COUNTIF('Legacy schemes (v3)'!$B$7:$B$158,B114)</f>
        <v/>
      </c>
      <c r="J114" s="80">
        <f>COUNTIFS('Legacy schemes (v3)'!$B$7:$B$158,B114,'Legacy schemes (v3)'!$C$7:$C$158,"University-wide")</f>
        <v/>
      </c>
      <c r="K114" s="80">
        <f>COUNTIFS('Legacy schemes (v3)'!$B$7:$B$158,B114,'Legacy schemes (v3)'!$C$7:$C$158,"Cross-faculty")+COUNTIFS('Legacy schemes (v3)'!$B$7:$B$158,B114,'Legacy schemes (v3)'!$C$7:$C$158,"Faculty/school")+COUNTIFS('Legacy schemes (v3)'!$B$7:$B$158,B114,'Legacy schemes (v3)'!$C$7:$C$158,"Programme/course")</f>
        <v/>
      </c>
      <c r="L114" s="80">
        <f>COUNTIFS('Legacy schemes (v3)'!$B$7:$B$158,B114,'Legacy schemes (v3)'!$C$7:$C$158,"Not confirmed")</f>
        <v/>
      </c>
      <c r="M114" s="10">
        <f>IF(J114&gt;0,"University-wide scheme/framework documented",IF(COUNTIFS('Legacy schemes (v3)'!$B$7:$B$158,B114,'Legacy schemes (v3)'!$C$7:$C$158,"Cross-faculty")&gt;0,"Cross-faculty; broader reach unverified",IF(COUNTIFS('Legacy schemes (v3)'!$B$7:$B$158,B114,'Legacy schemes (v3)'!$C$7:$C$158,"Faculty/school")&gt;0,"Faculty/school; broader reach unverified",IF(K114&gt;0,"Programme/course; broader reach unverified","Scheme documented; reach unconfirmed"))))</f>
        <v/>
      </c>
      <c r="N114" s="32" t="inlineStr">
        <is>
          <t>EU14</t>
        </is>
      </c>
      <c r="O114" s="77" t="inlineStr"/>
    </row>
    <row r="115" ht="53" customHeight="1">
      <c r="A115" s="10" t="inlineStr">
        <is>
          <t>Netherlands</t>
        </is>
      </c>
      <c r="B115" s="11" t="inlineStr">
        <is>
          <t>Leiden</t>
        </is>
      </c>
      <c r="C115" s="10" t="inlineStr">
        <is>
          <t>EU sample</t>
        </is>
      </c>
      <c r="D115" s="80" t="n">
        <v>2027</v>
      </c>
      <c r="E115" s="80" t="n">
        <v>119</v>
      </c>
      <c r="F115" s="10" t="inlineStr">
        <is>
          <t>Yes</t>
        </is>
      </c>
      <c r="G115" s="10" t="inlineStr">
        <is>
          <t>https://www.topuniversities.com/qs-top-uni-wur</t>
        </is>
      </c>
      <c r="H115" s="10" t="inlineStr">
        <is>
          <t>n.a.</t>
        </is>
      </c>
      <c r="I115" s="80">
        <f>COUNTIF('Legacy schemes (v3)'!$B$7:$B$158,B115)</f>
        <v/>
      </c>
      <c r="J115" s="80">
        <f>COUNTIFS('Legacy schemes (v3)'!$B$7:$B$158,B115,'Legacy schemes (v3)'!$C$7:$C$158,"University-wide")</f>
        <v/>
      </c>
      <c r="K115" s="80">
        <f>COUNTIFS('Legacy schemes (v3)'!$B$7:$B$158,B115,'Legacy schemes (v3)'!$C$7:$C$158,"Cross-faculty")+COUNTIFS('Legacy schemes (v3)'!$B$7:$B$158,B115,'Legacy schemes (v3)'!$C$7:$C$158,"Faculty/school")+COUNTIFS('Legacy schemes (v3)'!$B$7:$B$158,B115,'Legacy schemes (v3)'!$C$7:$C$158,"Programme/course")</f>
        <v/>
      </c>
      <c r="L115" s="80">
        <f>COUNTIFS('Legacy schemes (v3)'!$B$7:$B$158,B115,'Legacy schemes (v3)'!$C$7:$C$158,"Not confirmed")</f>
        <v/>
      </c>
      <c r="M115" s="10">
        <f>IF(J115&gt;0,"University-wide scheme/framework documented",IF(COUNTIFS('Legacy schemes (v3)'!$B$7:$B$158,B115,'Legacy schemes (v3)'!$C$7:$C$158,"Cross-faculty")&gt;0,"Cross-faculty; broader reach unverified",IF(COUNTIFS('Legacy schemes (v3)'!$B$7:$B$158,B115,'Legacy schemes (v3)'!$C$7:$C$158,"Faculty/school")&gt;0,"Faculty/school; broader reach unverified",IF(K115&gt;0,"Programme/course; broader reach unverified","Scheme documented; reach unconfirmed"))))</f>
        <v/>
      </c>
      <c r="N115" s="32" t="inlineStr">
        <is>
          <t>EU15</t>
        </is>
      </c>
      <c r="O115" s="77" t="inlineStr"/>
    </row>
    <row r="116" ht="53" customHeight="1">
      <c r="A116" s="10" t="inlineStr">
        <is>
          <t>Netherlands</t>
        </is>
      </c>
      <c r="B116" s="11" t="inlineStr">
        <is>
          <t>Wageningen</t>
        </is>
      </c>
      <c r="C116" s="10" t="inlineStr">
        <is>
          <t>EU sample</t>
        </is>
      </c>
      <c r="D116" s="80" t="n">
        <v>2027</v>
      </c>
      <c r="E116" s="80" t="n">
        <v>154</v>
      </c>
      <c r="F116" s="10" t="inlineStr">
        <is>
          <t>No</t>
        </is>
      </c>
      <c r="G116" s="10" t="inlineStr">
        <is>
          <t>https://www.topuniversities.com/qs-top-uni-wur</t>
        </is>
      </c>
      <c r="H116" s="10" t="inlineStr">
        <is>
          <t>n.a.</t>
        </is>
      </c>
      <c r="I116" s="80">
        <f>COUNTIF('Legacy schemes (v3)'!$B$7:$B$158,B116)</f>
        <v/>
      </c>
      <c r="J116" s="80">
        <f>COUNTIFS('Legacy schemes (v3)'!$B$7:$B$158,B116,'Legacy schemes (v3)'!$C$7:$C$158,"University-wide")</f>
        <v/>
      </c>
      <c r="K116" s="80">
        <f>COUNTIFS('Legacy schemes (v3)'!$B$7:$B$158,B116,'Legacy schemes (v3)'!$C$7:$C$158,"Cross-faculty")+COUNTIFS('Legacy schemes (v3)'!$B$7:$B$158,B116,'Legacy schemes (v3)'!$C$7:$C$158,"Faculty/school")+COUNTIFS('Legacy schemes (v3)'!$B$7:$B$158,B116,'Legacy schemes (v3)'!$C$7:$C$158,"Programme/course")</f>
        <v/>
      </c>
      <c r="L116" s="80">
        <f>COUNTIFS('Legacy schemes (v3)'!$B$7:$B$158,B116,'Legacy schemes (v3)'!$C$7:$C$158,"Not confirmed")</f>
        <v/>
      </c>
      <c r="M116" s="10">
        <f>IF(J116&gt;0,"University-wide scheme/framework documented",IF(COUNTIFS('Legacy schemes (v3)'!$B$7:$B$158,B116,'Legacy schemes (v3)'!$C$7:$C$158,"Cross-faculty")&gt;0,"Cross-faculty; broader reach unverified",IF(COUNTIFS('Legacy schemes (v3)'!$B$7:$B$158,B116,'Legacy schemes (v3)'!$C$7:$C$158,"Faculty/school")&gt;0,"Faculty/school; broader reach unverified",IF(K116&gt;0,"Programme/course; broader reach unverified","Scheme documented; reach unconfirmed"))))</f>
        <v/>
      </c>
      <c r="N116" s="32" t="inlineStr">
        <is>
          <t>EU16</t>
        </is>
      </c>
      <c r="O116" s="77" t="inlineStr"/>
    </row>
    <row r="117" ht="53" customHeight="1">
      <c r="A117" s="10" t="inlineStr">
        <is>
          <t>Belgium</t>
        </is>
      </c>
      <c r="B117" s="11" t="inlineStr">
        <is>
          <t>KU Leuven</t>
        </is>
      </c>
      <c r="C117" s="10" t="inlineStr">
        <is>
          <t>EU sample</t>
        </is>
      </c>
      <c r="D117" s="80" t="n">
        <v>2027</v>
      </c>
      <c r="E117" s="80" t="n">
        <v>59</v>
      </c>
      <c r="F117" s="10" t="inlineStr">
        <is>
          <t>No</t>
        </is>
      </c>
      <c r="G117" s="10" t="inlineStr">
        <is>
          <t>https://www.topuniversities.com/qs-top-uni-wur</t>
        </is>
      </c>
      <c r="H117" s="10" t="inlineStr">
        <is>
          <t>n.a.</t>
        </is>
      </c>
      <c r="I117" s="80">
        <f>COUNTIF('Legacy schemes (v3)'!$B$7:$B$158,B117)</f>
        <v/>
      </c>
      <c r="J117" s="80">
        <f>COUNTIFS('Legacy schemes (v3)'!$B$7:$B$158,B117,'Legacy schemes (v3)'!$C$7:$C$158,"University-wide")</f>
        <v/>
      </c>
      <c r="K117" s="80">
        <f>COUNTIFS('Legacy schemes (v3)'!$B$7:$B$158,B117,'Legacy schemes (v3)'!$C$7:$C$158,"Cross-faculty")+COUNTIFS('Legacy schemes (v3)'!$B$7:$B$158,B117,'Legacy schemes (v3)'!$C$7:$C$158,"Faculty/school")+COUNTIFS('Legacy schemes (v3)'!$B$7:$B$158,B117,'Legacy schemes (v3)'!$C$7:$C$158,"Programme/course")</f>
        <v/>
      </c>
      <c r="L117" s="80">
        <f>COUNTIFS('Legacy schemes (v3)'!$B$7:$B$158,B117,'Legacy schemes (v3)'!$C$7:$C$158,"Not confirmed")</f>
        <v/>
      </c>
      <c r="M117" s="10">
        <f>IF(J117&gt;0,"University-wide scheme/framework documented",IF(COUNTIFS('Legacy schemes (v3)'!$B$7:$B$158,B117,'Legacy schemes (v3)'!$C$7:$C$158,"Cross-faculty")&gt;0,"Cross-faculty; broader reach unverified",IF(COUNTIFS('Legacy schemes (v3)'!$B$7:$B$158,B117,'Legacy schemes (v3)'!$C$7:$C$158,"Faculty/school")&gt;0,"Faculty/school; broader reach unverified",IF(K117&gt;0,"Programme/course; broader reach unverified","Scheme documented; reach unconfirmed"))))</f>
        <v/>
      </c>
      <c r="N117" s="32" t="inlineStr">
        <is>
          <t>EU17</t>
        </is>
      </c>
      <c r="O117" s="77" t="inlineStr"/>
    </row>
    <row r="118" ht="53" customHeight="1">
      <c r="A118" s="10" t="inlineStr">
        <is>
          <t>Belgium</t>
        </is>
      </c>
      <c r="B118" s="11" t="inlineStr">
        <is>
          <t>Ghent</t>
        </is>
      </c>
      <c r="C118" s="10" t="inlineStr">
        <is>
          <t>EU sample</t>
        </is>
      </c>
      <c r="D118" s="80" t="n">
        <v>2027</v>
      </c>
      <c r="E118" s="80" t="n">
        <v>150</v>
      </c>
      <c r="F118" s="10" t="inlineStr">
        <is>
          <t>Yes</t>
        </is>
      </c>
      <c r="G118" s="10" t="inlineStr">
        <is>
          <t>https://www.topuniversities.com/qs-top-uni-wur</t>
        </is>
      </c>
      <c r="H118" s="10" t="inlineStr">
        <is>
          <t>n.a.</t>
        </is>
      </c>
      <c r="I118" s="80">
        <f>COUNTIF('Legacy schemes (v3)'!$B$7:$B$158,B118)</f>
        <v/>
      </c>
      <c r="J118" s="80">
        <f>COUNTIFS('Legacy schemes (v3)'!$B$7:$B$158,B118,'Legacy schemes (v3)'!$C$7:$C$158,"University-wide")</f>
        <v/>
      </c>
      <c r="K118" s="80">
        <f>COUNTIFS('Legacy schemes (v3)'!$B$7:$B$158,B118,'Legacy schemes (v3)'!$C$7:$C$158,"Cross-faculty")+COUNTIFS('Legacy schemes (v3)'!$B$7:$B$158,B118,'Legacy schemes (v3)'!$C$7:$C$158,"Faculty/school")+COUNTIFS('Legacy schemes (v3)'!$B$7:$B$158,B118,'Legacy schemes (v3)'!$C$7:$C$158,"Programme/course")</f>
        <v/>
      </c>
      <c r="L118" s="80">
        <f>COUNTIFS('Legacy schemes (v3)'!$B$7:$B$158,B118,'Legacy schemes (v3)'!$C$7:$C$158,"Not confirmed")</f>
        <v/>
      </c>
      <c r="M118" s="10">
        <f>IF(J118&gt;0,"University-wide scheme/framework documented",IF(COUNTIFS('Legacy schemes (v3)'!$B$7:$B$158,B118,'Legacy schemes (v3)'!$C$7:$C$158,"Cross-faculty")&gt;0,"Cross-faculty; broader reach unverified",IF(COUNTIFS('Legacy schemes (v3)'!$B$7:$B$158,B118,'Legacy schemes (v3)'!$C$7:$C$158,"Faculty/school")&gt;0,"Faculty/school; broader reach unverified",IF(K118&gt;0,"Programme/course; broader reach unverified","Scheme documented; reach unconfirmed"))))</f>
        <v/>
      </c>
      <c r="N118" s="32" t="inlineStr">
        <is>
          <t>EU18</t>
        </is>
      </c>
      <c r="O118" s="77" t="inlineStr"/>
    </row>
    <row r="119" ht="53" customHeight="1">
      <c r="A119" s="10" t="inlineStr">
        <is>
          <t>Ireland</t>
        </is>
      </c>
      <c r="B119" s="11" t="inlineStr">
        <is>
          <t>Trinity College Dublin</t>
        </is>
      </c>
      <c r="C119" s="10" t="inlineStr">
        <is>
          <t>EU sample</t>
        </is>
      </c>
      <c r="D119" s="80" t="n">
        <v>2027</v>
      </c>
      <c r="E119" s="80" t="n">
        <v>75</v>
      </c>
      <c r="F119" s="10" t="inlineStr">
        <is>
          <t>No</t>
        </is>
      </c>
      <c r="G119" s="10" t="inlineStr">
        <is>
          <t>https://www.topuniversities.com/qs-top-uni-wur</t>
        </is>
      </c>
      <c r="H119" s="10" t="inlineStr">
        <is>
          <t>n.a.</t>
        </is>
      </c>
      <c r="I119" s="80">
        <f>COUNTIF('Legacy schemes (v3)'!$B$7:$B$158,B119)</f>
        <v/>
      </c>
      <c r="J119" s="80">
        <f>COUNTIFS('Legacy schemes (v3)'!$B$7:$B$158,B119,'Legacy schemes (v3)'!$C$7:$C$158,"University-wide")</f>
        <v/>
      </c>
      <c r="K119" s="80">
        <f>COUNTIFS('Legacy schemes (v3)'!$B$7:$B$158,B119,'Legacy schemes (v3)'!$C$7:$C$158,"Cross-faculty")+COUNTIFS('Legacy schemes (v3)'!$B$7:$B$158,B119,'Legacy schemes (v3)'!$C$7:$C$158,"Faculty/school")+COUNTIFS('Legacy schemes (v3)'!$B$7:$B$158,B119,'Legacy schemes (v3)'!$C$7:$C$158,"Programme/course")</f>
        <v/>
      </c>
      <c r="L119" s="80">
        <f>COUNTIFS('Legacy schemes (v3)'!$B$7:$B$158,B119,'Legacy schemes (v3)'!$C$7:$C$158,"Not confirmed")</f>
        <v/>
      </c>
      <c r="M119" s="10">
        <f>IF(J119&gt;0,"University-wide scheme/framework documented",IF(COUNTIFS('Legacy schemes (v3)'!$B$7:$B$158,B119,'Legacy schemes (v3)'!$C$7:$C$158,"Cross-faculty")&gt;0,"Cross-faculty; broader reach unverified",IF(COUNTIFS('Legacy schemes (v3)'!$B$7:$B$158,B119,'Legacy schemes (v3)'!$C$7:$C$158,"Faculty/school")&gt;0,"Faculty/school; broader reach unverified",IF(K119&gt;0,"Programme/course; broader reach unverified","Scheme documented; reach unconfirmed"))))</f>
        <v/>
      </c>
      <c r="N119" s="32" t="inlineStr">
        <is>
          <t>EU19</t>
        </is>
      </c>
      <c r="O119" s="77" t="inlineStr"/>
    </row>
    <row r="120" ht="53" customHeight="1">
      <c r="A120" s="10" t="inlineStr">
        <is>
          <t>Ireland</t>
        </is>
      </c>
      <c r="B120" s="11" t="inlineStr">
        <is>
          <t>University College Dublin</t>
        </is>
      </c>
      <c r="C120" s="10" t="inlineStr">
        <is>
          <t>EU sample</t>
        </is>
      </c>
      <c r="D120" s="80" t="n">
        <v>2027</v>
      </c>
      <c r="E120" s="80" t="n">
        <v>100</v>
      </c>
      <c r="F120" s="10" t="inlineStr">
        <is>
          <t>Yes</t>
        </is>
      </c>
      <c r="G120" s="10" t="inlineStr">
        <is>
          <t>https://www.topuniversities.com/qs-top-uni-wur</t>
        </is>
      </c>
      <c r="H120" s="10" t="inlineStr">
        <is>
          <t>n.a.</t>
        </is>
      </c>
      <c r="I120" s="80">
        <f>COUNTIF('Legacy schemes (v3)'!$B$7:$B$158,B120)</f>
        <v/>
      </c>
      <c r="J120" s="80">
        <f>COUNTIFS('Legacy schemes (v3)'!$B$7:$B$158,B120,'Legacy schemes (v3)'!$C$7:$C$158,"University-wide")</f>
        <v/>
      </c>
      <c r="K120" s="80">
        <f>COUNTIFS('Legacy schemes (v3)'!$B$7:$B$158,B120,'Legacy schemes (v3)'!$C$7:$C$158,"Cross-faculty")+COUNTIFS('Legacy schemes (v3)'!$B$7:$B$158,B120,'Legacy schemes (v3)'!$C$7:$C$158,"Faculty/school")+COUNTIFS('Legacy schemes (v3)'!$B$7:$B$158,B120,'Legacy schemes (v3)'!$C$7:$C$158,"Programme/course")</f>
        <v/>
      </c>
      <c r="L120" s="80">
        <f>COUNTIFS('Legacy schemes (v3)'!$B$7:$B$158,B120,'Legacy schemes (v3)'!$C$7:$C$158,"Not confirmed")</f>
        <v/>
      </c>
      <c r="M120" s="10">
        <f>IF(J120&gt;0,"University-wide scheme/framework documented",IF(COUNTIFS('Legacy schemes (v3)'!$B$7:$B$158,B120,'Legacy schemes (v3)'!$C$7:$C$158,"Cross-faculty")&gt;0,"Cross-faculty; broader reach unverified",IF(COUNTIFS('Legacy schemes (v3)'!$B$7:$B$158,B120,'Legacy schemes (v3)'!$C$7:$C$158,"Faculty/school")&gt;0,"Faculty/school; broader reach unverified",IF(K120&gt;0,"Programme/course; broader reach unverified","Scheme documented; reach unconfirmed"))))</f>
        <v/>
      </c>
      <c r="N120" s="32" t="inlineStr">
        <is>
          <t>EU20</t>
        </is>
      </c>
      <c r="O120" s="77" t="inlineStr"/>
    </row>
    <row r="121" ht="53" customHeight="1">
      <c r="A121" s="10" t="inlineStr">
        <is>
          <t>Denmark</t>
        </is>
      </c>
      <c r="B121" s="11" t="inlineStr">
        <is>
          <t>Copenhagen</t>
        </is>
      </c>
      <c r="C121" s="10" t="inlineStr">
        <is>
          <t>EU sample</t>
        </is>
      </c>
      <c r="D121" s="80" t="n">
        <v>2027</v>
      </c>
      <c r="E121" s="80" t="n">
        <v>90</v>
      </c>
      <c r="F121" s="10" t="inlineStr">
        <is>
          <t>Yes</t>
        </is>
      </c>
      <c r="G121" s="10" t="inlineStr">
        <is>
          <t>https://www.topuniversities.com/qs-top-uni-wur</t>
        </is>
      </c>
      <c r="H121" s="10" t="inlineStr">
        <is>
          <t>n.a.</t>
        </is>
      </c>
      <c r="I121" s="80">
        <f>COUNTIF('Legacy schemes (v3)'!$B$7:$B$158,B121)</f>
        <v/>
      </c>
      <c r="J121" s="80">
        <f>COUNTIFS('Legacy schemes (v3)'!$B$7:$B$158,B121,'Legacy schemes (v3)'!$C$7:$C$158,"University-wide")</f>
        <v/>
      </c>
      <c r="K121" s="80">
        <f>COUNTIFS('Legacy schemes (v3)'!$B$7:$B$158,B121,'Legacy schemes (v3)'!$C$7:$C$158,"Cross-faculty")+COUNTIFS('Legacy schemes (v3)'!$B$7:$B$158,B121,'Legacy schemes (v3)'!$C$7:$C$158,"Faculty/school")+COUNTIFS('Legacy schemes (v3)'!$B$7:$B$158,B121,'Legacy schemes (v3)'!$C$7:$C$158,"Programme/course")</f>
        <v/>
      </c>
      <c r="L121" s="80">
        <f>COUNTIFS('Legacy schemes (v3)'!$B$7:$B$158,B121,'Legacy schemes (v3)'!$C$7:$C$158,"Not confirmed")</f>
        <v/>
      </c>
      <c r="M121" s="10">
        <f>IF(J121&gt;0,"University-wide scheme/framework documented",IF(COUNTIFS('Legacy schemes (v3)'!$B$7:$B$158,B121,'Legacy schemes (v3)'!$C$7:$C$158,"Cross-faculty")&gt;0,"Cross-faculty; broader reach unverified",IF(COUNTIFS('Legacy schemes (v3)'!$B$7:$B$158,B121,'Legacy schemes (v3)'!$C$7:$C$158,"Faculty/school")&gt;0,"Faculty/school; broader reach unverified",IF(K121&gt;0,"Programme/course; broader reach unverified","Scheme documented; reach unconfirmed"))))</f>
        <v/>
      </c>
      <c r="N121" s="32" t="inlineStr">
        <is>
          <t>EU21</t>
        </is>
      </c>
      <c r="O121" s="77" t="inlineStr"/>
    </row>
    <row r="122" ht="53" customHeight="1">
      <c r="A122" s="10" t="inlineStr">
        <is>
          <t>Denmark</t>
        </is>
      </c>
      <c r="B122" s="11" t="inlineStr">
        <is>
          <t>Aarhus</t>
        </is>
      </c>
      <c r="C122" s="10" t="inlineStr">
        <is>
          <t>EU sample</t>
        </is>
      </c>
      <c r="D122" s="80" t="n">
        <v>2027</v>
      </c>
      <c r="E122" s="80" t="n">
        <v>128</v>
      </c>
      <c r="F122" s="10" t="inlineStr">
        <is>
          <t>Yes</t>
        </is>
      </c>
      <c r="G122" s="10" t="inlineStr">
        <is>
          <t>https://www.topuniversities.com/qs-top-uni-wur</t>
        </is>
      </c>
      <c r="H122" s="10" t="inlineStr">
        <is>
          <t>n.a.</t>
        </is>
      </c>
      <c r="I122" s="80">
        <f>COUNTIF('Legacy schemes (v3)'!$B$7:$B$158,B122)</f>
        <v/>
      </c>
      <c r="J122" s="80">
        <f>COUNTIFS('Legacy schemes (v3)'!$B$7:$B$158,B122,'Legacy schemes (v3)'!$C$7:$C$158,"University-wide")</f>
        <v/>
      </c>
      <c r="K122" s="80">
        <f>COUNTIFS('Legacy schemes (v3)'!$B$7:$B$158,B122,'Legacy schemes (v3)'!$C$7:$C$158,"Cross-faculty")+COUNTIFS('Legacy schemes (v3)'!$B$7:$B$158,B122,'Legacy schemes (v3)'!$C$7:$C$158,"Faculty/school")+COUNTIFS('Legacy schemes (v3)'!$B$7:$B$158,B122,'Legacy schemes (v3)'!$C$7:$C$158,"Programme/course")</f>
        <v/>
      </c>
      <c r="L122" s="80">
        <f>COUNTIFS('Legacy schemes (v3)'!$B$7:$B$158,B122,'Legacy schemes (v3)'!$C$7:$C$158,"Not confirmed")</f>
        <v/>
      </c>
      <c r="M122" s="10">
        <f>IF(J122&gt;0,"University-wide scheme/framework documented",IF(COUNTIFS('Legacy schemes (v3)'!$B$7:$B$158,B122,'Legacy schemes (v3)'!$C$7:$C$158,"Cross-faculty")&gt;0,"Cross-faculty; broader reach unverified",IF(COUNTIFS('Legacy schemes (v3)'!$B$7:$B$158,B122,'Legacy schemes (v3)'!$C$7:$C$158,"Faculty/school")&gt;0,"Faculty/school; broader reach unverified",IF(K122&gt;0,"Programme/course; broader reach unverified","Scheme documented; reach unconfirmed"))))</f>
        <v/>
      </c>
      <c r="N122" s="32" t="inlineStr">
        <is>
          <t>EU22</t>
        </is>
      </c>
      <c r="O122" s="77" t="inlineStr"/>
    </row>
    <row r="123" ht="53" customHeight="1">
      <c r="A123" s="10" t="inlineStr">
        <is>
          <t>Sweden</t>
        </is>
      </c>
      <c r="B123" s="11" t="inlineStr">
        <is>
          <t>Lund</t>
        </is>
      </c>
      <c r="C123" s="10" t="inlineStr">
        <is>
          <t>EU sample</t>
        </is>
      </c>
      <c r="D123" s="80" t="n">
        <v>2027</v>
      </c>
      <c r="E123" s="80" t="n">
        <v>71</v>
      </c>
      <c r="F123" s="10" t="inlineStr">
        <is>
          <t>No</t>
        </is>
      </c>
      <c r="G123" s="10" t="inlineStr">
        <is>
          <t>https://www.topuniversities.com/qs-top-uni-wur</t>
        </is>
      </c>
      <c r="H123" s="10" t="inlineStr">
        <is>
          <t>n.a.</t>
        </is>
      </c>
      <c r="I123" s="80">
        <f>COUNTIF('Legacy schemes (v3)'!$B$7:$B$158,B123)</f>
        <v/>
      </c>
      <c r="J123" s="80">
        <f>COUNTIFS('Legacy schemes (v3)'!$B$7:$B$158,B123,'Legacy schemes (v3)'!$C$7:$C$158,"University-wide")</f>
        <v/>
      </c>
      <c r="K123" s="80">
        <f>COUNTIFS('Legacy schemes (v3)'!$B$7:$B$158,B123,'Legacy schemes (v3)'!$C$7:$C$158,"Cross-faculty")+COUNTIFS('Legacy schemes (v3)'!$B$7:$B$158,B123,'Legacy schemes (v3)'!$C$7:$C$158,"Faculty/school")+COUNTIFS('Legacy schemes (v3)'!$B$7:$B$158,B123,'Legacy schemes (v3)'!$C$7:$C$158,"Programme/course")</f>
        <v/>
      </c>
      <c r="L123" s="80">
        <f>COUNTIFS('Legacy schemes (v3)'!$B$7:$B$158,B123,'Legacy schemes (v3)'!$C$7:$C$158,"Not confirmed")</f>
        <v/>
      </c>
      <c r="M123" s="10">
        <f>IF(J123&gt;0,"University-wide scheme/framework documented",IF(COUNTIFS('Legacy schemes (v3)'!$B$7:$B$158,B123,'Legacy schemes (v3)'!$C$7:$C$158,"Cross-faculty")&gt;0,"Cross-faculty; broader reach unverified",IF(COUNTIFS('Legacy schemes (v3)'!$B$7:$B$158,B123,'Legacy schemes (v3)'!$C$7:$C$158,"Faculty/school")&gt;0,"Faculty/school; broader reach unverified",IF(K123&gt;0,"Programme/course; broader reach unverified","Scheme documented; reach unconfirmed"))))</f>
        <v/>
      </c>
      <c r="N123" s="32" t="inlineStr">
        <is>
          <t>EU23</t>
        </is>
      </c>
      <c r="O123" s="77" t="inlineStr"/>
    </row>
    <row r="124" ht="53" customHeight="1">
      <c r="A124" s="10" t="inlineStr">
        <is>
          <t>Sweden</t>
        </is>
      </c>
      <c r="B124" s="11" t="inlineStr">
        <is>
          <t>KTH Royal Institute of Technology</t>
        </is>
      </c>
      <c r="C124" s="10" t="inlineStr">
        <is>
          <t>EU sample</t>
        </is>
      </c>
      <c r="D124" s="80" t="n">
        <v>2027</v>
      </c>
      <c r="E124" s="80" t="n">
        <v>82</v>
      </c>
      <c r="F124" s="10" t="inlineStr">
        <is>
          <t>Yes</t>
        </is>
      </c>
      <c r="G124" s="10" t="inlineStr">
        <is>
          <t>https://www.topuniversities.com/qs-top-uni-wur</t>
        </is>
      </c>
      <c r="H124" s="10" t="inlineStr">
        <is>
          <t>n.a.</t>
        </is>
      </c>
      <c r="I124" s="80">
        <f>COUNTIF('Legacy schemes (v3)'!$B$7:$B$158,B124)</f>
        <v/>
      </c>
      <c r="J124" s="80">
        <f>COUNTIFS('Legacy schemes (v3)'!$B$7:$B$158,B124,'Legacy schemes (v3)'!$C$7:$C$158,"University-wide")</f>
        <v/>
      </c>
      <c r="K124" s="80">
        <f>COUNTIFS('Legacy schemes (v3)'!$B$7:$B$158,B124,'Legacy schemes (v3)'!$C$7:$C$158,"Cross-faculty")+COUNTIFS('Legacy schemes (v3)'!$B$7:$B$158,B124,'Legacy schemes (v3)'!$C$7:$C$158,"Faculty/school")+COUNTIFS('Legacy schemes (v3)'!$B$7:$B$158,B124,'Legacy schemes (v3)'!$C$7:$C$158,"Programme/course")</f>
        <v/>
      </c>
      <c r="L124" s="80">
        <f>COUNTIFS('Legacy schemes (v3)'!$B$7:$B$158,B124,'Legacy schemes (v3)'!$C$7:$C$158,"Not confirmed")</f>
        <v/>
      </c>
      <c r="M124" s="10">
        <f>IF(J124&gt;0,"University-wide scheme/framework documented",IF(COUNTIFS('Legacy schemes (v3)'!$B$7:$B$158,B124,'Legacy schemes (v3)'!$C$7:$C$158,"Cross-faculty")&gt;0,"Cross-faculty; broader reach unverified",IF(COUNTIFS('Legacy schemes (v3)'!$B$7:$B$158,B124,'Legacy schemes (v3)'!$C$7:$C$158,"Faculty/school")&gt;0,"Faculty/school; broader reach unverified",IF(K124&gt;0,"Programme/course; broader reach unverified","Scheme documented; reach unconfirmed"))))</f>
        <v/>
      </c>
      <c r="N124" s="32" t="inlineStr">
        <is>
          <t>EU24</t>
        </is>
      </c>
      <c r="O124" s="77" t="inlineStr"/>
    </row>
    <row r="125" ht="53" customHeight="1">
      <c r="A125" s="10" t="inlineStr">
        <is>
          <t>Sweden</t>
        </is>
      </c>
      <c r="B125" s="11" t="inlineStr">
        <is>
          <t>Uppsala</t>
        </is>
      </c>
      <c r="C125" s="10" t="inlineStr">
        <is>
          <t>EU sample</t>
        </is>
      </c>
      <c r="D125" s="80" t="n">
        <v>2027</v>
      </c>
      <c r="E125" s="80" t="n">
        <v>87</v>
      </c>
      <c r="F125" s="10" t="inlineStr">
        <is>
          <t>Yes</t>
        </is>
      </c>
      <c r="G125" s="10" t="inlineStr">
        <is>
          <t>https://www.topuniversities.com/qs-top-uni-wur</t>
        </is>
      </c>
      <c r="H125" s="10" t="inlineStr">
        <is>
          <t>n.a.</t>
        </is>
      </c>
      <c r="I125" s="80">
        <f>COUNTIF('Legacy schemes (v3)'!$B$7:$B$158,B125)</f>
        <v/>
      </c>
      <c r="J125" s="80">
        <f>COUNTIFS('Legacy schemes (v3)'!$B$7:$B$158,B125,'Legacy schemes (v3)'!$C$7:$C$158,"University-wide")</f>
        <v/>
      </c>
      <c r="K125" s="80">
        <f>COUNTIFS('Legacy schemes (v3)'!$B$7:$B$158,B125,'Legacy schemes (v3)'!$C$7:$C$158,"Cross-faculty")+COUNTIFS('Legacy schemes (v3)'!$B$7:$B$158,B125,'Legacy schemes (v3)'!$C$7:$C$158,"Faculty/school")+COUNTIFS('Legacy schemes (v3)'!$B$7:$B$158,B125,'Legacy schemes (v3)'!$C$7:$C$158,"Programme/course")</f>
        <v/>
      </c>
      <c r="L125" s="80">
        <f>COUNTIFS('Legacy schemes (v3)'!$B$7:$B$158,B125,'Legacy schemes (v3)'!$C$7:$C$158,"Not confirmed")</f>
        <v/>
      </c>
      <c r="M125" s="10">
        <f>IF(J125&gt;0,"University-wide scheme/framework documented",IF(COUNTIFS('Legacy schemes (v3)'!$B$7:$B$158,B125,'Legacy schemes (v3)'!$C$7:$C$158,"Cross-faculty")&gt;0,"Cross-faculty; broader reach unverified",IF(COUNTIFS('Legacy schemes (v3)'!$B$7:$B$158,B125,'Legacy schemes (v3)'!$C$7:$C$158,"Faculty/school")&gt;0,"Faculty/school; broader reach unverified",IF(K125&gt;0,"Programme/course; broader reach unverified","Scheme documented; reach unconfirmed"))))</f>
        <v/>
      </c>
      <c r="N125" s="32" t="inlineStr">
        <is>
          <t>EU25</t>
        </is>
      </c>
      <c r="O125" s="77" t="inlineStr"/>
    </row>
    <row r="126" ht="53" customHeight="1">
      <c r="A126" s="10" t="inlineStr">
        <is>
          <t>Finland</t>
        </is>
      </c>
      <c r="B126" s="11" t="inlineStr">
        <is>
          <t>Aalto</t>
        </is>
      </c>
      <c r="C126" s="10" t="inlineStr">
        <is>
          <t>EU sample</t>
        </is>
      </c>
      <c r="D126" s="80" t="n">
        <v>2027</v>
      </c>
      <c r="E126" s="80" t="n">
        <v>126</v>
      </c>
      <c r="F126" s="10" t="inlineStr">
        <is>
          <t>Yes</t>
        </is>
      </c>
      <c r="G126" s="10" t="inlineStr">
        <is>
          <t>https://www.topuniversities.com/qs-top-uni-wur</t>
        </is>
      </c>
      <c r="H126" s="10" t="inlineStr">
        <is>
          <t>n.a.</t>
        </is>
      </c>
      <c r="I126" s="80">
        <f>COUNTIF('Legacy schemes (v3)'!$B$7:$B$158,B126)</f>
        <v/>
      </c>
      <c r="J126" s="80">
        <f>COUNTIFS('Legacy schemes (v3)'!$B$7:$B$158,B126,'Legacy schemes (v3)'!$C$7:$C$158,"University-wide")</f>
        <v/>
      </c>
      <c r="K126" s="80">
        <f>COUNTIFS('Legacy schemes (v3)'!$B$7:$B$158,B126,'Legacy schemes (v3)'!$C$7:$C$158,"Cross-faculty")+COUNTIFS('Legacy schemes (v3)'!$B$7:$B$158,B126,'Legacy schemes (v3)'!$C$7:$C$158,"Faculty/school")+COUNTIFS('Legacy schemes (v3)'!$B$7:$B$158,B126,'Legacy schemes (v3)'!$C$7:$C$158,"Programme/course")</f>
        <v/>
      </c>
      <c r="L126" s="80">
        <f>COUNTIFS('Legacy schemes (v3)'!$B$7:$B$158,B126,'Legacy schemes (v3)'!$C$7:$C$158,"Not confirmed")</f>
        <v/>
      </c>
      <c r="M126" s="10">
        <f>IF(J126&gt;0,"University-wide scheme/framework documented",IF(COUNTIFS('Legacy schemes (v3)'!$B$7:$B$158,B126,'Legacy schemes (v3)'!$C$7:$C$158,"Cross-faculty")&gt;0,"Cross-faculty; broader reach unverified",IF(COUNTIFS('Legacy schemes (v3)'!$B$7:$B$158,B126,'Legacy schemes (v3)'!$C$7:$C$158,"Faculty/school")&gt;0,"Faculty/school; broader reach unverified",IF(K126&gt;0,"Programme/course; broader reach unverified","Scheme documented; reach unconfirmed"))))</f>
        <v/>
      </c>
      <c r="N126" s="32" t="inlineStr">
        <is>
          <t>EU26</t>
        </is>
      </c>
      <c r="O126" s="77" t="inlineStr"/>
    </row>
    <row r="127" ht="53" customHeight="1">
      <c r="A127" s="10" t="inlineStr">
        <is>
          <t>Finland</t>
        </is>
      </c>
      <c r="B127" s="11" t="inlineStr">
        <is>
          <t>Helsinki</t>
        </is>
      </c>
      <c r="C127" s="10" t="inlineStr">
        <is>
          <t>EU sample</t>
        </is>
      </c>
      <c r="D127" s="80" t="n">
        <v>2027</v>
      </c>
      <c r="E127" s="80" t="n">
        <v>123</v>
      </c>
      <c r="F127" s="10" t="inlineStr">
        <is>
          <t>Yes</t>
        </is>
      </c>
      <c r="G127" s="10" t="inlineStr">
        <is>
          <t>https://www.topuniversities.com/qs-top-uni-wur</t>
        </is>
      </c>
      <c r="H127" s="10" t="inlineStr">
        <is>
          <t>n.a.</t>
        </is>
      </c>
      <c r="I127" s="80">
        <f>COUNTIF('Legacy schemes (v3)'!$B$7:$B$158,B127)</f>
        <v/>
      </c>
      <c r="J127" s="80">
        <f>COUNTIFS('Legacy schemes (v3)'!$B$7:$B$158,B127,'Legacy schemes (v3)'!$C$7:$C$158,"University-wide")</f>
        <v/>
      </c>
      <c r="K127" s="80">
        <f>COUNTIFS('Legacy schemes (v3)'!$B$7:$B$158,B127,'Legacy schemes (v3)'!$C$7:$C$158,"Cross-faculty")+COUNTIFS('Legacy schemes (v3)'!$B$7:$B$158,B127,'Legacy schemes (v3)'!$C$7:$C$158,"Faculty/school")+COUNTIFS('Legacy schemes (v3)'!$B$7:$B$158,B127,'Legacy schemes (v3)'!$C$7:$C$158,"Programme/course")</f>
        <v/>
      </c>
      <c r="L127" s="80">
        <f>COUNTIFS('Legacy schemes (v3)'!$B$7:$B$158,B127,'Legacy schemes (v3)'!$C$7:$C$158,"Not confirmed")</f>
        <v/>
      </c>
      <c r="M127" s="10">
        <f>IF(J127&gt;0,"University-wide scheme/framework documented",IF(COUNTIFS('Legacy schemes (v3)'!$B$7:$B$158,B127,'Legacy schemes (v3)'!$C$7:$C$158,"Cross-faculty")&gt;0,"Cross-faculty; broader reach unverified",IF(COUNTIFS('Legacy schemes (v3)'!$B$7:$B$158,B127,'Legacy schemes (v3)'!$C$7:$C$158,"Faculty/school")&gt;0,"Faculty/school; broader reach unverified",IF(K127&gt;0,"Programme/course; broader reach unverified","Scheme documented; reach unconfirmed"))))</f>
        <v/>
      </c>
      <c r="N127" s="32" t="inlineStr">
        <is>
          <t>EU27</t>
        </is>
      </c>
      <c r="O127" s="77" t="inlineStr"/>
    </row>
    <row r="128" ht="53" customHeight="1">
      <c r="A128" s="10" t="inlineStr">
        <is>
          <t>Spain</t>
        </is>
      </c>
      <c r="B128" s="11" t="inlineStr">
        <is>
          <t>Barcelona</t>
        </is>
      </c>
      <c r="C128" s="10" t="inlineStr">
        <is>
          <t>EU sample</t>
        </is>
      </c>
      <c r="D128" s="80" t="n">
        <v>2027</v>
      </c>
      <c r="E128" s="80" t="n">
        <v>165</v>
      </c>
      <c r="F128" s="10" t="inlineStr">
        <is>
          <t>Yes</t>
        </is>
      </c>
      <c r="G128" s="10" t="inlineStr">
        <is>
          <t>https://www.topuniversities.com/qs-top-uni-wur</t>
        </is>
      </c>
      <c r="H128" s="10" t="inlineStr">
        <is>
          <t>n.a.</t>
        </is>
      </c>
      <c r="I128" s="80">
        <f>COUNTIF('Legacy schemes (v3)'!$B$7:$B$158,B128)</f>
        <v/>
      </c>
      <c r="J128" s="80">
        <f>COUNTIFS('Legacy schemes (v3)'!$B$7:$B$158,B128,'Legacy schemes (v3)'!$C$7:$C$158,"University-wide")</f>
        <v/>
      </c>
      <c r="K128" s="80">
        <f>COUNTIFS('Legacy schemes (v3)'!$B$7:$B$158,B128,'Legacy schemes (v3)'!$C$7:$C$158,"Cross-faculty")+COUNTIFS('Legacy schemes (v3)'!$B$7:$B$158,B128,'Legacy schemes (v3)'!$C$7:$C$158,"Faculty/school")+COUNTIFS('Legacy schemes (v3)'!$B$7:$B$158,B128,'Legacy schemes (v3)'!$C$7:$C$158,"Programme/course")</f>
        <v/>
      </c>
      <c r="L128" s="80">
        <f>COUNTIFS('Legacy schemes (v3)'!$B$7:$B$158,B128,'Legacy schemes (v3)'!$C$7:$C$158,"Not confirmed")</f>
        <v/>
      </c>
      <c r="M128" s="10">
        <f>IF(J128&gt;0,"University-wide scheme/framework documented",IF(COUNTIFS('Legacy schemes (v3)'!$B$7:$B$158,B128,'Legacy schemes (v3)'!$C$7:$C$158,"Cross-faculty")&gt;0,"Cross-faculty; broader reach unverified",IF(COUNTIFS('Legacy schemes (v3)'!$B$7:$B$158,B128,'Legacy schemes (v3)'!$C$7:$C$158,"Faculty/school")&gt;0,"Faculty/school; broader reach unverified",IF(K128&gt;0,"Programme/course; broader reach unverified","Scheme documented; reach unconfirmed"))))</f>
        <v/>
      </c>
      <c r="N128" s="32" t="inlineStr">
        <is>
          <t>EU28</t>
        </is>
      </c>
      <c r="O128" s="77" t="inlineStr"/>
    </row>
    <row r="129" ht="53" customHeight="1">
      <c r="A129" s="10" t="inlineStr">
        <is>
          <t>Spain</t>
        </is>
      </c>
      <c r="B129" s="11" t="inlineStr">
        <is>
          <t>Pompeu Fabra</t>
        </is>
      </c>
      <c r="C129" s="10" t="inlineStr">
        <is>
          <t>EU sample</t>
        </is>
      </c>
      <c r="D129" s="80" t="n">
        <v>2027</v>
      </c>
      <c r="E129" s="80" t="n">
        <v>263</v>
      </c>
      <c r="F129" s="10" t="inlineStr">
        <is>
          <t>No</t>
        </is>
      </c>
      <c r="G129" s="10" t="inlineStr">
        <is>
          <t>https://www.topuniversities.com/universities/universitat-pompeu-fabra-barcelona</t>
        </is>
      </c>
      <c r="H129" s="10" t="inlineStr">
        <is>
          <t>n.a.</t>
        </is>
      </c>
      <c r="I129" s="80">
        <f>COUNTIF('Legacy schemes (v3)'!$B$7:$B$158,B129)</f>
        <v/>
      </c>
      <c r="J129" s="80">
        <f>COUNTIFS('Legacy schemes (v3)'!$B$7:$B$158,B129,'Legacy schemes (v3)'!$C$7:$C$158,"University-wide")</f>
        <v/>
      </c>
      <c r="K129" s="80">
        <f>COUNTIFS('Legacy schemes (v3)'!$B$7:$B$158,B129,'Legacy schemes (v3)'!$C$7:$C$158,"Cross-faculty")+COUNTIFS('Legacy schemes (v3)'!$B$7:$B$158,B129,'Legacy schemes (v3)'!$C$7:$C$158,"Faculty/school")+COUNTIFS('Legacy schemes (v3)'!$B$7:$B$158,B129,'Legacy schemes (v3)'!$C$7:$C$158,"Programme/course")</f>
        <v/>
      </c>
      <c r="L129" s="80">
        <f>COUNTIFS('Legacy schemes (v3)'!$B$7:$B$158,B129,'Legacy schemes (v3)'!$C$7:$C$158,"Not confirmed")</f>
        <v/>
      </c>
      <c r="M129" s="10">
        <f>IF(J129&gt;0,"University-wide scheme/framework documented",IF(COUNTIFS('Legacy schemes (v3)'!$B$7:$B$158,B129,'Legacy schemes (v3)'!$C$7:$C$158,"Cross-faculty")&gt;0,"Cross-faculty; broader reach unverified",IF(COUNTIFS('Legacy schemes (v3)'!$B$7:$B$158,B129,'Legacy schemes (v3)'!$C$7:$C$158,"Faculty/school")&gt;0,"Faculty/school; broader reach unverified",IF(K129&gt;0,"Programme/course; broader reach unverified","Scheme documented; reach unconfirmed"))))</f>
        <v/>
      </c>
      <c r="N129" s="32" t="inlineStr">
        <is>
          <t>EU29</t>
        </is>
      </c>
      <c r="O129" s="77" t="inlineStr">
        <is>
          <t>QS rank sourced from institution profile page (not ranking table); not re-verified in this review.</t>
        </is>
      </c>
    </row>
    <row r="130" ht="53" customHeight="1">
      <c r="A130" s="10" t="inlineStr">
        <is>
          <t>Italy</t>
        </is>
      </c>
      <c r="B130" s="11" t="inlineStr">
        <is>
          <t>Politecnico di Milano</t>
        </is>
      </c>
      <c r="C130" s="10" t="inlineStr">
        <is>
          <t>EU sample</t>
        </is>
      </c>
      <c r="D130" s="80" t="n">
        <v>2027</v>
      </c>
      <c r="E130" s="80" t="n">
        <v>87</v>
      </c>
      <c r="F130" s="10" t="inlineStr">
        <is>
          <t>Yes</t>
        </is>
      </c>
      <c r="G130" s="10" t="inlineStr">
        <is>
          <t>https://www.topuniversities.com/qs-top-uni-wur</t>
        </is>
      </c>
      <c r="H130" s="10" t="inlineStr">
        <is>
          <t>n.a.</t>
        </is>
      </c>
      <c r="I130" s="80">
        <f>COUNTIF('Legacy schemes (v3)'!$B$7:$B$158,B130)</f>
        <v/>
      </c>
      <c r="J130" s="80">
        <f>COUNTIFS('Legacy schemes (v3)'!$B$7:$B$158,B130,'Legacy schemes (v3)'!$C$7:$C$158,"University-wide")</f>
        <v/>
      </c>
      <c r="K130" s="80">
        <f>COUNTIFS('Legacy schemes (v3)'!$B$7:$B$158,B130,'Legacy schemes (v3)'!$C$7:$C$158,"Cross-faculty")+COUNTIFS('Legacy schemes (v3)'!$B$7:$B$158,B130,'Legacy schemes (v3)'!$C$7:$C$158,"Faculty/school")+COUNTIFS('Legacy schemes (v3)'!$B$7:$B$158,B130,'Legacy schemes (v3)'!$C$7:$C$158,"Programme/course")</f>
        <v/>
      </c>
      <c r="L130" s="80">
        <f>COUNTIFS('Legacy schemes (v3)'!$B$7:$B$158,B130,'Legacy schemes (v3)'!$C$7:$C$158,"Not confirmed")</f>
        <v/>
      </c>
      <c r="M130" s="10">
        <f>IF(J130&gt;0,"University-wide scheme/framework documented",IF(COUNTIFS('Legacy schemes (v3)'!$B$7:$B$158,B130,'Legacy schemes (v3)'!$C$7:$C$158,"Cross-faculty")&gt;0,"Cross-faculty; broader reach unverified",IF(COUNTIFS('Legacy schemes (v3)'!$B$7:$B$158,B130,'Legacy schemes (v3)'!$C$7:$C$158,"Faculty/school")&gt;0,"Faculty/school; broader reach unverified",IF(K130&gt;0,"Programme/course; broader reach unverified","Scheme documented; reach unconfirmed"))))</f>
        <v/>
      </c>
      <c r="N130" s="32" t="inlineStr">
        <is>
          <t>EU30</t>
        </is>
      </c>
      <c r="O130" s="77" t="inlineStr"/>
    </row>
    <row r="131"/>
    <row r="132"/>
    <row r="133" ht="27" customHeight="1">
      <c r="A133" s="30" t="inlineStr">
        <is>
          <t>Classification and interpretation rules</t>
        </is>
      </c>
    </row>
    <row r="134"/>
    <row r="135" ht="44" customHeight="1">
      <c r="A135" s="34" t="inlineStr">
        <is>
          <t>University-wide</t>
        </is>
      </c>
      <c r="D135" s="35" t="inlineStr">
        <is>
          <t>Explicit availability across academic disciplines at the stated study level, or an institution-wide curriculum / coordination framework. May be selective or have degree exclusions and different credit rules; does not mean every student attends.</t>
        </is>
      </c>
    </row>
    <row r="136" ht="44" customHeight="1">
      <c r="A136" s="31" t="inlineStr">
        <is>
          <t>Cross-faculty</t>
        </is>
      </c>
      <c r="D136" s="33" t="inlineStr">
        <is>
          <t>Named faculties, schools or constituent colleges participate; institution-wide reach or all-discipline eligibility is not established.</t>
        </is>
      </c>
    </row>
    <row r="137" ht="44" customHeight="1">
      <c r="A137" s="34" t="inlineStr">
        <is>
          <t>Faculty/school</t>
        </is>
      </c>
      <c r="D137" s="35" t="inlineStr">
        <is>
          <t>Academic participation is restricted to one faculty or school. Administrative home alone is insufficient for this classification.</t>
        </is>
      </c>
    </row>
    <row r="138" ht="44" customHeight="1">
      <c r="A138" s="31" t="inlineStr">
        <is>
          <t>Programme/course</t>
        </is>
      </c>
      <c r="D138" s="33" t="inlineStr">
        <is>
          <t>Specific degree, module, certificate or course cohort. Compulsion means required for that route unless wider compulsory reach is explicitly evidenced.</t>
        </is>
      </c>
    </row>
    <row r="139" ht="44" customHeight="1">
      <c r="A139" s="34" t="inlineStr">
        <is>
          <t>Not confirmed</t>
        </is>
      </c>
      <c r="D139" s="35" t="inlineStr">
        <is>
          <t>A scheme is evidenced, but academic reach is inadequately established. Central hosting alone cannot prove all-faculty eligibility.</t>
        </is>
      </c>
    </row>
    <row r="140" ht="44" customHeight="1">
      <c r="A140" s="31" t="inlineStr">
        <is>
          <t>Scope evidence basis</t>
        </is>
      </c>
      <c r="D140" s="33" t="inlineStr">
        <is>
          <t>Direct eligibility: published access or cohort rules. Institutional framework: institution-wide curricular/support provision with course-level restrictions. Unconfirmed reach: broader eligibility unverified.</t>
        </is>
      </c>
    </row>
    <row r="141" ht="44" customHeight="1">
      <c r="A141" s="34" t="inlineStr">
        <is>
          <t>Participation</t>
        </is>
      </c>
      <c r="D141" s="35" t="inlineStr">
        <is>
          <t>Compulsory: required within stated eligible route. Elective credit: optional credit course. Co-curricular: outside degree credit. Mixed/varies: different requirements, credit or routes. Not confirmed: source does not settle the point.</t>
        </is>
      </c>
    </row>
    <row r="142" ht="44" customHeight="1">
      <c r="A142" s="31" t="inlineStr">
        <is>
          <t>Evidence currency</t>
        </is>
      </c>
      <c r="D142" s="33" t="inlineStr">
        <is>
          <t>Dated 2026/27 means explicit recent/future cycle or dated activity, not necessarily open applications. Dated earlier / mixed preserves older or mixed evidence. Undated page has no verified cycle. Paused and Ending identify constraints.</t>
        </is>
      </c>
    </row>
    <row r="143" ht="44" customHeight="1">
      <c r="A143" s="34" t="inlineStr">
        <is>
          <t>Search method</t>
        </is>
      </c>
      <c r="D143" s="35" t="inlineStr">
        <is>
          <t>Each institution was checked for a named academic/project example and wider central teaching, careers, enterprise, honours, service-learning or research opportunities. Broader schemes are separate rows where eligibility differs. This is not an exhaustive inventory of every module.</t>
        </is>
      </c>
    </row>
    <row r="144" ht="44" customHeight="1">
      <c r="A144" s="31" t="inlineStr">
        <is>
          <t>Revenue boundaries</t>
        </is>
      </c>
      <c r="D144" s="33" t="inlineStr">
        <is>
          <t>Comparable CPD/CE business-and-community income: user-supplied HESA 2024/25. Accounts categories may overlap and differ. Only HESA provider rows feed the UK dashboard total; accounts and Australian metrics retain their own reporting periods, units and scope.</t>
        </is>
      </c>
    </row>
    <row r="145" ht="44" customHeight="1">
      <c r="A145" s="34" t="inlineStr">
        <is>
          <t>Missing values</t>
        </is>
      </c>
      <c r="D145" s="35" t="inlineStr">
        <is>
          <t>n.a. = unavailable or not applicable, not zero. Provider zeros are reported HESA values. Income per learner day is unavailable if days are zero. HESA growth cannot be inferred from a single year.</t>
        </is>
      </c>
    </row>
    <row r="146" ht="44" customHeight="1">
      <c r="A146" s="31" t="inlineStr">
        <is>
          <t>Refresh</t>
        </is>
      </c>
      <c r="D146" s="33" t="inlineStr">
        <is>
          <t>Update raw provider inputs with stable UKPRNs, same definitions and units, and academic year/source totals together. Rankings recalculate within 206 rows; extend ranges and tables if provider count changes. Update scheme scope, eligibility, sources and dates together.</t>
        </is>
      </c>
    </row>
  </sheetData>
  <mergeCells count="28">
    <mergeCell ref="A137:C137"/>
    <mergeCell ref="D137:M137"/>
    <mergeCell ref="D146:M146"/>
    <mergeCell ref="D143:M143"/>
    <mergeCell ref="A145:C145"/>
    <mergeCell ref="A136:C136"/>
    <mergeCell ref="A139:C139"/>
    <mergeCell ref="A3:F3"/>
    <mergeCell ref="D142:M142"/>
    <mergeCell ref="A2:F2"/>
    <mergeCell ref="A141:C141"/>
    <mergeCell ref="A135:C135"/>
    <mergeCell ref="D138:M138"/>
    <mergeCell ref="A144:C144"/>
    <mergeCell ref="A140:C140"/>
    <mergeCell ref="A4:F4"/>
    <mergeCell ref="D144:M144"/>
    <mergeCell ref="D140:M140"/>
    <mergeCell ref="D139:M139"/>
    <mergeCell ref="A143:C143"/>
    <mergeCell ref="D136:M136"/>
    <mergeCell ref="A142:C142"/>
    <mergeCell ref="A138:C138"/>
    <mergeCell ref="D145:M145"/>
    <mergeCell ref="A133:M133"/>
    <mergeCell ref="D141:M141"/>
    <mergeCell ref="D135:M135"/>
    <mergeCell ref="A146:C146"/>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203B60"/>
    <outlinePr summaryBelow="1" summaryRight="1"/>
    <pageSetUpPr/>
  </sheetPr>
  <dimension ref="A1:Q158"/>
  <sheetViews>
    <sheetView showGridLines="0" workbookViewId="0">
      <pane xSplit="2" ySplit="6" topLeftCell="C7" activePane="bottomRight" state="frozen"/>
      <selection activeCell="A1" sqref="A1"/>
    </sheetView>
  </sheetViews>
  <sheetFormatPr baseColWidth="8" defaultRowHeight="15"/>
  <cols>
    <col width="14" customWidth="1" min="1" max="1"/>
    <col width="30" customWidth="1" min="2" max="2"/>
    <col width="22" customWidth="1" min="3" max="3"/>
    <col width="28" customWidth="1" min="4" max="4"/>
    <col width="42" customWidth="1" min="5" max="5"/>
    <col width="33" customWidth="1" min="6" max="6"/>
    <col width="21" customWidth="1" min="7" max="7"/>
    <col width="57" customWidth="1" min="8" max="8"/>
    <col width="77" customWidth="1" min="9" max="9"/>
    <col width="75" customWidth="1" min="10" max="10"/>
    <col width="45" customWidth="1" min="11" max="11"/>
    <col width="25" customWidth="1" min="12" max="12"/>
    <col width="80" customWidth="1" min="13" max="13"/>
    <col width="28" customWidth="1" min="14" max="14"/>
    <col width="27" customWidth="1" min="15" max="15"/>
    <col width="17" customWidth="1" min="16" max="16"/>
    <col width="48" customWidth="1" min="17" max="17"/>
  </cols>
  <sheetData>
    <row r="1"/>
    <row r="2" ht="28" customHeight="1">
      <c r="A2" s="4" t="inlineStr">
        <is>
          <t>LEGACY (v3, research date 8 Oct 2026): experiential learning scheme/framework examples — superseded</t>
        </is>
      </c>
      <c r="G2" s="2" t="n"/>
      <c r="H2" s="2" t="n"/>
      <c r="I2" s="2" t="n"/>
      <c r="J2" s="2" t="n"/>
      <c r="K2" s="2" t="n"/>
      <c r="L2" s="2" t="n"/>
      <c r="M2" s="2" t="n"/>
      <c r="N2" s="2" t="n"/>
      <c r="O2" s="2" t="n"/>
      <c r="P2" s="2" t="n"/>
    </row>
    <row r="3" ht="36" customHeight="1">
      <c r="A3" s="6" t="inlineStr">
        <is>
          <t>Retained unchanged for traceability. These rows were NOT tested against the strict three-criterion definition. Column Q records how each row was handled in the detailed review (scheme register ID or exclusion ID). Use 'EL scheme register'.</t>
        </is>
      </c>
      <c r="G3" s="2" t="n"/>
      <c r="H3" s="2" t="n"/>
      <c r="I3" s="2" t="n"/>
      <c r="J3" s="2" t="n"/>
      <c r="K3" s="2" t="n"/>
      <c r="L3" s="2" t="n"/>
      <c r="M3" s="2" t="n"/>
      <c r="N3" s="2" t="n"/>
      <c r="O3" s="2" t="n"/>
      <c r="P3" s="2" t="n"/>
    </row>
    <row r="4" ht="36" customHeight="1">
      <c r="A4" s="6" t="inlineStr">
        <is>
          <t>Column C = academic reach. Faculty hosting does not imply restricted eligibility. University-wide frameworks can have degree exclusions. This is a comparative scheme sample, not an exhaustive course inventory.</t>
        </is>
      </c>
      <c r="G4" s="2" t="n"/>
      <c r="H4" s="2" t="n"/>
      <c r="I4" s="2" t="n"/>
      <c r="J4" s="2" t="n"/>
      <c r="K4" s="2" t="n"/>
      <c r="L4" s="2" t="n"/>
      <c r="M4" s="2" t="n"/>
      <c r="N4" s="2" t="n"/>
      <c r="O4" s="2" t="n"/>
      <c r="P4" s="2" t="n"/>
    </row>
    <row r="5">
      <c r="A5" s="2" t="n"/>
      <c r="B5" s="2" t="n"/>
      <c r="C5" s="2" t="n"/>
      <c r="D5" s="2" t="n"/>
      <c r="E5" s="2" t="n"/>
      <c r="F5" s="2" t="n"/>
      <c r="G5" s="2" t="n"/>
      <c r="H5" s="2" t="n"/>
      <c r="I5" s="2" t="n"/>
      <c r="J5" s="2" t="n"/>
      <c r="K5" s="2" t="n"/>
      <c r="L5" s="2" t="n"/>
      <c r="M5" s="2" t="n"/>
      <c r="N5" s="2" t="n"/>
      <c r="O5" s="2" t="n"/>
      <c r="P5" s="2" t="n"/>
    </row>
    <row r="6" ht="40" customHeight="1">
      <c r="A6" s="9" t="inlineStr">
        <is>
          <t>Country</t>
        </is>
      </c>
      <c r="B6" s="9" t="inlineStr">
        <is>
          <t>University</t>
        </is>
      </c>
      <c r="C6" s="9" t="inlineStr">
        <is>
          <t>Academic reach</t>
        </is>
      </c>
      <c r="D6" s="9" t="inlineStr">
        <is>
          <t>Learning model</t>
        </is>
      </c>
      <c r="E6" s="9" t="inlineStr">
        <is>
          <t>Scheme / framework</t>
        </is>
      </c>
      <c r="F6" s="9" t="inlineStr">
        <is>
          <t>Administrative home</t>
        </is>
      </c>
      <c r="G6" s="9" t="inlineStr">
        <is>
          <t>Participation</t>
        </is>
      </c>
      <c r="H6" s="9" t="inlineStr">
        <is>
          <t>Eligibility / restrictions</t>
        </is>
      </c>
      <c r="I6" s="9" t="inlineStr">
        <is>
          <t>Delivery / credit / practical activity</t>
        </is>
      </c>
      <c r="J6" s="9" t="inlineStr">
        <is>
          <t>Basis for reach classification</t>
        </is>
      </c>
      <c r="K6" s="9" t="inlineStr">
        <is>
          <t>Latest dated / current evidence</t>
        </is>
      </c>
      <c r="L6" s="9" t="inlineStr">
        <is>
          <t>Cohort</t>
        </is>
      </c>
      <c r="M6" s="9" t="inlineStr">
        <is>
          <t>Primary sources</t>
        </is>
      </c>
      <c r="N6" s="9" t="inlineStr">
        <is>
          <t>Scope evidence basis</t>
        </is>
      </c>
      <c r="O6" s="9" t="inlineStr">
        <is>
          <t>Evidence currency</t>
        </is>
      </c>
      <c r="P6" s="9" t="inlineStr">
        <is>
          <t>Research date</t>
        </is>
      </c>
      <c r="Q6" s="75" t="inlineStr">
        <is>
          <t>Disposition in detailed review (Oct 2026)</t>
        </is>
      </c>
    </row>
    <row r="7" ht="116" customHeight="1">
      <c r="A7" s="10" t="inlineStr">
        <is>
          <t>UK</t>
        </is>
      </c>
      <c r="B7" s="11" t="inlineStr">
        <is>
          <t>Birmingham</t>
        </is>
      </c>
      <c r="C7" s="10" t="inlineStr">
        <is>
          <t>University-wide</t>
        </is>
      </c>
      <c r="D7" s="10" t="inlineStr">
        <is>
          <t>Live/research project</t>
        </is>
      </c>
      <c r="E7" s="10" t="inlineStr">
        <is>
          <t>Birmingham Project</t>
        </is>
      </c>
      <c r="F7" s="10" t="inlineStr">
        <is>
          <t>Careers / Birmingham Project</t>
        </is>
      </c>
      <c r="G7" s="10" t="inlineStr">
        <is>
          <t>Co-curricular</t>
        </is>
      </c>
      <c r="H7" s="10" t="inlineStr">
        <is>
          <t>First-year students across disciplines</t>
        </is>
      </c>
      <c r="I7" s="10" t="inlineStr">
        <is>
          <t>One-week interdisciplinary teams address employer and academic challenges.</t>
        </is>
      </c>
      <c r="J7" s="10" t="inlineStr">
        <is>
          <t>Central interdisciplinary student programme; application-based.</t>
        </is>
      </c>
      <c r="K7" s="10" t="inlineStr">
        <is>
          <t>Official page; intake unverified</t>
        </is>
      </c>
      <c r="L7" s="10" t="inlineStr">
        <is>
          <t>Russell Group</t>
        </is>
      </c>
      <c r="M7" s="10" t="inlineStr">
        <is>
          <t>https://intranet.birmingham.ac.uk/student/careers/skills-development/birmingham-project/index.aspx</t>
        </is>
      </c>
      <c r="N7" s="10" t="inlineStr">
        <is>
          <t>Direct eligibility</t>
        </is>
      </c>
      <c r="O7" s="10" t="inlineStr">
        <is>
          <t>Undated page</t>
        </is>
      </c>
      <c r="P7" s="81" t="n">
        <v>46303</v>
      </c>
      <c r="Q7" s="77" t="inlineStr">
        <is>
          <t>Reassessed as RG01-S01 (Meets all three)</t>
        </is>
      </c>
    </row>
    <row r="8" ht="116" customHeight="1">
      <c r="A8" s="10" t="inlineStr">
        <is>
          <t>UK</t>
        </is>
      </c>
      <c r="B8" s="11" t="inlineStr">
        <is>
          <t>Bristol</t>
        </is>
      </c>
      <c r="C8" s="10" t="inlineStr">
        <is>
          <t>University-wide</t>
        </is>
      </c>
      <c r="D8" s="10" t="inlineStr">
        <is>
          <t>Interdisciplinary curriculum</t>
        </is>
      </c>
      <c r="E8" s="10" t="inlineStr">
        <is>
          <t>Bristol Futures Open Units</t>
        </is>
      </c>
      <c r="F8" s="10" t="inlineStr">
        <is>
          <t>Bristol Futures</t>
        </is>
      </c>
      <c r="G8" s="10" t="inlineStr">
        <is>
          <t>Elective credit</t>
        </is>
      </c>
      <c r="H8" s="10" t="inlineStr">
        <is>
          <t>Undergraduates where degree rules allow</t>
        </is>
      </c>
      <c r="I8" s="10" t="inlineStr">
        <is>
          <t>Cross-disciplinary units beyond the home subject. External client work depends on the unit.</t>
        </is>
      </c>
      <c r="J8" s="10" t="inlineStr">
        <is>
          <t>University breadth-unit framework; practical learning differs by unit.</t>
        </is>
      </c>
      <c r="K8" s="10" t="inlineStr">
        <is>
          <t>Official page; intake unverified</t>
        </is>
      </c>
      <c r="L8" s="10" t="inlineStr">
        <is>
          <t>Russell Group</t>
        </is>
      </c>
      <c r="M8" s="10" t="inlineStr">
        <is>
          <t>https://www.bristol.ac.uk/bristol-futures/open-units/</t>
        </is>
      </c>
      <c r="N8" s="10" t="inlineStr">
        <is>
          <t>Institutional framework</t>
        </is>
      </c>
      <c r="O8" s="10" t="inlineStr">
        <is>
          <t>Undated page</t>
        </is>
      </c>
      <c r="P8" s="81" t="n">
        <v>46303</v>
      </c>
      <c r="Q8" s="77" t="inlineStr">
        <is>
          <t>Excluded as RG02-X01: Breadth/interdisciplinary curriculum</t>
        </is>
      </c>
    </row>
    <row r="9" ht="116" customHeight="1">
      <c r="A9" s="10" t="inlineStr">
        <is>
          <t>UK</t>
        </is>
      </c>
      <c r="B9" s="11" t="inlineStr">
        <is>
          <t>Cambridge</t>
        </is>
      </c>
      <c r="C9" s="10" t="inlineStr">
        <is>
          <t>Programme/course</t>
        </is>
      </c>
      <c r="D9" s="10" t="inlineStr">
        <is>
          <t>Live/research project</t>
        </is>
      </c>
      <c r="E9" s="10" t="inlineStr">
        <is>
          <t>Cambridge Venture Project / Global Consulting Project</t>
        </is>
      </c>
      <c r="F9" s="10" t="inlineStr">
        <is>
          <t>Cambridge Judge Business School</t>
        </is>
      </c>
      <c r="G9" s="10" t="inlineStr">
        <is>
          <t>Compulsory</t>
        </is>
      </c>
      <c r="H9" s="10" t="inlineStr">
        <is>
          <t>Judge MBA students</t>
        </is>
      </c>
      <c r="I9" s="10" t="inlineStr">
        <is>
          <t>Student teams work on organisational projects. This is an MBA example, not a university-wide core.</t>
        </is>
      </c>
      <c r="J9" s="10" t="inlineStr">
        <is>
          <t>Specific MBA project curriculum; not institution-wide.</t>
        </is>
      </c>
      <c r="K9" s="10" t="inlineStr">
        <is>
          <t>Official page; intake unverified</t>
        </is>
      </c>
      <c r="L9" s="10" t="inlineStr">
        <is>
          <t>Russell Group</t>
        </is>
      </c>
      <c r="M9" s="10" t="inlineStr">
        <is>
          <t>https://www.jbs.cam.ac.uk/recruiters-organisations/student-projects/
https://www.jbs.cam.ac.uk/recruiters-organisations/student-projects/mba-global-consulting-project/</t>
        </is>
      </c>
      <c r="N9" s="10" t="inlineStr">
        <is>
          <t>Direct eligibility</t>
        </is>
      </c>
      <c r="O9" s="10" t="inlineStr">
        <is>
          <t>Undated page</t>
        </is>
      </c>
      <c r="P9" s="81" t="n">
        <v>46303</v>
      </c>
      <c r="Q9" s="77" t="inlineStr">
        <is>
          <t>Reassessed as RG03-S01 (Meets all three)</t>
        </is>
      </c>
    </row>
    <row r="10" ht="116" customHeight="1">
      <c r="A10" s="10" t="inlineStr">
        <is>
          <t>UK</t>
        </is>
      </c>
      <c r="B10" s="11" t="inlineStr">
        <is>
          <t>Cardiff</t>
        </is>
      </c>
      <c r="C10" s="10" t="inlineStr">
        <is>
          <t>Not confirmed</t>
        </is>
      </c>
      <c r="D10" s="10" t="inlineStr">
        <is>
          <t>International collaboration</t>
        </is>
      </c>
      <c r="E10" s="10" t="inlineStr">
        <is>
          <t>Bremen–Cardiff Sustainability Programme</t>
        </is>
      </c>
      <c r="F10" s="10" t="inlineStr">
        <is>
          <t>Careers / Enterprise</t>
        </is>
      </c>
      <c r="G10" s="10" t="inlineStr">
        <is>
          <t>Co-curricular</t>
        </is>
      </c>
      <c r="H10" s="10" t="inlineStr">
        <is>
          <t>Eligible Cardiff students; admissions apply</t>
        </is>
      </c>
      <c r="I10" s="10" t="inlineStr">
        <is>
          <t>Students from both universities collaborate on sustainability problems.</t>
        </is>
      </c>
      <c r="J10" s="10" t="inlineStr">
        <is>
          <t>Central enterprise opportunity with international partners; reach inferred from remit. Academic reach remains Not confirmed until eligibility or institution-wide framework reach is established.</t>
        </is>
      </c>
      <c r="K10" s="10" t="inlineStr">
        <is>
          <t>Official page; intake unverified</t>
        </is>
      </c>
      <c r="L10" s="10" t="inlineStr">
        <is>
          <t>Russell Group</t>
        </is>
      </c>
      <c r="M10" s="10" t="inlineStr">
        <is>
          <t>https://www.cardiff.ac.uk/study/student-life/student-support/careers-and-employability/enterprise</t>
        </is>
      </c>
      <c r="N10" s="10" t="inlineStr">
        <is>
          <t>Unconfirmed reach</t>
        </is>
      </c>
      <c r="O10" s="10" t="inlineStr">
        <is>
          <t>Undated page</t>
        </is>
      </c>
      <c r="P10" s="81" t="n">
        <v>46303</v>
      </c>
      <c r="Q10" s="77" t="inlineStr">
        <is>
          <t>Reassessed as RG04-S11 (Potentially relevant; evidence incomplete)</t>
        </is>
      </c>
    </row>
    <row r="11" ht="116" customHeight="1">
      <c r="A11" s="10" t="inlineStr">
        <is>
          <t>UK</t>
        </is>
      </c>
      <c r="B11" s="11" t="inlineStr">
        <is>
          <t>Durham</t>
        </is>
      </c>
      <c r="C11" s="10" t="inlineStr">
        <is>
          <t>University-wide</t>
        </is>
      </c>
      <c r="D11" s="10" t="inlineStr">
        <is>
          <t>Live/research project</t>
        </is>
      </c>
      <c r="E11" s="10" t="inlineStr">
        <is>
          <t>Mini Consultancy Competition</t>
        </is>
      </c>
      <c r="F11" s="10" t="inlineStr">
        <is>
          <t>Careers and Enterprise</t>
        </is>
      </c>
      <c r="G11" s="10" t="inlineStr">
        <is>
          <t>Co-curricular</t>
        </is>
      </c>
      <c r="H11" s="10" t="inlineStr">
        <is>
          <t>Students across disciplines; competition selection</t>
        </is>
      </c>
      <c r="I11" s="10" t="inlineStr">
        <is>
          <t>Teams work on organisational challenges through central work-based learning. Employer offer also includes mentoring and insight programmes; the Mini Consultancy Competition is the live-project example.</t>
        </is>
      </c>
      <c r="J11" s="10" t="inlineStr">
        <is>
          <t>Central Mini Consultancy Competition explicitly serves mixed disciplines.</t>
        </is>
      </c>
      <c r="K11" s="10" t="inlineStr">
        <is>
          <t>2026 employer programme page</t>
        </is>
      </c>
      <c r="L11" s="10" t="inlineStr">
        <is>
          <t>Russell Group</t>
        </is>
      </c>
      <c r="M11" s="10" t="inlineStr">
        <is>
          <t>https://dur.ac.uk/study/careers-employability-enterprise/information-for-employers/work-based-learning-programmes-for-employers/</t>
        </is>
      </c>
      <c r="N11" s="10" t="inlineStr">
        <is>
          <t>Direct eligibility</t>
        </is>
      </c>
      <c r="O11" s="10" t="inlineStr">
        <is>
          <t>Dated 2026/27</t>
        </is>
      </c>
      <c r="P11" s="81" t="n">
        <v>46303</v>
      </c>
      <c r="Q11" s="77" t="inlineStr">
        <is>
          <t>Reassessed as RG05-S04 (Meets all three)</t>
        </is>
      </c>
    </row>
    <row r="12" ht="116" customHeight="1">
      <c r="A12" s="10" t="inlineStr">
        <is>
          <t>UK</t>
        </is>
      </c>
      <c r="B12" s="11" t="inlineStr">
        <is>
          <t>Edinburgh</t>
        </is>
      </c>
      <c r="C12" s="10" t="inlineStr">
        <is>
          <t>University-wide</t>
        </is>
      </c>
      <c r="D12" s="10" t="inlineStr">
        <is>
          <t>Live/research project</t>
        </is>
      </c>
      <c r="E12" s="10" t="inlineStr">
        <is>
          <t>Students as Change Agents (SACHA) elective</t>
        </is>
      </c>
      <c r="F12" s="10" t="inlineStr">
        <is>
          <t>Edinburgh Futures Institute</t>
        </is>
      </c>
      <c r="G12" s="10" t="inlineStr">
        <is>
          <t>Elective credit</t>
        </is>
      </c>
      <c r="H12" s="10" t="inlineStr">
        <is>
          <t>First- and second-year students in eligible programmes</t>
        </is>
      </c>
      <c r="I12" s="10" t="inlineStr">
        <is>
          <t>EFI elective remains available. Careers co-curricular programme is paused for the foreseeable future due to funding constraints.</t>
        </is>
      </c>
      <c r="J12" s="10" t="inlineStr">
        <is>
          <t>Cross-disciplinary institutional elective; separate co-curricular route is paused.</t>
        </is>
      </c>
      <c r="K12" s="10" t="inlineStr">
        <is>
          <t>Official page; intake unverified</t>
        </is>
      </c>
      <c r="L12" s="10" t="inlineStr">
        <is>
          <t>Russell Group</t>
        </is>
      </c>
      <c r="M12" s="10" t="inlineStr">
        <is>
          <t>https://careers.ed.ac.uk/build-experience/students-as-change-agents</t>
        </is>
      </c>
      <c r="N12" s="10" t="inlineStr">
        <is>
          <t>Direct eligibility</t>
        </is>
      </c>
      <c r="O12" s="10" t="inlineStr">
        <is>
          <t>Undated page</t>
        </is>
      </c>
      <c r="P12" s="81" t="n">
        <v>46303</v>
      </c>
      <c r="Q12" s="77" t="inlineStr">
        <is>
          <t>Reassessed as RG06-S01 (Meets all three)</t>
        </is>
      </c>
    </row>
    <row r="13" ht="116" customHeight="1">
      <c r="A13" s="10" t="inlineStr">
        <is>
          <t>UK</t>
        </is>
      </c>
      <c r="B13" s="11" t="inlineStr">
        <is>
          <t>Exeter</t>
        </is>
      </c>
      <c r="C13" s="10" t="inlineStr">
        <is>
          <t>University-wide</t>
        </is>
      </c>
      <c r="D13" s="10" t="inlineStr">
        <is>
          <t>Live/research project</t>
        </is>
      </c>
      <c r="E13" s="10" t="inlineStr">
        <is>
          <t>Grand Challenges</t>
        </is>
      </c>
      <c r="F13" s="10" t="inlineStr">
        <is>
          <t>Grand Challenges</t>
        </is>
      </c>
      <c r="G13" s="10" t="inlineStr">
        <is>
          <t>Co-curricular</t>
        </is>
      </c>
      <c r="H13" s="10" t="inlineStr">
        <is>
          <t>Exeter students; annual participation/eligibility applies</t>
        </is>
      </c>
      <c r="I13" s="10" t="inlineStr">
        <is>
          <t>Optional interdisciplinary challenge programme. Student teams develop responses to sustainability questions; Future17 is recorded separately.</t>
        </is>
      </c>
      <c r="J13" s="10" t="inlineStr">
        <is>
          <t>University interdisciplinary challenge programme; not compulsory.</t>
        </is>
      </c>
      <c r="K13" s="10" t="inlineStr">
        <is>
          <t>Official page; intake unverified</t>
        </is>
      </c>
      <c r="L13" s="10" t="inlineStr">
        <is>
          <t>Russell Group</t>
        </is>
      </c>
      <c r="M13" s="10" t="inlineStr">
        <is>
          <t>https://www.exeter.ac.uk/students/grandchallenges/</t>
        </is>
      </c>
      <c r="N13" s="10" t="inlineStr">
        <is>
          <t>Direct eligibility</t>
        </is>
      </c>
      <c r="O13" s="10" t="inlineStr">
        <is>
          <t>Undated page</t>
        </is>
      </c>
      <c r="P13" s="81" t="n">
        <v>46303</v>
      </c>
      <c r="Q13" s="77" t="inlineStr">
        <is>
          <t>Reassessed as RG07-S01 (Potentially relevant; evidence incomplete)</t>
        </is>
      </c>
    </row>
    <row r="14" ht="116" customHeight="1">
      <c r="A14" s="10" t="inlineStr">
        <is>
          <t>UK</t>
        </is>
      </c>
      <c r="B14" s="11" t="inlineStr">
        <is>
          <t>Glasgow</t>
        </is>
      </c>
      <c r="C14" s="10" t="inlineStr">
        <is>
          <t>University-wide</t>
        </is>
      </c>
      <c r="D14" s="10" t="inlineStr">
        <is>
          <t>International collaboration</t>
        </is>
      </c>
      <c r="E14" s="10" t="inlineStr">
        <is>
          <t>Collaborative Online International Learning (COIL)</t>
        </is>
      </c>
      <c r="F14" s="10" t="inlineStr">
        <is>
          <t>University internationalisation / academic courses</t>
        </is>
      </c>
      <c r="G14" s="10" t="inlineStr">
        <is>
          <t>Mixed/varies</t>
        </is>
      </c>
      <c r="H14" s="10" t="inlineStr">
        <is>
          <t>Students in participating courses</t>
        </is>
      </c>
      <c r="I14" s="10" t="inlineStr">
        <is>
          <t>Students collaborate virtually with international partners. Credit and assessment depend on the course.</t>
        </is>
      </c>
      <c r="J14" s="10" t="inlineStr">
        <is>
          <t>Institutional COIL support framework; actual access and credit depend on the course.</t>
        </is>
      </c>
      <c r="K14" s="10" t="inlineStr">
        <is>
          <t>Official page; intake unverified</t>
        </is>
      </c>
      <c r="L14" s="10" t="inlineStr">
        <is>
          <t>Russell Group</t>
        </is>
      </c>
      <c r="M14" s="10" t="inlineStr">
        <is>
          <t>https://www.gla.ac.uk/explore/internationalisation/coil/</t>
        </is>
      </c>
      <c r="N14" s="10" t="inlineStr">
        <is>
          <t>Institutional framework</t>
        </is>
      </c>
      <c r="O14" s="10" t="inlineStr">
        <is>
          <t>Undated page</t>
        </is>
      </c>
      <c r="P14" s="81" t="n">
        <v>46303</v>
      </c>
      <c r="Q14" s="77" t="inlineStr">
        <is>
          <t>Excluded as RG08-X01: Other</t>
        </is>
      </c>
    </row>
    <row r="15" ht="116" customHeight="1">
      <c r="A15" s="10" t="inlineStr">
        <is>
          <t>UK</t>
        </is>
      </c>
      <c r="B15" s="11" t="inlineStr">
        <is>
          <t>Imperial College London</t>
        </is>
      </c>
      <c r="C15" s="10" t="inlineStr">
        <is>
          <t>University-wide</t>
        </is>
      </c>
      <c r="D15" s="10" t="inlineStr">
        <is>
          <t>Interdisciplinary curriculum</t>
        </is>
      </c>
      <c r="E15" s="10" t="inlineStr">
        <is>
          <t>I-Explore</t>
        </is>
      </c>
      <c r="F15" s="10" t="inlineStr">
        <is>
          <t>Centre for Languages, Culture and Communication</t>
        </is>
      </c>
      <c r="G15" s="10" t="inlineStr">
        <is>
          <t>Compulsory</t>
        </is>
      </c>
      <c r="H15" s="10" t="inlineStr">
        <is>
          <t>Undergraduates on participating programmes</t>
        </is>
      </c>
      <c r="I15" s="10" t="inlineStr">
        <is>
          <t>Second- or third-year study outside the main discipline. Options include interdisciplinary and practical work.</t>
        </is>
      </c>
      <c r="J15" s="10" t="inlineStr">
        <is>
          <t>University undergraduate breadth requirement; degree-specific rules apply.</t>
        </is>
      </c>
      <c r="K15" s="10" t="inlineStr">
        <is>
          <t>Official page; intake unverified</t>
        </is>
      </c>
      <c r="L15" s="10" t="inlineStr">
        <is>
          <t>Russell Group</t>
        </is>
      </c>
      <c r="M15" s="10" t="inlineStr">
        <is>
          <t>https://www.imperial.ac.uk/centre-for-languages-culture-and-communication/i-explore/</t>
        </is>
      </c>
      <c r="N15" s="10" t="inlineStr">
        <is>
          <t>Direct eligibility</t>
        </is>
      </c>
      <c r="O15" s="10" t="inlineStr">
        <is>
          <t>Undated page</t>
        </is>
      </c>
      <c r="P15" s="81" t="n">
        <v>46303</v>
      </c>
      <c r="Q15" s="77" t="inlineStr">
        <is>
          <t>Excluded as RG09-X01: Breadth/interdisciplinary curriculum</t>
        </is>
      </c>
    </row>
    <row r="16" ht="116" customHeight="1">
      <c r="A16" s="10" t="inlineStr">
        <is>
          <t>UK</t>
        </is>
      </c>
      <c r="B16" s="11" t="inlineStr">
        <is>
          <t>King’s College London</t>
        </is>
      </c>
      <c r="C16" s="10" t="inlineStr">
        <is>
          <t>Programme/course</t>
        </is>
      </c>
      <c r="D16" s="10" t="inlineStr">
        <is>
          <t>Live/research project</t>
        </is>
      </c>
      <c r="E16" s="10" t="inlineStr">
        <is>
          <t>Business Experience Project</t>
        </is>
      </c>
      <c r="F16" s="10" t="inlineStr">
        <is>
          <t>King’s Business School</t>
        </is>
      </c>
      <c r="G16" s="10" t="inlineStr">
        <is>
          <t>Mixed/varies</t>
        </is>
      </c>
      <c r="H16" s="10" t="inlineStr">
        <is>
          <t>International Management MSc students</t>
        </is>
      </c>
      <c r="I16" s="10" t="inlineStr">
        <is>
          <t>A business-school example of experiential study. Not a compulsory university-wide scheme.</t>
        </is>
      </c>
      <c r="J16" s="10" t="inlineStr">
        <is>
          <t>Specific taught master’s route; project/internship structure follows programme requirements.</t>
        </is>
      </c>
      <c r="K16" s="10" t="inlineStr">
        <is>
          <t>Official page; intake unverified</t>
        </is>
      </c>
      <c r="L16" s="10" t="inlineStr">
        <is>
          <t>Russell Group</t>
        </is>
      </c>
      <c r="M16" s="10" t="inlineStr">
        <is>
          <t>https://www.kcl.ac.uk/study/postgraduate-taught/courses/international-management-msc/teaching</t>
        </is>
      </c>
      <c r="N16" s="10" t="inlineStr">
        <is>
          <t>Direct eligibility</t>
        </is>
      </c>
      <c r="O16" s="10" t="inlineStr">
        <is>
          <t>Undated page</t>
        </is>
      </c>
      <c r="P16" s="81" t="n">
        <v>46303</v>
      </c>
      <c r="Q16" s="77" t="inlineStr">
        <is>
          <t>Excluded as RG10-X01: Placement/internship</t>
        </is>
      </c>
    </row>
    <row r="17" ht="116" customHeight="1">
      <c r="A17" s="10" t="inlineStr">
        <is>
          <t>UK</t>
        </is>
      </c>
      <c r="B17" s="11" t="inlineStr">
        <is>
          <t>Leeds</t>
        </is>
      </c>
      <c r="C17" s="10" t="inlineStr">
        <is>
          <t>University-wide</t>
        </is>
      </c>
      <c r="D17" s="10" t="inlineStr">
        <is>
          <t>Interdisciplinary curriculum</t>
        </is>
      </c>
      <c r="E17" s="10" t="inlineStr">
        <is>
          <t>Discovery Modules</t>
        </is>
      </c>
      <c r="F17" s="10" t="inlineStr">
        <is>
          <t>Central Discovery Modules</t>
        </is>
      </c>
      <c r="G17" s="10" t="inlineStr">
        <is>
          <t>Elective credit</t>
        </is>
      </c>
      <c r="H17" s="10" t="inlineStr">
        <is>
          <t>Undergraduates where programme rules permit</t>
        </is>
      </c>
      <c r="I17" s="10" t="inlineStr">
        <is>
          <t>Students study beyond their main discipline. Experiential content depends on the module selected.</t>
        </is>
      </c>
      <c r="J17" s="10" t="inlineStr">
        <is>
          <t>University breadth-module framework; experiential content varies by module.</t>
        </is>
      </c>
      <c r="K17" s="10" t="inlineStr">
        <is>
          <t>Official page; intake unverified</t>
        </is>
      </c>
      <c r="L17" s="10" t="inlineStr">
        <is>
          <t>Russell Group</t>
        </is>
      </c>
      <c r="M17" s="10" t="inlineStr">
        <is>
          <t>https://students.leeds.ac.uk/discovery</t>
        </is>
      </c>
      <c r="N17" s="10" t="inlineStr">
        <is>
          <t>Institutional framework</t>
        </is>
      </c>
      <c r="O17" s="10" t="inlineStr">
        <is>
          <t>Undated page</t>
        </is>
      </c>
      <c r="P17" s="81" t="n">
        <v>46303</v>
      </c>
      <c r="Q17" s="77" t="inlineStr">
        <is>
          <t>Excluded as RG11-X01: Breadth/interdisciplinary curriculum</t>
        </is>
      </c>
    </row>
    <row r="18" ht="116" customHeight="1">
      <c r="A18" s="10" t="inlineStr">
        <is>
          <t>UK</t>
        </is>
      </c>
      <c r="B18" s="11" t="inlineStr">
        <is>
          <t>Liverpool</t>
        </is>
      </c>
      <c r="C18" s="10" t="inlineStr">
        <is>
          <t>University-wide</t>
        </is>
      </c>
      <c r="D18" s="10" t="inlineStr">
        <is>
          <t>Live/research project</t>
        </is>
      </c>
      <c r="E18" s="10" t="inlineStr">
        <is>
          <t>Grand Challenges</t>
        </is>
      </c>
      <c r="F18" s="10" t="inlineStr">
        <is>
          <t>Careers and Employability</t>
        </is>
      </c>
      <c r="G18" s="10" t="inlineStr">
        <is>
          <t>Co-curricular</t>
        </is>
      </c>
      <c r="H18" s="10" t="inlineStr">
        <is>
          <t>Eligible students across campus</t>
        </is>
      </c>
      <c r="I18" s="10" t="inlineStr">
        <is>
          <t>Student teams address real challenges through employer engagement.</t>
        </is>
      </c>
      <c r="J18" s="10" t="inlineStr">
        <is>
          <t>Official employer page describes campus-wide initiative.</t>
        </is>
      </c>
      <c r="K18" s="10" t="inlineStr">
        <is>
          <t>Official page; intake unverified</t>
        </is>
      </c>
      <c r="L18" s="10" t="inlineStr">
        <is>
          <t>Russell Group</t>
        </is>
      </c>
      <c r="M18" s="10" t="inlineStr">
        <is>
          <t>https://www.liverpool.ac.uk/careers/employers/campus-wide-initiatives/grand-challenges/</t>
        </is>
      </c>
      <c r="N18" s="10" t="inlineStr">
        <is>
          <t>Direct eligibility</t>
        </is>
      </c>
      <c r="O18" s="10" t="inlineStr">
        <is>
          <t>Undated page</t>
        </is>
      </c>
      <c r="P18" s="81" t="n">
        <v>46303</v>
      </c>
      <c r="Q18" s="77" t="inlineStr">
        <is>
          <t>Reassessed as RG12-S01 (Meets all three)</t>
        </is>
      </c>
    </row>
    <row r="19" ht="116" customHeight="1">
      <c r="A19" s="10" t="inlineStr">
        <is>
          <t>UK</t>
        </is>
      </c>
      <c r="B19" s="11" t="inlineStr">
        <is>
          <t>London School of Economics</t>
        </is>
      </c>
      <c r="C19" s="10" t="inlineStr">
        <is>
          <t>University-wide</t>
        </is>
      </c>
      <c r="D19" s="10" t="inlineStr">
        <is>
          <t>Interdisciplinary curriculum</t>
        </is>
      </c>
      <c r="E19" s="10" t="inlineStr">
        <is>
          <t>LSE100</t>
        </is>
      </c>
      <c r="F19" s="10" t="inlineStr">
        <is>
          <t>LSE100</t>
        </is>
      </c>
      <c r="G19" s="10" t="inlineStr">
        <is>
          <t>Compulsory</t>
        </is>
      </c>
      <c r="H19" s="10" t="inlineStr">
        <is>
          <t>All first-year undergraduates</t>
        </is>
      </c>
      <c r="I19" s="10" t="inlineStr">
        <is>
          <t>Compulsory first-year interdisciplinary inquiry and collaborative research. Separate optional Future17 projects are recorded on their own row.</t>
        </is>
      </c>
      <c r="J19" s="10" t="inlineStr">
        <is>
          <t>Explicit compulsory institution-wide first-year curriculum.</t>
        </is>
      </c>
      <c r="K19" s="10" t="inlineStr">
        <is>
          <t>Official page; intake unverified</t>
        </is>
      </c>
      <c r="L19" s="10" t="inlineStr">
        <is>
          <t>Russell Group</t>
        </is>
      </c>
      <c r="M19" s="10" t="inlineStr">
        <is>
          <t>https://info.lse.ac.uk/current-students/lse100/about-lse-100</t>
        </is>
      </c>
      <c r="N19" s="10" t="inlineStr">
        <is>
          <t>Direct eligibility</t>
        </is>
      </c>
      <c r="O19" s="10" t="inlineStr">
        <is>
          <t>Undated page</t>
        </is>
      </c>
      <c r="P19" s="81" t="n">
        <v>46303</v>
      </c>
      <c r="Q19" s="77" t="inlineStr">
        <is>
          <t>Reassessed as RG13-S01 (Outside strict definition)</t>
        </is>
      </c>
    </row>
    <row r="20" ht="116" customHeight="1">
      <c r="A20" s="10" t="inlineStr">
        <is>
          <t>UK</t>
        </is>
      </c>
      <c r="B20" s="11" t="inlineStr">
        <is>
          <t>Manchester</t>
        </is>
      </c>
      <c r="C20" s="10" t="inlineStr">
        <is>
          <t>University-wide</t>
        </is>
      </c>
      <c r="D20" s="10" t="inlineStr">
        <is>
          <t>Interdisciplinary curriculum</t>
        </is>
      </c>
      <c r="E20" s="10" t="inlineStr">
        <is>
          <t>University College for Interdisciplinary Learning (UCIL)</t>
        </is>
      </c>
      <c r="F20" s="10" t="inlineStr">
        <is>
          <t>University College for Interdisciplinary Learning</t>
        </is>
      </c>
      <c r="G20" s="10" t="inlineStr">
        <is>
          <t>Elective credit</t>
        </is>
      </c>
      <c r="H20" s="10" t="inlineStr">
        <is>
          <t>Undergraduates with available optional credit</t>
        </is>
      </c>
      <c r="I20" s="10" t="inlineStr">
        <is>
          <t>Cross-disciplinary units, including enterprise and community-oriented learning. 2035 strategy commits to expanding partner-based learning for credit.</t>
        </is>
      </c>
      <c r="J20" s="10" t="inlineStr">
        <is>
          <t>University-level interdisciplinary unit framework; future expansion plans are not current provision.</t>
        </is>
      </c>
      <c r="K20" s="10" t="inlineStr">
        <is>
          <t>Official page; intake unverified</t>
        </is>
      </c>
      <c r="L20" s="10" t="inlineStr">
        <is>
          <t>Russell Group</t>
        </is>
      </c>
      <c r="M20" s="10" t="inlineStr">
        <is>
          <t>https://www.ucil.manchester.ac.uk/info-for-students/
https://www.manchester.ac.uk/about/manchester-2035/full-strategy/</t>
        </is>
      </c>
      <c r="N20" s="10" t="inlineStr">
        <is>
          <t>Institutional framework</t>
        </is>
      </c>
      <c r="O20" s="10" t="inlineStr">
        <is>
          <t>Undated page</t>
        </is>
      </c>
      <c r="P20" s="81" t="n">
        <v>46303</v>
      </c>
      <c r="Q20" s="77" t="inlineStr">
        <is>
          <t>Reassessed as RG14-S07 (Meets all three)</t>
        </is>
      </c>
    </row>
    <row r="21" ht="116" customHeight="1">
      <c r="A21" s="10" t="inlineStr">
        <is>
          <t>UK</t>
        </is>
      </c>
      <c r="B21" s="11" t="inlineStr">
        <is>
          <t>Newcastle</t>
        </is>
      </c>
      <c r="C21" s="10" t="inlineStr">
        <is>
          <t>Cross-faculty</t>
        </is>
      </c>
      <c r="D21" s="10" t="inlineStr">
        <is>
          <t>Enterprise programme</t>
        </is>
      </c>
      <c r="E21" s="10" t="inlineStr">
        <is>
          <t>NCL2100 Developing Enterprise, Entrepreneurship and Employability</t>
        </is>
      </c>
      <c r="F21" s="10" t="inlineStr">
        <is>
          <t>Careers / participating academic programmes</t>
        </is>
      </c>
      <c r="G21" s="10" t="inlineStr">
        <is>
          <t>Elective credit</t>
        </is>
      </c>
      <c r="H21" s="10" t="inlineStr">
        <is>
          <t>Students on degrees allowing NCL2100</t>
        </is>
      </c>
      <c r="I21" s="10" t="inlineStr">
        <is>
          <t>Cross-faculty enterprise module. Current staff profile confirms module leadership. Detailed current module availability needs checking by degree.</t>
        </is>
      </c>
      <c r="J21" s="10" t="inlineStr">
        <is>
          <t>Cross-faculty module; precise current degree eligibility not verified.</t>
        </is>
      </c>
      <c r="K21" s="10" t="inlineStr">
        <is>
          <t>Official page; intake unverified</t>
        </is>
      </c>
      <c r="L21" s="10" t="inlineStr">
        <is>
          <t>Russell Group</t>
        </is>
      </c>
      <c r="M21" s="10" t="inlineStr">
        <is>
          <t>https://www.ncl.ac.uk/computing/people/profile/charlottehope.html</t>
        </is>
      </c>
      <c r="N21" s="10" t="inlineStr">
        <is>
          <t>Direct eligibility</t>
        </is>
      </c>
      <c r="O21" s="10" t="inlineStr">
        <is>
          <t>Undated page</t>
        </is>
      </c>
      <c r="P21" s="81" t="n">
        <v>46303</v>
      </c>
      <c r="Q21" s="77" t="inlineStr">
        <is>
          <t>Excluded as RG15-X01: Evidence gap</t>
        </is>
      </c>
    </row>
    <row r="22" ht="116" customHeight="1">
      <c r="A22" s="10" t="inlineStr">
        <is>
          <t>UK</t>
        </is>
      </c>
      <c r="B22" s="11" t="inlineStr">
        <is>
          <t>Nottingham</t>
        </is>
      </c>
      <c r="C22" s="10" t="inlineStr">
        <is>
          <t>University-wide</t>
        </is>
      </c>
      <c r="D22" s="10" t="inlineStr">
        <is>
          <t>Co-curricular award</t>
        </is>
      </c>
      <c r="E22" s="10" t="inlineStr">
        <is>
          <t>Nottingham Advantage Award</t>
        </is>
      </c>
      <c r="F22" s="10" t="inlineStr">
        <is>
          <t>Careers / Nottingham Advantage Award</t>
        </is>
      </c>
      <c r="G22" s="10" t="inlineStr">
        <is>
          <t>Co-curricular</t>
        </is>
      </c>
      <c r="H22" s="10" t="inlineStr">
        <is>
          <t>Eligible students undertaking extracurricular modules</t>
        </is>
      </c>
      <c r="I22" s="10" t="inlineStr">
        <is>
          <t>Formal recognition of work-related skills and extracurricular learning. Not equivalent to a compulsory degree course.</t>
        </is>
      </c>
      <c r="J22" s="10" t="inlineStr">
        <is>
          <t>Central award; academic-credit equivalence not claimed.</t>
        </is>
      </c>
      <c r="K22" s="10" t="inlineStr">
        <is>
          <t>Official page; intake unverified</t>
        </is>
      </c>
      <c r="L22" s="10" t="inlineStr">
        <is>
          <t>Russell Group</t>
        </is>
      </c>
      <c r="M22" s="10" t="inlineStr">
        <is>
          <t>https://blogs.nottingham.ac.uk/careers/2024/07/25/advantage-award/</t>
        </is>
      </c>
      <c r="N22" s="10" t="inlineStr">
        <is>
          <t>Direct eligibility</t>
        </is>
      </c>
      <c r="O22" s="10" t="inlineStr">
        <is>
          <t>Undated page</t>
        </is>
      </c>
      <c r="P22" s="81" t="n">
        <v>46303</v>
      </c>
      <c r="Q22" s="77" t="inlineStr">
        <is>
          <t>Excluded as RG16-X01: Employability award</t>
        </is>
      </c>
    </row>
    <row r="23" ht="116" customHeight="1">
      <c r="A23" s="10" t="inlineStr">
        <is>
          <t>UK</t>
        </is>
      </c>
      <c r="B23" s="11" t="inlineStr">
        <is>
          <t>Oxford</t>
        </is>
      </c>
      <c r="C23" s="10" t="inlineStr">
        <is>
          <t>University-wide</t>
        </is>
      </c>
      <c r="D23" s="10" t="inlineStr">
        <is>
          <t>Placement/WIL</t>
        </is>
      </c>
      <c r="E23" s="10" t="inlineStr">
        <is>
          <t>Micro-Internship Programme</t>
        </is>
      </c>
      <c r="F23" s="10" t="inlineStr">
        <is>
          <t>Careers Service</t>
        </is>
      </c>
      <c r="G23" s="10" t="inlineStr">
        <is>
          <t>Co-curricular</t>
        </is>
      </c>
      <c r="H23" s="10" t="inlineStr">
        <is>
          <t>Undergraduate and postgraduate students; selection applies</t>
        </is>
      </c>
      <c r="I23" s="10" t="inlineStr">
        <is>
          <t>Two- to five-day learning placements involving project assistance and work shadowing.</t>
        </is>
      </c>
      <c r="J23" s="10" t="inlineStr">
        <is>
          <t>Explicit both-level central micro-internship provision.</t>
        </is>
      </c>
      <c r="K23" s="10" t="inlineStr">
        <is>
          <t>Official page; intake unverified</t>
        </is>
      </c>
      <c r="L23" s="10" t="inlineStr">
        <is>
          <t>Russell Group</t>
        </is>
      </c>
      <c r="M23" s="10" t="inlineStr">
        <is>
          <t>https://www.ox.ac.uk/careers/internships/the-micro-internship-programme</t>
        </is>
      </c>
      <c r="N23" s="10" t="inlineStr">
        <is>
          <t>Direct eligibility</t>
        </is>
      </c>
      <c r="O23" s="10" t="inlineStr">
        <is>
          <t>Undated page</t>
        </is>
      </c>
      <c r="P23" s="81" t="n">
        <v>46303</v>
      </c>
      <c r="Q23" s="77" t="inlineStr">
        <is>
          <t>Excluded as RG17-X01: Placement/internship</t>
        </is>
      </c>
    </row>
    <row r="24" ht="116" customHeight="1">
      <c r="A24" s="10" t="inlineStr">
        <is>
          <t>UK</t>
        </is>
      </c>
      <c r="B24" s="11" t="inlineStr">
        <is>
          <t>Queen Mary University of London</t>
        </is>
      </c>
      <c r="C24" s="10" t="inlineStr">
        <is>
          <t>Faculty/school</t>
        </is>
      </c>
      <c r="D24" s="10" t="inlineStr">
        <is>
          <t>Live/research project</t>
        </is>
      </c>
      <c r="E24" s="10" t="inlineStr">
        <is>
          <t>SBM Consult</t>
        </is>
      </c>
      <c r="F24" s="10" t="inlineStr">
        <is>
          <t>School of Business and Management</t>
        </is>
      </c>
      <c r="G24" s="10" t="inlineStr">
        <is>
          <t>Co-curricular</t>
        </is>
      </c>
      <c r="H24" s="10" t="inlineStr">
        <is>
          <t>SBM students; project selection applies</t>
        </is>
      </c>
      <c r="I24" s="10" t="inlineStr">
        <is>
          <t>Teams of five undertake real university client projects over ten weeks. Programme page describes paid project work.</t>
        </is>
      </c>
      <c r="J24" s="10" t="inlineStr">
        <is>
          <t>Official scheme restricts eligibility to a named school.</t>
        </is>
      </c>
      <c r="K24" s="10" t="inlineStr">
        <is>
          <t>Official page; intake unverified</t>
        </is>
      </c>
      <c r="L24" s="10" t="inlineStr">
        <is>
          <t>Russell Group</t>
        </is>
      </c>
      <c r="M24" s="10" t="inlineStr">
        <is>
          <t>https://www.qmul.ac.uk/careers/find-opportunities/current-opportunities/sbm-consult/</t>
        </is>
      </c>
      <c r="N24" s="10" t="inlineStr">
        <is>
          <t>Direct eligibility</t>
        </is>
      </c>
      <c r="O24" s="10" t="inlineStr">
        <is>
          <t>Undated page</t>
        </is>
      </c>
      <c r="P24" s="81" t="n">
        <v>46303</v>
      </c>
      <c r="Q24" s="77" t="inlineStr">
        <is>
          <t>Reassessed as RG18-S10 (Outside strict definition)</t>
        </is>
      </c>
    </row>
    <row r="25" ht="116" customHeight="1">
      <c r="A25" s="10" t="inlineStr">
        <is>
          <t>UK</t>
        </is>
      </c>
      <c r="B25" s="11" t="inlineStr">
        <is>
          <t>Queen’s University Belfast</t>
        </is>
      </c>
      <c r="C25" s="10" t="inlineStr">
        <is>
          <t>University-wide</t>
        </is>
      </c>
      <c r="D25" s="10" t="inlineStr">
        <is>
          <t>Co-curricular award</t>
        </is>
      </c>
      <c r="E25" s="10" t="inlineStr">
        <is>
          <t>Future-Ready Award</t>
        </is>
      </c>
      <c r="F25" s="10" t="inlineStr">
        <is>
          <t>Central Future-Ready Award</t>
        </is>
      </c>
      <c r="G25" s="10" t="inlineStr">
        <is>
          <t>Co-curricular</t>
        </is>
      </c>
      <c r="H25" s="10" t="inlineStr">
        <is>
          <t>Undergraduate and postgraduate students</t>
        </is>
      </c>
      <c r="I25" s="10" t="inlineStr">
        <is>
          <t>Recognises work experience, volunteering and other activities. Official page reports 1,000+ awards per year and 100+ accredited activities.</t>
        </is>
      </c>
      <c r="J25" s="10" t="inlineStr">
        <is>
          <t>Central university recognition with both-level eligibility.</t>
        </is>
      </c>
      <c r="K25" s="10" t="inlineStr">
        <is>
          <t>Official page; intake unverified</t>
        </is>
      </c>
      <c r="L25" s="10" t="inlineStr">
        <is>
          <t>Russell Group</t>
        </is>
      </c>
      <c r="M25" s="10" t="inlineStr">
        <is>
          <t>https://www.qub.ac.uk/directorates/future-ready-award/</t>
        </is>
      </c>
      <c r="N25" s="10" t="inlineStr">
        <is>
          <t>Direct eligibility</t>
        </is>
      </c>
      <c r="O25" s="10" t="inlineStr">
        <is>
          <t>Undated page</t>
        </is>
      </c>
      <c r="P25" s="81" t="n">
        <v>46303</v>
      </c>
      <c r="Q25" s="77" t="inlineStr">
        <is>
          <t>Excluded as RG19-X01: Employability award</t>
        </is>
      </c>
    </row>
    <row r="26" ht="116" customHeight="1">
      <c r="A26" s="10" t="inlineStr">
        <is>
          <t>UK</t>
        </is>
      </c>
      <c r="B26" s="11" t="inlineStr">
        <is>
          <t>Sheffield</t>
        </is>
      </c>
      <c r="C26" s="10" t="inlineStr">
        <is>
          <t>Faculty/school</t>
        </is>
      </c>
      <c r="D26" s="10" t="inlineStr">
        <is>
          <t>Live/research project</t>
        </is>
      </c>
      <c r="E26" s="10" t="inlineStr">
        <is>
          <t>Global Engineering Challenge / Engineering: You’re Hired!</t>
        </is>
      </c>
      <c r="F26" s="10" t="inlineStr">
        <is>
          <t>Faculty of Engineering</t>
        </is>
      </c>
      <c r="G26" s="10" t="inlineStr">
        <is>
          <t>Compulsory</t>
        </is>
      </c>
      <c r="H26" s="10" t="inlineStr">
        <is>
          <t>First- and second-year Engineering students</t>
        </is>
      </c>
      <c r="I26" s="10" t="inlineStr">
        <is>
          <t>First- and second-year multidisciplinary project weeks. In 2026, GEC involved 1,547 first-year students in 258 teams.</t>
        </is>
      </c>
      <c r="J26" s="10" t="inlineStr">
        <is>
          <t>Faculty curriculum: GEC and Engineering: You’re Hired! have the same faculty reach.</t>
        </is>
      </c>
      <c r="K26" s="10" t="inlineStr">
        <is>
          <t>2026 project weeks confirmed</t>
        </is>
      </c>
      <c r="L26" s="10" t="inlineStr">
        <is>
          <t>Russell Group</t>
        </is>
      </c>
      <c r="M26" s="10" t="inlineStr">
        <is>
          <t>https://sheffield.ac.uk/engineering/diamond-engineering/engineering-project-weeks-2026-learning-through-real-life-challenges</t>
        </is>
      </c>
      <c r="N26" s="10" t="inlineStr">
        <is>
          <t>Direct eligibility</t>
        </is>
      </c>
      <c r="O26" s="10" t="inlineStr">
        <is>
          <t>Dated 2026/27</t>
        </is>
      </c>
      <c r="P26" s="81" t="n">
        <v>46303</v>
      </c>
      <c r="Q26" s="77" t="inlineStr">
        <is>
          <t>Reassessed as RG20-S01 (Meets all three)</t>
        </is>
      </c>
    </row>
    <row r="27" ht="116" customHeight="1">
      <c r="A27" s="10" t="inlineStr">
        <is>
          <t>UK</t>
        </is>
      </c>
      <c r="B27" s="11" t="inlineStr">
        <is>
          <t>Southampton</t>
        </is>
      </c>
      <c r="C27" s="10" t="inlineStr">
        <is>
          <t>Programme/course</t>
        </is>
      </c>
      <c r="D27" s="10" t="inlineStr">
        <is>
          <t>Live/research project</t>
        </is>
      </c>
      <c r="E27" s="10" t="inlineStr">
        <is>
          <t>Industry Consultancy Projects</t>
        </is>
      </c>
      <c r="F27" s="10" t="inlineStr">
        <is>
          <t>Centre for Risk Research</t>
        </is>
      </c>
      <c r="G27" s="10" t="inlineStr">
        <is>
          <t>Mixed/varies</t>
        </is>
      </c>
      <c r="H27" s="10" t="inlineStr">
        <is>
          <t>Relevant Risk Research master’s programmes</t>
        </is>
      </c>
      <c r="I27" s="10" t="inlineStr">
        <is>
          <t>Students work on industry consultancy projects. This is a specialist example rather than a university-wide common course.</t>
        </is>
      </c>
      <c r="J27" s="10" t="inlineStr">
        <is>
          <t>Specialist programme project evidence; not university-wide.</t>
        </is>
      </c>
      <c r="K27" s="10" t="inlineStr">
        <is>
          <t>Official page; intake unverified</t>
        </is>
      </c>
      <c r="L27" s="10" t="inlineStr">
        <is>
          <t>Russell Group</t>
        </is>
      </c>
      <c r="M27" s="10" t="inlineStr">
        <is>
          <t>https://www.southampton.ac.uk/research/institutes-centres/centre-for-risk-research-crr/industry-consultancy-projects</t>
        </is>
      </c>
      <c r="N27" s="10" t="inlineStr">
        <is>
          <t>Direct eligibility</t>
        </is>
      </c>
      <c r="O27" s="10" t="inlineStr">
        <is>
          <t>Undated page</t>
        </is>
      </c>
      <c r="P27" s="81" t="n">
        <v>46303</v>
      </c>
      <c r="Q27" s="77" t="inlineStr">
        <is>
          <t>Reassessed as RG21-S15 (Potentially relevant; evidence incomplete)</t>
        </is>
      </c>
    </row>
    <row r="28" ht="116" customHeight="1">
      <c r="A28" s="10" t="inlineStr">
        <is>
          <t>UK</t>
        </is>
      </c>
      <c r="B28" s="11" t="inlineStr">
        <is>
          <t>UCL</t>
        </is>
      </c>
      <c r="C28" s="10" t="inlineStr">
        <is>
          <t>University-wide</t>
        </is>
      </c>
      <c r="D28" s="10" t="inlineStr">
        <is>
          <t>Live/research project</t>
        </is>
      </c>
      <c r="E28" s="10" t="inlineStr">
        <is>
          <t>Grand Challenges × ChangeMakers</t>
        </is>
      </c>
      <c r="F28" s="10" t="inlineStr">
        <is>
          <t>UCL Grand Challenges / ChangeMakers</t>
        </is>
      </c>
      <c r="G28" s="10" t="inlineStr">
        <is>
          <t>Co-curricular</t>
        </is>
      </c>
      <c r="H28" s="10" t="inlineStr">
        <is>
          <t>Eligible student–staff project teams</t>
        </is>
      </c>
      <c r="I28" s="10" t="inlineStr">
        <is>
          <t>Student–staff projects address Grand Challenges. September 2026 call confirms current activity.</t>
        </is>
      </c>
      <c r="J28" s="10" t="inlineStr">
        <is>
          <t>University-level grant initiative; competitive application and project eligibility apply.</t>
        </is>
      </c>
      <c r="K28" s="10" t="inlineStr">
        <is>
          <t>September 2026 application call confirmed</t>
        </is>
      </c>
      <c r="L28" s="10" t="inlineStr">
        <is>
          <t>Russell Group</t>
        </is>
      </c>
      <c r="M28" s="10" t="inlineStr">
        <is>
          <t>https://www.ucl.ac.uk/research-innovation/news/2026/sep/grand-challenges-x-changemakers-applications-now-open</t>
        </is>
      </c>
      <c r="N28" s="10" t="inlineStr">
        <is>
          <t>Direct eligibility</t>
        </is>
      </c>
      <c r="O28" s="10" t="inlineStr">
        <is>
          <t>Dated 2026/27</t>
        </is>
      </c>
      <c r="P28" s="81" t="n">
        <v>46303</v>
      </c>
      <c r="Q28" s="77" t="inlineStr">
        <is>
          <t>Reassessed as RG22-S18 (Potentially relevant; evidence incomplete)</t>
        </is>
      </c>
    </row>
    <row r="29" ht="116" customHeight="1">
      <c r="A29" s="10" t="inlineStr">
        <is>
          <t>UK</t>
        </is>
      </c>
      <c r="B29" s="11" t="inlineStr">
        <is>
          <t>Warwick</t>
        </is>
      </c>
      <c r="C29" s="10" t="inlineStr">
        <is>
          <t>University-wide</t>
        </is>
      </c>
      <c r="D29" s="10" t="inlineStr">
        <is>
          <t>Interdisciplinary curriculum</t>
        </is>
      </c>
      <c r="E29" s="10" t="inlineStr">
        <is>
          <t>IATL undergraduate modules</t>
        </is>
      </c>
      <c r="F29" s="10" t="inlineStr">
        <is>
          <t>Institute for Advanced Teaching and Learning</t>
        </is>
      </c>
      <c r="G29" s="10" t="inlineStr">
        <is>
          <t>Elective credit</t>
        </is>
      </c>
      <c r="H29" s="10" t="inlineStr">
        <is>
          <t>Undergraduates with approval / available optional credits</t>
        </is>
      </c>
      <c r="I29" s="10" t="inlineStr">
        <is>
          <t>Interdisciplinary and transdisciplinary modules support collaborative learning. Live partner involvement varies.</t>
        </is>
      </c>
      <c r="J29" s="10" t="inlineStr">
        <is>
          <t>Cross-faculty institute provides a university-level elective framework.</t>
        </is>
      </c>
      <c r="K29" s="10" t="inlineStr">
        <is>
          <t>Official page; intake unverified</t>
        </is>
      </c>
      <c r="L29" s="10" t="inlineStr">
        <is>
          <t>Russell Group</t>
        </is>
      </c>
      <c r="M29" s="10" t="inlineStr">
        <is>
          <t>https://warwick.ac.uk/fac/cross_fac/iatl/study/iatlugmodules/</t>
        </is>
      </c>
      <c r="N29" s="10" t="inlineStr">
        <is>
          <t>Institutional framework</t>
        </is>
      </c>
      <c r="O29" s="10" t="inlineStr">
        <is>
          <t>Undated page</t>
        </is>
      </c>
      <c r="P29" s="81" t="n">
        <v>46303</v>
      </c>
      <c r="Q29" s="77" t="inlineStr">
        <is>
          <t>Excluded as RG23-X01: Breadth/interdisciplinary curriculum</t>
        </is>
      </c>
    </row>
    <row r="30" ht="116" customHeight="1">
      <c r="A30" s="10" t="inlineStr">
        <is>
          <t>UK</t>
        </is>
      </c>
      <c r="B30" s="11" t="inlineStr">
        <is>
          <t>York</t>
        </is>
      </c>
      <c r="C30" s="10" t="inlineStr">
        <is>
          <t>University-wide</t>
        </is>
      </c>
      <c r="D30" s="10" t="inlineStr">
        <is>
          <t>Interdisciplinary curriculum</t>
        </is>
      </c>
      <c r="E30" s="10" t="inlineStr">
        <is>
          <t>York Interdisciplinary Modules</t>
        </is>
      </c>
      <c r="F30" s="10" t="inlineStr">
        <is>
          <t>York Interdisciplinary Modules</t>
        </is>
      </c>
      <c r="G30" s="10" t="inlineStr">
        <is>
          <t>Elective credit</t>
        </is>
      </c>
      <c r="H30" s="10" t="inlineStr">
        <is>
          <t>Students on eligible programmes</t>
        </is>
      </c>
      <c r="I30" s="10" t="inlineStr">
        <is>
          <t>Optional modules connect disciplines beyond the main degree. Practical or external-partner content depends on the module; Sustainability Clinic is recorded separately.</t>
        </is>
      </c>
      <c r="J30" s="10" t="inlineStr">
        <is>
          <t>University breadth framework; exact availability varies by degree.</t>
        </is>
      </c>
      <c r="K30" s="10" t="inlineStr">
        <is>
          <t>Official page; intake unverified</t>
        </is>
      </c>
      <c r="L30" s="10" t="inlineStr">
        <is>
          <t>Russell Group</t>
        </is>
      </c>
      <c r="M30" s="10" t="inlineStr">
        <is>
          <t>https://features.york.ac.uk/york-interdisciplinary-modules/</t>
        </is>
      </c>
      <c r="N30" s="10" t="inlineStr">
        <is>
          <t>Institutional framework</t>
        </is>
      </c>
      <c r="O30" s="10" t="inlineStr">
        <is>
          <t>Undated page</t>
        </is>
      </c>
      <c r="P30" s="81" t="n">
        <v>46303</v>
      </c>
      <c r="Q30" s="77" t="inlineStr">
        <is>
          <t>Reassessed as RG24-S01 (Potentially relevant; evidence incomplete)</t>
        </is>
      </c>
    </row>
    <row r="31" ht="116" customHeight="1">
      <c r="A31" s="10" t="inlineStr">
        <is>
          <t>Australia</t>
        </is>
      </c>
      <c r="B31" s="11" t="inlineStr">
        <is>
          <t>UNSW Sydney</t>
        </is>
      </c>
      <c r="C31" s="10" t="inlineStr">
        <is>
          <t>Faculty/school</t>
        </is>
      </c>
      <c r="D31" s="10" t="inlineStr">
        <is>
          <t>Live/research project</t>
        </is>
      </c>
      <c r="E31" s="10" t="inlineStr">
        <is>
          <t>COMM1120 Collaboration and Innovation in Business</t>
        </is>
      </c>
      <c r="F31" s="10" t="inlineStr">
        <is>
          <t>UNSW Business School</t>
        </is>
      </c>
      <c r="G31" s="10" t="inlineStr">
        <is>
          <t>Compulsory</t>
        </is>
      </c>
      <c r="H31" s="10" t="inlineStr">
        <is>
          <t>Business students taking COMM1120 under degree rules</t>
        </is>
      </c>
      <c r="I31" s="10" t="inlineStr">
        <is>
          <t>Collaborative problem-solving and innovation course. Not a university-wide common core.</t>
        </is>
      </c>
      <c r="J31" s="10" t="inlineStr">
        <is>
          <t>Business-school course; not evidence of a common university core.</t>
        </is>
      </c>
      <c r="K31" s="10" t="inlineStr">
        <is>
          <t>Official page; intake unverified</t>
        </is>
      </c>
      <c r="L31" s="10" t="inlineStr">
        <is>
          <t>Australia top 10</t>
        </is>
      </c>
      <c r="M31" s="10" t="inlineStr">
        <is>
          <t>https://timetable.unsw.edu.au/2026/COMM1120.html</t>
        </is>
      </c>
      <c r="N31" s="10" t="inlineStr">
        <is>
          <t>Direct eligibility</t>
        </is>
      </c>
      <c r="O31" s="10" t="inlineStr">
        <is>
          <t>Undated page</t>
        </is>
      </c>
      <c r="P31" s="81" t="n">
        <v>46303</v>
      </c>
      <c r="Q31" s="77" t="inlineStr">
        <is>
          <t>Excluded as AU01-X01: Evidence gap</t>
        </is>
      </c>
    </row>
    <row r="32" ht="116" customHeight="1">
      <c r="A32" s="10" t="inlineStr">
        <is>
          <t>Australia</t>
        </is>
      </c>
      <c r="B32" s="11" t="inlineStr">
        <is>
          <t>Melbourne</t>
        </is>
      </c>
      <c r="C32" s="10" t="inlineStr">
        <is>
          <t>University-wide</t>
        </is>
      </c>
      <c r="D32" s="10" t="inlineStr">
        <is>
          <t>Interdisciplinary curriculum</t>
        </is>
      </c>
      <c r="E32" s="10" t="inlineStr">
        <is>
          <t>Breadth subjects / Melbourne curriculum</t>
        </is>
      </c>
      <c r="F32" s="10" t="inlineStr">
        <is>
          <t>Melbourne curriculum / academic faculties</t>
        </is>
      </c>
      <c r="G32" s="10" t="inlineStr">
        <is>
          <t>Compulsory</t>
        </is>
      </c>
      <c r="H32" s="10" t="inlineStr">
        <is>
          <t>Students on undergraduate degrees with breadth requirements</t>
        </is>
      </c>
      <c r="I32" s="10" t="inlineStr">
        <is>
          <t>Study outside the main discipline. Experiential components depend on subject choice.</t>
        </is>
      </c>
      <c r="J32" s="10" t="inlineStr">
        <is>
          <t>University curriculum framework with degree exclusions and subject-specific experiential content.</t>
        </is>
      </c>
      <c r="K32" s="10" t="inlineStr">
        <is>
          <t>Official page; intake unverified</t>
        </is>
      </c>
      <c r="L32" s="10" t="inlineStr">
        <is>
          <t>Australia top 10</t>
        </is>
      </c>
      <c r="M32" s="10" t="inlineStr">
        <is>
          <t>https://students.unimelb.edu.au/course-admin/planning-your-course-and-subjects/breadth-subjects</t>
        </is>
      </c>
      <c r="N32" s="10" t="inlineStr">
        <is>
          <t>Institutional framework</t>
        </is>
      </c>
      <c r="O32" s="10" t="inlineStr">
        <is>
          <t>Undated page</t>
        </is>
      </c>
      <c r="P32" s="81" t="n">
        <v>46303</v>
      </c>
      <c r="Q32" s="77" t="inlineStr">
        <is>
          <t>Excluded as AU02-X01: Breadth/interdisciplinary curriculum</t>
        </is>
      </c>
    </row>
    <row r="33" ht="116" customHeight="1">
      <c r="A33" s="10" t="inlineStr">
        <is>
          <t>Australia</t>
        </is>
      </c>
      <c r="B33" s="11" t="inlineStr">
        <is>
          <t>Sydney</t>
        </is>
      </c>
      <c r="C33" s="10" t="inlineStr">
        <is>
          <t>University-wide</t>
        </is>
      </c>
      <c r="D33" s="10" t="inlineStr">
        <is>
          <t>Live/research project</t>
        </is>
      </c>
      <c r="E33" s="10" t="inlineStr">
        <is>
          <t>Industry and Community Project Units</t>
        </is>
      </c>
      <c r="F33" s="10" t="inlineStr">
        <is>
          <t>Central Industry and Community Project Units</t>
        </is>
      </c>
      <c r="G33" s="10" t="inlineStr">
        <is>
          <t>Elective credit</t>
        </is>
      </c>
      <c r="H33" s="10" t="inlineStr">
        <is>
          <t>Students in eligible programmes; unit rules apply</t>
        </is>
      </c>
      <c r="I33" s="10" t="inlineStr">
        <is>
          <t>Interdisciplinary teams address authentic briefs from industry and community organisations.</t>
        </is>
      </c>
      <c r="J33" s="10" t="inlineStr">
        <is>
          <t>Institutional project-unit framework across disciplines, not every degree.</t>
        </is>
      </c>
      <c r="K33" s="10" t="inlineStr">
        <is>
          <t>Official page; intake unverified</t>
        </is>
      </c>
      <c r="L33" s="10" t="inlineStr">
        <is>
          <t>Australia top 10</t>
        </is>
      </c>
      <c r="M33" s="10" t="inlineStr">
        <is>
          <t>https://www.sydney.edu.au/students/industry-and-community-projects.html</t>
        </is>
      </c>
      <c r="N33" s="10" t="inlineStr">
        <is>
          <t>Institutional framework</t>
        </is>
      </c>
      <c r="O33" s="10" t="inlineStr">
        <is>
          <t>Undated page</t>
        </is>
      </c>
      <c r="P33" s="81" t="n">
        <v>46303</v>
      </c>
      <c r="Q33" s="77" t="inlineStr">
        <is>
          <t>Reassessed as AU03-S01 (Meets all three)</t>
        </is>
      </c>
    </row>
    <row r="34" ht="116" customHeight="1">
      <c r="A34" s="10" t="inlineStr">
        <is>
          <t>Australia</t>
        </is>
      </c>
      <c r="B34" s="11" t="inlineStr">
        <is>
          <t>Australian National University</t>
        </is>
      </c>
      <c r="C34" s="10" t="inlineStr">
        <is>
          <t>University-wide</t>
        </is>
      </c>
      <c r="D34" s="10" t="inlineStr">
        <is>
          <t>Interdisciplinary curriculum</t>
        </is>
      </c>
      <c r="E34" s="10" t="inlineStr">
        <is>
          <t>SoCIETIE courses</t>
        </is>
      </c>
      <c r="F34" s="10" t="inlineStr">
        <is>
          <t>ANU SoCIETIE programme</t>
        </is>
      </c>
      <c r="G34" s="10" t="inlineStr">
        <is>
          <t>Elective credit</t>
        </is>
      </c>
      <c r="H34" s="10" t="inlineStr">
        <is>
          <t>Students satisfying course prerequisites and degree rules</t>
        </is>
      </c>
      <c r="I34" s="10" t="inlineStr">
        <is>
          <t>Cross-disciplinary courses connect study with societal challenges. Replaced Vice-Chancellor courses from 2025.</t>
        </is>
      </c>
      <c r="J34" s="10" t="inlineStr">
        <is>
          <t>University interdisciplinary elective framework.</t>
        </is>
      </c>
      <c r="K34" s="10" t="inlineStr">
        <is>
          <t>Official page; intake unverified</t>
        </is>
      </c>
      <c r="L34" s="10" t="inlineStr">
        <is>
          <t>Australia top 10</t>
        </is>
      </c>
      <c r="M34" s="10" t="inlineStr">
        <is>
          <t>https://vc-courses.anu.edu.au/societie/courses/</t>
        </is>
      </c>
      <c r="N34" s="10" t="inlineStr">
        <is>
          <t>Institutional framework</t>
        </is>
      </c>
      <c r="O34" s="10" t="inlineStr">
        <is>
          <t>Undated page</t>
        </is>
      </c>
      <c r="P34" s="81" t="n">
        <v>46303</v>
      </c>
      <c r="Q34" s="77" t="inlineStr">
        <is>
          <t>Reassessed as AU04-S05 (Potentially relevant; evidence incomplete)</t>
        </is>
      </c>
    </row>
    <row r="35" ht="116" customHeight="1">
      <c r="A35" s="10" t="inlineStr">
        <is>
          <t>Australia</t>
        </is>
      </c>
      <c r="B35" s="11" t="inlineStr">
        <is>
          <t>Monash</t>
        </is>
      </c>
      <c r="C35" s="10" t="inlineStr">
        <is>
          <t>University-wide</t>
        </is>
      </c>
      <c r="D35" s="10" t="inlineStr">
        <is>
          <t>Live/research project</t>
        </is>
      </c>
      <c r="E35" s="10" t="inlineStr">
        <is>
          <t>Monash Innovation Guarantee (MIG), MON2750</t>
        </is>
      </c>
      <c r="F35" s="10" t="inlineStr">
        <is>
          <t>Monash flagship rich experiences</t>
        </is>
      </c>
      <c r="G35" s="10" t="inlineStr">
        <is>
          <t>Elective credit</t>
        </is>
      </c>
      <c r="H35" s="10" t="inlineStr">
        <is>
          <t>Eligible undergraduates; study-stage conditions apply</t>
        </is>
      </c>
      <c r="I35" s="10" t="inlineStr">
        <is>
          <t>Student teams address real industry problems in a flagship experience.</t>
        </is>
      </c>
      <c r="J35" s="10" t="inlineStr">
        <is>
          <t>University-level flagship opportunity, not a compulsory all-student scheme.</t>
        </is>
      </c>
      <c r="K35" s="10" t="inlineStr">
        <is>
          <t>Official page; intake unverified</t>
        </is>
      </c>
      <c r="L35" s="10" t="inlineStr">
        <is>
          <t>Australia top 10</t>
        </is>
      </c>
      <c r="M35" s="10" t="inlineStr">
        <is>
          <t>https://www.monash.edu/flagship-rich-experiences/mig</t>
        </is>
      </c>
      <c r="N35" s="10" t="inlineStr">
        <is>
          <t>Direct eligibility</t>
        </is>
      </c>
      <c r="O35" s="10" t="inlineStr">
        <is>
          <t>Undated page</t>
        </is>
      </c>
      <c r="P35" s="81" t="n">
        <v>46303</v>
      </c>
      <c r="Q35" s="77" t="inlineStr">
        <is>
          <t>Reassessed as AU05-S01 (Meets all three)</t>
        </is>
      </c>
    </row>
    <row r="36" ht="116" customHeight="1">
      <c r="A36" s="10" t="inlineStr">
        <is>
          <t>Australia</t>
        </is>
      </c>
      <c r="B36" s="11" t="inlineStr">
        <is>
          <t>Queensland</t>
        </is>
      </c>
      <c r="C36" s="10" t="inlineStr">
        <is>
          <t>University-wide</t>
        </is>
      </c>
      <c r="D36" s="10" t="inlineStr">
        <is>
          <t>Enterprise programme</t>
        </is>
      </c>
      <c r="E36" s="10" t="inlineStr">
        <is>
          <t>UQ Ventures challenges</t>
        </is>
      </c>
      <c r="F36" s="10" t="inlineStr">
        <is>
          <t>UQ Ventures</t>
        </is>
      </c>
      <c r="G36" s="10" t="inlineStr">
        <is>
          <t>Co-curricular</t>
        </is>
      </c>
      <c r="H36" s="10" t="inlineStr">
        <is>
          <t>Eligible students across disciplines</t>
        </is>
      </c>
      <c r="I36" s="10" t="inlineStr">
        <is>
          <t>Interdisciplinary teams work with industry on challenge-based innovation.</t>
        </is>
      </c>
      <c r="J36" s="10" t="inlineStr">
        <is>
          <t>Central university enterprise/challenge framework; event requirements vary.</t>
        </is>
      </c>
      <c r="K36" s="10" t="inlineStr">
        <is>
          <t>Official page; intake unverified</t>
        </is>
      </c>
      <c r="L36" s="10" t="inlineStr">
        <is>
          <t>Australia top 10</t>
        </is>
      </c>
      <c r="M36" s="10" t="inlineStr">
        <is>
          <t>https://ventures.uq.edu.au/industry</t>
        </is>
      </c>
      <c r="N36" s="10" t="inlineStr">
        <is>
          <t>Institutional framework</t>
        </is>
      </c>
      <c r="O36" s="10" t="inlineStr">
        <is>
          <t>Undated page</t>
        </is>
      </c>
      <c r="P36" s="81" t="n">
        <v>46303</v>
      </c>
      <c r="Q36" s="77" t="inlineStr">
        <is>
          <t>Reassessed as AU06-S01 (Potentially relevant; evidence incomplete)</t>
        </is>
      </c>
    </row>
    <row r="37" ht="116" customHeight="1">
      <c r="A37" s="10" t="inlineStr">
        <is>
          <t>Australia</t>
        </is>
      </c>
      <c r="B37" s="11" t="inlineStr">
        <is>
          <t>Western Australia</t>
        </is>
      </c>
      <c r="C37" s="10" t="inlineStr">
        <is>
          <t>University-wide</t>
        </is>
      </c>
      <c r="D37" s="10" t="inlineStr">
        <is>
          <t>Placement/WIL</t>
        </is>
      </c>
      <c r="E37" s="10" t="inlineStr">
        <is>
          <t>McCusker Centre for Citizenship internship, SVLG3003</t>
        </is>
      </c>
      <c r="F37" s="10" t="inlineStr">
        <is>
          <t>McCusker Centre for Citizenship</t>
        </is>
      </c>
      <c r="G37" s="10" t="inlineStr">
        <is>
          <t>Elective credit</t>
        </is>
      </c>
      <c r="H37" s="10" t="inlineStr">
        <is>
          <t>Eligible students under SVLG3003 rules</t>
        </is>
      </c>
      <c r="I37" s="10" t="inlineStr">
        <is>
          <t>Internships connect students with community organisations. Unit handbook confirms academic structure.</t>
        </is>
      </c>
      <c r="J37" s="10" t="inlineStr">
        <is>
          <t>Institution-level citizenship internship unit; admission and prerequisites apply.</t>
        </is>
      </c>
      <c r="K37" s="10" t="inlineStr">
        <is>
          <t>Official page; intake unverified</t>
        </is>
      </c>
      <c r="L37" s="10" t="inlineStr">
        <is>
          <t>Australia top 10</t>
        </is>
      </c>
      <c r="M37" s="10" t="inlineStr">
        <is>
          <t>https://www.handbooks.uwa.edu.au/unitdetails?code=SVLG3003</t>
        </is>
      </c>
      <c r="N37" s="10" t="inlineStr">
        <is>
          <t>Direct eligibility</t>
        </is>
      </c>
      <c r="O37" s="10" t="inlineStr">
        <is>
          <t>Undated page</t>
        </is>
      </c>
      <c r="P37" s="81" t="n">
        <v>46303</v>
      </c>
      <c r="Q37" s="77" t="inlineStr">
        <is>
          <t>Not yet reassessed (institution not reviewed)</t>
        </is>
      </c>
    </row>
    <row r="38" ht="116" customHeight="1">
      <c r="A38" s="10" t="inlineStr">
        <is>
          <t>Australia</t>
        </is>
      </c>
      <c r="B38" s="11" t="inlineStr">
        <is>
          <t>Adelaide University</t>
        </is>
      </c>
      <c r="C38" s="10" t="inlineStr">
        <is>
          <t>University-wide</t>
        </is>
      </c>
      <c r="D38" s="10" t="inlineStr">
        <is>
          <t>Placement/WIL</t>
        </is>
      </c>
      <c r="E38" s="10" t="inlineStr">
        <is>
          <t>Work-Integrated Learning</t>
        </is>
      </c>
      <c r="F38" s="10" t="inlineStr">
        <is>
          <t>University WIL framework / academic programmes</t>
        </is>
      </c>
      <c r="G38" s="10" t="inlineStr">
        <is>
          <t>Mixed/varies</t>
        </is>
      </c>
      <c r="H38" s="10" t="inlineStr">
        <is>
          <t>Students on programmes with WIL components</t>
        </is>
      </c>
      <c r="I38" s="10" t="inlineStr">
        <is>
          <t>Placements, projects and other work-related learning. Teaching began in 2026 following the merger.</t>
        </is>
      </c>
      <c r="J38" s="10" t="inlineStr">
        <is>
          <t>University-wide teaching framework; placement/project requirements vary by degree.</t>
        </is>
      </c>
      <c r="K38" s="10" t="inlineStr">
        <is>
          <t>Official page; intake unverified</t>
        </is>
      </c>
      <c r="L38" s="10" t="inlineStr">
        <is>
          <t>Australia top 10</t>
        </is>
      </c>
      <c r="M38" s="10" t="inlineStr">
        <is>
          <t>https://adelaide.edu.au/students/manage-study/work-integrated-learning/</t>
        </is>
      </c>
      <c r="N38" s="10" t="inlineStr">
        <is>
          <t>Institutional framework</t>
        </is>
      </c>
      <c r="O38" s="10" t="inlineStr">
        <is>
          <t>Undated page</t>
        </is>
      </c>
      <c r="P38" s="81" t="n">
        <v>46303</v>
      </c>
      <c r="Q38" s="77" t="inlineStr">
        <is>
          <t>Not yet reassessed (institution not reviewed)</t>
        </is>
      </c>
    </row>
    <row r="39" ht="116" customHeight="1">
      <c r="A39" s="10" t="inlineStr">
        <is>
          <t>Australia</t>
        </is>
      </c>
      <c r="B39" s="11" t="inlineStr">
        <is>
          <t>University of Technology Sydney</t>
        </is>
      </c>
      <c r="C39" s="10" t="inlineStr">
        <is>
          <t>University-wide</t>
        </is>
      </c>
      <c r="D39" s="10" t="inlineStr">
        <is>
          <t>Interdisciplinary curriculum</t>
        </is>
      </c>
      <c r="E39" s="10" t="inlineStr">
        <is>
          <t>Transdisciplinary electives</t>
        </is>
      </c>
      <c r="F39" s="10" t="inlineStr">
        <is>
          <t>UTS Transdisciplinary School</t>
        </is>
      </c>
      <c r="G39" s="10" t="inlineStr">
        <is>
          <t>Elective credit</t>
        </is>
      </c>
      <c r="H39" s="10" t="inlineStr">
        <is>
          <t>Eligible students with elective space / course approval</t>
        </is>
      </c>
      <c r="I39" s="10" t="inlineStr">
        <is>
          <t>TD School offers cross-disciplinary electives and partner project experiences.</t>
        </is>
      </c>
      <c r="J39" s="10" t="inlineStr">
        <is>
          <t>University-level elective framework; school host does not imply TD-only eligibility.</t>
        </is>
      </c>
      <c r="K39" s="10" t="inlineStr">
        <is>
          <t>Official page; intake unverified</t>
        </is>
      </c>
      <c r="L39" s="10" t="inlineStr">
        <is>
          <t>Australia top 10</t>
        </is>
      </c>
      <c r="M39" s="10" t="inlineStr">
        <is>
          <t>https://www.uts.edu.au/for-students/transdisciplinary-innovation/transdisciplinary-electives</t>
        </is>
      </c>
      <c r="N39" s="10" t="inlineStr">
        <is>
          <t>Institutional framework</t>
        </is>
      </c>
      <c r="O39" s="10" t="inlineStr">
        <is>
          <t>Undated page</t>
        </is>
      </c>
      <c r="P39" s="81" t="n">
        <v>46303</v>
      </c>
      <c r="Q39" s="77" t="inlineStr">
        <is>
          <t>Reassessed as AU09-S01 (Meets all three)</t>
        </is>
      </c>
    </row>
    <row r="40" ht="116" customHeight="1">
      <c r="A40" s="10" t="inlineStr">
        <is>
          <t>Australia</t>
        </is>
      </c>
      <c r="B40" s="11" t="inlineStr">
        <is>
          <t>RMIT</t>
        </is>
      </c>
      <c r="C40" s="10" t="inlineStr">
        <is>
          <t>University-wide</t>
        </is>
      </c>
      <c r="D40" s="10" t="inlineStr">
        <is>
          <t>Placement/WIL</t>
        </is>
      </c>
      <c r="E40" s="10" t="inlineStr">
        <is>
          <t>Work-Integrated Learning</t>
        </is>
      </c>
      <c r="F40" s="10" t="inlineStr">
        <is>
          <t>University WIL framework / academic programmes</t>
        </is>
      </c>
      <c r="G40" s="10" t="inlineStr">
        <is>
          <t>Mixed/varies</t>
        </is>
      </c>
      <c r="H40" s="10" t="inlineStr">
        <is>
          <t>Students in participating programmes</t>
        </is>
      </c>
      <c r="I40" s="10" t="inlineStr">
        <is>
          <t>Industry and community projects and placements. Requirements depend on the programme.</t>
        </is>
      </c>
      <c r="J40" s="10" t="inlineStr">
        <is>
          <t>Institution-wide WIL approach; requirement and format vary by programme.</t>
        </is>
      </c>
      <c r="K40" s="10" t="inlineStr">
        <is>
          <t>Official page; intake unverified</t>
        </is>
      </c>
      <c r="L40" s="10" t="inlineStr">
        <is>
          <t>Australia top 10</t>
        </is>
      </c>
      <c r="M40" s="10" t="inlineStr">
        <is>
          <t>https://www.rmit.edu.au/study-with-us/study-options/what-is-wil</t>
        </is>
      </c>
      <c r="N40" s="10" t="inlineStr">
        <is>
          <t>Direct eligibility</t>
        </is>
      </c>
      <c r="O40" s="10" t="inlineStr">
        <is>
          <t>Undated page</t>
        </is>
      </c>
      <c r="P40" s="81" t="n">
        <v>46303</v>
      </c>
      <c r="Q40" s="77" t="inlineStr">
        <is>
          <t>Excluded as AU10-X01: WIL framework</t>
        </is>
      </c>
    </row>
    <row r="41" ht="116" customHeight="1">
      <c r="A41" s="10" t="inlineStr">
        <is>
          <t>UK</t>
        </is>
      </c>
      <c r="B41" s="11" t="inlineStr">
        <is>
          <t>Cambridge</t>
        </is>
      </c>
      <c r="C41" s="10" t="inlineStr">
        <is>
          <t>University-wide</t>
        </is>
      </c>
      <c r="D41" s="10" t="inlineStr">
        <is>
          <t>Enterprise programme</t>
        </is>
      </c>
      <c r="E41" s="10" t="inlineStr">
        <is>
          <t>Innovation / Climate i-Teams</t>
        </is>
      </c>
      <c r="F41" s="10" t="inlineStr">
        <is>
          <t>Innovation / i-Teams programme</t>
        </is>
      </c>
      <c r="G41" s="10" t="inlineStr">
        <is>
          <t>Co-curricular</t>
        </is>
      </c>
      <c r="H41" s="10" t="inlineStr">
        <is>
          <t>Postgraduates, researchers and staff from any department; Development i-Teams also includes undergraduates</t>
        </is>
      </c>
      <c r="I41" s="10" t="inlineStr">
        <is>
          <t>Multidisciplinary teams assess the commercial potential of real university inventions, using industry interviews, mentoring and workshops. Climate i-Teams launched in October 2026.</t>
        </is>
      </c>
      <c r="J41" s="10" t="inlineStr">
        <is>
          <t>University innovation guide explicitly all-department access; postgraduate focus does not make this a faculty-only scheme.</t>
        </is>
      </c>
      <c r="K41" s="10" t="inlineStr">
        <is>
          <t>September 2026 launch evidence</t>
        </is>
      </c>
      <c r="L41" s="10" t="inlineStr">
        <is>
          <t>Russell Group</t>
        </is>
      </c>
      <c r="M41" s="10" t="inlineStr">
        <is>
          <t>https://www.cam.ac.uk/stories/climate-iteams-innovation
https://ie.cam.ac.uk/wp-content/uploads/2024/09/IE-Cam-Support-Guide-A5-v4_Web.pdf</t>
        </is>
      </c>
      <c r="N41" s="10" t="inlineStr">
        <is>
          <t>Direct eligibility</t>
        </is>
      </c>
      <c r="O41" s="10" t="inlineStr">
        <is>
          <t>Dated 2026/27</t>
        </is>
      </c>
      <c r="P41" s="81" t="n">
        <v>46303</v>
      </c>
      <c r="Q41" s="77" t="inlineStr">
        <is>
          <t>Reassessed as RG03-S15 (Potentially relevant; evidence incomplete)</t>
        </is>
      </c>
    </row>
    <row r="42" ht="116" customHeight="1">
      <c r="A42" s="10" t="inlineStr">
        <is>
          <t>UK</t>
        </is>
      </c>
      <c r="B42" s="11" t="inlineStr">
        <is>
          <t>King’s College London</t>
        </is>
      </c>
      <c r="C42" s="10" t="inlineStr">
        <is>
          <t>University-wide</t>
        </is>
      </c>
      <c r="D42" s="10" t="inlineStr">
        <is>
          <t>Co-curricular award</t>
        </is>
      </c>
      <c r="E42" s="10" t="inlineStr">
        <is>
          <t>King’s Enterprise Award</t>
        </is>
      </c>
      <c r="F42" s="10" t="inlineStr">
        <is>
          <t>Entrepreneurship Institute / King’s Experience</t>
        </is>
      </c>
      <c r="G42" s="10" t="inlineStr">
        <is>
          <t>Co-curricular</t>
        </is>
      </c>
      <c r="H42" s="10" t="inlineStr">
        <is>
          <t>All undergraduate and postgraduate students and staff, any faculty</t>
        </is>
      </c>
      <c r="I42" s="10" t="inlineStr">
        <is>
          <t>November–April extracurricular skills development and reflection, with optional Enterprise in Action progression. HEAR recognition; no academic-credit value.</t>
        </is>
      </c>
      <c r="J42" s="10" t="inlineStr">
        <is>
          <t>Explicit all-faculty/all-student-level eligibility.</t>
        </is>
      </c>
      <c r="K42" s="10" t="inlineStr">
        <is>
          <t>2026/27 applications confirmed</t>
        </is>
      </c>
      <c r="L42" s="10" t="inlineStr">
        <is>
          <t>Russell Group</t>
        </is>
      </c>
      <c r="M42" s="10" t="inlineStr">
        <is>
          <t>https://www.kcl.ac.uk/entrepreneurship/learn-entrepreneurial-skills/kings-enterprise-award</t>
        </is>
      </c>
      <c r="N42" s="10" t="inlineStr">
        <is>
          <t>Direct eligibility</t>
        </is>
      </c>
      <c r="O42" s="10" t="inlineStr">
        <is>
          <t>Dated 2026/27</t>
        </is>
      </c>
      <c r="P42" s="81" t="n">
        <v>46303</v>
      </c>
      <c r="Q42" s="77" t="inlineStr">
        <is>
          <t>Excluded as RG10-X02: Employability award</t>
        </is>
      </c>
    </row>
    <row r="43" ht="116" customHeight="1">
      <c r="A43" s="10" t="inlineStr">
        <is>
          <t>UK</t>
        </is>
      </c>
      <c r="B43" s="11" t="inlineStr">
        <is>
          <t>Southampton</t>
        </is>
      </c>
      <c r="C43" s="10" t="inlineStr">
        <is>
          <t>University-wide</t>
        </is>
      </c>
      <c r="D43" s="10" t="inlineStr">
        <is>
          <t>Live/research project</t>
        </is>
      </c>
      <c r="E43" s="10" t="inlineStr">
        <is>
          <t>Student Innovation Projects and Challenges</t>
        </is>
      </c>
      <c r="F43" s="10" t="inlineStr">
        <is>
          <t>Careers, Employability and Student Enterprise</t>
        </is>
      </c>
      <c r="G43" s="10" t="inlineStr">
        <is>
          <t>Co-curricular</t>
        </is>
      </c>
      <c r="H43" s="10" t="inlineStr">
        <is>
          <t>Eligible Southampton students across disciplines</t>
        </is>
      </c>
      <c r="I43" s="10" t="inlineStr">
        <is>
          <t>Teams of three to five tackle live client problems for businesses or nonprofits. Project route will end after Semester 1 of 2026/27; Innovation Challenge is also described.</t>
        </is>
      </c>
      <c r="J43" s="10" t="inlineStr">
        <is>
          <t>Central cross-disciplinary opportunity; admissions apply. Scheduled ending must not be mistaken for ongoing indefinite provision.</t>
        </is>
      </c>
      <c r="K43" s="10" t="inlineStr">
        <is>
          <t>Final project rounds Semester 1 2026/27</t>
        </is>
      </c>
      <c r="L43" s="10" t="inlineStr">
        <is>
          <t>Russell Group</t>
        </is>
      </c>
      <c r="M43" s="10" t="inlineStr">
        <is>
          <t>https://www.southampton.ac.uk/careers/students/work-experience/student-innovation-projects.page</t>
        </is>
      </c>
      <c r="N43" s="10" t="inlineStr">
        <is>
          <t>Direct eligibility</t>
        </is>
      </c>
      <c r="O43" s="10" t="inlineStr">
        <is>
          <t>Ending</t>
        </is>
      </c>
      <c r="P43" s="81" t="n">
        <v>46303</v>
      </c>
      <c r="Q43" s="77" t="inlineStr">
        <is>
          <t>Reassessed as RG21-S01 (Meets all three)</t>
        </is>
      </c>
    </row>
    <row r="44" ht="116" customHeight="1">
      <c r="A44" s="10" t="inlineStr">
        <is>
          <t>UK</t>
        </is>
      </c>
      <c r="B44" s="11" t="inlineStr">
        <is>
          <t>Queen Mary University of London</t>
        </is>
      </c>
      <c r="C44" s="10" t="inlineStr">
        <is>
          <t>Not confirmed</t>
        </is>
      </c>
      <c r="D44" s="10" t="inlineStr">
        <is>
          <t>Placement/WIL</t>
        </is>
      </c>
      <c r="E44" s="10" t="inlineStr">
        <is>
          <t>QInterns</t>
        </is>
      </c>
      <c r="F44" s="10" t="inlineStr">
        <is>
          <t>Careers and Employability</t>
        </is>
      </c>
      <c r="G44" s="10" t="inlineStr">
        <is>
          <t>Co-curricular</t>
        </is>
      </c>
      <c r="H44" s="10" t="inlineStr">
        <is>
          <t>Eligible Queen Mary students and recent graduates</t>
        </is>
      </c>
      <c r="I44" s="10" t="inlineStr">
        <is>
          <t>Internships provide applied workplace experience. Individual roles, selection, funding and eligibility determine availability.</t>
        </is>
      </c>
      <c r="J44" s="10" t="inlineStr">
        <is>
          <t>Central student/graduate internship scheme; university reach inferred from central remit, not all-student guarantee. Academic reach remains Not confirmed until eligibility or institution-wide framework reach is established.</t>
        </is>
      </c>
      <c r="K44" s="10" t="inlineStr">
        <is>
          <t>Official opportunities page; intake unverified</t>
        </is>
      </c>
      <c r="L44" s="10" t="inlineStr">
        <is>
          <t>Russell Group</t>
        </is>
      </c>
      <c r="M44" s="10" t="inlineStr">
        <is>
          <t>https://www.qmul.ac.uk/careers/find-opportunities/current-opportunities/</t>
        </is>
      </c>
      <c r="N44" s="10" t="inlineStr">
        <is>
          <t>Unconfirmed reach</t>
        </is>
      </c>
      <c r="O44" s="10" t="inlineStr">
        <is>
          <t>Undated page</t>
        </is>
      </c>
      <c r="P44" s="81" t="n">
        <v>46303</v>
      </c>
      <c r="Q44" s="77" t="inlineStr">
        <is>
          <t>Excluded as RG18-X01: Placement/internship</t>
        </is>
      </c>
    </row>
    <row r="45" ht="116" customHeight="1">
      <c r="A45" s="10" t="inlineStr">
        <is>
          <t>UK</t>
        </is>
      </c>
      <c r="B45" s="11" t="inlineStr">
        <is>
          <t>Exeter</t>
        </is>
      </c>
      <c r="C45" s="10" t="inlineStr">
        <is>
          <t>University-wide</t>
        </is>
      </c>
      <c r="D45" s="10" t="inlineStr">
        <is>
          <t>International collaboration</t>
        </is>
      </c>
      <c r="E45" s="10" t="inlineStr">
        <is>
          <t>Future17</t>
        </is>
      </c>
      <c r="F45" s="10" t="inlineStr">
        <is>
          <t>Global Classrooms / QS partner consortium</t>
        </is>
      </c>
      <c r="G45" s="10" t="inlineStr">
        <is>
          <t>Mixed/varies</t>
        </is>
      </c>
      <c r="H45" s="10" t="inlineStr">
        <is>
          <t>Undergraduates except first years and postgraduate taught students, all campuses</t>
        </is>
      </c>
      <c r="I45" s="10" t="inlineStr">
        <is>
          <t>Online interdisciplinary international teams tackle partner sustainability briefs. Optional 15-credit route subject to programme rules; non-credit certificate route also available.</t>
        </is>
      </c>
      <c r="J45" s="10" t="inlineStr">
        <is>
          <t>Explicit all-campus eligibility; different credit routes make participation mixed.</t>
        </is>
      </c>
      <c r="K45" s="10" t="inlineStr">
        <is>
          <t>Official eligibility page; current intake unverified</t>
        </is>
      </c>
      <c r="L45" s="10" t="inlineStr">
        <is>
          <t>Russell Group</t>
        </is>
      </c>
      <c r="M45" s="10" t="inlineStr">
        <is>
          <t>https://www.exeter.ac.uk/study/future17/students/</t>
        </is>
      </c>
      <c r="N45" s="10" t="inlineStr">
        <is>
          <t>Direct eligibility</t>
        </is>
      </c>
      <c r="O45" s="10" t="inlineStr">
        <is>
          <t>Undated page</t>
        </is>
      </c>
      <c r="P45" s="81" t="n">
        <v>46303</v>
      </c>
      <c r="Q45" s="77" t="inlineStr">
        <is>
          <t>Reassessed as RG07-S03 (Meets all three)</t>
        </is>
      </c>
    </row>
    <row r="46" ht="116" customHeight="1">
      <c r="A46" s="10" t="inlineStr">
        <is>
          <t>UK</t>
        </is>
      </c>
      <c r="B46" s="11" t="inlineStr">
        <is>
          <t>London School of Economics</t>
        </is>
      </c>
      <c r="C46" s="10" t="inlineStr">
        <is>
          <t>Not confirmed</t>
        </is>
      </c>
      <c r="D46" s="10" t="inlineStr">
        <is>
          <t>International collaboration</t>
        </is>
      </c>
      <c r="E46" s="10" t="inlineStr">
        <is>
          <t>Future17</t>
        </is>
      </c>
      <c r="F46" s="10" t="inlineStr">
        <is>
          <t>LSE100 / QS partner consortium</t>
        </is>
      </c>
      <c r="G46" s="10" t="inlineStr">
        <is>
          <t>Not confirmed</t>
        </is>
      </c>
      <c r="H46" s="10" t="inlineStr">
        <is>
          <t>LSE students; detailed year, programme and credit eligibility unverified</t>
        </is>
      </c>
      <c r="I46" s="10" t="inlineStr">
        <is>
          <t>Twelve-week international interdisciplinary teams address live sustainability challenges with organisational partners. Separate from compulsory LSE100.</t>
        </is>
      </c>
      <c r="J46" s="10" t="inlineStr">
        <is>
          <t>University-level student call; reach inferred from central remit. Credit and precise cohort restrictions were not verified. Academic reach remains Not confirmed until eligibility or institution-wide framework reach is established.</t>
        </is>
      </c>
      <c r="K46" s="10" t="inlineStr">
        <is>
          <t>September 2026 application deadline confirmed</t>
        </is>
      </c>
      <c r="L46" s="10" t="inlineStr">
        <is>
          <t>Russell Group</t>
        </is>
      </c>
      <c r="M46" s="10" t="inlineStr">
        <is>
          <t>https://info.lse.ac.uk/current-students/lse100/Future17-Join-a-global-team-solving-real-sustainability-challenges</t>
        </is>
      </c>
      <c r="N46" s="10" t="inlineStr">
        <is>
          <t>Unconfirmed reach</t>
        </is>
      </c>
      <c r="O46" s="10" t="inlineStr">
        <is>
          <t>Dated 2026/27</t>
        </is>
      </c>
      <c r="P46" s="81" t="n">
        <v>46303</v>
      </c>
      <c r="Q46" s="77" t="inlineStr">
        <is>
          <t>Reassessed as RG13-S02 (Meets all three)</t>
        </is>
      </c>
    </row>
    <row r="47" ht="116" customHeight="1">
      <c r="A47" s="10" t="inlineStr">
        <is>
          <t>UK</t>
        </is>
      </c>
      <c r="B47" s="11" t="inlineStr">
        <is>
          <t>York</t>
        </is>
      </c>
      <c r="C47" s="10" t="inlineStr">
        <is>
          <t>Cross-faculty</t>
        </is>
      </c>
      <c r="D47" s="10" t="inlineStr">
        <is>
          <t>Live/research project</t>
        </is>
      </c>
      <c r="E47" s="10" t="inlineStr">
        <is>
          <t>Sustainability Clinic</t>
        </is>
      </c>
      <c r="F47" s="10" t="inlineStr">
        <is>
          <t>Environment and Geography / participating courses</t>
        </is>
      </c>
      <c r="G47" s="10" t="inlineStr">
        <is>
          <t>Elective credit</t>
        </is>
      </c>
      <c r="H47" s="10" t="inlineStr">
        <is>
          <t>Students from participating degree programmes</t>
        </is>
      </c>
      <c r="I47" s="10" t="inlineStr">
        <is>
          <t>20-credit live-client sustainability module combines disciplines to consider social, legal, economic, cultural and environmental aspects of problems.</t>
        </is>
      </c>
      <c r="J47" s="10" t="inlineStr">
        <is>
          <t>Current module describes multidisciplinary teams from a range of courses; unrestricted every-degree eligibility not established.</t>
        </is>
      </c>
      <c r="K47" s="10" t="inlineStr">
        <is>
          <t>2026/27 module confirmed</t>
        </is>
      </c>
      <c r="L47" s="10" t="inlineStr">
        <is>
          <t>Russell Group</t>
        </is>
      </c>
      <c r="M47" s="10" t="inlineStr">
        <is>
          <t>https://www.york.ac.uk/students/studying/manage/programmes/module-catalogue/module/ENV00054H/latest</t>
        </is>
      </c>
      <c r="N47" s="10" t="inlineStr">
        <is>
          <t>Direct eligibility</t>
        </is>
      </c>
      <c r="O47" s="10" t="inlineStr">
        <is>
          <t>Dated 2026/27</t>
        </is>
      </c>
      <c r="P47" s="81" t="n">
        <v>46303</v>
      </c>
      <c r="Q47" s="77" t="inlineStr">
        <is>
          <t>Reassessed as RG24-S02 (Meets all three)</t>
        </is>
      </c>
    </row>
    <row r="48" ht="116" customHeight="1">
      <c r="A48" s="10" t="inlineStr">
        <is>
          <t>Australia</t>
        </is>
      </c>
      <c r="B48" s="11" t="inlineStr">
        <is>
          <t>UNSW Sydney</t>
        </is>
      </c>
      <c r="C48" s="10" t="inlineStr">
        <is>
          <t>University-wide</t>
        </is>
      </c>
      <c r="D48" s="10" t="inlineStr">
        <is>
          <t>Co-curricular award</t>
        </is>
      </c>
      <c r="E48" s="10" t="inlineStr">
        <is>
          <t>AHEGS Advantage</t>
        </is>
      </c>
      <c r="F48" s="10" t="inlineStr">
        <is>
          <t>Central student opportunities / AHEGS</t>
        </is>
      </c>
      <c r="G48" s="10" t="inlineStr">
        <is>
          <t>Co-curricular</t>
        </is>
      </c>
      <c r="H48" s="10" t="inlineStr">
        <is>
          <t>Students on recognised activities; activity-specific eligibility applies</t>
        </is>
      </c>
      <c r="I48" s="10" t="inlineStr">
        <is>
          <t>Recognises clubs, volunteering, mentoring, competitions and enterprise experiences across UNSW on the Australian Higher Education Graduation Statement.</t>
        </is>
      </c>
      <c r="J48" s="10" t="inlineStr">
        <is>
          <t>Institution-wide recognition framework includes faculty initiatives; individual activities may be restricted.</t>
        </is>
      </c>
      <c r="K48" s="10" t="inlineStr">
        <is>
          <t>Official page; intake unverified</t>
        </is>
      </c>
      <c r="L48" s="10" t="inlineStr">
        <is>
          <t>Australia top 10</t>
        </is>
      </c>
      <c r="M48" s="10" t="inlineStr">
        <is>
          <t>https://www.unsw.edu.au/student/opportunities/advantage</t>
        </is>
      </c>
      <c r="N48" s="10" t="inlineStr">
        <is>
          <t>Institutional framework</t>
        </is>
      </c>
      <c r="O48" s="10" t="inlineStr">
        <is>
          <t>Undated page</t>
        </is>
      </c>
      <c r="P48" s="81" t="n">
        <v>46303</v>
      </c>
      <c r="Q48" s="77" t="inlineStr">
        <is>
          <t>Excluded as AU01-X02: Employability award</t>
        </is>
      </c>
    </row>
    <row r="49" ht="116" customHeight="1">
      <c r="A49" s="10" t="inlineStr">
        <is>
          <t>UK</t>
        </is>
      </c>
      <c r="B49" s="11" t="inlineStr">
        <is>
          <t>Edinburgh</t>
        </is>
      </c>
      <c r="C49" s="10" t="inlineStr">
        <is>
          <t>University-wide</t>
        </is>
      </c>
      <c r="D49" s="10" t="inlineStr">
        <is>
          <t>Live/research project</t>
        </is>
      </c>
      <c r="E49" s="10" t="inlineStr">
        <is>
          <t>Students as Change Agents: careers co-curricular route</t>
        </is>
      </c>
      <c r="F49" s="10" t="inlineStr">
        <is>
          <t>Careers Service</t>
        </is>
      </c>
      <c r="G49" s="10" t="inlineStr">
        <is>
          <t>Co-curricular</t>
        </is>
      </c>
      <c r="H49" s="10" t="inlineStr">
        <is>
          <t>Former optional co-curricular participants</t>
        </is>
      </c>
      <c r="I49" s="10" t="inlineStr">
        <is>
          <t>Interdisciplinary societal challenges. Careers co-curricular delivery is paused for the foreseeable future because of funding; EFI elective is a separate continuing route.</t>
        </is>
      </c>
      <c r="J49" s="10" t="inlineStr">
        <is>
          <t>University programme reach; paused status prevents treating this route as currently open.</t>
        </is>
      </c>
      <c r="K49" s="10" t="inlineStr">
        <is>
          <t>Paused: university page confirms</t>
        </is>
      </c>
      <c r="L49" s="10" t="inlineStr">
        <is>
          <t>Russell Group</t>
        </is>
      </c>
      <c r="M49" s="10" t="inlineStr">
        <is>
          <t>https://careers.ed.ac.uk/build-experience/students-as-change-agents</t>
        </is>
      </c>
      <c r="N49" s="10" t="inlineStr">
        <is>
          <t>Direct eligibility</t>
        </is>
      </c>
      <c r="O49" s="10" t="inlineStr">
        <is>
          <t>Paused</t>
        </is>
      </c>
      <c r="P49" s="81" t="n">
        <v>46303</v>
      </c>
      <c r="Q49" s="77" t="inlineStr">
        <is>
          <t>Reassessed as RG06-S02 (Meets all three)</t>
        </is>
      </c>
    </row>
    <row r="50" ht="116" customHeight="1">
      <c r="A50" s="10" t="inlineStr">
        <is>
          <t>UK</t>
        </is>
      </c>
      <c r="B50" s="11" t="inlineStr">
        <is>
          <t>Sheffield</t>
        </is>
      </c>
      <c r="C50" s="10" t="inlineStr">
        <is>
          <t>University-wide</t>
        </is>
      </c>
      <c r="D50" s="10" t="inlineStr">
        <is>
          <t>Enterprise programme</t>
        </is>
      </c>
      <c r="E50" s="10" t="inlineStr">
        <is>
          <t>Emerge: Be enterprising</t>
        </is>
      </c>
      <c r="F50" s="10" t="inlineStr">
        <is>
          <t>Central Entrepreneurship team / Start-up Studio</t>
        </is>
      </c>
      <c r="G50" s="10" t="inlineStr">
        <is>
          <t>Co-curricular</t>
        </is>
      </c>
      <c r="H50" s="10" t="inlineStr">
        <is>
          <t>Students, staff and graduates; pathway and competition selection applies</t>
        </is>
      </c>
      <c r="I50" s="10" t="inlineStr">
        <is>
          <t>Hands-on Idea Bootcamp, Apprentice Challenge, founder pathways, workshops, mentoring and Business Awards Showcase support venture development. The competition is explicitly university-wide.</t>
        </is>
      </c>
      <c r="J50" s="10" t="inlineStr">
        <is>
          <t>August 2026 university account confirms delivery across all areas of the university community and a university-wide competition; Engineering project weeks remain a separate faculty example.</t>
        </is>
      </c>
      <c r="K50" s="10" t="inlineStr">
        <is>
          <t>August 2026 programme activity confirmed</t>
        </is>
      </c>
      <c r="L50" s="10" t="inlineStr">
        <is>
          <t>Russell Group</t>
        </is>
      </c>
      <c r="M50" s="10" t="inlineStr">
        <is>
          <t>https://sheffield.ac.uk/entrepreneurship/about-us
https://sheffield.ac.uk/entrepreneurship/news/emerge-be-enterprising-marks-3-year-milestone-ps14m-investment-and-national-enterprise-award</t>
        </is>
      </c>
      <c r="N50" s="10" t="inlineStr">
        <is>
          <t>Direct eligibility</t>
        </is>
      </c>
      <c r="O50" s="10" t="inlineStr">
        <is>
          <t>Dated 2026/27</t>
        </is>
      </c>
      <c r="P50" s="81" t="n">
        <v>46303</v>
      </c>
      <c r="Q50" s="77" t="inlineStr">
        <is>
          <t>Excluded as RG20-X01: Entrepreneurship/incubator</t>
        </is>
      </c>
    </row>
    <row r="51" ht="116" customHeight="1">
      <c r="A51" s="10" t="inlineStr">
        <is>
          <t>UK</t>
        </is>
      </c>
      <c r="B51" s="11" t="inlineStr">
        <is>
          <t>Newcastle</t>
        </is>
      </c>
      <c r="C51" s="10" t="inlineStr">
        <is>
          <t>University-wide</t>
        </is>
      </c>
      <c r="D51" s="10" t="inlineStr">
        <is>
          <t>Enterprise programme</t>
        </is>
      </c>
      <c r="E51" s="10" t="inlineStr">
        <is>
          <t>START UP / Summer Launchpad</t>
        </is>
      </c>
      <c r="F51" s="10" t="inlineStr">
        <is>
          <t>Careers Service: START UP</t>
        </is>
      </c>
      <c r="G51" s="10" t="inlineStr">
        <is>
          <t>Co-curricular</t>
        </is>
      </c>
      <c r="H51" s="10" t="inlineStr">
        <is>
          <t>All students and recent graduates; individual programme/visa requirements apply</t>
        </is>
      </c>
      <c r="I51" s="10" t="inlineStr">
        <is>
          <t>Enterprise workshops, coaching, funding and founder community. June 2026 three-day Summer Launchpad included practical sales training, a mini hackathon, business advice and visits to regional startup hubs.</t>
        </is>
      </c>
      <c r="J51" s="10" t="inlineStr">
        <is>
          <t>Published START UP eligibility explicitly includes all students, any background; broad enterprise support is separate from the degree-dependent NCL2100 module.</t>
        </is>
      </c>
      <c r="K51" s="10" t="inlineStr">
        <is>
          <t>June 2026 Launchpad delivery confirmed</t>
        </is>
      </c>
      <c r="L51" s="10" t="inlineStr">
        <is>
          <t>Russell Group</t>
        </is>
      </c>
      <c r="M51" s="10" t="inlineStr">
        <is>
          <t>https://www.ncl.ac.uk/careers/startup/advice/
https://www.ncl.ac.uk/careers/startup/start-up-stories/news/news-items/start-up-summer-launchpad-success/</t>
        </is>
      </c>
      <c r="N51" s="10" t="inlineStr">
        <is>
          <t>Direct eligibility</t>
        </is>
      </c>
      <c r="O51" s="10" t="inlineStr">
        <is>
          <t>Dated 2026/27</t>
        </is>
      </c>
      <c r="P51" s="81" t="n">
        <v>46303</v>
      </c>
      <c r="Q51" s="77" t="inlineStr">
        <is>
          <t>Excluded as RG15-X02: Entrepreneurship/incubator</t>
        </is>
      </c>
    </row>
    <row r="52" ht="116" customHeight="1">
      <c r="A52" s="10" t="inlineStr">
        <is>
          <t>UK</t>
        </is>
      </c>
      <c r="B52" s="11" t="inlineStr">
        <is>
          <t>Cardiff</t>
        </is>
      </c>
      <c r="C52" s="10" t="inlineStr">
        <is>
          <t>University-wide</t>
        </is>
      </c>
      <c r="D52" s="10" t="inlineStr">
        <is>
          <t>Co-curricular award</t>
        </is>
      </c>
      <c r="E52" s="10" t="inlineStr">
        <is>
          <t>Cardiff Award</t>
        </is>
      </c>
      <c r="F52" s="10" t="inlineStr">
        <is>
          <t>Student Futures</t>
        </is>
      </c>
      <c r="G52" s="10" t="inlineStr">
        <is>
          <t>Co-curricular</t>
        </is>
      </c>
      <c r="H52" s="10" t="inlineStr">
        <is>
          <t>All Cardiff students</t>
        </is>
      </c>
      <c r="I52" s="10" t="inlineStr">
        <is>
          <t>Optional career-development programme completed within an academic year; structured employability activities and reflection complement curricular learning.</t>
        </is>
      </c>
      <c r="J52" s="10" t="inlineStr">
        <is>
          <t>University Student Futures framework explicitly states available to all students. This does not establish specific eligibility for the separate Bremen–Cardiff programme.</t>
        </is>
      </c>
      <c r="K52" s="10" t="inlineStr">
        <is>
          <t>Official framework page; current intake unverified</t>
        </is>
      </c>
      <c r="L52" s="10" t="inlineStr">
        <is>
          <t>Russell Group</t>
        </is>
      </c>
      <c r="M52" s="10" t="inlineStr">
        <is>
          <t>https://sites.cardiff.ac.uk/student-futures-framework/student-futures-framework/activities-supported-by-student-futures/</t>
        </is>
      </c>
      <c r="N52" s="10" t="inlineStr">
        <is>
          <t>Institutional framework</t>
        </is>
      </c>
      <c r="O52" s="10" t="inlineStr">
        <is>
          <t>Undated page</t>
        </is>
      </c>
      <c r="P52" s="81" t="n">
        <v>46303</v>
      </c>
      <c r="Q52" s="77" t="inlineStr">
        <is>
          <t>Excluded as RG04-X01: Employability award</t>
        </is>
      </c>
    </row>
    <row r="53" ht="116" customHeight="1">
      <c r="A53" s="10" t="inlineStr">
        <is>
          <t>UK</t>
        </is>
      </c>
      <c r="B53" s="11" t="inlineStr">
        <is>
          <t>Bath</t>
        </is>
      </c>
      <c r="C53" s="10" t="inlineStr">
        <is>
          <t>University-wide</t>
        </is>
      </c>
      <c r="D53" s="10" t="inlineStr">
        <is>
          <t>Live/research project</t>
        </is>
      </c>
      <c r="E53" s="10" t="inlineStr">
        <is>
          <t>Vertically Integrated Projects (VIP)</t>
        </is>
      </c>
      <c r="F53" s="10" t="inlineStr">
        <is>
          <t>University VIP network</t>
        </is>
      </c>
      <c r="G53" s="10" t="inlineStr">
        <is>
          <t>Mixed/varies</t>
        </is>
      </c>
      <c r="H53" s="10" t="inlineStr">
        <is>
          <t>Undergraduate and postgraduate students across disciplines</t>
        </is>
      </c>
      <c r="I53" s="10" t="inlineStr">
        <is>
          <t>Multiyear interdisciplinary research teams address sustainability; 11 teams and 250 students in 2025/26. Mostly extracurricular; some departmental credit.</t>
        </is>
      </c>
      <c r="J53" s="10" t="inlineStr">
        <is>
          <t>University programme spans disciplines; credit availability differs by department.</t>
        </is>
      </c>
      <c r="K53" s="10" t="inlineStr">
        <is>
          <t>2025/26 cohort confirmed</t>
        </is>
      </c>
      <c r="L53" s="10" t="inlineStr">
        <is>
          <t>Additional UK sample</t>
        </is>
      </c>
      <c r="M53" s="10" t="inlineStr">
        <is>
          <t>https://www.bath.ac.uk/guides/vertically-integrated-projects/</t>
        </is>
      </c>
      <c r="N53" s="10" t="inlineStr">
        <is>
          <t>Direct eligibility</t>
        </is>
      </c>
      <c r="O53" s="10" t="inlineStr">
        <is>
          <t>Dated earlier / mixed</t>
        </is>
      </c>
      <c r="P53" s="81" t="n">
        <v>46303</v>
      </c>
      <c r="Q53" s="77" t="inlineStr">
        <is>
          <t>Reassessed as UK01-S01 (Potentially relevant; evidence incomplete)</t>
        </is>
      </c>
    </row>
    <row r="54" ht="116" customHeight="1">
      <c r="A54" s="10" t="inlineStr">
        <is>
          <t>UK</t>
        </is>
      </c>
      <c r="B54" s="11" t="inlineStr">
        <is>
          <t>St Andrews</t>
        </is>
      </c>
      <c r="C54" s="10" t="inlineStr">
        <is>
          <t>University-wide</t>
        </is>
      </c>
      <c r="D54" s="10" t="inlineStr">
        <is>
          <t>Live/research project</t>
        </is>
      </c>
      <c r="E54" s="10" t="inlineStr">
        <is>
          <t>Vertically Integrated Projects (VIP)</t>
        </is>
      </c>
      <c r="F54" s="10" t="inlineStr">
        <is>
          <t>Central education / VIP teams</t>
        </is>
      </c>
      <c r="G54" s="10" t="inlineStr">
        <is>
          <t>Elective credit</t>
        </is>
      </c>
      <c r="H54" s="10" t="inlineStr">
        <is>
          <t>Students from Arts and Science; different study levels</t>
        </is>
      </c>
      <c r="I54" s="10" t="inlineStr">
        <is>
          <t>Long-running research teams combine students across years and disciplines. Credit options include 5, 10 and 20 credits, subject to regulations.</t>
        </is>
      </c>
      <c r="J54" s="10" t="inlineStr">
        <is>
          <t>Explicit Arts and Science eligibility; elective rather than universal requirement.</t>
        </is>
      </c>
      <c r="K54" s="10" t="inlineStr">
        <is>
          <t>2026/27 applications confirmed</t>
        </is>
      </c>
      <c r="L54" s="10" t="inlineStr">
        <is>
          <t>Additional UK sample</t>
        </is>
      </c>
      <c r="M54" s="10" t="inlineStr">
        <is>
          <t>https://www.st-andrews.ac.uk/education/vip/
https://www.st-andrews.ac.uk/education/vip/credits/</t>
        </is>
      </c>
      <c r="N54" s="10" t="inlineStr">
        <is>
          <t>Direct eligibility</t>
        </is>
      </c>
      <c r="O54" s="10" t="inlineStr">
        <is>
          <t>Dated 2026/27</t>
        </is>
      </c>
      <c r="P54" s="81" t="n">
        <v>46303</v>
      </c>
      <c r="Q54" s="77" t="inlineStr">
        <is>
          <t>Reassessed as UK02-S01 (Potentially relevant; evidence incomplete)</t>
        </is>
      </c>
    </row>
    <row r="55" ht="116" customHeight="1">
      <c r="A55" s="10" t="inlineStr">
        <is>
          <t>UK</t>
        </is>
      </c>
      <c r="B55" s="11" t="inlineStr">
        <is>
          <t>Lancaster</t>
        </is>
      </c>
      <c r="C55" s="10" t="inlineStr">
        <is>
          <t>Not confirmed</t>
        </is>
      </c>
      <c r="D55" s="10" t="inlineStr">
        <is>
          <t>Co-curricular award</t>
        </is>
      </c>
      <c r="E55" s="10" t="inlineStr">
        <is>
          <t>Lancaster Award</t>
        </is>
      </c>
      <c r="F55" s="10" t="inlineStr">
        <is>
          <t>Careers</t>
        </is>
      </c>
      <c r="G55" s="10" t="inlineStr">
        <is>
          <t>Co-curricular</t>
        </is>
      </c>
      <c r="H55" s="10" t="inlineStr">
        <is>
          <t>Students completing activities alongside their degree</t>
        </is>
      </c>
      <c r="I55" s="10" t="inlineStr">
        <is>
          <t>Recognises work experience, community engagement, skills workshops and reflective evidence. December 2025 graduation information records more than 900 registrations and 200 completions in the preceding year.</t>
        </is>
      </c>
      <c r="J55" s="10" t="inlineStr">
        <is>
          <t>Central student award; university reach inferred from careers provision, exact degree-level eligibility not stated in retrieved source. Academic reach remains Not confirmed until eligibility or institution-wide framework reach is established.</t>
        </is>
      </c>
      <c r="K55" s="10" t="inlineStr">
        <is>
          <t>2025 evidence; next intake unverified</t>
        </is>
      </c>
      <c r="L55" s="10" t="inlineStr">
        <is>
          <t>Additional UK sample</t>
        </is>
      </c>
      <c r="M55" s="10" t="inlineStr">
        <is>
          <t>https://www.lancaster.ac.uk/graduation-programme/</t>
        </is>
      </c>
      <c r="N55" s="10" t="inlineStr">
        <is>
          <t>Unconfirmed reach</t>
        </is>
      </c>
      <c r="O55" s="10" t="inlineStr">
        <is>
          <t>Dated earlier / mixed</t>
        </is>
      </c>
      <c r="P55" s="81" t="n">
        <v>46303</v>
      </c>
      <c r="Q55" s="77" t="inlineStr">
        <is>
          <t>Excluded as UK03-X01: Employability award</t>
        </is>
      </c>
    </row>
    <row r="56" ht="116" customHeight="1">
      <c r="A56" s="10" t="inlineStr">
        <is>
          <t>UK</t>
        </is>
      </c>
      <c r="B56" s="11" t="inlineStr">
        <is>
          <t>Loughborough</t>
        </is>
      </c>
      <c r="C56" s="10" t="inlineStr">
        <is>
          <t>University-wide</t>
        </is>
      </c>
      <c r="D56" s="10" t="inlineStr">
        <is>
          <t>Co-curricular award</t>
        </is>
      </c>
      <c r="E56" s="10" t="inlineStr">
        <is>
          <t>Personal Best</t>
        </is>
      </c>
      <c r="F56" s="10" t="inlineStr">
        <is>
          <t>Student development / careers</t>
        </is>
      </c>
      <c r="G56" s="10" t="inlineStr">
        <is>
          <t>Co-curricular</t>
        </is>
      </c>
      <c r="H56" s="10" t="inlineStr">
        <is>
          <t>Undergraduates, postgraduates and researchers; optional award activities</t>
        </is>
      </c>
      <c r="I56" s="10" t="inlineStr">
        <is>
          <t>Personal, academic and professional development activities lead to an award recorded on the transcript. Optional development beyond the degree.</t>
        </is>
      </c>
      <c r="J56" s="10" t="inlineStr">
        <is>
          <t>Published framework serves undergraduate and postgraduate students and researchers across the institution.</t>
        </is>
      </c>
      <c r="K56" s="10" t="inlineStr">
        <is>
          <t>Official page; intake unverified</t>
        </is>
      </c>
      <c r="L56" s="10" t="inlineStr">
        <is>
          <t>Additional UK sample</t>
        </is>
      </c>
      <c r="M56" s="10" t="inlineStr">
        <is>
          <t>https://www.lboro.ac.uk/study/employability/personal-best/
https://www.lboro.ac.uk/students/personal-best/about/</t>
        </is>
      </c>
      <c r="N56" s="10" t="inlineStr">
        <is>
          <t>Institutional framework</t>
        </is>
      </c>
      <c r="O56" s="10" t="inlineStr">
        <is>
          <t>Undated page</t>
        </is>
      </c>
      <c r="P56" s="81" t="n">
        <v>46303</v>
      </c>
      <c r="Q56" s="77" t="inlineStr">
        <is>
          <t>Excluded as UK04-X01: Employability award</t>
        </is>
      </c>
    </row>
    <row r="57" ht="116" customHeight="1">
      <c r="A57" s="10" t="inlineStr">
        <is>
          <t>UK</t>
        </is>
      </c>
      <c r="B57" s="11" t="inlineStr">
        <is>
          <t>Aberdeen</t>
        </is>
      </c>
      <c r="C57" s="10" t="inlineStr">
        <is>
          <t>University-wide</t>
        </is>
      </c>
      <c r="D57" s="10" t="inlineStr">
        <is>
          <t>Placement/WIL</t>
        </is>
      </c>
      <c r="E57" s="10" t="inlineStr">
        <is>
          <t>ABDN Internships</t>
        </is>
      </c>
      <c r="F57" s="10" t="inlineStr">
        <is>
          <t>Careers and Employability</t>
        </is>
      </c>
      <c r="G57" s="10" t="inlineStr">
        <is>
          <t>Co-curricular</t>
        </is>
      </c>
      <c r="H57" s="10" t="inlineStr">
        <is>
          <t>All current full-degree undergraduate and postgraduate students, any subject/year; visa and prior-internship exclusions</t>
        </is>
      </c>
      <c r="I57" s="10" t="inlineStr">
        <is>
          <t>Paid part-time internships in university departments and external employers. 2026/27 includes seven-week employer projects and 24-week university roles, normally ten hours weekly. Competitive recruitment; registration required throughout.</t>
        </is>
      </c>
      <c r="J57" s="10" t="inlineStr">
        <is>
          <t>Published eligibility explicitly covers all subjects and years, at both undergraduate and postgraduate levels.</t>
        </is>
      </c>
      <c r="K57" s="10" t="inlineStr">
        <is>
          <t>2026/27 opportunities confirmed; Term 1 applications closed 7 October 2026</t>
        </is>
      </c>
      <c r="L57" s="10" t="inlineStr">
        <is>
          <t>Additional UK sample</t>
        </is>
      </c>
      <c r="M57" s="10" t="inlineStr">
        <is>
          <t>https://www.abdn.ac.uk/careers/experience/abdn-internships/</t>
        </is>
      </c>
      <c r="N57" s="10" t="inlineStr">
        <is>
          <t>Direct eligibility</t>
        </is>
      </c>
      <c r="O57" s="10" t="inlineStr">
        <is>
          <t>Dated 2026/27</t>
        </is>
      </c>
      <c r="P57" s="81" t="n">
        <v>46303</v>
      </c>
      <c r="Q57" s="77" t="inlineStr">
        <is>
          <t>Excluded as UK05-X01: Placement/internship</t>
        </is>
      </c>
    </row>
    <row r="58" ht="116" customHeight="1">
      <c r="A58" s="10" t="inlineStr">
        <is>
          <t>UK</t>
        </is>
      </c>
      <c r="B58" s="11" t="inlineStr">
        <is>
          <t>Reading</t>
        </is>
      </c>
      <c r="C58" s="10" t="inlineStr">
        <is>
          <t>University-wide</t>
        </is>
      </c>
      <c r="D58" s="10" t="inlineStr">
        <is>
          <t>Co-curricular award</t>
        </is>
      </c>
      <c r="E58" s="10" t="inlineStr">
        <is>
          <t>RED Awards</t>
        </is>
      </c>
      <c r="F58" s="10" t="inlineStr">
        <is>
          <t>Careers</t>
        </is>
      </c>
      <c r="G58" s="10" t="inlineStr">
        <is>
          <t>Co-curricular</t>
        </is>
      </c>
      <c r="H58" s="10" t="inlineStr">
        <is>
          <t>All Reading students, any year</t>
        </is>
      </c>
      <c r="I58" s="10" t="inlineStr">
        <is>
          <t>Professional Development, Global Engagement and Sustainable Action awards recognise extracurricular activity. Certificates and diploma-supplement recognition; degree placements cannot be counted.</t>
        </is>
      </c>
      <c r="J58" s="10" t="inlineStr">
        <is>
          <t>Explicit availability to all students; no academic credit.</t>
        </is>
      </c>
      <c r="K58" s="10" t="inlineStr">
        <is>
          <t>Official page; intake unverified</t>
        </is>
      </c>
      <c r="L58" s="10" t="inlineStr">
        <is>
          <t>Additional UK sample</t>
        </is>
      </c>
      <c r="M58" s="10" t="inlineStr">
        <is>
          <t>https://www.reading.ac.uk/essentials/Careers/Gaining-experience/RED-Awards
https://www.reading.ac.uk/essentials/Careers/Gaining-experience/RED/Red-awards-FAQ</t>
        </is>
      </c>
      <c r="N58" s="10" t="inlineStr">
        <is>
          <t>Direct eligibility</t>
        </is>
      </c>
      <c r="O58" s="10" t="inlineStr">
        <is>
          <t>Undated page</t>
        </is>
      </c>
      <c r="P58" s="81" t="n">
        <v>46303</v>
      </c>
      <c r="Q58" s="77" t="inlineStr">
        <is>
          <t>Excluded as UK06-X01: Employability award</t>
        </is>
      </c>
    </row>
    <row r="59" ht="116" customHeight="1">
      <c r="A59" s="10" t="inlineStr">
        <is>
          <t>UK</t>
        </is>
      </c>
      <c r="B59" s="11" t="inlineStr">
        <is>
          <t>Surrey</t>
        </is>
      </c>
      <c r="C59" s="10" t="inlineStr">
        <is>
          <t>University-wide</t>
        </is>
      </c>
      <c r="D59" s="10" t="inlineStr">
        <is>
          <t>Placement/WIL</t>
        </is>
      </c>
      <c r="E59" s="10" t="inlineStr">
        <is>
          <t>Professional Training placements</t>
        </is>
      </c>
      <c r="F59" s="10" t="inlineStr">
        <is>
          <t>Central placements / academic departments</t>
        </is>
      </c>
      <c r="G59" s="10" t="inlineStr">
        <is>
          <t>Mixed/varies</t>
        </is>
      </c>
      <c r="H59" s="10" t="inlineStr">
        <is>
          <t>Undergraduates on eligible degrees; almost every course has an option</t>
        </is>
      </c>
      <c r="I59" s="10" t="inlineStr">
        <is>
          <t>Up to one year of work experience with UK or overseas organisations. University network includes more than 2,000 partner organisations; degree assessment and availability vary.</t>
        </is>
      </c>
      <c r="J59" s="10" t="inlineStr">
        <is>
          <t>Institutional framework across almost every course; not compulsory for all students.</t>
        </is>
      </c>
      <c r="K59" s="10" t="inlineStr">
        <is>
          <t>Official page; intake unverified</t>
        </is>
      </c>
      <c r="L59" s="10" t="inlineStr">
        <is>
          <t>Additional UK sample</t>
        </is>
      </c>
      <c r="M59" s="10" t="inlineStr">
        <is>
          <t>https://www.surrey.ac.uk/professional-training-placements/ug-courses-placements</t>
        </is>
      </c>
      <c r="N59" s="10" t="inlineStr">
        <is>
          <t>Institutional framework</t>
        </is>
      </c>
      <c r="O59" s="10" t="inlineStr">
        <is>
          <t>Undated page</t>
        </is>
      </c>
      <c r="P59" s="81" t="n">
        <v>46303</v>
      </c>
      <c r="Q59" s="77" t="inlineStr">
        <is>
          <t>Excluded as UK07-X01: Placement/internship</t>
        </is>
      </c>
    </row>
    <row r="60" ht="116" customHeight="1">
      <c r="A60" s="10" t="inlineStr">
        <is>
          <t>UK</t>
        </is>
      </c>
      <c r="B60" s="11" t="inlineStr">
        <is>
          <t>Sussex</t>
        </is>
      </c>
      <c r="C60" s="10" t="inlineStr">
        <is>
          <t>University-wide</t>
        </is>
      </c>
      <c r="D60" s="10" t="inlineStr">
        <is>
          <t>Live/research project</t>
        </is>
      </c>
      <c r="E60" s="10" t="inlineStr">
        <is>
          <t>Connector Programme</t>
        </is>
      </c>
      <c r="F60" s="10" t="inlineStr">
        <is>
          <t>Student experience / central university projects</t>
        </is>
      </c>
      <c r="G60" s="10" t="inlineStr">
        <is>
          <t>Co-curricular</t>
        </is>
      </c>
      <c r="H60" s="10" t="inlineStr">
        <is>
          <t>All students can join the Connector Community; individual paid projects prioritise relevant groups</t>
        </is>
      </c>
      <c r="I60" s="10" t="inlineStr">
        <is>
          <t>Paid student–staff partnerships improve university provision, from modules and technology to student support. Projects range from weeks to an academic year, around study commitments.</t>
        </is>
      </c>
      <c r="J60" s="10" t="inlineStr">
        <is>
          <t>Official recruitment says all Sussex, IDS and BSMS students can join; access to a particular paid role remains selective.</t>
        </is>
      </c>
      <c r="K60" s="10" t="inlineStr">
        <is>
          <t>2025 welcome evidence; current intake unverified</t>
        </is>
      </c>
      <c r="L60" s="10" t="inlineStr">
        <is>
          <t>Additional UK sample</t>
        </is>
      </c>
      <c r="M60" s="10" t="inlineStr">
        <is>
          <t>https://www.sussex.ac.uk/study/student-life/activities
https://staff.sussex.ac.uk/guides/join-the-connector-programme
https://www.sussex.ac.uk/broadcast/read/63995</t>
        </is>
      </c>
      <c r="N60" s="10" t="inlineStr">
        <is>
          <t>Direct eligibility</t>
        </is>
      </c>
      <c r="O60" s="10" t="inlineStr">
        <is>
          <t>Dated earlier / mixed</t>
        </is>
      </c>
      <c r="P60" s="81" t="n">
        <v>46303</v>
      </c>
      <c r="Q60" s="77" t="inlineStr">
        <is>
          <t>Excluded as UK08-X01: Near-miss: no external org</t>
        </is>
      </c>
    </row>
    <row r="61" ht="116" customHeight="1">
      <c r="A61" s="10" t="inlineStr">
        <is>
          <t>UK</t>
        </is>
      </c>
      <c r="B61" s="11" t="inlineStr">
        <is>
          <t>Leicester</t>
        </is>
      </c>
      <c r="C61" s="10" t="inlineStr">
        <is>
          <t>University-wide</t>
        </is>
      </c>
      <c r="D61" s="10" t="inlineStr">
        <is>
          <t>Co-curricular award</t>
        </is>
      </c>
      <c r="E61" s="10" t="inlineStr">
        <is>
          <t>Leicester Award / Leicester Award Gold</t>
        </is>
      </c>
      <c r="F61" s="10" t="inlineStr">
        <is>
          <t>Careers / academic schools</t>
        </is>
      </c>
      <c r="G61" s="10" t="inlineStr">
        <is>
          <t>Mixed/varies</t>
        </is>
      </c>
      <c r="H61" s="10" t="inlineStr">
        <is>
          <t>Undergraduate students; school embedding varies</t>
        </is>
      </c>
      <c r="I61" s="10" t="inlineStr">
        <is>
          <t>Employability learning, reflective skills development and preparation for work experience. The new 100-hour curriculum guarantee is recorded separately.</t>
        </is>
      </c>
      <c r="J61" s="10" t="inlineStr">
        <is>
          <t>Institutional undergraduate framework; award completion and Gold pathway should not be assumed universal.</t>
        </is>
      </c>
      <c r="K61" s="10" t="inlineStr">
        <is>
          <t>2023 embedding evidence; latest award intake unverified</t>
        </is>
      </c>
      <c r="L61" s="10" t="inlineStr">
        <is>
          <t>Additional UK sample</t>
        </is>
      </c>
      <c r="M61" s="10" t="inlineStr">
        <is>
          <t>https://le.ac.uk/news/2023/december/leicester-award</t>
        </is>
      </c>
      <c r="N61" s="10" t="inlineStr">
        <is>
          <t>Institutional framework</t>
        </is>
      </c>
      <c r="O61" s="10" t="inlineStr">
        <is>
          <t>Dated earlier / mixed</t>
        </is>
      </c>
      <c r="P61" s="81" t="n">
        <v>46303</v>
      </c>
      <c r="Q61" s="77" t="inlineStr">
        <is>
          <t>Excluded as UK09-X01: Employability award</t>
        </is>
      </c>
    </row>
    <row r="62" ht="116" customHeight="1">
      <c r="A62" s="10" t="inlineStr">
        <is>
          <t>UK</t>
        </is>
      </c>
      <c r="B62" s="11" t="inlineStr">
        <is>
          <t>Leicester</t>
        </is>
      </c>
      <c r="C62" s="10" t="inlineStr">
        <is>
          <t>University-wide</t>
        </is>
      </c>
      <c r="D62" s="10" t="inlineStr">
        <is>
          <t>Live/research project</t>
        </is>
      </c>
      <c r="E62" s="10" t="inlineStr">
        <is>
          <t>100 hours work-related learning guarantee</t>
        </is>
      </c>
      <c r="F62" s="10" t="inlineStr">
        <is>
          <t>Undergraduate curriculum / academic schools</t>
        </is>
      </c>
      <c r="G62" s="10" t="inlineStr">
        <is>
          <t>Compulsory</t>
        </is>
      </c>
      <c r="H62" s="10" t="inlineStr">
        <is>
          <t>All campus-based undergraduates completing their whole programme at Leicester from 2026/27</t>
        </is>
      </c>
      <c r="I62" s="10" t="inlineStr">
        <is>
          <t>Every undergraduate degree provides 100 hours of work-related learning. Employer-informed projects, simulations and virtual internships apply learning to real challenges; the guarantee does not imply 100 hours of employment or a placement.</t>
        </is>
      </c>
      <c r="J62" s="10" t="inlineStr">
        <is>
          <t>Explicit guarantee for all qualifying campus-based undergraduate degrees, across disciplines.</t>
        </is>
      </c>
      <c r="K62" s="10" t="inlineStr">
        <is>
          <t>Introduced from 2026/27 onwards</t>
        </is>
      </c>
      <c r="L62" s="10" t="inlineStr">
        <is>
          <t>Additional UK sample</t>
        </is>
      </c>
      <c r="M62" s="10" t="inlineStr">
        <is>
          <t>https://le.ac.uk/study/undergraduates/careers/100-hours</t>
        </is>
      </c>
      <c r="N62" s="10" t="inlineStr">
        <is>
          <t>Direct eligibility</t>
        </is>
      </c>
      <c r="O62" s="10" t="inlineStr">
        <is>
          <t>Dated 2026/27</t>
        </is>
      </c>
      <c r="P62" s="81" t="n">
        <v>46303</v>
      </c>
      <c r="Q62" s="77" t="inlineStr">
        <is>
          <t>Excluded as UK09-X02: WIL framework</t>
        </is>
      </c>
    </row>
    <row r="63" ht="116" customHeight="1">
      <c r="A63" s="10" t="inlineStr">
        <is>
          <t>UK</t>
        </is>
      </c>
      <c r="B63" s="11" t="inlineStr">
        <is>
          <t>Strathclyde</t>
        </is>
      </c>
      <c r="C63" s="10" t="inlineStr">
        <is>
          <t>University-wide</t>
        </is>
      </c>
      <c r="D63" s="10" t="inlineStr">
        <is>
          <t>Live/research project</t>
        </is>
      </c>
      <c r="E63" s="10" t="inlineStr">
        <is>
          <t>Vertically Integrated Projects for Sustainable Development</t>
        </is>
      </c>
      <c r="F63" s="10" t="inlineStr">
        <is>
          <t>University VIP4SD programme</t>
        </is>
      </c>
      <c r="G63" s="10" t="inlineStr">
        <is>
          <t>Mixed/varies</t>
        </is>
      </c>
      <c r="H63" s="10" t="inlineStr">
        <is>
          <t>Students in participating degrees and project teams</t>
        </is>
      </c>
      <c r="I63" s="10" t="inlineStr">
        <is>
          <t>Multidisciplinary, multiyear student research addresses UN Sustainable Development Goals; teams integrate different study levels. Curricular credit depends on the degree.</t>
        </is>
      </c>
      <c r="J63" s="10" t="inlineStr">
        <is>
          <t>University framework with course-specific eligibility; do not infer every degree participates.</t>
        </is>
      </c>
      <c r="K63" s="10" t="inlineStr">
        <is>
          <t>Official page; intake unverified</t>
        </is>
      </c>
      <c r="L63" s="10" t="inlineStr">
        <is>
          <t>Additional UK sample</t>
        </is>
      </c>
      <c r="M63" s="10" t="inlineStr">
        <is>
          <t>https://www.strath.ac.uk/studywithus/verticallyintegratedprojectsforsustainabledevelopment/abouttheprogramme/
https://www.strath.ac.uk/studywithus/verticallyintegratedprojectsforsustainabledevelopment/ourprojects/</t>
        </is>
      </c>
      <c r="N63" s="10" t="inlineStr">
        <is>
          <t>Institutional framework</t>
        </is>
      </c>
      <c r="O63" s="10" t="inlineStr">
        <is>
          <t>Undated page</t>
        </is>
      </c>
      <c r="P63" s="81" t="n">
        <v>46303</v>
      </c>
      <c r="Q63" s="77" t="inlineStr">
        <is>
          <t>Reassessed as UK10-S01 (Potentially relevant; evidence incomplete)</t>
        </is>
      </c>
    </row>
    <row r="64" ht="116" customHeight="1">
      <c r="A64" s="10" t="inlineStr">
        <is>
          <t>UK</t>
        </is>
      </c>
      <c r="B64" s="11" t="inlineStr">
        <is>
          <t>Heriot-Watt</t>
        </is>
      </c>
      <c r="C64" s="10" t="inlineStr">
        <is>
          <t>University-wide</t>
        </is>
      </c>
      <c r="D64" s="10" t="inlineStr">
        <is>
          <t>Enterprise programme</t>
        </is>
      </c>
      <c r="E64" s="10" t="inlineStr">
        <is>
          <t>Global Innovation Challenge</t>
        </is>
      </c>
      <c r="F64" s="10" t="inlineStr">
        <is>
          <t>Global Research, Innovation and Discovery (GRID)</t>
        </is>
      </c>
      <c r="G64" s="10" t="inlineStr">
        <is>
          <t>Co-curricular</t>
        </is>
      </c>
      <c r="H64" s="10" t="inlineStr">
        <is>
          <t>Students, academics and alumni across Heriot-Watt campuses</t>
        </is>
      </c>
      <c r="I64" s="10" t="inlineStr">
        <is>
          <t>Nine-week practical entrepreneurial workshop programme develops business ideas through mentoring, founder/industry connections and a competition for up to £5,000.</t>
        </is>
      </c>
      <c r="J64" s="10" t="inlineStr">
        <is>
          <t>Official page explicitly invites participants from across the university’s global community.</t>
        </is>
      </c>
      <c r="K64" s="10" t="inlineStr">
        <is>
          <t>2026 challenge confirmed</t>
        </is>
      </c>
      <c r="L64" s="10" t="inlineStr">
        <is>
          <t>Additional UK sample</t>
        </is>
      </c>
      <c r="M64" s="10" t="inlineStr">
        <is>
          <t>https://www.hw.ac.uk/research-enterprise/innovation/global-innovation-challenge</t>
        </is>
      </c>
      <c r="N64" s="10" t="inlineStr">
        <is>
          <t>Direct eligibility</t>
        </is>
      </c>
      <c r="O64" s="10" t="inlineStr">
        <is>
          <t>Dated 2026/27</t>
        </is>
      </c>
      <c r="P64" s="81" t="n">
        <v>46303</v>
      </c>
      <c r="Q64" s="77" t="inlineStr">
        <is>
          <t>Excluded as UK11-X01: Entrepreneurship/incubator</t>
        </is>
      </c>
    </row>
    <row r="65" ht="116" customHeight="1">
      <c r="A65" s="10" t="inlineStr">
        <is>
          <t>UK</t>
        </is>
      </c>
      <c r="B65" s="11" t="inlineStr">
        <is>
          <t>East Anglia</t>
        </is>
      </c>
      <c r="C65" s="10" t="inlineStr">
        <is>
          <t>Not confirmed</t>
        </is>
      </c>
      <c r="D65" s="10" t="inlineStr">
        <is>
          <t>Co-curricular award</t>
        </is>
      </c>
      <c r="E65" s="10" t="inlineStr">
        <is>
          <t>UEA Award</t>
        </is>
      </c>
      <c r="F65" s="10" t="inlineStr">
        <is>
          <t>CareerCentral</t>
        </is>
      </c>
      <c r="G65" s="10" t="inlineStr">
        <is>
          <t>Co-curricular</t>
        </is>
      </c>
      <c r="H65" s="10" t="inlineStr">
        <is>
          <t>UEA students; exact eligibility should be checked in award terms</t>
        </is>
      </c>
      <c r="I65" s="10" t="inlineStr">
        <is>
          <t>Skills-development and employability award complements study and recognises wider experience. 2025–29 access plan continues to promote participation across courses.</t>
        </is>
      </c>
      <c r="J65" s="10" t="inlineStr">
        <is>
          <t>Central careers award with cross-course promotion; university reach inferred, not compulsory. Academic reach remains Not confirmed until eligibility or institution-wide framework reach is established.</t>
        </is>
      </c>
      <c r="K65" s="10" t="inlineStr">
        <is>
          <t>2025–29 policy and 2026 careers-role evidence</t>
        </is>
      </c>
      <c r="L65" s="10" t="inlineStr">
        <is>
          <t>Additional UK sample</t>
        </is>
      </c>
      <c r="M65" s="10" t="inlineStr">
        <is>
          <t>https://mycareercentral.uea.ac.uk/Uploads/Attachments/UEA%20Award/TandCs-UEA-Award-final.pdf
https://assets.uea.ac.uk/f/185167/x/a9b8a9ffc6/university-of-east-anglia-access-and-participation-plan-2025-26-2028-29.pdf</t>
        </is>
      </c>
      <c r="N65" s="10" t="inlineStr">
        <is>
          <t>Unconfirmed reach</t>
        </is>
      </c>
      <c r="O65" s="10" t="inlineStr">
        <is>
          <t>Dated 2026/27</t>
        </is>
      </c>
      <c r="P65" s="81" t="n">
        <v>46303</v>
      </c>
      <c r="Q65" s="77" t="inlineStr">
        <is>
          <t>Excluded as UK12-X01: Employability award</t>
        </is>
      </c>
    </row>
    <row r="66" ht="116" customHeight="1">
      <c r="A66" s="10" t="inlineStr">
        <is>
          <t>UK</t>
        </is>
      </c>
      <c r="B66" s="11" t="inlineStr">
        <is>
          <t>Dundee</t>
        </is>
      </c>
      <c r="C66" s="10" t="inlineStr">
        <is>
          <t>University-wide</t>
        </is>
      </c>
      <c r="D66" s="10" t="inlineStr">
        <is>
          <t>Enterprise programme</t>
        </is>
      </c>
      <c r="E66" s="10" t="inlineStr">
        <is>
          <t>Enterprise Challenge / Venture Competition</t>
        </is>
      </c>
      <c r="F66" s="10" t="inlineStr">
        <is>
          <t>Centre for Entrepreneurship</t>
        </is>
      </c>
      <c r="G66" s="10" t="inlineStr">
        <is>
          <t>Co-curricular</t>
        </is>
      </c>
      <c r="H66" s="10" t="inlineStr">
        <is>
          <t>Students, staff and recent graduates; selection applies</t>
        </is>
      </c>
      <c r="I66" s="10" t="inlineStr">
        <is>
          <t>Business-idea development and pitching. Enterprise Challenge feeds into the three-stage Venture Competition; 2026 competition terms confirm the pathway.</t>
        </is>
      </c>
      <c r="J66" s="10" t="inlineStr">
        <is>
          <t>Venture explicitly open to all university students; voluntary enterprise pathway.</t>
        </is>
      </c>
      <c r="K66" s="10" t="inlineStr">
        <is>
          <t>2026 competition confirmed</t>
        </is>
      </c>
      <c r="L66" s="10" t="inlineStr">
        <is>
          <t>Additional UK sample</t>
        </is>
      </c>
      <c r="M66" s="10" t="inlineStr">
        <is>
          <t>https://www.dundee.ac.uk/entrepreneurship/venture
https://www.dundee.ac.uk/corporate-information/venture-competition-terms-and-conditions</t>
        </is>
      </c>
      <c r="N66" s="10" t="inlineStr">
        <is>
          <t>Direct eligibility</t>
        </is>
      </c>
      <c r="O66" s="10" t="inlineStr">
        <is>
          <t>Dated 2026/27</t>
        </is>
      </c>
      <c r="P66" s="81" t="n">
        <v>46303</v>
      </c>
      <c r="Q66" s="77" t="inlineStr">
        <is>
          <t>Excluded as UK13-X01: Entrepreneurship/incubator</t>
        </is>
      </c>
    </row>
    <row r="67" ht="116" customHeight="1">
      <c r="A67" s="10" t="inlineStr">
        <is>
          <t>UK</t>
        </is>
      </c>
      <c r="B67" s="11" t="inlineStr">
        <is>
          <t>Swansea</t>
        </is>
      </c>
      <c r="C67" s="10" t="inlineStr">
        <is>
          <t>University-wide</t>
        </is>
      </c>
      <c r="D67" s="10" t="inlineStr">
        <is>
          <t>Co-curricular award</t>
        </is>
      </c>
      <c r="E67" s="10" t="inlineStr">
        <is>
          <t>Employability Awards</t>
        </is>
      </c>
      <c r="F67" s="10" t="inlineStr">
        <is>
          <t>Swansea Employability Academy</t>
        </is>
      </c>
      <c r="G67" s="10" t="inlineStr">
        <is>
          <t>Co-curricular</t>
        </is>
      </c>
      <c r="H67" s="10" t="inlineStr">
        <is>
          <t>Any Swansea student</t>
        </is>
      </c>
      <c r="I67" s="10" t="inlineStr">
        <is>
          <t>Eight awards recognise activities such as volunteering, discovery projects and career-development units. Completion leads to digital badges and/or HEAR recognition.</t>
        </is>
      </c>
      <c r="J67" s="10" t="inlineStr">
        <is>
          <t>Official page states any student can work towards an award.</t>
        </is>
      </c>
      <c r="K67" s="10" t="inlineStr">
        <is>
          <t>Official page; intake unverified</t>
        </is>
      </c>
      <c r="L67" s="10" t="inlineStr">
        <is>
          <t>Additional UK sample</t>
        </is>
      </c>
      <c r="M67" s="10" t="inlineStr">
        <is>
          <t>https://hwb.swansea.ac.uk/employability-enterprise/employability-awards/</t>
        </is>
      </c>
      <c r="N67" s="10" t="inlineStr">
        <is>
          <t>Direct eligibility</t>
        </is>
      </c>
      <c r="O67" s="10" t="inlineStr">
        <is>
          <t>Undated page</t>
        </is>
      </c>
      <c r="P67" s="81" t="n">
        <v>46303</v>
      </c>
      <c r="Q67" s="77" t="inlineStr">
        <is>
          <t>Excluded as UK14-X01: Employability award</t>
        </is>
      </c>
    </row>
    <row r="68" ht="116" customHeight="1">
      <c r="A68" s="10" t="inlineStr">
        <is>
          <t>UK</t>
        </is>
      </c>
      <c r="B68" s="11" t="inlineStr">
        <is>
          <t>Essex</t>
        </is>
      </c>
      <c r="C68" s="10" t="inlineStr">
        <is>
          <t>University-wide</t>
        </is>
      </c>
      <c r="D68" s="10" t="inlineStr">
        <is>
          <t>Co-curricular award</t>
        </is>
      </c>
      <c r="E68" s="10" t="inlineStr">
        <is>
          <t>Big Essex Award</t>
        </is>
      </c>
      <c r="F68" s="10" t="inlineStr">
        <is>
          <t>Careers / HEAR</t>
        </is>
      </c>
      <c r="G68" s="10" t="inlineStr">
        <is>
          <t>Co-curricular</t>
        </is>
      </c>
      <c r="H68" s="10" t="inlineStr">
        <is>
          <t>Eligible Essex students; research-only HEAR exclusions apply</t>
        </is>
      </c>
      <c r="I68" s="10" t="inlineStr">
        <is>
          <t>Reflective recognition of extracurricular skills and experience, with Bronze/Silver/Gold levels. Award achievements are recorded through HEAR rather than degree credit.</t>
        </is>
      </c>
      <c r="J68" s="10" t="inlineStr">
        <is>
          <t>Central award across student activities; exact level-specific rules should be checked.</t>
        </is>
      </c>
      <c r="K68" s="10" t="inlineStr">
        <is>
          <t>Official page; intake unverified</t>
        </is>
      </c>
      <c r="L68" s="10" t="inlineStr">
        <is>
          <t>Additional UK sample</t>
        </is>
      </c>
      <c r="M68" s="10" t="inlineStr">
        <is>
          <t>https://www.essex.ac.uk/student/awards-and-achievements/hear
https://www.essex.ac.uk/careers/documents/HEARfaqs.pdf</t>
        </is>
      </c>
      <c r="N68" s="10" t="inlineStr">
        <is>
          <t>Direct eligibility</t>
        </is>
      </c>
      <c r="O68" s="10" t="inlineStr">
        <is>
          <t>Undated page</t>
        </is>
      </c>
      <c r="P68" s="81" t="n">
        <v>46303</v>
      </c>
      <c r="Q68" s="77" t="inlineStr">
        <is>
          <t>Excluded as UK15-X01: Employability award</t>
        </is>
      </c>
    </row>
    <row r="69" ht="116" customHeight="1">
      <c r="A69" s="10" t="inlineStr">
        <is>
          <t>UK</t>
        </is>
      </c>
      <c r="B69" s="11" t="inlineStr">
        <is>
          <t>Kent</t>
        </is>
      </c>
      <c r="C69" s="10" t="inlineStr">
        <is>
          <t>University-wide</t>
        </is>
      </c>
      <c r="D69" s="10" t="inlineStr">
        <is>
          <t>Co-curricular award</t>
        </is>
      </c>
      <c r="E69" s="10" t="inlineStr">
        <is>
          <t>Employability Points</t>
        </is>
      </c>
      <c r="F69" s="10" t="inlineStr">
        <is>
          <t>Careers and Employability</t>
        </is>
      </c>
      <c r="G69" s="10" t="inlineStr">
        <is>
          <t>Co-curricular</t>
        </is>
      </c>
      <c r="H69" s="10" t="inlineStr">
        <is>
          <t>All registered Kent students</t>
        </is>
      </c>
      <c r="I69" s="10" t="inlineStr">
        <is>
          <t>Students earn points for extracurricular activities and redeem them for employer-supported rewards, including work-experience opportunities.</t>
        </is>
      </c>
      <c r="J69" s="10" t="inlineStr">
        <is>
          <t>Explicit all-registered-student availability; points are not degree credits.</t>
        </is>
      </c>
      <c r="K69" s="10" t="inlineStr">
        <is>
          <t>Official page; intake unverified</t>
        </is>
      </c>
      <c r="L69" s="10" t="inlineStr">
        <is>
          <t>Additional UK sample</t>
        </is>
      </c>
      <c r="M69" s="10" t="inlineStr">
        <is>
          <t>https://student.kent.ac.uk/careers/employability-points/ep-points-how-it-works</t>
        </is>
      </c>
      <c r="N69" s="10" t="inlineStr">
        <is>
          <t>Direct eligibility</t>
        </is>
      </c>
      <c r="O69" s="10" t="inlineStr">
        <is>
          <t>Undated page</t>
        </is>
      </c>
      <c r="P69" s="81" t="n">
        <v>46303</v>
      </c>
      <c r="Q69" s="77" t="inlineStr">
        <is>
          <t>Excluded as UK16-X01: Employability award</t>
        </is>
      </c>
    </row>
    <row r="70" ht="116" customHeight="1">
      <c r="A70" s="10" t="inlineStr">
        <is>
          <t>UK</t>
        </is>
      </c>
      <c r="B70" s="11" t="inlineStr">
        <is>
          <t>Brunel</t>
        </is>
      </c>
      <c r="C70" s="10" t="inlineStr">
        <is>
          <t>University-wide</t>
        </is>
      </c>
      <c r="D70" s="10" t="inlineStr">
        <is>
          <t>Placement/WIL</t>
        </is>
      </c>
      <c r="E70" s="10" t="inlineStr">
        <is>
          <t>Professional work placements</t>
        </is>
      </c>
      <c r="F70" s="10" t="inlineStr">
        <is>
          <t>Student Professional Development / departments</t>
        </is>
      </c>
      <c r="G70" s="10" t="inlineStr">
        <is>
          <t>Mixed/varies</t>
        </is>
      </c>
      <c r="H70" s="10" t="inlineStr">
        <is>
          <t>Eligible degree programmes; availability and assessment vary</t>
        </is>
      </c>
      <c r="I70" s="10" t="inlineStr">
        <is>
          <t>University placement support enables students to apply learning with employers. Programme requirements determine timing, duration and credit.</t>
        </is>
      </c>
      <c r="J70" s="10" t="inlineStr">
        <is>
          <t>Central placement framework across departments; no claim all degrees or students participate.</t>
        </is>
      </c>
      <c r="K70" s="10" t="inlineStr">
        <is>
          <t>Official page; intake unverified</t>
        </is>
      </c>
      <c r="L70" s="10" t="inlineStr">
        <is>
          <t>Additional UK sample</t>
        </is>
      </c>
      <c r="M70" s="10" t="inlineStr">
        <is>
          <t>https://www.brunel.ac.uk/student-professional-development/work-placements</t>
        </is>
      </c>
      <c r="N70" s="10" t="inlineStr">
        <is>
          <t>Institutional framework</t>
        </is>
      </c>
      <c r="O70" s="10" t="inlineStr">
        <is>
          <t>Undated page</t>
        </is>
      </c>
      <c r="P70" s="81" t="n">
        <v>46303</v>
      </c>
      <c r="Q70" s="77" t="inlineStr">
        <is>
          <t>Excluded as UK17-X01: Placement/internship</t>
        </is>
      </c>
    </row>
    <row r="71" ht="116" customHeight="1">
      <c r="A71" s="10" t="inlineStr">
        <is>
          <t>UK</t>
        </is>
      </c>
      <c r="B71" s="11" t="inlineStr">
        <is>
          <t>Aston</t>
        </is>
      </c>
      <c r="C71" s="10" t="inlineStr">
        <is>
          <t>University-wide</t>
        </is>
      </c>
      <c r="D71" s="10" t="inlineStr">
        <is>
          <t>Live/research project</t>
        </is>
      </c>
      <c r="E71" s="10" t="inlineStr">
        <is>
          <t>Aston Global Advantage</t>
        </is>
      </c>
      <c r="F71" s="10" t="inlineStr">
        <is>
          <t>Postgraduate taught curriculum</t>
        </is>
      </c>
      <c r="G71" s="10" t="inlineStr">
        <is>
          <t>Compulsory</t>
        </is>
      </c>
      <c r="H71" s="10" t="inlineStr">
        <is>
          <t>Every postgraduate taught programme, according to university page</t>
        </is>
      </c>
      <c r="I71" s="10" t="inlineStr">
        <is>
          <t>Structured professional development combines teamwork, practical projects and employer engagement with postgraduate study. Delivery varies by programme/campus.</t>
        </is>
      </c>
      <c r="J71" s="10" t="inlineStr">
        <is>
          <t>Official page describes a distinctive component of every postgraduate taught programme.</t>
        </is>
      </c>
      <c r="K71" s="10" t="inlineStr">
        <is>
          <t>Official page; intake unverified</t>
        </is>
      </c>
      <c r="L71" s="10" t="inlineStr">
        <is>
          <t>Additional UK sample</t>
        </is>
      </c>
      <c r="M71" s="10" t="inlineStr">
        <is>
          <t>https://www.aston.ac.uk/postgraduate/aston-global-advantage</t>
        </is>
      </c>
      <c r="N71" s="10" t="inlineStr">
        <is>
          <t>Direct eligibility</t>
        </is>
      </c>
      <c r="O71" s="10" t="inlineStr">
        <is>
          <t>Undated page</t>
        </is>
      </c>
      <c r="P71" s="81" t="n">
        <v>46303</v>
      </c>
      <c r="Q71" s="77" t="inlineStr">
        <is>
          <t>Reassessed as UK18-S01 (Potentially relevant; evidence incomplete)</t>
        </is>
      </c>
    </row>
    <row r="72" ht="116" customHeight="1">
      <c r="A72" s="10" t="inlineStr">
        <is>
          <t>UK</t>
        </is>
      </c>
      <c r="B72" s="11" t="inlineStr">
        <is>
          <t>Stirling</t>
        </is>
      </c>
      <c r="C72" s="10" t="inlineStr">
        <is>
          <t>University-wide</t>
        </is>
      </c>
      <c r="D72" s="10" t="inlineStr">
        <is>
          <t>Co-curricular award</t>
        </is>
      </c>
      <c r="E72" s="10" t="inlineStr">
        <is>
          <t>My Stirling Award</t>
        </is>
      </c>
      <c r="F72" s="10" t="inlineStr">
        <is>
          <t>Careers</t>
        </is>
      </c>
      <c r="G72" s="10" t="inlineStr">
        <is>
          <t>Co-curricular</t>
        </is>
      </c>
      <c r="H72" s="10" t="inlineStr">
        <is>
          <t>All undergraduate and postgraduate students</t>
        </is>
      </c>
      <c r="I72" s="10" t="inlineStr">
        <is>
          <t>Recognises employment, volunteering, projects and wider activities. Undergraduate Bronze/Silver/Gold require 50/100/200 hours; postgraduate award requires 30 hours. Includes reflection and career preparation; transcript recognition.</t>
        </is>
      </c>
      <c r="J72" s="10" t="inlineStr">
        <is>
          <t>Official eligibility explicitly includes all undergraduate and postgraduate students.</t>
        </is>
      </c>
      <c r="K72" s="10" t="inlineStr">
        <is>
          <t>Official page says all levels open to enrol; intake year unlabelled</t>
        </is>
      </c>
      <c r="L72" s="10" t="inlineStr">
        <is>
          <t>Additional UK sample</t>
        </is>
      </c>
      <c r="M72" s="10" t="inlineStr">
        <is>
          <t>https://www.stir.ac.uk/student-life/careers/get-career-experience/my-stirling-award/</t>
        </is>
      </c>
      <c r="N72" s="10" t="inlineStr">
        <is>
          <t>Direct eligibility</t>
        </is>
      </c>
      <c r="O72" s="10" t="inlineStr">
        <is>
          <t>Undated page</t>
        </is>
      </c>
      <c r="P72" s="81" t="n">
        <v>46303</v>
      </c>
      <c r="Q72" s="77" t="inlineStr">
        <is>
          <t>Excluded as UK19-X01: Employability award</t>
        </is>
      </c>
    </row>
    <row r="73" ht="116" customHeight="1">
      <c r="A73" s="10" t="inlineStr">
        <is>
          <t>UK</t>
        </is>
      </c>
      <c r="B73" s="11" t="inlineStr">
        <is>
          <t>SOAS</t>
        </is>
      </c>
      <c r="C73" s="10" t="inlineStr">
        <is>
          <t>University-wide</t>
        </is>
      </c>
      <c r="D73" s="10" t="inlineStr">
        <is>
          <t>Live/research project</t>
        </is>
      </c>
      <c r="E73" s="10" t="inlineStr">
        <is>
          <t>SOAS Virtual Industry Project</t>
        </is>
      </c>
      <c r="F73" s="10" t="inlineStr">
        <is>
          <t>Careers / Practera</t>
        </is>
      </c>
      <c r="G73" s="10" t="inlineStr">
        <is>
          <t>Co-curricular</t>
        </is>
      </c>
      <c r="H73" s="10" t="inlineStr">
        <is>
          <t>Second- and final-year undergraduates; limited places</t>
        </is>
      </c>
      <c r="I73" s="10" t="inlineStr">
        <is>
          <t>Two-week virtual consultancy in interdisciplinary teams responding to a live employer brief, with a final report. Scheme page describes 100 places annually.</t>
        </is>
      </c>
      <c r="J73" s="10" t="inlineStr">
        <is>
          <t>Eligibility stated by year rather than faculty; open across undergraduate disciplines.</t>
        </is>
      </c>
      <c r="K73" s="10" t="inlineStr">
        <is>
          <t>2025 participant evidence; current intake unverified</t>
        </is>
      </c>
      <c r="L73" s="10" t="inlineStr">
        <is>
          <t>Additional UK sample</t>
        </is>
      </c>
      <c r="M73" s="10" t="inlineStr">
        <is>
          <t>https://www.soas.ac.uk/soas-virtual-industry-project</t>
        </is>
      </c>
      <c r="N73" s="10" t="inlineStr">
        <is>
          <t>Direct eligibility</t>
        </is>
      </c>
      <c r="O73" s="10" t="inlineStr">
        <is>
          <t>Dated earlier / mixed</t>
        </is>
      </c>
      <c r="P73" s="81" t="n">
        <v>46303</v>
      </c>
      <c r="Q73" s="77" t="inlineStr">
        <is>
          <t>Reassessed as UK20-S01 (Meets all three)</t>
        </is>
      </c>
    </row>
    <row r="74" ht="116" customHeight="1">
      <c r="A74" s="10" t="inlineStr">
        <is>
          <t>UK</t>
        </is>
      </c>
      <c r="B74" s="11" t="inlineStr">
        <is>
          <t>Birkbeck</t>
        </is>
      </c>
      <c r="C74" s="10" t="inlineStr">
        <is>
          <t>Cross-faculty</t>
        </is>
      </c>
      <c r="D74" s="10" t="inlineStr">
        <is>
          <t>Placement/WIL</t>
        </is>
      </c>
      <c r="E74" s="10" t="inlineStr">
        <is>
          <t>Micro-placement, CASC002H5</t>
        </is>
      </c>
      <c r="F74" s="10" t="inlineStr">
        <is>
          <t>Academic programmes / placements</t>
        </is>
      </c>
      <c r="G74" s="10" t="inlineStr">
        <is>
          <t>Mixed/varies</t>
        </is>
      </c>
      <c r="H74" s="10" t="inlineStr">
        <is>
          <t>Participating degrees including Computing and Health and Social Care</t>
        </is>
      </c>
      <c r="I74" s="10" t="inlineStr">
        <is>
          <t>Short placement or professional project, preparation workshops and reflective assessment. 15 credits: optional in Data Science and Computing; compulsory in the named Health and Social Care route.</t>
        </is>
      </c>
      <c r="J74" s="10" t="inlineStr">
        <is>
          <t>Two programme specifications establish cross-faculty use, not availability on every degree.</t>
        </is>
      </c>
      <c r="K74" s="10" t="inlineStr">
        <is>
          <t>2024/25 and 2025/26 specifications</t>
        </is>
      </c>
      <c r="L74" s="10" t="inlineStr">
        <is>
          <t>Additional UK sample</t>
        </is>
      </c>
      <c r="M74" s="10" t="inlineStr">
        <is>
          <t>https://www.bbk.ac.uk/courses/module/CASC002H5
https://www.bbk.ac.uk/documents/programme-specification-2025-26-bsc-health-and-social-care-incl-with-foundation-year.pdf</t>
        </is>
      </c>
      <c r="N74" s="10" t="inlineStr">
        <is>
          <t>Direct eligibility</t>
        </is>
      </c>
      <c r="O74" s="10" t="inlineStr">
        <is>
          <t>Dated earlier / mixed</t>
        </is>
      </c>
      <c r="P74" s="81" t="n">
        <v>46303</v>
      </c>
      <c r="Q74" s="77" t="inlineStr">
        <is>
          <t>Reassessed as UK21-S03 (Outside strict definition)</t>
        </is>
      </c>
    </row>
    <row r="75" ht="116" customHeight="1">
      <c r="A75" s="10" t="inlineStr">
        <is>
          <t>UK</t>
        </is>
      </c>
      <c r="B75" s="11" t="inlineStr">
        <is>
          <t>Birkbeck</t>
        </is>
      </c>
      <c r="C75" s="10" t="inlineStr">
        <is>
          <t>University-wide</t>
        </is>
      </c>
      <c r="D75" s="10" t="inlineStr">
        <is>
          <t>Enterprise programme</t>
        </is>
      </c>
      <c r="E75" s="10" t="inlineStr">
        <is>
          <t>Pioneer Programme</t>
        </is>
      </c>
      <c r="F75" s="10" t="inlineStr">
        <is>
          <t>Careers and Enterprise</t>
        </is>
      </c>
      <c r="G75" s="10" t="inlineStr">
        <is>
          <t>Co-curricular</t>
        </is>
      </c>
      <c r="H75" s="10" t="inlineStr">
        <is>
          <t>Birkbeck students and graduates interested in enterprise</t>
        </is>
      </c>
      <c r="I75" s="10" t="inlineStr">
        <is>
          <t>Extracurricular workshops, founder guidance and business development alongside study. Current programme page sets an October 2026 selection timetable.</t>
        </is>
      </c>
      <c r="J75" s="10" t="inlineStr">
        <is>
          <t>Central programme; earlier official description explicitly includes any Birkbeck student.</t>
        </is>
      </c>
      <c r="K75" s="10" t="inlineStr">
        <is>
          <t>2026 intake confirmed</t>
        </is>
      </c>
      <c r="L75" s="10" t="inlineStr">
        <is>
          <t>Additional UK sample</t>
        </is>
      </c>
      <c r="M75" s="10" t="inlineStr">
        <is>
          <t>https://www.bbk.ac.uk/student-services/careers-and-enterprise/start-a-business
https://www.bbk.ac.uk/news/birkbeck-and-santander-universities-celebrate-creating-accessible-pathways-to-entrepreneurship-2</t>
        </is>
      </c>
      <c r="N75" s="10" t="inlineStr">
        <is>
          <t>Direct eligibility</t>
        </is>
      </c>
      <c r="O75" s="10" t="inlineStr">
        <is>
          <t>Dated 2026/27</t>
        </is>
      </c>
      <c r="P75" s="81" t="n">
        <v>46303</v>
      </c>
      <c r="Q75" s="77" t="inlineStr">
        <is>
          <t>Excluded as UK21-X01: Entrepreneurship/incubator</t>
        </is>
      </c>
    </row>
    <row r="76" ht="116" customHeight="1">
      <c r="A76" s="10" t="inlineStr">
        <is>
          <t>UK</t>
        </is>
      </c>
      <c r="B76" s="11" t="inlineStr">
        <is>
          <t>Royal Holloway</t>
        </is>
      </c>
      <c r="C76" s="10" t="inlineStr">
        <is>
          <t>University-wide</t>
        </is>
      </c>
      <c r="D76" s="10" t="inlineStr">
        <is>
          <t>Co-curricular award</t>
        </is>
      </c>
      <c r="E76" s="10" t="inlineStr">
        <is>
          <t>Royal Holloway Volunteer Awards</t>
        </is>
      </c>
      <c r="F76" s="10" t="inlineStr">
        <is>
          <t>Volunteering / central student experience</t>
        </is>
      </c>
      <c r="G76" s="10" t="inlineStr">
        <is>
          <t>Co-curricular</t>
        </is>
      </c>
      <c r="H76" s="10" t="inlineStr">
        <is>
          <t>Students undertaking community volunteering</t>
        </is>
      </c>
      <c r="I76" s="10" t="inlineStr">
        <is>
          <t>Community placements with more than 100 partners; 2026 awards recognise 30, 50 and 100 hours of volunteering.</t>
        </is>
      </c>
      <c r="J76" s="10" t="inlineStr">
        <is>
          <t>Central volunteering recognition rather than a faculty curriculum.</t>
        </is>
      </c>
      <c r="K76" s="10" t="inlineStr">
        <is>
          <t>2025/26 awards confirmed</t>
        </is>
      </c>
      <c r="L76" s="10" t="inlineStr">
        <is>
          <t>Additional UK sample</t>
        </is>
      </c>
      <c r="M76" s="10" t="inlineStr">
        <is>
          <t>https://intranet.royalholloway.ac.uk/students/campus-life/volunteering/the-royal-holloway-volunteer-awards-2026.aspx
https://www.royalholloway.ac.uk/student-life/being-a-student/volunteering-at-royal-holloway/</t>
        </is>
      </c>
      <c r="N76" s="10" t="inlineStr">
        <is>
          <t>Direct eligibility</t>
        </is>
      </c>
      <c r="O76" s="10" t="inlineStr">
        <is>
          <t>Dated earlier / mixed</t>
        </is>
      </c>
      <c r="P76" s="81" t="n">
        <v>46303</v>
      </c>
      <c r="Q76" s="77" t="inlineStr">
        <is>
          <t>Excluded as UK22-X01: Volunteering/service-learning</t>
        </is>
      </c>
    </row>
    <row r="77" ht="116" customHeight="1">
      <c r="A77" s="10" t="inlineStr">
        <is>
          <t>UK</t>
        </is>
      </c>
      <c r="B77" s="11" t="inlineStr">
        <is>
          <t>City St George’s</t>
        </is>
      </c>
      <c r="C77" s="10" t="inlineStr">
        <is>
          <t>Not confirmed</t>
        </is>
      </c>
      <c r="D77" s="10" t="inlineStr">
        <is>
          <t>Enterprise programme</t>
        </is>
      </c>
      <c r="E77" s="10" t="inlineStr">
        <is>
          <t>CitySpark</t>
        </is>
      </c>
      <c r="F77" s="10" t="inlineStr">
        <is>
          <t>CityVentures</t>
        </is>
      </c>
      <c r="G77" s="10" t="inlineStr">
        <is>
          <t>Co-curricular</t>
        </is>
      </c>
      <c r="H77" s="10" t="inlineStr">
        <is>
          <t>All legacy City students and recent alumni; merger-wide eligibility unverified</t>
        </is>
      </c>
      <c r="I77" s="10" t="inlineStr">
        <is>
          <t>Business-idea competition with customer discovery, enterprise workshops, mentoring and pitching. £3,000 funding offered in the 2024 competition.</t>
        </is>
      </c>
      <c r="J77" s="10" t="inlineStr">
        <is>
          <t>Explicit all-City eligibility; do not extend this to every legacy St George’s course after merger.</t>
        </is>
      </c>
      <c r="K77" s="10" t="inlineStr">
        <is>
          <t>2024 evidence; current/merged intake unverified</t>
        </is>
      </c>
      <c r="L77" s="10" t="inlineStr">
        <is>
          <t>Additional UK sample</t>
        </is>
      </c>
      <c r="M77" s="10" t="inlineStr">
        <is>
          <t>https://studenthub.citystgeorges.ac.uk/news-and-events/news/2024/february/cityspark-2024</t>
        </is>
      </c>
      <c r="N77" s="10" t="inlineStr">
        <is>
          <t>Unconfirmed reach</t>
        </is>
      </c>
      <c r="O77" s="10" t="inlineStr">
        <is>
          <t>Dated earlier / mixed</t>
        </is>
      </c>
      <c r="P77" s="81" t="n">
        <v>46303</v>
      </c>
      <c r="Q77" s="77" t="inlineStr">
        <is>
          <t>Excluded as UK23-X01: Entrepreneurship/incubator</t>
        </is>
      </c>
    </row>
    <row r="78" ht="116" customHeight="1">
      <c r="A78" s="10" t="inlineStr">
        <is>
          <t>UK</t>
        </is>
      </c>
      <c r="B78" s="11" t="inlineStr">
        <is>
          <t>Oxford Brookes</t>
        </is>
      </c>
      <c r="C78" s="10" t="inlineStr">
        <is>
          <t>University-wide</t>
        </is>
      </c>
      <c r="D78" s="10" t="inlineStr">
        <is>
          <t>Enterprise programme</t>
        </is>
      </c>
      <c r="E78" s="10" t="inlineStr">
        <is>
          <t>Spark</t>
        </is>
      </c>
      <c r="F78" s="10" t="inlineStr">
        <is>
          <t>Brookes Enterprise</t>
        </is>
      </c>
      <c r="G78" s="10" t="inlineStr">
        <is>
          <t>Co-curricular</t>
        </is>
      </c>
      <c r="H78" s="10" t="inlineStr">
        <is>
          <t>Students from any discipline; staff and eligible alumni</t>
        </is>
      </c>
      <c r="I78" s="10" t="inlineStr">
        <is>
          <t>Six-week startup-development programme, business-model refinement, mentor meeting and pitch deck; participants can compete for £500 funding.</t>
        </is>
      </c>
      <c r="J78" s="10" t="inlineStr">
        <is>
          <t>Explicit any-discipline eligibility.</t>
        </is>
      </c>
      <c r="K78" s="10" t="inlineStr">
        <is>
          <t>Autumn 2026 applications confirmed</t>
        </is>
      </c>
      <c r="L78" s="10" t="inlineStr">
        <is>
          <t>Additional UK sample</t>
        </is>
      </c>
      <c r="M78" s="10" t="inlineStr">
        <is>
          <t>https://www.brookes.ac.uk/enterprise/start-up-support/spark</t>
        </is>
      </c>
      <c r="N78" s="10" t="inlineStr">
        <is>
          <t>Direct eligibility</t>
        </is>
      </c>
      <c r="O78" s="10" t="inlineStr">
        <is>
          <t>Dated 2026/27</t>
        </is>
      </c>
      <c r="P78" s="81" t="n">
        <v>46303</v>
      </c>
      <c r="Q78" s="77" t="inlineStr">
        <is>
          <t>Excluded as UK24-X01: Entrepreneurship/incubator</t>
        </is>
      </c>
    </row>
    <row r="79" ht="116" customHeight="1">
      <c r="A79" s="10" t="inlineStr">
        <is>
          <t>UK</t>
        </is>
      </c>
      <c r="B79" s="11" t="inlineStr">
        <is>
          <t>Oxford Brookes</t>
        </is>
      </c>
      <c r="C79" s="10" t="inlineStr">
        <is>
          <t>Faculty/school</t>
        </is>
      </c>
      <c r="D79" s="10" t="inlineStr">
        <is>
          <t>Live/research project</t>
        </is>
      </c>
      <c r="E79" s="10" t="inlineStr">
        <is>
          <t>Business Challenge Week</t>
        </is>
      </c>
      <c r="F79" s="10" t="inlineStr">
        <is>
          <t>Oxford Brookes Business School</t>
        </is>
      </c>
      <c r="G79" s="10" t="inlineStr">
        <is>
          <t>Not confirmed</t>
        </is>
      </c>
      <c r="H79" s="10" t="inlineStr">
        <is>
          <t>Postgraduate Business School students</t>
        </is>
      </c>
      <c r="I79" s="10" t="inlineStr">
        <is>
          <t>Intensive week tackling real problems from local, national and international organisations; part of the School’s real-world learning provision.</t>
        </is>
      </c>
      <c r="J79" s="10" t="inlineStr">
        <is>
          <t>Page explicitly identifies Business School postgraduate participants; credit/compulsion unverified.</t>
        </is>
      </c>
      <c r="K79" s="10" t="inlineStr">
        <is>
          <t>Official page; intake unverified</t>
        </is>
      </c>
      <c r="L79" s="10" t="inlineStr">
        <is>
          <t>Additional UK sample</t>
        </is>
      </c>
      <c r="M79" s="10" t="inlineStr">
        <is>
          <t>https://www.brookes.ac.uk/about-brookes/structure-and-governance/faculties-and-schools/business/real-world-learning</t>
        </is>
      </c>
      <c r="N79" s="10" t="inlineStr">
        <is>
          <t>Direct eligibility</t>
        </is>
      </c>
      <c r="O79" s="10" t="inlineStr">
        <is>
          <t>Undated page</t>
        </is>
      </c>
      <c r="P79" s="81" t="n">
        <v>46303</v>
      </c>
      <c r="Q79" s="77" t="inlineStr">
        <is>
          <t>Reassessed as UK24-S01 (Meets all three)</t>
        </is>
      </c>
    </row>
    <row r="80" ht="116" customHeight="1">
      <c r="A80" s="10" t="inlineStr">
        <is>
          <t>UK</t>
        </is>
      </c>
      <c r="B80" s="11" t="inlineStr">
        <is>
          <t>Northumbria</t>
        </is>
      </c>
      <c r="C80" s="10" t="inlineStr">
        <is>
          <t>Faculty/school</t>
        </is>
      </c>
      <c r="D80" s="10" t="inlineStr">
        <is>
          <t>Live/research project</t>
        </is>
      </c>
      <c r="E80" s="10" t="inlineStr">
        <is>
          <t>Business Clinic</t>
        </is>
      </c>
      <c r="F80" s="10" t="inlineStr">
        <is>
          <t>Newcastle Business School</t>
        </is>
      </c>
      <c r="G80" s="10" t="inlineStr">
        <is>
          <t>Mixed/varies</t>
        </is>
      </c>
      <c r="H80" s="10" t="inlineStr">
        <is>
          <t>Business School undergraduate and postgraduate students</t>
        </is>
      </c>
      <c r="I80" s="10" t="inlineStr">
        <is>
          <t>Student consultancy teams advise organisations on live problems. Clients include SMEs, charities and larger businesses; module/degree requirements vary.</t>
        </is>
      </c>
      <c r="J80" s="10" t="inlineStr">
        <is>
          <t>Official evidence specifies Business School students, not a university-wide core.</t>
        </is>
      </c>
      <c r="K80" s="10" t="inlineStr">
        <is>
          <t>2024 award evidence / official course page</t>
        </is>
      </c>
      <c r="L80" s="10" t="inlineStr">
        <is>
          <t>Additional UK sample</t>
        </is>
      </c>
      <c r="M80" s="10" t="inlineStr">
        <is>
          <t>https://www.northumbria.ac.uk/about-us/news-events/news/prestigious-award-for-business-clinic/
https://www.northumbria.ac.uk/about-us/news-events/news/business-clinic-hits-key-milestones/</t>
        </is>
      </c>
      <c r="N80" s="10" t="inlineStr">
        <is>
          <t>Direct eligibility</t>
        </is>
      </c>
      <c r="O80" s="10" t="inlineStr">
        <is>
          <t>Dated earlier / mixed</t>
        </is>
      </c>
      <c r="P80" s="81" t="n">
        <v>46303</v>
      </c>
      <c r="Q80" s="77" t="inlineStr">
        <is>
          <t>Reassessed as UK25-S01 (Meets all three)</t>
        </is>
      </c>
    </row>
    <row r="81" ht="116" customHeight="1">
      <c r="A81" s="10" t="inlineStr">
        <is>
          <t>UK</t>
        </is>
      </c>
      <c r="B81" s="11" t="inlineStr">
        <is>
          <t>Northumbria</t>
        </is>
      </c>
      <c r="C81" s="10" t="inlineStr">
        <is>
          <t>University-wide</t>
        </is>
      </c>
      <c r="D81" s="10" t="inlineStr">
        <is>
          <t>Enterprise programme</t>
        </is>
      </c>
      <c r="E81" s="10" t="inlineStr">
        <is>
          <t>Student and Graduate Enterprise / Innovation Northumbria Incubator</t>
        </is>
      </c>
      <c r="F81" s="10" t="inlineStr">
        <is>
          <t>Central enterprise team</t>
        </is>
      </c>
      <c r="G81" s="10" t="inlineStr">
        <is>
          <t>Co-curricular</t>
        </is>
      </c>
      <c r="H81" s="10" t="inlineStr">
        <is>
          <t>Current students and graduates up to five years after graduation</t>
        </is>
      </c>
      <c r="I81" s="10" t="inlineStr">
        <is>
          <t>Workshops, interactive events, specialist advisers and incubator workspace support testing and developing business ideas.</t>
        </is>
      </c>
      <c r="J81" s="10" t="inlineStr">
        <is>
          <t>Central service explicitly available to current students and eligible graduates; no school restriction stated.</t>
        </is>
      </c>
      <c r="K81" s="10" t="inlineStr">
        <is>
          <t>Official page; intake unverified</t>
        </is>
      </c>
      <c r="L81" s="10" t="inlineStr">
        <is>
          <t>Additional UK sample</t>
        </is>
      </c>
      <c r="M81" s="10" t="inlineStr">
        <is>
          <t>https://www.northumbria.ac.uk/study-at-northumbria/student-graduate-enterprise/</t>
        </is>
      </c>
      <c r="N81" s="10" t="inlineStr">
        <is>
          <t>Direct eligibility</t>
        </is>
      </c>
      <c r="O81" s="10" t="inlineStr">
        <is>
          <t>Undated page</t>
        </is>
      </c>
      <c r="P81" s="81" t="n">
        <v>46303</v>
      </c>
      <c r="Q81" s="77" t="inlineStr">
        <is>
          <t>Excluded as UK25-X01: Entrepreneurship/incubator</t>
        </is>
      </c>
    </row>
    <row r="82" ht="116" customHeight="1">
      <c r="A82" s="10" t="inlineStr">
        <is>
          <t>UK</t>
        </is>
      </c>
      <c r="B82" s="11" t="inlineStr">
        <is>
          <t>Portsmouth</t>
        </is>
      </c>
      <c r="C82" s="10" t="inlineStr">
        <is>
          <t>Faculty/school</t>
        </is>
      </c>
      <c r="D82" s="10" t="inlineStr">
        <is>
          <t>Live/research project</t>
        </is>
      </c>
      <c r="E82" s="10" t="inlineStr">
        <is>
          <t>Business Consultancy Projects</t>
        </is>
      </c>
      <c r="F82" s="10" t="inlineStr">
        <is>
          <t>Business and Law / business consultancy</t>
        </is>
      </c>
      <c r="G82" s="10" t="inlineStr">
        <is>
          <t>Mixed/varies</t>
        </is>
      </c>
      <c r="H82" s="10" t="inlineStr">
        <is>
          <t>Final-year business undergraduates; separate MBA route</t>
        </is>
      </c>
      <c r="I82" s="10" t="inlineStr">
        <is>
          <t>Teams work for approximately ten weeks on an organisational challenge, supported by academic advisers and weekly consultancy seminars, then present recommendations.</t>
        </is>
      </c>
      <c r="J82" s="10" t="inlineStr">
        <is>
          <t>Business-specific student teams; MBA route is separately programme-specific.</t>
        </is>
      </c>
      <c r="K82" s="10" t="inlineStr">
        <is>
          <t>Official page; intake unverified</t>
        </is>
      </c>
      <c r="L82" s="10" t="inlineStr">
        <is>
          <t>Additional UK sample</t>
        </is>
      </c>
      <c r="M82" s="10" t="inlineStr">
        <is>
          <t>https://www.port.ac.uk/business-consultancy-projects-bcp</t>
        </is>
      </c>
      <c r="N82" s="10" t="inlineStr">
        <is>
          <t>Direct eligibility</t>
        </is>
      </c>
      <c r="O82" s="10" t="inlineStr">
        <is>
          <t>Undated page</t>
        </is>
      </c>
      <c r="P82" s="81" t="n">
        <v>46303</v>
      </c>
      <c r="Q82" s="77" t="inlineStr">
        <is>
          <t>Reassessed as UK26-S01 (Meets all three)</t>
        </is>
      </c>
    </row>
    <row r="83" ht="116" customHeight="1">
      <c r="A83" s="10" t="inlineStr">
        <is>
          <t>UK</t>
        </is>
      </c>
      <c r="B83" s="11" t="inlineStr">
        <is>
          <t>Portsmouth</t>
        </is>
      </c>
      <c r="C83" s="10" t="inlineStr">
        <is>
          <t>University-wide</t>
        </is>
      </c>
      <c r="D83" s="10" t="inlineStr">
        <is>
          <t>Enterprise programme</t>
        </is>
      </c>
      <c r="E83" s="10" t="inlineStr">
        <is>
          <t>Student Startup / Entrepreneurial Collective</t>
        </is>
      </c>
      <c r="F83" s="10" t="inlineStr">
        <is>
          <t>Careers and Employability</t>
        </is>
      </c>
      <c r="G83" s="10" t="inlineStr">
        <is>
          <t>Co-curricular</t>
        </is>
      </c>
      <c r="H83" s="10" t="inlineStr">
        <is>
          <t>All Portsmouth students and graduates</t>
        </is>
      </c>
      <c r="I83" s="10" t="inlineStr">
        <is>
          <t>Enterprise programmes, mentoring, founder community and support for testing business ideas, freelancing and startups.</t>
        </is>
      </c>
      <c r="J83" s="10" t="inlineStr">
        <is>
          <t>Official student page explicitly describes a community for all students and graduates.</t>
        </is>
      </c>
      <c r="K83" s="10" t="inlineStr">
        <is>
          <t>Official page; intake unverified</t>
        </is>
      </c>
      <c r="L83" s="10" t="inlineStr">
        <is>
          <t>Additional UK sample</t>
        </is>
      </c>
      <c r="M83" s="10" t="inlineStr">
        <is>
          <t>https://myport.port.ac.uk/my-course/careers-support/student-startup-support</t>
        </is>
      </c>
      <c r="N83" s="10" t="inlineStr">
        <is>
          <t>Direct eligibility</t>
        </is>
      </c>
      <c r="O83" s="10" t="inlineStr">
        <is>
          <t>Undated page</t>
        </is>
      </c>
      <c r="P83" s="81" t="n">
        <v>46303</v>
      </c>
      <c r="Q83" s="77" t="inlineStr">
        <is>
          <t>Excluded as UK26-X01: Entrepreneurship/incubator</t>
        </is>
      </c>
    </row>
    <row r="84" ht="116" customHeight="1">
      <c r="A84" s="10" t="inlineStr">
        <is>
          <t>UK</t>
        </is>
      </c>
      <c r="B84" s="11" t="inlineStr">
        <is>
          <t>Coventry</t>
        </is>
      </c>
      <c r="C84" s="10" t="inlineStr">
        <is>
          <t>University-wide</t>
        </is>
      </c>
      <c r="D84" s="10" t="inlineStr">
        <is>
          <t>Placement/WIL</t>
        </is>
      </c>
      <c r="E84" s="10" t="inlineStr">
        <is>
          <t>Global Opportunities: work and short international experiences</t>
        </is>
      </c>
      <c r="F84" s="10" t="inlineStr">
        <is>
          <t>Central Global Opportunities</t>
        </is>
      </c>
      <c r="G84" s="10" t="inlineStr">
        <is>
          <t>Co-curricular</t>
        </is>
      </c>
      <c r="H84" s="10" t="inlineStr">
        <is>
          <t>All registered students and recent graduates; full/part time, any year</t>
        </is>
      </c>
      <c r="I84" s="10" t="inlineStr">
        <is>
          <t>Work, study and short overseas experiences provide applied international learning. Programme selection and funding eligibility vary.</t>
        </is>
      </c>
      <c r="J84" s="10" t="inlineStr">
        <is>
          <t>Official page explicitly states all registered students, with no year restriction.</t>
        </is>
      </c>
      <c r="K84" s="10" t="inlineStr">
        <is>
          <t>Official page; intake unverified</t>
        </is>
      </c>
      <c r="L84" s="10" t="inlineStr">
        <is>
          <t>Additional UK sample</t>
        </is>
      </c>
      <c r="M84" s="10" t="inlineStr">
        <is>
          <t>https://www.coventry.ac.uk/study-at-coventry/student-support/enhance-your-employability/global-opportunities/go-abroad/</t>
        </is>
      </c>
      <c r="N84" s="10" t="inlineStr">
        <is>
          <t>Direct eligibility</t>
        </is>
      </c>
      <c r="O84" s="10" t="inlineStr">
        <is>
          <t>Undated page</t>
        </is>
      </c>
      <c r="P84" s="81" t="n">
        <v>46303</v>
      </c>
      <c r="Q84" s="77" t="inlineStr">
        <is>
          <t>Excluded as UK27-X02: Placement/internship</t>
        </is>
      </c>
    </row>
    <row r="85" ht="116" customHeight="1">
      <c r="A85" s="10" t="inlineStr">
        <is>
          <t>UK</t>
        </is>
      </c>
      <c r="B85" s="11" t="inlineStr">
        <is>
          <t>Coventry</t>
        </is>
      </c>
      <c r="C85" s="10" t="inlineStr">
        <is>
          <t>Not confirmed</t>
        </is>
      </c>
      <c r="D85" s="10" t="inlineStr">
        <is>
          <t>Co-curricular award</t>
        </is>
      </c>
      <c r="E85" s="10" t="inlineStr">
        <is>
          <t>Global Leaders Programme</t>
        </is>
      </c>
      <c r="F85" s="10" t="inlineStr">
        <is>
          <t>Global leadership / student development</t>
        </is>
      </c>
      <c r="G85" s="10" t="inlineStr">
        <is>
          <t>Co-curricular</t>
        </is>
      </c>
      <c r="H85" s="10" t="inlineStr">
        <is>
          <t>Coventry students; detailed current eligibility unverified</t>
        </is>
      </c>
      <c r="I85" s="10" t="inlineStr">
        <is>
          <t>Extracurricular global-leadership and international-experience programme evidenced by an official student account. Historical example retained separately from current Global Opportunities.</t>
        </is>
      </c>
      <c r="J85" s="10" t="inlineStr">
        <is>
          <t>Central programme reach inferred; no current institution-wide eligibility statement located. Academic reach remains Not confirmed until eligibility or institution-wide framework reach is established.</t>
        </is>
      </c>
      <c r="K85" s="10" t="inlineStr">
        <is>
          <t>2021 evidence; current intake unverified</t>
        </is>
      </c>
      <c r="L85" s="10" t="inlineStr">
        <is>
          <t>Additional UK sample</t>
        </is>
      </c>
      <c r="M85" s="10" t="inlineStr">
        <is>
          <t>https://www.coventry.ac.uk/blog/five-ways-i-got-more-than-a-degree-from-coventry-university/</t>
        </is>
      </c>
      <c r="N85" s="10" t="inlineStr">
        <is>
          <t>Unconfirmed reach</t>
        </is>
      </c>
      <c r="O85" s="10" t="inlineStr">
        <is>
          <t>Dated earlier / mixed</t>
        </is>
      </c>
      <c r="P85" s="81" t="n">
        <v>46303</v>
      </c>
      <c r="Q85" s="77" t="inlineStr">
        <is>
          <t>Excluded as UK27-X03: Employability award</t>
        </is>
      </c>
    </row>
    <row r="86" ht="116" customHeight="1">
      <c r="A86" s="10" t="inlineStr">
        <is>
          <t>UK</t>
        </is>
      </c>
      <c r="B86" s="11" t="inlineStr">
        <is>
          <t>Nottingham Trent</t>
        </is>
      </c>
      <c r="C86" s="10" t="inlineStr">
        <is>
          <t>University-wide</t>
        </is>
      </c>
      <c r="D86" s="10" t="inlineStr">
        <is>
          <t>Live/research project</t>
        </is>
      </c>
      <c r="E86" s="10" t="inlineStr">
        <is>
          <t>Grads4Nottm</t>
        </is>
      </c>
      <c r="F86" s="10" t="inlineStr">
        <is>
          <t>Employability / employer engagement</t>
        </is>
      </c>
      <c r="G86" s="10" t="inlineStr">
        <is>
          <t>Co-curricular</t>
        </is>
      </c>
      <c r="H86" s="10" t="inlineStr">
        <is>
          <t>NTU students and graduates across disciplines</t>
        </is>
      </c>
      <c r="I86" s="10" t="inlineStr">
        <is>
          <t>Two-week work-experience challenge matches multidisciplinary student talent to local employer briefs. 2024 evidence marks ten years of delivery.</t>
        </is>
      </c>
      <c r="J86" s="10" t="inlineStr">
        <is>
          <t>Psychology and Graphic Design examples establish cross-school participation; central NTU-only programme.</t>
        </is>
      </c>
      <c r="K86" s="10" t="inlineStr">
        <is>
          <t>2024 evidence; current intake unverified</t>
        </is>
      </c>
      <c r="L86" s="10" t="inlineStr">
        <is>
          <t>Additional UK sample</t>
        </is>
      </c>
      <c r="M86" s="10" t="inlineStr">
        <is>
          <t>https://www.ntu.ac.uk/about-us/news/news-articles/2024/01/grads4nottm-is-back%2C-celebrating-10-years-of-student-and-graduate-talent-supporting-businesses-in-the-city</t>
        </is>
      </c>
      <c r="N86" s="10" t="inlineStr">
        <is>
          <t>Direct eligibility</t>
        </is>
      </c>
      <c r="O86" s="10" t="inlineStr">
        <is>
          <t>Dated earlier / mixed</t>
        </is>
      </c>
      <c r="P86" s="81" t="n">
        <v>46303</v>
      </c>
      <c r="Q86" s="77" t="inlineStr">
        <is>
          <t>Reassessed as UK28-S01 (Meets all three)</t>
        </is>
      </c>
    </row>
    <row r="87" ht="116" customHeight="1">
      <c r="A87" s="10" t="inlineStr">
        <is>
          <t>UK</t>
        </is>
      </c>
      <c r="B87" s="11" t="inlineStr">
        <is>
          <t>Manchester Metropolitan</t>
        </is>
      </c>
      <c r="C87" s="10" t="inlineStr">
        <is>
          <t>University-wide</t>
        </is>
      </c>
      <c r="D87" s="10" t="inlineStr">
        <is>
          <t>Co-curricular award</t>
        </is>
      </c>
      <c r="E87" s="10" t="inlineStr">
        <is>
          <t>Rise</t>
        </is>
      </c>
      <c r="F87" s="10" t="inlineStr">
        <is>
          <t>Central co-curricular programme</t>
        </is>
      </c>
      <c r="G87" s="10" t="inlineStr">
        <is>
          <t>Mixed/varies</t>
        </is>
      </c>
      <c r="H87" s="10" t="inlineStr">
        <is>
          <t>Every Manchester Met student</t>
        </is>
      </c>
      <c r="I87" s="10" t="inlineStr">
        <is>
          <t>Students build a portfolio through bespoke experiences beyond the degree. Recognition uses Rise points; optional assessment can yield additional co-curricular practice credit.</t>
        </is>
      </c>
      <c r="J87" s="10" t="inlineStr">
        <is>
          <t>Official university page states opportunity for every student.</t>
        </is>
      </c>
      <c r="K87" s="10" t="inlineStr">
        <is>
          <t>Official page; intake unverified</t>
        </is>
      </c>
      <c r="L87" s="10" t="inlineStr">
        <is>
          <t>Additional UK sample</t>
        </is>
      </c>
      <c r="M87" s="10" t="inlineStr">
        <is>
          <t>https://rise.mmu.ac.uk/
https://www.mmu.ac.uk/study/why-manchester-met/study-experience</t>
        </is>
      </c>
      <c r="N87" s="10" t="inlineStr">
        <is>
          <t>Direct eligibility</t>
        </is>
      </c>
      <c r="O87" s="10" t="inlineStr">
        <is>
          <t>Undated page</t>
        </is>
      </c>
      <c r="P87" s="81" t="n">
        <v>46303</v>
      </c>
      <c r="Q87" s="77" t="inlineStr">
        <is>
          <t>Reassessed as UK29-S02 (Potentially relevant; evidence incomplete)</t>
        </is>
      </c>
    </row>
    <row r="88" ht="116" customHeight="1">
      <c r="A88" s="10" t="inlineStr">
        <is>
          <t>UK</t>
        </is>
      </c>
      <c r="B88" s="11" t="inlineStr">
        <is>
          <t>Plymouth</t>
        </is>
      </c>
      <c r="C88" s="10" t="inlineStr">
        <is>
          <t>Faculty/school</t>
        </is>
      </c>
      <c r="D88" s="10" t="inlineStr">
        <is>
          <t>Live/research project</t>
        </is>
      </c>
      <c r="E88" s="10" t="inlineStr">
        <is>
          <t>Inspiring Futures</t>
        </is>
      </c>
      <c r="F88" s="10" t="inlineStr">
        <is>
          <t>Faculty of Arts, Humanities and Business</t>
        </is>
      </c>
      <c r="G88" s="10" t="inlineStr">
        <is>
          <t>Mixed/varies</t>
        </is>
      </c>
      <c r="H88" s="10" t="inlineStr">
        <is>
          <t>Faculty students on participating programmes</t>
        </is>
      </c>
      <c r="I88" s="10" t="inlineStr">
        <is>
          <t>Curricular knowledge exchange and consultancy with businesses and charities apply subject knowledge to real organisational challenges.</t>
        </is>
      </c>
      <c r="J88" s="10" t="inlineStr">
        <is>
          <t>Official scheme explicitly names one faculty; not evidence of a compulsory university-wide programme.</t>
        </is>
      </c>
      <c r="K88" s="10" t="inlineStr">
        <is>
          <t>Official page; intake unverified</t>
        </is>
      </c>
      <c r="L88" s="10" t="inlineStr">
        <is>
          <t>Additional UK sample</t>
        </is>
      </c>
      <c r="M88" s="10" t="inlineStr">
        <is>
          <t>https://www.plymouth.ac.uk/schools/plymouth-business-school/inspiring-futures</t>
        </is>
      </c>
      <c r="N88" s="10" t="inlineStr">
        <is>
          <t>Direct eligibility</t>
        </is>
      </c>
      <c r="O88" s="10" t="inlineStr">
        <is>
          <t>Undated page</t>
        </is>
      </c>
      <c r="P88" s="81" t="n">
        <v>46303</v>
      </c>
      <c r="Q88" s="77" t="inlineStr">
        <is>
          <t>Reassessed as UK30-S06 (Potentially relevant; evidence incomplete)</t>
        </is>
      </c>
    </row>
    <row r="89" ht="116" customHeight="1">
      <c r="A89" s="10" t="inlineStr">
        <is>
          <t>UK</t>
        </is>
      </c>
      <c r="B89" s="11" t="inlineStr">
        <is>
          <t>Plymouth</t>
        </is>
      </c>
      <c r="C89" s="10" t="inlineStr">
        <is>
          <t>Not confirmed</t>
        </is>
      </c>
      <c r="D89" s="10" t="inlineStr">
        <is>
          <t>Enterprise programme</t>
        </is>
      </c>
      <c r="E89" s="10" t="inlineStr">
        <is>
          <t>The Cube: student enterprise support</t>
        </is>
      </c>
      <c r="F89" s="10" t="inlineStr">
        <is>
          <t>Student Enterprise / Research and Innovation</t>
        </is>
      </c>
      <c r="G89" s="10" t="inlineStr">
        <is>
          <t>Co-curricular</t>
        </is>
      </c>
      <c r="H89" s="10" t="inlineStr">
        <is>
          <t>Students and graduates; detailed programme eligibility varies</t>
        </is>
      </c>
      <c r="I89" s="10" t="inlineStr">
        <is>
          <t>Advice, funding and founder support help develop ideas, business models and ventures. Staff service Cube² is separate.</t>
        </is>
      </c>
      <c r="J89" s="10" t="inlineStr">
        <is>
          <t>Central student-enterprise service; university reach inferred, individual programme admissions not verified. Academic reach remains Not confirmed until eligibility or institution-wide framework reach is established.</t>
        </is>
      </c>
      <c r="K89" s="10" t="inlineStr">
        <is>
          <t>Official page; intake unverified</t>
        </is>
      </c>
      <c r="L89" s="10" t="inlineStr">
        <is>
          <t>Additional UK sample</t>
        </is>
      </c>
      <c r="M89" s="10" t="inlineStr">
        <is>
          <t>https://www.plymouth.ac.uk/about-us/university-structure/service-areas/research-and-innovation/the-cube</t>
        </is>
      </c>
      <c r="N89" s="10" t="inlineStr">
        <is>
          <t>Unconfirmed reach</t>
        </is>
      </c>
      <c r="O89" s="10" t="inlineStr">
        <is>
          <t>Undated page</t>
        </is>
      </c>
      <c r="P89" s="81" t="n">
        <v>46303</v>
      </c>
      <c r="Q89" s="77" t="inlineStr">
        <is>
          <t>Excluded as UK30-X01: Entrepreneurship/incubator</t>
        </is>
      </c>
    </row>
    <row r="90" ht="116" customHeight="1">
      <c r="A90" s="10" t="inlineStr">
        <is>
          <t>US</t>
        </is>
      </c>
      <c r="B90" s="11" t="inlineStr">
        <is>
          <t>Massachusetts Institute of Technology</t>
        </is>
      </c>
      <c r="C90" s="10" t="inlineStr">
        <is>
          <t>University-wide</t>
        </is>
      </c>
      <c r="D90" s="10" t="inlineStr">
        <is>
          <t>Live/research project</t>
        </is>
      </c>
      <c r="E90" s="10" t="inlineStr">
        <is>
          <t>Undergraduate Research Opportunities Program (UROP)</t>
        </is>
      </c>
      <c r="F90" s="10" t="inlineStr">
        <is>
          <t>Division of Graduate and Undergraduate Education</t>
        </is>
      </c>
      <c r="G90" s="10" t="inlineStr">
        <is>
          <t>Mixed/varies</t>
        </is>
      </c>
      <c r="H90" s="10" t="inlineStr">
        <is>
          <t>MIT undergraduates; project and funding selection applies</t>
        </is>
      </c>
      <c r="I90" s="10" t="inlineStr">
        <is>
          <t>Faculty-supervised original research across the Institute; paid, academic-credit and volunteer routes.</t>
        </is>
      </c>
      <c r="J90" s="10" t="inlineStr">
        <is>
          <t>Institute-wide central research programme; department/project prerequisites apply.</t>
        </is>
      </c>
      <c r="K90" s="10" t="inlineStr">
        <is>
          <t>2026/27 deadlines confirmed</t>
        </is>
      </c>
      <c r="L90" s="10" t="inlineStr">
        <is>
          <t>US sample</t>
        </is>
      </c>
      <c r="M90" s="10" t="inlineStr">
        <is>
          <t>https://urop.mit.edu/
https://urop.mit.edu/students/</t>
        </is>
      </c>
      <c r="N90" s="10" t="inlineStr">
        <is>
          <t>Direct eligibility</t>
        </is>
      </c>
      <c r="O90" s="10" t="inlineStr">
        <is>
          <t>Dated 2026/27</t>
        </is>
      </c>
      <c r="P90" s="81" t="n">
        <v>46303</v>
      </c>
      <c r="Q90" s="77" t="inlineStr">
        <is>
          <t>Excluded as US01-X01: Dissertation/research</t>
        </is>
      </c>
    </row>
    <row r="91" ht="116" customHeight="1">
      <c r="A91" s="10" t="inlineStr">
        <is>
          <t>US</t>
        </is>
      </c>
      <c r="B91" s="11" t="inlineStr">
        <is>
          <t>Harvard</t>
        </is>
      </c>
      <c r="C91" s="10" t="inlineStr">
        <is>
          <t>University-wide</t>
        </is>
      </c>
      <c r="D91" s="10" t="inlineStr">
        <is>
          <t>Live/research project</t>
        </is>
      </c>
      <c r="E91" s="10" t="inlineStr">
        <is>
          <t>Mindich Program in Engaged Scholarship</t>
        </is>
      </c>
      <c r="F91" s="10" t="inlineStr">
        <is>
          <t>Harvard College / Faculty of Arts and Sciences</t>
        </is>
      </c>
      <c r="G91" s="10" t="inlineStr">
        <is>
          <t>Elective credit</t>
        </is>
      </c>
      <c r="H91" s="10" t="inlineStr">
        <is>
          <t>Harvard College undergraduates, across academic divisions</t>
        </is>
      </c>
      <c r="I91" s="10" t="inlineStr">
        <is>
          <t>Community-engaged academic courses connect disciplinary study to partner priorities. Around 60 courses annually across all College academic divisions.</t>
        </is>
      </c>
      <c r="J91" s="10" t="inlineStr">
        <is>
          <t>University-wide undergraduate reach across academic divisions; not all professional/graduate schools and not compulsory.</t>
        </is>
      </c>
      <c r="K91" s="10" t="inlineStr">
        <is>
          <t>2026/27 advisory recruitment confirmed</t>
        </is>
      </c>
      <c r="L91" s="10" t="inlineStr">
        <is>
          <t>US sample</t>
        </is>
      </c>
      <c r="M91" s="10" t="inlineStr">
        <is>
          <t>https://engagedscholarship.fas.harvard.edu/
https://engagedscholarship.fas.harvard.edu/about/</t>
        </is>
      </c>
      <c r="N91" s="10" t="inlineStr">
        <is>
          <t>Direct eligibility</t>
        </is>
      </c>
      <c r="O91" s="10" t="inlineStr">
        <is>
          <t>Dated 2026/27</t>
        </is>
      </c>
      <c r="P91" s="81" t="n">
        <v>46303</v>
      </c>
      <c r="Q91" s="77" t="inlineStr">
        <is>
          <t>Excluded as US02-X01: Evidence gap</t>
        </is>
      </c>
    </row>
    <row r="92" ht="116" customHeight="1">
      <c r="A92" s="10" t="inlineStr">
        <is>
          <t>US</t>
        </is>
      </c>
      <c r="B92" s="11" t="inlineStr">
        <is>
          <t>Stanford</t>
        </is>
      </c>
      <c r="C92" s="10" t="inlineStr">
        <is>
          <t>University-wide</t>
        </is>
      </c>
      <c r="D92" s="10" t="inlineStr">
        <is>
          <t>Live/research project</t>
        </is>
      </c>
      <c r="E92" s="10" t="inlineStr">
        <is>
          <t>Design for Extreme Affordability</t>
        </is>
      </c>
      <c r="F92" s="10" t="inlineStr">
        <is>
          <t>d.school; Engineering and Graduate School of Business</t>
        </is>
      </c>
      <c r="G92" s="10" t="inlineStr">
        <is>
          <t>Elective credit</t>
        </is>
      </c>
      <c r="H92" s="10" t="inlineStr">
        <is>
          <t>Graduate students across all Stanford schools; application required</t>
        </is>
      </c>
      <c r="I92" s="10" t="inlineStr">
        <is>
          <t>Two-quarter interdisciplinary course co-designs products/services with low-resource communities and social-impact partners.</t>
        </is>
      </c>
      <c r="J92" s="10" t="inlineStr">
        <is>
          <t>Explicit all-school graduate eligibility; hosts do not restrict academic reach.</t>
        </is>
      </c>
      <c r="K92" s="10" t="inlineStr">
        <is>
          <t>2026 application cycle confirmed</t>
        </is>
      </c>
      <c r="L92" s="10" t="inlineStr">
        <is>
          <t>US sample</t>
        </is>
      </c>
      <c r="M92" s="10" t="inlineStr">
        <is>
          <t>https://extreme.stanford.edu/event/extreme-2026-application-cycle-open/
https://dschool.stanford.edu/study/elective-courses/design-for-extreme-affordability-2</t>
        </is>
      </c>
      <c r="N92" s="10" t="inlineStr">
        <is>
          <t>Direct eligibility</t>
        </is>
      </c>
      <c r="O92" s="10" t="inlineStr">
        <is>
          <t>Dated 2026/27</t>
        </is>
      </c>
      <c r="P92" s="81" t="n">
        <v>46303</v>
      </c>
      <c r="Q92" s="77" t="inlineStr">
        <is>
          <t>Not yet reassessed (institution not reviewed)</t>
        </is>
      </c>
    </row>
    <row r="93" ht="116" customHeight="1">
      <c r="A93" s="10" t="inlineStr">
        <is>
          <t>US</t>
        </is>
      </c>
      <c r="B93" s="11" t="inlineStr">
        <is>
          <t>California Institute of Technology</t>
        </is>
      </c>
      <c r="C93" s="10" t="inlineStr">
        <is>
          <t>University-wide</t>
        </is>
      </c>
      <c r="D93" s="10" t="inlineStr">
        <is>
          <t>Live/research project</t>
        </is>
      </c>
      <c r="E93" s="10" t="inlineStr">
        <is>
          <t>Summer Undergraduate Research Fellowships (SURF)</t>
        </is>
      </c>
      <c r="F93" s="10" t="inlineStr">
        <is>
          <t>Student–Faculty Programs</t>
        </is>
      </c>
      <c r="G93" s="10" t="inlineStr">
        <is>
          <t>Co-curricular</t>
        </is>
      </c>
      <c r="H93" s="10" t="inlineStr">
        <is>
          <t>Continuing undergraduates; GPA and registration requirements; visiting students also eligible</t>
        </is>
      </c>
      <c r="I93" s="10" t="inlineStr">
        <is>
          <t>Mentored summer research; students develop a research proposal and undertake an original project. Selective funded fellowship, not a compulsory degree element.</t>
        </is>
      </c>
      <c r="J93" s="10" t="inlineStr">
        <is>
          <t>Central undergraduate programme with no faculty restriction in published eligibility.</t>
        </is>
      </c>
      <c r="K93" s="10" t="inlineStr">
        <is>
          <t>Official eligibility page; intake unverified</t>
        </is>
      </c>
      <c r="L93" s="10" t="inlineStr">
        <is>
          <t>US sample</t>
        </is>
      </c>
      <c r="M93" s="10" t="inlineStr">
        <is>
          <t>https://sfp.caltech.edu/undergraduate-research/programs/surf/eligibility_requirements
https://www.admissions.caltech.edu/why-caltech/research</t>
        </is>
      </c>
      <c r="N93" s="10" t="inlineStr">
        <is>
          <t>Direct eligibility</t>
        </is>
      </c>
      <c r="O93" s="10" t="inlineStr">
        <is>
          <t>Undated page</t>
        </is>
      </c>
      <c r="P93" s="81" t="n">
        <v>46303</v>
      </c>
      <c r="Q93" s="77" t="inlineStr">
        <is>
          <t>Not yet reassessed (institution not reviewed)</t>
        </is>
      </c>
    </row>
    <row r="94" ht="116" customHeight="1">
      <c r="A94" s="10" t="inlineStr">
        <is>
          <t>US</t>
        </is>
      </c>
      <c r="B94" s="11" t="inlineStr">
        <is>
          <t>California Berkeley</t>
        </is>
      </c>
      <c r="C94" s="10" t="inlineStr">
        <is>
          <t>University-wide</t>
        </is>
      </c>
      <c r="D94" s="10" t="inlineStr">
        <is>
          <t>Live/research project</t>
        </is>
      </c>
      <c r="E94" s="10" t="inlineStr">
        <is>
          <t>Berkeley Discovery</t>
        </is>
      </c>
      <c r="F94" s="10" t="inlineStr">
        <is>
          <t>Central undergraduate Discovery initiative</t>
        </is>
      </c>
      <c r="G94" s="10" t="inlineStr">
        <is>
          <t>Mixed/varies</t>
        </is>
      </c>
      <c r="H94" s="10" t="inlineStr">
        <is>
          <t>Undergraduates across campus; course/project conditions vary</t>
        </is>
      </c>
      <c r="I94" s="10" t="inlineStr">
        <is>
          <t>Institutional framework supports student-led research, industry projects, entrepreneurship and immersive experiences through hubs, courses and an opportunities platform.</t>
        </is>
      </c>
      <c r="J94" s="10" t="inlineStr">
        <is>
          <t>University priority scales access across campus; framework does not establish compulsory participation.</t>
        </is>
      </c>
      <c r="K94" s="10" t="inlineStr">
        <is>
          <t>September 2026 activity confirmed</t>
        </is>
      </c>
      <c r="L94" s="10" t="inlineStr">
        <is>
          <t>US sample</t>
        </is>
      </c>
      <c r="M94" s="10" t="inlineStr">
        <is>
          <t>https://discovery.berkeley.edu/
https://discovery.berkeley.edu/students/overview</t>
        </is>
      </c>
      <c r="N94" s="10" t="inlineStr">
        <is>
          <t>Institutional framework</t>
        </is>
      </c>
      <c r="O94" s="10" t="inlineStr">
        <is>
          <t>Dated 2026/27</t>
        </is>
      </c>
      <c r="P94" s="81" t="n">
        <v>46303</v>
      </c>
      <c r="Q94" s="77" t="inlineStr">
        <is>
          <t>Excluded as US05-X01: WIL framework</t>
        </is>
      </c>
    </row>
    <row r="95" ht="116" customHeight="1">
      <c r="A95" s="10" t="inlineStr">
        <is>
          <t>US</t>
        </is>
      </c>
      <c r="B95" s="11" t="inlineStr">
        <is>
          <t>Chicago</t>
        </is>
      </c>
      <c r="C95" s="10" t="inlineStr">
        <is>
          <t>University-wide</t>
        </is>
      </c>
      <c r="D95" s="10" t="inlineStr">
        <is>
          <t>Placement/WIL</t>
        </is>
      </c>
      <c r="E95" s="10" t="inlineStr">
        <is>
          <t>Jeff Metcalf Internship Program / Metcalf Sprints</t>
        </is>
      </c>
      <c r="F95" s="10" t="inlineStr">
        <is>
          <t>Career Advancement</t>
        </is>
      </c>
      <c r="G95" s="10" t="inlineStr">
        <is>
          <t>Co-curricular</t>
        </is>
      </c>
      <c r="H95" s="10" t="inlineStr">
        <is>
          <t>College undergraduates across majors</t>
        </is>
      </c>
      <c r="I95" s="10" t="inlineStr">
        <is>
          <t>Paid substantive internships across industries and countries. Project-based Sprints involve undergraduate teams producing deliverables for employer partners.</t>
        </is>
      </c>
      <c r="J95" s="10" t="inlineStr">
        <is>
          <t>Central undergraduate career scheme across majors; excludes a claim of graduate-wide eligibility.</t>
        </is>
      </c>
      <c r="K95" s="10" t="inlineStr">
        <is>
          <t>2026/27 internship label confirmed</t>
        </is>
      </c>
      <c r="L95" s="10" t="inlineStr">
        <is>
          <t>US sample</t>
        </is>
      </c>
      <c r="M95" s="10" t="inlineStr">
        <is>
          <t>https://careeradvancement.uchicago.edu/student-opportunities/internships/internship-programs/</t>
        </is>
      </c>
      <c r="N95" s="10" t="inlineStr">
        <is>
          <t>Direct eligibility</t>
        </is>
      </c>
      <c r="O95" s="10" t="inlineStr">
        <is>
          <t>Dated 2026/27</t>
        </is>
      </c>
      <c r="P95" s="81" t="n">
        <v>46303</v>
      </c>
      <c r="Q95" s="77" t="inlineStr">
        <is>
          <t>Not yet reassessed (institution not reviewed)</t>
        </is>
      </c>
    </row>
    <row r="96" ht="116" customHeight="1">
      <c r="A96" s="10" t="inlineStr">
        <is>
          <t>US</t>
        </is>
      </c>
      <c r="B96" s="11" t="inlineStr">
        <is>
          <t>Pennsylvania</t>
        </is>
      </c>
      <c r="C96" s="10" t="inlineStr">
        <is>
          <t>University-wide</t>
        </is>
      </c>
      <c r="D96" s="10" t="inlineStr">
        <is>
          <t>Live/research project</t>
        </is>
      </c>
      <c r="E96" s="10" t="inlineStr">
        <is>
          <t>Academically Based Community Service (ABCS)</t>
        </is>
      </c>
      <c r="F96" s="10" t="inlineStr">
        <is>
          <t>Netter Center for Community Partnerships</t>
        </is>
      </c>
      <c r="G96" s="10" t="inlineStr">
        <is>
          <t>Elective credit</t>
        </is>
      </c>
      <c r="H96" s="10" t="inlineStr">
        <is>
          <t>Students in eligible undergraduate and graduate courses</t>
        </is>
      </c>
      <c r="I96" s="10" t="inlineStr">
        <is>
          <t>For-credit research, teaching and problem solving with community partners; more than 80 courses offered annually across the curriculum.</t>
        </is>
      </c>
      <c r="J96" s="10" t="inlineStr">
        <is>
          <t>Central cross-university course network; individual courses have level/prerequisite restrictions.</t>
        </is>
      </c>
      <c r="K96" s="10" t="inlineStr">
        <is>
          <t>Spring 2026 catalogue confirmed</t>
        </is>
      </c>
      <c r="L96" s="10" t="inlineStr">
        <is>
          <t>US sample</t>
        </is>
      </c>
      <c r="M96" s="10" t="inlineStr">
        <is>
          <t>https://admissions.upenn.edu/student-life/exploring-community/community-engagement/netter-center
https://www.nettercenter.upenn.edu/what-we-do/abcs-courses/spring-2026-abcs-courses</t>
        </is>
      </c>
      <c r="N96" s="10" t="inlineStr">
        <is>
          <t>Institutional framework</t>
        </is>
      </c>
      <c r="O96" s="10" t="inlineStr">
        <is>
          <t>Dated 2026/27</t>
        </is>
      </c>
      <c r="P96" s="81" t="n">
        <v>46303</v>
      </c>
      <c r="Q96" s="77" t="inlineStr">
        <is>
          <t>Not yet reassessed (institution not reviewed)</t>
        </is>
      </c>
    </row>
    <row r="97" ht="116" customHeight="1">
      <c r="A97" s="10" t="inlineStr">
        <is>
          <t>US</t>
        </is>
      </c>
      <c r="B97" s="11" t="inlineStr">
        <is>
          <t>Cornell</t>
        </is>
      </c>
      <c r="C97" s="10" t="inlineStr">
        <is>
          <t>University-wide</t>
        </is>
      </c>
      <c r="D97" s="10" t="inlineStr">
        <is>
          <t>Live/research project</t>
        </is>
      </c>
      <c r="E97" s="10" t="inlineStr">
        <is>
          <t>Student Project Teams</t>
        </is>
      </c>
      <c r="F97" s="10" t="inlineStr">
        <is>
          <t>Cornell Engineering</t>
        </is>
      </c>
      <c r="G97" s="10" t="inlineStr">
        <is>
          <t>Elective credit</t>
        </is>
      </c>
      <c r="H97" s="10" t="inlineStr">
        <is>
          <t>Undergraduates across colleges; team selection applies</t>
        </is>
      </c>
      <c r="I97" s="10" t="inlineStr">
        <is>
          <t>Student-run design, technology and social-impact teams earn academic credit. Official page records nine colleges/schools and more than 30 majors represented.</t>
        </is>
      </c>
      <c r="J97" s="10" t="inlineStr">
        <is>
          <t>Explicit cross-college recruitment; Engineering hosts the programme but does not restrict participation to Engineering.</t>
        </is>
      </c>
      <c r="K97" s="10" t="inlineStr">
        <is>
          <t>Official academic framework; intake unverified</t>
        </is>
      </c>
      <c r="L97" s="10" t="inlineStr">
        <is>
          <t>US sample</t>
        </is>
      </c>
      <c r="M97" s="10" t="inlineStr">
        <is>
          <t>https://www.engineering.cornell.edu/students/undergraduate-students/special-programs/project-teams
https://www.engineering.cornell.edu/student-project-teams/student-project-teams-academic-framework/</t>
        </is>
      </c>
      <c r="N97" s="10" t="inlineStr">
        <is>
          <t>Direct eligibility</t>
        </is>
      </c>
      <c r="O97" s="10" t="inlineStr">
        <is>
          <t>Undated page</t>
        </is>
      </c>
      <c r="P97" s="81" t="n">
        <v>46303</v>
      </c>
      <c r="Q97" s="77" t="inlineStr">
        <is>
          <t>Not yet reassessed (institution not reviewed)</t>
        </is>
      </c>
    </row>
    <row r="98" ht="116" customHeight="1">
      <c r="A98" s="10" t="inlineStr">
        <is>
          <t>US</t>
        </is>
      </c>
      <c r="B98" s="11" t="inlineStr">
        <is>
          <t>Yale</t>
        </is>
      </c>
      <c r="C98" s="10" t="inlineStr">
        <is>
          <t>University-wide</t>
        </is>
      </c>
      <c r="D98" s="10" t="inlineStr">
        <is>
          <t>Enterprise programme</t>
        </is>
      </c>
      <c r="E98" s="10" t="inlineStr">
        <is>
          <t>Tsai CITY Accelerator</t>
        </is>
      </c>
      <c r="F98" s="10" t="inlineStr">
        <is>
          <t>Tsai Center for Innovative Thinking</t>
        </is>
      </c>
      <c r="G98" s="10" t="inlineStr">
        <is>
          <t>Co-curricular</t>
        </is>
      </c>
      <c r="H98" s="10" t="inlineStr">
        <is>
          <t>Yale student-led teams; venture-stage selection applies</t>
        </is>
      </c>
      <c r="I98" s="10" t="inlineStr">
        <is>
          <t>Semester-long venture development with workshops, mentors, experts and funding; supports commercial, civic, arts and nonprofit projects.</t>
        </is>
      </c>
      <c r="J98" s="10" t="inlineStr">
        <is>
          <t>Central programme supports students across Yale; not a curricular requirement.</t>
        </is>
      </c>
      <c r="K98" s="10" t="inlineStr">
        <is>
          <t>Official programme page; intake unverified</t>
        </is>
      </c>
      <c r="L98" s="10" t="inlineStr">
        <is>
          <t>US sample</t>
        </is>
      </c>
      <c r="M98" s="10" t="inlineStr">
        <is>
          <t>https://city.yale.edu/programs/vdp_accelerator
https://city.yale.edu/student-projects</t>
        </is>
      </c>
      <c r="N98" s="10" t="inlineStr">
        <is>
          <t>Direct eligibility</t>
        </is>
      </c>
      <c r="O98" s="10" t="inlineStr">
        <is>
          <t>Undated page</t>
        </is>
      </c>
      <c r="P98" s="81" t="n">
        <v>46303</v>
      </c>
      <c r="Q98" s="77" t="inlineStr">
        <is>
          <t>Not yet reassessed (institution not reviewed)</t>
        </is>
      </c>
    </row>
    <row r="99" ht="116" customHeight="1">
      <c r="A99" s="10" t="inlineStr">
        <is>
          <t>US</t>
        </is>
      </c>
      <c r="B99" s="11" t="inlineStr">
        <is>
          <t>Princeton</t>
        </is>
      </c>
      <c r="C99" s="10" t="inlineStr">
        <is>
          <t>University-wide</t>
        </is>
      </c>
      <c r="D99" s="10" t="inlineStr">
        <is>
          <t>Live/research project</t>
        </is>
      </c>
      <c r="E99" s="10" t="inlineStr">
        <is>
          <t>Program for Community-Engaged Scholarship (ProCES)</t>
        </is>
      </c>
      <c r="F99" s="10" t="inlineStr">
        <is>
          <t>Central ProCES programme</t>
        </is>
      </c>
      <c r="G99" s="10" t="inlineStr">
        <is>
          <t>Mixed/varies</t>
        </is>
      </c>
      <c r="H99" s="10" t="inlineStr">
        <is>
          <t>Students in participating courses/research collaborations</t>
        </is>
      </c>
      <c r="I99" s="10" t="inlineStr">
        <is>
          <t>Academic inquiry and research engage community knowledge and priorities, with nonprofit, public-sector and grassroots partners. Formerly Community-Based Learning Initiative.</t>
        </is>
      </c>
      <c r="J99" s="10" t="inlineStr">
        <is>
          <t>Institutional course/research support; individual course eligibility applies.</t>
        </is>
      </c>
      <c r="K99" s="10" t="inlineStr">
        <is>
          <t>Official page; intake unverified</t>
        </is>
      </c>
      <c r="L99" s="10" t="inlineStr">
        <is>
          <t>US sample</t>
        </is>
      </c>
      <c r="M99" s="10" t="inlineStr">
        <is>
          <t>https://proces.princeton.edu/
https://proces.princeton.edu/about</t>
        </is>
      </c>
      <c r="N99" s="10" t="inlineStr">
        <is>
          <t>Institutional framework</t>
        </is>
      </c>
      <c r="O99" s="10" t="inlineStr">
        <is>
          <t>Undated page</t>
        </is>
      </c>
      <c r="P99" s="81" t="n">
        <v>46303</v>
      </c>
      <c r="Q99" s="77" t="inlineStr">
        <is>
          <t>Not yet reassessed (institution not reviewed)</t>
        </is>
      </c>
    </row>
    <row r="100" ht="116" customHeight="1">
      <c r="A100" s="10" t="inlineStr">
        <is>
          <t>US</t>
        </is>
      </c>
      <c r="B100" s="11" t="inlineStr">
        <is>
          <t>Columbia</t>
        </is>
      </c>
      <c r="C100" s="10" t="inlineStr">
        <is>
          <t>Faculty/school</t>
        </is>
      </c>
      <c r="D100" s="10" t="inlineStr">
        <is>
          <t>Live/research project</t>
        </is>
      </c>
      <c r="E100" s="10" t="inlineStr">
        <is>
          <t>The Art of Engineering</t>
        </is>
      </c>
      <c r="F100" s="10" t="inlineStr">
        <is>
          <t>School of Engineering and Applied Science</t>
        </is>
      </c>
      <c r="G100" s="10" t="inlineStr">
        <is>
          <t>Compulsory</t>
        </is>
      </c>
      <c r="H100" s="10" t="inlineStr">
        <is>
          <t>First-year Engineering students</t>
        </is>
      </c>
      <c r="I100" s="10" t="inlineStr">
        <is>
          <t>Engineering core introduces design, technical concepts, ethics and project management through applied work.</t>
        </is>
      </c>
      <c r="J100" s="10" t="inlineStr">
        <is>
          <t>2025/26 bulletin identifies requirement for first-year Engineering, not every Columbia student.</t>
        </is>
      </c>
      <c r="K100" s="10" t="inlineStr">
        <is>
          <t>2025/26 bulletin confirmed</t>
        </is>
      </c>
      <c r="L100" s="10" t="inlineStr">
        <is>
          <t>US sample</t>
        </is>
      </c>
      <c r="M100" s="10" t="inlineStr">
        <is>
          <t>https://bulletin.columbia.edu/columbia-engineering/bulletin-pdf/Bulletin_2025-2026_PDF_with_cover_page_.pdf</t>
        </is>
      </c>
      <c r="N100" s="10" t="inlineStr">
        <is>
          <t>Direct eligibility</t>
        </is>
      </c>
      <c r="O100" s="10" t="inlineStr">
        <is>
          <t>Dated earlier / mixed</t>
        </is>
      </c>
      <c r="P100" s="81" t="n">
        <v>46303</v>
      </c>
      <c r="Q100" s="77" t="inlineStr">
        <is>
          <t>Not yet reassessed (institution not reviewed)</t>
        </is>
      </c>
    </row>
    <row r="101" ht="116" customHeight="1">
      <c r="A101" s="10" t="inlineStr">
        <is>
          <t>US</t>
        </is>
      </c>
      <c r="B101" s="11" t="inlineStr">
        <is>
          <t>Columbia</t>
        </is>
      </c>
      <c r="C101" s="10" t="inlineStr">
        <is>
          <t>Cross-faculty</t>
        </is>
      </c>
      <c r="D101" s="10" t="inlineStr">
        <is>
          <t>Enterprise programme</t>
        </is>
      </c>
      <c r="E101" s="10" t="inlineStr">
        <is>
          <t>Columbia Startup Lab Morningside</t>
        </is>
      </c>
      <c r="F101" s="10" t="inlineStr">
        <is>
          <t>Columbia Entrepreneurship</t>
        </is>
      </c>
      <c r="G101" s="10" t="inlineStr">
        <is>
          <t>Co-curricular</t>
        </is>
      </c>
      <c r="H101" s="10" t="inlineStr">
        <is>
          <t>Enrolled students at participating schools listed on scheme page</t>
        </is>
      </c>
      <c r="I101" s="10" t="inlineStr">
        <is>
          <t>Founder community, networking and venture-building support. Graduate and undergraduate students from numerous named schools can join.</t>
        </is>
      </c>
      <c r="J101" s="10" t="inlineStr">
        <is>
          <t>Published agreements cover many named schools but do not establish every-school eligibility; classified cross-faculty.</t>
        </is>
      </c>
      <c r="K101" s="10" t="inlineStr">
        <is>
          <t>Official page; intake unverified</t>
        </is>
      </c>
      <c r="L101" s="10" t="inlineStr">
        <is>
          <t>US sample</t>
        </is>
      </c>
      <c r="M101" s="10" t="inlineStr">
        <is>
          <t>https://entrepreneurship.columbia.edu/resources/columbia-startup-lab-csl-uptown-2/</t>
        </is>
      </c>
      <c r="N101" s="10" t="inlineStr">
        <is>
          <t>Direct eligibility</t>
        </is>
      </c>
      <c r="O101" s="10" t="inlineStr">
        <is>
          <t>Undated page</t>
        </is>
      </c>
      <c r="P101" s="81" t="n">
        <v>46303</v>
      </c>
      <c r="Q101" s="77" t="inlineStr">
        <is>
          <t>Not yet reassessed (institution not reviewed)</t>
        </is>
      </c>
    </row>
    <row r="102" ht="116" customHeight="1">
      <c r="A102" s="10" t="inlineStr">
        <is>
          <t>US</t>
        </is>
      </c>
      <c r="B102" s="11" t="inlineStr">
        <is>
          <t>Johns Hopkins</t>
        </is>
      </c>
      <c r="C102" s="10" t="inlineStr">
        <is>
          <t>Programme/course</t>
        </is>
      </c>
      <c r="D102" s="10" t="inlineStr">
        <is>
          <t>Live/research project</t>
        </is>
      </c>
      <c r="E102" s="10" t="inlineStr">
        <is>
          <t>BME Undergraduate Design Team</t>
        </is>
      </c>
      <c r="F102" s="10" t="inlineStr">
        <is>
          <t>Biomedical Engineering</t>
        </is>
      </c>
      <c r="G102" s="10" t="inlineStr">
        <is>
          <t>Elective credit</t>
        </is>
      </c>
      <c r="H102" s="10" t="inlineStr">
        <is>
          <t>Biomedical Engineering undergraduates</t>
        </is>
      </c>
      <c r="I102" s="10" t="inlineStr">
        <is>
          <t>Longitudinal teams identify clinical needs, prototype and test devices with clinical and industry mentors; published curriculum describes an 18-month process.</t>
        </is>
      </c>
      <c r="J102" s="10" t="inlineStr">
        <is>
          <t>Specific BME degree cohort; no evidence of open access across all university programmes.</t>
        </is>
      </c>
      <c r="K102" s="10" t="inlineStr">
        <is>
          <t>Official curriculum page; intake unverified</t>
        </is>
      </c>
      <c r="L102" s="10" t="inlineStr">
        <is>
          <t>US sample</t>
        </is>
      </c>
      <c r="M102" s="10" t="inlineStr">
        <is>
          <t>https://www.bme.jhu.edu/academics/bme-design/undergraduate-design-team/</t>
        </is>
      </c>
      <c r="N102" s="10" t="inlineStr">
        <is>
          <t>Direct eligibility</t>
        </is>
      </c>
      <c r="O102" s="10" t="inlineStr">
        <is>
          <t>Undated page</t>
        </is>
      </c>
      <c r="P102" s="81" t="n">
        <v>46303</v>
      </c>
      <c r="Q102" s="77" t="inlineStr">
        <is>
          <t>Not yet reassessed (institution not reviewed)</t>
        </is>
      </c>
    </row>
    <row r="103" ht="116" customHeight="1">
      <c r="A103" s="10" t="inlineStr">
        <is>
          <t>US</t>
        </is>
      </c>
      <c r="B103" s="11" t="inlineStr">
        <is>
          <t>Michigan Ann Arbor</t>
        </is>
      </c>
      <c r="C103" s="10" t="inlineStr">
        <is>
          <t>University-wide</t>
        </is>
      </c>
      <c r="D103" s="10" t="inlineStr">
        <is>
          <t>Live/research project</t>
        </is>
      </c>
      <c r="E103" s="10" t="inlineStr">
        <is>
          <t>Multidisciplinary Design Program (MDP)</t>
        </is>
      </c>
      <c r="F103" s="10" t="inlineStr">
        <is>
          <t>College of Engineering</t>
        </is>
      </c>
      <c r="G103" s="10" t="inlineStr">
        <is>
          <t>Elective credit</t>
        </is>
      </c>
      <c r="H103" s="10" t="inlineStr">
        <is>
          <t>All undergraduate and master’s students across the university</t>
        </is>
      </c>
      <c r="I103" s="10" t="inlineStr">
        <is>
          <t>Credit-bearing faculty research, year-long industry-sponsored projects and student design teams; optional multidisciplinary design minor.</t>
        </is>
      </c>
      <c r="J103" s="10" t="inlineStr">
        <is>
          <t>Explicit university-wide eligibility despite Engineering administrative home.</t>
        </is>
      </c>
      <c r="K103" s="10" t="inlineStr">
        <is>
          <t>Official eligibility page; intake unverified</t>
        </is>
      </c>
      <c r="L103" s="10" t="inlineStr">
        <is>
          <t>US sample</t>
        </is>
      </c>
      <c r="M103" s="10" t="inlineStr">
        <is>
          <t>https://mdp.engin.umich.edu/about-mdp/
https://mdp.engin.umich.edu/start-here/</t>
        </is>
      </c>
      <c r="N103" s="10" t="inlineStr">
        <is>
          <t>Direct eligibility</t>
        </is>
      </c>
      <c r="O103" s="10" t="inlineStr">
        <is>
          <t>Undated page</t>
        </is>
      </c>
      <c r="P103" s="81" t="n">
        <v>46303</v>
      </c>
      <c r="Q103" s="77" t="inlineStr">
        <is>
          <t>Not yet reassessed (institution not reviewed)</t>
        </is>
      </c>
    </row>
    <row r="104" ht="116" customHeight="1">
      <c r="A104" s="10" t="inlineStr">
        <is>
          <t>US</t>
        </is>
      </c>
      <c r="B104" s="11" t="inlineStr">
        <is>
          <t>California Los Angeles</t>
        </is>
      </c>
      <c r="C104" s="10" t="inlineStr">
        <is>
          <t>University-wide</t>
        </is>
      </c>
      <c r="D104" s="10" t="inlineStr">
        <is>
          <t>Live/research project</t>
        </is>
      </c>
      <c r="E104" s="10" t="inlineStr">
        <is>
          <t>Community Engagement and Social Change minor</t>
        </is>
      </c>
      <c r="F104" s="10" t="inlineStr">
        <is>
          <t>Center for Community Engagement</t>
        </is>
      </c>
      <c r="G104" s="10" t="inlineStr">
        <is>
          <t>Elective credit</t>
        </is>
      </c>
      <c r="H104" s="10" t="inlineStr">
        <is>
          <t>Undergraduates in any major; GPA and declaration criteria</t>
        </is>
      </c>
      <c r="I104" s="10" t="inlineStr">
        <is>
          <t>Interdisciplinary study integrates sustained community engagement with reflection on social change; optional minor complements any major.</t>
        </is>
      </c>
      <c r="J104" s="10" t="inlineStr">
        <is>
          <t>Explicit any-major eligibility; compulsory activities only after choosing the minor.</t>
        </is>
      </c>
      <c r="K104" s="10" t="inlineStr">
        <is>
          <t>August 2026 information sessions confirmed</t>
        </is>
      </c>
      <c r="L104" s="10" t="inlineStr">
        <is>
          <t>US sample</t>
        </is>
      </c>
      <c r="M104" s="10" t="inlineStr">
        <is>
          <t>https://communityengagement.ucla.edu/programs/community-engagement-and-social-change-minor/1000/</t>
        </is>
      </c>
      <c r="N104" s="10" t="inlineStr">
        <is>
          <t>Direct eligibility</t>
        </is>
      </c>
      <c r="O104" s="10" t="inlineStr">
        <is>
          <t>Dated 2026/27</t>
        </is>
      </c>
      <c r="P104" s="81" t="n">
        <v>46303</v>
      </c>
      <c r="Q104" s="77" t="inlineStr">
        <is>
          <t>Not yet reassessed (institution not reviewed)</t>
        </is>
      </c>
    </row>
    <row r="105" ht="116" customHeight="1">
      <c r="A105" s="10" t="inlineStr">
        <is>
          <t>US</t>
        </is>
      </c>
      <c r="B105" s="11" t="inlineStr">
        <is>
          <t>Duke</t>
        </is>
      </c>
      <c r="C105" s="10" t="inlineStr">
        <is>
          <t>University-wide</t>
        </is>
      </c>
      <c r="D105" s="10" t="inlineStr">
        <is>
          <t>Live/research project</t>
        </is>
      </c>
      <c r="E105" s="10" t="inlineStr">
        <is>
          <t>Bass Connections</t>
        </is>
      </c>
      <c r="F105" s="10" t="inlineStr">
        <is>
          <t>University-wide interdisciplinary initiative</t>
        </is>
      </c>
      <c r="G105" s="10" t="inlineStr">
        <is>
          <t>Elective credit</t>
        </is>
      </c>
      <c r="H105" s="10" t="inlineStr">
        <is>
          <t>Undergraduate and graduate/professional students; project selection</t>
        </is>
      </c>
      <c r="I105" s="10" t="inlineStr">
        <is>
          <t>Faculty-led teams investigate societal challenges, often over an academic year with external partners. Credit and workload depend on team/course.</t>
        </is>
      </c>
      <c r="J105" s="10" t="inlineStr">
        <is>
          <t>Official programme engages faculty and students across Duke and study levels.</t>
        </is>
      </c>
      <c r="K105" s="10" t="inlineStr">
        <is>
          <t>2027/28 project call and 2025/26 report confirmed</t>
        </is>
      </c>
      <c r="L105" s="10" t="inlineStr">
        <is>
          <t>US sample</t>
        </is>
      </c>
      <c r="M105" s="10" t="inlineStr">
        <is>
          <t>https://bassconnections.duke.edu/</t>
        </is>
      </c>
      <c r="N105" s="10" t="inlineStr">
        <is>
          <t>Direct eligibility</t>
        </is>
      </c>
      <c r="O105" s="10" t="inlineStr">
        <is>
          <t>Dated 2026/27</t>
        </is>
      </c>
      <c r="P105" s="81" t="n">
        <v>46303</v>
      </c>
      <c r="Q105" s="77" t="inlineStr">
        <is>
          <t>Not yet reassessed (institution not reviewed)</t>
        </is>
      </c>
    </row>
    <row r="106" ht="116" customHeight="1">
      <c r="A106" s="10" t="inlineStr">
        <is>
          <t>US</t>
        </is>
      </c>
      <c r="B106" s="11" t="inlineStr">
        <is>
          <t>New York University</t>
        </is>
      </c>
      <c r="C106" s="10" t="inlineStr">
        <is>
          <t>Faculty/school</t>
        </is>
      </c>
      <c r="D106" s="10" t="inlineStr">
        <is>
          <t>Live/research project</t>
        </is>
      </c>
      <c r="E106" s="10" t="inlineStr">
        <is>
          <t>Stern Solutions</t>
        </is>
      </c>
      <c r="F106" s="10" t="inlineStr">
        <is>
          <t>Stern School of Business</t>
        </is>
      </c>
      <c r="G106" s="10" t="inlineStr">
        <is>
          <t>Elective credit</t>
        </is>
      </c>
      <c r="H106" s="10" t="inlineStr">
        <is>
          <t>Stern graduate students; course/programme eligibility varies</t>
        </is>
      </c>
      <c r="I106" s="10" t="inlineStr">
        <is>
          <t>Faculty-advised teams tackle organisational challenges over a semester or year in for-credit projects.</t>
        </is>
      </c>
      <c r="J106" s="10" t="inlineStr">
        <is>
          <t>Official programme describes Stern graduate teams; some individual projects involve other schools, but umbrella eligibility is not all NYU.</t>
        </is>
      </c>
      <c r="K106" s="10" t="inlineStr">
        <is>
          <t>Official programme page; intake unverified</t>
        </is>
      </c>
      <c r="L106" s="10" t="inlineStr">
        <is>
          <t>US sample</t>
        </is>
      </c>
      <c r="M106" s="10" t="inlineStr">
        <is>
          <t>https://www.stern.nyu.edu/business-partnerships/solve-business-challenge</t>
        </is>
      </c>
      <c r="N106" s="10" t="inlineStr">
        <is>
          <t>Direct eligibility</t>
        </is>
      </c>
      <c r="O106" s="10" t="inlineStr">
        <is>
          <t>Undated page</t>
        </is>
      </c>
      <c r="P106" s="81" t="n">
        <v>46303</v>
      </c>
      <c r="Q106" s="77" t="inlineStr">
        <is>
          <t>Not yet reassessed (institution not reviewed)</t>
        </is>
      </c>
    </row>
    <row r="107" ht="116" customHeight="1">
      <c r="A107" s="10" t="inlineStr">
        <is>
          <t>US</t>
        </is>
      </c>
      <c r="B107" s="11" t="inlineStr">
        <is>
          <t>New York University</t>
        </is>
      </c>
      <c r="C107" s="10" t="inlineStr">
        <is>
          <t>University-wide</t>
        </is>
      </c>
      <c r="D107" s="10" t="inlineStr">
        <is>
          <t>Enterprise programme</t>
        </is>
      </c>
      <c r="E107" s="10" t="inlineStr">
        <is>
          <t>Summer Launchpad</t>
        </is>
      </c>
      <c r="F107" s="10" t="inlineStr">
        <is>
          <t>NYU Entrepreneurship</t>
        </is>
      </c>
      <c r="G107" s="10" t="inlineStr">
        <is>
          <t>Co-curricular</t>
        </is>
      </c>
      <c r="H107" s="10" t="inlineStr">
        <is>
          <t>Eligible NYU student and recent-graduate founder teams</t>
        </is>
      </c>
      <c r="I107" s="10" t="inlineStr">
        <is>
          <t>Selective nine-week accelerator refines products, business models and customer acquisition; full-time founder commitment required.</t>
        </is>
      </c>
      <c r="J107" s="10" t="inlineStr">
        <is>
          <t>Central university entrepreneurship pathway complements faculty-specific Stern example.</t>
        </is>
      </c>
      <c r="K107" s="10" t="inlineStr">
        <is>
          <t>2026 cohort confirmed</t>
        </is>
      </c>
      <c r="L107" s="10" t="inlineStr">
        <is>
          <t>US sample</t>
        </is>
      </c>
      <c r="M107" s="10" t="inlineStr">
        <is>
          <t>https://entrepreneur.nyu.edu/blog/2026/06/03/meet-the-2026-nyu-summer-launchpad-cohort/
https://entrepreneur.nyu.edu/for-students/</t>
        </is>
      </c>
      <c r="N107" s="10" t="inlineStr">
        <is>
          <t>Direct eligibility</t>
        </is>
      </c>
      <c r="O107" s="10" t="inlineStr">
        <is>
          <t>Dated 2026/27</t>
        </is>
      </c>
      <c r="P107" s="81" t="n">
        <v>46303</v>
      </c>
      <c r="Q107" s="77" t="inlineStr">
        <is>
          <t>Not yet reassessed (institution not reviewed)</t>
        </is>
      </c>
    </row>
    <row r="108" ht="116" customHeight="1">
      <c r="A108" s="10" t="inlineStr">
        <is>
          <t>US</t>
        </is>
      </c>
      <c r="B108" s="11" t="inlineStr">
        <is>
          <t>Northwestern</t>
        </is>
      </c>
      <c r="C108" s="10" t="inlineStr">
        <is>
          <t>University-wide</t>
        </is>
      </c>
      <c r="D108" s="10" t="inlineStr">
        <is>
          <t>Live/research project</t>
        </is>
      </c>
      <c r="E108" s="10" t="inlineStr">
        <is>
          <t>Design Thinking and Communication (DTC)</t>
        </is>
      </c>
      <c r="F108" s="10" t="inlineStr">
        <is>
          <t>McCormick Engineering / Cook Family Writing Program</t>
        </is>
      </c>
      <c r="G108" s="10" t="inlineStr">
        <is>
          <t>Mixed/varies</t>
        </is>
      </c>
      <c r="H108" s="10" t="inlineStr">
        <is>
          <t>Required for first-year McCormick students; also open to any Northwestern undergraduate</t>
        </is>
      </c>
      <c r="I108" s="10" t="inlineStr">
        <is>
          <t>Two-quarter design-and-communication course tackles problems submitted by community and industry partners.</t>
        </is>
      </c>
      <c r="J108" s="10" t="inlineStr">
        <is>
          <t>Any-undergraduate availability gives university-wide reach; compulsory status is restricted to Engineering.</t>
        </is>
      </c>
      <c r="K108" s="10" t="inlineStr">
        <is>
          <t>2026/27 course catalogue confirmed</t>
        </is>
      </c>
      <c r="L108" s="10" t="inlineStr">
        <is>
          <t>US sample</t>
        </is>
      </c>
      <c r="M108" s="10" t="inlineStr">
        <is>
          <t>https://writingprogram.northwestern.edu/courses/2026-2027/course-descriptions/</t>
        </is>
      </c>
      <c r="N108" s="10" t="inlineStr">
        <is>
          <t>Direct eligibility</t>
        </is>
      </c>
      <c r="O108" s="10" t="inlineStr">
        <is>
          <t>Dated 2026/27</t>
        </is>
      </c>
      <c r="P108" s="81" t="n">
        <v>46303</v>
      </c>
      <c r="Q108" s="77" t="inlineStr">
        <is>
          <t>Not yet reassessed (institution not reviewed)</t>
        </is>
      </c>
    </row>
    <row r="109" ht="116" customHeight="1">
      <c r="A109" s="10" t="inlineStr">
        <is>
          <t>US</t>
        </is>
      </c>
      <c r="B109" s="11" t="inlineStr">
        <is>
          <t>Carnegie Mellon</t>
        </is>
      </c>
      <c r="C109" s="10" t="inlineStr">
        <is>
          <t>University-wide</t>
        </is>
      </c>
      <c r="D109" s="10" t="inlineStr">
        <is>
          <t>Interdisciplinary curriculum</t>
        </is>
      </c>
      <c r="E109" s="10" t="inlineStr">
        <is>
          <t>Integrative Design, Arts, and Technology (IDeATe)</t>
        </is>
      </c>
      <c r="F109" s="10" t="inlineStr">
        <is>
          <t>Intercollege IDeATe network</t>
        </is>
      </c>
      <c r="G109" s="10" t="inlineStr">
        <is>
          <t>Elective credit</t>
        </is>
      </c>
      <c r="H109" s="10" t="inlineStr">
        <is>
          <t>Undergraduates from any major</t>
        </is>
      </c>
      <c r="I109" s="10" t="inlineStr">
        <is>
          <t>Project-based arts/technology courses and minors use collaborative labs and making, in areas from game design to physical computing and design for learning.</t>
        </is>
      </c>
      <c r="J109" s="10" t="inlineStr">
        <is>
          <t>Explicit all-major eligibility.</t>
        </is>
      </c>
      <c r="K109" s="10" t="inlineStr">
        <is>
          <t>2026 project activity / official eligibility</t>
        </is>
      </c>
      <c r="L109" s="10" t="inlineStr">
        <is>
          <t>US sample</t>
        </is>
      </c>
      <c r="M109" s="10" t="inlineStr">
        <is>
          <t>https://ideate.cmu.edu/
https://ideate.cmu.edu/about/how-to-enroll-in-ideate.html</t>
        </is>
      </c>
      <c r="N109" s="10" t="inlineStr">
        <is>
          <t>Direct eligibility</t>
        </is>
      </c>
      <c r="O109" s="10" t="inlineStr">
        <is>
          <t>Dated 2026/27</t>
        </is>
      </c>
      <c r="P109" s="81" t="n">
        <v>46303</v>
      </c>
      <c r="Q109" s="77" t="inlineStr">
        <is>
          <t>Not yet reassessed (institution not reviewed)</t>
        </is>
      </c>
    </row>
    <row r="110" ht="116" customHeight="1">
      <c r="A110" s="10" t="inlineStr">
        <is>
          <t>US</t>
        </is>
      </c>
      <c r="B110" s="11" t="inlineStr">
        <is>
          <t>Southern California</t>
        </is>
      </c>
      <c r="C110" s="10" t="inlineStr">
        <is>
          <t>Cross-faculty</t>
        </is>
      </c>
      <c r="D110" s="10" t="inlineStr">
        <is>
          <t>Live/research project</t>
        </is>
      </c>
      <c r="E110" s="10" t="inlineStr">
        <is>
          <t>Joint Educational Project (JEP)</t>
        </is>
      </c>
      <c r="F110" s="10" t="inlineStr">
        <is>
          <t>Dornsife College of Letters, Arts and Sciences</t>
        </is>
      </c>
      <c r="G110" s="10" t="inlineStr">
        <is>
          <t>Mixed/varies</t>
        </is>
      </c>
      <c r="H110" s="10" t="inlineStr">
        <is>
          <t>Students in linked courses and volunteer routes; other schools represented</t>
        </is>
      </c>
      <c r="I110" s="10" t="inlineStr">
        <is>
          <t>Community service-learning placements with local schools, clinics and nonprofits connect course learning to reflection and action.</t>
        </is>
      </c>
      <c r="J110" s="10" t="inlineStr">
        <is>
          <t>Hosted in Dornsife; university accreditation evidence records participation from multiple schools, but unrestricted all-school access not established.</t>
        </is>
      </c>
      <c r="K110" s="10" t="inlineStr">
        <is>
          <t>Fall 2026 registration confirmed</t>
        </is>
      </c>
      <c r="L110" s="10" t="inlineStr">
        <is>
          <t>US sample</t>
        </is>
      </c>
      <c r="M110" s="10" t="inlineStr">
        <is>
          <t>https://dornsife.usc.edu/joint-educational-project/student-sign-up/
https://accreditation.usc.edu/wp-content/uploads/sites/3/2021/01/Appendix-8.13-JEP.pdf</t>
        </is>
      </c>
      <c r="N110" s="10" t="inlineStr">
        <is>
          <t>Direct eligibility</t>
        </is>
      </c>
      <c r="O110" s="10" t="inlineStr">
        <is>
          <t>Dated 2026/27</t>
        </is>
      </c>
      <c r="P110" s="81" t="n">
        <v>46303</v>
      </c>
      <c r="Q110" s="77" t="inlineStr">
        <is>
          <t>Not yet reassessed (institution not reviewed)</t>
        </is>
      </c>
    </row>
    <row r="111" ht="116" customHeight="1">
      <c r="A111" s="10" t="inlineStr">
        <is>
          <t>US</t>
        </is>
      </c>
      <c r="B111" s="11" t="inlineStr">
        <is>
          <t>Texas Austin</t>
        </is>
      </c>
      <c r="C111" s="10" t="inlineStr">
        <is>
          <t>Cross-faculty</t>
        </is>
      </c>
      <c r="D111" s="10" t="inlineStr">
        <is>
          <t>Live/research project</t>
        </is>
      </c>
      <c r="E111" s="10" t="inlineStr">
        <is>
          <t>Projects with Underserved Communities (PUC)</t>
        </is>
      </c>
      <c r="F111" s="10" t="inlineStr">
        <is>
          <t>Texas Global / Cockrell Engineering / Social Work</t>
        </is>
      </c>
      <c r="G111" s="10" t="inlineStr">
        <is>
          <t>Elective credit</t>
        </is>
      </c>
      <c r="H111" s="10" t="inlineStr">
        <is>
          <t>Engineering and Social Work undergraduates</t>
        </is>
      </c>
      <c r="I111" s="10" t="inlineStr">
        <is>
          <t>Year-long project sequence develops and implements community-prioritised solutions internationally; students plan, raise funds and work with partner communities.</t>
        </is>
      </c>
      <c r="J111" s="10" t="inlineStr">
        <is>
          <t>Explicit two-school eligibility; not university-wide.</t>
        </is>
      </c>
      <c r="K111" s="10" t="inlineStr">
        <is>
          <t>2026/27 applications confirmed</t>
        </is>
      </c>
      <c r="L111" s="10" t="inlineStr">
        <is>
          <t>US sample</t>
        </is>
      </c>
      <c r="M111" s="10" t="inlineStr">
        <is>
          <t>https://global.utexas.edu/abroad/programs/service-learning/projects-underserved-communities</t>
        </is>
      </c>
      <c r="N111" s="10" t="inlineStr">
        <is>
          <t>Direct eligibility</t>
        </is>
      </c>
      <c r="O111" s="10" t="inlineStr">
        <is>
          <t>Dated 2026/27</t>
        </is>
      </c>
      <c r="P111" s="81" t="n">
        <v>46303</v>
      </c>
      <c r="Q111" s="77" t="inlineStr">
        <is>
          <t>Not yet reassessed (institution not reviewed)</t>
        </is>
      </c>
    </row>
    <row r="112" ht="116" customHeight="1">
      <c r="A112" s="10" t="inlineStr">
        <is>
          <t>US</t>
        </is>
      </c>
      <c r="B112" s="11" t="inlineStr">
        <is>
          <t>Texas Austin</t>
        </is>
      </c>
      <c r="C112" s="10" t="inlineStr">
        <is>
          <t>University-wide</t>
        </is>
      </c>
      <c r="D112" s="10" t="inlineStr">
        <is>
          <t>Enterprise programme</t>
        </is>
      </c>
      <c r="E112" s="10" t="inlineStr">
        <is>
          <t>Harkey Institute venture-creation programmes</t>
        </is>
      </c>
      <c r="F112" s="10" t="inlineStr">
        <is>
          <t>McCombs School of Business</t>
        </is>
      </c>
      <c r="G112" s="10" t="inlineStr">
        <is>
          <t>Mixed/varies</t>
        </is>
      </c>
      <c r="H112" s="10" t="inlineStr">
        <is>
          <t>All majors and stages; individual programme requirements apply</t>
        </is>
      </c>
      <c r="I112" s="10" t="inlineStr">
        <is>
          <t>Hands-on enterprise experiences, mentoring and connections to the Austin startup ecosystem. Includes an eight-week summer entrepreneurship programme.</t>
        </is>
      </c>
      <c r="J112" s="10" t="inlineStr">
        <is>
          <t>Institute page explicitly welcomes all majors; credit depends on the selected offering.</t>
        </is>
      </c>
      <c r="K112" s="10" t="inlineStr">
        <is>
          <t>Official page; intake unverified</t>
        </is>
      </c>
      <c r="L112" s="10" t="inlineStr">
        <is>
          <t>US sample</t>
        </is>
      </c>
      <c r="M112" s="10" t="inlineStr">
        <is>
          <t>https://www.mccombs.utexas.edu/centers-initiatives/harkey-institute-for-entrepreneurial-studies/</t>
        </is>
      </c>
      <c r="N112" s="10" t="inlineStr">
        <is>
          <t>Direct eligibility</t>
        </is>
      </c>
      <c r="O112" s="10" t="inlineStr">
        <is>
          <t>Undated page</t>
        </is>
      </c>
      <c r="P112" s="81" t="n">
        <v>46303</v>
      </c>
      <c r="Q112" s="77" t="inlineStr">
        <is>
          <t>Not yet reassessed (institution not reviewed)</t>
        </is>
      </c>
    </row>
    <row r="113" ht="116" customHeight="1">
      <c r="A113" s="10" t="inlineStr">
        <is>
          <t>US</t>
        </is>
      </c>
      <c r="B113" s="11" t="inlineStr">
        <is>
          <t>California San Diego</t>
        </is>
      </c>
      <c r="C113" s="10" t="inlineStr">
        <is>
          <t>University-wide</t>
        </is>
      </c>
      <c r="D113" s="10" t="inlineStr">
        <is>
          <t>Live/research project</t>
        </is>
      </c>
      <c r="E113" s="10" t="inlineStr">
        <is>
          <t>Global TIES</t>
        </is>
      </c>
      <c r="F113" s="10" t="inlineStr">
        <is>
          <t>Jacobs School of Engineering / Global Sustainable Development</t>
        </is>
      </c>
      <c r="G113" s="10" t="inlineStr">
        <is>
          <t>Elective credit</t>
        </is>
      </c>
      <c r="H113" s="10" t="inlineStr">
        <is>
          <t>Students across major disciplines; project prerequisites apply</t>
        </is>
      </c>
      <c r="I113" s="10" t="inlineStr">
        <is>
          <t>Interdisciplinary teams co-create engineering and technology solutions with nonprofits and NGOs locally and internationally.</t>
        </is>
      </c>
      <c r="J113" s="10" t="inlineStr">
        <is>
          <t>Official college guidance says students from any major discipline can use Global TIES for breadth requirements.</t>
        </is>
      </c>
      <c r="K113" s="10" t="inlineStr">
        <is>
          <t>Official page; intake unverified</t>
        </is>
      </c>
      <c r="L113" s="10" t="inlineStr">
        <is>
          <t>US sample</t>
        </is>
      </c>
      <c r="M113" s="10" t="inlineStr">
        <is>
          <t>https://cgsd.ucsd.edu/
https://hh-marshall.ucsd.edu/academics/academic-opportunities/index.html</t>
        </is>
      </c>
      <c r="N113" s="10" t="inlineStr">
        <is>
          <t>Direct eligibility</t>
        </is>
      </c>
      <c r="O113" s="10" t="inlineStr">
        <is>
          <t>Undated page</t>
        </is>
      </c>
      <c r="P113" s="81" t="n">
        <v>46303</v>
      </c>
      <c r="Q113" s="77" t="inlineStr">
        <is>
          <t>Not yet reassessed (institution not reviewed)</t>
        </is>
      </c>
    </row>
    <row r="114" ht="116" customHeight="1">
      <c r="A114" s="10" t="inlineStr">
        <is>
          <t>US</t>
        </is>
      </c>
      <c r="B114" s="11" t="inlineStr">
        <is>
          <t>Brown</t>
        </is>
      </c>
      <c r="C114" s="10" t="inlineStr">
        <is>
          <t>University-wide</t>
        </is>
      </c>
      <c r="D114" s="10" t="inlineStr">
        <is>
          <t>Live/research project</t>
        </is>
      </c>
      <c r="E114" s="10" t="inlineStr">
        <is>
          <t>Community-Based Learning and Research (CBLR)</t>
        </is>
      </c>
      <c r="F114" s="10" t="inlineStr">
        <is>
          <t>The College / community-engaged course network</t>
        </is>
      </c>
      <c r="G114" s="10" t="inlineStr">
        <is>
          <t>Elective credit</t>
        </is>
      </c>
      <c r="H114" s="10" t="inlineStr">
        <is>
          <t>Undergraduates on eligible courses</t>
        </is>
      </c>
      <c r="I114" s="10" t="inlineStr">
        <is>
          <t>Courses combine community partnerships, field experience, reflection and outputs shared with partners. Fall 2026 list spans numerous departments.</t>
        </is>
      </c>
      <c r="J114" s="10" t="inlineStr">
        <is>
          <t>Central curricular designation across disciplines; course prerequisites may limit access.</t>
        </is>
      </c>
      <c r="K114" s="10" t="inlineStr">
        <is>
          <t>Fall 2026 catalogue confirmed</t>
        </is>
      </c>
      <c r="L114" s="10" t="inlineStr">
        <is>
          <t>US sample</t>
        </is>
      </c>
      <c r="M114" s="10" t="inlineStr">
        <is>
          <t>https://bulletin.brown.edu/the-college/curricular-programs/
https://college.brown.edu/design-your-education/explore-open-curriculum/course-selection/course-options/cblr</t>
        </is>
      </c>
      <c r="N114" s="10" t="inlineStr">
        <is>
          <t>Direct eligibility</t>
        </is>
      </c>
      <c r="O114" s="10" t="inlineStr">
        <is>
          <t>Dated 2026/27</t>
        </is>
      </c>
      <c r="P114" s="81" t="n">
        <v>46303</v>
      </c>
      <c r="Q114" s="77" t="inlineStr">
        <is>
          <t>Not yet reassessed (institution not reviewed)</t>
        </is>
      </c>
    </row>
    <row r="115" ht="116" customHeight="1">
      <c r="A115" s="10" t="inlineStr">
        <is>
          <t>US</t>
        </is>
      </c>
      <c r="B115" s="11" t="inlineStr">
        <is>
          <t>Illinois Urbana-Champaign</t>
        </is>
      </c>
      <c r="C115" s="10" t="inlineStr">
        <is>
          <t>University-wide</t>
        </is>
      </c>
      <c r="D115" s="10" t="inlineStr">
        <is>
          <t>Enterprise programme</t>
        </is>
      </c>
      <c r="E115" s="10" t="inlineStr">
        <is>
          <t>iVenture Accelerator</t>
        </is>
      </c>
      <c r="F115" s="10" t="inlineStr">
        <is>
          <t>Gies College of Business</t>
        </is>
      </c>
      <c r="G115" s="10" t="inlineStr">
        <is>
          <t>Co-curricular</t>
        </is>
      </c>
      <c r="H115" s="10" t="inlineStr">
        <is>
          <t>Founders from any area of study; majority student ownership and full-time summer commitment</t>
        </is>
      </c>
      <c r="I115" s="10" t="inlineStr">
        <is>
          <t>Ten-week summer venture sprint followed by academic-year support, workshops, advisers and stipends. Teams develop commercial, social, cultural and technology ventures.</t>
        </is>
      </c>
      <c r="J115" s="10" t="inlineStr">
        <is>
          <t>Explicit any-area-of-study eligibility; Business School host does not restrict reach.</t>
        </is>
      </c>
      <c r="K115" s="10" t="inlineStr">
        <is>
          <t>2026 applications and cohort confirmed</t>
        </is>
      </c>
      <c r="L115" s="10" t="inlineStr">
        <is>
          <t>US sample</t>
        </is>
      </c>
      <c r="M115" s="10" t="inlineStr">
        <is>
          <t>https://iventure.illinois.edu/apply
https://giesbusiness.illinois.edu/news/2026/06/24/iventure-cohort-12-building-the-future-with-artificial-intelligence</t>
        </is>
      </c>
      <c r="N115" s="10" t="inlineStr">
        <is>
          <t>Direct eligibility</t>
        </is>
      </c>
      <c r="O115" s="10" t="inlineStr">
        <is>
          <t>Dated 2026/27</t>
        </is>
      </c>
      <c r="P115" s="81" t="n">
        <v>46303</v>
      </c>
      <c r="Q115" s="77" t="inlineStr">
        <is>
          <t>Not yet reassessed (institution not reviewed)</t>
        </is>
      </c>
    </row>
    <row r="116" ht="116" customHeight="1">
      <c r="A116" s="10" t="inlineStr">
        <is>
          <t>US</t>
        </is>
      </c>
      <c r="B116" s="11" t="inlineStr">
        <is>
          <t>Georgia Institute of Technology</t>
        </is>
      </c>
      <c r="C116" s="10" t="inlineStr">
        <is>
          <t>University-wide</t>
        </is>
      </c>
      <c r="D116" s="10" t="inlineStr">
        <is>
          <t>Live/research project</t>
        </is>
      </c>
      <c r="E116" s="10" t="inlineStr">
        <is>
          <t>Vertically Integrated Projects (VIP)</t>
        </is>
      </c>
      <c r="F116" s="10" t="inlineStr">
        <is>
          <t>Central VIP / academic project teams</t>
        </is>
      </c>
      <c r="G116" s="10" t="inlineStr">
        <is>
          <t>Elective credit</t>
        </is>
      </c>
      <c r="H116" s="10" t="inlineStr">
        <is>
          <t>Undergraduate and graduate students across majors; team fit applies</t>
        </is>
      </c>
      <c r="I116" s="10" t="inlineStr">
        <is>
          <t>Multisemester research and development teams combine disciplines and study levels; students contribute to continuing projects.</t>
        </is>
      </c>
      <c r="J116" s="10" t="inlineStr">
        <is>
          <t>Current team recruitment covers all six academic colleges and explicitly welcomes all majors for relevant teams.</t>
        </is>
      </c>
      <c r="K116" s="10" t="inlineStr">
        <is>
          <t>Fall 2026 team recruitment confirmed</t>
        </is>
      </c>
      <c r="L116" s="10" t="inlineStr">
        <is>
          <t>US sample</t>
        </is>
      </c>
      <c r="M116" s="10" t="inlineStr">
        <is>
          <t>https://sites.gatech.edu/ecocar/recruitment-info/
https://vip.gatech.edu/teams-all-in-one/entry/1294/</t>
        </is>
      </c>
      <c r="N116" s="10" t="inlineStr">
        <is>
          <t>Direct eligibility</t>
        </is>
      </c>
      <c r="O116" s="10" t="inlineStr">
        <is>
          <t>Dated 2026/27</t>
        </is>
      </c>
      <c r="P116" s="81" t="n">
        <v>46303</v>
      </c>
      <c r="Q116" s="77" t="inlineStr">
        <is>
          <t>Not yet reassessed (institution not reviewed)</t>
        </is>
      </c>
    </row>
    <row r="117" ht="116" customHeight="1">
      <c r="A117" s="10" t="inlineStr">
        <is>
          <t>US</t>
        </is>
      </c>
      <c r="B117" s="11" t="inlineStr">
        <is>
          <t>Purdue</t>
        </is>
      </c>
      <c r="C117" s="10" t="inlineStr">
        <is>
          <t>University-wide</t>
        </is>
      </c>
      <c r="D117" s="10" t="inlineStr">
        <is>
          <t>Live/research project</t>
        </is>
      </c>
      <c r="E117" s="10" t="inlineStr">
        <is>
          <t>Engineering Projects in Community Service (EPICS)</t>
        </is>
      </c>
      <c r="F117" s="10" t="inlineStr">
        <is>
          <t>Engineering EPICS</t>
        </is>
      </c>
      <c r="G117" s="10" t="inlineStr">
        <is>
          <t>Elective credit</t>
        </is>
      </c>
      <c r="H117" s="10" t="inlineStr">
        <is>
          <t>All undergraduates; senior-design route requires approval</t>
        </is>
      </c>
      <c r="I117" s="10" t="inlineStr">
        <is>
          <t>Long-term teams design, build, deploy and support systems for community partners in education, environment, accessibility and human services.</t>
        </is>
      </c>
      <c r="J117" s="10" t="inlineStr">
        <is>
          <t>Registration explicitly open to all undergraduates.</t>
        </is>
      </c>
      <c r="K117" s="10" t="inlineStr">
        <is>
          <t>Spring 2027 registration confirmed</t>
        </is>
      </c>
      <c r="L117" s="10" t="inlineStr">
        <is>
          <t>US sample</t>
        </is>
      </c>
      <c r="M117" s="10" t="inlineStr">
        <is>
          <t>https://engineering.purdue.edu/EPICS
https://engineering.purdue.edu/EPICS/purdue/future-students/register</t>
        </is>
      </c>
      <c r="N117" s="10" t="inlineStr">
        <is>
          <t>Direct eligibility</t>
        </is>
      </c>
      <c r="O117" s="10" t="inlineStr">
        <is>
          <t>Dated 2026/27</t>
        </is>
      </c>
      <c r="P117" s="81" t="n">
        <v>46303</v>
      </c>
      <c r="Q117" s="77" t="inlineStr">
        <is>
          <t>Not yet reassessed (institution not reviewed)</t>
        </is>
      </c>
    </row>
    <row r="118" ht="116" customHeight="1">
      <c r="A118" s="10" t="inlineStr">
        <is>
          <t>US</t>
        </is>
      </c>
      <c r="B118" s="11" t="inlineStr">
        <is>
          <t>Wisconsin Madison</t>
        </is>
      </c>
      <c r="C118" s="10" t="inlineStr">
        <is>
          <t>Not confirmed</t>
        </is>
      </c>
      <c r="D118" s="10" t="inlineStr">
        <is>
          <t>Live/research project</t>
        </is>
      </c>
      <c r="E118" s="10" t="inlineStr">
        <is>
          <t>UniverCity Year</t>
        </is>
      </c>
      <c r="F118" s="10" t="inlineStr">
        <is>
          <t>UniverCity Alliance</t>
        </is>
      </c>
      <c r="G118" s="10" t="inlineStr">
        <is>
          <t>Mixed/varies</t>
        </is>
      </c>
      <c r="H118" s="10" t="inlineStr">
        <is>
          <t>Students on participating courses; departmental eligibility varies</t>
        </is>
      </c>
      <c r="I118" s="10" t="inlineStr">
        <is>
          <t>Courses and research help local governments address self-defined challenges. Three-year community partnerships bring different disciplines to practical problems.</t>
        </is>
      </c>
      <c r="J118" s="10" t="inlineStr">
        <is>
          <t>Institutional partnership framework spans departments; university-wide remit inferred, not universal student participation. Academic reach remains Not confirmed until eligibility or institution-wide framework reach is established.</t>
        </is>
      </c>
      <c r="K118" s="10" t="inlineStr">
        <is>
          <t>Official programme evidence; current cohort unverified</t>
        </is>
      </c>
      <c r="L118" s="10" t="inlineStr">
        <is>
          <t>US sample</t>
        </is>
      </c>
      <c r="M118" s="10" t="inlineStr">
        <is>
          <t>https://univercity.wisc.edu/2023/02/09/chancellor-jennifer-mnookin-highlights-univercity-year-in-board-of-regents-speech/</t>
        </is>
      </c>
      <c r="N118" s="10" t="inlineStr">
        <is>
          <t>Unconfirmed reach</t>
        </is>
      </c>
      <c r="O118" s="10" t="inlineStr">
        <is>
          <t>Undated page</t>
        </is>
      </c>
      <c r="P118" s="81" t="n">
        <v>46303</v>
      </c>
      <c r="Q118" s="77" t="inlineStr">
        <is>
          <t>Not yet reassessed (institution not reviewed)</t>
        </is>
      </c>
    </row>
    <row r="119" ht="116" customHeight="1">
      <c r="A119" s="10" t="inlineStr">
        <is>
          <t>US</t>
        </is>
      </c>
      <c r="B119" s="11" t="inlineStr">
        <is>
          <t>Washington</t>
        </is>
      </c>
      <c r="C119" s="10" t="inlineStr">
        <is>
          <t>Not confirmed</t>
        </is>
      </c>
      <c r="D119" s="10" t="inlineStr">
        <is>
          <t>Placement/WIL</t>
        </is>
      </c>
      <c r="E119" s="10" t="inlineStr">
        <is>
          <t>Undergraduate Community-Based Internship Program</t>
        </is>
      </c>
      <c r="F119" s="10" t="inlineStr">
        <is>
          <t>Community Engagement and Leadership Education (CELE)</t>
        </is>
      </c>
      <c r="G119" s="10" t="inlineStr">
        <is>
          <t>Co-curricular</t>
        </is>
      </c>
      <c r="H119" s="10" t="inlineStr">
        <is>
          <t>Eligible undergraduates; competitive selection</t>
        </is>
      </c>
      <c r="I119" s="10" t="inlineStr">
        <is>
          <t>Paid internships with nonprofits and public-sector organisations, customised learning plans and structured support for public-service career exploration.</t>
        </is>
      </c>
      <c r="J119" s="10" t="inlineStr">
        <is>
          <t>Central undergraduate community-engagement provision; university reach inferred, specific eligibility should be checked. Academic reach remains Not confirmed until eligibility or institution-wide framework reach is established.</t>
        </is>
      </c>
      <c r="K119" s="10" t="inlineStr">
        <is>
          <t>2025 evidence; current intake unverified</t>
        </is>
      </c>
      <c r="L119" s="10" t="inlineStr">
        <is>
          <t>US sample</t>
        </is>
      </c>
      <c r="M119" s="10" t="inlineStr">
        <is>
          <t>https://www.washington.edu/uaa/2025/02/18/funding-opportunities/
https://www.washington.edu/uaa/scholarships-and-funding/</t>
        </is>
      </c>
      <c r="N119" s="10" t="inlineStr">
        <is>
          <t>Unconfirmed reach</t>
        </is>
      </c>
      <c r="O119" s="10" t="inlineStr">
        <is>
          <t>Dated earlier / mixed</t>
        </is>
      </c>
      <c r="P119" s="81" t="n">
        <v>46303</v>
      </c>
      <c r="Q119" s="77" t="inlineStr">
        <is>
          <t>Not yet reassessed (institution not reviewed)</t>
        </is>
      </c>
    </row>
    <row r="120" ht="116" customHeight="1">
      <c r="A120" s="10" t="inlineStr">
        <is>
          <t>US</t>
        </is>
      </c>
      <c r="B120" s="11" t="inlineStr">
        <is>
          <t>Boston University</t>
        </is>
      </c>
      <c r="C120" s="10" t="inlineStr">
        <is>
          <t>University-wide</t>
        </is>
      </c>
      <c r="D120" s="10" t="inlineStr">
        <is>
          <t>Live/research project</t>
        </is>
      </c>
      <c r="E120" s="10" t="inlineStr">
        <is>
          <t>Cross-College Challenge (XCC)</t>
        </is>
      </c>
      <c r="F120" s="10" t="inlineStr">
        <is>
          <t>BU Hub</t>
        </is>
      </c>
      <c r="G120" s="10" t="inlineStr">
        <is>
          <t>Elective credit</t>
        </is>
      </c>
      <c r="H120" s="10" t="inlineStr">
        <is>
          <t>Juniors and seniors from all undergraduate schools and colleges</t>
        </is>
      </c>
      <c r="I120" s="10" t="inlineStr">
        <is>
          <t>Four-credit, team-based elective co-taught across disciplines addresses a real challenge with a community partner and fulfils Hub requirements.</t>
        </is>
      </c>
      <c r="J120" s="10" t="inlineStr">
        <is>
          <t>Explicit all-undergraduate-school eligibility; year and capacity restrictions apply.</t>
        </is>
      </c>
      <c r="K120" s="10" t="inlineStr">
        <is>
          <t>2026 Hub activity confirmed</t>
        </is>
      </c>
      <c r="L120" s="10" t="inlineStr">
        <is>
          <t>US sample</t>
        </is>
      </c>
      <c r="M120" s="10" t="inlineStr">
        <is>
          <t>https://www.bu.edu/xcc/?p=31
https://www.bu.edu/hub/announcements/</t>
        </is>
      </c>
      <c r="N120" s="10" t="inlineStr">
        <is>
          <t>Direct eligibility</t>
        </is>
      </c>
      <c r="O120" s="10" t="inlineStr">
        <is>
          <t>Dated 2026/27</t>
        </is>
      </c>
      <c r="P120" s="81" t="n">
        <v>46303</v>
      </c>
      <c r="Q120" s="77" t="inlineStr">
        <is>
          <t>Not yet reassessed (institution not reviewed)</t>
        </is>
      </c>
    </row>
    <row r="121" ht="116" customHeight="1">
      <c r="A121" s="10" t="inlineStr">
        <is>
          <t>US</t>
        </is>
      </c>
      <c r="B121" s="11" t="inlineStr">
        <is>
          <t>Pennsylvania State</t>
        </is>
      </c>
      <c r="C121" s="10" t="inlineStr">
        <is>
          <t>Faculty/school</t>
        </is>
      </c>
      <c r="D121" s="10" t="inlineStr">
        <is>
          <t>Live/research project</t>
        </is>
      </c>
      <c r="E121" s="10" t="inlineStr">
        <is>
          <t>Learning Factory Capstone Design</t>
        </is>
      </c>
      <c r="F121" s="10" t="inlineStr">
        <is>
          <t>College of Engineering</t>
        </is>
      </c>
      <c r="G121" s="10" t="inlineStr">
        <is>
          <t>Mixed/varies</t>
        </is>
      </c>
      <c r="H121" s="10" t="inlineStr">
        <is>
          <t>Engineering capstone students; departmental requirements vary</t>
        </is>
      </c>
      <c r="I121" s="10" t="inlineStr">
        <is>
          <t>Client-sponsored design teams undertake problem definition, prototyping, testing and final showcase, using the Learning Factory makerspace.</t>
        </is>
      </c>
      <c r="J121" s="10" t="inlineStr">
        <is>
          <t>Programme page explicitly describes College of Engineering and engineering student teams; compulsory status follows the individual degree.</t>
        </is>
      </c>
      <c r="K121" s="10" t="inlineStr">
        <is>
          <t>Official capstone page; intake unverified</t>
        </is>
      </c>
      <c r="L121" s="10" t="inlineStr">
        <is>
          <t>US sample</t>
        </is>
      </c>
      <c r="M121" s="10" t="inlineStr">
        <is>
          <t>https://lf.psu.edu/students/lf-capstone/
https://lf.psu.edu/students/lf-capstone/capstone4/</t>
        </is>
      </c>
      <c r="N121" s="10" t="inlineStr">
        <is>
          <t>Direct eligibility</t>
        </is>
      </c>
      <c r="O121" s="10" t="inlineStr">
        <is>
          <t>Undated page</t>
        </is>
      </c>
      <c r="P121" s="81" t="n">
        <v>46303</v>
      </c>
      <c r="Q121" s="77" t="inlineStr">
        <is>
          <t>Not yet reassessed (institution not reviewed)</t>
        </is>
      </c>
    </row>
    <row r="122" ht="116" customHeight="1">
      <c r="A122" s="10" t="inlineStr">
        <is>
          <t>US</t>
        </is>
      </c>
      <c r="B122" s="11" t="inlineStr">
        <is>
          <t>Ohio State</t>
        </is>
      </c>
      <c r="C122" s="10" t="inlineStr">
        <is>
          <t>Not confirmed</t>
        </is>
      </c>
      <c r="D122" s="10" t="inlineStr">
        <is>
          <t>Live/research project</t>
        </is>
      </c>
      <c r="E122" s="10" t="inlineStr">
        <is>
          <t>Second-year Transformational Experience Program (STEP)</t>
        </is>
      </c>
      <c r="F122" s="10" t="inlineStr">
        <is>
          <t>Office of Student Life / faculty mentors</t>
        </is>
      </c>
      <c r="G122" s="10" t="inlineStr">
        <is>
          <t>Co-curricular</t>
        </is>
      </c>
      <c r="H122" s="10" t="inlineStr">
        <is>
          <t>Eligible second-year students; campus and funding rules apply</t>
        </is>
      </c>
      <c r="I122" s="10" t="inlineStr">
        <is>
          <t>Mentored cohorts develop a Signature Project in research, internship, service, leadership, creativity or study abroad; eligible experiences can receive up to $2,000.</t>
        </is>
      </c>
      <c r="J122" s="10" t="inlineStr">
        <is>
          <t>Central second-year programme; university reach inferred, not a requirement for all second-years. Academic reach remains Not confirmed until eligibility or institution-wide framework reach is established.</t>
        </is>
      </c>
      <c r="K122" s="10" t="inlineStr">
        <is>
          <t>August 2026 programme activity confirmed</t>
        </is>
      </c>
      <c r="L122" s="10" t="inlineStr">
        <is>
          <t>US sample</t>
        </is>
      </c>
      <c r="M122" s="10" t="inlineStr">
        <is>
          <t>https://step.osu.edu/about
https://step.osu.edu/prospective-students</t>
        </is>
      </c>
      <c r="N122" s="10" t="inlineStr">
        <is>
          <t>Unconfirmed reach</t>
        </is>
      </c>
      <c r="O122" s="10" t="inlineStr">
        <is>
          <t>Dated 2026/27</t>
        </is>
      </c>
      <c r="P122" s="81" t="n">
        <v>46303</v>
      </c>
      <c r="Q122" s="77" t="inlineStr">
        <is>
          <t>Not yet reassessed (institution not reviewed)</t>
        </is>
      </c>
    </row>
    <row r="123" ht="116" customHeight="1">
      <c r="A123" s="10" t="inlineStr">
        <is>
          <t>US</t>
        </is>
      </c>
      <c r="B123" s="11" t="inlineStr">
        <is>
          <t>Johns Hopkins</t>
        </is>
      </c>
      <c r="C123" s="10" t="inlineStr">
        <is>
          <t>University-wide</t>
        </is>
      </c>
      <c r="D123" s="10" t="inlineStr">
        <is>
          <t>Enterprise programme</t>
        </is>
      </c>
      <c r="E123" s="10" t="inlineStr">
        <is>
          <t>Pava Center: Spark / Fuel accelerators</t>
        </is>
      </c>
      <c r="F123" s="10" t="inlineStr">
        <is>
          <t>Pava Marie LaPere Center for Entrepreneurship</t>
        </is>
      </c>
      <c r="G123" s="10" t="inlineStr">
        <is>
          <t>Co-curricular</t>
        </is>
      </c>
      <c r="H123" s="10" t="inlineStr">
        <is>
          <t>Student venture teams with at least one eligible current JHU student co-founder</t>
        </is>
      </c>
      <c r="I123" s="10" t="inlineStr">
        <is>
          <t>Structured venture development, mentoring and Demo Day; Fuel requires at least ten hours weekly. Completion can lead to grant stipends and competition funding.</t>
        </is>
      </c>
      <c r="J123" s="10" t="inlineStr">
        <is>
          <t>Central student entrepreneurship eligibility is not restricted to BME; individual stage/ownership criteria apply.</t>
        </is>
      </c>
      <c r="K123" s="10" t="inlineStr">
        <is>
          <t>December 2026 next application cycle confirmed</t>
        </is>
      </c>
      <c r="L123" s="10" t="inlineStr">
        <is>
          <t>US sample</t>
        </is>
      </c>
      <c r="M123" s="10" t="inlineStr">
        <is>
          <t>https://pavacenter.jhu.edu/programs/student-programs/fuel/</t>
        </is>
      </c>
      <c r="N123" s="10" t="inlineStr">
        <is>
          <t>Direct eligibility</t>
        </is>
      </c>
      <c r="O123" s="10" t="inlineStr">
        <is>
          <t>Dated 2026/27</t>
        </is>
      </c>
      <c r="P123" s="81" t="n">
        <v>46303</v>
      </c>
      <c r="Q123" s="77" t="inlineStr">
        <is>
          <t>Not yet reassessed (institution not reviewed)</t>
        </is>
      </c>
    </row>
    <row r="124" ht="116" customHeight="1">
      <c r="A124" s="10" t="inlineStr">
        <is>
          <t>US</t>
        </is>
      </c>
      <c r="B124" s="11" t="inlineStr">
        <is>
          <t>Pennsylvania State</t>
        </is>
      </c>
      <c r="C124" s="10" t="inlineStr">
        <is>
          <t>University-wide</t>
        </is>
      </c>
      <c r="D124" s="10" t="inlineStr">
        <is>
          <t>Enterprise programme</t>
        </is>
      </c>
      <c r="E124" s="10" t="inlineStr">
        <is>
          <t>Invent Penn State / Summer Founders</t>
        </is>
      </c>
      <c r="F124" s="10" t="inlineStr">
        <is>
          <t>Office of Entrepreneurship and Commercialization</t>
        </is>
      </c>
      <c r="G124" s="10" t="inlineStr">
        <is>
          <t>Co-curricular</t>
        </is>
      </c>
      <c r="H124" s="10" t="inlineStr">
        <is>
          <t>Eligible student founder teams; programme selection applies</t>
        </is>
      </c>
      <c r="I124" s="10" t="inlineStr">
        <is>
          <t>University-wide entrepreneurship framework supports venture development across campuses and colleges. Summer Founders combines a grant, accelerator activity, advisers and a final showcase.</t>
        </is>
      </c>
      <c r="J124" s="10" t="inlineStr">
        <is>
          <t>Official framework spans all academic colleges and 24 campuses; Summer Founders cohort included multiple colleges and graduate students.</t>
        </is>
      </c>
      <c r="K124" s="10" t="inlineStr">
        <is>
          <t>Official framework; latest programme intake unverified</t>
        </is>
      </c>
      <c r="L124" s="10" t="inlineStr">
        <is>
          <t>US sample</t>
        </is>
      </c>
      <c r="M124" s="10" t="inlineStr">
        <is>
          <t>https://invent.psu.edu/about-ips/
https://invent.psu.edu/stories/student-founders-grow-their-startups-through-summer-founders-program/</t>
        </is>
      </c>
      <c r="N124" s="10" t="inlineStr">
        <is>
          <t>Institutional framework</t>
        </is>
      </c>
      <c r="O124" s="10" t="inlineStr">
        <is>
          <t>Undated page</t>
        </is>
      </c>
      <c r="P124" s="81" t="n">
        <v>46303</v>
      </c>
      <c r="Q124" s="77" t="inlineStr">
        <is>
          <t>Not yet reassessed (institution not reviewed)</t>
        </is>
      </c>
    </row>
    <row r="125" ht="116" customHeight="1">
      <c r="A125" s="10" t="inlineStr">
        <is>
          <t>France</t>
        </is>
      </c>
      <c r="B125" s="11" t="inlineStr">
        <is>
          <t>PSL</t>
        </is>
      </c>
      <c r="C125" s="10" t="inlineStr">
        <is>
          <t>Cross-faculty</t>
        </is>
      </c>
      <c r="D125" s="10" t="inlineStr">
        <is>
          <t>Interdisciplinary curriculum</t>
        </is>
      </c>
      <c r="E125" s="10" t="inlineStr">
        <is>
          <t>PSL Weeks</t>
        </is>
      </c>
      <c r="F125" s="10" t="inlineStr">
        <is>
          <t>PSL constituent schools</t>
        </is>
      </c>
      <c r="G125" s="10" t="inlineStr">
        <is>
          <t>Mixed/varies</t>
        </is>
      </c>
      <c r="H125" s="10" t="inlineStr">
        <is>
          <t>Students in participating schools and degree years</t>
        </is>
      </c>
      <c r="I125" s="10" t="inlineStr">
        <is>
          <t>Interdisciplinary immersion weeks expose students to new disciplines and collaborative projects. Some engineering weeks specify ESPCI, Chimie Paris, MINES and CPES year groups.</t>
        </is>
      </c>
      <c r="J125" s="10" t="inlineStr">
        <is>
          <t>Published examples involve named constituent schools; no proof every PSL school/student can access every week.</t>
        </is>
      </c>
      <c r="K125" s="10" t="inlineStr">
        <is>
          <t>Official programme page; intake unverified</t>
        </is>
      </c>
      <c r="L125" s="10" t="inlineStr">
        <is>
          <t>EU sample</t>
        </is>
      </c>
      <c r="M125" s="10" t="inlineStr">
        <is>
          <t>https://psl.eu/en/education/keys-academic-success/student-mobility
https://psl.eu/en/education/enamoma-psl-life-masters-program</t>
        </is>
      </c>
      <c r="N125" s="10" t="inlineStr">
        <is>
          <t>Direct eligibility</t>
        </is>
      </c>
      <c r="O125" s="10" t="inlineStr">
        <is>
          <t>Undated page</t>
        </is>
      </c>
      <c r="P125" s="81" t="n">
        <v>46303</v>
      </c>
      <c r="Q125" s="77" t="inlineStr">
        <is>
          <t>Not yet reassessed (institution not reviewed)</t>
        </is>
      </c>
    </row>
    <row r="126" ht="116" customHeight="1">
      <c r="A126" s="10" t="inlineStr">
        <is>
          <t>France</t>
        </is>
      </c>
      <c r="B126" s="11" t="inlineStr">
        <is>
          <t>PSL</t>
        </is>
      </c>
      <c r="C126" s="10" t="inlineStr">
        <is>
          <t>Programme/course</t>
        </is>
      </c>
      <c r="D126" s="10" t="inlineStr">
        <is>
          <t>Live/research project</t>
        </is>
      </c>
      <c r="E126" s="10" t="inlineStr">
        <is>
          <t>ENAMOMA-PSL partner projects</t>
        </is>
      </c>
      <c r="F126" s="10" t="inlineStr">
        <is>
          <t>ENAMOMA master’s programme</t>
        </is>
      </c>
      <c r="G126" s="10" t="inlineStr">
        <is>
          <t>Compulsory</t>
        </is>
      </c>
      <c r="H126" s="10" t="inlineStr">
        <is>
          <t>Students enrolled in the ENAMOMA master’s</t>
        </is>
      </c>
      <c r="I126" s="10" t="inlineStr">
        <is>
          <t>Ten-week interdisciplinary design/engineering/management teams develop professional-level outputs for external partners with tutors and progress reviews.</t>
        </is>
      </c>
      <c r="J126" s="10" t="inlineStr">
        <is>
          <t>Specific master’s curriculum, not the whole PSL university.</t>
        </is>
      </c>
      <c r="K126" s="10" t="inlineStr">
        <is>
          <t>Official project page; intake unverified</t>
        </is>
      </c>
      <c r="L126" s="10" t="inlineStr">
        <is>
          <t>EU sample</t>
        </is>
      </c>
      <c r="M126" s="10" t="inlineStr">
        <is>
          <t>https://psl.eu/en/education/enamoma-psl-students-projects</t>
        </is>
      </c>
      <c r="N126" s="10" t="inlineStr">
        <is>
          <t>Direct eligibility</t>
        </is>
      </c>
      <c r="O126" s="10" t="inlineStr">
        <is>
          <t>Undated page</t>
        </is>
      </c>
      <c r="P126" s="81" t="n">
        <v>46303</v>
      </c>
      <c r="Q126" s="77" t="inlineStr">
        <is>
          <t>Not yet reassessed (institution not reviewed)</t>
        </is>
      </c>
    </row>
    <row r="127" ht="116" customHeight="1">
      <c r="A127" s="10" t="inlineStr">
        <is>
          <t>France</t>
        </is>
      </c>
      <c r="B127" s="11" t="inlineStr">
        <is>
          <t>Paris-Saclay</t>
        </is>
      </c>
      <c r="C127" s="10" t="inlineStr">
        <is>
          <t>Not confirmed</t>
        </is>
      </c>
      <c r="D127" s="10" t="inlineStr">
        <is>
          <t>Enterprise programme</t>
        </is>
      </c>
      <c r="E127" s="10" t="inlineStr">
        <is>
          <t>Starthèse Start’up Pitch-iD</t>
        </is>
      </c>
      <c r="F127" s="10" t="inlineStr">
        <is>
          <t>Central entrepreneurship / doctoral ecosystem</t>
        </is>
      </c>
      <c r="G127" s="10" t="inlineStr">
        <is>
          <t>Co-curricular</t>
        </is>
      </c>
      <c r="H127" s="10" t="inlineStr">
        <is>
          <t>Eligible doctoral researchers; competitive selection</t>
        </is>
      </c>
      <c r="I127" s="10" t="inlineStr">
        <is>
          <t>Entrepreneurial challenge develops research-based venture ideas, coaching and pitching. Published 2026 regulations and partner announcement confirm the third edition.</t>
        </is>
      </c>
      <c r="J127" s="10" t="inlineStr">
        <is>
          <t>Central doctoral competition; university reach inferred across disciplines, admission conditions apply. Academic reach remains Not confirmed until eligibility or institution-wide framework reach is established.</t>
        </is>
      </c>
      <c r="K127" s="10" t="inlineStr">
        <is>
          <t>2026 competition confirmed</t>
        </is>
      </c>
      <c r="L127" s="10" t="inlineStr">
        <is>
          <t>EU sample</t>
        </is>
      </c>
      <c r="M127" s="10" t="inlineStr">
        <is>
          <t>https://www.universite-paris-saclay.fr/actualites/starthese-startup-pitch-id-troisieme-edition-du-concours-entrepreneurial-pour-doctorantes
https://www.uvsq.fr/3%E1%B5%89-edition-du-challenge-de-pitch-starthese-startup-pitch-id</t>
        </is>
      </c>
      <c r="N127" s="10" t="inlineStr">
        <is>
          <t>Unconfirmed reach</t>
        </is>
      </c>
      <c r="O127" s="10" t="inlineStr">
        <is>
          <t>Dated 2026/27</t>
        </is>
      </c>
      <c r="P127" s="81" t="n">
        <v>46303</v>
      </c>
      <c r="Q127" s="77" t="inlineStr">
        <is>
          <t>Not yet reassessed (institution not reviewed)</t>
        </is>
      </c>
    </row>
    <row r="128" ht="116" customHeight="1">
      <c r="A128" s="10" t="inlineStr">
        <is>
          <t>France</t>
        </is>
      </c>
      <c r="B128" s="11" t="inlineStr">
        <is>
          <t>Sorbonne University</t>
        </is>
      </c>
      <c r="C128" s="10" t="inlineStr">
        <is>
          <t>University-wide</t>
        </is>
      </c>
      <c r="D128" s="10" t="inlineStr">
        <is>
          <t>Enterprise programme</t>
        </is>
      </c>
      <c r="E128" s="10" t="inlineStr">
        <is>
          <t>Pépite Sorbonne Université: student entrepreneurship / SNEE</t>
        </is>
      </c>
      <c r="F128" s="10" t="inlineStr">
        <is>
          <t>Pépite university enterprise network</t>
        </is>
      </c>
      <c r="G128" s="10" t="inlineStr">
        <is>
          <t>Mixed/varies</t>
        </is>
      </c>
      <c r="H128" s="10" t="inlineStr">
        <is>
          <t>Higher-education students from bachelor to doctorate; eligible graduates</t>
        </is>
      </c>
      <c r="I128" s="10" t="inlineStr">
        <is>
          <t>Project coaching and practical venture development. Optional D2E diploma structures business-model, market, pitch and leadership learning.</t>
        </is>
      </c>
      <c r="J128" s="10" t="inlineStr">
        <is>
          <t>Explicit study-level-wide eligibility with no disciplinary prerequisite; diploma is a separate optional route.</t>
        </is>
      </c>
      <c r="K128" s="10" t="inlineStr">
        <is>
          <t>2026 pages and eligibility confirmed</t>
        </is>
      </c>
      <c r="L128" s="10" t="inlineStr">
        <is>
          <t>EU sample</t>
        </is>
      </c>
      <c r="M128" s="10" t="inlineStr">
        <is>
          <t>https://pepite.sorbonne-universite.fr/etre-accompagnee/devenir-etudiante-entrepreneure-snee
https://pepite.sorbonne-universite.fr/etre-accompagnee/entreprendre-pendant-ses-etudes</t>
        </is>
      </c>
      <c r="N128" s="10" t="inlineStr">
        <is>
          <t>Direct eligibility</t>
        </is>
      </c>
      <c r="O128" s="10" t="inlineStr">
        <is>
          <t>Dated 2026/27</t>
        </is>
      </c>
      <c r="P128" s="81" t="n">
        <v>46303</v>
      </c>
      <c r="Q128" s="77" t="inlineStr">
        <is>
          <t>Not yet reassessed (institution not reviewed)</t>
        </is>
      </c>
    </row>
    <row r="129" ht="116" customHeight="1">
      <c r="A129" s="10" t="inlineStr">
        <is>
          <t>France</t>
        </is>
      </c>
      <c r="B129" s="11" t="inlineStr">
        <is>
          <t>Institut Polytechnique de Paris</t>
        </is>
      </c>
      <c r="C129" s="10" t="inlineStr">
        <is>
          <t>Programme/course</t>
        </is>
      </c>
      <c r="D129" s="10" t="inlineStr">
        <is>
          <t>Live/research project</t>
        </is>
      </c>
      <c r="E129" s="10" t="inlineStr">
        <is>
          <t>Projet Scientifique Collectif (PSC)</t>
        </is>
      </c>
      <c r="F129" s="10" t="inlineStr">
        <is>
          <t>École polytechnique; Ingénieur Polytechnicien programme</t>
        </is>
      </c>
      <c r="G129" s="10" t="inlineStr">
        <is>
          <t>Compulsory</t>
        </is>
      </c>
      <c r="H129" s="10" t="inlineStr">
        <is>
          <t>Second-year students on the Ingénieur Polytechnicien degree</t>
        </is>
      </c>
      <c r="I129" s="10" t="inlineStr">
        <is>
          <t>Teams of four or five work half a day weekly through second year to investigate a scientific problem or build a technological demonstrator with laboratories, firms or public partners.</t>
        </is>
      </c>
      <c r="J129" s="10" t="inlineStr">
        <is>
          <t>One degree at one IP Paris member school; not university-wide across IP Paris.</t>
        </is>
      </c>
      <c r="K129" s="10" t="inlineStr">
        <is>
          <t>X25 cohort / June 2026 documents confirmed</t>
        </is>
      </c>
      <c r="L129" s="10" t="inlineStr">
        <is>
          <t>EU sample</t>
        </is>
      </c>
      <c r="M129" s="10" t="inlineStr">
        <is>
          <t>https://www.polytechnique.edu/x25-psc-projet-scientifique-collectif
https://programmes.polytechnique.edu/cycle-ingenieur-polytechnicien/details-du-programme/deuxieme-annee-du-cycle-ingenieur</t>
        </is>
      </c>
      <c r="N129" s="10" t="inlineStr">
        <is>
          <t>Direct eligibility</t>
        </is>
      </c>
      <c r="O129" s="10" t="inlineStr">
        <is>
          <t>Dated 2026/27</t>
        </is>
      </c>
      <c r="P129" s="81" t="n">
        <v>46303</v>
      </c>
      <c r="Q129" s="77" t="inlineStr">
        <is>
          <t>Not yet reassessed (institution not reviewed)</t>
        </is>
      </c>
    </row>
    <row r="130" ht="116" customHeight="1">
      <c r="A130" s="10" t="inlineStr">
        <is>
          <t>France</t>
        </is>
      </c>
      <c r="B130" s="11" t="inlineStr">
        <is>
          <t>Sciences Po</t>
        </is>
      </c>
      <c r="C130" s="10" t="inlineStr">
        <is>
          <t>University-wide</t>
        </is>
      </c>
      <c r="D130" s="10" t="inlineStr">
        <is>
          <t>Live/research project</t>
        </is>
      </c>
      <c r="E130" s="10" t="inlineStr">
        <is>
          <t>Civic Learning Programme (Parcours Civique)</t>
        </is>
      </c>
      <c r="F130" s="10" t="inlineStr">
        <is>
          <t>Undergraduate College across campuses</t>
        </is>
      </c>
      <c r="G130" s="10" t="inlineStr">
        <is>
          <t>Compulsory</t>
        </is>
      </c>
      <c r="H130" s="10" t="inlineStr">
        <is>
          <t>BA undergraduates across the College’s campuses</t>
        </is>
      </c>
      <c r="I130" s="10" t="inlineStr">
        <is>
          <t>First-year 140-hour civic internship, second-year 50-hour civic project and reflective capstone link community work to academic learning; credits awarded.</t>
        </is>
      </c>
      <c r="J130" s="10" t="inlineStr">
        <is>
          <t>Compulsory undergraduate curriculum across campuses; university-wide undergraduate reach, not graduate-wide.</t>
        </is>
      </c>
      <c r="K130" s="10" t="inlineStr">
        <is>
          <t>Official curriculum page; intake unverified</t>
        </is>
      </c>
      <c r="L130" s="10" t="inlineStr">
        <is>
          <t>EU sample</t>
        </is>
      </c>
      <c r="M130" s="10" t="inlineStr">
        <is>
          <t>https://www.sciencespo.fr/college/en/academics/civic-learning-programme/</t>
        </is>
      </c>
      <c r="N130" s="10" t="inlineStr">
        <is>
          <t>Direct eligibility</t>
        </is>
      </c>
      <c r="O130" s="10" t="inlineStr">
        <is>
          <t>Undated page</t>
        </is>
      </c>
      <c r="P130" s="81" t="n">
        <v>46303</v>
      </c>
      <c r="Q130" s="77" t="inlineStr">
        <is>
          <t>Not yet reassessed (institution not reviewed)</t>
        </is>
      </c>
    </row>
    <row r="131" ht="116" customHeight="1">
      <c r="A131" s="10" t="inlineStr">
        <is>
          <t>Germany</t>
        </is>
      </c>
      <c r="B131" s="11" t="inlineStr">
        <is>
          <t>Technical University of Munich</t>
        </is>
      </c>
      <c r="C131" s="10" t="inlineStr">
        <is>
          <t>University-wide</t>
        </is>
      </c>
      <c r="D131" s="10" t="inlineStr">
        <is>
          <t>Live/research project</t>
        </is>
      </c>
      <c r="E131" s="10" t="inlineStr">
        <is>
          <t>TUM Project Weeks</t>
        </is>
      </c>
      <c r="F131" s="10" t="inlineStr">
        <is>
          <t>Central studies / schools</t>
        </is>
      </c>
      <c r="G131" s="10" t="inlineStr">
        <is>
          <t>Elective credit</t>
        </is>
      </c>
      <c r="H131" s="10" t="inlineStr">
        <is>
          <t>Bachelor’s and master’s students; individual projects have target groups</t>
        </is>
      </c>
      <c r="I131" s="10" t="inlineStr">
        <is>
          <t>Interdisciplinary intensive projects tackle sustainability, AI, entrepreneurship and social challenges. 2026/27 catalogue includes all-school options with ECTS.</t>
        </is>
      </c>
      <c r="J131" s="10" t="inlineStr">
        <is>
          <t>University framework plus explicit all-discipline/all-school course eligibility; not every listed project is unrestricted.</t>
        </is>
      </c>
      <c r="K131" s="10" t="inlineStr">
        <is>
          <t>January 2027 project week confirmed</t>
        </is>
      </c>
      <c r="L131" s="10" t="inlineStr">
        <is>
          <t>EU sample</t>
        </is>
      </c>
      <c r="M131" s="10" t="inlineStr">
        <is>
          <t>https://www.tum.de/en/studies/degree-programs/key-skill-programs/project-weeks</t>
        </is>
      </c>
      <c r="N131" s="10" t="inlineStr">
        <is>
          <t>Institutional framework</t>
        </is>
      </c>
      <c r="O131" s="10" t="inlineStr">
        <is>
          <t>Dated 2026/27</t>
        </is>
      </c>
      <c r="P131" s="81" t="n">
        <v>46303</v>
      </c>
      <c r="Q131" s="77" t="inlineStr">
        <is>
          <t>Not yet reassessed (institution not reviewed)</t>
        </is>
      </c>
    </row>
    <row r="132" ht="116" customHeight="1">
      <c r="A132" s="10" t="inlineStr">
        <is>
          <t>Germany</t>
        </is>
      </c>
      <c r="B132" s="11" t="inlineStr">
        <is>
          <t>LMU Munich</t>
        </is>
      </c>
      <c r="C132" s="10" t="inlineStr">
        <is>
          <t>Programme/course</t>
        </is>
      </c>
      <c r="D132" s="10" t="inlineStr">
        <is>
          <t>Live/research project</t>
        </is>
      </c>
      <c r="E132" s="10" t="inlineStr">
        <is>
          <t>el mundo: sustainability in teacher education</t>
        </is>
      </c>
      <c r="F132" s="10" t="inlineStr">
        <is>
          <t>Teacher-education certificate / Geography</t>
        </is>
      </c>
      <c r="G132" s="10" t="inlineStr">
        <is>
          <t>Elective credit</t>
        </is>
      </c>
      <c r="H132" s="10" t="inlineStr">
        <is>
          <t>Teacher-training students across school types and subject combinations</t>
        </is>
      </c>
      <c r="I132" s="10" t="inlineStr">
        <is>
          <t>45-ECTS certificate integrates sustainability, field trips, service learning and partnerships beyond university; programme complements teacher training.</t>
        </is>
      </c>
      <c r="J132" s="10" t="inlineStr">
        <is>
          <t>Specific teacher-education certificate cohort; broad subject combinations do not make it university-wide.</t>
        </is>
      </c>
      <c r="K132" s="10" t="inlineStr">
        <is>
          <t>Official certificate page; intake unverified</t>
        </is>
      </c>
      <c r="L132" s="10" t="inlineStr">
        <is>
          <t>EU sample</t>
        </is>
      </c>
      <c r="M132" s="10" t="inlineStr">
        <is>
          <t>https://www.geo.lmu.de/elmundo/en/infoboxen.html</t>
        </is>
      </c>
      <c r="N132" s="10" t="inlineStr">
        <is>
          <t>Direct eligibility</t>
        </is>
      </c>
      <c r="O132" s="10" t="inlineStr">
        <is>
          <t>Undated page</t>
        </is>
      </c>
      <c r="P132" s="81" t="n">
        <v>46303</v>
      </c>
      <c r="Q132" s="77" t="inlineStr">
        <is>
          <t>Not yet reassessed (institution not reviewed)</t>
        </is>
      </c>
    </row>
    <row r="133" ht="116" customHeight="1">
      <c r="A133" s="10" t="inlineStr">
        <is>
          <t>Germany</t>
        </is>
      </c>
      <c r="B133" s="11" t="inlineStr">
        <is>
          <t>LMU Munich</t>
        </is>
      </c>
      <c r="C133" s="10" t="inlineStr">
        <is>
          <t>University-wide</t>
        </is>
      </c>
      <c r="D133" s="10" t="inlineStr">
        <is>
          <t>Enterprise programme</t>
        </is>
      </c>
      <c r="E133" s="10" t="inlineStr">
        <is>
          <t>impACTup!: Innovation and Entrepreneurship for Better Futures</t>
        </is>
      </c>
      <c r="F133" s="10" t="inlineStr">
        <is>
          <t>LMU Innovation &amp; Entrepreneurship Center</t>
        </is>
      </c>
      <c r="G133" s="10" t="inlineStr">
        <is>
          <t>Elective credit</t>
        </is>
      </c>
      <c r="H133" s="10" t="inlineStr">
        <is>
          <t>All faculties, levels and study programmes</t>
        </is>
      </c>
      <c r="I133" s="10" t="inlineStr">
        <is>
          <t>Online applied innovation course develops impact-enterprise skills, with ECTS and/or certificate options; foundational syllabus describes 3 ECTS.</t>
        </is>
      </c>
      <c r="J133" s="10" t="inlineStr">
        <is>
          <t>Explicit all-faculty eligibility complements the restricted teacher-education example.</t>
        </is>
      </c>
      <c r="K133" s="10" t="inlineStr">
        <is>
          <t>Winter 2026/27 Moodle course confirmed</t>
        </is>
      </c>
      <c r="L133" s="10" t="inlineStr">
        <is>
          <t>EU sample</t>
        </is>
      </c>
      <c r="M133" s="10" t="inlineStr">
        <is>
          <t>https://moodle.lmu.de/course/index.php?categoryid=3592&amp;lang=en
https://cms-cdn.lmu.de/media/lmu/downloads/international/studium/ws25-26_syllabus_impactup_foundational_course_ss25_vhb_eugloh-students.pdf</t>
        </is>
      </c>
      <c r="N133" s="10" t="inlineStr">
        <is>
          <t>Direct eligibility</t>
        </is>
      </c>
      <c r="O133" s="10" t="inlineStr">
        <is>
          <t>Dated 2026/27</t>
        </is>
      </c>
      <c r="P133" s="81" t="n">
        <v>46303</v>
      </c>
      <c r="Q133" s="77" t="inlineStr">
        <is>
          <t>Not yet reassessed (institution not reviewed)</t>
        </is>
      </c>
    </row>
    <row r="134" ht="116" customHeight="1">
      <c r="A134" s="10" t="inlineStr">
        <is>
          <t>Germany</t>
        </is>
      </c>
      <c r="B134" s="11" t="inlineStr">
        <is>
          <t>Heidelberg</t>
        </is>
      </c>
      <c r="C134" s="10" t="inlineStr">
        <is>
          <t>University-wide</t>
        </is>
      </c>
      <c r="D134" s="10" t="inlineStr">
        <is>
          <t>Enterprise programme</t>
        </is>
      </c>
      <c r="E134" s="10" t="inlineStr">
        <is>
          <t>hei_INNOVATION Startup Lab</t>
        </is>
      </c>
      <c r="F134" s="10" t="inlineStr">
        <is>
          <t>hei_INNOVATION transfer / enterprise</t>
        </is>
      </c>
      <c r="G134" s="10" t="inlineStr">
        <is>
          <t>Co-curricular</t>
        </is>
      </c>
      <c r="H134" s="10" t="inlineStr">
        <is>
          <t>Eligible university students and alumni in Baden-Württemberg; selection applies</t>
        </is>
      </c>
      <c r="I134" s="10" t="inlineStr">
        <is>
          <t>Four-week venture-development programme combines workshops, team building, mentoring and coaching with a final pitch.</t>
        </is>
      </c>
      <c r="J134" s="10" t="inlineStr">
        <is>
          <t>Central cross-disciplinary founder programme; explicit student/alumni eligibility, not Heidelberg University in the US.</t>
        </is>
      </c>
      <c r="K134" s="10" t="inlineStr">
        <is>
          <t>March 2026 delivery confirmed</t>
        </is>
      </c>
      <c r="L134" s="10" t="inlineStr">
        <is>
          <t>EU sample</t>
        </is>
      </c>
      <c r="M134" s="10" t="inlineStr">
        <is>
          <t>https://www.uni-heidelberg.de/en/transfer/heiinnovation/startup-lab</t>
        </is>
      </c>
      <c r="N134" s="10" t="inlineStr">
        <is>
          <t>Direct eligibility</t>
        </is>
      </c>
      <c r="O134" s="10" t="inlineStr">
        <is>
          <t>Dated 2026/27</t>
        </is>
      </c>
      <c r="P134" s="81" t="n">
        <v>46303</v>
      </c>
      <c r="Q134" s="77" t="inlineStr">
        <is>
          <t>Not yet reassessed (institution not reviewed)</t>
        </is>
      </c>
    </row>
    <row r="135" ht="116" customHeight="1">
      <c r="A135" s="10" t="inlineStr">
        <is>
          <t>Germany</t>
        </is>
      </c>
      <c r="B135" s="11" t="inlineStr">
        <is>
          <t>RWTH Aachen</t>
        </is>
      </c>
      <c r="C135" s="10" t="inlineStr">
        <is>
          <t>University-wide</t>
        </is>
      </c>
      <c r="D135" s="10" t="inlineStr">
        <is>
          <t>Interdisciplinary curriculum</t>
        </is>
      </c>
      <c r="E135" s="10" t="inlineStr">
        <is>
          <t>Project Leonardo</t>
        </is>
      </c>
      <c r="F135" s="10" t="inlineStr">
        <is>
          <t>Central interdisciplinary teaching / partner departments</t>
        </is>
      </c>
      <c r="G135" s="10" t="inlineStr">
        <is>
          <t>Mixed/varies</t>
        </is>
      </c>
      <c r="H135" s="10" t="inlineStr">
        <is>
          <t>All RWTH students, any degree programme or semester</t>
        </is>
      </c>
      <c r="I135" s="10" t="inlineStr">
        <is>
          <t>Interdisciplinary courses address global challenges; experiential options include theatre, sustainability and clinical perspectives. Credit depends on course and degree approval.</t>
        </is>
      </c>
      <c r="J135" s="10" t="inlineStr">
        <is>
          <t>Explicit all-programme/all-semester eligibility; not every course is a live external-client project.</t>
        </is>
      </c>
      <c r="K135" s="10" t="inlineStr">
        <is>
          <t>Winter 2026/27 catalogue confirmed</t>
        </is>
      </c>
      <c r="L135" s="10" t="inlineStr">
        <is>
          <t>EU sample</t>
        </is>
      </c>
      <c r="M135" s="10" t="inlineStr">
        <is>
          <t>https://www.leonardo.rwth-aachen.de/en/homepage/
https://www.leonardo.rwth-aachen.de/en/the-project/leonardo-for-lecturers/</t>
        </is>
      </c>
      <c r="N135" s="10" t="inlineStr">
        <is>
          <t>Direct eligibility</t>
        </is>
      </c>
      <c r="O135" s="10" t="inlineStr">
        <is>
          <t>Dated 2026/27</t>
        </is>
      </c>
      <c r="P135" s="81" t="n">
        <v>46303</v>
      </c>
      <c r="Q135" s="77" t="inlineStr">
        <is>
          <t>Not yet reassessed (institution not reviewed)</t>
        </is>
      </c>
    </row>
    <row r="136" ht="116" customHeight="1">
      <c r="A136" s="10" t="inlineStr">
        <is>
          <t>Germany</t>
        </is>
      </c>
      <c r="B136" s="11" t="inlineStr">
        <is>
          <t>Karlsruhe Institute of Technology</t>
        </is>
      </c>
      <c r="C136" s="10" t="inlineStr">
        <is>
          <t>University-wide</t>
        </is>
      </c>
      <c r="D136" s="10" t="inlineStr">
        <is>
          <t>International collaboration</t>
        </is>
      </c>
      <c r="E136" s="10" t="inlineStr">
        <is>
          <t>EPICUR En route! cross-border service learning</t>
        </is>
      </c>
      <c r="F136" s="10" t="inlineStr">
        <is>
          <t>FORUM central scientific institution / EPICUR alliance</t>
        </is>
      </c>
      <c r="G136" s="10" t="inlineStr">
        <is>
          <t>Mixed/varies</t>
        </is>
      </c>
      <c r="H136" s="10" t="inlineStr">
        <is>
          <t>Students from EPICUR partner universities; individual admissions apply</t>
        </is>
      </c>
      <c r="I136" s="10" t="inlineStr">
        <is>
          <t>Online learning and reflection accompany civic engagement at partner locations; launched online in 2021, then incorporated in-person service.</t>
        </is>
      </c>
      <c r="J136" s="10" t="inlineStr">
        <is>
          <t>Explicit students from all partner universities; central alliance framework, not one faculty.</t>
        </is>
      </c>
      <c r="K136" s="10" t="inlineStr">
        <is>
          <t>Official page updated August 2026; latest intake unverified</t>
        </is>
      </c>
      <c r="L136" s="10" t="inlineStr">
        <is>
          <t>EU sample</t>
        </is>
      </c>
      <c r="M136" s="10" t="inlineStr">
        <is>
          <t>https://www.forum.kit.edu/english/EPICUR.php</t>
        </is>
      </c>
      <c r="N136" s="10" t="inlineStr">
        <is>
          <t>Institutional framework</t>
        </is>
      </c>
      <c r="O136" s="10" t="inlineStr">
        <is>
          <t>Dated earlier / mixed</t>
        </is>
      </c>
      <c r="P136" s="81" t="n">
        <v>46303</v>
      </c>
      <c r="Q136" s="77" t="inlineStr">
        <is>
          <t>Not yet reassessed (institution not reviewed)</t>
        </is>
      </c>
    </row>
    <row r="137" ht="116" customHeight="1">
      <c r="A137" s="10" t="inlineStr">
        <is>
          <t>Germany</t>
        </is>
      </c>
      <c r="B137" s="11" t="inlineStr">
        <is>
          <t>Humboldt Berlin</t>
        </is>
      </c>
      <c r="C137" s="10" t="inlineStr">
        <is>
          <t>University-wide</t>
        </is>
      </c>
      <c r="D137" s="10" t="inlineStr">
        <is>
          <t>Live/research project</t>
        </is>
      </c>
      <c r="E137" s="10" t="inlineStr">
        <is>
          <t>Q-Teams</t>
        </is>
      </c>
      <c r="F137" s="10" t="inlineStr">
        <is>
          <t>bologna.lab / Q-Programme</t>
        </is>
      </c>
      <c r="G137" s="10" t="inlineStr">
        <is>
          <t>Elective credit</t>
        </is>
      </c>
      <c r="H137" s="10" t="inlineStr">
        <is>
          <t>Bachelor’s and master’s students; team-specific subject preparation</t>
        </is>
      </c>
      <c r="I137" s="10" t="inlineStr">
        <is>
          <t>Small research teams supervised by doctoral/postdoctoral researchers develop questions, undertake research and present outputs over one or two semesters.</t>
        </is>
      </c>
      <c r="J137" s="10" t="inlineStr">
        <is>
          <t>Central university research-learning framework; individual Q-Teams may restrict disciplines.</t>
        </is>
      </c>
      <c r="K137" s="10" t="inlineStr">
        <is>
          <t>2026 course example; framework documents older</t>
        </is>
      </c>
      <c r="L137" s="10" t="inlineStr">
        <is>
          <t>EU sample</t>
        </is>
      </c>
      <c r="M137" s="10" t="inlineStr">
        <is>
          <t>https://bolognalab.hu-berlin.de/en/q-team/call-for-applications/call-for-applications-q-teams_wise22-23.pdf/@@download/file/Call%20for%20Applications%20Q-Teams_WiSe22-23.pdf
https://agnes.hu-berlin.de/lupo/rds?moduleCall=webInfo&amp;publishConfFile=webInfo&amp;publishSubDir=veranstaltung&amp;publishid=225583&amp;state=verpublish&amp;status=init&amp;vmfile=no</t>
        </is>
      </c>
      <c r="N137" s="10" t="inlineStr">
        <is>
          <t>Institutional framework</t>
        </is>
      </c>
      <c r="O137" s="10" t="inlineStr">
        <is>
          <t>Dated 2026/27</t>
        </is>
      </c>
      <c r="P137" s="81" t="n">
        <v>46303</v>
      </c>
      <c r="Q137" s="77" t="inlineStr">
        <is>
          <t>Not yet reassessed (institution not reviewed)</t>
        </is>
      </c>
    </row>
    <row r="138" ht="116" customHeight="1">
      <c r="A138" s="10" t="inlineStr">
        <is>
          <t>Netherlands</t>
        </is>
      </c>
      <c r="B138" s="11" t="inlineStr">
        <is>
          <t>Delft University of Technology</t>
        </is>
      </c>
      <c r="C138" s="10" t="inlineStr">
        <is>
          <t>University-wide</t>
        </is>
      </c>
      <c r="D138" s="10" t="inlineStr">
        <is>
          <t>Live/research project</t>
        </is>
      </c>
      <c r="E138" s="10" t="inlineStr">
        <is>
          <t>Joint Interdisciplinary Project (JIP)</t>
        </is>
      </c>
      <c r="F138" s="10" t="inlineStr">
        <is>
          <t>TU Delft / interdisciplinary master’s programme teams</t>
        </is>
      </c>
      <c r="G138" s="10" t="inlineStr">
        <is>
          <t>Elective credit</t>
        </is>
      </c>
      <c r="H138" s="10" t="inlineStr">
        <is>
          <t>Second-year master’s students; programme approval applies</t>
        </is>
      </c>
      <c r="I138" s="10" t="inlineStr">
        <is>
          <t>Ten-week, 15-ECTS elective brings different disciplines together to solve company research-and-development cases.</t>
        </is>
      </c>
      <c r="J138" s="10" t="inlineStr">
        <is>
          <t>University-hosted research paper describes access for all second-year master’s students; current rules need checking.</t>
        </is>
      </c>
      <c r="K138" s="10" t="inlineStr">
        <is>
          <t>2019–20 delivery evidence; current intake unverified</t>
        </is>
      </c>
      <c r="L138" s="10" t="inlineStr">
        <is>
          <t>EU sample</t>
        </is>
      </c>
      <c r="M138" s="10" t="inlineStr">
        <is>
          <t>https://delta.tudelft.nl/en/article/jip-prepares-students-agile-future
https://repository.tudelft.nl/file/File_4d7bc375-1c67-4fa9-8c76-73b81339b2fe</t>
        </is>
      </c>
      <c r="N138" s="10" t="inlineStr">
        <is>
          <t>Direct eligibility</t>
        </is>
      </c>
      <c r="O138" s="10" t="inlineStr">
        <is>
          <t>Dated earlier / mixed</t>
        </is>
      </c>
      <c r="P138" s="81" t="n">
        <v>46303</v>
      </c>
      <c r="Q138" s="77" t="inlineStr">
        <is>
          <t>Not yet reassessed (institution not reviewed)</t>
        </is>
      </c>
    </row>
    <row r="139" ht="116" customHeight="1">
      <c r="A139" s="10" t="inlineStr">
        <is>
          <t>Netherlands</t>
        </is>
      </c>
      <c r="B139" s="11" t="inlineStr">
        <is>
          <t>Amsterdam</t>
        </is>
      </c>
      <c r="C139" s="10" t="inlineStr">
        <is>
          <t>University-wide</t>
        </is>
      </c>
      <c r="D139" s="10" t="inlineStr">
        <is>
          <t>Interdisciplinary curriculum</t>
        </is>
      </c>
      <c r="E139" s="10" t="inlineStr">
        <is>
          <t>Institute for Interdisciplinary Studies (IIS) electives</t>
        </is>
      </c>
      <c r="F139" s="10" t="inlineStr">
        <is>
          <t>IIS</t>
        </is>
      </c>
      <c r="G139" s="10" t="inlineStr">
        <is>
          <t>Elective credit</t>
        </is>
      </c>
      <c r="H139" s="10" t="inlineStr">
        <is>
          <t>Students and staff from any UvA faculty; external/contract students also possible</t>
        </is>
      </c>
      <c r="I139" s="10" t="inlineStr">
        <is>
          <t>Interdisciplinary electives explore societal questions; practical inquiry and project content depend on the course. Separate research minors involve multidisciplinary projects.</t>
        </is>
      </c>
      <c r="J139" s="10" t="inlineStr">
        <is>
          <t>Explicit any-faculty eligibility; do not treat every elective as experiential client work.</t>
        </is>
      </c>
      <c r="K139" s="10" t="inlineStr">
        <is>
          <t>2026/27 course listing confirmed</t>
        </is>
      </c>
      <c r="L139" s="10" t="inlineStr">
        <is>
          <t>EU sample</t>
        </is>
      </c>
      <c r="M139" s="10" t="inlineStr">
        <is>
          <t>https://iis.uva.nl/en/degree-programmes-courses/iis-courses/iis-courses.html</t>
        </is>
      </c>
      <c r="N139" s="10" t="inlineStr">
        <is>
          <t>Direct eligibility</t>
        </is>
      </c>
      <c r="O139" s="10" t="inlineStr">
        <is>
          <t>Dated 2026/27</t>
        </is>
      </c>
      <c r="P139" s="81" t="n">
        <v>46303</v>
      </c>
      <c r="Q139" s="77" t="inlineStr">
        <is>
          <t>Not yet reassessed (institution not reviewed)</t>
        </is>
      </c>
    </row>
    <row r="140" ht="116" customHeight="1">
      <c r="A140" s="10" t="inlineStr">
        <is>
          <t>Netherlands</t>
        </is>
      </c>
      <c r="B140" s="11" t="inlineStr">
        <is>
          <t>Utrecht</t>
        </is>
      </c>
      <c r="C140" s="10" t="inlineStr">
        <is>
          <t>University-wide</t>
        </is>
      </c>
      <c r="D140" s="10" t="inlineStr">
        <is>
          <t>Live/research project</t>
        </is>
      </c>
      <c r="E140" s="10" t="inlineStr">
        <is>
          <t>Community Engaged Learning (CEL)</t>
        </is>
      </c>
      <c r="F140" s="10" t="inlineStr">
        <is>
          <t>Central CEL / Centre for Academic Teaching and Learning</t>
        </is>
      </c>
      <c r="G140" s="10" t="inlineStr">
        <is>
          <t>Mixed/varies</t>
        </is>
      </c>
      <c r="H140" s="10" t="inlineStr">
        <is>
          <t>Students in participating courses; individual eligibility varies</t>
        </is>
      </c>
      <c r="I140" s="10" t="inlineStr">
        <is>
          <t>Students, lecturers and external organisations work together on shared social issues. Grants and teacher development support curricular implementation.</t>
        </is>
      </c>
      <c r="J140" s="10" t="inlineStr">
        <is>
          <t>University-wide implementation framework and aspiration to embed in every degree; aspiration is not proof every degree already participates.</t>
        </is>
      </c>
      <c r="K140" s="10" t="inlineStr">
        <is>
          <t>2026 programme activity confirmed</t>
        </is>
      </c>
      <c r="L140" s="10" t="inlineStr">
        <is>
          <t>EU sample</t>
        </is>
      </c>
      <c r="M140" s="10" t="inlineStr">
        <is>
          <t>https://www.uu.nl/en/education/community-engaged-learning/about-community-engaged-learning</t>
        </is>
      </c>
      <c r="N140" s="10" t="inlineStr">
        <is>
          <t>Institutional framework</t>
        </is>
      </c>
      <c r="O140" s="10" t="inlineStr">
        <is>
          <t>Dated 2026/27</t>
        </is>
      </c>
      <c r="P140" s="81" t="n">
        <v>46303</v>
      </c>
      <c r="Q140" s="77" t="inlineStr">
        <is>
          <t>Not yet reassessed (institution not reviewed)</t>
        </is>
      </c>
    </row>
    <row r="141" ht="116" customHeight="1">
      <c r="A141" s="10" t="inlineStr">
        <is>
          <t>Netherlands</t>
        </is>
      </c>
      <c r="B141" s="11" t="inlineStr">
        <is>
          <t>Leiden</t>
        </is>
      </c>
      <c r="C141" s="10" t="inlineStr">
        <is>
          <t>University-wide</t>
        </is>
      </c>
      <c r="D141" s="10" t="inlineStr">
        <is>
          <t>Interdisciplinary curriculum</t>
        </is>
      </c>
      <c r="E141" s="10" t="inlineStr">
        <is>
          <t>Bachelor’s Honours Classes</t>
        </is>
      </c>
      <c r="F141" s="10" t="inlineStr">
        <is>
          <t>Honours Academy</t>
        </is>
      </c>
      <c r="G141" s="10" t="inlineStr">
        <is>
          <t>Mixed/varies</t>
        </is>
      </c>
      <c r="H141" s="10" t="inlineStr">
        <is>
          <t>Selected motivated bachelor’s students; year and admission criteria apply</t>
        </is>
      </c>
      <c r="I141" s="10" t="inlineStr">
        <is>
          <t>Five-EC extracurricular academic classes connect disciplines; content may include practical challenges. Courses complement the degree and honours pathways.</t>
        </is>
      </c>
      <c r="J141" s="10" t="inlineStr">
        <is>
          <t>University-wide honours partnership; all-discipline eligibility subject to selection. Extra EC should not be assumed regular degree credit.</t>
        </is>
      </c>
      <c r="K141" s="10" t="inlineStr">
        <is>
          <t>2025/26 catalogue confirmed</t>
        </is>
      </c>
      <c r="L141" s="10" t="inlineStr">
        <is>
          <t>EU sample</t>
        </is>
      </c>
      <c r="M141" s="10" t="inlineStr">
        <is>
          <t>https://studiegids-archief.leidenuniv.nl/studies/10896/bachelor-honours-classes
https://www.organisatiegids.universiteitleiden.nl/binaries/content/assets/honours-academy/reglementen/onderwijsreglement-honours-academy-per-1-sep-2024---english-version.pdf</t>
        </is>
      </c>
      <c r="N141" s="10" t="inlineStr">
        <is>
          <t>Direct eligibility</t>
        </is>
      </c>
      <c r="O141" s="10" t="inlineStr">
        <is>
          <t>Dated earlier / mixed</t>
        </is>
      </c>
      <c r="P141" s="81" t="n">
        <v>46303</v>
      </c>
      <c r="Q141" s="77" t="inlineStr">
        <is>
          <t>Not yet reassessed (institution not reviewed)</t>
        </is>
      </c>
    </row>
    <row r="142" ht="116" customHeight="1">
      <c r="A142" s="10" t="inlineStr">
        <is>
          <t>Netherlands</t>
        </is>
      </c>
      <c r="B142" s="11" t="inlineStr">
        <is>
          <t>Wageningen</t>
        </is>
      </c>
      <c r="C142" s="10" t="inlineStr">
        <is>
          <t>University-wide</t>
        </is>
      </c>
      <c r="D142" s="10" t="inlineStr">
        <is>
          <t>Live/research project</t>
        </is>
      </c>
      <c r="E142" s="10" t="inlineStr">
        <is>
          <t>Academic Consultancy Training (ACT)</t>
        </is>
      </c>
      <c r="F142" s="10" t="inlineStr">
        <is>
          <t>University master’s curriculum</t>
        </is>
      </c>
      <c r="G142" s="10" t="inlineStr">
        <is>
          <t>Mixed/varies</t>
        </is>
      </c>
      <c r="H142" s="10" t="inlineStr">
        <is>
          <t>Master’s students; compulsory in most master’s programmes</t>
        </is>
      </c>
      <c r="I142" s="10" t="inlineStr">
        <is>
          <t>Eight-week consultancy: multidisciplinary teams of five to eight address authentic external-client challenges with academic advisers and a process coach. Named curriculum example carries 9 ECTS.</t>
        </is>
      </c>
      <c r="J142" s="10" t="inlineStr">
        <is>
          <t>Official source says compulsory in most master’s programmes; university framework, not universal across all degrees.</t>
        </is>
      </c>
      <c r="K142" s="10" t="inlineStr">
        <is>
          <t>2026 ACT award and October 2026 case call confirmed</t>
        </is>
      </c>
      <c r="L142" s="10" t="inlineStr">
        <is>
          <t>EU sample</t>
        </is>
      </c>
      <c r="M142" s="10" t="inlineStr">
        <is>
          <t>https://www.wur.nl/en/partner-up-for-impact/collaborate-students/society-based-education/academic-consultancy-training</t>
        </is>
      </c>
      <c r="N142" s="10" t="inlineStr">
        <is>
          <t>Institutional framework</t>
        </is>
      </c>
      <c r="O142" s="10" t="inlineStr">
        <is>
          <t>Dated 2026/27</t>
        </is>
      </c>
      <c r="P142" s="81" t="n">
        <v>46303</v>
      </c>
      <c r="Q142" s="77" t="inlineStr">
        <is>
          <t>Not yet reassessed (institution not reviewed)</t>
        </is>
      </c>
    </row>
    <row r="143" ht="116" customHeight="1">
      <c r="A143" s="10" t="inlineStr">
        <is>
          <t>Belgium</t>
        </is>
      </c>
      <c r="B143" s="11" t="inlineStr">
        <is>
          <t>KU Leuven</t>
        </is>
      </c>
      <c r="C143" s="10" t="inlineStr">
        <is>
          <t>University-wide</t>
        </is>
      </c>
      <c r="D143" s="10" t="inlineStr">
        <is>
          <t>Live/research project</t>
        </is>
      </c>
      <c r="E143" s="10" t="inlineStr">
        <is>
          <t>Service-learning course network</t>
        </is>
      </c>
      <c r="F143" s="10" t="inlineStr">
        <is>
          <t>Central Service-learning team / faculties</t>
        </is>
      </c>
      <c r="G143" s="10" t="inlineStr">
        <is>
          <t>Mixed/varies</t>
        </is>
      </c>
      <c r="H143" s="10" t="inlineStr">
        <is>
          <t>Students in participating courses across academic groups</t>
        </is>
      </c>
      <c r="I143" s="10" t="inlineStr">
        <is>
          <t>Curricular community service, structured reflection and subject learning; list spans humanities, engineering and biomedical faculties. Requirements vary by course.</t>
        </is>
      </c>
      <c r="J143" s="10" t="inlineStr">
        <is>
          <t>Institution-wide support and course network across all three academic groups; not a common compulsory module.</t>
        </is>
      </c>
      <c r="K143" s="10" t="inlineStr">
        <is>
          <t>2026/27 course example; network list partly 2023/24</t>
        </is>
      </c>
      <c r="L143" s="10" t="inlineStr">
        <is>
          <t>EU sample</t>
        </is>
      </c>
      <c r="M143" s="10" t="inlineStr">
        <is>
          <t>https://www.kuleuven.be/english/education/sl/servicelearningatkuleuven/list-of-courses
https://www.kuleuven.be/english/apply/education/sl/whatisservicelearning</t>
        </is>
      </c>
      <c r="N143" s="10" t="inlineStr">
        <is>
          <t>Institutional framework</t>
        </is>
      </c>
      <c r="O143" s="10" t="inlineStr">
        <is>
          <t>Dated 2026/27</t>
        </is>
      </c>
      <c r="P143" s="81" t="n">
        <v>46303</v>
      </c>
      <c r="Q143" s="77" t="inlineStr">
        <is>
          <t>Not yet reassessed (institution not reviewed)</t>
        </is>
      </c>
    </row>
    <row r="144" ht="116" customHeight="1">
      <c r="A144" s="10" t="inlineStr">
        <is>
          <t>Belgium</t>
        </is>
      </c>
      <c r="B144" s="11" t="inlineStr">
        <is>
          <t>Ghent</t>
        </is>
      </c>
      <c r="C144" s="10" t="inlineStr">
        <is>
          <t>University-wide</t>
        </is>
      </c>
      <c r="D144" s="10" t="inlineStr">
        <is>
          <t>Live/research project</t>
        </is>
      </c>
      <c r="E144" s="10" t="inlineStr">
        <is>
          <t>Community Service Learning (CSL) framework</t>
        </is>
      </c>
      <c r="F144" s="10" t="inlineStr">
        <is>
          <t>Central teaching support / participating faculties</t>
        </is>
      </c>
      <c r="G144" s="10" t="inlineStr">
        <is>
          <t>Mixed/varies</t>
        </is>
      </c>
      <c r="H144" s="10" t="inlineStr">
        <is>
          <t>Students in participating courses; admissions differ</t>
        </is>
      </c>
      <c r="I144" s="10" t="inlineStr">
        <is>
          <t>Academic learning and civic engagement combine fieldwork in community organisations with reflection. Official guidance provides examples and curricular design support.</t>
        </is>
      </c>
      <c r="J144" s="10" t="inlineStr">
        <is>
          <t>Central teaching framework applicable across disciplines; specific course availability remains faculty/programme-based.</t>
        </is>
      </c>
      <c r="K144" s="10" t="inlineStr">
        <is>
          <t>Official teaching guidance; intake unverified</t>
        </is>
      </c>
      <c r="L144" s="10" t="inlineStr">
        <is>
          <t>EU sample</t>
        </is>
      </c>
      <c r="M144" s="10" t="inlineStr">
        <is>
          <t>https://www.onderwijstips.ugent.be/en/tips/community-service-learning-de-verbinding-tussen-st/</t>
        </is>
      </c>
      <c r="N144" s="10" t="inlineStr">
        <is>
          <t>Institutional framework</t>
        </is>
      </c>
      <c r="O144" s="10" t="inlineStr">
        <is>
          <t>Undated page</t>
        </is>
      </c>
      <c r="P144" s="81" t="n">
        <v>46303</v>
      </c>
      <c r="Q144" s="77" t="inlineStr">
        <is>
          <t>Not yet reassessed (institution not reviewed)</t>
        </is>
      </c>
    </row>
    <row r="145" ht="116" customHeight="1">
      <c r="A145" s="10" t="inlineStr">
        <is>
          <t>Belgium</t>
        </is>
      </c>
      <c r="B145" s="11" t="inlineStr">
        <is>
          <t>Ghent</t>
        </is>
      </c>
      <c r="C145" s="10" t="inlineStr">
        <is>
          <t>Programme/course</t>
        </is>
      </c>
      <c r="D145" s="10" t="inlineStr">
        <is>
          <t>Live/research project</t>
        </is>
      </c>
      <c r="E145" s="10" t="inlineStr">
        <is>
          <t>Seminar Political Sociology: Community Service Learning</t>
        </is>
      </c>
      <c r="F145" s="10" t="inlineStr">
        <is>
          <t>Department of Sociology</t>
        </is>
      </c>
      <c r="G145" s="10" t="inlineStr">
        <is>
          <t>Elective credit</t>
        </is>
      </c>
      <c r="H145" s="10" t="inlineStr">
        <is>
          <t>Students on the relevant Sociology master’s route</t>
        </is>
      </c>
      <c r="I145" s="10" t="inlineStr">
        <is>
          <t>Five-credit seminar brings community service learning into the political sociology curriculum.</t>
        </is>
      </c>
      <c r="J145" s="10" t="inlineStr">
        <is>
          <t>Named degree-route module; requirements and access follow programme rules.</t>
        </is>
      </c>
      <c r="K145" s="10" t="inlineStr">
        <is>
          <t>2025/26 programme catalogue confirmed</t>
        </is>
      </c>
      <c r="L145" s="10" t="inlineStr">
        <is>
          <t>EU sample</t>
        </is>
      </c>
      <c r="M145" s="10" t="inlineStr">
        <is>
          <t>https://studiekiezer.ugent.be/2025/programmapdf/en/KOMAATSO/6</t>
        </is>
      </c>
      <c r="N145" s="10" t="inlineStr">
        <is>
          <t>Direct eligibility</t>
        </is>
      </c>
      <c r="O145" s="10" t="inlineStr">
        <is>
          <t>Dated earlier / mixed</t>
        </is>
      </c>
      <c r="P145" s="81" t="n">
        <v>46303</v>
      </c>
      <c r="Q145" s="77" t="inlineStr">
        <is>
          <t>Not yet reassessed (institution not reviewed)</t>
        </is>
      </c>
    </row>
    <row r="146" ht="116" customHeight="1">
      <c r="A146" s="10" t="inlineStr">
        <is>
          <t>Ireland</t>
        </is>
      </c>
      <c r="B146" s="11" t="inlineStr">
        <is>
          <t>Trinity College Dublin</t>
        </is>
      </c>
      <c r="C146" s="10" t="inlineStr">
        <is>
          <t>University-wide</t>
        </is>
      </c>
      <c r="D146" s="10" t="inlineStr">
        <is>
          <t>Interdisciplinary curriculum</t>
        </is>
      </c>
      <c r="E146" s="10" t="inlineStr">
        <is>
          <t>Trinity Electives</t>
        </is>
      </c>
      <c r="F146" s="10" t="inlineStr">
        <is>
          <t>Central undergraduate curriculum</t>
        </is>
      </c>
      <c r="G146" s="10" t="inlineStr">
        <is>
          <t>Mixed/varies</t>
        </is>
      </c>
      <c r="H146" s="10" t="inlineStr">
        <is>
          <t>Most eligible undergraduates; many Health Sciences degrees excluded</t>
        </is>
      </c>
      <c r="I146" s="10" t="inlineStr">
        <is>
          <t>Five-ECTS standalone breadth modules address societal, cultural and interdisciplinary themes. Some degrees require electives; practical content varies by module.</t>
        </is>
      </c>
      <c r="J146" s="10" t="inlineStr">
        <is>
          <t>University framework with explicit degree exclusions; university-wide does not mean every programme/student.</t>
        </is>
      </c>
      <c r="K146" s="10" t="inlineStr">
        <is>
          <t>2026/27 timetable and August 2026 update</t>
        </is>
      </c>
      <c r="L146" s="10" t="inlineStr">
        <is>
          <t>EU sample</t>
        </is>
      </c>
      <c r="M146" s="10" t="inlineStr">
        <is>
          <t>https://www.tcd.ie/trinity-electives/information-for-students/</t>
        </is>
      </c>
      <c r="N146" s="10" t="inlineStr">
        <is>
          <t>Institutional framework</t>
        </is>
      </c>
      <c r="O146" s="10" t="inlineStr">
        <is>
          <t>Dated 2026/27</t>
        </is>
      </c>
      <c r="P146" s="81" t="n">
        <v>46303</v>
      </c>
      <c r="Q146" s="77" t="inlineStr">
        <is>
          <t>Not yet reassessed (institution not reviewed)</t>
        </is>
      </c>
    </row>
    <row r="147" ht="116" customHeight="1">
      <c r="A147" s="10" t="inlineStr">
        <is>
          <t>Ireland</t>
        </is>
      </c>
      <c r="B147" s="11" t="inlineStr">
        <is>
          <t>University College Dublin</t>
        </is>
      </c>
      <c r="C147" s="10" t="inlineStr">
        <is>
          <t>University-wide</t>
        </is>
      </c>
      <c r="D147" s="10" t="inlineStr">
        <is>
          <t>Live/research project</t>
        </is>
      </c>
      <c r="E147" s="10" t="inlineStr">
        <is>
          <t>Innovation Academy: Creativity &amp; Innovation, IA20010</t>
        </is>
      </c>
      <c r="F147" s="10" t="inlineStr">
        <is>
          <t>UCD Innovation Academy</t>
        </is>
      </c>
      <c r="G147" s="10" t="inlineStr">
        <is>
          <t>Elective credit</t>
        </is>
      </c>
      <c r="H147" s="10" t="inlineStr">
        <is>
          <t>Students from any discipline; class capacity applies</t>
        </is>
      </c>
      <c r="I147" s="10" t="inlineStr">
        <is>
          <t>Multidisciplinary teams apply design thinking to a real-world problem, with facilitated practice, presentations and reflective assessment.</t>
        </is>
      </c>
      <c r="J147" s="10" t="inlineStr">
        <is>
          <t>2026 module explicitly suitable for any discipline.</t>
        </is>
      </c>
      <c r="K147" s="10" t="inlineStr">
        <is>
          <t>2026 module catalogue confirmed</t>
        </is>
      </c>
      <c r="L147" s="10" t="inlineStr">
        <is>
          <t>EU sample</t>
        </is>
      </c>
      <c r="M147" s="10" t="inlineStr">
        <is>
          <t>https://hub.ucd.ie/usis/!W_HU_MENU.P_PUBLISH?ACYR=2026&amp;MODULE=IA20010&amp;TERMCODE=202600&amp;p_tag=MODULE</t>
        </is>
      </c>
      <c r="N147" s="10" t="inlineStr">
        <is>
          <t>Direct eligibility</t>
        </is>
      </c>
      <c r="O147" s="10" t="inlineStr">
        <is>
          <t>Dated 2026/27</t>
        </is>
      </c>
      <c r="P147" s="81" t="n">
        <v>46303</v>
      </c>
      <c r="Q147" s="77" t="inlineStr">
        <is>
          <t>Not yet reassessed (institution not reviewed)</t>
        </is>
      </c>
    </row>
    <row r="148" ht="116" customHeight="1">
      <c r="A148" s="10" t="inlineStr">
        <is>
          <t>Denmark</t>
        </is>
      </c>
      <c r="B148" s="11" t="inlineStr">
        <is>
          <t>Copenhagen</t>
        </is>
      </c>
      <c r="C148" s="10" t="inlineStr">
        <is>
          <t>University-wide</t>
        </is>
      </c>
      <c r="D148" s="10" t="inlineStr">
        <is>
          <t>Enterprise programme</t>
        </is>
      </c>
      <c r="E148" s="10" t="inlineStr">
        <is>
          <t>UCPH Lighthouse / Lighthouse Launch</t>
        </is>
      </c>
      <c r="F148" s="10" t="inlineStr">
        <is>
          <t>University innovation centre</t>
        </is>
      </c>
      <c r="G148" s="10" t="inlineStr">
        <is>
          <t>Mixed/varies</t>
        </is>
      </c>
      <c r="H148" s="10" t="inlineStr">
        <is>
          <t>All UCPH students, any subject or study stage; programme selection applies</t>
        </is>
      </c>
      <c r="I148" s="10" t="inlineStr">
        <is>
          <t>Practical innovation workshops, idea testing, mentoring, project support and three-month venture-development programme. ECTS innovation-project routes depend on degree approval.</t>
        </is>
      </c>
      <c r="J148" s="10" t="inlineStr">
        <is>
          <t>Official university page explicitly supports all students regardless of subject or progress.</t>
        </is>
      </c>
      <c r="K148" s="10" t="inlineStr">
        <is>
          <t>Official programme page; intake unverified</t>
        </is>
      </c>
      <c r="L148" s="10" t="inlineStr">
        <is>
          <t>EU sample</t>
        </is>
      </c>
      <c r="M148" s="10" t="inlineStr">
        <is>
          <t>https://innovation.ku.dk/english/for-students/
https://lighthouse.ku.dk/en/students/innovation-projects-with-ects/</t>
        </is>
      </c>
      <c r="N148" s="10" t="inlineStr">
        <is>
          <t>Direct eligibility</t>
        </is>
      </c>
      <c r="O148" s="10" t="inlineStr">
        <is>
          <t>Undated page</t>
        </is>
      </c>
      <c r="P148" s="81" t="n">
        <v>46303</v>
      </c>
      <c r="Q148" s="77" t="inlineStr">
        <is>
          <t>Not yet reassessed (institution not reviewed)</t>
        </is>
      </c>
    </row>
    <row r="149" ht="116" customHeight="1">
      <c r="A149" s="10" t="inlineStr">
        <is>
          <t>Denmark</t>
        </is>
      </c>
      <c r="B149" s="11" t="inlineStr">
        <is>
          <t>Aarhus</t>
        </is>
      </c>
      <c r="C149" s="10" t="inlineStr">
        <is>
          <t>University-wide</t>
        </is>
      </c>
      <c r="D149" s="10" t="inlineStr">
        <is>
          <t>Live/research project</t>
        </is>
      </c>
      <c r="E149" s="10" t="inlineStr">
        <is>
          <t>Aarhus Case Competition: Game of Consultancy</t>
        </is>
      </c>
      <c r="F149" s="10" t="inlineStr">
        <is>
          <t>Student-run ACC / university enterprise ecosystem</t>
        </is>
      </c>
      <c r="G149" s="10" t="inlineStr">
        <is>
          <t>Co-curricular</t>
        </is>
      </c>
      <c r="H149" s="10" t="inlineStr">
        <is>
          <t>All Aarhus students for Game of Consultancy; other tracks have separate eligibility</t>
        </is>
      </c>
      <c r="I149" s="10" t="inlineStr">
        <is>
          <t>Time-limited business case solving with consulting partners; workshops and pitching develop applied teamwork and problem solving.</t>
        </is>
      </c>
      <c r="J149" s="10" t="inlineStr">
        <is>
          <t>Organiser explicitly opens Game of Consultancy to all Aarhus students; do not generalise to every competition track.</t>
        </is>
      </c>
      <c r="K149" s="10" t="inlineStr">
        <is>
          <t>March 2026 event confirmed</t>
        </is>
      </c>
      <c r="L149" s="10" t="inlineStr">
        <is>
          <t>EU sample</t>
        </is>
      </c>
      <c r="M149" s="10" t="inlineStr">
        <is>
          <t>https://www.aarhuscasecompetition.com/game-of-consultancy
https://www.aarhuscasecompetition.com/about</t>
        </is>
      </c>
      <c r="N149" s="10" t="inlineStr">
        <is>
          <t>Direct eligibility</t>
        </is>
      </c>
      <c r="O149" s="10" t="inlineStr">
        <is>
          <t>Dated 2026/27</t>
        </is>
      </c>
      <c r="P149" s="81" t="n">
        <v>46303</v>
      </c>
      <c r="Q149" s="77" t="inlineStr">
        <is>
          <t>Not yet reassessed (institution not reviewed)</t>
        </is>
      </c>
    </row>
    <row r="150" ht="116" customHeight="1">
      <c r="A150" s="10" t="inlineStr">
        <is>
          <t>Sweden</t>
        </is>
      </c>
      <c r="B150" s="11" t="inlineStr">
        <is>
          <t>Lund</t>
        </is>
      </c>
      <c r="C150" s="10" t="inlineStr">
        <is>
          <t>University-wide</t>
        </is>
      </c>
      <c r="D150" s="10" t="inlineStr">
        <is>
          <t>Enterprise programme</t>
        </is>
      </c>
      <c r="E150" s="10" t="inlineStr">
        <is>
          <t>VentureLab</t>
        </is>
      </c>
      <c r="F150" s="10" t="inlineStr">
        <is>
          <t>LU Innovation; co-funded by faculties</t>
        </is>
      </c>
      <c r="G150" s="10" t="inlineStr">
        <is>
          <t>Co-curricular</t>
        </is>
      </c>
      <c r="H150" s="10" t="inlineStr">
        <is>
          <t>Students and recent graduates; innovation advice open to all students/researchers</t>
        </is>
      </c>
      <c r="I150" s="10" t="inlineStr">
        <is>
          <t>Idea counselling, venture-development programme, incubator workspace and founder community support testing and developing student ventures.</t>
        </is>
      </c>
      <c r="J150" s="10" t="inlineStr">
        <is>
          <t>Official university innovation page explicitly all-student reach; incubator selection applies.</t>
        </is>
      </c>
      <c r="K150" s="10" t="inlineStr">
        <is>
          <t>2026 events / August 2026 page update</t>
        </is>
      </c>
      <c r="L150" s="10" t="inlineStr">
        <is>
          <t>EU sample</t>
        </is>
      </c>
      <c r="M150" s="10" t="inlineStr">
        <is>
          <t>https://www.innovation.lu.se/en/node/902
https://www.innovation.lu.se/en/students</t>
        </is>
      </c>
      <c r="N150" s="10" t="inlineStr">
        <is>
          <t>Direct eligibility</t>
        </is>
      </c>
      <c r="O150" s="10" t="inlineStr">
        <is>
          <t>Dated 2026/27</t>
        </is>
      </c>
      <c r="P150" s="81" t="n">
        <v>46303</v>
      </c>
      <c r="Q150" s="77" t="inlineStr">
        <is>
          <t>Not yet reassessed (institution not reviewed)</t>
        </is>
      </c>
    </row>
    <row r="151" ht="116" customHeight="1">
      <c r="A151" s="10" t="inlineStr">
        <is>
          <t>Sweden</t>
        </is>
      </c>
      <c r="B151" s="11" t="inlineStr">
        <is>
          <t>KTH Royal Institute of Technology</t>
        </is>
      </c>
      <c r="C151" s="10" t="inlineStr">
        <is>
          <t>University-wide</t>
        </is>
      </c>
      <c r="D151" s="10" t="inlineStr">
        <is>
          <t>Live/research project</t>
        </is>
      </c>
      <c r="E151" s="10" t="inlineStr">
        <is>
          <t>Openlab: Innovations for the Emerging City, MF2065</t>
        </is>
      </c>
      <c r="F151" s="10" t="inlineStr">
        <is>
          <t>KTH / Openlab university partnership</t>
        </is>
      </c>
      <c r="G151" s="10" t="inlineStr">
        <is>
          <t>Elective credit</t>
        </is>
      </c>
      <c r="H151" s="10" t="inlineStr">
        <is>
          <t>Advanced-level master’s students at KTH; partner-university students in shared teams</t>
        </is>
      </c>
      <c r="I151" s="10" t="inlineStr">
        <is>
          <t>15-credit interdisciplinary course develops proposals for city and regional clients addressing growing and sustainable cities; half-time over a semester.</t>
        </is>
      </c>
      <c r="J151" s="10" t="inlineStr">
        <is>
          <t>KTH catalogue opens course to advanced-level master’s students; not restricted to a named school.</t>
        </is>
      </c>
      <c r="K151" s="10" t="inlineStr">
        <is>
          <t>Autumn 2026 offering confirmed</t>
        </is>
      </c>
      <c r="L151" s="10" t="inlineStr">
        <is>
          <t>EU sample</t>
        </is>
      </c>
      <c r="M151" s="10" t="inlineStr">
        <is>
          <t>https://www.kth.se/student/kurser/kurs/MF2065?l=en</t>
        </is>
      </c>
      <c r="N151" s="10" t="inlineStr">
        <is>
          <t>Direct eligibility</t>
        </is>
      </c>
      <c r="O151" s="10" t="inlineStr">
        <is>
          <t>Dated 2026/27</t>
        </is>
      </c>
      <c r="P151" s="81" t="n">
        <v>46303</v>
      </c>
      <c r="Q151" s="77" t="inlineStr">
        <is>
          <t>Not yet reassessed (institution not reviewed)</t>
        </is>
      </c>
    </row>
    <row r="152" ht="116" customHeight="1">
      <c r="A152" s="10" t="inlineStr">
        <is>
          <t>Sweden</t>
        </is>
      </c>
      <c r="B152" s="11" t="inlineStr">
        <is>
          <t>Uppsala</t>
        </is>
      </c>
      <c r="C152" s="10" t="inlineStr">
        <is>
          <t>Not confirmed</t>
        </is>
      </c>
      <c r="D152" s="10" t="inlineStr">
        <is>
          <t>Interdisciplinary curriculum</t>
        </is>
      </c>
      <c r="E152" s="10" t="inlineStr">
        <is>
          <t>CEMUS student-led sustainability courses</t>
        </is>
      </c>
      <c r="F152" s="10" t="inlineStr">
        <is>
          <t>CEMUS; Uppsala / SLU joint environment</t>
        </is>
      </c>
      <c r="G152" s="10" t="inlineStr">
        <is>
          <t>Elective credit</t>
        </is>
      </c>
      <c r="H152" s="10" t="inlineStr">
        <is>
          <t>Eligible students on courses and sustainability packages; admissions apply</t>
        </is>
      </c>
      <c r="I152" s="10" t="inlineStr">
        <is>
          <t>Transdisciplinary sustainability courses are co-created with student coordinators, researchers and societal actors. Applied packages and project content vary.</t>
        </is>
      </c>
      <c r="J152" s="10" t="inlineStr">
        <is>
          <t>Official source establishes transdisciplinary courses, but academic reach across faculties is not established. A joint institutional home alone cannot settle student access.</t>
        </is>
      </c>
      <c r="K152" s="10" t="inlineStr">
        <is>
          <t>Spring 2026 courses confirmed</t>
        </is>
      </c>
      <c r="L152" s="10" t="inlineStr">
        <is>
          <t>EU sample</t>
        </is>
      </c>
      <c r="M152" s="10" t="inlineStr">
        <is>
          <t>https://www.cemus.uu.se/education/</t>
        </is>
      </c>
      <c r="N152" s="10" t="inlineStr">
        <is>
          <t>Unconfirmed reach</t>
        </is>
      </c>
      <c r="O152" s="10" t="inlineStr">
        <is>
          <t>Dated 2026/27</t>
        </is>
      </c>
      <c r="P152" s="81" t="n">
        <v>46303</v>
      </c>
      <c r="Q152" s="77" t="inlineStr">
        <is>
          <t>Not yet reassessed (institution not reviewed)</t>
        </is>
      </c>
    </row>
    <row r="153" ht="116" customHeight="1">
      <c r="A153" s="10" t="inlineStr">
        <is>
          <t>Finland</t>
        </is>
      </c>
      <c r="B153" s="11" t="inlineStr">
        <is>
          <t>Aalto</t>
        </is>
      </c>
      <c r="C153" s="10" t="inlineStr">
        <is>
          <t>University-wide</t>
        </is>
      </c>
      <c r="D153" s="10" t="inlineStr">
        <is>
          <t>Live/research project</t>
        </is>
      </c>
      <c r="E153" s="10" t="inlineStr">
        <is>
          <t>Product Development Project (PdP)</t>
        </is>
      </c>
      <c r="F153" s="10" t="inlineStr">
        <is>
          <t>Aalto Design Factory</t>
        </is>
      </c>
      <c r="G153" s="10" t="inlineStr">
        <is>
          <t>Elective credit</t>
        </is>
      </c>
      <c r="H153" s="10" t="inlineStr">
        <is>
          <t>Master’s students from all backgrounds; selection applies</t>
        </is>
      </c>
      <c r="I153" s="10" t="inlineStr">
        <is>
          <t>Two-semester teams work from an industrial sponsor’s brief to a functioning prototype, culminating in a May gala.</t>
        </is>
      </c>
      <c r="J153" s="10" t="inlineStr">
        <is>
          <t>Explicit all-background master’s eligibility; Engineering/Design/Business are common backgrounds, not exclusive eligibility.</t>
        </is>
      </c>
      <c r="K153" s="10" t="inlineStr">
        <is>
          <t>October 2026 project launch confirmed</t>
        </is>
      </c>
      <c r="L153" s="10" t="inlineStr">
        <is>
          <t>EU sample</t>
        </is>
      </c>
      <c r="M153" s="10" t="inlineStr">
        <is>
          <t>https://www.aalto.fi/en/collaborative-and-industrial-design/product-development-project
https://www.aalto.fi/en/news/from-brief-to-prototype-in-six-hours-pd6-launches-pdp-projects</t>
        </is>
      </c>
      <c r="N153" s="10" t="inlineStr">
        <is>
          <t>Direct eligibility</t>
        </is>
      </c>
      <c r="O153" s="10" t="inlineStr">
        <is>
          <t>Dated 2026/27</t>
        </is>
      </c>
      <c r="P153" s="81" t="n">
        <v>46303</v>
      </c>
      <c r="Q153" s="77" t="inlineStr">
        <is>
          <t>Not yet reassessed (institution not reviewed)</t>
        </is>
      </c>
    </row>
    <row r="154" ht="116" customHeight="1">
      <c r="A154" s="10" t="inlineStr">
        <is>
          <t>Finland</t>
        </is>
      </c>
      <c r="B154" s="11" t="inlineStr">
        <is>
          <t>Helsinki</t>
        </is>
      </c>
      <c r="C154" s="10" t="inlineStr">
        <is>
          <t>University-wide</t>
        </is>
      </c>
      <c r="D154" s="10" t="inlineStr">
        <is>
          <t>Live/research project</t>
        </is>
      </c>
      <c r="E154" s="10" t="inlineStr">
        <is>
          <t>HELSUS Co-Creation Lab</t>
        </is>
      </c>
      <c r="F154" s="10" t="inlineStr">
        <is>
          <t>Helsinki Institute of Sustainability Science</t>
        </is>
      </c>
      <c r="G154" s="10" t="inlineStr">
        <is>
          <t>Elective credit</t>
        </is>
      </c>
      <c r="H154" s="10" t="inlineStr">
        <is>
          <t>Master’s students seeking a thesis topic; thematic relevance and selection apply</t>
        </is>
      </c>
      <c r="I154" s="10" t="inlineStr">
        <is>
          <t>Facilitated co-creation with sustainability partners informs a master’s thesis, with research, interpretation and final presentation stages. Adds to normal thesis seminars.</t>
        </is>
      </c>
      <c r="J154" s="10" t="inlineStr">
        <is>
          <t>Official eligibility addresses Helsinki master’s students generally; relevant field and methods determine admission.</t>
        </is>
      </c>
      <c r="K154" s="10" t="inlineStr">
        <is>
          <t>Latest run October 2024–March 2025; next unverified</t>
        </is>
      </c>
      <c r="L154" s="10" t="inlineStr">
        <is>
          <t>EU sample</t>
        </is>
      </c>
      <c r="M154" s="10" t="inlineStr">
        <is>
          <t>https://www.helsinki.fi/en/helsinki-institute-sustainability-science/helsus-co-creation-lab</t>
        </is>
      </c>
      <c r="N154" s="10" t="inlineStr">
        <is>
          <t>Direct eligibility</t>
        </is>
      </c>
      <c r="O154" s="10" t="inlineStr">
        <is>
          <t>Dated earlier / mixed</t>
        </is>
      </c>
      <c r="P154" s="81" t="n">
        <v>46303</v>
      </c>
      <c r="Q154" s="77" t="inlineStr">
        <is>
          <t>Not yet reassessed (institution not reviewed)</t>
        </is>
      </c>
    </row>
    <row r="155" ht="116" customHeight="1">
      <c r="A155" s="10" t="inlineStr">
        <is>
          <t>Spain</t>
        </is>
      </c>
      <c r="B155" s="11" t="inlineStr">
        <is>
          <t>Barcelona</t>
        </is>
      </c>
      <c r="C155" s="10" t="inlineStr">
        <is>
          <t>Faculty/school</t>
        </is>
      </c>
      <c r="D155" s="10" t="inlineStr">
        <is>
          <t>Live/research project</t>
        </is>
      </c>
      <c r="E155" s="10" t="inlineStr">
        <is>
          <t>Service-learning in Economics and Business</t>
        </is>
      </c>
      <c r="F155" s="10" t="inlineStr">
        <is>
          <t>Faculty of Economics and Business</t>
        </is>
      </c>
      <c r="G155" s="10" t="inlineStr">
        <is>
          <t>Mixed/varies</t>
        </is>
      </c>
      <c r="H155" s="10" t="inlineStr">
        <is>
          <t>Faculty students on participating modules, placements and final projects</t>
        </is>
      </c>
      <c r="I155" s="10" t="inlineStr">
        <is>
          <t>Community service with academic learning can be embedded in required/optional subjects, placements, final projects or recognition-credit programmes.</t>
        </is>
      </c>
      <c r="J155" s="10" t="inlineStr">
        <is>
          <t>Retrieved scheme evidence is faculty-specific; cross-disciplinary methods alone do not establish all-faculty access.</t>
        </is>
      </c>
      <c r="K155" s="10" t="inlineStr">
        <is>
          <t>Official faculty page; intake unverified</t>
        </is>
      </c>
      <c r="L155" s="10" t="inlineStr">
        <is>
          <t>EU sample</t>
        </is>
      </c>
      <c r="M155" s="10" t="inlineStr">
        <is>
          <t>https://web.ub.edu/en/web/facultat-economia-empresa/compromis-social-i-aprenentatge-servei</t>
        </is>
      </c>
      <c r="N155" s="10" t="inlineStr">
        <is>
          <t>Direct eligibility</t>
        </is>
      </c>
      <c r="O155" s="10" t="inlineStr">
        <is>
          <t>Undated page</t>
        </is>
      </c>
      <c r="P155" s="81" t="n">
        <v>46303</v>
      </c>
      <c r="Q155" s="77" t="inlineStr">
        <is>
          <t>Not yet reassessed (institution not reviewed)</t>
        </is>
      </c>
    </row>
    <row r="156" ht="116" customHeight="1">
      <c r="A156" s="10" t="inlineStr">
        <is>
          <t>Spain</t>
        </is>
      </c>
      <c r="B156" s="11" t="inlineStr">
        <is>
          <t>Pompeu Fabra</t>
        </is>
      </c>
      <c r="C156" s="10" t="inlineStr">
        <is>
          <t>Not confirmed</t>
        </is>
      </c>
      <c r="D156" s="10" t="inlineStr">
        <is>
          <t>Live/research project</t>
        </is>
      </c>
      <c r="E156" s="10" t="inlineStr">
        <is>
          <t>HackLab</t>
        </is>
      </c>
      <c r="F156" s="10" t="inlineStr">
        <is>
          <t>University HackLab across three campuses</t>
        </is>
      </c>
      <c r="G156" s="10" t="inlineStr">
        <is>
          <t>Co-curricular</t>
        </is>
      </c>
      <c r="H156" s="10" t="inlineStr">
        <is>
          <t>Students proposing collaborative projects; support/selection applies</t>
        </is>
      </c>
      <c r="I156" s="10" t="inlineStr">
        <is>
          <t>Co-creation, self-learning and peer collaboration in technology, communication and digital arts, with staff support and possible project funding.</t>
        </is>
      </c>
      <c r="J156" s="10" t="inlineStr">
        <is>
          <t>Cross-campus student workshop provision; university reach inferred, no faculty exclusion stated. Academic reach remains Not confirmed until eligibility or institution-wide framework reach is established.</t>
        </is>
      </c>
      <c r="K156" s="10" t="inlineStr">
        <is>
          <t>Official page; intake unverified</t>
        </is>
      </c>
      <c r="L156" s="10" t="inlineStr">
        <is>
          <t>EU sample</t>
        </is>
      </c>
      <c r="M156" s="10" t="inlineStr">
        <is>
          <t>https://www.upf.edu/web/hacklab
https://www.upf.edu/en/web/hacklab/inici/-/asset_publisher/tlv3IC9E5ycz/content/id/157845280</t>
        </is>
      </c>
      <c r="N156" s="10" t="inlineStr">
        <is>
          <t>Unconfirmed reach</t>
        </is>
      </c>
      <c r="O156" s="10" t="inlineStr">
        <is>
          <t>Undated page</t>
        </is>
      </c>
      <c r="P156" s="81" t="n">
        <v>46303</v>
      </c>
      <c r="Q156" s="77" t="inlineStr">
        <is>
          <t>Not yet reassessed (institution not reviewed)</t>
        </is>
      </c>
    </row>
    <row r="157" ht="116" customHeight="1">
      <c r="A157" s="10" t="inlineStr">
        <is>
          <t>Italy</t>
        </is>
      </c>
      <c r="B157" s="11" t="inlineStr">
        <is>
          <t>Politecnico di Milano</t>
        </is>
      </c>
      <c r="C157" s="10" t="inlineStr">
        <is>
          <t>University-wide</t>
        </is>
      </c>
      <c r="D157" s="10" t="inlineStr">
        <is>
          <t>Live/research project</t>
        </is>
      </c>
      <c r="E157" s="10" t="inlineStr">
        <is>
          <t>Alta Scuola Politecnica (ASP)</t>
        </is>
      </c>
      <c r="F157" s="10" t="inlineStr">
        <is>
          <t>Joint Politecnico di Milano / Torino honours programme</t>
        </is>
      </c>
      <c r="G157" s="10" t="inlineStr">
        <is>
          <t>Elective credit</t>
        </is>
      </c>
      <c r="H157" s="10" t="inlineStr">
        <is>
          <t>Selected master’s entrants in Engineering, Architecture and Design</t>
        </is>
      </c>
      <c r="I157" s="10" t="inlineStr">
        <is>
          <t>Two-year interdisciplinary honours programme adds 30 credits alongside the master’s and develops innovation through collaborative projects. Published selection: 90 Milano and 60 Torino students.</t>
        </is>
      </c>
      <c r="J157" s="10" t="inlineStr">
        <is>
          <t>Covers the institution’s three principal academic areas; selective university-level honours programme, not every student.</t>
        </is>
      </c>
      <c r="K157" s="10" t="inlineStr">
        <is>
          <t>Official programme page; intake unverified</t>
        </is>
      </c>
      <c r="L157" s="10" t="inlineStr">
        <is>
          <t>EU sample</t>
        </is>
      </c>
      <c r="M157" s="10" t="inlineStr">
        <is>
          <t>https://www.deib.polimi.it/eng/asp-programme</t>
        </is>
      </c>
      <c r="N157" s="10" t="inlineStr">
        <is>
          <t>Direct eligibility</t>
        </is>
      </c>
      <c r="O157" s="10" t="inlineStr">
        <is>
          <t>Undated page</t>
        </is>
      </c>
      <c r="P157" s="81" t="n">
        <v>46303</v>
      </c>
      <c r="Q157" s="77" t="inlineStr">
        <is>
          <t>Not yet reassessed (institution not reviewed)</t>
        </is>
      </c>
    </row>
    <row r="158" ht="116" customHeight="1">
      <c r="A158" s="10" t="inlineStr">
        <is>
          <t>Spain</t>
        </is>
      </c>
      <c r="B158" s="11" t="inlineStr">
        <is>
          <t>Barcelona</t>
        </is>
      </c>
      <c r="C158" s="10" t="inlineStr">
        <is>
          <t>Cross-faculty</t>
        </is>
      </c>
      <c r="D158" s="10" t="inlineStr">
        <is>
          <t>Live/research project</t>
        </is>
      </c>
      <c r="E158" s="10" t="inlineStr">
        <is>
          <t>UB Service-learning (ApS) coordination network</t>
        </is>
      </c>
      <c r="F158" s="10" t="inlineStr">
        <is>
          <t>Interfaculty ApS working group / faculty coordinators</t>
        </is>
      </c>
      <c r="G158" s="10" t="inlineStr">
        <is>
          <t>Mixed/varies</t>
        </is>
      </c>
      <c r="H158" s="10" t="inlineStr">
        <is>
          <t>Students in participating faculty projects and courses</t>
        </is>
      </c>
      <c r="I158" s="10" t="inlineStr">
        <is>
          <t>Cross-faculty coordination promotes community-based projects integrating service and academic learning; practical delivery remains through faculty modules, placements and final projects.</t>
        </is>
      </c>
      <c r="J158" s="10" t="inlineStr">
        <is>
          <t>University report documents a network of named faculties; this is evidence of cross-faculty coordination, not universal open student access.</t>
        </is>
      </c>
      <c r="K158" s="10" t="inlineStr">
        <is>
          <t>Official report / faculty implementation evidence; current intake unverified</t>
        </is>
      </c>
      <c r="L158" s="10" t="inlineStr">
        <is>
          <t>EU sample</t>
        </is>
      </c>
      <c r="M158" s="10" t="inlineStr">
        <is>
          <t>https://diposit.ub.edu/bitstreams/5b235082-dd8b-4fa7-a433-00c41c5c1a38/download
https://web.ub.edu/en/web/facultat-economia-empresa/compromis-social-i-aprenentatge-servei</t>
        </is>
      </c>
      <c r="N158" s="10" t="inlineStr">
        <is>
          <t>Institutional framework</t>
        </is>
      </c>
      <c r="O158" s="10" t="inlineStr">
        <is>
          <t>Undated page</t>
        </is>
      </c>
      <c r="P158" s="81" t="n">
        <v>46303</v>
      </c>
      <c r="Q158" s="77" t="inlineStr">
        <is>
          <t>Not yet reassessed (institution not reviewed)</t>
        </is>
      </c>
    </row>
  </sheetData>
  <mergeCells count="3">
    <mergeCell ref="A3:F3"/>
    <mergeCell ref="A2:F2"/>
    <mergeCell ref="A4:F4"/>
  </mergeCells>
  <conditionalFormatting sqref="C7:C158">
    <cfRule type="containsText" priority="1" operator="containsText" dxfId="0" text="Not confirmed"/>
  </conditionalFormatting>
  <conditionalFormatting sqref="O7:O158">
    <cfRule type="containsText" priority="2" operator="containsText" dxfId="1" text="Paused"/>
  </conditionalFormatting>
  <dataValidations count="3">
    <dataValidation sqref="C7:C158" showDropDown="0" showInputMessage="0" showErrorMessage="0" allowBlank="0" type="list">
      <formula1>"University-wide,Cross-faculty,Faculty/school,Programme/course,Not confirmed"</formula1>
    </dataValidation>
    <dataValidation sqref="D7:D158" showDropDown="0" showInputMessage="0" showErrorMessage="0" allowBlank="0" type="list">
      <formula1>"Interdisciplinary curriculum,Live/research project,Placement/WIL,Co-curricular award,Enterprise programme,International collaboration"</formula1>
    </dataValidation>
    <dataValidation sqref="G7:G158" showDropDown="0" showInputMessage="0" showErrorMessage="0" allowBlank="0" type="list">
      <formula1>"Compulsory,Elective credit,Co-curricular,Mixed/varies,Not confirmed"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203B60"/>
    <outlinePr summaryBelow="1" summaryRight="1"/>
    <pageSetUpPr/>
  </sheetPr>
  <dimension ref="A1:Q216"/>
  <sheetViews>
    <sheetView showGridLines="0" workbookViewId="0">
      <pane xSplit="2" ySplit="6" topLeftCell="C7" activePane="bottomRight" state="frozen"/>
      <selection activeCell="A1" sqref="A1"/>
    </sheetView>
  </sheetViews>
  <sheetFormatPr baseColWidth="8" defaultRowHeight="15"/>
  <cols>
    <col width="15" customWidth="1" min="1" max="1"/>
    <col width="51" customWidth="1" min="2" max="2"/>
    <col width="27" customWidth="1" min="3" max="3"/>
    <col width="17" customWidth="1" min="4" max="4"/>
    <col width="20" customWidth="1" min="5" max="5"/>
    <col width="23" customWidth="1" min="6" max="6"/>
    <col width="23" customWidth="1" min="7" max="7"/>
    <col width="21" customWidth="1" min="8" max="8"/>
    <col width="24" customWidth="1" min="9" max="9"/>
    <col width="21" customWidth="1" min="10" max="10"/>
    <col width="22" customWidth="1" min="11" max="11"/>
    <col width="23" customWidth="1" min="12" max="12"/>
    <col width="21" customWidth="1" min="13" max="13"/>
    <col width="25" customWidth="1" min="14" max="14"/>
    <col width="27" customWidth="1" min="15" max="15"/>
    <col width="19" customWidth="1" min="16" max="16"/>
    <col width="31" customWidth="1" min="17" max="17"/>
  </cols>
  <sheetData>
    <row r="1"/>
    <row r="2" ht="28" customHeight="1">
      <c r="A2" s="4" t="inlineStr">
        <is>
          <t>UK CPD and continuing education: all HESA providers</t>
        </is>
      </c>
      <c r="G2" s="2" t="n"/>
      <c r="H2" s="2" t="n"/>
      <c r="I2" s="2" t="n"/>
      <c r="J2" s="2" t="n"/>
      <c r="K2" s="2" t="n"/>
      <c r="L2" s="2" t="n"/>
      <c r="M2" s="2" t="n"/>
      <c r="N2" s="2" t="n"/>
      <c r="O2" s="2" t="n"/>
      <c r="P2" s="2" t="n"/>
      <c r="Q2" s="2" t="n"/>
    </row>
    <row r="3" ht="36" customHeight="1">
      <c r="A3" s="6" t="inlineStr">
        <is>
          <t>Source: user-supplied HESA HE-BCI Table 2b, dt032-table-2b.csv. Actual data: 2024/25 only; 206 HE providers. Raw income inputs in GBP thousands.</t>
        </is>
      </c>
      <c r="G3" s="2" t="n"/>
      <c r="H3" s="2" t="n"/>
      <c r="I3" s="2" t="n"/>
      <c r="J3" s="2" t="n"/>
      <c r="K3" s="2" t="n"/>
      <c r="L3" s="2" t="n"/>
      <c r="M3" s="2" t="n"/>
      <c r="N3" s="2" t="n"/>
      <c r="O3" s="2" t="n"/>
      <c r="P3" s="2" t="n"/>
      <c r="Q3" s="2" t="n"/>
    </row>
    <row r="4" ht="36" customHeight="1">
      <c r="A4" s="6" t="inlineStr">
        <is>
          <t>Learner days are rounded reported figures; zero days with income do not prove no learners. Published Total is a separate control, excluded from provider sums. CPD/CE does not capture every lifelong-learning activity.</t>
        </is>
      </c>
      <c r="G4" s="2" t="n"/>
      <c r="H4" s="2" t="n"/>
      <c r="I4" s="2" t="n"/>
      <c r="J4" s="2" t="n"/>
      <c r="K4" s="2" t="n"/>
      <c r="L4" s="2" t="n"/>
      <c r="M4" s="2" t="n"/>
      <c r="N4" s="2" t="n"/>
      <c r="O4" s="2" t="n"/>
      <c r="P4" s="2" t="n"/>
      <c r="Q4" s="2" t="n"/>
    </row>
    <row r="5">
      <c r="A5" s="2" t="n"/>
      <c r="B5" s="2" t="n"/>
      <c r="C5" s="2" t="n"/>
      <c r="D5" s="2" t="n"/>
      <c r="E5" s="2" t="n"/>
      <c r="F5" s="2" t="n"/>
      <c r="G5" s="2" t="n"/>
      <c r="H5" s="2" t="n"/>
      <c r="I5" s="2" t="n"/>
      <c r="J5" s="2" t="n"/>
      <c r="K5" s="2" t="n"/>
      <c r="L5" s="2" t="n"/>
      <c r="M5" s="2" t="n"/>
      <c r="N5" s="2" t="n"/>
      <c r="O5" s="2" t="n"/>
      <c r="P5" s="2" t="n"/>
      <c r="Q5" s="2" t="n"/>
    </row>
    <row r="6" ht="40" customHeight="1">
      <c r="A6" s="9" t="inlineStr">
        <is>
          <t>UKPRN</t>
        </is>
      </c>
      <c r="B6" s="9" t="inlineStr">
        <is>
          <t>HESA provider name</t>
        </is>
      </c>
      <c r="C6" s="9" t="inlineStr">
        <is>
          <t>Research cohort</t>
        </is>
      </c>
      <c r="D6" s="9" t="inlineStr">
        <is>
          <t>Academic year</t>
        </is>
      </c>
      <c r="E6" s="9" t="inlineStr">
        <is>
          <t>SMEs (£000)</t>
        </is>
      </c>
      <c r="F6" s="9" t="inlineStr">
        <is>
          <t>Other commercial (£000)</t>
        </is>
      </c>
      <c r="G6" s="9" t="inlineStr">
        <is>
          <t>Non-commercial (£000)</t>
        </is>
      </c>
      <c r="H6" s="9" t="inlineStr">
        <is>
          <t>Individuals (£000)</t>
        </is>
      </c>
      <c r="I6" s="9" t="inlineStr">
        <is>
          <t>Total CPD/CE (£000)</t>
        </is>
      </c>
      <c r="J6" s="9" t="inlineStr">
        <is>
          <t>Learner days</t>
        </is>
      </c>
      <c r="K6" s="9" t="inlineStr">
        <is>
          <t>Total income (£m)</t>
        </is>
      </c>
      <c r="L6" s="9" t="inlineStr">
        <is>
          <t>Organisations (£m)</t>
        </is>
      </c>
      <c r="M6" s="9" t="inlineStr">
        <is>
          <t>Individuals share</t>
        </is>
      </c>
      <c r="N6" s="9" t="inlineStr">
        <is>
          <t>Income per learner day (£)</t>
        </is>
      </c>
      <c r="O6" s="9" t="inlineStr">
        <is>
          <t>Components − total (£000)</t>
        </is>
      </c>
      <c r="P6" s="9" t="inlineStr">
        <is>
          <t>Revenue rank</t>
        </is>
      </c>
      <c r="Q6" s="9" t="inlineStr">
        <is>
          <t>Chart label</t>
        </is>
      </c>
    </row>
    <row r="7" ht="46" customHeight="1">
      <c r="A7" s="10" t="inlineStr">
        <is>
          <t>10007769</t>
        </is>
      </c>
      <c r="B7" s="11" t="inlineStr">
        <is>
          <t>London Business School</t>
        </is>
      </c>
      <c r="C7" s="10" t="inlineStr">
        <is>
          <t>Other HE provider</t>
        </is>
      </c>
      <c r="D7" s="10" t="inlineStr">
        <is>
          <t>2024/25</t>
        </is>
      </c>
      <c r="E7" s="82" t="n">
        <v>0</v>
      </c>
      <c r="F7" s="82" t="n">
        <v>27000</v>
      </c>
      <c r="G7" s="82" t="n">
        <v>11000</v>
      </c>
      <c r="H7" s="82" t="n">
        <v>32000</v>
      </c>
      <c r="I7" s="82" t="n">
        <v>70000</v>
      </c>
      <c r="J7" s="82" t="n">
        <v>67600</v>
      </c>
      <c r="K7" s="83">
        <f>I7/1000</f>
        <v/>
      </c>
      <c r="L7" s="83">
        <f>SUM(E7:G7)/1000</f>
        <v/>
      </c>
      <c r="M7" s="84">
        <f>IF(I7=0,"n.a.",H7/I7)</f>
        <v/>
      </c>
      <c r="N7" s="82">
        <f>IF(J7=0,"n.a.",I7*1000/J7)</f>
        <v/>
      </c>
      <c r="O7" s="82">
        <f>SUM(E7:H7)-I7</f>
        <v/>
      </c>
      <c r="P7" s="82">
        <f>RANK(I7,$I$7:$I$212,0)+COUNTIF($I$7:I7,I7)-1</f>
        <v/>
      </c>
      <c r="Q7" s="10" t="inlineStr">
        <is>
          <t>London Business School</t>
        </is>
      </c>
    </row>
    <row r="8" ht="46" customHeight="1">
      <c r="A8" s="10" t="inlineStr">
        <is>
          <t>10007774</t>
        </is>
      </c>
      <c r="B8" s="11" t="inlineStr">
        <is>
          <t>The University of Oxford</t>
        </is>
      </c>
      <c r="C8" s="10" t="inlineStr">
        <is>
          <t>Russell Group</t>
        </is>
      </c>
      <c r="D8" s="10" t="inlineStr">
        <is>
          <t>2024/25</t>
        </is>
      </c>
      <c r="E8" s="82" t="n">
        <v>3704</v>
      </c>
      <c r="F8" s="82" t="n">
        <v>21117</v>
      </c>
      <c r="G8" s="82" t="n">
        <v>5725</v>
      </c>
      <c r="H8" s="82" t="n">
        <v>14186</v>
      </c>
      <c r="I8" s="82" t="n">
        <v>44732</v>
      </c>
      <c r="J8" s="82" t="n">
        <v>42976</v>
      </c>
      <c r="K8" s="83">
        <f>I8/1000</f>
        <v/>
      </c>
      <c r="L8" s="83">
        <f>SUM(E8:G8)/1000</f>
        <v/>
      </c>
      <c r="M8" s="84">
        <f>IF(I8=0,"n.a.",H8/I8)</f>
        <v/>
      </c>
      <c r="N8" s="82">
        <f>IF(J8=0,"n.a.",I8*1000/J8)</f>
        <v/>
      </c>
      <c r="O8" s="82">
        <f>SUM(E8:H8)-I8</f>
        <v/>
      </c>
      <c r="P8" s="82">
        <f>RANK(I8,$I$7:$I$212,0)+COUNTIF($I$7:I8,I8)-1</f>
        <v/>
      </c>
      <c r="Q8" s="10" t="inlineStr">
        <is>
          <t>Oxford</t>
        </is>
      </c>
    </row>
    <row r="9" ht="46" customHeight="1">
      <c r="A9" s="10" t="inlineStr">
        <is>
          <t>10007788</t>
        </is>
      </c>
      <c r="B9" s="11" t="inlineStr">
        <is>
          <t>The University of Cambridge</t>
        </is>
      </c>
      <c r="C9" s="10" t="inlineStr">
        <is>
          <t>Russell Group</t>
        </is>
      </c>
      <c r="D9" s="10" t="inlineStr">
        <is>
          <t>2024/25</t>
        </is>
      </c>
      <c r="E9" s="82" t="n">
        <v>1968</v>
      </c>
      <c r="F9" s="82" t="n">
        <v>21032</v>
      </c>
      <c r="G9" s="82" t="n">
        <v>7061</v>
      </c>
      <c r="H9" s="82" t="n">
        <v>12682</v>
      </c>
      <c r="I9" s="82" t="n">
        <v>42743</v>
      </c>
      <c r="J9" s="82" t="n">
        <v>67144</v>
      </c>
      <c r="K9" s="83">
        <f>I9/1000</f>
        <v/>
      </c>
      <c r="L9" s="83">
        <f>SUM(E9:G9)/1000</f>
        <v/>
      </c>
      <c r="M9" s="84">
        <f>IF(I9=0,"n.a.",H9/I9)</f>
        <v/>
      </c>
      <c r="N9" s="82">
        <f>IF(J9=0,"n.a.",I9*1000/J9)</f>
        <v/>
      </c>
      <c r="O9" s="82">
        <f>SUM(E9:H9)-I9</f>
        <v/>
      </c>
      <c r="P9" s="82">
        <f>RANK(I9,$I$7:$I$212,0)+COUNTIF($I$7:I9,I9)-1</f>
        <v/>
      </c>
      <c r="Q9" s="10" t="inlineStr">
        <is>
          <t>Cambridge</t>
        </is>
      </c>
    </row>
    <row r="10" ht="46" customHeight="1">
      <c r="A10" s="10" t="inlineStr">
        <is>
          <t>10003645</t>
        </is>
      </c>
      <c r="B10" s="11" t="inlineStr">
        <is>
          <t>King's College London</t>
        </is>
      </c>
      <c r="C10" s="10" t="inlineStr">
        <is>
          <t>Russell Group</t>
        </is>
      </c>
      <c r="D10" s="10" t="inlineStr">
        <is>
          <t>2024/25</t>
        </is>
      </c>
      <c r="E10" s="82" t="n">
        <v>211</v>
      </c>
      <c r="F10" s="82" t="n">
        <v>2446</v>
      </c>
      <c r="G10" s="82" t="n">
        <v>23909</v>
      </c>
      <c r="H10" s="82" t="n">
        <v>14378</v>
      </c>
      <c r="I10" s="82" t="n">
        <v>40944</v>
      </c>
      <c r="J10" s="82" t="n">
        <v>140204</v>
      </c>
      <c r="K10" s="83">
        <f>I10/1000</f>
        <v/>
      </c>
      <c r="L10" s="83">
        <f>SUM(E10:G10)/1000</f>
        <v/>
      </c>
      <c r="M10" s="84">
        <f>IF(I10=0,"n.a.",H10/I10)</f>
        <v/>
      </c>
      <c r="N10" s="82">
        <f>IF(J10=0,"n.a.",I10*1000/J10)</f>
        <v/>
      </c>
      <c r="O10" s="82">
        <f>SUM(E10:H10)-I10</f>
        <v/>
      </c>
      <c r="P10" s="82">
        <f>RANK(I10,$I$7:$I$212,0)+COUNTIF($I$7:I10,I10)-1</f>
        <v/>
      </c>
      <c r="Q10" s="10" t="inlineStr">
        <is>
          <t>King’s College London</t>
        </is>
      </c>
    </row>
    <row r="11" ht="46" customHeight="1">
      <c r="A11" s="10" t="inlineStr">
        <is>
          <t>10004063</t>
        </is>
      </c>
      <c r="B11" s="11" t="inlineStr">
        <is>
          <t>London School of Economics and Political Science</t>
        </is>
      </c>
      <c r="C11" s="10" t="inlineStr">
        <is>
          <t>Russell Group</t>
        </is>
      </c>
      <c r="D11" s="10" t="inlineStr">
        <is>
          <t>2024/25</t>
        </is>
      </c>
      <c r="E11" s="82" t="n">
        <v>57</v>
      </c>
      <c r="F11" s="82" t="n">
        <v>1341</v>
      </c>
      <c r="G11" s="82" t="n">
        <v>2348</v>
      </c>
      <c r="H11" s="82" t="n">
        <v>30030</v>
      </c>
      <c r="I11" s="82" t="n">
        <v>33776</v>
      </c>
      <c r="J11" s="82" t="n">
        <v>71917</v>
      </c>
      <c r="K11" s="83">
        <f>I11/1000</f>
        <v/>
      </c>
      <c r="L11" s="83">
        <f>SUM(E11:G11)/1000</f>
        <v/>
      </c>
      <c r="M11" s="84">
        <f>IF(I11=0,"n.a.",H11/I11)</f>
        <v/>
      </c>
      <c r="N11" s="82">
        <f>IF(J11=0,"n.a.",I11*1000/J11)</f>
        <v/>
      </c>
      <c r="O11" s="82">
        <f>SUM(E11:H11)-I11</f>
        <v/>
      </c>
      <c r="P11" s="82">
        <f>RANK(I11,$I$7:$I$212,0)+COUNTIF($I$7:I11,I11)-1</f>
        <v/>
      </c>
      <c r="Q11" s="10" t="inlineStr">
        <is>
          <t>London School of Economics</t>
        </is>
      </c>
    </row>
    <row r="12" ht="46" customHeight="1">
      <c r="A12" s="10" t="inlineStr">
        <is>
          <t>10007798</t>
        </is>
      </c>
      <c r="B12" s="11" t="inlineStr">
        <is>
          <t>The University of Manchester</t>
        </is>
      </c>
      <c r="C12" s="10" t="inlineStr">
        <is>
          <t>Russell Group</t>
        </is>
      </c>
      <c r="D12" s="10" t="inlineStr">
        <is>
          <t>2024/25</t>
        </is>
      </c>
      <c r="E12" s="82" t="n">
        <v>560</v>
      </c>
      <c r="F12" s="82" t="n">
        <v>3063</v>
      </c>
      <c r="G12" s="82" t="n">
        <v>9581</v>
      </c>
      <c r="H12" s="82" t="n">
        <v>9676</v>
      </c>
      <c r="I12" s="82" t="n">
        <v>22880</v>
      </c>
      <c r="J12" s="82" t="n">
        <v>323834</v>
      </c>
      <c r="K12" s="83">
        <f>I12/1000</f>
        <v/>
      </c>
      <c r="L12" s="83">
        <f>SUM(E12:G12)/1000</f>
        <v/>
      </c>
      <c r="M12" s="84">
        <f>IF(I12=0,"n.a.",H12/I12)</f>
        <v/>
      </c>
      <c r="N12" s="82">
        <f>IF(J12=0,"n.a.",I12*1000/J12)</f>
        <v/>
      </c>
      <c r="O12" s="82">
        <f>SUM(E12:H12)-I12</f>
        <v/>
      </c>
      <c r="P12" s="82">
        <f>RANK(I12,$I$7:$I$212,0)+COUNTIF($I$7:I12,I12)-1</f>
        <v/>
      </c>
      <c r="Q12" s="10" t="inlineStr">
        <is>
          <t>Manchester</t>
        </is>
      </c>
    </row>
    <row r="13" ht="46" customHeight="1">
      <c r="A13" s="10" t="inlineStr">
        <is>
          <t>10007822</t>
        </is>
      </c>
      <c r="B13" s="11" t="inlineStr">
        <is>
          <t>Cranfield University</t>
        </is>
      </c>
      <c r="C13" s="10" t="inlineStr">
        <is>
          <t>Other HE provider</t>
        </is>
      </c>
      <c r="D13" s="10" t="inlineStr">
        <is>
          <t>2024/25</t>
        </is>
      </c>
      <c r="E13" s="82" t="n">
        <v>331</v>
      </c>
      <c r="F13" s="82" t="n">
        <v>10978</v>
      </c>
      <c r="G13" s="82" t="n">
        <v>7770</v>
      </c>
      <c r="H13" s="82" t="n">
        <v>150</v>
      </c>
      <c r="I13" s="82" t="n">
        <v>19229</v>
      </c>
      <c r="J13" s="82" t="n">
        <v>39697</v>
      </c>
      <c r="K13" s="83">
        <f>I13/1000</f>
        <v/>
      </c>
      <c r="L13" s="83">
        <f>SUM(E13:G13)/1000</f>
        <v/>
      </c>
      <c r="M13" s="84">
        <f>IF(I13=0,"n.a.",H13/I13)</f>
        <v/>
      </c>
      <c r="N13" s="82">
        <f>IF(J13=0,"n.a.",I13*1000/J13)</f>
        <v/>
      </c>
      <c r="O13" s="82">
        <f>SUM(E13:H13)-I13</f>
        <v/>
      </c>
      <c r="P13" s="82">
        <f>RANK(I13,$I$7:$I$212,0)+COUNTIF($I$7:I13,I13)-1</f>
        <v/>
      </c>
      <c r="Q13" s="10" t="inlineStr">
        <is>
          <t>Cranfield</t>
        </is>
      </c>
    </row>
    <row r="14" ht="46" customHeight="1">
      <c r="A14" s="10" t="inlineStr">
        <is>
          <t>10007805</t>
        </is>
      </c>
      <c r="B14" s="11" t="inlineStr">
        <is>
          <t>The University of Strathclyde</t>
        </is>
      </c>
      <c r="C14" s="10" t="inlineStr">
        <is>
          <t>Additional UK sample</t>
        </is>
      </c>
      <c r="D14" s="10" t="inlineStr">
        <is>
          <t>2024/25</t>
        </is>
      </c>
      <c r="E14" s="82" t="n">
        <v>280</v>
      </c>
      <c r="F14" s="82" t="n">
        <v>1714</v>
      </c>
      <c r="G14" s="82" t="n">
        <v>7453</v>
      </c>
      <c r="H14" s="82" t="n">
        <v>7681</v>
      </c>
      <c r="I14" s="82" t="n">
        <v>17128</v>
      </c>
      <c r="J14" s="82" t="n">
        <v>0</v>
      </c>
      <c r="K14" s="83">
        <f>I14/1000</f>
        <v/>
      </c>
      <c r="L14" s="83">
        <f>SUM(E14:G14)/1000</f>
        <v/>
      </c>
      <c r="M14" s="84">
        <f>IF(I14=0,"n.a.",H14/I14)</f>
        <v/>
      </c>
      <c r="N14" s="82">
        <f>IF(J14=0,"n.a.",I14*1000/J14)</f>
        <v/>
      </c>
      <c r="O14" s="82">
        <f>SUM(E14:H14)-I14</f>
        <v/>
      </c>
      <c r="P14" s="82">
        <f>RANK(I14,$I$7:$I$212,0)+COUNTIF($I$7:I14,I14)-1</f>
        <v/>
      </c>
      <c r="Q14" s="10" t="inlineStr">
        <is>
          <t>Strathclyde</t>
        </is>
      </c>
    </row>
    <row r="15" ht="46" customHeight="1">
      <c r="A15" s="10" t="inlineStr">
        <is>
          <t>10007784</t>
        </is>
      </c>
      <c r="B15" s="11" t="inlineStr">
        <is>
          <t>University College London</t>
        </is>
      </c>
      <c r="C15" s="10" t="inlineStr">
        <is>
          <t>Russell Group</t>
        </is>
      </c>
      <c r="D15" s="10" t="inlineStr">
        <is>
          <t>2024/25</t>
        </is>
      </c>
      <c r="E15" s="82" t="n">
        <v>591</v>
      </c>
      <c r="F15" s="82" t="n">
        <v>1486</v>
      </c>
      <c r="G15" s="82" t="n">
        <v>435</v>
      </c>
      <c r="H15" s="82" t="n">
        <v>14225</v>
      </c>
      <c r="I15" s="82" t="n">
        <v>16737</v>
      </c>
      <c r="J15" s="82" t="n">
        <v>85424</v>
      </c>
      <c r="K15" s="83">
        <f>I15/1000</f>
        <v/>
      </c>
      <c r="L15" s="83">
        <f>SUM(E15:G15)/1000</f>
        <v/>
      </c>
      <c r="M15" s="84">
        <f>IF(I15=0,"n.a.",H15/I15)</f>
        <v/>
      </c>
      <c r="N15" s="82">
        <f>IF(J15=0,"n.a.",I15*1000/J15)</f>
        <v/>
      </c>
      <c r="O15" s="82">
        <f>SUM(E15:H15)-I15</f>
        <v/>
      </c>
      <c r="P15" s="82">
        <f>RANK(I15,$I$7:$I$212,0)+COUNTIF($I$7:I15,I15)-1</f>
        <v/>
      </c>
      <c r="Q15" s="10" t="inlineStr">
        <is>
          <t>UCL</t>
        </is>
      </c>
    </row>
    <row r="16" ht="46" customHeight="1">
      <c r="A16" s="10" t="inlineStr">
        <is>
          <t>10007141</t>
        </is>
      </c>
      <c r="B16" s="11" t="inlineStr">
        <is>
          <t>University of Lancashire</t>
        </is>
      </c>
      <c r="C16" s="10" t="inlineStr">
        <is>
          <t>Other HE provider</t>
        </is>
      </c>
      <c r="D16" s="10" t="inlineStr">
        <is>
          <t>2024/25</t>
        </is>
      </c>
      <c r="E16" s="82" t="n">
        <v>299</v>
      </c>
      <c r="F16" s="82" t="n">
        <v>1067</v>
      </c>
      <c r="G16" s="82" t="n">
        <v>14112</v>
      </c>
      <c r="H16" s="82" t="n">
        <v>787</v>
      </c>
      <c r="I16" s="82" t="n">
        <v>16265</v>
      </c>
      <c r="J16" s="82" t="n">
        <v>90361</v>
      </c>
      <c r="K16" s="83">
        <f>I16/1000</f>
        <v/>
      </c>
      <c r="L16" s="83">
        <f>SUM(E16:G16)/1000</f>
        <v/>
      </c>
      <c r="M16" s="84">
        <f>IF(I16=0,"n.a.",H16/I16)</f>
        <v/>
      </c>
      <c r="N16" s="82">
        <f>IF(J16=0,"n.a.",I16*1000/J16)</f>
        <v/>
      </c>
      <c r="O16" s="82">
        <f>SUM(E16:H16)-I16</f>
        <v/>
      </c>
      <c r="P16" s="82">
        <f>RANK(I16,$I$7:$I$212,0)+COUNTIF($I$7:I16,I16)-1</f>
        <v/>
      </c>
      <c r="Q16" s="10" t="inlineStr">
        <is>
          <t>Lancashire</t>
        </is>
      </c>
    </row>
    <row r="17" ht="46" customHeight="1">
      <c r="A17" s="10" t="inlineStr">
        <is>
          <t>10007790</t>
        </is>
      </c>
      <c r="B17" s="11" t="inlineStr">
        <is>
          <t>The University of Edinburgh</t>
        </is>
      </c>
      <c r="C17" s="10" t="inlineStr">
        <is>
          <t>Russell Group</t>
        </is>
      </c>
      <c r="D17" s="10" t="inlineStr">
        <is>
          <t>2024/25</t>
        </is>
      </c>
      <c r="E17" s="82" t="n">
        <v>0</v>
      </c>
      <c r="F17" s="82" t="n">
        <v>0</v>
      </c>
      <c r="G17" s="82" t="n">
        <v>0</v>
      </c>
      <c r="H17" s="82" t="n">
        <v>15702</v>
      </c>
      <c r="I17" s="82" t="n">
        <v>15702</v>
      </c>
      <c r="J17" s="82" t="n">
        <v>0</v>
      </c>
      <c r="K17" s="83">
        <f>I17/1000</f>
        <v/>
      </c>
      <c r="L17" s="83">
        <f>SUM(E17:G17)/1000</f>
        <v/>
      </c>
      <c r="M17" s="84">
        <f>IF(I17=0,"n.a.",H17/I17)</f>
        <v/>
      </c>
      <c r="N17" s="82">
        <f>IF(J17=0,"n.a.",I17*1000/J17)</f>
        <v/>
      </c>
      <c r="O17" s="82">
        <f>SUM(E17:H17)-I17</f>
        <v/>
      </c>
      <c r="P17" s="82">
        <f>RANK(I17,$I$7:$I$212,0)+COUNTIF($I$7:I17,I17)-1</f>
        <v/>
      </c>
      <c r="Q17" s="10" t="inlineStr">
        <is>
          <t>Edinburgh</t>
        </is>
      </c>
    </row>
    <row r="18" ht="46" customHeight="1">
      <c r="A18" s="10" t="inlineStr">
        <is>
          <t>10003270</t>
        </is>
      </c>
      <c r="B18" s="11" t="inlineStr">
        <is>
          <t>Imperial College of Science, Technology and Medicine</t>
        </is>
      </c>
      <c r="C18" s="10" t="inlineStr">
        <is>
          <t>Russell Group</t>
        </is>
      </c>
      <c r="D18" s="10" t="inlineStr">
        <is>
          <t>2024/25</t>
        </is>
      </c>
      <c r="E18" s="82" t="n">
        <v>3</v>
      </c>
      <c r="F18" s="82" t="n">
        <v>4632</v>
      </c>
      <c r="G18" s="82" t="n">
        <v>951</v>
      </c>
      <c r="H18" s="82" t="n">
        <v>9964</v>
      </c>
      <c r="I18" s="82" t="n">
        <v>15550</v>
      </c>
      <c r="J18" s="82" t="n">
        <v>137817</v>
      </c>
      <c r="K18" s="83">
        <f>I18/1000</f>
        <v/>
      </c>
      <c r="L18" s="83">
        <f>SUM(E18:G18)/1000</f>
        <v/>
      </c>
      <c r="M18" s="84">
        <f>IF(I18=0,"n.a.",H18/I18)</f>
        <v/>
      </c>
      <c r="N18" s="82">
        <f>IF(J18=0,"n.a.",I18*1000/J18)</f>
        <v/>
      </c>
      <c r="O18" s="82">
        <f>SUM(E18:H18)-I18</f>
        <v/>
      </c>
      <c r="P18" s="82">
        <f>RANK(I18,$I$7:$I$212,0)+COUNTIF($I$7:I18,I18)-1</f>
        <v/>
      </c>
      <c r="Q18" s="10" t="inlineStr">
        <is>
          <t>Imperial College London</t>
        </is>
      </c>
    </row>
    <row r="19" ht="46" customHeight="1">
      <c r="A19" s="10" t="inlineStr">
        <is>
          <t>10007775</t>
        </is>
      </c>
      <c r="B19" s="11" t="inlineStr">
        <is>
          <t>Queen Mary University of London</t>
        </is>
      </c>
      <c r="C19" s="10" t="inlineStr">
        <is>
          <t>Russell Group</t>
        </is>
      </c>
      <c r="D19" s="10" t="inlineStr">
        <is>
          <t>2024/25</t>
        </is>
      </c>
      <c r="E19" s="82" t="n">
        <v>4</v>
      </c>
      <c r="F19" s="82" t="n">
        <v>9</v>
      </c>
      <c r="G19" s="82" t="n">
        <v>0</v>
      </c>
      <c r="H19" s="82" t="n">
        <v>11965</v>
      </c>
      <c r="I19" s="82" t="n">
        <v>11978</v>
      </c>
      <c r="J19" s="82" t="n">
        <v>0</v>
      </c>
      <c r="K19" s="83">
        <f>I19/1000</f>
        <v/>
      </c>
      <c r="L19" s="83">
        <f>SUM(E19:G19)/1000</f>
        <v/>
      </c>
      <c r="M19" s="84">
        <f>IF(I19=0,"n.a.",H19/I19)</f>
        <v/>
      </c>
      <c r="N19" s="82">
        <f>IF(J19=0,"n.a.",I19*1000/J19)</f>
        <v/>
      </c>
      <c r="O19" s="82">
        <f>SUM(E19:H19)-I19</f>
        <v/>
      </c>
      <c r="P19" s="82">
        <f>RANK(I19,$I$7:$I$212,0)+COUNTIF($I$7:I19,I19)-1</f>
        <v/>
      </c>
      <c r="Q19" s="10" t="inlineStr">
        <is>
          <t>Queen Mary University of London</t>
        </is>
      </c>
    </row>
    <row r="20" ht="46" customHeight="1">
      <c r="A20" s="10" t="inlineStr">
        <is>
          <t>10007802</t>
        </is>
      </c>
      <c r="B20" s="11" t="inlineStr">
        <is>
          <t>The University of Reading</t>
        </is>
      </c>
      <c r="C20" s="10" t="inlineStr">
        <is>
          <t>Additional UK sample</t>
        </is>
      </c>
      <c r="D20" s="10" t="inlineStr">
        <is>
          <t>2024/25</t>
        </is>
      </c>
      <c r="E20" s="82" t="n">
        <v>0</v>
      </c>
      <c r="F20" s="82" t="n">
        <v>11763</v>
      </c>
      <c r="G20" s="82" t="n">
        <v>0</v>
      </c>
      <c r="H20" s="82" t="n">
        <v>205</v>
      </c>
      <c r="I20" s="82" t="n">
        <v>11968</v>
      </c>
      <c r="J20" s="82" t="n">
        <v>16548</v>
      </c>
      <c r="K20" s="83">
        <f>I20/1000</f>
        <v/>
      </c>
      <c r="L20" s="83">
        <f>SUM(E20:G20)/1000</f>
        <v/>
      </c>
      <c r="M20" s="84">
        <f>IF(I20=0,"n.a.",H20/I20)</f>
        <v/>
      </c>
      <c r="N20" s="82">
        <f>IF(J20=0,"n.a.",I20*1000/J20)</f>
        <v/>
      </c>
      <c r="O20" s="82">
        <f>SUM(E20:H20)-I20</f>
        <v/>
      </c>
      <c r="P20" s="82">
        <f>RANK(I20,$I$7:$I$212,0)+COUNTIF($I$7:I20,I20)-1</f>
        <v/>
      </c>
      <c r="Q20" s="10" t="inlineStr">
        <is>
          <t>Reading</t>
        </is>
      </c>
    </row>
    <row r="21" ht="46" customHeight="1">
      <c r="A21" s="10" t="inlineStr">
        <is>
          <t>10000291</t>
        </is>
      </c>
      <c r="B21" s="11" t="inlineStr">
        <is>
          <t>Anglia Ruskin University</t>
        </is>
      </c>
      <c r="C21" s="10" t="inlineStr">
        <is>
          <t>Other HE provider</t>
        </is>
      </c>
      <c r="D21" s="10" t="inlineStr">
        <is>
          <t>2024/25</t>
        </is>
      </c>
      <c r="E21" s="82" t="n">
        <v>942</v>
      </c>
      <c r="F21" s="82" t="n">
        <v>2825</v>
      </c>
      <c r="G21" s="82" t="n">
        <v>7768</v>
      </c>
      <c r="H21" s="82" t="n">
        <v>235</v>
      </c>
      <c r="I21" s="82" t="n">
        <v>11770</v>
      </c>
      <c r="J21" s="82" t="n">
        <v>93717</v>
      </c>
      <c r="K21" s="83">
        <f>I21/1000</f>
        <v/>
      </c>
      <c r="L21" s="83">
        <f>SUM(E21:G21)/1000</f>
        <v/>
      </c>
      <c r="M21" s="84">
        <f>IF(I21=0,"n.a.",H21/I21)</f>
        <v/>
      </c>
      <c r="N21" s="82">
        <f>IF(J21=0,"n.a.",I21*1000/J21)</f>
        <v/>
      </c>
      <c r="O21" s="82">
        <f>SUM(E21:H21)-I21</f>
        <v/>
      </c>
      <c r="P21" s="82">
        <f>RANK(I21,$I$7:$I$212,0)+COUNTIF($I$7:I21,I21)-1</f>
        <v/>
      </c>
      <c r="Q21" s="10" t="inlineStr">
        <is>
          <t>Anglia Ruskin</t>
        </is>
      </c>
    </row>
    <row r="22" ht="46" customHeight="1">
      <c r="A22" s="10" t="inlineStr">
        <is>
          <t>10001143</t>
        </is>
      </c>
      <c r="B22" s="11" t="inlineStr">
        <is>
          <t>Canterbury Christ Church University</t>
        </is>
      </c>
      <c r="C22" s="10" t="inlineStr">
        <is>
          <t>Other HE provider</t>
        </is>
      </c>
      <c r="D22" s="10" t="inlineStr">
        <is>
          <t>2024/25</t>
        </is>
      </c>
      <c r="E22" s="82" t="n">
        <v>1998</v>
      </c>
      <c r="F22" s="82" t="n">
        <v>1243</v>
      </c>
      <c r="G22" s="82" t="n">
        <v>5084</v>
      </c>
      <c r="H22" s="82" t="n">
        <v>3389</v>
      </c>
      <c r="I22" s="82" t="n">
        <v>11714</v>
      </c>
      <c r="J22" s="82" t="n">
        <v>35210</v>
      </c>
      <c r="K22" s="83">
        <f>I22/1000</f>
        <v/>
      </c>
      <c r="L22" s="83">
        <f>SUM(E22:G22)/1000</f>
        <v/>
      </c>
      <c r="M22" s="84">
        <f>IF(I22=0,"n.a.",H22/I22)</f>
        <v/>
      </c>
      <c r="N22" s="82">
        <f>IF(J22=0,"n.a.",I22*1000/J22)</f>
        <v/>
      </c>
      <c r="O22" s="82">
        <f>SUM(E22:H22)-I22</f>
        <v/>
      </c>
      <c r="P22" s="82">
        <f>RANK(I22,$I$7:$I$212,0)+COUNTIF($I$7:I22,I22)-1</f>
        <v/>
      </c>
      <c r="Q22" s="10" t="inlineStr">
        <is>
          <t>Canterbury Christ Church</t>
        </is>
      </c>
    </row>
    <row r="23" ht="46" customHeight="1">
      <c r="A23" s="10" t="inlineStr">
        <is>
          <t>10001726</t>
        </is>
      </c>
      <c r="B23" s="11" t="inlineStr">
        <is>
          <t>Coventry University</t>
        </is>
      </c>
      <c r="C23" s="10" t="inlineStr">
        <is>
          <t>Additional UK sample</t>
        </is>
      </c>
      <c r="D23" s="10" t="inlineStr">
        <is>
          <t>2024/25</t>
        </is>
      </c>
      <c r="E23" s="82" t="n">
        <v>176</v>
      </c>
      <c r="F23" s="82" t="n">
        <v>2895</v>
      </c>
      <c r="G23" s="82" t="n">
        <v>1867</v>
      </c>
      <c r="H23" s="82" t="n">
        <v>6722</v>
      </c>
      <c r="I23" s="82" t="n">
        <v>11660</v>
      </c>
      <c r="J23" s="82" t="n">
        <v>124930</v>
      </c>
      <c r="K23" s="83">
        <f>I23/1000</f>
        <v/>
      </c>
      <c r="L23" s="83">
        <f>SUM(E23:G23)/1000</f>
        <v/>
      </c>
      <c r="M23" s="84">
        <f>IF(I23=0,"n.a.",H23/I23)</f>
        <v/>
      </c>
      <c r="N23" s="82">
        <f>IF(J23=0,"n.a.",I23*1000/J23)</f>
        <v/>
      </c>
      <c r="O23" s="82">
        <f>SUM(E23:H23)-I23</f>
        <v/>
      </c>
      <c r="P23" s="82">
        <f>RANK(I23,$I$7:$I$212,0)+COUNTIF($I$7:I23,I23)-1</f>
        <v/>
      </c>
      <c r="Q23" s="10" t="inlineStr">
        <is>
          <t>Coventry</t>
        </is>
      </c>
    </row>
    <row r="24" ht="46" customHeight="1">
      <c r="A24" s="10" t="inlineStr">
        <is>
          <t>10007814</t>
        </is>
      </c>
      <c r="B24" s="11" t="inlineStr">
        <is>
          <t>Cardiff University</t>
        </is>
      </c>
      <c r="C24" s="10" t="inlineStr">
        <is>
          <t>Russell Group</t>
        </is>
      </c>
      <c r="D24" s="10" t="inlineStr">
        <is>
          <t>2024/25</t>
        </is>
      </c>
      <c r="E24" s="82" t="n">
        <v>2080</v>
      </c>
      <c r="F24" s="82" t="n">
        <v>812</v>
      </c>
      <c r="G24" s="82" t="n">
        <v>6290</v>
      </c>
      <c r="H24" s="82" t="n">
        <v>1804</v>
      </c>
      <c r="I24" s="82" t="n">
        <v>10986</v>
      </c>
      <c r="J24" s="82" t="n">
        <v>103694</v>
      </c>
      <c r="K24" s="83">
        <f>I24/1000</f>
        <v/>
      </c>
      <c r="L24" s="83">
        <f>SUM(E24:G24)/1000</f>
        <v/>
      </c>
      <c r="M24" s="84">
        <f>IF(I24=0,"n.a.",H24/I24)</f>
        <v/>
      </c>
      <c r="N24" s="82">
        <f>IF(J24=0,"n.a.",I24*1000/J24)</f>
        <v/>
      </c>
      <c r="O24" s="82">
        <f>SUM(E24:H24)-I24</f>
        <v/>
      </c>
      <c r="P24" s="82">
        <f>RANK(I24,$I$7:$I$212,0)+COUNTIF($I$7:I24,I24)-1</f>
        <v/>
      </c>
      <c r="Q24" s="10" t="inlineStr">
        <is>
          <t>Cardiff</t>
        </is>
      </c>
    </row>
    <row r="25" ht="46" customHeight="1">
      <c r="A25" s="10" t="inlineStr">
        <is>
          <t>10007851</t>
        </is>
      </c>
      <c r="B25" s="11" t="inlineStr">
        <is>
          <t>University of Derby</t>
        </is>
      </c>
      <c r="C25" s="10" t="inlineStr">
        <is>
          <t>Other HE provider</t>
        </is>
      </c>
      <c r="D25" s="10" t="inlineStr">
        <is>
          <t>2024/25</t>
        </is>
      </c>
      <c r="E25" s="82" t="n">
        <v>31</v>
      </c>
      <c r="F25" s="82" t="n">
        <v>334</v>
      </c>
      <c r="G25" s="82" t="n">
        <v>121</v>
      </c>
      <c r="H25" s="82" t="n">
        <v>10044</v>
      </c>
      <c r="I25" s="82" t="n">
        <v>10530</v>
      </c>
      <c r="J25" s="82" t="n">
        <v>30174</v>
      </c>
      <c r="K25" s="83">
        <f>I25/1000</f>
        <v/>
      </c>
      <c r="L25" s="83">
        <f>SUM(E25:G25)/1000</f>
        <v/>
      </c>
      <c r="M25" s="84">
        <f>IF(I25=0,"n.a.",H25/I25)</f>
        <v/>
      </c>
      <c r="N25" s="82">
        <f>IF(J25=0,"n.a.",I25*1000/J25)</f>
        <v/>
      </c>
      <c r="O25" s="82">
        <f>SUM(E25:H25)-I25</f>
        <v/>
      </c>
      <c r="P25" s="82">
        <f>RANK(I25,$I$7:$I$212,0)+COUNTIF($I$7:I25,I25)-1</f>
        <v/>
      </c>
      <c r="Q25" s="10" t="inlineStr">
        <is>
          <t>Derby</t>
        </is>
      </c>
    </row>
    <row r="26" ht="46" customHeight="1">
      <c r="A26" s="10" t="inlineStr">
        <is>
          <t>10007857</t>
        </is>
      </c>
      <c r="B26" s="11" t="inlineStr">
        <is>
          <t>Bangor University</t>
        </is>
      </c>
      <c r="C26" s="10" t="inlineStr">
        <is>
          <t>Other HE provider</t>
        </is>
      </c>
      <c r="D26" s="10" t="inlineStr">
        <is>
          <t>2024/25</t>
        </is>
      </c>
      <c r="E26" s="82" t="n">
        <v>9</v>
      </c>
      <c r="F26" s="82" t="n">
        <v>10</v>
      </c>
      <c r="G26" s="82" t="n">
        <v>67</v>
      </c>
      <c r="H26" s="82" t="n">
        <v>10022</v>
      </c>
      <c r="I26" s="82" t="n">
        <v>10108</v>
      </c>
      <c r="J26" s="82" t="n">
        <v>86838</v>
      </c>
      <c r="K26" s="83">
        <f>I26/1000</f>
        <v/>
      </c>
      <c r="L26" s="83">
        <f>SUM(E26:G26)/1000</f>
        <v/>
      </c>
      <c r="M26" s="84">
        <f>IF(I26=0,"n.a.",H26/I26)</f>
        <v/>
      </c>
      <c r="N26" s="82">
        <f>IF(J26=0,"n.a.",I26*1000/J26)</f>
        <v/>
      </c>
      <c r="O26" s="82">
        <f>SUM(E26:H26)-I26</f>
        <v/>
      </c>
      <c r="P26" s="82">
        <f>RANK(I26,$I$7:$I$212,0)+COUNTIF($I$7:I26,I26)-1</f>
        <v/>
      </c>
      <c r="Q26" s="10" t="inlineStr">
        <is>
          <t>Bangor</t>
        </is>
      </c>
    </row>
    <row r="27" ht="46" customHeight="1">
      <c r="A27" s="10" t="inlineStr">
        <is>
          <t>10004351</t>
        </is>
      </c>
      <c r="B27" s="11" t="inlineStr">
        <is>
          <t>Middlesex University</t>
        </is>
      </c>
      <c r="C27" s="10" t="inlineStr">
        <is>
          <t>Other HE provider</t>
        </is>
      </c>
      <c r="D27" s="10" t="inlineStr">
        <is>
          <t>2024/25</t>
        </is>
      </c>
      <c r="E27" s="82" t="n">
        <v>23</v>
      </c>
      <c r="F27" s="82" t="n">
        <v>48</v>
      </c>
      <c r="G27" s="82" t="n">
        <v>5299</v>
      </c>
      <c r="H27" s="82" t="n">
        <v>3638</v>
      </c>
      <c r="I27" s="82" t="n">
        <v>9008</v>
      </c>
      <c r="J27" s="82" t="n">
        <v>58794</v>
      </c>
      <c r="K27" s="83">
        <f>I27/1000</f>
        <v/>
      </c>
      <c r="L27" s="83">
        <f>SUM(E27:G27)/1000</f>
        <v/>
      </c>
      <c r="M27" s="84">
        <f>IF(I27=0,"n.a.",H27/I27)</f>
        <v/>
      </c>
      <c r="N27" s="82">
        <f>IF(J27=0,"n.a.",I27*1000/J27)</f>
        <v/>
      </c>
      <c r="O27" s="82">
        <f>SUM(E27:H27)-I27</f>
        <v/>
      </c>
      <c r="P27" s="82">
        <f>RANK(I27,$I$7:$I$212,0)+COUNTIF($I$7:I27,I27)-1</f>
        <v/>
      </c>
      <c r="Q27" s="10" t="inlineStr">
        <is>
          <t>Middlesex</t>
        </is>
      </c>
    </row>
    <row r="28" ht="46" customHeight="1">
      <c r="A28" s="10" t="inlineStr">
        <is>
          <t>10007842</t>
        </is>
      </c>
      <c r="B28" s="11" t="inlineStr">
        <is>
          <t>University of Cumbria</t>
        </is>
      </c>
      <c r="C28" s="10" t="inlineStr">
        <is>
          <t>Other HE provider</t>
        </is>
      </c>
      <c r="D28" s="10" t="inlineStr">
        <is>
          <t>2024/25</t>
        </is>
      </c>
      <c r="E28" s="82" t="n">
        <v>64</v>
      </c>
      <c r="F28" s="82" t="n">
        <v>1924</v>
      </c>
      <c r="G28" s="82" t="n">
        <v>3485</v>
      </c>
      <c r="H28" s="82" t="n">
        <v>3420</v>
      </c>
      <c r="I28" s="82" t="n">
        <v>8893</v>
      </c>
      <c r="J28" s="82" t="n">
        <v>128269</v>
      </c>
      <c r="K28" s="83">
        <f>I28/1000</f>
        <v/>
      </c>
      <c r="L28" s="83">
        <f>SUM(E28:G28)/1000</f>
        <v/>
      </c>
      <c r="M28" s="84">
        <f>IF(I28=0,"n.a.",H28/I28)</f>
        <v/>
      </c>
      <c r="N28" s="82">
        <f>IF(J28=0,"n.a.",I28*1000/J28)</f>
        <v/>
      </c>
      <c r="O28" s="82">
        <f>SUM(E28:H28)-I28</f>
        <v/>
      </c>
      <c r="P28" s="82">
        <f>RANK(I28,$I$7:$I$212,0)+COUNTIF($I$7:I28,I28)-1</f>
        <v/>
      </c>
      <c r="Q28" s="10" t="inlineStr">
        <is>
          <t>Cumbria</t>
        </is>
      </c>
    </row>
    <row r="29" ht="46" customHeight="1">
      <c r="A29" s="10" t="inlineStr">
        <is>
          <t>10007794</t>
        </is>
      </c>
      <c r="B29" s="11" t="inlineStr">
        <is>
          <t>The University of Glasgow</t>
        </is>
      </c>
      <c r="C29" s="10" t="inlineStr">
        <is>
          <t>Russell Group</t>
        </is>
      </c>
      <c r="D29" s="10" t="inlineStr">
        <is>
          <t>2024/25</t>
        </is>
      </c>
      <c r="E29" s="82" t="n">
        <v>0</v>
      </c>
      <c r="F29" s="82" t="n">
        <v>0</v>
      </c>
      <c r="G29" s="82" t="n">
        <v>5620</v>
      </c>
      <c r="H29" s="82" t="n">
        <v>3253</v>
      </c>
      <c r="I29" s="82" t="n">
        <v>8873</v>
      </c>
      <c r="J29" s="82" t="n">
        <v>0</v>
      </c>
      <c r="K29" s="83">
        <f>I29/1000</f>
        <v/>
      </c>
      <c r="L29" s="83">
        <f>SUM(E29:G29)/1000</f>
        <v/>
      </c>
      <c r="M29" s="84">
        <f>IF(I29=0,"n.a.",H29/I29)</f>
        <v/>
      </c>
      <c r="N29" s="82">
        <f>IF(J29=0,"n.a.",I29*1000/J29)</f>
        <v/>
      </c>
      <c r="O29" s="82">
        <f>SUM(E29:H29)-I29</f>
        <v/>
      </c>
      <c r="P29" s="82">
        <f>RANK(I29,$I$7:$I$212,0)+COUNTIF($I$7:I29,I29)-1</f>
        <v/>
      </c>
      <c r="Q29" s="10" t="inlineStr">
        <is>
          <t>Glasgow</t>
        </is>
      </c>
    </row>
    <row r="30" ht="46" customHeight="1">
      <c r="A30" s="10" t="inlineStr">
        <is>
          <t>10007164</t>
        </is>
      </c>
      <c r="B30" s="11" t="inlineStr">
        <is>
          <t>University of the West of England, Bristol</t>
        </is>
      </c>
      <c r="C30" s="10" t="inlineStr">
        <is>
          <t>Other HE provider</t>
        </is>
      </c>
      <c r="D30" s="10" t="inlineStr">
        <is>
          <t>2024/25</t>
        </is>
      </c>
      <c r="E30" s="82" t="n">
        <v>225</v>
      </c>
      <c r="F30" s="82" t="n">
        <v>536</v>
      </c>
      <c r="G30" s="82" t="n">
        <v>7005</v>
      </c>
      <c r="H30" s="82" t="n">
        <v>783</v>
      </c>
      <c r="I30" s="82" t="n">
        <v>8549</v>
      </c>
      <c r="J30" s="82" t="n">
        <v>38892</v>
      </c>
      <c r="K30" s="83">
        <f>I30/1000</f>
        <v/>
      </c>
      <c r="L30" s="83">
        <f>SUM(E30:G30)/1000</f>
        <v/>
      </c>
      <c r="M30" s="84">
        <f>IF(I30=0,"n.a.",H30/I30)</f>
        <v/>
      </c>
      <c r="N30" s="82">
        <f>IF(J30=0,"n.a.",I30*1000/J30)</f>
        <v/>
      </c>
      <c r="O30" s="82">
        <f>SUM(E30:H30)-I30</f>
        <v/>
      </c>
      <c r="P30" s="82">
        <f>RANK(I30,$I$7:$I$212,0)+COUNTIF($I$7:I30,I30)-1</f>
        <v/>
      </c>
      <c r="Q30" s="10" t="inlineStr">
        <is>
          <t>the West of England, Bristol</t>
        </is>
      </c>
    </row>
    <row r="31" ht="46" customHeight="1">
      <c r="A31" s="10" t="inlineStr">
        <is>
          <t>10007163</t>
        </is>
      </c>
      <c r="B31" s="11" t="inlineStr">
        <is>
          <t>The University of Warwick</t>
        </is>
      </c>
      <c r="C31" s="10" t="inlineStr">
        <is>
          <t>Russell Group</t>
        </is>
      </c>
      <c r="D31" s="10" t="inlineStr">
        <is>
          <t>2024/25</t>
        </is>
      </c>
      <c r="E31" s="82" t="n">
        <v>107</v>
      </c>
      <c r="F31" s="82" t="n">
        <v>2220</v>
      </c>
      <c r="G31" s="82" t="n">
        <v>3244</v>
      </c>
      <c r="H31" s="82" t="n">
        <v>2933</v>
      </c>
      <c r="I31" s="82" t="n">
        <v>8504</v>
      </c>
      <c r="J31" s="82" t="n">
        <v>11479</v>
      </c>
      <c r="K31" s="83">
        <f>I31/1000</f>
        <v/>
      </c>
      <c r="L31" s="83">
        <f>SUM(E31:G31)/1000</f>
        <v/>
      </c>
      <c r="M31" s="84">
        <f>IF(I31=0,"n.a.",H31/I31)</f>
        <v/>
      </c>
      <c r="N31" s="82">
        <f>IF(J31=0,"n.a.",I31*1000/J31)</f>
        <v/>
      </c>
      <c r="O31" s="82">
        <f>SUM(E31:H31)-I31</f>
        <v/>
      </c>
      <c r="P31" s="82">
        <f>RANK(I31,$I$7:$I$212,0)+COUNTIF($I$7:I31,I31)-1</f>
        <v/>
      </c>
      <c r="Q31" s="10" t="inlineStr">
        <is>
          <t>Warwick</t>
        </is>
      </c>
    </row>
    <row r="32" ht="46" customHeight="1">
      <c r="A32" s="10" t="inlineStr">
        <is>
          <t>10006022</t>
        </is>
      </c>
      <c r="B32" s="11" t="inlineStr">
        <is>
          <t>Southampton Solent University</t>
        </is>
      </c>
      <c r="C32" s="10" t="inlineStr">
        <is>
          <t>Other HE provider</t>
        </is>
      </c>
      <c r="D32" s="10" t="inlineStr">
        <is>
          <t>2024/25</t>
        </is>
      </c>
      <c r="E32" s="82" t="n">
        <v>1365</v>
      </c>
      <c r="F32" s="82" t="n">
        <v>2138</v>
      </c>
      <c r="G32" s="82" t="n">
        <v>1039</v>
      </c>
      <c r="H32" s="82" t="n">
        <v>3707</v>
      </c>
      <c r="I32" s="82" t="n">
        <v>8249</v>
      </c>
      <c r="J32" s="82" t="n">
        <v>33667</v>
      </c>
      <c r="K32" s="83">
        <f>I32/1000</f>
        <v/>
      </c>
      <c r="L32" s="83">
        <f>SUM(E32:G32)/1000</f>
        <v/>
      </c>
      <c r="M32" s="84">
        <f>IF(I32=0,"n.a.",H32/I32)</f>
        <v/>
      </c>
      <c r="N32" s="82">
        <f>IF(J32=0,"n.a.",I32*1000/J32)</f>
        <v/>
      </c>
      <c r="O32" s="82">
        <f>SUM(E32:H32)-I32</f>
        <v/>
      </c>
      <c r="P32" s="82">
        <f>RANK(I32,$I$7:$I$212,0)+COUNTIF($I$7:I32,I32)-1</f>
        <v/>
      </c>
      <c r="Q32" s="10" t="inlineStr">
        <is>
          <t>Southampton Solent</t>
        </is>
      </c>
    </row>
    <row r="33" ht="46" customHeight="1">
      <c r="A33" s="10" t="inlineStr">
        <is>
          <t>10007780</t>
        </is>
      </c>
      <c r="B33" s="11" t="inlineStr">
        <is>
          <t>SOAS University of London</t>
        </is>
      </c>
      <c r="C33" s="10" t="inlineStr">
        <is>
          <t>Additional UK sample</t>
        </is>
      </c>
      <c r="D33" s="10" t="inlineStr">
        <is>
          <t>2024/25</t>
        </is>
      </c>
      <c r="E33" s="82" t="n">
        <v>0</v>
      </c>
      <c r="F33" s="82" t="n">
        <v>0</v>
      </c>
      <c r="G33" s="82" t="n">
        <v>43</v>
      </c>
      <c r="H33" s="82" t="n">
        <v>8185</v>
      </c>
      <c r="I33" s="82" t="n">
        <v>8228</v>
      </c>
      <c r="J33" s="82" t="n">
        <v>90037</v>
      </c>
      <c r="K33" s="83">
        <f>I33/1000</f>
        <v/>
      </c>
      <c r="L33" s="83">
        <f>SUM(E33:G33)/1000</f>
        <v/>
      </c>
      <c r="M33" s="84">
        <f>IF(I33=0,"n.a.",H33/I33)</f>
        <v/>
      </c>
      <c r="N33" s="82">
        <f>IF(J33=0,"n.a.",I33*1000/J33)</f>
        <v/>
      </c>
      <c r="O33" s="82">
        <f>SUM(E33:H33)-I33</f>
        <v/>
      </c>
      <c r="P33" s="82">
        <f>RANK(I33,$I$7:$I$212,0)+COUNTIF($I$7:I33,I33)-1</f>
        <v/>
      </c>
      <c r="Q33" s="10" t="inlineStr">
        <is>
          <t>SOAS</t>
        </is>
      </c>
    </row>
    <row r="34" ht="46" customHeight="1">
      <c r="A34" s="10" t="inlineStr">
        <is>
          <t>10007161</t>
        </is>
      </c>
      <c r="B34" s="11" t="inlineStr">
        <is>
          <t>Teesside University</t>
        </is>
      </c>
      <c r="C34" s="10" t="inlineStr">
        <is>
          <t>Other HE provider</t>
        </is>
      </c>
      <c r="D34" s="10" t="inlineStr">
        <is>
          <t>2024/25</t>
        </is>
      </c>
      <c r="E34" s="82" t="n">
        <v>595</v>
      </c>
      <c r="F34" s="82" t="n">
        <v>809</v>
      </c>
      <c r="G34" s="82" t="n">
        <v>4602</v>
      </c>
      <c r="H34" s="82" t="n">
        <v>2155</v>
      </c>
      <c r="I34" s="82" t="n">
        <v>8161</v>
      </c>
      <c r="J34" s="82" t="n">
        <v>164776</v>
      </c>
      <c r="K34" s="83">
        <f>I34/1000</f>
        <v/>
      </c>
      <c r="L34" s="83">
        <f>SUM(E34:G34)/1000</f>
        <v/>
      </c>
      <c r="M34" s="84">
        <f>IF(I34=0,"n.a.",H34/I34)</f>
        <v/>
      </c>
      <c r="N34" s="82">
        <f>IF(J34=0,"n.a.",I34*1000/J34)</f>
        <v/>
      </c>
      <c r="O34" s="82">
        <f>SUM(E34:H34)-I34</f>
        <v/>
      </c>
      <c r="P34" s="82">
        <f>RANK(I34,$I$7:$I$212,0)+COUNTIF($I$7:I34,I34)-1</f>
        <v/>
      </c>
      <c r="Q34" s="10" t="inlineStr">
        <is>
          <t>Teesside</t>
        </is>
      </c>
    </row>
    <row r="35" ht="46" customHeight="1">
      <c r="A35" s="10" t="inlineStr">
        <is>
          <t>10006842</t>
        </is>
      </c>
      <c r="B35" s="11" t="inlineStr">
        <is>
          <t>The University of Liverpool</t>
        </is>
      </c>
      <c r="C35" s="10" t="inlineStr">
        <is>
          <t>Russell Group</t>
        </is>
      </c>
      <c r="D35" s="10" t="inlineStr">
        <is>
          <t>2024/25</t>
        </is>
      </c>
      <c r="E35" s="82" t="n">
        <v>415</v>
      </c>
      <c r="F35" s="82" t="n">
        <v>29</v>
      </c>
      <c r="G35" s="82" t="n">
        <v>6664</v>
      </c>
      <c r="H35" s="82" t="n">
        <v>954</v>
      </c>
      <c r="I35" s="82" t="n">
        <v>8062</v>
      </c>
      <c r="J35" s="82" t="n">
        <v>17388</v>
      </c>
      <c r="K35" s="83">
        <f>I35/1000</f>
        <v/>
      </c>
      <c r="L35" s="83">
        <f>SUM(E35:G35)/1000</f>
        <v/>
      </c>
      <c r="M35" s="84">
        <f>IF(I35=0,"n.a.",H35/I35)</f>
        <v/>
      </c>
      <c r="N35" s="82">
        <f>IF(J35=0,"n.a.",I35*1000/J35)</f>
        <v/>
      </c>
      <c r="O35" s="82">
        <f>SUM(E35:H35)-I35</f>
        <v/>
      </c>
      <c r="P35" s="82">
        <f>RANK(I35,$I$7:$I$212,0)+COUNTIF($I$7:I35,I35)-1</f>
        <v/>
      </c>
      <c r="Q35" s="10" t="inlineStr">
        <is>
          <t>Liverpool</t>
        </is>
      </c>
    </row>
    <row r="36" ht="46" customHeight="1">
      <c r="A36" s="10" t="inlineStr">
        <is>
          <t>10001282</t>
        </is>
      </c>
      <c r="B36" s="11" t="inlineStr">
        <is>
          <t>University of Northumbria at Newcastle</t>
        </is>
      </c>
      <c r="C36" s="10" t="inlineStr">
        <is>
          <t>Additional UK sample</t>
        </is>
      </c>
      <c r="D36" s="10" t="inlineStr">
        <is>
          <t>2024/25</t>
        </is>
      </c>
      <c r="E36" s="82" t="n">
        <v>139</v>
      </c>
      <c r="F36" s="82" t="n">
        <v>20</v>
      </c>
      <c r="G36" s="82" t="n">
        <v>5110</v>
      </c>
      <c r="H36" s="82" t="n">
        <v>2328</v>
      </c>
      <c r="I36" s="82" t="n">
        <v>7597</v>
      </c>
      <c r="J36" s="82" t="n">
        <v>29694</v>
      </c>
      <c r="K36" s="83">
        <f>I36/1000</f>
        <v/>
      </c>
      <c r="L36" s="83">
        <f>SUM(E36:G36)/1000</f>
        <v/>
      </c>
      <c r="M36" s="84">
        <f>IF(I36=0,"n.a.",H36/I36)</f>
        <v/>
      </c>
      <c r="N36" s="82">
        <f>IF(J36=0,"n.a.",I36*1000/J36)</f>
        <v/>
      </c>
      <c r="O36" s="82">
        <f>SUM(E36:H36)-I36</f>
        <v/>
      </c>
      <c r="P36" s="82">
        <f>RANK(I36,$I$7:$I$212,0)+COUNTIF($I$7:I36,I36)-1</f>
        <v/>
      </c>
      <c r="Q36" s="10" t="inlineStr">
        <is>
          <t>Northumbria</t>
        </is>
      </c>
    </row>
    <row r="37" ht="46" customHeight="1">
      <c r="A37" s="10" t="inlineStr">
        <is>
          <t>10001883</t>
        </is>
      </c>
      <c r="B37" s="11" t="inlineStr">
        <is>
          <t>De Montfort University</t>
        </is>
      </c>
      <c r="C37" s="10" t="inlineStr">
        <is>
          <t>Other HE provider</t>
        </is>
      </c>
      <c r="D37" s="10" t="inlineStr">
        <is>
          <t>2024/25</t>
        </is>
      </c>
      <c r="E37" s="82" t="n">
        <v>158</v>
      </c>
      <c r="F37" s="82" t="n">
        <v>336</v>
      </c>
      <c r="G37" s="82" t="n">
        <v>5325</v>
      </c>
      <c r="H37" s="82" t="n">
        <v>1649</v>
      </c>
      <c r="I37" s="82" t="n">
        <v>7468</v>
      </c>
      <c r="J37" s="82" t="n">
        <v>92618</v>
      </c>
      <c r="K37" s="83">
        <f>I37/1000</f>
        <v/>
      </c>
      <c r="L37" s="83">
        <f>SUM(E37:G37)/1000</f>
        <v/>
      </c>
      <c r="M37" s="84">
        <f>IF(I37=0,"n.a.",H37/I37)</f>
        <v/>
      </c>
      <c r="N37" s="82">
        <f>IF(J37=0,"n.a.",I37*1000/J37)</f>
        <v/>
      </c>
      <c r="O37" s="82">
        <f>SUM(E37:H37)-I37</f>
        <v/>
      </c>
      <c r="P37" s="82">
        <f>RANK(I37,$I$7:$I$212,0)+COUNTIF($I$7:I37,I37)-1</f>
        <v/>
      </c>
      <c r="Q37" s="10" t="inlineStr">
        <is>
          <t>De Montfort</t>
        </is>
      </c>
    </row>
    <row r="38" ht="46" customHeight="1">
      <c r="A38" s="10" t="inlineStr">
        <is>
          <t>10007140</t>
        </is>
      </c>
      <c r="B38" s="11" t="inlineStr">
        <is>
          <t>Birmingham City University</t>
        </is>
      </c>
      <c r="C38" s="10" t="inlineStr">
        <is>
          <t>Other HE provider</t>
        </is>
      </c>
      <c r="D38" s="10" t="inlineStr">
        <is>
          <t>2024/25</t>
        </is>
      </c>
      <c r="E38" s="82" t="n">
        <v>230</v>
      </c>
      <c r="F38" s="82" t="n">
        <v>42</v>
      </c>
      <c r="G38" s="82" t="n">
        <v>6516</v>
      </c>
      <c r="H38" s="82" t="n">
        <v>311</v>
      </c>
      <c r="I38" s="82" t="n">
        <v>7099</v>
      </c>
      <c r="J38" s="82" t="n">
        <v>62406</v>
      </c>
      <c r="K38" s="83">
        <f>I38/1000</f>
        <v/>
      </c>
      <c r="L38" s="83">
        <f>SUM(E38:G38)/1000</f>
        <v/>
      </c>
      <c r="M38" s="84">
        <f>IF(I38=0,"n.a.",H38/I38)</f>
        <v/>
      </c>
      <c r="N38" s="82">
        <f>IF(J38=0,"n.a.",I38*1000/J38)</f>
        <v/>
      </c>
      <c r="O38" s="82">
        <f>SUM(E38:H38)-I38</f>
        <v/>
      </c>
      <c r="P38" s="82">
        <f>RANK(I38,$I$7:$I$212,0)+COUNTIF($I$7:I38,I38)-1</f>
        <v/>
      </c>
      <c r="Q38" s="10" t="inlineStr">
        <is>
          <t>Birmingham City</t>
        </is>
      </c>
    </row>
    <row r="39" ht="46" customHeight="1">
      <c r="A39" s="10" t="inlineStr">
        <is>
          <t>10005790</t>
        </is>
      </c>
      <c r="B39" s="11" t="inlineStr">
        <is>
          <t>Sheffield Hallam University</t>
        </is>
      </c>
      <c r="C39" s="10" t="inlineStr">
        <is>
          <t>Other HE provider</t>
        </is>
      </c>
      <c r="D39" s="10" t="inlineStr">
        <is>
          <t>2024/25</t>
        </is>
      </c>
      <c r="E39" s="82" t="n">
        <v>52</v>
      </c>
      <c r="F39" s="82" t="n">
        <v>159</v>
      </c>
      <c r="G39" s="82" t="n">
        <v>5334</v>
      </c>
      <c r="H39" s="82" t="n">
        <v>1489</v>
      </c>
      <c r="I39" s="82" t="n">
        <v>7034</v>
      </c>
      <c r="J39" s="82" t="n">
        <v>0</v>
      </c>
      <c r="K39" s="83">
        <f>I39/1000</f>
        <v/>
      </c>
      <c r="L39" s="83">
        <f>SUM(E39:G39)/1000</f>
        <v/>
      </c>
      <c r="M39" s="84">
        <f>IF(I39=0,"n.a.",H39/I39)</f>
        <v/>
      </c>
      <c r="N39" s="82">
        <f>IF(J39=0,"n.a.",I39*1000/J39)</f>
        <v/>
      </c>
      <c r="O39" s="82">
        <f>SUM(E39:H39)-I39</f>
        <v/>
      </c>
      <c r="P39" s="82">
        <f>RANK(I39,$I$7:$I$212,0)+COUNTIF($I$7:I39,I39)-1</f>
        <v/>
      </c>
      <c r="Q39" s="10" t="inlineStr">
        <is>
          <t>Sheffield Hallam</t>
        </is>
      </c>
    </row>
    <row r="40" ht="46" customHeight="1">
      <c r="A40" s="10" t="inlineStr">
        <is>
          <t>10004797</t>
        </is>
      </c>
      <c r="B40" s="11" t="inlineStr">
        <is>
          <t>The Nottingham Trent University</t>
        </is>
      </c>
      <c r="C40" s="10" t="inlineStr">
        <is>
          <t>Additional UK sample</t>
        </is>
      </c>
      <c r="D40" s="10" t="inlineStr">
        <is>
          <t>2024/25</t>
        </is>
      </c>
      <c r="E40" s="82" t="n">
        <v>0</v>
      </c>
      <c r="F40" s="82" t="n">
        <v>458</v>
      </c>
      <c r="G40" s="82" t="n">
        <v>183</v>
      </c>
      <c r="H40" s="82" t="n">
        <v>6375</v>
      </c>
      <c r="I40" s="82" t="n">
        <v>7016</v>
      </c>
      <c r="J40" s="82" t="n">
        <v>51865</v>
      </c>
      <c r="K40" s="83">
        <f>I40/1000</f>
        <v/>
      </c>
      <c r="L40" s="83">
        <f>SUM(E40:G40)/1000</f>
        <v/>
      </c>
      <c r="M40" s="84">
        <f>IF(I40=0,"n.a.",H40/I40)</f>
        <v/>
      </c>
      <c r="N40" s="82">
        <f>IF(J40=0,"n.a.",I40*1000/J40)</f>
        <v/>
      </c>
      <c r="O40" s="82">
        <f>SUM(E40:H40)-I40</f>
        <v/>
      </c>
      <c r="P40" s="82">
        <f>RANK(I40,$I$7:$I$212,0)+COUNTIF($I$7:I40,I40)-1</f>
        <v/>
      </c>
      <c r="Q40" s="10" t="inlineStr">
        <is>
          <t>Nottingham Trent</t>
        </is>
      </c>
    </row>
    <row r="41" ht="46" customHeight="1">
      <c r="A41" s="10" t="inlineStr">
        <is>
          <t>10007850</t>
        </is>
      </c>
      <c r="B41" s="11" t="inlineStr">
        <is>
          <t>The University of Bath</t>
        </is>
      </c>
      <c r="C41" s="10" t="inlineStr">
        <is>
          <t>Additional UK sample</t>
        </is>
      </c>
      <c r="D41" s="10" t="inlineStr">
        <is>
          <t>2024/25</t>
        </is>
      </c>
      <c r="E41" s="82" t="n">
        <v>101</v>
      </c>
      <c r="F41" s="82" t="n">
        <v>354</v>
      </c>
      <c r="G41" s="82" t="n">
        <v>2722</v>
      </c>
      <c r="H41" s="82" t="n">
        <v>3570</v>
      </c>
      <c r="I41" s="82" t="n">
        <v>6747</v>
      </c>
      <c r="J41" s="82" t="n">
        <v>46521</v>
      </c>
      <c r="K41" s="83">
        <f>I41/1000</f>
        <v/>
      </c>
      <c r="L41" s="83">
        <f>SUM(E41:G41)/1000</f>
        <v/>
      </c>
      <c r="M41" s="84">
        <f>IF(I41=0,"n.a.",H41/I41)</f>
        <v/>
      </c>
      <c r="N41" s="82">
        <f>IF(J41=0,"n.a.",I41*1000/J41)</f>
        <v/>
      </c>
      <c r="O41" s="82">
        <f>SUM(E41:H41)-I41</f>
        <v/>
      </c>
      <c r="P41" s="82">
        <f>RANK(I41,$I$7:$I$212,0)+COUNTIF($I$7:I41,I41)-1</f>
        <v/>
      </c>
      <c r="Q41" s="10" t="inlineStr">
        <is>
          <t>Bath</t>
        </is>
      </c>
    </row>
    <row r="42" ht="46" customHeight="1">
      <c r="A42" s="10" t="inlineStr">
        <is>
          <t>10007789</t>
        </is>
      </c>
      <c r="B42" s="11" t="inlineStr">
        <is>
          <t>The University of East Anglia</t>
        </is>
      </c>
      <c r="C42" s="10" t="inlineStr">
        <is>
          <t>Additional UK sample</t>
        </is>
      </c>
      <c r="D42" s="10" t="inlineStr">
        <is>
          <t>2024/25</t>
        </is>
      </c>
      <c r="E42" s="82" t="n">
        <v>36</v>
      </c>
      <c r="F42" s="82" t="n">
        <v>291</v>
      </c>
      <c r="G42" s="82" t="n">
        <v>4615</v>
      </c>
      <c r="H42" s="82" t="n">
        <v>1467</v>
      </c>
      <c r="I42" s="82" t="n">
        <v>6409</v>
      </c>
      <c r="J42" s="82" t="n">
        <v>17235</v>
      </c>
      <c r="K42" s="83">
        <f>I42/1000</f>
        <v/>
      </c>
      <c r="L42" s="83">
        <f>SUM(E42:G42)/1000</f>
        <v/>
      </c>
      <c r="M42" s="84">
        <f>IF(I42=0,"n.a.",H42/I42)</f>
        <v/>
      </c>
      <c r="N42" s="82">
        <f>IF(J42=0,"n.a.",I42*1000/J42)</f>
        <v/>
      </c>
      <c r="O42" s="82">
        <f>SUM(E42:H42)-I42</f>
        <v/>
      </c>
      <c r="P42" s="82">
        <f>RANK(I42,$I$7:$I$212,0)+COUNTIF($I$7:I42,I42)-1</f>
        <v/>
      </c>
      <c r="Q42" s="10" t="inlineStr">
        <is>
          <t>East Anglia</t>
        </is>
      </c>
    </row>
    <row r="43" ht="46" customHeight="1">
      <c r="A43" s="10" t="inlineStr">
        <is>
          <t>10007147</t>
        </is>
      </c>
      <c r="B43" s="11" t="inlineStr">
        <is>
          <t>University of Hertfordshire</t>
        </is>
      </c>
      <c r="C43" s="10" t="inlineStr">
        <is>
          <t>Other HE provider</t>
        </is>
      </c>
      <c r="D43" s="10" t="inlineStr">
        <is>
          <t>2024/25</t>
        </is>
      </c>
      <c r="E43" s="82" t="n">
        <v>19</v>
      </c>
      <c r="F43" s="82" t="n">
        <v>139</v>
      </c>
      <c r="G43" s="82" t="n">
        <v>4895</v>
      </c>
      <c r="H43" s="82" t="n">
        <v>1324</v>
      </c>
      <c r="I43" s="82" t="n">
        <v>6377</v>
      </c>
      <c r="J43" s="82" t="n">
        <v>28490</v>
      </c>
      <c r="K43" s="83">
        <f>I43/1000</f>
        <v/>
      </c>
      <c r="L43" s="83">
        <f>SUM(E43:G43)/1000</f>
        <v/>
      </c>
      <c r="M43" s="84">
        <f>IF(I43=0,"n.a.",H43/I43)</f>
        <v/>
      </c>
      <c r="N43" s="82">
        <f>IF(J43=0,"n.a.",I43*1000/J43)</f>
        <v/>
      </c>
      <c r="O43" s="82">
        <f>SUM(E43:H43)-I43</f>
        <v/>
      </c>
      <c r="P43" s="82">
        <f>RANK(I43,$I$7:$I$212,0)+COUNTIF($I$7:I43,I43)-1</f>
        <v/>
      </c>
      <c r="Q43" s="10" t="inlineStr">
        <is>
          <t>Hertfordshire</t>
        </is>
      </c>
    </row>
    <row r="44" ht="46" customHeight="1">
      <c r="A44" s="10" t="inlineStr">
        <is>
          <t>10039956</t>
        </is>
      </c>
      <c r="B44" s="11" t="inlineStr">
        <is>
          <t>The University of Law</t>
        </is>
      </c>
      <c r="C44" s="10" t="inlineStr">
        <is>
          <t>Other HE provider</t>
        </is>
      </c>
      <c r="D44" s="10" t="inlineStr">
        <is>
          <t>2024/25</t>
        </is>
      </c>
      <c r="E44" s="82" t="n">
        <v>0</v>
      </c>
      <c r="F44" s="82" t="n">
        <v>2518</v>
      </c>
      <c r="G44" s="82" t="n">
        <v>0</v>
      </c>
      <c r="H44" s="82" t="n">
        <v>3834</v>
      </c>
      <c r="I44" s="82" t="n">
        <v>6352</v>
      </c>
      <c r="J44" s="82" t="n">
        <v>3240</v>
      </c>
      <c r="K44" s="83">
        <f>I44/1000</f>
        <v/>
      </c>
      <c r="L44" s="83">
        <f>SUM(E44:G44)/1000</f>
        <v/>
      </c>
      <c r="M44" s="84">
        <f>IF(I44=0,"n.a.",H44/I44)</f>
        <v/>
      </c>
      <c r="N44" s="82">
        <f>IF(J44=0,"n.a.",I44*1000/J44)</f>
        <v/>
      </c>
      <c r="O44" s="82">
        <f>SUM(E44:H44)-I44</f>
        <v/>
      </c>
      <c r="P44" s="82">
        <f>RANK(I44,$I$7:$I$212,0)+COUNTIF($I$7:I44,I44)-1</f>
        <v/>
      </c>
      <c r="Q44" s="10" t="inlineStr">
        <is>
          <t>Law</t>
        </is>
      </c>
    </row>
    <row r="45" ht="46" customHeight="1">
      <c r="A45" s="10" t="inlineStr">
        <is>
          <t>10001478</t>
        </is>
      </c>
      <c r="B45" s="11" t="inlineStr">
        <is>
          <t>City St George's, University of London</t>
        </is>
      </c>
      <c r="C45" s="10" t="inlineStr">
        <is>
          <t>Additional UK sample</t>
        </is>
      </c>
      <c r="D45" s="10" t="inlineStr">
        <is>
          <t>2024/25</t>
        </is>
      </c>
      <c r="E45" s="82" t="n">
        <v>875</v>
      </c>
      <c r="F45" s="82" t="n">
        <v>1731</v>
      </c>
      <c r="G45" s="82" t="n">
        <v>2604</v>
      </c>
      <c r="H45" s="82" t="n">
        <v>787</v>
      </c>
      <c r="I45" s="82" t="n">
        <v>5997</v>
      </c>
      <c r="J45" s="82" t="n">
        <v>11693</v>
      </c>
      <c r="K45" s="83">
        <f>I45/1000</f>
        <v/>
      </c>
      <c r="L45" s="83">
        <f>SUM(E45:G45)/1000</f>
        <v/>
      </c>
      <c r="M45" s="84">
        <f>IF(I45=0,"n.a.",H45/I45)</f>
        <v/>
      </c>
      <c r="N45" s="82">
        <f>IF(J45=0,"n.a.",I45*1000/J45)</f>
        <v/>
      </c>
      <c r="O45" s="82">
        <f>SUM(E45:H45)-I45</f>
        <v/>
      </c>
      <c r="P45" s="82">
        <f>RANK(I45,$I$7:$I$212,0)+COUNTIF($I$7:I45,I45)-1</f>
        <v/>
      </c>
      <c r="Q45" s="10" t="inlineStr">
        <is>
          <t>City St George’s</t>
        </is>
      </c>
    </row>
    <row r="46" ht="46" customHeight="1">
      <c r="A46" s="10" t="inlineStr">
        <is>
          <t>10007773</t>
        </is>
      </c>
      <c r="B46" s="11" t="inlineStr">
        <is>
          <t>The Open University</t>
        </is>
      </c>
      <c r="C46" s="10" t="inlineStr">
        <is>
          <t>Other HE provider</t>
        </is>
      </c>
      <c r="D46" s="10" t="inlineStr">
        <is>
          <t>2024/25</t>
        </is>
      </c>
      <c r="E46" s="82" t="n">
        <v>594</v>
      </c>
      <c r="F46" s="82" t="n">
        <v>1039</v>
      </c>
      <c r="G46" s="82" t="n">
        <v>2469</v>
      </c>
      <c r="H46" s="82" t="n">
        <v>1825</v>
      </c>
      <c r="I46" s="82" t="n">
        <v>5927</v>
      </c>
      <c r="J46" s="82" t="n">
        <v>626208</v>
      </c>
      <c r="K46" s="83">
        <f>I46/1000</f>
        <v/>
      </c>
      <c r="L46" s="83">
        <f>SUM(E46:G46)/1000</f>
        <v/>
      </c>
      <c r="M46" s="84">
        <f>IF(I46=0,"n.a.",H46/I46)</f>
        <v/>
      </c>
      <c r="N46" s="82">
        <f>IF(J46=0,"n.a.",I46*1000/J46)</f>
        <v/>
      </c>
      <c r="O46" s="82">
        <f>SUM(E46:H46)-I46</f>
        <v/>
      </c>
      <c r="P46" s="82">
        <f>RANK(I46,$I$7:$I$212,0)+COUNTIF($I$7:I46,I46)-1</f>
        <v/>
      </c>
      <c r="Q46" s="10" t="inlineStr">
        <is>
          <t>The Open</t>
        </is>
      </c>
    </row>
    <row r="47" ht="46" customHeight="1">
      <c r="A47" s="10" t="inlineStr">
        <is>
          <t>10007155</t>
        </is>
      </c>
      <c r="B47" s="11" t="inlineStr">
        <is>
          <t>The University of Portsmouth</t>
        </is>
      </c>
      <c r="C47" s="10" t="inlineStr">
        <is>
          <t>Additional UK sample</t>
        </is>
      </c>
      <c r="D47" s="10" t="inlineStr">
        <is>
          <t>2024/25</t>
        </is>
      </c>
      <c r="E47" s="82" t="n">
        <v>101</v>
      </c>
      <c r="F47" s="82" t="n">
        <v>482</v>
      </c>
      <c r="G47" s="82" t="n">
        <v>4134</v>
      </c>
      <c r="H47" s="82" t="n">
        <v>951</v>
      </c>
      <c r="I47" s="82" t="n">
        <v>5668</v>
      </c>
      <c r="J47" s="82" t="n">
        <v>29434</v>
      </c>
      <c r="K47" s="83">
        <f>I47/1000</f>
        <v/>
      </c>
      <c r="L47" s="83">
        <f>SUM(E47:G47)/1000</f>
        <v/>
      </c>
      <c r="M47" s="84">
        <f>IF(I47=0,"n.a.",H47/I47)</f>
        <v/>
      </c>
      <c r="N47" s="82">
        <f>IF(J47=0,"n.a.",I47*1000/J47)</f>
        <v/>
      </c>
      <c r="O47" s="82">
        <f>SUM(E47:H47)-I47</f>
        <v/>
      </c>
      <c r="P47" s="82">
        <f>RANK(I47,$I$7:$I$212,0)+COUNTIF($I$7:I47,I47)-1</f>
        <v/>
      </c>
      <c r="Q47" s="10" t="inlineStr">
        <is>
          <t>Portsmouth</t>
        </is>
      </c>
    </row>
    <row r="48" ht="46" customHeight="1">
      <c r="A48" s="10" t="inlineStr">
        <is>
          <t>10005343</t>
        </is>
      </c>
      <c r="B48" s="11" t="inlineStr">
        <is>
          <t>Queen's University Belfast</t>
        </is>
      </c>
      <c r="C48" s="10" t="inlineStr">
        <is>
          <t>Russell Group</t>
        </is>
      </c>
      <c r="D48" s="10" t="inlineStr">
        <is>
          <t>2024/25</t>
        </is>
      </c>
      <c r="E48" s="82" t="n">
        <v>0</v>
      </c>
      <c r="F48" s="82" t="n">
        <v>10</v>
      </c>
      <c r="G48" s="82" t="n">
        <v>5555</v>
      </c>
      <c r="H48" s="82" t="n">
        <v>0</v>
      </c>
      <c r="I48" s="82" t="n">
        <v>5565</v>
      </c>
      <c r="J48" s="82" t="n">
        <v>14571</v>
      </c>
      <c r="K48" s="83">
        <f>I48/1000</f>
        <v/>
      </c>
      <c r="L48" s="83">
        <f>SUM(E48:G48)/1000</f>
        <v/>
      </c>
      <c r="M48" s="84">
        <f>IF(I48=0,"n.a.",H48/I48)</f>
        <v/>
      </c>
      <c r="N48" s="82">
        <f>IF(J48=0,"n.a.",I48*1000/J48)</f>
        <v/>
      </c>
      <c r="O48" s="82">
        <f>SUM(E48:H48)-I48</f>
        <v/>
      </c>
      <c r="P48" s="82">
        <f>RANK(I48,$I$7:$I$212,0)+COUNTIF($I$7:I48,I48)-1</f>
        <v/>
      </c>
      <c r="Q48" s="10" t="inlineStr">
        <is>
          <t>Queen’s University Belfast</t>
        </is>
      </c>
    </row>
    <row r="49" ht="46" customHeight="1">
      <c r="A49" s="10" t="inlineStr">
        <is>
          <t>10007162</t>
        </is>
      </c>
      <c r="B49" s="11" t="inlineStr">
        <is>
          <t>University of the Arts, London</t>
        </is>
      </c>
      <c r="C49" s="10" t="inlineStr">
        <is>
          <t>Other HE provider</t>
        </is>
      </c>
      <c r="D49" s="10" t="inlineStr">
        <is>
          <t>2024/25</t>
        </is>
      </c>
      <c r="E49" s="82" t="n">
        <v>104</v>
      </c>
      <c r="F49" s="82" t="n">
        <v>74</v>
      </c>
      <c r="G49" s="82" t="n">
        <v>209</v>
      </c>
      <c r="H49" s="82" t="n">
        <v>5163</v>
      </c>
      <c r="I49" s="82" t="n">
        <v>5550</v>
      </c>
      <c r="J49" s="82" t="n">
        <v>25170</v>
      </c>
      <c r="K49" s="83">
        <f>I49/1000</f>
        <v/>
      </c>
      <c r="L49" s="83">
        <f>SUM(E49:G49)/1000</f>
        <v/>
      </c>
      <c r="M49" s="84">
        <f>IF(I49=0,"n.a.",H49/I49)</f>
        <v/>
      </c>
      <c r="N49" s="82">
        <f>IF(J49=0,"n.a.",I49*1000/J49)</f>
        <v/>
      </c>
      <c r="O49" s="82">
        <f>SUM(E49:H49)-I49</f>
        <v/>
      </c>
      <c r="P49" s="82">
        <f>RANK(I49,$I$7:$I$212,0)+COUNTIF($I$7:I49,I49)-1</f>
        <v/>
      </c>
      <c r="Q49" s="10" t="inlineStr">
        <is>
          <t>the Arts, London</t>
        </is>
      </c>
    </row>
    <row r="50" ht="46" customHeight="1">
      <c r="A50" s="10" t="inlineStr">
        <is>
          <t>10004180</t>
        </is>
      </c>
      <c r="B50" s="11" t="inlineStr">
        <is>
          <t>The Manchester Metropolitan University</t>
        </is>
      </c>
      <c r="C50" s="10" t="inlineStr">
        <is>
          <t>Additional UK sample</t>
        </is>
      </c>
      <c r="D50" s="10" t="inlineStr">
        <is>
          <t>2024/25</t>
        </is>
      </c>
      <c r="E50" s="82" t="n">
        <v>0</v>
      </c>
      <c r="F50" s="82" t="n">
        <v>81</v>
      </c>
      <c r="G50" s="82" t="n">
        <v>3650</v>
      </c>
      <c r="H50" s="82" t="n">
        <v>1751</v>
      </c>
      <c r="I50" s="82" t="n">
        <v>5482</v>
      </c>
      <c r="J50" s="82" t="n">
        <v>24981</v>
      </c>
      <c r="K50" s="83">
        <f>I50/1000</f>
        <v/>
      </c>
      <c r="L50" s="83">
        <f>SUM(E50:G50)/1000</f>
        <v/>
      </c>
      <c r="M50" s="84">
        <f>IF(I50=0,"n.a.",H50/I50)</f>
        <v/>
      </c>
      <c r="N50" s="82">
        <f>IF(J50=0,"n.a.",I50*1000/J50)</f>
        <v/>
      </c>
      <c r="O50" s="82">
        <f>SUM(E50:H50)-I50</f>
        <v/>
      </c>
      <c r="P50" s="82">
        <f>RANK(I50,$I$7:$I$212,0)+COUNTIF($I$7:I50,I50)-1</f>
        <v/>
      </c>
      <c r="Q50" s="10" t="inlineStr">
        <is>
          <t>Manchester Metropolitan</t>
        </is>
      </c>
    </row>
    <row r="51" ht="46" customHeight="1">
      <c r="A51" s="10" t="inlineStr">
        <is>
          <t>10007151</t>
        </is>
      </c>
      <c r="B51" s="11" t="inlineStr">
        <is>
          <t>The University of Lincoln</t>
        </is>
      </c>
      <c r="C51" s="10" t="inlineStr">
        <is>
          <t>Other HE provider</t>
        </is>
      </c>
      <c r="D51" s="10" t="inlineStr">
        <is>
          <t>2024/25</t>
        </is>
      </c>
      <c r="E51" s="82" t="n">
        <v>60</v>
      </c>
      <c r="F51" s="82" t="n">
        <v>119</v>
      </c>
      <c r="G51" s="82" t="n">
        <v>4855</v>
      </c>
      <c r="H51" s="82" t="n">
        <v>268</v>
      </c>
      <c r="I51" s="82" t="n">
        <v>5302</v>
      </c>
      <c r="J51" s="82" t="n">
        <v>35140</v>
      </c>
      <c r="K51" s="83">
        <f>I51/1000</f>
        <v/>
      </c>
      <c r="L51" s="83">
        <f>SUM(E51:G51)/1000</f>
        <v/>
      </c>
      <c r="M51" s="84">
        <f>IF(I51=0,"n.a.",H51/I51)</f>
        <v/>
      </c>
      <c r="N51" s="82">
        <f>IF(J51=0,"n.a.",I51*1000/J51)</f>
        <v/>
      </c>
      <c r="O51" s="82">
        <f>SUM(E51:H51)-I51</f>
        <v/>
      </c>
      <c r="P51" s="82">
        <f>RANK(I51,$I$7:$I$212,0)+COUNTIF($I$7:I51,I51)-1</f>
        <v/>
      </c>
      <c r="Q51" s="10" t="inlineStr">
        <is>
          <t>Lincoln</t>
        </is>
      </c>
    </row>
    <row r="52" ht="46" customHeight="1">
      <c r="A52" s="10" t="inlineStr">
        <is>
          <t>10007783</t>
        </is>
      </c>
      <c r="B52" s="11" t="inlineStr">
        <is>
          <t>The University of Aberdeen</t>
        </is>
      </c>
      <c r="C52" s="10" t="inlineStr">
        <is>
          <t>Additional UK sample</t>
        </is>
      </c>
      <c r="D52" s="10" t="inlineStr">
        <is>
          <t>2024/25</t>
        </is>
      </c>
      <c r="E52" s="82" t="n">
        <v>117</v>
      </c>
      <c r="F52" s="82" t="n">
        <v>291</v>
      </c>
      <c r="G52" s="82" t="n">
        <v>1638</v>
      </c>
      <c r="H52" s="82" t="n">
        <v>3153</v>
      </c>
      <c r="I52" s="82" t="n">
        <v>5199</v>
      </c>
      <c r="J52" s="82" t="n">
        <v>114009</v>
      </c>
      <c r="K52" s="83">
        <f>I52/1000</f>
        <v/>
      </c>
      <c r="L52" s="83">
        <f>SUM(E52:G52)/1000</f>
        <v/>
      </c>
      <c r="M52" s="84">
        <f>IF(I52=0,"n.a.",H52/I52)</f>
        <v/>
      </c>
      <c r="N52" s="82">
        <f>IF(J52=0,"n.a.",I52*1000/J52)</f>
        <v/>
      </c>
      <c r="O52" s="82">
        <f>SUM(E52:H52)-I52</f>
        <v/>
      </c>
      <c r="P52" s="82">
        <f>RANK(I52,$I$7:$I$212,0)+COUNTIF($I$7:I52,I52)-1</f>
        <v/>
      </c>
      <c r="Q52" s="10" t="inlineStr">
        <is>
          <t>Aberdeen</t>
        </is>
      </c>
    </row>
    <row r="53" ht="46" customHeight="1">
      <c r="A53" s="10" t="inlineStr">
        <is>
          <t>10007145</t>
        </is>
      </c>
      <c r="B53" s="11" t="inlineStr">
        <is>
          <t>University of Gloucestershire</t>
        </is>
      </c>
      <c r="C53" s="10" t="inlineStr">
        <is>
          <t>Other HE provider</t>
        </is>
      </c>
      <c r="D53" s="10" t="inlineStr">
        <is>
          <t>2024/25</t>
        </is>
      </c>
      <c r="E53" s="82" t="n">
        <v>353</v>
      </c>
      <c r="F53" s="82" t="n">
        <v>470</v>
      </c>
      <c r="G53" s="82" t="n">
        <v>4346</v>
      </c>
      <c r="H53" s="82" t="n">
        <v>15</v>
      </c>
      <c r="I53" s="82" t="n">
        <v>5184</v>
      </c>
      <c r="J53" s="82" t="n">
        <v>22688</v>
      </c>
      <c r="K53" s="83">
        <f>I53/1000</f>
        <v/>
      </c>
      <c r="L53" s="83">
        <f>SUM(E53:G53)/1000</f>
        <v/>
      </c>
      <c r="M53" s="84">
        <f>IF(I53=0,"n.a.",H53/I53)</f>
        <v/>
      </c>
      <c r="N53" s="82">
        <f>IF(J53=0,"n.a.",I53*1000/J53)</f>
        <v/>
      </c>
      <c r="O53" s="82">
        <f>SUM(E53:H53)-I53</f>
        <v/>
      </c>
      <c r="P53" s="82">
        <f>RANK(I53,$I$7:$I$212,0)+COUNTIF($I$7:I53,I53)-1</f>
        <v/>
      </c>
      <c r="Q53" s="10" t="inlineStr">
        <is>
          <t>Gloucestershire</t>
        </is>
      </c>
    </row>
    <row r="54" ht="46" customHeight="1">
      <c r="A54" s="10" t="inlineStr">
        <is>
          <t>10005500</t>
        </is>
      </c>
      <c r="B54" s="11" t="inlineStr">
        <is>
          <t>Robert Gordon University</t>
        </is>
      </c>
      <c r="C54" s="10" t="inlineStr">
        <is>
          <t>Other HE provider</t>
        </is>
      </c>
      <c r="D54" s="10" t="inlineStr">
        <is>
          <t>2024/25</t>
        </is>
      </c>
      <c r="E54" s="82" t="n">
        <v>98</v>
      </c>
      <c r="F54" s="82" t="n">
        <v>397</v>
      </c>
      <c r="G54" s="82" t="n">
        <v>1989</v>
      </c>
      <c r="H54" s="82" t="n">
        <v>2506</v>
      </c>
      <c r="I54" s="82" t="n">
        <v>4990</v>
      </c>
      <c r="J54" s="82" t="n">
        <v>0</v>
      </c>
      <c r="K54" s="83">
        <f>I54/1000</f>
        <v/>
      </c>
      <c r="L54" s="83">
        <f>SUM(E54:G54)/1000</f>
        <v/>
      </c>
      <c r="M54" s="84">
        <f>IF(I54=0,"n.a.",H54/I54)</f>
        <v/>
      </c>
      <c r="N54" s="82">
        <f>IF(J54=0,"n.a.",I54*1000/J54)</f>
        <v/>
      </c>
      <c r="O54" s="82">
        <f>SUM(E54:H54)-I54</f>
        <v/>
      </c>
      <c r="P54" s="82">
        <f>RANK(I54,$I$7:$I$212,0)+COUNTIF($I$7:I54,I54)-1</f>
        <v/>
      </c>
      <c r="Q54" s="10" t="inlineStr">
        <is>
          <t>Robert Gordon</t>
        </is>
      </c>
    </row>
    <row r="55" ht="46" customHeight="1">
      <c r="A55" s="10" t="inlineStr">
        <is>
          <t>10007167</t>
        </is>
      </c>
      <c r="B55" s="11" t="inlineStr">
        <is>
          <t>The University of York</t>
        </is>
      </c>
      <c r="C55" s="10" t="inlineStr">
        <is>
          <t>Russell Group</t>
        </is>
      </c>
      <c r="D55" s="10" t="inlineStr">
        <is>
          <t>2024/25</t>
        </is>
      </c>
      <c r="E55" s="82" t="n">
        <v>89</v>
      </c>
      <c r="F55" s="82" t="n">
        <v>1006</v>
      </c>
      <c r="G55" s="82" t="n">
        <v>3416</v>
      </c>
      <c r="H55" s="82" t="n">
        <v>259</v>
      </c>
      <c r="I55" s="82" t="n">
        <v>4770</v>
      </c>
      <c r="J55" s="82" t="n">
        <v>7817</v>
      </c>
      <c r="K55" s="83">
        <f>I55/1000</f>
        <v/>
      </c>
      <c r="L55" s="83">
        <f>SUM(E55:G55)/1000</f>
        <v/>
      </c>
      <c r="M55" s="84">
        <f>IF(I55=0,"n.a.",H55/I55)</f>
        <v/>
      </c>
      <c r="N55" s="82">
        <f>IF(J55=0,"n.a.",I55*1000/J55)</f>
        <v/>
      </c>
      <c r="O55" s="82">
        <f>SUM(E55:H55)-I55</f>
        <v/>
      </c>
      <c r="P55" s="82">
        <f>RANK(I55,$I$7:$I$212,0)+COUNTIF($I$7:I55,I55)-1</f>
        <v/>
      </c>
      <c r="Q55" s="10" t="inlineStr">
        <is>
          <t>York</t>
        </is>
      </c>
    </row>
    <row r="56" ht="46" customHeight="1">
      <c r="A56" s="10" t="inlineStr">
        <is>
          <t>10007823</t>
        </is>
      </c>
      <c r="B56" s="11" t="inlineStr">
        <is>
          <t>Edge Hill University</t>
        </is>
      </c>
      <c r="C56" s="10" t="inlineStr">
        <is>
          <t>Other HE provider</t>
        </is>
      </c>
      <c r="D56" s="10" t="inlineStr">
        <is>
          <t>2024/25</t>
        </is>
      </c>
      <c r="E56" s="82" t="n">
        <v>16</v>
      </c>
      <c r="F56" s="82" t="n">
        <v>0</v>
      </c>
      <c r="G56" s="82" t="n">
        <v>3684</v>
      </c>
      <c r="H56" s="82" t="n">
        <v>900</v>
      </c>
      <c r="I56" s="82" t="n">
        <v>4600</v>
      </c>
      <c r="J56" s="82" t="n">
        <v>11308</v>
      </c>
      <c r="K56" s="83">
        <f>I56/1000</f>
        <v/>
      </c>
      <c r="L56" s="83">
        <f>SUM(E56:G56)/1000</f>
        <v/>
      </c>
      <c r="M56" s="84">
        <f>IF(I56=0,"n.a.",H56/I56)</f>
        <v/>
      </c>
      <c r="N56" s="82">
        <f>IF(J56=0,"n.a.",I56*1000/J56)</f>
        <v/>
      </c>
      <c r="O56" s="82">
        <f>SUM(E56:H56)-I56</f>
        <v/>
      </c>
      <c r="P56" s="82">
        <f>RANK(I56,$I$7:$I$212,0)+COUNTIF($I$7:I56,I56)-1</f>
        <v/>
      </c>
      <c r="Q56" s="10" t="inlineStr">
        <is>
          <t>Edge Hill</t>
        </is>
      </c>
    </row>
    <row r="57" ht="46" customHeight="1">
      <c r="A57" s="10" t="inlineStr">
        <is>
          <t>10009292</t>
        </is>
      </c>
      <c r="B57" s="11" t="inlineStr">
        <is>
          <t>Royal Academy of Dramatic Art</t>
        </is>
      </c>
      <c r="C57" s="10" t="inlineStr">
        <is>
          <t>Other HE provider</t>
        </is>
      </c>
      <c r="D57" s="10" t="inlineStr">
        <is>
          <t>2024/25</t>
        </is>
      </c>
      <c r="E57" s="82" t="n">
        <v>419</v>
      </c>
      <c r="F57" s="82" t="n">
        <v>605</v>
      </c>
      <c r="G57" s="82" t="n">
        <v>462</v>
      </c>
      <c r="H57" s="82" t="n">
        <v>3061</v>
      </c>
      <c r="I57" s="82" t="n">
        <v>4547</v>
      </c>
      <c r="J57" s="82" t="n">
        <v>13991</v>
      </c>
      <c r="K57" s="83">
        <f>I57/1000</f>
        <v/>
      </c>
      <c r="L57" s="83">
        <f>SUM(E57:G57)/1000</f>
        <v/>
      </c>
      <c r="M57" s="84">
        <f>IF(I57=0,"n.a.",H57/I57)</f>
        <v/>
      </c>
      <c r="N57" s="82">
        <f>IF(J57=0,"n.a.",I57*1000/J57)</f>
        <v/>
      </c>
      <c r="O57" s="82">
        <f>SUM(E57:H57)-I57</f>
        <v/>
      </c>
      <c r="P57" s="82">
        <f>RANK(I57,$I$7:$I$212,0)+COUNTIF($I$7:I57,I57)-1</f>
        <v/>
      </c>
      <c r="Q57" s="10" t="inlineStr">
        <is>
          <t>Royal Academy of Dramatic Art</t>
        </is>
      </c>
    </row>
    <row r="58" ht="46" customHeight="1">
      <c r="A58" s="10" t="inlineStr">
        <is>
          <t>10006299</t>
        </is>
      </c>
      <c r="B58" s="11" t="inlineStr">
        <is>
          <t>University of Staffordshire</t>
        </is>
      </c>
      <c r="C58" s="10" t="inlineStr">
        <is>
          <t>Other HE provider</t>
        </is>
      </c>
      <c r="D58" s="10" t="inlineStr">
        <is>
          <t>2024/25</t>
        </is>
      </c>
      <c r="E58" s="82" t="n">
        <v>0</v>
      </c>
      <c r="F58" s="82" t="n">
        <v>0</v>
      </c>
      <c r="G58" s="82" t="n">
        <v>3964</v>
      </c>
      <c r="H58" s="82" t="n">
        <v>529</v>
      </c>
      <c r="I58" s="82" t="n">
        <v>4493</v>
      </c>
      <c r="J58" s="82" t="n">
        <v>0</v>
      </c>
      <c r="K58" s="83">
        <f>I58/1000</f>
        <v/>
      </c>
      <c r="L58" s="83">
        <f>SUM(E58:G58)/1000</f>
        <v/>
      </c>
      <c r="M58" s="84">
        <f>IF(I58=0,"n.a.",H58/I58)</f>
        <v/>
      </c>
      <c r="N58" s="82">
        <f>IF(J58=0,"n.a.",I58*1000/J58)</f>
        <v/>
      </c>
      <c r="O58" s="82">
        <f>SUM(E58:H58)-I58</f>
        <v/>
      </c>
      <c r="P58" s="82">
        <f>RANK(I58,$I$7:$I$212,0)+COUNTIF($I$7:I58,I58)-1</f>
        <v/>
      </c>
      <c r="Q58" s="10" t="inlineStr">
        <is>
          <t>Staffordshire</t>
        </is>
      </c>
    </row>
    <row r="59" ht="46" customHeight="1">
      <c r="A59" s="10" t="inlineStr">
        <is>
          <t>10007792</t>
        </is>
      </c>
      <c r="B59" s="11" t="inlineStr">
        <is>
          <t>The University of Exeter</t>
        </is>
      </c>
      <c r="C59" s="10" t="inlineStr">
        <is>
          <t>Russell Group</t>
        </is>
      </c>
      <c r="D59" s="10" t="inlineStr">
        <is>
          <t>2024/25</t>
        </is>
      </c>
      <c r="E59" s="82" t="n">
        <v>1018</v>
      </c>
      <c r="F59" s="82" t="n">
        <v>1740</v>
      </c>
      <c r="G59" s="82" t="n">
        <v>1103</v>
      </c>
      <c r="H59" s="82" t="n">
        <v>382</v>
      </c>
      <c r="I59" s="82" t="n">
        <v>4243</v>
      </c>
      <c r="J59" s="82" t="n">
        <v>0</v>
      </c>
      <c r="K59" s="83">
        <f>I59/1000</f>
        <v/>
      </c>
      <c r="L59" s="83">
        <f>SUM(E59:G59)/1000</f>
        <v/>
      </c>
      <c r="M59" s="84">
        <f>IF(I59=0,"n.a.",H59/I59)</f>
        <v/>
      </c>
      <c r="N59" s="82">
        <f>IF(J59=0,"n.a.",I59*1000/J59)</f>
        <v/>
      </c>
      <c r="O59" s="82">
        <f>SUM(E59:H59)-I59</f>
        <v/>
      </c>
      <c r="P59" s="82">
        <f>RANK(I59,$I$7:$I$212,0)+COUNTIF($I$7:I59,I59)-1</f>
        <v/>
      </c>
      <c r="Q59" s="10" t="inlineStr">
        <is>
          <t>Exeter</t>
        </is>
      </c>
    </row>
    <row r="60" ht="46" customHeight="1">
      <c r="A60" s="10" t="inlineStr">
        <is>
          <t>10007855</t>
        </is>
      </c>
      <c r="B60" s="11" t="inlineStr">
        <is>
          <t>Swansea University</t>
        </is>
      </c>
      <c r="C60" s="10" t="inlineStr">
        <is>
          <t>Additional UK sample</t>
        </is>
      </c>
      <c r="D60" s="10" t="inlineStr">
        <is>
          <t>2024/25</t>
        </is>
      </c>
      <c r="E60" s="82" t="n">
        <v>15</v>
      </c>
      <c r="F60" s="82" t="n">
        <v>110</v>
      </c>
      <c r="G60" s="82" t="n">
        <v>1954</v>
      </c>
      <c r="H60" s="82" t="n">
        <v>2136</v>
      </c>
      <c r="I60" s="82" t="n">
        <v>4215</v>
      </c>
      <c r="J60" s="82" t="n">
        <v>37852</v>
      </c>
      <c r="K60" s="83">
        <f>I60/1000</f>
        <v/>
      </c>
      <c r="L60" s="83">
        <f>SUM(E60:G60)/1000</f>
        <v/>
      </c>
      <c r="M60" s="84">
        <f>IF(I60=0,"n.a.",H60/I60)</f>
        <v/>
      </c>
      <c r="N60" s="82">
        <f>IF(J60=0,"n.a.",I60*1000/J60)</f>
        <v/>
      </c>
      <c r="O60" s="82">
        <f>SUM(E60:H60)-I60</f>
        <v/>
      </c>
      <c r="P60" s="82">
        <f>RANK(I60,$I$7:$I$212,0)+COUNTIF($I$7:I60,I60)-1</f>
        <v/>
      </c>
      <c r="Q60" s="10" t="inlineStr">
        <is>
          <t>Swansea</t>
        </is>
      </c>
    </row>
    <row r="61" ht="46" customHeight="1">
      <c r="A61" s="10" t="inlineStr">
        <is>
          <t>10007139</t>
        </is>
      </c>
      <c r="B61" s="11" t="inlineStr">
        <is>
          <t>University of Worcester</t>
        </is>
      </c>
      <c r="C61" s="10" t="inlineStr">
        <is>
          <t>Other HE provider</t>
        </is>
      </c>
      <c r="D61" s="10" t="inlineStr">
        <is>
          <t>2024/25</t>
        </is>
      </c>
      <c r="E61" s="82" t="n">
        <v>195</v>
      </c>
      <c r="F61" s="82" t="n">
        <v>142</v>
      </c>
      <c r="G61" s="82" t="n">
        <v>1811</v>
      </c>
      <c r="H61" s="82" t="n">
        <v>1913</v>
      </c>
      <c r="I61" s="82" t="n">
        <v>4061</v>
      </c>
      <c r="J61" s="82" t="n">
        <v>21835</v>
      </c>
      <c r="K61" s="83">
        <f>I61/1000</f>
        <v/>
      </c>
      <c r="L61" s="83">
        <f>SUM(E61:G61)/1000</f>
        <v/>
      </c>
      <c r="M61" s="84">
        <f>IF(I61=0,"n.a.",H61/I61)</f>
        <v/>
      </c>
      <c r="N61" s="82">
        <f>IF(J61=0,"n.a.",I61*1000/J61)</f>
        <v/>
      </c>
      <c r="O61" s="82">
        <f>SUM(E61:H61)-I61</f>
        <v/>
      </c>
      <c r="P61" s="82">
        <f>RANK(I61,$I$7:$I$212,0)+COUNTIF($I$7:I61,I61)-1</f>
        <v/>
      </c>
      <c r="Q61" s="10" t="inlineStr">
        <is>
          <t>Worcester</t>
        </is>
      </c>
    </row>
    <row r="62" ht="46" customHeight="1">
      <c r="A62" s="10" t="inlineStr">
        <is>
          <t>10007149</t>
        </is>
      </c>
      <c r="B62" s="11" t="inlineStr">
        <is>
          <t>The University of Hull</t>
        </is>
      </c>
      <c r="C62" s="10" t="inlineStr">
        <is>
          <t>Other HE provider</t>
        </is>
      </c>
      <c r="D62" s="10" t="inlineStr">
        <is>
          <t>2024/25</t>
        </is>
      </c>
      <c r="E62" s="82" t="n">
        <v>23</v>
      </c>
      <c r="F62" s="82" t="n">
        <v>180</v>
      </c>
      <c r="G62" s="82" t="n">
        <v>1802</v>
      </c>
      <c r="H62" s="82" t="n">
        <v>1945</v>
      </c>
      <c r="I62" s="82" t="n">
        <v>3950</v>
      </c>
      <c r="J62" s="82" t="n">
        <v>19281</v>
      </c>
      <c r="K62" s="83">
        <f>I62/1000</f>
        <v/>
      </c>
      <c r="L62" s="83">
        <f>SUM(E62:G62)/1000</f>
        <v/>
      </c>
      <c r="M62" s="84">
        <f>IF(I62=0,"n.a.",H62/I62)</f>
        <v/>
      </c>
      <c r="N62" s="82">
        <f>IF(J62=0,"n.a.",I62*1000/J62)</f>
        <v/>
      </c>
      <c r="O62" s="82">
        <f>SUM(E62:H62)-I62</f>
        <v/>
      </c>
      <c r="P62" s="82">
        <f>RANK(I62,$I$7:$I$212,0)+COUNTIF($I$7:I62,I62)-1</f>
        <v/>
      </c>
      <c r="Q62" s="10" t="inlineStr">
        <is>
          <t>Hull</t>
        </is>
      </c>
    </row>
    <row r="63" ht="46" customHeight="1">
      <c r="A63" s="10" t="inlineStr">
        <is>
          <t>10007795</t>
        </is>
      </c>
      <c r="B63" s="11" t="inlineStr">
        <is>
          <t>The University of Leeds</t>
        </is>
      </c>
      <c r="C63" s="10" t="inlineStr">
        <is>
          <t>Russell Group</t>
        </is>
      </c>
      <c r="D63" s="10" t="inlineStr">
        <is>
          <t>2024/25</t>
        </is>
      </c>
      <c r="E63" s="82" t="n">
        <v>40</v>
      </c>
      <c r="F63" s="82" t="n">
        <v>1208</v>
      </c>
      <c r="G63" s="82" t="n">
        <v>2231</v>
      </c>
      <c r="H63" s="82" t="n">
        <v>437</v>
      </c>
      <c r="I63" s="82" t="n">
        <v>3916</v>
      </c>
      <c r="J63" s="82" t="n">
        <v>33901</v>
      </c>
      <c r="K63" s="83">
        <f>I63/1000</f>
        <v/>
      </c>
      <c r="L63" s="83">
        <f>SUM(E63:G63)/1000</f>
        <v/>
      </c>
      <c r="M63" s="84">
        <f>IF(I63=0,"n.a.",H63/I63)</f>
        <v/>
      </c>
      <c r="N63" s="82">
        <f>IF(J63=0,"n.a.",I63*1000/J63)</f>
        <v/>
      </c>
      <c r="O63" s="82">
        <f>SUM(E63:H63)-I63</f>
        <v/>
      </c>
      <c r="P63" s="82">
        <f>RANK(I63,$I$7:$I$212,0)+COUNTIF($I$7:I63,I63)-1</f>
        <v/>
      </c>
      <c r="Q63" s="10" t="inlineStr">
        <is>
          <t>Leeds</t>
        </is>
      </c>
    </row>
    <row r="64" ht="46" customHeight="1">
      <c r="A64" s="10" t="inlineStr">
        <is>
          <t>10003861</t>
        </is>
      </c>
      <c r="B64" s="11" t="inlineStr">
        <is>
          <t>Leeds Beckett University</t>
        </is>
      </c>
      <c r="C64" s="10" t="inlineStr">
        <is>
          <t>Other HE provider</t>
        </is>
      </c>
      <c r="D64" s="10" t="inlineStr">
        <is>
          <t>2024/25</t>
        </is>
      </c>
      <c r="E64" s="82" t="n">
        <v>667</v>
      </c>
      <c r="F64" s="82" t="n">
        <v>684</v>
      </c>
      <c r="G64" s="82" t="n">
        <v>2234</v>
      </c>
      <c r="H64" s="82" t="n">
        <v>231</v>
      </c>
      <c r="I64" s="82" t="n">
        <v>3816</v>
      </c>
      <c r="J64" s="82" t="n">
        <v>57597</v>
      </c>
      <c r="K64" s="83">
        <f>I64/1000</f>
        <v/>
      </c>
      <c r="L64" s="83">
        <f>SUM(E64:G64)/1000</f>
        <v/>
      </c>
      <c r="M64" s="84">
        <f>IF(I64=0,"n.a.",H64/I64)</f>
        <v/>
      </c>
      <c r="N64" s="82">
        <f>IF(J64=0,"n.a.",I64*1000/J64)</f>
        <v/>
      </c>
      <c r="O64" s="82">
        <f>SUM(E64:H64)-I64</f>
        <v/>
      </c>
      <c r="P64" s="82">
        <f>RANK(I64,$I$7:$I$212,0)+COUNTIF($I$7:I64,I64)-1</f>
        <v/>
      </c>
      <c r="Q64" s="10" t="inlineStr">
        <is>
          <t>Leeds Beckett</t>
        </is>
      </c>
    </row>
    <row r="65" ht="46" customHeight="1">
      <c r="A65" s="10" t="inlineStr">
        <is>
          <t>10007165</t>
        </is>
      </c>
      <c r="B65" s="11" t="inlineStr">
        <is>
          <t>The University of Westminster</t>
        </is>
      </c>
      <c r="C65" s="10" t="inlineStr">
        <is>
          <t>Other HE provider</t>
        </is>
      </c>
      <c r="D65" s="10" t="inlineStr">
        <is>
          <t>2024/25</t>
        </is>
      </c>
      <c r="E65" s="82" t="n">
        <v>770</v>
      </c>
      <c r="F65" s="82" t="n">
        <v>296</v>
      </c>
      <c r="G65" s="82" t="n">
        <v>514</v>
      </c>
      <c r="H65" s="82" t="n">
        <v>2210</v>
      </c>
      <c r="I65" s="82" t="n">
        <v>3790</v>
      </c>
      <c r="J65" s="82" t="n">
        <v>25105</v>
      </c>
      <c r="K65" s="83">
        <f>I65/1000</f>
        <v/>
      </c>
      <c r="L65" s="83">
        <f>SUM(E65:G65)/1000</f>
        <v/>
      </c>
      <c r="M65" s="84">
        <f>IF(I65=0,"n.a.",H65/I65)</f>
        <v/>
      </c>
      <c r="N65" s="82">
        <f>IF(J65=0,"n.a.",I65*1000/J65)</f>
        <v/>
      </c>
      <c r="O65" s="82">
        <f>SUM(E65:H65)-I65</f>
        <v/>
      </c>
      <c r="P65" s="82">
        <f>RANK(I65,$I$7:$I$212,0)+COUNTIF($I$7:I65,I65)-1</f>
        <v/>
      </c>
      <c r="Q65" s="10" t="inlineStr">
        <is>
          <t>Westminster</t>
        </is>
      </c>
    </row>
    <row r="66" ht="46" customHeight="1">
      <c r="A66" s="10" t="inlineStr">
        <is>
          <t>10007799</t>
        </is>
      </c>
      <c r="B66" s="11" t="inlineStr">
        <is>
          <t>Newcastle University</t>
        </is>
      </c>
      <c r="C66" s="10" t="inlineStr">
        <is>
          <t>Russell Group</t>
        </is>
      </c>
      <c r="D66" s="10" t="inlineStr">
        <is>
          <t>2024/25</t>
        </is>
      </c>
      <c r="E66" s="82" t="n">
        <v>90</v>
      </c>
      <c r="F66" s="82" t="n">
        <v>36</v>
      </c>
      <c r="G66" s="82" t="n">
        <v>2353</v>
      </c>
      <c r="H66" s="82" t="n">
        <v>1247</v>
      </c>
      <c r="I66" s="82" t="n">
        <v>3726</v>
      </c>
      <c r="J66" s="82" t="n">
        <v>46185</v>
      </c>
      <c r="K66" s="83">
        <f>I66/1000</f>
        <v/>
      </c>
      <c r="L66" s="83">
        <f>SUM(E66:G66)/1000</f>
        <v/>
      </c>
      <c r="M66" s="84">
        <f>IF(I66=0,"n.a.",H66/I66)</f>
        <v/>
      </c>
      <c r="N66" s="82">
        <f>IF(J66=0,"n.a.",I66*1000/J66)</f>
        <v/>
      </c>
      <c r="O66" s="82">
        <f>SUM(E66:H66)-I66</f>
        <v/>
      </c>
      <c r="P66" s="82">
        <f>RANK(I66,$I$7:$I$212,0)+COUNTIF($I$7:I66,I66)-1</f>
        <v/>
      </c>
      <c r="Q66" s="10" t="inlineStr">
        <is>
          <t>Newcastle</t>
        </is>
      </c>
    </row>
    <row r="67" ht="46" customHeight="1">
      <c r="A67" s="10" t="inlineStr">
        <is>
          <t>10004511</t>
        </is>
      </c>
      <c r="B67" s="11" t="inlineStr">
        <is>
          <t>The National Film and Television School</t>
        </is>
      </c>
      <c r="C67" s="10" t="inlineStr">
        <is>
          <t>Other HE provider</t>
        </is>
      </c>
      <c r="D67" s="10" t="inlineStr">
        <is>
          <t>2024/25</t>
        </is>
      </c>
      <c r="E67" s="82" t="n">
        <v>0</v>
      </c>
      <c r="F67" s="82" t="n">
        <v>0</v>
      </c>
      <c r="G67" s="82" t="n">
        <v>0</v>
      </c>
      <c r="H67" s="82" t="n">
        <v>3599</v>
      </c>
      <c r="I67" s="82" t="n">
        <v>3599</v>
      </c>
      <c r="J67" s="82" t="n">
        <v>0</v>
      </c>
      <c r="K67" s="83">
        <f>I67/1000</f>
        <v/>
      </c>
      <c r="L67" s="83">
        <f>SUM(E67:G67)/1000</f>
        <v/>
      </c>
      <c r="M67" s="84">
        <f>IF(I67=0,"n.a.",H67/I67)</f>
        <v/>
      </c>
      <c r="N67" s="82">
        <f>IF(J67=0,"n.a.",I67*1000/J67)</f>
        <v/>
      </c>
      <c r="O67" s="82">
        <f>SUM(E67:H67)-I67</f>
        <v/>
      </c>
      <c r="P67" s="82">
        <f>RANK(I67,$I$7:$I$212,0)+COUNTIF($I$7:I67,I67)-1</f>
        <v/>
      </c>
      <c r="Q67" s="10" t="inlineStr">
        <is>
          <t>The National Film and Television School</t>
        </is>
      </c>
    </row>
    <row r="68" ht="46" customHeight="1">
      <c r="A68" s="10" t="inlineStr">
        <is>
          <t>10007793</t>
        </is>
      </c>
      <c r="B68" s="11" t="inlineStr">
        <is>
          <t>University of South Wales</t>
        </is>
      </c>
      <c r="C68" s="10" t="inlineStr">
        <is>
          <t>Other HE provider</t>
        </is>
      </c>
      <c r="D68" s="10" t="inlineStr">
        <is>
          <t>2024/25</t>
        </is>
      </c>
      <c r="E68" s="82" t="n">
        <v>4</v>
      </c>
      <c r="F68" s="82" t="n">
        <v>229</v>
      </c>
      <c r="G68" s="82" t="n">
        <v>2365</v>
      </c>
      <c r="H68" s="82" t="n">
        <v>958</v>
      </c>
      <c r="I68" s="82" t="n">
        <v>3556</v>
      </c>
      <c r="J68" s="82" t="n">
        <v>32802</v>
      </c>
      <c r="K68" s="83">
        <f>I68/1000</f>
        <v/>
      </c>
      <c r="L68" s="83">
        <f>SUM(E68:G68)/1000</f>
        <v/>
      </c>
      <c r="M68" s="84">
        <f>IF(I68=0,"n.a.",H68/I68)</f>
        <v/>
      </c>
      <c r="N68" s="82">
        <f>IF(J68=0,"n.a.",I68*1000/J68)</f>
        <v/>
      </c>
      <c r="O68" s="82">
        <f>SUM(E68:H68)-I68</f>
        <v/>
      </c>
      <c r="P68" s="82">
        <f>RANK(I68,$I$7:$I$212,0)+COUNTIF($I$7:I68,I68)-1</f>
        <v/>
      </c>
      <c r="Q68" s="10" t="inlineStr">
        <is>
          <t>South Wales</t>
        </is>
      </c>
    </row>
    <row r="69" ht="46" customHeight="1">
      <c r="A69" s="10" t="inlineStr">
        <is>
          <t>10007796</t>
        </is>
      </c>
      <c r="B69" s="11" t="inlineStr">
        <is>
          <t>The University of Leicester</t>
        </is>
      </c>
      <c r="C69" s="10" t="inlineStr">
        <is>
          <t>Additional UK sample</t>
        </is>
      </c>
      <c r="D69" s="10" t="inlineStr">
        <is>
          <t>2024/25</t>
        </is>
      </c>
      <c r="E69" s="82" t="n">
        <v>18</v>
      </c>
      <c r="F69" s="82" t="n">
        <v>298</v>
      </c>
      <c r="G69" s="82" t="n">
        <v>2073</v>
      </c>
      <c r="H69" s="82" t="n">
        <v>1152</v>
      </c>
      <c r="I69" s="82" t="n">
        <v>3541</v>
      </c>
      <c r="J69" s="82" t="n">
        <v>18062</v>
      </c>
      <c r="K69" s="83">
        <f>I69/1000</f>
        <v/>
      </c>
      <c r="L69" s="83">
        <f>SUM(E69:G69)/1000</f>
        <v/>
      </c>
      <c r="M69" s="84">
        <f>IF(I69=0,"n.a.",H69/I69)</f>
        <v/>
      </c>
      <c r="N69" s="82">
        <f>IF(J69=0,"n.a.",I69*1000/J69)</f>
        <v/>
      </c>
      <c r="O69" s="82">
        <f>SUM(E69:H69)-I69</f>
        <v/>
      </c>
      <c r="P69" s="82">
        <f>RANK(I69,$I$7:$I$212,0)+COUNTIF($I$7:I69,I69)-1</f>
        <v/>
      </c>
      <c r="Q69" s="10" t="inlineStr">
        <is>
          <t>Leicester</t>
        </is>
      </c>
    </row>
    <row r="70" ht="46" customHeight="1">
      <c r="A70" s="10" t="inlineStr">
        <is>
          <t>10007807</t>
        </is>
      </c>
      <c r="B70" s="11" t="inlineStr">
        <is>
          <t>Ulster University</t>
        </is>
      </c>
      <c r="C70" s="10" t="inlineStr">
        <is>
          <t>Other HE provider</t>
        </is>
      </c>
      <c r="D70" s="10" t="inlineStr">
        <is>
          <t>2024/25</t>
        </is>
      </c>
      <c r="E70" s="82" t="n">
        <v>521</v>
      </c>
      <c r="F70" s="82" t="n">
        <v>485</v>
      </c>
      <c r="G70" s="82" t="n">
        <v>648</v>
      </c>
      <c r="H70" s="82" t="n">
        <v>1887</v>
      </c>
      <c r="I70" s="82" t="n">
        <v>3541</v>
      </c>
      <c r="J70" s="82" t="n">
        <v>12665</v>
      </c>
      <c r="K70" s="83">
        <f>I70/1000</f>
        <v/>
      </c>
      <c r="L70" s="83">
        <f>SUM(E70:G70)/1000</f>
        <v/>
      </c>
      <c r="M70" s="84">
        <f>IF(I70=0,"n.a.",H70/I70)</f>
        <v/>
      </c>
      <c r="N70" s="82">
        <f>IF(J70=0,"n.a.",I70*1000/J70)</f>
        <v/>
      </c>
      <c r="O70" s="82">
        <f>SUM(E70:H70)-I70</f>
        <v/>
      </c>
      <c r="P70" s="82">
        <f>RANK(I70,$I$7:$I$212,0)+COUNTIF($I$7:I70,I70)-1</f>
        <v/>
      </c>
      <c r="Q70" s="10" t="inlineStr">
        <is>
          <t>Ulster</t>
        </is>
      </c>
    </row>
    <row r="71" ht="46" customHeight="1">
      <c r="A71" s="10" t="inlineStr">
        <is>
          <t>10007791</t>
        </is>
      </c>
      <c r="B71" s="11" t="inlineStr">
        <is>
          <t>The University of Essex</t>
        </is>
      </c>
      <c r="C71" s="10" t="inlineStr">
        <is>
          <t>Additional UK sample</t>
        </is>
      </c>
      <c r="D71" s="10" t="inlineStr">
        <is>
          <t>2024/25</t>
        </is>
      </c>
      <c r="E71" s="82" t="n">
        <v>53</v>
      </c>
      <c r="F71" s="82" t="n">
        <v>8</v>
      </c>
      <c r="G71" s="82" t="n">
        <v>2286</v>
      </c>
      <c r="H71" s="82" t="n">
        <v>929</v>
      </c>
      <c r="I71" s="82" t="n">
        <v>3276</v>
      </c>
      <c r="J71" s="82" t="n">
        <v>5935</v>
      </c>
      <c r="K71" s="83">
        <f>I71/1000</f>
        <v/>
      </c>
      <c r="L71" s="83">
        <f>SUM(E71:G71)/1000</f>
        <v/>
      </c>
      <c r="M71" s="84">
        <f>IF(I71=0,"n.a.",H71/I71)</f>
        <v/>
      </c>
      <c r="N71" s="82">
        <f>IF(J71=0,"n.a.",I71*1000/J71)</f>
        <v/>
      </c>
      <c r="O71" s="82">
        <f>SUM(E71:H71)-I71</f>
        <v/>
      </c>
      <c r="P71" s="82">
        <f>RANK(I71,$I$7:$I$212,0)+COUNTIF($I$7:I71,I71)-1</f>
        <v/>
      </c>
      <c r="Q71" s="10" t="inlineStr">
        <is>
          <t>Essex</t>
        </is>
      </c>
    </row>
    <row r="72" ht="46" customHeight="1">
      <c r="A72" s="10" t="inlineStr">
        <is>
          <t>10007156</t>
        </is>
      </c>
      <c r="B72" s="11" t="inlineStr">
        <is>
          <t>The University of Salford</t>
        </is>
      </c>
      <c r="C72" s="10" t="inlineStr">
        <is>
          <t>Other HE provider</t>
        </is>
      </c>
      <c r="D72" s="10" t="inlineStr">
        <is>
          <t>2024/25</t>
        </is>
      </c>
      <c r="E72" s="82" t="n">
        <v>562</v>
      </c>
      <c r="F72" s="82" t="n">
        <v>499</v>
      </c>
      <c r="G72" s="82" t="n">
        <v>1771</v>
      </c>
      <c r="H72" s="82" t="n">
        <v>349</v>
      </c>
      <c r="I72" s="82" t="n">
        <v>3181</v>
      </c>
      <c r="J72" s="82" t="n">
        <v>18077</v>
      </c>
      <c r="K72" s="83">
        <f>I72/1000</f>
        <v/>
      </c>
      <c r="L72" s="83">
        <f>SUM(E72:G72)/1000</f>
        <v/>
      </c>
      <c r="M72" s="84">
        <f>IF(I72=0,"n.a.",H72/I72)</f>
        <v/>
      </c>
      <c r="N72" s="82">
        <f>IF(J72=0,"n.a.",I72*1000/J72)</f>
        <v/>
      </c>
      <c r="O72" s="82">
        <f>SUM(E72:H72)-I72</f>
        <v/>
      </c>
      <c r="P72" s="82">
        <f>RANK(I72,$I$7:$I$212,0)+COUNTIF($I$7:I72,I72)-1</f>
        <v/>
      </c>
      <c r="Q72" s="10" t="inlineStr">
        <is>
          <t>Salford</t>
        </is>
      </c>
    </row>
    <row r="73" ht="46" customHeight="1">
      <c r="A73" s="10" t="inlineStr">
        <is>
          <t>10007764</t>
        </is>
      </c>
      <c r="B73" s="11" t="inlineStr">
        <is>
          <t>Heriot-Watt University</t>
        </is>
      </c>
      <c r="C73" s="10" t="inlineStr">
        <is>
          <t>Additional UK sample</t>
        </is>
      </c>
      <c r="D73" s="10" t="inlineStr">
        <is>
          <t>2024/25</t>
        </is>
      </c>
      <c r="E73" s="82" t="n">
        <v>105</v>
      </c>
      <c r="F73" s="82" t="n">
        <v>138</v>
      </c>
      <c r="G73" s="82" t="n">
        <v>559</v>
      </c>
      <c r="H73" s="82" t="n">
        <v>2374</v>
      </c>
      <c r="I73" s="82" t="n">
        <v>3176</v>
      </c>
      <c r="J73" s="82" t="n">
        <v>0</v>
      </c>
      <c r="K73" s="83">
        <f>I73/1000</f>
        <v/>
      </c>
      <c r="L73" s="83">
        <f>SUM(E73:G73)/1000</f>
        <v/>
      </c>
      <c r="M73" s="84">
        <f>IF(I73=0,"n.a.",H73/I73)</f>
        <v/>
      </c>
      <c r="N73" s="82">
        <f>IF(J73=0,"n.a.",I73*1000/J73)</f>
        <v/>
      </c>
      <c r="O73" s="82">
        <f>SUM(E73:H73)-I73</f>
        <v/>
      </c>
      <c r="P73" s="82">
        <f>RANK(I73,$I$7:$I$212,0)+COUNTIF($I$7:I73,I73)-1</f>
        <v/>
      </c>
      <c r="Q73" s="10" t="inlineStr">
        <is>
          <t>Heriot-Watt</t>
        </is>
      </c>
    </row>
    <row r="74" ht="46" customHeight="1">
      <c r="A74" s="10" t="inlineStr">
        <is>
          <t>10007760</t>
        </is>
      </c>
      <c r="B74" s="11" t="inlineStr">
        <is>
          <t>Birkbeck College</t>
        </is>
      </c>
      <c r="C74" s="10" t="inlineStr">
        <is>
          <t>Additional UK sample</t>
        </is>
      </c>
      <c r="D74" s="10" t="inlineStr">
        <is>
          <t>2024/25</t>
        </is>
      </c>
      <c r="E74" s="82" t="n">
        <v>14</v>
      </c>
      <c r="F74" s="82" t="n">
        <v>27</v>
      </c>
      <c r="G74" s="82" t="n">
        <v>74</v>
      </c>
      <c r="H74" s="82" t="n">
        <v>3044</v>
      </c>
      <c r="I74" s="82" t="n">
        <v>3159</v>
      </c>
      <c r="J74" s="82" t="n">
        <v>13865</v>
      </c>
      <c r="K74" s="83">
        <f>I74/1000</f>
        <v/>
      </c>
      <c r="L74" s="83">
        <f>SUM(E74:G74)/1000</f>
        <v/>
      </c>
      <c r="M74" s="84">
        <f>IF(I74=0,"n.a.",H74/I74)</f>
        <v/>
      </c>
      <c r="N74" s="82">
        <f>IF(J74=0,"n.a.",I74*1000/J74)</f>
        <v/>
      </c>
      <c r="O74" s="82">
        <f>SUM(E74:H74)-I74</f>
        <v/>
      </c>
      <c r="P74" s="82">
        <f>RANK(I74,$I$7:$I$212,0)+COUNTIF($I$7:I74,I74)-1</f>
        <v/>
      </c>
      <c r="Q74" s="10" t="inlineStr">
        <is>
          <t>Birkbeck</t>
        </is>
      </c>
    </row>
    <row r="75" ht="46" customHeight="1">
      <c r="A75" s="10" t="inlineStr">
        <is>
          <t>10004078</t>
        </is>
      </c>
      <c r="B75" s="11" t="inlineStr">
        <is>
          <t>London South Bank University</t>
        </is>
      </c>
      <c r="C75" s="10" t="inlineStr">
        <is>
          <t>Other HE provider</t>
        </is>
      </c>
      <c r="D75" s="10" t="inlineStr">
        <is>
          <t>2024/25</t>
        </is>
      </c>
      <c r="E75" s="82" t="n">
        <v>105</v>
      </c>
      <c r="F75" s="82" t="n">
        <v>32</v>
      </c>
      <c r="G75" s="82" t="n">
        <v>1597</v>
      </c>
      <c r="H75" s="82" t="n">
        <v>1421</v>
      </c>
      <c r="I75" s="82" t="n">
        <v>3155</v>
      </c>
      <c r="J75" s="82" t="n">
        <v>33836</v>
      </c>
      <c r="K75" s="83">
        <f>I75/1000</f>
        <v/>
      </c>
      <c r="L75" s="83">
        <f>SUM(E75:G75)/1000</f>
        <v/>
      </c>
      <c r="M75" s="84">
        <f>IF(I75=0,"n.a.",H75/I75)</f>
        <v/>
      </c>
      <c r="N75" s="82">
        <f>IF(J75=0,"n.a.",I75*1000/J75)</f>
        <v/>
      </c>
      <c r="O75" s="82">
        <f>SUM(E75:H75)-I75</f>
        <v/>
      </c>
      <c r="P75" s="82">
        <f>RANK(I75,$I$7:$I$212,0)+COUNTIF($I$7:I75,I75)-1</f>
        <v/>
      </c>
      <c r="Q75" s="10" t="inlineStr">
        <is>
          <t>London South Bank</t>
        </is>
      </c>
    </row>
    <row r="76" ht="46" customHeight="1">
      <c r="A76" s="10" t="inlineStr">
        <is>
          <t>10000824</t>
        </is>
      </c>
      <c r="B76" s="11" t="inlineStr">
        <is>
          <t>Bournemouth University</t>
        </is>
      </c>
      <c r="C76" s="10" t="inlineStr">
        <is>
          <t>Other HE provider</t>
        </is>
      </c>
      <c r="D76" s="10" t="inlineStr">
        <is>
          <t>2024/25</t>
        </is>
      </c>
      <c r="E76" s="82" t="n">
        <v>113</v>
      </c>
      <c r="F76" s="82" t="n">
        <v>22</v>
      </c>
      <c r="G76" s="82" t="n">
        <v>2410</v>
      </c>
      <c r="H76" s="82" t="n">
        <v>598</v>
      </c>
      <c r="I76" s="82" t="n">
        <v>3143</v>
      </c>
      <c r="J76" s="82" t="n">
        <v>10476</v>
      </c>
      <c r="K76" s="83">
        <f>I76/1000</f>
        <v/>
      </c>
      <c r="L76" s="83">
        <f>SUM(E76:G76)/1000</f>
        <v/>
      </c>
      <c r="M76" s="84">
        <f>IF(I76=0,"n.a.",H76/I76)</f>
        <v/>
      </c>
      <c r="N76" s="82">
        <f>IF(J76=0,"n.a.",I76*1000/J76)</f>
        <v/>
      </c>
      <c r="O76" s="82">
        <f>SUM(E76:H76)-I76</f>
        <v/>
      </c>
      <c r="P76" s="82">
        <f>RANK(I76,$I$7:$I$212,0)+COUNTIF($I$7:I76,I76)-1</f>
        <v/>
      </c>
      <c r="Q76" s="10" t="inlineStr">
        <is>
          <t>Bournemouth</t>
        </is>
      </c>
    </row>
    <row r="77" ht="46" customHeight="1">
      <c r="A77" s="10" t="inlineStr">
        <is>
          <t>10007154</t>
        </is>
      </c>
      <c r="B77" s="11" t="inlineStr">
        <is>
          <t>University of Nottingham</t>
        </is>
      </c>
      <c r="C77" s="10" t="inlineStr">
        <is>
          <t>Russell Group</t>
        </is>
      </c>
      <c r="D77" s="10" t="inlineStr">
        <is>
          <t>2024/25</t>
        </is>
      </c>
      <c r="E77" s="82" t="n">
        <v>22</v>
      </c>
      <c r="F77" s="82" t="n">
        <v>419</v>
      </c>
      <c r="G77" s="82" t="n">
        <v>1154</v>
      </c>
      <c r="H77" s="82" t="n">
        <v>1505</v>
      </c>
      <c r="I77" s="82" t="n">
        <v>3100</v>
      </c>
      <c r="J77" s="82" t="n">
        <v>3345</v>
      </c>
      <c r="K77" s="83">
        <f>I77/1000</f>
        <v/>
      </c>
      <c r="L77" s="83">
        <f>SUM(E77:G77)/1000</f>
        <v/>
      </c>
      <c r="M77" s="84">
        <f>IF(I77=0,"n.a.",H77/I77)</f>
        <v/>
      </c>
      <c r="N77" s="82">
        <f>IF(J77=0,"n.a.",I77*1000/J77)</f>
        <v/>
      </c>
      <c r="O77" s="82">
        <f>SUM(E77:H77)-I77</f>
        <v/>
      </c>
      <c r="P77" s="82">
        <f>RANK(I77,$I$7:$I$212,0)+COUNTIF($I$7:I77,I77)-1</f>
        <v/>
      </c>
      <c r="Q77" s="10" t="inlineStr">
        <is>
          <t>Nottingham</t>
        </is>
      </c>
    </row>
    <row r="78" ht="46" customHeight="1">
      <c r="A78" s="10" t="inlineStr">
        <is>
          <t>10007833</t>
        </is>
      </c>
      <c r="B78" s="11" t="inlineStr">
        <is>
          <t>Wrexham University</t>
        </is>
      </c>
      <c r="C78" s="10" t="inlineStr">
        <is>
          <t>Other HE provider</t>
        </is>
      </c>
      <c r="D78" s="10" t="inlineStr">
        <is>
          <t>2024/25</t>
        </is>
      </c>
      <c r="E78" s="82" t="n">
        <v>78</v>
      </c>
      <c r="F78" s="82" t="n">
        <v>13</v>
      </c>
      <c r="G78" s="82" t="n">
        <v>2427</v>
      </c>
      <c r="H78" s="82" t="n">
        <v>576</v>
      </c>
      <c r="I78" s="82" t="n">
        <v>3094</v>
      </c>
      <c r="J78" s="82" t="n">
        <v>30078</v>
      </c>
      <c r="K78" s="83">
        <f>I78/1000</f>
        <v/>
      </c>
      <c r="L78" s="83">
        <f>SUM(E78:G78)/1000</f>
        <v/>
      </c>
      <c r="M78" s="84">
        <f>IF(I78=0,"n.a.",H78/I78)</f>
        <v/>
      </c>
      <c r="N78" s="82">
        <f>IF(J78=0,"n.a.",I78*1000/J78)</f>
        <v/>
      </c>
      <c r="O78" s="82">
        <f>SUM(E78:H78)-I78</f>
        <v/>
      </c>
      <c r="P78" s="82">
        <f>RANK(I78,$I$7:$I$212,0)+COUNTIF($I$7:I78,I78)-1</f>
        <v/>
      </c>
      <c r="Q78" s="10" t="inlineStr">
        <is>
          <t>Wrexham</t>
        </is>
      </c>
    </row>
    <row r="79" ht="46" customHeight="1">
      <c r="A79" s="10" t="inlineStr">
        <is>
          <t>10000886</t>
        </is>
      </c>
      <c r="B79" s="11" t="inlineStr">
        <is>
          <t>The University of Brighton</t>
        </is>
      </c>
      <c r="C79" s="10" t="inlineStr">
        <is>
          <t>Other HE provider</t>
        </is>
      </c>
      <c r="D79" s="10" t="inlineStr">
        <is>
          <t>2024/25</t>
        </is>
      </c>
      <c r="E79" s="82" t="n">
        <v>4</v>
      </c>
      <c r="F79" s="82" t="n">
        <v>0</v>
      </c>
      <c r="G79" s="82" t="n">
        <v>3019</v>
      </c>
      <c r="H79" s="82" t="n">
        <v>36</v>
      </c>
      <c r="I79" s="82" t="n">
        <v>3059</v>
      </c>
      <c r="J79" s="82" t="n">
        <v>72000</v>
      </c>
      <c r="K79" s="83">
        <f>I79/1000</f>
        <v/>
      </c>
      <c r="L79" s="83">
        <f>SUM(E79:G79)/1000</f>
        <v/>
      </c>
      <c r="M79" s="84">
        <f>IF(I79=0,"n.a.",H79/I79)</f>
        <v/>
      </c>
      <c r="N79" s="82">
        <f>IF(J79=0,"n.a.",I79*1000/J79)</f>
        <v/>
      </c>
      <c r="O79" s="82">
        <f>SUM(E79:H79)-I79</f>
        <v/>
      </c>
      <c r="P79" s="82">
        <f>RANK(I79,$I$7:$I$212,0)+COUNTIF($I$7:I79,I79)-1</f>
        <v/>
      </c>
      <c r="Q79" s="10" t="inlineStr">
        <is>
          <t>Brighton</t>
        </is>
      </c>
    </row>
    <row r="80" ht="46" customHeight="1">
      <c r="A80" s="10" t="inlineStr">
        <is>
          <t>10007144</t>
        </is>
      </c>
      <c r="B80" s="11" t="inlineStr">
        <is>
          <t>The University of East London</t>
        </is>
      </c>
      <c r="C80" s="10" t="inlineStr">
        <is>
          <t>Other HE provider</t>
        </is>
      </c>
      <c r="D80" s="10" t="inlineStr">
        <is>
          <t>2024/25</t>
        </is>
      </c>
      <c r="E80" s="82" t="n">
        <v>0</v>
      </c>
      <c r="F80" s="82" t="n">
        <v>0</v>
      </c>
      <c r="G80" s="82" t="n">
        <v>382</v>
      </c>
      <c r="H80" s="82" t="n">
        <v>2651</v>
      </c>
      <c r="I80" s="82" t="n">
        <v>3033</v>
      </c>
      <c r="J80" s="82" t="n">
        <v>23996</v>
      </c>
      <c r="K80" s="83">
        <f>I80/1000</f>
        <v/>
      </c>
      <c r="L80" s="83">
        <f>SUM(E80:G80)/1000</f>
        <v/>
      </c>
      <c r="M80" s="84">
        <f>IF(I80=0,"n.a.",H80/I80)</f>
        <v/>
      </c>
      <c r="N80" s="82">
        <f>IF(J80=0,"n.a.",I80*1000/J80)</f>
        <v/>
      </c>
      <c r="O80" s="82">
        <f>SUM(E80:H80)-I80</f>
        <v/>
      </c>
      <c r="P80" s="82">
        <f>RANK(I80,$I$7:$I$212,0)+COUNTIF($I$7:I80,I80)-1</f>
        <v/>
      </c>
      <c r="Q80" s="10" t="inlineStr">
        <is>
          <t>East London</t>
        </is>
      </c>
    </row>
    <row r="81" ht="46" customHeight="1">
      <c r="A81" s="10" t="inlineStr">
        <is>
          <t>10003957</t>
        </is>
      </c>
      <c r="B81" s="11" t="inlineStr">
        <is>
          <t>Liverpool John Moores University</t>
        </is>
      </c>
      <c r="C81" s="10" t="inlineStr">
        <is>
          <t>Other HE provider</t>
        </is>
      </c>
      <c r="D81" s="10" t="inlineStr">
        <is>
          <t>2024/25</t>
        </is>
      </c>
      <c r="E81" s="82" t="n">
        <v>0</v>
      </c>
      <c r="F81" s="82" t="n">
        <v>172</v>
      </c>
      <c r="G81" s="82" t="n">
        <v>2685</v>
      </c>
      <c r="H81" s="82" t="n">
        <v>0</v>
      </c>
      <c r="I81" s="82" t="n">
        <v>2857</v>
      </c>
      <c r="J81" s="82" t="n">
        <v>0</v>
      </c>
      <c r="K81" s="83">
        <f>I81/1000</f>
        <v/>
      </c>
      <c r="L81" s="83">
        <f>SUM(E81:G81)/1000</f>
        <v/>
      </c>
      <c r="M81" s="84">
        <f>IF(I81=0,"n.a.",H81/I81)</f>
        <v/>
      </c>
      <c r="N81" s="82">
        <f>IF(J81=0,"n.a.",I81*1000/J81)</f>
        <v/>
      </c>
      <c r="O81" s="82">
        <f>SUM(E81:H81)-I81</f>
        <v/>
      </c>
      <c r="P81" s="82">
        <f>RANK(I81,$I$7:$I$212,0)+COUNTIF($I$7:I81,I81)-1</f>
        <v/>
      </c>
      <c r="Q81" s="10" t="inlineStr">
        <is>
          <t>Liverpool John Moores</t>
        </is>
      </c>
    </row>
    <row r="82" ht="46" customHeight="1">
      <c r="A82" s="10" t="inlineStr">
        <is>
          <t>10007158</t>
        </is>
      </c>
      <c r="B82" s="11" t="inlineStr">
        <is>
          <t>The University of Southampton</t>
        </is>
      </c>
      <c r="C82" s="10" t="inlineStr">
        <is>
          <t>Russell Group</t>
        </is>
      </c>
      <c r="D82" s="10" t="inlineStr">
        <is>
          <t>2024/25</t>
        </is>
      </c>
      <c r="E82" s="82" t="n">
        <v>128</v>
      </c>
      <c r="F82" s="82" t="n">
        <v>129</v>
      </c>
      <c r="G82" s="82" t="n">
        <v>1974</v>
      </c>
      <c r="H82" s="82" t="n">
        <v>370</v>
      </c>
      <c r="I82" s="82" t="n">
        <v>2601</v>
      </c>
      <c r="J82" s="82" t="n">
        <v>6027</v>
      </c>
      <c r="K82" s="83">
        <f>I82/1000</f>
        <v/>
      </c>
      <c r="L82" s="83">
        <f>SUM(E82:G82)/1000</f>
        <v/>
      </c>
      <c r="M82" s="84">
        <f>IF(I82=0,"n.a.",H82/I82)</f>
        <v/>
      </c>
      <c r="N82" s="82">
        <f>IF(J82=0,"n.a.",I82*1000/J82)</f>
        <v/>
      </c>
      <c r="O82" s="82">
        <f>SUM(E82:H82)-I82</f>
        <v/>
      </c>
      <c r="P82" s="82">
        <f>RANK(I82,$I$7:$I$212,0)+COUNTIF($I$7:I82,I82)-1</f>
        <v/>
      </c>
      <c r="Q82" s="10" t="inlineStr">
        <is>
          <t>Southampton</t>
        </is>
      </c>
    </row>
    <row r="83" ht="46" customHeight="1">
      <c r="A83" s="10" t="inlineStr">
        <is>
          <t>10007159</t>
        </is>
      </c>
      <c r="B83" s="11" t="inlineStr">
        <is>
          <t>The University of Sunderland</t>
        </is>
      </c>
      <c r="C83" s="10" t="inlineStr">
        <is>
          <t>Other HE provider</t>
        </is>
      </c>
      <c r="D83" s="10" t="inlineStr">
        <is>
          <t>2024/25</t>
        </is>
      </c>
      <c r="E83" s="82" t="n">
        <v>111</v>
      </c>
      <c r="F83" s="82" t="n">
        <v>330</v>
      </c>
      <c r="G83" s="82" t="n">
        <v>1229</v>
      </c>
      <c r="H83" s="82" t="n">
        <v>918</v>
      </c>
      <c r="I83" s="82" t="n">
        <v>2588</v>
      </c>
      <c r="J83" s="82" t="n">
        <v>15750</v>
      </c>
      <c r="K83" s="83">
        <f>I83/1000</f>
        <v/>
      </c>
      <c r="L83" s="83">
        <f>SUM(E83:G83)/1000</f>
        <v/>
      </c>
      <c r="M83" s="84">
        <f>IF(I83=0,"n.a.",H83/I83)</f>
        <v/>
      </c>
      <c r="N83" s="82">
        <f>IF(J83=0,"n.a.",I83*1000/J83)</f>
        <v/>
      </c>
      <c r="O83" s="82">
        <f>SUM(E83:H83)-I83</f>
        <v/>
      </c>
      <c r="P83" s="82">
        <f>RANK(I83,$I$7:$I$212,0)+COUNTIF($I$7:I83,I83)-1</f>
        <v/>
      </c>
      <c r="Q83" s="10" t="inlineStr">
        <is>
          <t>Sunderland</t>
        </is>
      </c>
    </row>
    <row r="84" ht="46" customHeight="1">
      <c r="A84" s="10" t="inlineStr">
        <is>
          <t>10007148</t>
        </is>
      </c>
      <c r="B84" s="11" t="inlineStr">
        <is>
          <t>The University of Huddersfield</t>
        </is>
      </c>
      <c r="C84" s="10" t="inlineStr">
        <is>
          <t>Other HE provider</t>
        </is>
      </c>
      <c r="D84" s="10" t="inlineStr">
        <is>
          <t>2024/25</t>
        </is>
      </c>
      <c r="E84" s="82" t="n">
        <v>39</v>
      </c>
      <c r="F84" s="82" t="n">
        <v>31</v>
      </c>
      <c r="G84" s="82" t="n">
        <v>2150</v>
      </c>
      <c r="H84" s="82" t="n">
        <v>354</v>
      </c>
      <c r="I84" s="82" t="n">
        <v>2574</v>
      </c>
      <c r="J84" s="82" t="n">
        <v>2203</v>
      </c>
      <c r="K84" s="83">
        <f>I84/1000</f>
        <v/>
      </c>
      <c r="L84" s="83">
        <f>SUM(E84:G84)/1000</f>
        <v/>
      </c>
      <c r="M84" s="84">
        <f>IF(I84=0,"n.a.",H84/I84)</f>
        <v/>
      </c>
      <c r="N84" s="82">
        <f>IF(J84=0,"n.a.",I84*1000/J84)</f>
        <v/>
      </c>
      <c r="O84" s="82">
        <f>SUM(E84:H84)-I84</f>
        <v/>
      </c>
      <c r="P84" s="82">
        <f>RANK(I84,$I$7:$I$212,0)+COUNTIF($I$7:I84,I84)-1</f>
        <v/>
      </c>
      <c r="Q84" s="10" t="inlineStr">
        <is>
          <t>Huddersfield</t>
        </is>
      </c>
    </row>
    <row r="85" ht="46" customHeight="1">
      <c r="A85" s="10" t="inlineStr">
        <is>
          <t>10007166</t>
        </is>
      </c>
      <c r="B85" s="11" t="inlineStr">
        <is>
          <t>The University of Wolverhampton</t>
        </is>
      </c>
      <c r="C85" s="10" t="inlineStr">
        <is>
          <t>Other HE provider</t>
        </is>
      </c>
      <c r="D85" s="10" t="inlineStr">
        <is>
          <t>2024/25</t>
        </is>
      </c>
      <c r="E85" s="82" t="n">
        <v>17</v>
      </c>
      <c r="F85" s="82" t="n">
        <v>1</v>
      </c>
      <c r="G85" s="82" t="n">
        <v>1274</v>
      </c>
      <c r="H85" s="82" t="n">
        <v>1225</v>
      </c>
      <c r="I85" s="82" t="n">
        <v>2517</v>
      </c>
      <c r="J85" s="82" t="n">
        <v>2891</v>
      </c>
      <c r="K85" s="83">
        <f>I85/1000</f>
        <v/>
      </c>
      <c r="L85" s="83">
        <f>SUM(E85:G85)/1000</f>
        <v/>
      </c>
      <c r="M85" s="84">
        <f>IF(I85=0,"n.a.",H85/I85)</f>
        <v/>
      </c>
      <c r="N85" s="82">
        <f>IF(J85=0,"n.a.",I85*1000/J85)</f>
        <v/>
      </c>
      <c r="O85" s="82">
        <f>SUM(E85:H85)-I85</f>
        <v/>
      </c>
      <c r="P85" s="82">
        <f>RANK(I85,$I$7:$I$212,0)+COUNTIF($I$7:I85,I85)-1</f>
        <v/>
      </c>
      <c r="Q85" s="10" t="inlineStr">
        <is>
          <t>Wolverhampton</t>
        </is>
      </c>
    </row>
    <row r="86" ht="46" customHeight="1">
      <c r="A86" s="10" t="inlineStr">
        <is>
          <t>10007858</t>
        </is>
      </c>
      <c r="B86" s="11" t="inlineStr">
        <is>
          <t>University of Wales Trinity Saint David</t>
        </is>
      </c>
      <c r="C86" s="10" t="inlineStr">
        <is>
          <t>Other HE provider</t>
        </is>
      </c>
      <c r="D86" s="10" t="inlineStr">
        <is>
          <t>2024/25</t>
        </is>
      </c>
      <c r="E86" s="82" t="n">
        <v>146</v>
      </c>
      <c r="F86" s="82" t="n">
        <v>68</v>
      </c>
      <c r="G86" s="82" t="n">
        <v>671</v>
      </c>
      <c r="H86" s="82" t="n">
        <v>1338</v>
      </c>
      <c r="I86" s="82" t="n">
        <v>2223</v>
      </c>
      <c r="J86" s="82" t="n">
        <v>27400</v>
      </c>
      <c r="K86" s="83">
        <f>I86/1000</f>
        <v/>
      </c>
      <c r="L86" s="83">
        <f>SUM(E86:G86)/1000</f>
        <v/>
      </c>
      <c r="M86" s="84">
        <f>IF(I86=0,"n.a.",H86/I86)</f>
        <v/>
      </c>
      <c r="N86" s="82">
        <f>IF(J86=0,"n.a.",I86*1000/J86)</f>
        <v/>
      </c>
      <c r="O86" s="82">
        <f>SUM(E86:H86)-I86</f>
        <v/>
      </c>
      <c r="P86" s="82">
        <f>RANK(I86,$I$7:$I$212,0)+COUNTIF($I$7:I86,I86)-1</f>
        <v/>
      </c>
      <c r="Q86" s="10" t="inlineStr">
        <is>
          <t>Wales Trinity Saint David</t>
        </is>
      </c>
    </row>
    <row r="87" ht="46" customHeight="1">
      <c r="A87" s="10" t="inlineStr">
        <is>
          <t>10007776</t>
        </is>
      </c>
      <c r="B87" s="11" t="inlineStr">
        <is>
          <t>Roehampton University</t>
        </is>
      </c>
      <c r="C87" s="10" t="inlineStr">
        <is>
          <t>Other HE provider</t>
        </is>
      </c>
      <c r="D87" s="10" t="inlineStr">
        <is>
          <t>2024/25</t>
        </is>
      </c>
      <c r="E87" s="82" t="n">
        <v>0</v>
      </c>
      <c r="F87" s="82" t="n">
        <v>0</v>
      </c>
      <c r="G87" s="82" t="n">
        <v>157</v>
      </c>
      <c r="H87" s="82" t="n">
        <v>2027</v>
      </c>
      <c r="I87" s="82" t="n">
        <v>2184</v>
      </c>
      <c r="J87" s="82" t="n">
        <v>39106</v>
      </c>
      <c r="K87" s="83">
        <f>I87/1000</f>
        <v/>
      </c>
      <c r="L87" s="83">
        <f>SUM(E87:G87)/1000</f>
        <v/>
      </c>
      <c r="M87" s="84">
        <f>IF(I87=0,"n.a.",H87/I87)</f>
        <v/>
      </c>
      <c r="N87" s="82">
        <f>IF(J87=0,"n.a.",I87*1000/J87)</f>
        <v/>
      </c>
      <c r="O87" s="82">
        <f>SUM(E87:H87)-I87</f>
        <v/>
      </c>
      <c r="P87" s="82">
        <f>RANK(I87,$I$7:$I$212,0)+COUNTIF($I$7:I87,I87)-1</f>
        <v/>
      </c>
      <c r="Q87" s="10" t="inlineStr">
        <is>
          <t>Roehampton</t>
        </is>
      </c>
    </row>
    <row r="88" ht="46" customHeight="1">
      <c r="A88" s="10" t="inlineStr">
        <is>
          <t>10007152</t>
        </is>
      </c>
      <c r="B88" s="11" t="inlineStr">
        <is>
          <t>University of Bedfordshire</t>
        </is>
      </c>
      <c r="C88" s="10" t="inlineStr">
        <is>
          <t>Other HE provider</t>
        </is>
      </c>
      <c r="D88" s="10" t="inlineStr">
        <is>
          <t>2024/25</t>
        </is>
      </c>
      <c r="E88" s="82" t="n">
        <v>423</v>
      </c>
      <c r="F88" s="82" t="n">
        <v>10</v>
      </c>
      <c r="G88" s="82" t="n">
        <v>168</v>
      </c>
      <c r="H88" s="82" t="n">
        <v>1559</v>
      </c>
      <c r="I88" s="82" t="n">
        <v>2160</v>
      </c>
      <c r="J88" s="82" t="n">
        <v>25012</v>
      </c>
      <c r="K88" s="83">
        <f>I88/1000</f>
        <v/>
      </c>
      <c r="L88" s="83">
        <f>SUM(E88:G88)/1000</f>
        <v/>
      </c>
      <c r="M88" s="84">
        <f>IF(I88=0,"n.a.",H88/I88)</f>
        <v/>
      </c>
      <c r="N88" s="82">
        <f>IF(J88=0,"n.a.",I88*1000/J88)</f>
        <v/>
      </c>
      <c r="O88" s="82">
        <f>SUM(E88:H88)-I88</f>
        <v/>
      </c>
      <c r="P88" s="82">
        <f>RANK(I88,$I$7:$I$212,0)+COUNTIF($I$7:I88,I88)-1</f>
        <v/>
      </c>
      <c r="Q88" s="10" t="inlineStr">
        <is>
          <t>Bedfordshire</t>
        </is>
      </c>
    </row>
    <row r="89" ht="46" customHeight="1">
      <c r="A89" s="10" t="inlineStr">
        <is>
          <t>10007771</t>
        </is>
      </c>
      <c r="B89" s="11" t="inlineStr">
        <is>
          <t>London School of Hygiene and Tropical Medicine</t>
        </is>
      </c>
      <c r="C89" s="10" t="inlineStr">
        <is>
          <t>Other HE provider</t>
        </is>
      </c>
      <c r="D89" s="10" t="inlineStr">
        <is>
          <t>2024/25</t>
        </is>
      </c>
      <c r="E89" s="82" t="n">
        <v>2</v>
      </c>
      <c r="F89" s="82" t="n">
        <v>263</v>
      </c>
      <c r="G89" s="82" t="n">
        <v>644</v>
      </c>
      <c r="H89" s="82" t="n">
        <v>1245</v>
      </c>
      <c r="I89" s="82" t="n">
        <v>2154</v>
      </c>
      <c r="J89" s="82" t="n">
        <v>14022</v>
      </c>
      <c r="K89" s="83">
        <f>I89/1000</f>
        <v/>
      </c>
      <c r="L89" s="83">
        <f>SUM(E89:G89)/1000</f>
        <v/>
      </c>
      <c r="M89" s="84">
        <f>IF(I89=0,"n.a.",H89/I89)</f>
        <v/>
      </c>
      <c r="N89" s="82">
        <f>IF(J89=0,"n.a.",I89*1000/J89)</f>
        <v/>
      </c>
      <c r="O89" s="82">
        <f>SUM(E89:H89)-I89</f>
        <v/>
      </c>
      <c r="P89" s="82">
        <f>RANK(I89,$I$7:$I$212,0)+COUNTIF($I$7:I89,I89)-1</f>
        <v/>
      </c>
      <c r="Q89" s="10" t="inlineStr">
        <is>
          <t>London School of Hygiene and Tropical Medicine</t>
        </is>
      </c>
    </row>
    <row r="90" ht="46" customHeight="1">
      <c r="A90" s="10" t="inlineStr">
        <is>
          <t>10007804</t>
        </is>
      </c>
      <c r="B90" s="11" t="inlineStr">
        <is>
          <t>The University of Stirling</t>
        </is>
      </c>
      <c r="C90" s="10" t="inlineStr">
        <is>
          <t>Additional UK sample</t>
        </is>
      </c>
      <c r="D90" s="10" t="inlineStr">
        <is>
          <t>2024/25</t>
        </is>
      </c>
      <c r="E90" s="82" t="n">
        <v>20</v>
      </c>
      <c r="F90" s="82" t="n">
        <v>15</v>
      </c>
      <c r="G90" s="82" t="n">
        <v>326</v>
      </c>
      <c r="H90" s="82" t="n">
        <v>1636</v>
      </c>
      <c r="I90" s="82" t="n">
        <v>1997</v>
      </c>
      <c r="J90" s="82" t="n">
        <v>28957</v>
      </c>
      <c r="K90" s="83">
        <f>I90/1000</f>
        <v/>
      </c>
      <c r="L90" s="83">
        <f>SUM(E90:G90)/1000</f>
        <v/>
      </c>
      <c r="M90" s="84">
        <f>IF(I90=0,"n.a.",H90/I90)</f>
        <v/>
      </c>
      <c r="N90" s="82">
        <f>IF(J90=0,"n.a.",I90*1000/J90)</f>
        <v/>
      </c>
      <c r="O90" s="82">
        <f>SUM(E90:H90)-I90</f>
        <v/>
      </c>
      <c r="P90" s="82">
        <f>RANK(I90,$I$7:$I$212,0)+COUNTIF($I$7:I90,I90)-1</f>
        <v/>
      </c>
      <c r="Q90" s="10" t="inlineStr">
        <is>
          <t>Stirling</t>
        </is>
      </c>
    </row>
    <row r="91" ht="46" customHeight="1">
      <c r="A91" s="10" t="inlineStr">
        <is>
          <t>10007801</t>
        </is>
      </c>
      <c r="B91" s="11" t="inlineStr">
        <is>
          <t>University of Plymouth</t>
        </is>
      </c>
      <c r="C91" s="10" t="inlineStr">
        <is>
          <t>Additional UK sample</t>
        </is>
      </c>
      <c r="D91" s="10" t="inlineStr">
        <is>
          <t>2024/25</t>
        </is>
      </c>
      <c r="E91" s="82" t="n">
        <v>42</v>
      </c>
      <c r="F91" s="82" t="n">
        <v>12</v>
      </c>
      <c r="G91" s="82" t="n">
        <v>1790</v>
      </c>
      <c r="H91" s="82" t="n">
        <v>121</v>
      </c>
      <c r="I91" s="82" t="n">
        <v>1965</v>
      </c>
      <c r="J91" s="82" t="n">
        <v>9230</v>
      </c>
      <c r="K91" s="83">
        <f>I91/1000</f>
        <v/>
      </c>
      <c r="L91" s="83">
        <f>SUM(E91:G91)/1000</f>
        <v/>
      </c>
      <c r="M91" s="84">
        <f>IF(I91=0,"n.a.",H91/I91)</f>
        <v/>
      </c>
      <c r="N91" s="82">
        <f>IF(J91=0,"n.a.",I91*1000/J91)</f>
        <v/>
      </c>
      <c r="O91" s="82">
        <f>SUM(E91:H91)-I91</f>
        <v/>
      </c>
      <c r="P91" s="82">
        <f>RANK(I91,$I$7:$I$212,0)+COUNTIF($I$7:I91,I91)-1</f>
        <v/>
      </c>
      <c r="Q91" s="10" t="inlineStr">
        <is>
          <t>Plymouth</t>
        </is>
      </c>
    </row>
    <row r="92" ht="46" customHeight="1">
      <c r="A92" s="10" t="inlineStr">
        <is>
          <t>10007762</t>
        </is>
      </c>
      <c r="B92" s="11" t="inlineStr">
        <is>
          <t>Glasgow Caledonian University</t>
        </is>
      </c>
      <c r="C92" s="10" t="inlineStr">
        <is>
          <t>Other HE provider</t>
        </is>
      </c>
      <c r="D92" s="10" t="inlineStr">
        <is>
          <t>2024/25</t>
        </is>
      </c>
      <c r="E92" s="82" t="n">
        <v>15</v>
      </c>
      <c r="F92" s="82" t="n">
        <v>52</v>
      </c>
      <c r="G92" s="82" t="n">
        <v>1655</v>
      </c>
      <c r="H92" s="82" t="n">
        <v>241</v>
      </c>
      <c r="I92" s="82" t="n">
        <v>1963</v>
      </c>
      <c r="J92" s="82" t="n">
        <v>6886</v>
      </c>
      <c r="K92" s="83">
        <f>I92/1000</f>
        <v/>
      </c>
      <c r="L92" s="83">
        <f>SUM(E92:G92)/1000</f>
        <v/>
      </c>
      <c r="M92" s="84">
        <f>IF(I92=0,"n.a.",H92/I92)</f>
        <v/>
      </c>
      <c r="N92" s="82">
        <f>IF(J92=0,"n.a.",I92*1000/J92)</f>
        <v/>
      </c>
      <c r="O92" s="82">
        <f>SUM(E92:H92)-I92</f>
        <v/>
      </c>
      <c r="P92" s="82">
        <f>RANK(I92,$I$7:$I$212,0)+COUNTIF($I$7:I92,I92)-1</f>
        <v/>
      </c>
      <c r="Q92" s="10" t="inlineStr">
        <is>
          <t>Glasgow Caledonian</t>
        </is>
      </c>
    </row>
    <row r="93" ht="46" customHeight="1">
      <c r="A93" s="10" t="inlineStr">
        <is>
          <t>10007848</t>
        </is>
      </c>
      <c r="B93" s="11" t="inlineStr">
        <is>
          <t>University of Chester</t>
        </is>
      </c>
      <c r="C93" s="10" t="inlineStr">
        <is>
          <t>Other HE provider</t>
        </is>
      </c>
      <c r="D93" s="10" t="inlineStr">
        <is>
          <t>2024/25</t>
        </is>
      </c>
      <c r="E93" s="82" t="n">
        <v>153</v>
      </c>
      <c r="F93" s="82" t="n">
        <v>0</v>
      </c>
      <c r="G93" s="82" t="n">
        <v>598</v>
      </c>
      <c r="H93" s="82" t="n">
        <v>1081</v>
      </c>
      <c r="I93" s="82" t="n">
        <v>1832</v>
      </c>
      <c r="J93" s="82" t="n">
        <v>4318</v>
      </c>
      <c r="K93" s="83">
        <f>I93/1000</f>
        <v/>
      </c>
      <c r="L93" s="83">
        <f>SUM(E93:G93)/1000</f>
        <v/>
      </c>
      <c r="M93" s="84">
        <f>IF(I93=0,"n.a.",H93/I93)</f>
        <v/>
      </c>
      <c r="N93" s="82">
        <f>IF(J93=0,"n.a.",I93*1000/J93)</f>
        <v/>
      </c>
      <c r="O93" s="82">
        <f>SUM(E93:H93)-I93</f>
        <v/>
      </c>
      <c r="P93" s="82">
        <f>RANK(I93,$I$7:$I$212,0)+COUNTIF($I$7:I93,I93)-1</f>
        <v/>
      </c>
      <c r="Q93" s="10" t="inlineStr">
        <is>
          <t>Chester</t>
        </is>
      </c>
    </row>
    <row r="94" ht="46" customHeight="1">
      <c r="A94" s="10" t="inlineStr">
        <is>
          <t>10007146</t>
        </is>
      </c>
      <c r="B94" s="11" t="inlineStr">
        <is>
          <t>The University of Greenwich</t>
        </is>
      </c>
      <c r="C94" s="10" t="inlineStr">
        <is>
          <t>Other HE provider</t>
        </is>
      </c>
      <c r="D94" s="10" t="inlineStr">
        <is>
          <t>2024/25</t>
        </is>
      </c>
      <c r="E94" s="82" t="n">
        <v>264</v>
      </c>
      <c r="F94" s="82" t="n">
        <v>123</v>
      </c>
      <c r="G94" s="82" t="n">
        <v>1403</v>
      </c>
      <c r="H94" s="82" t="n">
        <v>40</v>
      </c>
      <c r="I94" s="82" t="n">
        <v>1830</v>
      </c>
      <c r="J94" s="82" t="n">
        <v>3660</v>
      </c>
      <c r="K94" s="83">
        <f>I94/1000</f>
        <v/>
      </c>
      <c r="L94" s="83">
        <f>SUM(E94:G94)/1000</f>
        <v/>
      </c>
      <c r="M94" s="84">
        <f>IF(I94=0,"n.a.",H94/I94)</f>
        <v/>
      </c>
      <c r="N94" s="82">
        <f>IF(J94=0,"n.a.",I94*1000/J94)</f>
        <v/>
      </c>
      <c r="O94" s="82">
        <f>SUM(E94:H94)-I94</f>
        <v/>
      </c>
      <c r="P94" s="82">
        <f>RANK(I94,$I$7:$I$212,0)+COUNTIF($I$7:I94,I94)-1</f>
        <v/>
      </c>
      <c r="Q94" s="10" t="inlineStr">
        <is>
          <t>Greenwich</t>
        </is>
      </c>
    </row>
    <row r="95" ht="46" customHeight="1">
      <c r="A95" s="10" t="inlineStr">
        <is>
          <t>10003678</t>
        </is>
      </c>
      <c r="B95" s="11" t="inlineStr">
        <is>
          <t>Kingston University</t>
        </is>
      </c>
      <c r="C95" s="10" t="inlineStr">
        <is>
          <t>Other HE provider</t>
        </is>
      </c>
      <c r="D95" s="10" t="inlineStr">
        <is>
          <t>2024/25</t>
        </is>
      </c>
      <c r="E95" s="82" t="n">
        <v>560</v>
      </c>
      <c r="F95" s="82" t="n">
        <v>0</v>
      </c>
      <c r="G95" s="82" t="n">
        <v>1053</v>
      </c>
      <c r="H95" s="82" t="n">
        <v>91</v>
      </c>
      <c r="I95" s="82" t="n">
        <v>1704</v>
      </c>
      <c r="J95" s="82" t="n">
        <v>6423</v>
      </c>
      <c r="K95" s="83">
        <f>I95/1000</f>
        <v/>
      </c>
      <c r="L95" s="83">
        <f>SUM(E95:G95)/1000</f>
        <v/>
      </c>
      <c r="M95" s="84">
        <f>IF(I95=0,"n.a.",H95/I95)</f>
        <v/>
      </c>
      <c r="N95" s="82">
        <f>IF(J95=0,"n.a.",I95*1000/J95)</f>
        <v/>
      </c>
      <c r="O95" s="82">
        <f>SUM(E95:H95)-I95</f>
        <v/>
      </c>
      <c r="P95" s="82">
        <f>RANK(I95,$I$7:$I$212,0)+COUNTIF($I$7:I95,I95)-1</f>
        <v/>
      </c>
      <c r="Q95" s="10" t="inlineStr">
        <is>
          <t>Kingston</t>
        </is>
      </c>
    </row>
    <row r="96" ht="46" customHeight="1">
      <c r="A96" s="10" t="inlineStr">
        <is>
          <t>10007786</t>
        </is>
      </c>
      <c r="B96" s="11" t="inlineStr">
        <is>
          <t>The University of Bristol</t>
        </is>
      </c>
      <c r="C96" s="10" t="inlineStr">
        <is>
          <t>Russell Group</t>
        </is>
      </c>
      <c r="D96" s="10" t="inlineStr">
        <is>
          <t>2024/25</t>
        </is>
      </c>
      <c r="E96" s="82" t="n">
        <v>27</v>
      </c>
      <c r="F96" s="82" t="n">
        <v>556</v>
      </c>
      <c r="G96" s="82" t="n">
        <v>949</v>
      </c>
      <c r="H96" s="82" t="n">
        <v>26</v>
      </c>
      <c r="I96" s="82" t="n">
        <v>1558</v>
      </c>
      <c r="J96" s="82" t="n">
        <v>4718</v>
      </c>
      <c r="K96" s="83">
        <f>I96/1000</f>
        <v/>
      </c>
      <c r="L96" s="83">
        <f>SUM(E96:G96)/1000</f>
        <v/>
      </c>
      <c r="M96" s="84">
        <f>IF(I96=0,"n.a.",H96/I96)</f>
        <v/>
      </c>
      <c r="N96" s="82">
        <f>IF(J96=0,"n.a.",I96*1000/J96)</f>
        <v/>
      </c>
      <c r="O96" s="82">
        <f>SUM(E96:H96)-I96</f>
        <v/>
      </c>
      <c r="P96" s="82">
        <f>RANK(I96,$I$7:$I$212,0)+COUNTIF($I$7:I96,I96)-1</f>
        <v/>
      </c>
      <c r="Q96" s="10" t="inlineStr">
        <is>
          <t>Bristol</t>
        </is>
      </c>
    </row>
    <row r="97" ht="46" customHeight="1">
      <c r="A97" s="10" t="inlineStr">
        <is>
          <t>10007114</t>
        </is>
      </c>
      <c r="B97" s="11" t="inlineStr">
        <is>
          <t>University of the Highlands and Islands</t>
        </is>
      </c>
      <c r="C97" s="10" t="inlineStr">
        <is>
          <t>Other HE provider</t>
        </is>
      </c>
      <c r="D97" s="10" t="inlineStr">
        <is>
          <t>2024/25</t>
        </is>
      </c>
      <c r="E97" s="82" t="n">
        <v>293</v>
      </c>
      <c r="F97" s="82" t="n">
        <v>195</v>
      </c>
      <c r="G97" s="82" t="n">
        <v>271</v>
      </c>
      <c r="H97" s="82" t="n">
        <v>737</v>
      </c>
      <c r="I97" s="82" t="n">
        <v>1496</v>
      </c>
      <c r="J97" s="82" t="n">
        <v>26950</v>
      </c>
      <c r="K97" s="83">
        <f>I97/1000</f>
        <v/>
      </c>
      <c r="L97" s="83">
        <f>SUM(E97:G97)/1000</f>
        <v/>
      </c>
      <c r="M97" s="84">
        <f>IF(I97=0,"n.a.",H97/I97)</f>
        <v/>
      </c>
      <c r="N97" s="82">
        <f>IF(J97=0,"n.a.",I97*1000/J97)</f>
        <v/>
      </c>
      <c r="O97" s="82">
        <f>SUM(E97:H97)-I97</f>
        <v/>
      </c>
      <c r="P97" s="82">
        <f>RANK(I97,$I$7:$I$212,0)+COUNTIF($I$7:I97,I97)-1</f>
        <v/>
      </c>
      <c r="Q97" s="10" t="inlineStr">
        <is>
          <t>the Highlands and Islands</t>
        </is>
      </c>
    </row>
    <row r="98" ht="46" customHeight="1">
      <c r="A98" s="10" t="inlineStr">
        <is>
          <t>10004930</t>
        </is>
      </c>
      <c r="B98" s="11" t="inlineStr">
        <is>
          <t>Oxford Brookes University</t>
        </is>
      </c>
      <c r="C98" s="10" t="inlineStr">
        <is>
          <t>Additional UK sample</t>
        </is>
      </c>
      <c r="D98" s="10" t="inlineStr">
        <is>
          <t>2024/25</t>
        </is>
      </c>
      <c r="E98" s="82" t="n">
        <v>19</v>
      </c>
      <c r="F98" s="82" t="n">
        <v>5</v>
      </c>
      <c r="G98" s="82" t="n">
        <v>953</v>
      </c>
      <c r="H98" s="82" t="n">
        <v>508</v>
      </c>
      <c r="I98" s="82" t="n">
        <v>1485</v>
      </c>
      <c r="J98" s="82" t="n">
        <v>5275</v>
      </c>
      <c r="K98" s="83">
        <f>I98/1000</f>
        <v/>
      </c>
      <c r="L98" s="83">
        <f>SUM(E98:G98)/1000</f>
        <v/>
      </c>
      <c r="M98" s="84">
        <f>IF(I98=0,"n.a.",H98/I98)</f>
        <v/>
      </c>
      <c r="N98" s="82">
        <f>IF(J98=0,"n.a.",I98*1000/J98)</f>
        <v/>
      </c>
      <c r="O98" s="82">
        <f>SUM(E98:H98)-I98</f>
        <v/>
      </c>
      <c r="P98" s="82">
        <f>RANK(I98,$I$7:$I$212,0)+COUNTIF($I$7:I98,I98)-1</f>
        <v/>
      </c>
      <c r="Q98" s="10" t="inlineStr">
        <is>
          <t>Oxford Brookes</t>
        </is>
      </c>
    </row>
    <row r="99" ht="46" customHeight="1">
      <c r="A99" s="10" t="inlineStr">
        <is>
          <t>10007160</t>
        </is>
      </c>
      <c r="B99" s="11" t="inlineStr">
        <is>
          <t>The University of Surrey</t>
        </is>
      </c>
      <c r="C99" s="10" t="inlineStr">
        <is>
          <t>Additional UK sample</t>
        </is>
      </c>
      <c r="D99" s="10" t="inlineStr">
        <is>
          <t>2024/25</t>
        </is>
      </c>
      <c r="E99" s="82" t="n">
        <v>86</v>
      </c>
      <c r="F99" s="82" t="n">
        <v>200</v>
      </c>
      <c r="G99" s="82" t="n">
        <v>827</v>
      </c>
      <c r="H99" s="82" t="n">
        <v>330</v>
      </c>
      <c r="I99" s="82" t="n">
        <v>1443</v>
      </c>
      <c r="J99" s="82" t="n">
        <v>7140</v>
      </c>
      <c r="K99" s="83">
        <f>I99/1000</f>
        <v/>
      </c>
      <c r="L99" s="83">
        <f>SUM(E99:G99)/1000</f>
        <v/>
      </c>
      <c r="M99" s="84">
        <f>IF(I99=0,"n.a.",H99/I99)</f>
        <v/>
      </c>
      <c r="N99" s="82">
        <f>IF(J99=0,"n.a.",I99*1000/J99)</f>
        <v/>
      </c>
      <c r="O99" s="82">
        <f>SUM(E99:H99)-I99</f>
        <v/>
      </c>
      <c r="P99" s="82">
        <f>RANK(I99,$I$7:$I$212,0)+COUNTIF($I$7:I99,I99)-1</f>
        <v/>
      </c>
      <c r="Q99" s="10" t="inlineStr">
        <is>
          <t>Surrey</t>
        </is>
      </c>
    </row>
    <row r="100" ht="46" customHeight="1">
      <c r="A100" s="10" t="inlineStr">
        <is>
          <t>10019178</t>
        </is>
      </c>
      <c r="B100" s="11" t="inlineStr">
        <is>
          <t>Point Blank Music School</t>
        </is>
      </c>
      <c r="C100" s="10" t="inlineStr">
        <is>
          <t>Other HE provider</t>
        </is>
      </c>
      <c r="D100" s="10" t="inlineStr">
        <is>
          <t>2024/25</t>
        </is>
      </c>
      <c r="E100" s="82" t="n">
        <v>0</v>
      </c>
      <c r="F100" s="82" t="n">
        <v>0</v>
      </c>
      <c r="G100" s="82" t="n">
        <v>0</v>
      </c>
      <c r="H100" s="82" t="n">
        <v>1389</v>
      </c>
      <c r="I100" s="82" t="n">
        <v>1389</v>
      </c>
      <c r="J100" s="82" t="n">
        <v>12305</v>
      </c>
      <c r="K100" s="83">
        <f>I100/1000</f>
        <v/>
      </c>
      <c r="L100" s="83">
        <f>SUM(E100:G100)/1000</f>
        <v/>
      </c>
      <c r="M100" s="84">
        <f>IF(I100=0,"n.a.",H100/I100)</f>
        <v/>
      </c>
      <c r="N100" s="82">
        <f>IF(J100=0,"n.a.",I100*1000/J100)</f>
        <v/>
      </c>
      <c r="O100" s="82">
        <f>SUM(E100:H100)-I100</f>
        <v/>
      </c>
      <c r="P100" s="82">
        <f>RANK(I100,$I$7:$I$212,0)+COUNTIF($I$7:I100,I100)-1</f>
        <v/>
      </c>
      <c r="Q100" s="10" t="inlineStr">
        <is>
          <t>Point Blank Music School</t>
        </is>
      </c>
    </row>
    <row r="101" ht="46" customHeight="1">
      <c r="A101" s="10" t="inlineStr">
        <is>
          <t>10000961</t>
        </is>
      </c>
      <c r="B101" s="11" t="inlineStr">
        <is>
          <t>Brunel University London</t>
        </is>
      </c>
      <c r="C101" s="10" t="inlineStr">
        <is>
          <t>Additional UK sample</t>
        </is>
      </c>
      <c r="D101" s="10" t="inlineStr">
        <is>
          <t>2024/25</t>
        </is>
      </c>
      <c r="E101" s="82" t="n">
        <v>269</v>
      </c>
      <c r="F101" s="82" t="n">
        <v>0</v>
      </c>
      <c r="G101" s="82" t="n">
        <v>4</v>
      </c>
      <c r="H101" s="82" t="n">
        <v>1109</v>
      </c>
      <c r="I101" s="82" t="n">
        <v>1382</v>
      </c>
      <c r="J101" s="82" t="n">
        <v>12169</v>
      </c>
      <c r="K101" s="83">
        <f>I101/1000</f>
        <v/>
      </c>
      <c r="L101" s="83">
        <f>SUM(E101:G101)/1000</f>
        <v/>
      </c>
      <c r="M101" s="84">
        <f>IF(I101=0,"n.a.",H101/I101)</f>
        <v/>
      </c>
      <c r="N101" s="82">
        <f>IF(J101=0,"n.a.",I101*1000/J101)</f>
        <v/>
      </c>
      <c r="O101" s="82">
        <f>SUM(E101:H101)-I101</f>
        <v/>
      </c>
      <c r="P101" s="82">
        <f>RANK(I101,$I$7:$I$212,0)+COUNTIF($I$7:I101,I101)-1</f>
        <v/>
      </c>
      <c r="Q101" s="10" t="inlineStr">
        <is>
          <t>Brunel</t>
        </is>
      </c>
    </row>
    <row r="102" ht="46" customHeight="1">
      <c r="A102" s="10" t="inlineStr">
        <is>
          <t>10007837</t>
        </is>
      </c>
      <c r="B102" s="11" t="inlineStr">
        <is>
          <t>Royal Northern College of Music</t>
        </is>
      </c>
      <c r="C102" s="10" t="inlineStr">
        <is>
          <t>Other HE provider</t>
        </is>
      </c>
      <c r="D102" s="10" t="inlineStr">
        <is>
          <t>2024/25</t>
        </is>
      </c>
      <c r="E102" s="82" t="n">
        <v>0</v>
      </c>
      <c r="F102" s="82" t="n">
        <v>0</v>
      </c>
      <c r="G102" s="82" t="n">
        <v>0</v>
      </c>
      <c r="H102" s="82" t="n">
        <v>1382</v>
      </c>
      <c r="I102" s="82" t="n">
        <v>1382</v>
      </c>
      <c r="J102" s="82" t="n">
        <v>17492</v>
      </c>
      <c r="K102" s="83">
        <f>I102/1000</f>
        <v/>
      </c>
      <c r="L102" s="83">
        <f>SUM(E102:G102)/1000</f>
        <v/>
      </c>
      <c r="M102" s="84">
        <f>IF(I102=0,"n.a.",H102/I102)</f>
        <v/>
      </c>
      <c r="N102" s="82">
        <f>IF(J102=0,"n.a.",I102*1000/J102)</f>
        <v/>
      </c>
      <c r="O102" s="82">
        <f>SUM(E102:H102)-I102</f>
        <v/>
      </c>
      <c r="P102" s="82">
        <f>RANK(I102,$I$7:$I$212,0)+COUNTIF($I$7:I102,I102)-1</f>
        <v/>
      </c>
      <c r="Q102" s="10" t="inlineStr">
        <is>
          <t>Royal Northern College of Music</t>
        </is>
      </c>
    </row>
    <row r="103" ht="46" customHeight="1">
      <c r="A103" s="10" t="inlineStr">
        <is>
          <t>10007778</t>
        </is>
      </c>
      <c r="B103" s="11" t="inlineStr">
        <is>
          <t>Royal College of Music</t>
        </is>
      </c>
      <c r="C103" s="10" t="inlineStr">
        <is>
          <t>Other HE provider</t>
        </is>
      </c>
      <c r="D103" s="10" t="inlineStr">
        <is>
          <t>2024/25</t>
        </is>
      </c>
      <c r="E103" s="82" t="n">
        <v>0</v>
      </c>
      <c r="F103" s="82" t="n">
        <v>0</v>
      </c>
      <c r="G103" s="82" t="n">
        <v>0</v>
      </c>
      <c r="H103" s="82" t="n">
        <v>1348</v>
      </c>
      <c r="I103" s="82" t="n">
        <v>1348</v>
      </c>
      <c r="J103" s="82" t="n">
        <v>8863</v>
      </c>
      <c r="K103" s="83">
        <f>I103/1000</f>
        <v/>
      </c>
      <c r="L103" s="83">
        <f>SUM(E103:G103)/1000</f>
        <v/>
      </c>
      <c r="M103" s="84">
        <f>IF(I103=0,"n.a.",H103/I103)</f>
        <v/>
      </c>
      <c r="N103" s="82">
        <f>IF(J103=0,"n.a.",I103*1000/J103)</f>
        <v/>
      </c>
      <c r="O103" s="82">
        <f>SUM(E103:H103)-I103</f>
        <v/>
      </c>
      <c r="P103" s="82">
        <f>RANK(I103,$I$7:$I$212,0)+COUNTIF($I$7:I103,I103)-1</f>
        <v/>
      </c>
      <c r="Q103" s="10" t="inlineStr">
        <is>
          <t>Royal College of Music</t>
        </is>
      </c>
    </row>
    <row r="104" ht="46" customHeight="1">
      <c r="A104" s="10" t="inlineStr">
        <is>
          <t>10007856</t>
        </is>
      </c>
      <c r="B104" s="11" t="inlineStr">
        <is>
          <t>Aberystwyth University</t>
        </is>
      </c>
      <c r="C104" s="10" t="inlineStr">
        <is>
          <t>Other HE provider</t>
        </is>
      </c>
      <c r="D104" s="10" t="inlineStr">
        <is>
          <t>2024/25</t>
        </is>
      </c>
      <c r="E104" s="82" t="n">
        <v>38</v>
      </c>
      <c r="F104" s="82" t="n">
        <v>46</v>
      </c>
      <c r="G104" s="82" t="n">
        <v>104</v>
      </c>
      <c r="H104" s="82" t="n">
        <v>1150</v>
      </c>
      <c r="I104" s="82" t="n">
        <v>1338</v>
      </c>
      <c r="J104" s="82" t="n">
        <v>57686</v>
      </c>
      <c r="K104" s="83">
        <f>I104/1000</f>
        <v/>
      </c>
      <c r="L104" s="83">
        <f>SUM(E104:G104)/1000</f>
        <v/>
      </c>
      <c r="M104" s="84">
        <f>IF(I104=0,"n.a.",H104/I104)</f>
        <v/>
      </c>
      <c r="N104" s="82">
        <f>IF(J104=0,"n.a.",I104*1000/J104)</f>
        <v/>
      </c>
      <c r="O104" s="82">
        <f>SUM(E104:H104)-I104</f>
        <v/>
      </c>
      <c r="P104" s="82">
        <f>RANK(I104,$I$7:$I$212,0)+COUNTIF($I$7:I104,I104)-1</f>
        <v/>
      </c>
      <c r="Q104" s="10" t="inlineStr">
        <is>
          <t>Aberystwyth</t>
        </is>
      </c>
    </row>
    <row r="105" ht="46" customHeight="1">
      <c r="A105" s="10" t="inlineStr">
        <is>
          <t>10007143</t>
        </is>
      </c>
      <c r="B105" s="11" t="inlineStr">
        <is>
          <t>University of Durham</t>
        </is>
      </c>
      <c r="C105" s="10" t="inlineStr">
        <is>
          <t>Russell Group</t>
        </is>
      </c>
      <c r="D105" s="10" t="inlineStr">
        <is>
          <t>2024/25</t>
        </is>
      </c>
      <c r="E105" s="82" t="n">
        <v>0</v>
      </c>
      <c r="F105" s="82" t="n">
        <v>283</v>
      </c>
      <c r="G105" s="82" t="n">
        <v>458</v>
      </c>
      <c r="H105" s="82" t="n">
        <v>595</v>
      </c>
      <c r="I105" s="82" t="n">
        <v>1336</v>
      </c>
      <c r="J105" s="82" t="n">
        <v>12766</v>
      </c>
      <c r="K105" s="83">
        <f>I105/1000</f>
        <v/>
      </c>
      <c r="L105" s="83">
        <f>SUM(E105:G105)/1000</f>
        <v/>
      </c>
      <c r="M105" s="84">
        <f>IF(I105=0,"n.a.",H105/I105)</f>
        <v/>
      </c>
      <c r="N105" s="82">
        <f>IF(J105=0,"n.a.",I105*1000/J105)</f>
        <v/>
      </c>
      <c r="O105" s="82">
        <f>SUM(E105:H105)-I105</f>
        <v/>
      </c>
      <c r="P105" s="82">
        <f>RANK(I105,$I$7:$I$212,0)+COUNTIF($I$7:I105,I105)-1</f>
        <v/>
      </c>
      <c r="Q105" s="10" t="inlineStr">
        <is>
          <t>Durham</t>
        </is>
      </c>
    </row>
    <row r="106" ht="46" customHeight="1">
      <c r="A106" s="10" t="inlineStr">
        <is>
          <t>10005337</t>
        </is>
      </c>
      <c r="B106" s="11" t="inlineStr">
        <is>
          <t>Queen Margaret University, Edinburgh</t>
        </is>
      </c>
      <c r="C106" s="10" t="inlineStr">
        <is>
          <t>Other HE provider</t>
        </is>
      </c>
      <c r="D106" s="10" t="inlineStr">
        <is>
          <t>2024/25</t>
        </is>
      </c>
      <c r="E106" s="82" t="n">
        <v>0</v>
      </c>
      <c r="F106" s="82" t="n">
        <v>0</v>
      </c>
      <c r="G106" s="82" t="n">
        <v>13</v>
      </c>
      <c r="H106" s="82" t="n">
        <v>1301</v>
      </c>
      <c r="I106" s="82" t="n">
        <v>1314</v>
      </c>
      <c r="J106" s="82" t="n">
        <v>8000</v>
      </c>
      <c r="K106" s="83">
        <f>I106/1000</f>
        <v/>
      </c>
      <c r="L106" s="83">
        <f>SUM(E106:G106)/1000</f>
        <v/>
      </c>
      <c r="M106" s="84">
        <f>IF(I106=0,"n.a.",H106/I106)</f>
        <v/>
      </c>
      <c r="N106" s="82">
        <f>IF(J106=0,"n.a.",I106*1000/J106)</f>
        <v/>
      </c>
      <c r="O106" s="82">
        <f>SUM(E106:H106)-I106</f>
        <v/>
      </c>
      <c r="P106" s="82">
        <f>RANK(I106,$I$7:$I$212,0)+COUNTIF($I$7:I106,I106)-1</f>
        <v/>
      </c>
      <c r="Q106" s="10" t="inlineStr">
        <is>
          <t>Queen Margaret University, Edinburgh</t>
        </is>
      </c>
    </row>
    <row r="107" ht="46" customHeight="1">
      <c r="A107" s="10" t="inlineStr">
        <is>
          <t>10006841</t>
        </is>
      </c>
      <c r="B107" s="11" t="inlineStr">
        <is>
          <t>University of Greater Manchester</t>
        </is>
      </c>
      <c r="C107" s="10" t="inlineStr">
        <is>
          <t>Other HE provider</t>
        </is>
      </c>
      <c r="D107" s="10" t="inlineStr">
        <is>
          <t>2024/25</t>
        </is>
      </c>
      <c r="E107" s="82" t="n">
        <v>695</v>
      </c>
      <c r="F107" s="82" t="n">
        <v>140</v>
      </c>
      <c r="G107" s="82" t="n">
        <v>369</v>
      </c>
      <c r="H107" s="82" t="n">
        <v>94</v>
      </c>
      <c r="I107" s="82" t="n">
        <v>1298</v>
      </c>
      <c r="J107" s="82" t="n">
        <v>9984</v>
      </c>
      <c r="K107" s="83">
        <f>I107/1000</f>
        <v/>
      </c>
      <c r="L107" s="83">
        <f>SUM(E107:G107)/1000</f>
        <v/>
      </c>
      <c r="M107" s="84">
        <f>IF(I107=0,"n.a.",H107/I107)</f>
        <v/>
      </c>
      <c r="N107" s="82">
        <f>IF(J107=0,"n.a.",I107*1000/J107)</f>
        <v/>
      </c>
      <c r="O107" s="82">
        <f>SUM(E107:H107)-I107</f>
        <v/>
      </c>
      <c r="P107" s="82">
        <f>RANK(I107,$I$7:$I$212,0)+COUNTIF($I$7:I107,I107)-1</f>
        <v/>
      </c>
      <c r="Q107" s="10" t="inlineStr">
        <is>
          <t>Greater Manchester</t>
        </is>
      </c>
    </row>
    <row r="108" ht="46" customHeight="1">
      <c r="A108" s="10" t="inlineStr">
        <is>
          <t>10007768</t>
        </is>
      </c>
      <c r="B108" s="11" t="inlineStr">
        <is>
          <t>The University of Lancaster</t>
        </is>
      </c>
      <c r="C108" s="10" t="inlineStr">
        <is>
          <t>Additional UK sample</t>
        </is>
      </c>
      <c r="D108" s="10" t="inlineStr">
        <is>
          <t>2024/25</t>
        </is>
      </c>
      <c r="E108" s="82" t="n">
        <v>177</v>
      </c>
      <c r="F108" s="82" t="n">
        <v>510</v>
      </c>
      <c r="G108" s="82" t="n">
        <v>500</v>
      </c>
      <c r="H108" s="82" t="n">
        <v>102</v>
      </c>
      <c r="I108" s="82" t="n">
        <v>1289</v>
      </c>
      <c r="J108" s="82" t="n">
        <v>3148</v>
      </c>
      <c r="K108" s="83">
        <f>I108/1000</f>
        <v/>
      </c>
      <c r="L108" s="83">
        <f>SUM(E108:G108)/1000</f>
        <v/>
      </c>
      <c r="M108" s="84">
        <f>IF(I108=0,"n.a.",H108/I108)</f>
        <v/>
      </c>
      <c r="N108" s="82">
        <f>IF(J108=0,"n.a.",I108*1000/J108)</f>
        <v/>
      </c>
      <c r="O108" s="82">
        <f>SUM(E108:H108)-I108</f>
        <v/>
      </c>
      <c r="P108" s="82">
        <f>RANK(I108,$I$7:$I$212,0)+COUNTIF($I$7:I108,I108)-1</f>
        <v/>
      </c>
      <c r="Q108" s="10" t="inlineStr">
        <is>
          <t>Lancaster</t>
        </is>
      </c>
    </row>
    <row r="109" ht="46" customHeight="1">
      <c r="A109" s="10" t="inlineStr">
        <is>
          <t>10007777</t>
        </is>
      </c>
      <c r="B109" s="11" t="inlineStr">
        <is>
          <t>Royal College of Art</t>
        </is>
      </c>
      <c r="C109" s="10" t="inlineStr">
        <is>
          <t>Other HE provider</t>
        </is>
      </c>
      <c r="D109" s="10" t="inlineStr">
        <is>
          <t>2024/25</t>
        </is>
      </c>
      <c r="E109" s="82" t="n">
        <v>0</v>
      </c>
      <c r="F109" s="82" t="n">
        <v>727</v>
      </c>
      <c r="G109" s="82" t="n">
        <v>0</v>
      </c>
      <c r="H109" s="82" t="n">
        <v>505</v>
      </c>
      <c r="I109" s="82" t="n">
        <v>1232</v>
      </c>
      <c r="J109" s="82" t="n">
        <v>8622</v>
      </c>
      <c r="K109" s="83">
        <f>I109/1000</f>
        <v/>
      </c>
      <c r="L109" s="83">
        <f>SUM(E109:G109)/1000</f>
        <v/>
      </c>
      <c r="M109" s="84">
        <f>IF(I109=0,"n.a.",H109/I109)</f>
        <v/>
      </c>
      <c r="N109" s="82">
        <f>IF(J109=0,"n.a.",I109*1000/J109)</f>
        <v/>
      </c>
      <c r="O109" s="82">
        <f>SUM(E109:H109)-I109</f>
        <v/>
      </c>
      <c r="P109" s="82">
        <f>RANK(I109,$I$7:$I$212,0)+COUNTIF($I$7:I109,I109)-1</f>
        <v/>
      </c>
      <c r="Q109" s="10" t="inlineStr">
        <is>
          <t>Royal College of Art</t>
        </is>
      </c>
    </row>
    <row r="110" ht="46" customHeight="1">
      <c r="A110" s="10" t="inlineStr">
        <is>
          <t>10007785</t>
        </is>
      </c>
      <c r="B110" s="11" t="inlineStr">
        <is>
          <t>The University of Bradford</t>
        </is>
      </c>
      <c r="C110" s="10" t="inlineStr">
        <is>
          <t>Other HE provider</t>
        </is>
      </c>
      <c r="D110" s="10" t="inlineStr">
        <is>
          <t>2024/25</t>
        </is>
      </c>
      <c r="E110" s="82" t="n">
        <v>311</v>
      </c>
      <c r="F110" s="82" t="n">
        <v>154</v>
      </c>
      <c r="G110" s="82" t="n">
        <v>706</v>
      </c>
      <c r="H110" s="82" t="n">
        <v>52</v>
      </c>
      <c r="I110" s="82" t="n">
        <v>1223</v>
      </c>
      <c r="J110" s="82" t="n">
        <v>6115</v>
      </c>
      <c r="K110" s="83">
        <f>I110/1000</f>
        <v/>
      </c>
      <c r="L110" s="83">
        <f>SUM(E110:G110)/1000</f>
        <v/>
      </c>
      <c r="M110" s="84">
        <f>IF(I110=0,"n.a.",H110/I110)</f>
        <v/>
      </c>
      <c r="N110" s="82">
        <f>IF(J110=0,"n.a.",I110*1000/J110)</f>
        <v/>
      </c>
      <c r="O110" s="82">
        <f>SUM(E110:H110)-I110</f>
        <v/>
      </c>
      <c r="P110" s="82">
        <f>RANK(I110,$I$7:$I$212,0)+COUNTIF($I$7:I110,I110)-1</f>
        <v/>
      </c>
      <c r="Q110" s="10" t="inlineStr">
        <is>
          <t>Bradford</t>
        </is>
      </c>
    </row>
    <row r="111" ht="46" customHeight="1">
      <c r="A111" s="10" t="inlineStr">
        <is>
          <t>10007772</t>
        </is>
      </c>
      <c r="B111" s="11" t="inlineStr">
        <is>
          <t>Edinburgh Napier University</t>
        </is>
      </c>
      <c r="C111" s="10" t="inlineStr">
        <is>
          <t>Other HE provider</t>
        </is>
      </c>
      <c r="D111" s="10" t="inlineStr">
        <is>
          <t>2024/25</t>
        </is>
      </c>
      <c r="E111" s="82" t="n">
        <v>5</v>
      </c>
      <c r="F111" s="82" t="n">
        <v>382</v>
      </c>
      <c r="G111" s="82" t="n">
        <v>686</v>
      </c>
      <c r="H111" s="82" t="n">
        <v>98</v>
      </c>
      <c r="I111" s="82" t="n">
        <v>1171</v>
      </c>
      <c r="J111" s="82" t="n">
        <v>5267</v>
      </c>
      <c r="K111" s="83">
        <f>I111/1000</f>
        <v/>
      </c>
      <c r="L111" s="83">
        <f>SUM(E111:G111)/1000</f>
        <v/>
      </c>
      <c r="M111" s="84">
        <f>IF(I111=0,"n.a.",H111/I111)</f>
        <v/>
      </c>
      <c r="N111" s="82">
        <f>IF(J111=0,"n.a.",I111*1000/J111)</f>
        <v/>
      </c>
      <c r="O111" s="82">
        <f>SUM(E111:H111)-I111</f>
        <v/>
      </c>
      <c r="P111" s="82">
        <f>RANK(I111,$I$7:$I$212,0)+COUNTIF($I$7:I111,I111)-1</f>
        <v/>
      </c>
      <c r="Q111" s="10" t="inlineStr">
        <is>
          <t>Edinburgh Napier</t>
        </is>
      </c>
    </row>
    <row r="112" ht="46" customHeight="1">
      <c r="A112" s="10" t="inlineStr">
        <is>
          <t>10006566</t>
        </is>
      </c>
      <c r="B112" s="11" t="inlineStr">
        <is>
          <t>The University of West London</t>
        </is>
      </c>
      <c r="C112" s="10" t="inlineStr">
        <is>
          <t>Other HE provider</t>
        </is>
      </c>
      <c r="D112" s="10" t="inlineStr">
        <is>
          <t>2024/25</t>
        </is>
      </c>
      <c r="E112" s="82" t="n">
        <v>0</v>
      </c>
      <c r="F112" s="82" t="n">
        <v>0</v>
      </c>
      <c r="G112" s="82" t="n">
        <v>311</v>
      </c>
      <c r="H112" s="82" t="n">
        <v>823</v>
      </c>
      <c r="I112" s="82" t="n">
        <v>1134</v>
      </c>
      <c r="J112" s="82" t="n">
        <v>2269</v>
      </c>
      <c r="K112" s="83">
        <f>I112/1000</f>
        <v/>
      </c>
      <c r="L112" s="83">
        <f>SUM(E112:G112)/1000</f>
        <v/>
      </c>
      <c r="M112" s="84">
        <f>IF(I112=0,"n.a.",H112/I112)</f>
        <v/>
      </c>
      <c r="N112" s="82">
        <f>IF(J112=0,"n.a.",I112*1000/J112)</f>
        <v/>
      </c>
      <c r="O112" s="82">
        <f>SUM(E112:H112)-I112</f>
        <v/>
      </c>
      <c r="P112" s="82">
        <f>RANK(I112,$I$7:$I$212,0)+COUNTIF($I$7:I112,I112)-1</f>
        <v/>
      </c>
      <c r="Q112" s="10" t="inlineStr">
        <is>
          <t>West London</t>
        </is>
      </c>
    </row>
    <row r="113" ht="46" customHeight="1">
      <c r="A113" s="10" t="inlineStr">
        <is>
          <t>10007832</t>
        </is>
      </c>
      <c r="B113" s="11" t="inlineStr">
        <is>
          <t>Birmingham Newman University</t>
        </is>
      </c>
      <c r="C113" s="10" t="inlineStr">
        <is>
          <t>Other HE provider</t>
        </is>
      </c>
      <c r="D113" s="10" t="inlineStr">
        <is>
          <t>2024/25</t>
        </is>
      </c>
      <c r="E113" s="82" t="n">
        <v>0</v>
      </c>
      <c r="F113" s="82" t="n">
        <v>0</v>
      </c>
      <c r="G113" s="82" t="n">
        <v>0</v>
      </c>
      <c r="H113" s="82" t="n">
        <v>1114</v>
      </c>
      <c r="I113" s="82" t="n">
        <v>1114</v>
      </c>
      <c r="J113" s="82" t="n">
        <v>6372</v>
      </c>
      <c r="K113" s="83">
        <f>I113/1000</f>
        <v/>
      </c>
      <c r="L113" s="83">
        <f>SUM(E113:G113)/1000</f>
        <v/>
      </c>
      <c r="M113" s="84">
        <f>IF(I113=0,"n.a.",H113/I113)</f>
        <v/>
      </c>
      <c r="N113" s="82">
        <f>IF(J113=0,"n.a.",I113*1000/J113)</f>
        <v/>
      </c>
      <c r="O113" s="82">
        <f>SUM(E113:H113)-I113</f>
        <v/>
      </c>
      <c r="P113" s="82">
        <f>RANK(I113,$I$7:$I$212,0)+COUNTIF($I$7:I113,I113)-1</f>
        <v/>
      </c>
      <c r="Q113" s="10" t="inlineStr">
        <is>
          <t>Birmingham Newman</t>
        </is>
      </c>
    </row>
    <row r="114" ht="46" customHeight="1">
      <c r="A114" s="10" t="inlineStr">
        <is>
          <t>10006427</t>
        </is>
      </c>
      <c r="B114" s="11" t="inlineStr">
        <is>
          <t>University for the Creative Arts</t>
        </is>
      </c>
      <c r="C114" s="10" t="inlineStr">
        <is>
          <t>Other HE provider</t>
        </is>
      </c>
      <c r="D114" s="10" t="inlineStr">
        <is>
          <t>2024/25</t>
        </is>
      </c>
      <c r="E114" s="82" t="n">
        <v>0</v>
      </c>
      <c r="F114" s="82" t="n">
        <v>0</v>
      </c>
      <c r="G114" s="82" t="n">
        <v>0</v>
      </c>
      <c r="H114" s="82" t="n">
        <v>1105</v>
      </c>
      <c r="I114" s="82" t="n">
        <v>1105</v>
      </c>
      <c r="J114" s="82" t="n">
        <v>4466</v>
      </c>
      <c r="K114" s="83">
        <f>I114/1000</f>
        <v/>
      </c>
      <c r="L114" s="83">
        <f>SUM(E114:G114)/1000</f>
        <v/>
      </c>
      <c r="M114" s="84">
        <f>IF(I114=0,"n.a.",H114/I114)</f>
        <v/>
      </c>
      <c r="N114" s="82">
        <f>IF(J114=0,"n.a.",I114*1000/J114)</f>
        <v/>
      </c>
      <c r="O114" s="82">
        <f>SUM(E114:H114)-I114</f>
        <v/>
      </c>
      <c r="P114" s="82">
        <f>RANK(I114,$I$7:$I$212,0)+COUNTIF($I$7:I114,I114)-1</f>
        <v/>
      </c>
      <c r="Q114" s="10" t="inlineStr">
        <is>
          <t>University for the Creative Arts</t>
        </is>
      </c>
    </row>
    <row r="115" ht="46" customHeight="1">
      <c r="A115" s="10" t="inlineStr">
        <is>
          <t>10007803</t>
        </is>
      </c>
      <c r="B115" s="11" t="inlineStr">
        <is>
          <t>The University of St. Andrews</t>
        </is>
      </c>
      <c r="C115" s="10" t="inlineStr">
        <is>
          <t>Additional UK sample</t>
        </is>
      </c>
      <c r="D115" s="10" t="inlineStr">
        <is>
          <t>2024/25</t>
        </is>
      </c>
      <c r="E115" s="82" t="n">
        <v>20</v>
      </c>
      <c r="F115" s="82" t="n">
        <v>2</v>
      </c>
      <c r="G115" s="82" t="n">
        <v>101</v>
      </c>
      <c r="H115" s="82" t="n">
        <v>950</v>
      </c>
      <c r="I115" s="82" t="n">
        <v>1073</v>
      </c>
      <c r="J115" s="82" t="n">
        <v>1636</v>
      </c>
      <c r="K115" s="83">
        <f>I115/1000</f>
        <v/>
      </c>
      <c r="L115" s="83">
        <f>SUM(E115:G115)/1000</f>
        <v/>
      </c>
      <c r="M115" s="84">
        <f>IF(I115=0,"n.a.",H115/I115)</f>
        <v/>
      </c>
      <c r="N115" s="82">
        <f>IF(J115=0,"n.a.",I115*1000/J115)</f>
        <v/>
      </c>
      <c r="O115" s="82">
        <f>SUM(E115:H115)-I115</f>
        <v/>
      </c>
      <c r="P115" s="82">
        <f>RANK(I115,$I$7:$I$212,0)+COUNTIF($I$7:I115,I115)-1</f>
        <v/>
      </c>
      <c r="Q115" s="10" t="inlineStr">
        <is>
          <t>St Andrews</t>
        </is>
      </c>
    </row>
    <row r="116" ht="46" customHeight="1">
      <c r="A116" s="10" t="inlineStr">
        <is>
          <t>10007854</t>
        </is>
      </c>
      <c r="B116" s="11" t="inlineStr">
        <is>
          <t>Cardiff Metropolitan University</t>
        </is>
      </c>
      <c r="C116" s="10" t="inlineStr">
        <is>
          <t>Other HE provider</t>
        </is>
      </c>
      <c r="D116" s="10" t="inlineStr">
        <is>
          <t>2024/25</t>
        </is>
      </c>
      <c r="E116" s="82" t="n">
        <v>4</v>
      </c>
      <c r="F116" s="82" t="n">
        <v>1</v>
      </c>
      <c r="G116" s="82" t="n">
        <v>365</v>
      </c>
      <c r="H116" s="82" t="n">
        <v>699</v>
      </c>
      <c r="I116" s="82" t="n">
        <v>1069</v>
      </c>
      <c r="J116" s="82" t="n">
        <v>28559</v>
      </c>
      <c r="K116" s="83">
        <f>I116/1000</f>
        <v/>
      </c>
      <c r="L116" s="83">
        <f>SUM(E116:G116)/1000</f>
        <v/>
      </c>
      <c r="M116" s="84">
        <f>IF(I116=0,"n.a.",H116/I116)</f>
        <v/>
      </c>
      <c r="N116" s="82">
        <f>IF(J116=0,"n.a.",I116*1000/J116)</f>
        <v/>
      </c>
      <c r="O116" s="82">
        <f>SUM(E116:H116)-I116</f>
        <v/>
      </c>
      <c r="P116" s="82">
        <f>RANK(I116,$I$7:$I$212,0)+COUNTIF($I$7:I116,I116)-1</f>
        <v/>
      </c>
      <c r="Q116" s="10" t="inlineStr">
        <is>
          <t>Cardiff Metropolitan</t>
        </is>
      </c>
    </row>
    <row r="117" ht="46" customHeight="1">
      <c r="A117" s="10" t="inlineStr">
        <is>
          <t>10007157</t>
        </is>
      </c>
      <c r="B117" s="11" t="inlineStr">
        <is>
          <t>The University of Sheffield</t>
        </is>
      </c>
      <c r="C117" s="10" t="inlineStr">
        <is>
          <t>Russell Group</t>
        </is>
      </c>
      <c r="D117" s="10" t="inlineStr">
        <is>
          <t>2024/25</t>
        </is>
      </c>
      <c r="E117" s="82" t="n">
        <v>26</v>
      </c>
      <c r="F117" s="82" t="n">
        <v>108</v>
      </c>
      <c r="G117" s="82" t="n">
        <v>622</v>
      </c>
      <c r="H117" s="82" t="n">
        <v>269</v>
      </c>
      <c r="I117" s="82" t="n">
        <v>1025</v>
      </c>
      <c r="J117" s="82" t="n">
        <v>9619</v>
      </c>
      <c r="K117" s="83">
        <f>I117/1000</f>
        <v/>
      </c>
      <c r="L117" s="83">
        <f>SUM(E117:G117)/1000</f>
        <v/>
      </c>
      <c r="M117" s="84">
        <f>IF(I117=0,"n.a.",H117/I117)</f>
        <v/>
      </c>
      <c r="N117" s="82">
        <f>IF(J117=0,"n.a.",I117*1000/J117)</f>
        <v/>
      </c>
      <c r="O117" s="82">
        <f>SUM(E117:H117)-I117</f>
        <v/>
      </c>
      <c r="P117" s="82">
        <f>RANK(I117,$I$7:$I$212,0)+COUNTIF($I$7:I117,I117)-1</f>
        <v/>
      </c>
      <c r="Q117" s="10" t="inlineStr">
        <is>
          <t>Sheffield</t>
        </is>
      </c>
    </row>
    <row r="118" ht="46" customHeight="1">
      <c r="A118" s="10" t="inlineStr">
        <is>
          <t>10002718</t>
        </is>
      </c>
      <c r="B118" s="11" t="inlineStr">
        <is>
          <t>Goldsmiths College</t>
        </is>
      </c>
      <c r="C118" s="10" t="inlineStr">
        <is>
          <t>Other HE provider</t>
        </is>
      </c>
      <c r="D118" s="10" t="inlineStr">
        <is>
          <t>2024/25</t>
        </is>
      </c>
      <c r="E118" s="82" t="n">
        <v>2</v>
      </c>
      <c r="F118" s="82" t="n">
        <v>6</v>
      </c>
      <c r="G118" s="82" t="n">
        <v>37</v>
      </c>
      <c r="H118" s="82" t="n">
        <v>973</v>
      </c>
      <c r="I118" s="82" t="n">
        <v>1018</v>
      </c>
      <c r="J118" s="82" t="n">
        <v>3153</v>
      </c>
      <c r="K118" s="83">
        <f>I118/1000</f>
        <v/>
      </c>
      <c r="L118" s="83">
        <f>SUM(E118:G118)/1000</f>
        <v/>
      </c>
      <c r="M118" s="84">
        <f>IF(I118=0,"n.a.",H118/I118)</f>
        <v/>
      </c>
      <c r="N118" s="82">
        <f>IF(J118=0,"n.a.",I118*1000/J118)</f>
        <v/>
      </c>
      <c r="O118" s="82">
        <f>SUM(E118:H118)-I118</f>
        <v/>
      </c>
      <c r="P118" s="82">
        <f>RANK(I118,$I$7:$I$212,0)+COUNTIF($I$7:I118,I118)-1</f>
        <v/>
      </c>
      <c r="Q118" s="10" t="inlineStr">
        <is>
          <t>Goldsmiths College</t>
        </is>
      </c>
    </row>
    <row r="119" ht="46" customHeight="1">
      <c r="A119" s="10" t="inlineStr">
        <is>
          <t>10008816</t>
        </is>
      </c>
      <c r="B119" s="11" t="inlineStr">
        <is>
          <t>Northern School of Contemporary Dance</t>
        </is>
      </c>
      <c r="C119" s="10" t="inlineStr">
        <is>
          <t>Other HE provider</t>
        </is>
      </c>
      <c r="D119" s="10" t="inlineStr">
        <is>
          <t>2024/25</t>
        </is>
      </c>
      <c r="E119" s="82" t="n">
        <v>0</v>
      </c>
      <c r="F119" s="82" t="n">
        <v>0</v>
      </c>
      <c r="G119" s="82" t="n">
        <v>0</v>
      </c>
      <c r="H119" s="82" t="n">
        <v>1012</v>
      </c>
      <c r="I119" s="82" t="n">
        <v>1012</v>
      </c>
      <c r="J119" s="82" t="n">
        <v>0</v>
      </c>
      <c r="K119" s="83">
        <f>I119/1000</f>
        <v/>
      </c>
      <c r="L119" s="83">
        <f>SUM(E119:G119)/1000</f>
        <v/>
      </c>
      <c r="M119" s="84">
        <f>IF(I119=0,"n.a.",H119/I119)</f>
        <v/>
      </c>
      <c r="N119" s="82">
        <f>IF(J119=0,"n.a.",I119*1000/J119)</f>
        <v/>
      </c>
      <c r="O119" s="82">
        <f>SUM(E119:H119)-I119</f>
        <v/>
      </c>
      <c r="P119" s="82">
        <f>RANK(I119,$I$7:$I$212,0)+COUNTIF($I$7:I119,I119)-1</f>
        <v/>
      </c>
      <c r="Q119" s="10" t="inlineStr">
        <is>
          <t>Northern School of Contemporary Dance</t>
        </is>
      </c>
    </row>
    <row r="120" ht="46" customHeight="1">
      <c r="A120" s="10" t="inlineStr">
        <is>
          <t>10007779</t>
        </is>
      </c>
      <c r="B120" s="11" t="inlineStr">
        <is>
          <t>The Royal Veterinary College</t>
        </is>
      </c>
      <c r="C120" s="10" t="inlineStr">
        <is>
          <t>Other HE provider</t>
        </is>
      </c>
      <c r="D120" s="10" t="inlineStr">
        <is>
          <t>2024/25</t>
        </is>
      </c>
      <c r="E120" s="82" t="n">
        <v>257</v>
      </c>
      <c r="F120" s="82" t="n">
        <v>66</v>
      </c>
      <c r="G120" s="82" t="n">
        <v>76</v>
      </c>
      <c r="H120" s="82" t="n">
        <v>539</v>
      </c>
      <c r="I120" s="82" t="n">
        <v>938</v>
      </c>
      <c r="J120" s="82" t="n">
        <v>5277</v>
      </c>
      <c r="K120" s="83">
        <f>I120/1000</f>
        <v/>
      </c>
      <c r="L120" s="83">
        <f>SUM(E120:G120)/1000</f>
        <v/>
      </c>
      <c r="M120" s="84">
        <f>IF(I120=0,"n.a.",H120/I120)</f>
        <v/>
      </c>
      <c r="N120" s="82">
        <f>IF(J120=0,"n.a.",I120*1000/J120)</f>
        <v/>
      </c>
      <c r="O120" s="82">
        <f>SUM(E120:H120)-I120</f>
        <v/>
      </c>
      <c r="P120" s="82">
        <f>RANK(I120,$I$7:$I$212,0)+COUNTIF($I$7:I120,I120)-1</f>
        <v/>
      </c>
      <c r="Q120" s="10" t="inlineStr">
        <is>
          <t>The Royal Veterinary College</t>
        </is>
      </c>
    </row>
    <row r="121" ht="46" customHeight="1">
      <c r="A121" s="10" t="inlineStr">
        <is>
          <t>10007806</t>
        </is>
      </c>
      <c r="B121" s="11" t="inlineStr">
        <is>
          <t>The University of Sussex</t>
        </is>
      </c>
      <c r="C121" s="10" t="inlineStr">
        <is>
          <t>Additional UK sample</t>
        </is>
      </c>
      <c r="D121" s="10" t="inlineStr">
        <is>
          <t>2024/25</t>
        </is>
      </c>
      <c r="E121" s="82" t="n">
        <v>0</v>
      </c>
      <c r="F121" s="82" t="n">
        <v>0</v>
      </c>
      <c r="G121" s="82" t="n">
        <v>91</v>
      </c>
      <c r="H121" s="82" t="n">
        <v>839</v>
      </c>
      <c r="I121" s="82" t="n">
        <v>930</v>
      </c>
      <c r="J121" s="82" t="n">
        <v>980</v>
      </c>
      <c r="K121" s="83">
        <f>I121/1000</f>
        <v/>
      </c>
      <c r="L121" s="83">
        <f>SUM(E121:G121)/1000</f>
        <v/>
      </c>
      <c r="M121" s="84">
        <f>IF(I121=0,"n.a.",H121/I121)</f>
        <v/>
      </c>
      <c r="N121" s="82">
        <f>IF(J121=0,"n.a.",I121*1000/J121)</f>
        <v/>
      </c>
      <c r="O121" s="82">
        <f>SUM(E121:H121)-I121</f>
        <v/>
      </c>
      <c r="P121" s="82">
        <f>RANK(I121,$I$7:$I$212,0)+COUNTIF($I$7:I121,I121)-1</f>
        <v/>
      </c>
      <c r="Q121" s="10" t="inlineStr">
        <is>
          <t>Sussex</t>
        </is>
      </c>
    </row>
    <row r="122" ht="46" customHeight="1">
      <c r="A122" s="10" t="inlineStr">
        <is>
          <t>10007759</t>
        </is>
      </c>
      <c r="B122" s="11" t="inlineStr">
        <is>
          <t>Aston University</t>
        </is>
      </c>
      <c r="C122" s="10" t="inlineStr">
        <is>
          <t>Additional UK sample</t>
        </is>
      </c>
      <c r="D122" s="10" t="inlineStr">
        <is>
          <t>2024/25</t>
        </is>
      </c>
      <c r="E122" s="82" t="n">
        <v>441</v>
      </c>
      <c r="F122" s="82" t="n">
        <v>209</v>
      </c>
      <c r="G122" s="82" t="n">
        <v>145</v>
      </c>
      <c r="H122" s="82" t="n">
        <v>124</v>
      </c>
      <c r="I122" s="82" t="n">
        <v>919</v>
      </c>
      <c r="J122" s="82" t="n">
        <v>1748</v>
      </c>
      <c r="K122" s="83">
        <f>I122/1000</f>
        <v/>
      </c>
      <c r="L122" s="83">
        <f>SUM(E122:G122)/1000</f>
        <v/>
      </c>
      <c r="M122" s="84">
        <f>IF(I122=0,"n.a.",H122/I122)</f>
        <v/>
      </c>
      <c r="N122" s="82">
        <f>IF(J122=0,"n.a.",I122*1000/J122)</f>
        <v/>
      </c>
      <c r="O122" s="82">
        <f>SUM(E122:H122)-I122</f>
        <v/>
      </c>
      <c r="P122" s="82">
        <f>RANK(I122,$I$7:$I$212,0)+COUNTIF($I$7:I122,I122)-1</f>
        <v/>
      </c>
      <c r="Q122" s="10" t="inlineStr">
        <is>
          <t>Aston</t>
        </is>
      </c>
    </row>
    <row r="123" ht="46" customHeight="1">
      <c r="A123" s="10" t="inlineStr">
        <is>
          <t>10000385</t>
        </is>
      </c>
      <c r="B123" s="11" t="inlineStr">
        <is>
          <t>The Arts University Bournemouth</t>
        </is>
      </c>
      <c r="C123" s="10" t="inlineStr">
        <is>
          <t>Other HE provider</t>
        </is>
      </c>
      <c r="D123" s="10" t="inlineStr">
        <is>
          <t>2024/25</t>
        </is>
      </c>
      <c r="E123" s="82" t="n">
        <v>0</v>
      </c>
      <c r="F123" s="82" t="n">
        <v>0</v>
      </c>
      <c r="G123" s="82" t="n">
        <v>0</v>
      </c>
      <c r="H123" s="82" t="n">
        <v>908</v>
      </c>
      <c r="I123" s="82" t="n">
        <v>908</v>
      </c>
      <c r="J123" s="82" t="n">
        <v>0</v>
      </c>
      <c r="K123" s="83">
        <f>I123/1000</f>
        <v/>
      </c>
      <c r="L123" s="83">
        <f>SUM(E123:G123)/1000</f>
        <v/>
      </c>
      <c r="M123" s="84">
        <f>IF(I123=0,"n.a.",H123/I123)</f>
        <v/>
      </c>
      <c r="N123" s="82">
        <f>IF(J123=0,"n.a.",I123*1000/J123)</f>
        <v/>
      </c>
      <c r="O123" s="82">
        <f>SUM(E123:H123)-I123</f>
        <v/>
      </c>
      <c r="P123" s="82">
        <f>RANK(I123,$I$7:$I$212,0)+COUNTIF($I$7:I123,I123)-1</f>
        <v/>
      </c>
      <c r="Q123" s="10" t="inlineStr">
        <is>
          <t>The Arts University Bournemouth</t>
        </is>
      </c>
    </row>
    <row r="124" ht="46" customHeight="1">
      <c r="A124" s="10" t="inlineStr">
        <is>
          <t>10007767</t>
        </is>
      </c>
      <c r="B124" s="11" t="inlineStr">
        <is>
          <t>Keele University</t>
        </is>
      </c>
      <c r="C124" s="10" t="inlineStr">
        <is>
          <t>Other HE provider</t>
        </is>
      </c>
      <c r="D124" s="10" t="inlineStr">
        <is>
          <t>2024/25</t>
        </is>
      </c>
      <c r="E124" s="82" t="n">
        <v>2</v>
      </c>
      <c r="F124" s="82" t="n">
        <v>17</v>
      </c>
      <c r="G124" s="82" t="n">
        <v>613</v>
      </c>
      <c r="H124" s="82" t="n">
        <v>252</v>
      </c>
      <c r="I124" s="82" t="n">
        <v>884</v>
      </c>
      <c r="J124" s="82" t="n">
        <v>11592</v>
      </c>
      <c r="K124" s="83">
        <f>I124/1000</f>
        <v/>
      </c>
      <c r="L124" s="83">
        <f>SUM(E124:G124)/1000</f>
        <v/>
      </c>
      <c r="M124" s="84">
        <f>IF(I124=0,"n.a.",H124/I124)</f>
        <v/>
      </c>
      <c r="N124" s="82">
        <f>IF(J124=0,"n.a.",I124*1000/J124)</f>
        <v/>
      </c>
      <c r="O124" s="82">
        <f>SUM(E124:H124)-I124</f>
        <v/>
      </c>
      <c r="P124" s="82">
        <f>RANK(I124,$I$7:$I$212,0)+COUNTIF($I$7:I124,I124)-1</f>
        <v/>
      </c>
      <c r="Q124" s="10" t="inlineStr">
        <is>
          <t>Keele</t>
        </is>
      </c>
    </row>
    <row r="125" ht="46" customHeight="1">
      <c r="A125" s="10" t="inlineStr">
        <is>
          <t>10004113</t>
        </is>
      </c>
      <c r="B125" s="11" t="inlineStr">
        <is>
          <t>Loughborough University</t>
        </is>
      </c>
      <c r="C125" s="10" t="inlineStr">
        <is>
          <t>Additional UK sample</t>
        </is>
      </c>
      <c r="D125" s="10" t="inlineStr">
        <is>
          <t>2024/25</t>
        </is>
      </c>
      <c r="E125" s="82" t="n">
        <v>0</v>
      </c>
      <c r="F125" s="82" t="n">
        <v>234</v>
      </c>
      <c r="G125" s="82" t="n">
        <v>483</v>
      </c>
      <c r="H125" s="82" t="n">
        <v>129</v>
      </c>
      <c r="I125" s="82" t="n">
        <v>846</v>
      </c>
      <c r="J125" s="82" t="n">
        <v>1128</v>
      </c>
      <c r="K125" s="83">
        <f>I125/1000</f>
        <v/>
      </c>
      <c r="L125" s="83">
        <f>SUM(E125:G125)/1000</f>
        <v/>
      </c>
      <c r="M125" s="84">
        <f>IF(I125=0,"n.a.",H125/I125)</f>
        <v/>
      </c>
      <c r="N125" s="82">
        <f>IF(J125=0,"n.a.",I125*1000/J125)</f>
        <v/>
      </c>
      <c r="O125" s="82">
        <f>SUM(E125:H125)-I125</f>
        <v/>
      </c>
      <c r="P125" s="82">
        <f>RANK(I125,$I$7:$I$212,0)+COUNTIF($I$7:I125,I125)-1</f>
        <v/>
      </c>
      <c r="Q125" s="10" t="inlineStr">
        <is>
          <t>Loughborough</t>
        </is>
      </c>
    </row>
    <row r="126" ht="46" customHeight="1">
      <c r="A126" s="10" t="inlineStr">
        <is>
          <t>10007138</t>
        </is>
      </c>
      <c r="B126" s="11" t="inlineStr">
        <is>
          <t>The University of Northampton</t>
        </is>
      </c>
      <c r="C126" s="10" t="inlineStr">
        <is>
          <t>Other HE provider</t>
        </is>
      </c>
      <c r="D126" s="10" t="inlineStr">
        <is>
          <t>2024/25</t>
        </is>
      </c>
      <c r="E126" s="82" t="n">
        <v>6</v>
      </c>
      <c r="F126" s="82" t="n">
        <v>0</v>
      </c>
      <c r="G126" s="82" t="n">
        <v>690</v>
      </c>
      <c r="H126" s="82" t="n">
        <v>144</v>
      </c>
      <c r="I126" s="82" t="n">
        <v>840</v>
      </c>
      <c r="J126" s="82" t="n">
        <v>2261</v>
      </c>
      <c r="K126" s="83">
        <f>I126/1000</f>
        <v/>
      </c>
      <c r="L126" s="83">
        <f>SUM(E126:G126)/1000</f>
        <v/>
      </c>
      <c r="M126" s="84">
        <f>IF(I126=0,"n.a.",H126/I126)</f>
        <v/>
      </c>
      <c r="N126" s="82">
        <f>IF(J126=0,"n.a.",I126*1000/J126)</f>
        <v/>
      </c>
      <c r="O126" s="82">
        <f>SUM(E126:H126)-I126</f>
        <v/>
      </c>
      <c r="P126" s="82">
        <f>RANK(I126,$I$7:$I$212,0)+COUNTIF($I$7:I126,I126)-1</f>
        <v/>
      </c>
      <c r="Q126" s="10" t="inlineStr">
        <is>
          <t>Northampton</t>
        </is>
      </c>
    </row>
    <row r="127" ht="46" customHeight="1">
      <c r="A127" s="10" t="inlineStr">
        <is>
          <t>10007852</t>
        </is>
      </c>
      <c r="B127" s="11" t="inlineStr">
        <is>
          <t>The University of Dundee</t>
        </is>
      </c>
      <c r="C127" s="10" t="inlineStr">
        <is>
          <t>Additional UK sample</t>
        </is>
      </c>
      <c r="D127" s="10" t="inlineStr">
        <is>
          <t>2024/25</t>
        </is>
      </c>
      <c r="E127" s="82" t="n">
        <v>90</v>
      </c>
      <c r="F127" s="82" t="n">
        <v>75</v>
      </c>
      <c r="G127" s="82" t="n">
        <v>221</v>
      </c>
      <c r="H127" s="82" t="n">
        <v>422</v>
      </c>
      <c r="I127" s="82" t="n">
        <v>808</v>
      </c>
      <c r="J127" s="82" t="n">
        <v>2301</v>
      </c>
      <c r="K127" s="83">
        <f>I127/1000</f>
        <v/>
      </c>
      <c r="L127" s="83">
        <f>SUM(E127:G127)/1000</f>
        <v/>
      </c>
      <c r="M127" s="84">
        <f>IF(I127=0,"n.a.",H127/I127)</f>
        <v/>
      </c>
      <c r="N127" s="82">
        <f>IF(J127=0,"n.a.",I127*1000/J127)</f>
        <v/>
      </c>
      <c r="O127" s="82">
        <f>SUM(E127:H127)-I127</f>
        <v/>
      </c>
      <c r="P127" s="82">
        <f>RANK(I127,$I$7:$I$212,0)+COUNTIF($I$7:I127,I127)-1</f>
        <v/>
      </c>
      <c r="Q127" s="10" t="inlineStr">
        <is>
          <t>Dundee</t>
        </is>
      </c>
    </row>
    <row r="128" ht="46" customHeight="1">
      <c r="A128" s="10" t="inlineStr">
        <is>
          <t>10000163</t>
        </is>
      </c>
      <c r="B128" s="11" t="inlineStr">
        <is>
          <t>Health Sciences University</t>
        </is>
      </c>
      <c r="C128" s="10" t="inlineStr">
        <is>
          <t>Other HE provider</t>
        </is>
      </c>
      <c r="D128" s="10" t="inlineStr">
        <is>
          <t>2024/25</t>
        </is>
      </c>
      <c r="E128" s="82" t="n">
        <v>23</v>
      </c>
      <c r="F128" s="82" t="n">
        <v>1</v>
      </c>
      <c r="G128" s="82" t="n">
        <v>407</v>
      </c>
      <c r="H128" s="82" t="n">
        <v>339</v>
      </c>
      <c r="I128" s="82" t="n">
        <v>770</v>
      </c>
      <c r="J128" s="82" t="n">
        <v>2568</v>
      </c>
      <c r="K128" s="83">
        <f>I128/1000</f>
        <v/>
      </c>
      <c r="L128" s="83">
        <f>SUM(E128:G128)/1000</f>
        <v/>
      </c>
      <c r="M128" s="84">
        <f>IF(I128=0,"n.a.",H128/I128)</f>
        <v/>
      </c>
      <c r="N128" s="82">
        <f>IF(J128=0,"n.a.",I128*1000/J128)</f>
        <v/>
      </c>
      <c r="O128" s="82">
        <f>SUM(E128:H128)-I128</f>
        <v/>
      </c>
      <c r="P128" s="82">
        <f>RANK(I128,$I$7:$I$212,0)+COUNTIF($I$7:I128,I128)-1</f>
        <v/>
      </c>
      <c r="Q128" s="10" t="inlineStr">
        <is>
          <t>Health Sciences</t>
        </is>
      </c>
    </row>
    <row r="129" ht="46" customHeight="1">
      <c r="A129" s="10" t="inlineStr">
        <is>
          <t>10000975</t>
        </is>
      </c>
      <c r="B129" s="11" t="inlineStr">
        <is>
          <t>Buckinghamshire New University</t>
        </is>
      </c>
      <c r="C129" s="10" t="inlineStr">
        <is>
          <t>Other HE provider</t>
        </is>
      </c>
      <c r="D129" s="10" t="inlineStr">
        <is>
          <t>2024/25</t>
        </is>
      </c>
      <c r="E129" s="82" t="n">
        <v>253</v>
      </c>
      <c r="F129" s="82" t="n">
        <v>0</v>
      </c>
      <c r="G129" s="82" t="n">
        <v>170</v>
      </c>
      <c r="H129" s="82" t="n">
        <v>275</v>
      </c>
      <c r="I129" s="82" t="n">
        <v>698</v>
      </c>
      <c r="J129" s="82" t="n">
        <v>3633</v>
      </c>
      <c r="K129" s="83">
        <f>I129/1000</f>
        <v/>
      </c>
      <c r="L129" s="83">
        <f>SUM(E129:G129)/1000</f>
        <v/>
      </c>
      <c r="M129" s="84">
        <f>IF(I129=0,"n.a.",H129/I129)</f>
        <v/>
      </c>
      <c r="N129" s="82">
        <f>IF(J129=0,"n.a.",I129*1000/J129)</f>
        <v/>
      </c>
      <c r="O129" s="82">
        <f>SUM(E129:H129)-I129</f>
        <v/>
      </c>
      <c r="P129" s="82">
        <f>RANK(I129,$I$7:$I$212,0)+COUNTIF($I$7:I129,I129)-1</f>
        <v/>
      </c>
      <c r="Q129" s="10" t="inlineStr">
        <is>
          <t>Buckinghamshire New</t>
        </is>
      </c>
    </row>
    <row r="130" ht="46" customHeight="1">
      <c r="A130" s="10" t="inlineStr">
        <is>
          <t>10007825</t>
        </is>
      </c>
      <c r="B130" s="11" t="inlineStr">
        <is>
          <t>Guildhall School of Music and Drama</t>
        </is>
      </c>
      <c r="C130" s="10" t="inlineStr">
        <is>
          <t>Other HE provider</t>
        </is>
      </c>
      <c r="D130" s="10" t="inlineStr">
        <is>
          <t>2024/25</t>
        </is>
      </c>
      <c r="E130" s="82" t="n">
        <v>0</v>
      </c>
      <c r="F130" s="82" t="n">
        <v>0</v>
      </c>
      <c r="G130" s="82" t="n">
        <v>0</v>
      </c>
      <c r="H130" s="82" t="n">
        <v>688</v>
      </c>
      <c r="I130" s="82" t="n">
        <v>688</v>
      </c>
      <c r="J130" s="82" t="n">
        <v>3539</v>
      </c>
      <c r="K130" s="83">
        <f>I130/1000</f>
        <v/>
      </c>
      <c r="L130" s="83">
        <f>SUM(E130:G130)/1000</f>
        <v/>
      </c>
      <c r="M130" s="84">
        <f>IF(I130=0,"n.a.",H130/I130)</f>
        <v/>
      </c>
      <c r="N130" s="82">
        <f>IF(J130=0,"n.a.",I130*1000/J130)</f>
        <v/>
      </c>
      <c r="O130" s="82">
        <f>SUM(E130:H130)-I130</f>
        <v/>
      </c>
      <c r="P130" s="82">
        <f>RANK(I130,$I$7:$I$212,0)+COUNTIF($I$7:I130,I130)-1</f>
        <v/>
      </c>
      <c r="Q130" s="10" t="inlineStr">
        <is>
          <t>Guildhall School of Music and Drama</t>
        </is>
      </c>
    </row>
    <row r="131" ht="46" customHeight="1">
      <c r="A131" s="10" t="inlineStr">
        <is>
          <t>10004775</t>
        </is>
      </c>
      <c r="B131" s="11" t="inlineStr">
        <is>
          <t>Norwich University of the Arts</t>
        </is>
      </c>
      <c r="C131" s="10" t="inlineStr">
        <is>
          <t>Other HE provider</t>
        </is>
      </c>
      <c r="D131" s="10" t="inlineStr">
        <is>
          <t>2024/25</t>
        </is>
      </c>
      <c r="E131" s="82" t="n">
        <v>0</v>
      </c>
      <c r="F131" s="82" t="n">
        <v>0</v>
      </c>
      <c r="G131" s="82" t="n">
        <v>0</v>
      </c>
      <c r="H131" s="82" t="n">
        <v>672</v>
      </c>
      <c r="I131" s="82" t="n">
        <v>672</v>
      </c>
      <c r="J131" s="82" t="n">
        <v>1620</v>
      </c>
      <c r="K131" s="83">
        <f>I131/1000</f>
        <v/>
      </c>
      <c r="L131" s="83">
        <f>SUM(E131:G131)/1000</f>
        <v/>
      </c>
      <c r="M131" s="84">
        <f>IF(I131=0,"n.a.",H131/I131)</f>
        <v/>
      </c>
      <c r="N131" s="82">
        <f>IF(J131=0,"n.a.",I131*1000/J131)</f>
        <v/>
      </c>
      <c r="O131" s="82">
        <f>SUM(E131:H131)-I131</f>
        <v/>
      </c>
      <c r="P131" s="82">
        <f>RANK(I131,$I$7:$I$212,0)+COUNTIF($I$7:I131,I131)-1</f>
        <v/>
      </c>
      <c r="Q131" s="10" t="inlineStr">
        <is>
          <t>Norwich University of the Arts</t>
        </is>
      </c>
    </row>
    <row r="132" ht="46" customHeight="1">
      <c r="A132" s="10" t="inlineStr">
        <is>
          <t>10006840</t>
        </is>
      </c>
      <c r="B132" s="11" t="inlineStr">
        <is>
          <t>The University of Birmingham</t>
        </is>
      </c>
      <c r="C132" s="10" t="inlineStr">
        <is>
          <t>Russell Group</t>
        </is>
      </c>
      <c r="D132" s="10" t="inlineStr">
        <is>
          <t>2024/25</t>
        </is>
      </c>
      <c r="E132" s="82" t="n">
        <v>1</v>
      </c>
      <c r="F132" s="82" t="n">
        <v>1</v>
      </c>
      <c r="G132" s="82" t="n">
        <v>328</v>
      </c>
      <c r="H132" s="82" t="n">
        <v>342</v>
      </c>
      <c r="I132" s="82" t="n">
        <v>672</v>
      </c>
      <c r="J132" s="82" t="n">
        <v>4938</v>
      </c>
      <c r="K132" s="83">
        <f>I132/1000</f>
        <v/>
      </c>
      <c r="L132" s="83">
        <f>SUM(E132:G132)/1000</f>
        <v/>
      </c>
      <c r="M132" s="84">
        <f>IF(I132=0,"n.a.",H132/I132)</f>
        <v/>
      </c>
      <c r="N132" s="82">
        <f>IF(J132=0,"n.a.",I132*1000/J132)</f>
        <v/>
      </c>
      <c r="O132" s="82">
        <f>SUM(E132:H132)-I132</f>
        <v/>
      </c>
      <c r="P132" s="82">
        <f>RANK(I132,$I$7:$I$212,0)+COUNTIF($I$7:I132,I132)-1</f>
        <v/>
      </c>
      <c r="Q132" s="10" t="inlineStr">
        <is>
          <t>Birmingham</t>
        </is>
      </c>
    </row>
    <row r="133" ht="46" customHeight="1">
      <c r="A133" s="10" t="inlineStr">
        <is>
          <t>10007797</t>
        </is>
      </c>
      <c r="B133" s="11" t="inlineStr">
        <is>
          <t>University of London (Institutes and activities)</t>
        </is>
      </c>
      <c r="C133" s="10" t="inlineStr">
        <is>
          <t>Other HE provider</t>
        </is>
      </c>
      <c r="D133" s="10" t="inlineStr">
        <is>
          <t>2024/25</t>
        </is>
      </c>
      <c r="E133" s="82" t="n">
        <v>0</v>
      </c>
      <c r="F133" s="82" t="n">
        <v>145</v>
      </c>
      <c r="G133" s="82" t="n">
        <v>0</v>
      </c>
      <c r="H133" s="82" t="n">
        <v>506</v>
      </c>
      <c r="I133" s="82" t="n">
        <v>651</v>
      </c>
      <c r="J133" s="82" t="n">
        <v>1629</v>
      </c>
      <c r="K133" s="83">
        <f>I133/1000</f>
        <v/>
      </c>
      <c r="L133" s="83">
        <f>SUM(E133:G133)/1000</f>
        <v/>
      </c>
      <c r="M133" s="84">
        <f>IF(I133=0,"n.a.",H133/I133)</f>
        <v/>
      </c>
      <c r="N133" s="82">
        <f>IF(J133=0,"n.a.",I133*1000/J133)</f>
        <v/>
      </c>
      <c r="O133" s="82">
        <f>SUM(E133:H133)-I133</f>
        <v/>
      </c>
      <c r="P133" s="82">
        <f>RANK(I133,$I$7:$I$212,0)+COUNTIF($I$7:I133,I133)-1</f>
        <v/>
      </c>
      <c r="Q133" s="10" t="inlineStr">
        <is>
          <t>London (Institutes and activities)</t>
        </is>
      </c>
    </row>
    <row r="134" ht="46" customHeight="1">
      <c r="A134" s="10" t="inlineStr">
        <is>
          <t>10005553</t>
        </is>
      </c>
      <c r="B134" s="11" t="inlineStr">
        <is>
          <t>Royal Holloway and Bedford New College</t>
        </is>
      </c>
      <c r="C134" s="10" t="inlineStr">
        <is>
          <t>Additional UK sample</t>
        </is>
      </c>
      <c r="D134" s="10" t="inlineStr">
        <is>
          <t>2024/25</t>
        </is>
      </c>
      <c r="E134" s="82" t="n">
        <v>0</v>
      </c>
      <c r="F134" s="82" t="n">
        <v>0</v>
      </c>
      <c r="G134" s="82" t="n">
        <v>439</v>
      </c>
      <c r="H134" s="82" t="n">
        <v>206</v>
      </c>
      <c r="I134" s="82" t="n">
        <v>645</v>
      </c>
      <c r="J134" s="82" t="n">
        <v>1600</v>
      </c>
      <c r="K134" s="83">
        <f>I134/1000</f>
        <v/>
      </c>
      <c r="L134" s="83">
        <f>SUM(E134:G134)/1000</f>
        <v/>
      </c>
      <c r="M134" s="84">
        <f>IF(I134=0,"n.a.",H134/I134)</f>
        <v/>
      </c>
      <c r="N134" s="82">
        <f>IF(J134=0,"n.a.",I134*1000/J134)</f>
        <v/>
      </c>
      <c r="O134" s="82">
        <f>SUM(E134:H134)-I134</f>
        <v/>
      </c>
      <c r="P134" s="82">
        <f>RANK(I134,$I$7:$I$212,0)+COUNTIF($I$7:I134,I134)-1</f>
        <v/>
      </c>
      <c r="Q134" s="10" t="inlineStr">
        <is>
          <t>Royal Holloway</t>
        </is>
      </c>
    </row>
    <row r="135" ht="46" customHeight="1">
      <c r="A135" s="10" t="inlineStr">
        <is>
          <t>10007816</t>
        </is>
      </c>
      <c r="B135" s="11" t="inlineStr">
        <is>
          <t>The Royal Central School of Speech and Drama</t>
        </is>
      </c>
      <c r="C135" s="10" t="inlineStr">
        <is>
          <t>Other HE provider</t>
        </is>
      </c>
      <c r="D135" s="10" t="inlineStr">
        <is>
          <t>2024/25</t>
        </is>
      </c>
      <c r="E135" s="82" t="n">
        <v>0</v>
      </c>
      <c r="F135" s="82" t="n">
        <v>30</v>
      </c>
      <c r="G135" s="82" t="n">
        <v>34</v>
      </c>
      <c r="H135" s="82" t="n">
        <v>551</v>
      </c>
      <c r="I135" s="82" t="n">
        <v>615</v>
      </c>
      <c r="J135" s="82" t="n">
        <v>4072</v>
      </c>
      <c r="K135" s="83">
        <f>I135/1000</f>
        <v/>
      </c>
      <c r="L135" s="83">
        <f>SUM(E135:G135)/1000</f>
        <v/>
      </c>
      <c r="M135" s="84">
        <f>IF(I135=0,"n.a.",H135/I135)</f>
        <v/>
      </c>
      <c r="N135" s="82">
        <f>IF(J135=0,"n.a.",I135*1000/J135)</f>
        <v/>
      </c>
      <c r="O135" s="82">
        <f>SUM(E135:H135)-I135</f>
        <v/>
      </c>
      <c r="P135" s="82">
        <f>RANK(I135,$I$7:$I$212,0)+COUNTIF($I$7:I135,I135)-1</f>
        <v/>
      </c>
      <c r="Q135" s="10" t="inlineStr">
        <is>
          <t>The Royal Central School of Speech and Drama</t>
        </is>
      </c>
    </row>
    <row r="136" ht="46" customHeight="1">
      <c r="A136" s="10" t="inlineStr">
        <is>
          <t>10003956</t>
        </is>
      </c>
      <c r="B136" s="11" t="inlineStr">
        <is>
          <t>Liverpool Hope University</t>
        </is>
      </c>
      <c r="C136" s="10" t="inlineStr">
        <is>
          <t>Other HE provider</t>
        </is>
      </c>
      <c r="D136" s="10" t="inlineStr">
        <is>
          <t>2024/25</t>
        </is>
      </c>
      <c r="E136" s="82" t="n">
        <v>0</v>
      </c>
      <c r="F136" s="82" t="n">
        <v>0</v>
      </c>
      <c r="G136" s="82" t="n">
        <v>523</v>
      </c>
      <c r="H136" s="82" t="n">
        <v>87</v>
      </c>
      <c r="I136" s="82" t="n">
        <v>610</v>
      </c>
      <c r="J136" s="82" t="n">
        <v>2312</v>
      </c>
      <c r="K136" s="83">
        <f>I136/1000</f>
        <v/>
      </c>
      <c r="L136" s="83">
        <f>SUM(E136:G136)/1000</f>
        <v/>
      </c>
      <c r="M136" s="84">
        <f>IF(I136=0,"n.a.",H136/I136)</f>
        <v/>
      </c>
      <c r="N136" s="82">
        <f>IF(J136=0,"n.a.",I136*1000/J136)</f>
        <v/>
      </c>
      <c r="O136" s="82">
        <f>SUM(E136:H136)-I136</f>
        <v/>
      </c>
      <c r="P136" s="82">
        <f>RANK(I136,$I$7:$I$212,0)+COUNTIF($I$7:I136,I136)-1</f>
        <v/>
      </c>
      <c r="Q136" s="10" t="inlineStr">
        <is>
          <t>Liverpool Hope</t>
        </is>
      </c>
    </row>
    <row r="137" ht="46" customHeight="1">
      <c r="A137" s="10" t="inlineStr">
        <is>
          <t>10042570</t>
        </is>
      </c>
      <c r="B137" s="11" t="inlineStr">
        <is>
          <t>Escape Studios</t>
        </is>
      </c>
      <c r="C137" s="10" t="inlineStr">
        <is>
          <t>Other HE provider</t>
        </is>
      </c>
      <c r="D137" s="10" t="inlineStr">
        <is>
          <t>2024/25</t>
        </is>
      </c>
      <c r="E137" s="82" t="n">
        <v>0</v>
      </c>
      <c r="F137" s="82" t="n">
        <v>7</v>
      </c>
      <c r="G137" s="82" t="n">
        <v>29</v>
      </c>
      <c r="H137" s="82" t="n">
        <v>542</v>
      </c>
      <c r="I137" s="82" t="n">
        <v>578</v>
      </c>
      <c r="J137" s="82" t="n">
        <v>3592</v>
      </c>
      <c r="K137" s="83">
        <f>I137/1000</f>
        <v/>
      </c>
      <c r="L137" s="83">
        <f>SUM(E137:G137)/1000</f>
        <v/>
      </c>
      <c r="M137" s="84">
        <f>IF(I137=0,"n.a.",H137/I137)</f>
        <v/>
      </c>
      <c r="N137" s="82">
        <f>IF(J137=0,"n.a.",I137*1000/J137)</f>
        <v/>
      </c>
      <c r="O137" s="82">
        <f>SUM(E137:H137)-I137</f>
        <v/>
      </c>
      <c r="P137" s="82">
        <f>RANK(I137,$I$7:$I$212,0)+COUNTIF($I$7:I137,I137)-1</f>
        <v/>
      </c>
      <c r="Q137" s="10" t="inlineStr">
        <is>
          <t>Escape Studios</t>
        </is>
      </c>
    </row>
    <row r="138" ht="46" customHeight="1">
      <c r="A138" s="10" t="inlineStr">
        <is>
          <t>10035638</t>
        </is>
      </c>
      <c r="B138" s="11" t="inlineStr">
        <is>
          <t>Institute of Contemporary Music Performance</t>
        </is>
      </c>
      <c r="C138" s="10" t="inlineStr">
        <is>
          <t>Other HE provider</t>
        </is>
      </c>
      <c r="D138" s="10" t="inlineStr">
        <is>
          <t>2024/25</t>
        </is>
      </c>
      <c r="E138" s="82" t="n">
        <v>0</v>
      </c>
      <c r="F138" s="82" t="n">
        <v>0</v>
      </c>
      <c r="G138" s="82" t="n">
        <v>0</v>
      </c>
      <c r="H138" s="82" t="n">
        <v>574</v>
      </c>
      <c r="I138" s="82" t="n">
        <v>574</v>
      </c>
      <c r="J138" s="82" t="n">
        <v>450</v>
      </c>
      <c r="K138" s="83">
        <f>I138/1000</f>
        <v/>
      </c>
      <c r="L138" s="83">
        <f>SUM(E138:G138)/1000</f>
        <v/>
      </c>
      <c r="M138" s="84">
        <f>IF(I138=0,"n.a.",H138/I138)</f>
        <v/>
      </c>
      <c r="N138" s="82">
        <f>IF(J138=0,"n.a.",I138*1000/J138)</f>
        <v/>
      </c>
      <c r="O138" s="82">
        <f>SUM(E138:H138)-I138</f>
        <v/>
      </c>
      <c r="P138" s="82">
        <f>RANK(I138,$I$7:$I$212,0)+COUNTIF($I$7:I138,I138)-1</f>
        <v/>
      </c>
      <c r="Q138" s="10" t="inlineStr">
        <is>
          <t>Institute of Contemporary Music Performance</t>
        </is>
      </c>
    </row>
    <row r="139" ht="46" customHeight="1">
      <c r="A139" s="10" t="inlineStr">
        <is>
          <t>10003614</t>
        </is>
      </c>
      <c r="B139" s="11" t="inlineStr">
        <is>
          <t>The University of Winchester</t>
        </is>
      </c>
      <c r="C139" s="10" t="inlineStr">
        <is>
          <t>Other HE provider</t>
        </is>
      </c>
      <c r="D139" s="10" t="inlineStr">
        <is>
          <t>2024/25</t>
        </is>
      </c>
      <c r="E139" s="82" t="n">
        <v>0</v>
      </c>
      <c r="F139" s="82" t="n">
        <v>19</v>
      </c>
      <c r="G139" s="82" t="n">
        <v>469</v>
      </c>
      <c r="H139" s="82" t="n">
        <v>73</v>
      </c>
      <c r="I139" s="82" t="n">
        <v>561</v>
      </c>
      <c r="J139" s="82" t="n">
        <v>3224</v>
      </c>
      <c r="K139" s="83">
        <f>I139/1000</f>
        <v/>
      </c>
      <c r="L139" s="83">
        <f>SUM(E139:G139)/1000</f>
        <v/>
      </c>
      <c r="M139" s="84">
        <f>IF(I139=0,"n.a.",H139/I139)</f>
        <v/>
      </c>
      <c r="N139" s="82">
        <f>IF(J139=0,"n.a.",I139*1000/J139)</f>
        <v/>
      </c>
      <c r="O139" s="82">
        <f>SUM(E139:H139)-I139</f>
        <v/>
      </c>
      <c r="P139" s="82">
        <f>RANK(I139,$I$7:$I$212,0)+COUNTIF($I$7:I139,I139)-1</f>
        <v/>
      </c>
      <c r="Q139" s="10" t="inlineStr">
        <is>
          <t>Winchester</t>
        </is>
      </c>
    </row>
    <row r="140" ht="46" customHeight="1">
      <c r="A140" s="10" t="inlineStr">
        <is>
          <t>10014001</t>
        </is>
      </c>
      <c r="B140" s="11" t="inlineStr">
        <is>
          <t>University of Suffolk</t>
        </is>
      </c>
      <c r="C140" s="10" t="inlineStr">
        <is>
          <t>Other HE provider</t>
        </is>
      </c>
      <c r="D140" s="10" t="inlineStr">
        <is>
          <t>2024/25</t>
        </is>
      </c>
      <c r="E140" s="82" t="n">
        <v>0</v>
      </c>
      <c r="F140" s="82" t="n">
        <v>0</v>
      </c>
      <c r="G140" s="82" t="n">
        <v>527</v>
      </c>
      <c r="H140" s="82" t="n">
        <v>26</v>
      </c>
      <c r="I140" s="82" t="n">
        <v>553</v>
      </c>
      <c r="J140" s="82" t="n">
        <v>1252</v>
      </c>
      <c r="K140" s="83">
        <f>I140/1000</f>
        <v/>
      </c>
      <c r="L140" s="83">
        <f>SUM(E140:G140)/1000</f>
        <v/>
      </c>
      <c r="M140" s="84">
        <f>IF(I140=0,"n.a.",H140/I140)</f>
        <v/>
      </c>
      <c r="N140" s="82">
        <f>IF(J140=0,"n.a.",I140*1000/J140)</f>
        <v/>
      </c>
      <c r="O140" s="82">
        <f>SUM(E140:H140)-I140</f>
        <v/>
      </c>
      <c r="P140" s="82">
        <f>RANK(I140,$I$7:$I$212,0)+COUNTIF($I$7:I140,I140)-1</f>
        <v/>
      </c>
      <c r="Q140" s="10" t="inlineStr">
        <is>
          <t>Suffolk</t>
        </is>
      </c>
    </row>
    <row r="141" ht="46" customHeight="1">
      <c r="A141" s="10" t="inlineStr">
        <is>
          <t>10005561</t>
        </is>
      </c>
      <c r="B141" s="11" t="inlineStr">
        <is>
          <t>Royal Conservatoire of Scotland</t>
        </is>
      </c>
      <c r="C141" s="10" t="inlineStr">
        <is>
          <t>Other HE provider</t>
        </is>
      </c>
      <c r="D141" s="10" t="inlineStr">
        <is>
          <t>2024/25</t>
        </is>
      </c>
      <c r="E141" s="82" t="n">
        <v>0</v>
      </c>
      <c r="F141" s="82" t="n">
        <v>0</v>
      </c>
      <c r="G141" s="82" t="n">
        <v>0</v>
      </c>
      <c r="H141" s="82" t="n">
        <v>547</v>
      </c>
      <c r="I141" s="82" t="n">
        <v>547</v>
      </c>
      <c r="J141" s="82" t="n">
        <v>4450</v>
      </c>
      <c r="K141" s="83">
        <f>I141/1000</f>
        <v/>
      </c>
      <c r="L141" s="83">
        <f>SUM(E141:G141)/1000</f>
        <v/>
      </c>
      <c r="M141" s="84">
        <f>IF(I141=0,"n.a.",H141/I141)</f>
        <v/>
      </c>
      <c r="N141" s="82">
        <f>IF(J141=0,"n.a.",I141*1000/J141)</f>
        <v/>
      </c>
      <c r="O141" s="82">
        <f>SUM(E141:H141)-I141</f>
        <v/>
      </c>
      <c r="P141" s="82">
        <f>RANK(I141,$I$7:$I$212,0)+COUNTIF($I$7:I141,I141)-1</f>
        <v/>
      </c>
      <c r="Q141" s="10" t="inlineStr">
        <is>
          <t>Royal Conservatoire of Scotland</t>
        </is>
      </c>
    </row>
    <row r="142" ht="46" customHeight="1">
      <c r="A142" s="10" t="inlineStr">
        <is>
          <t>10007137</t>
        </is>
      </c>
      <c r="B142" s="11" t="inlineStr">
        <is>
          <t>The University of Chichester</t>
        </is>
      </c>
      <c r="C142" s="10" t="inlineStr">
        <is>
          <t>Other HE provider</t>
        </is>
      </c>
      <c r="D142" s="10" t="inlineStr">
        <is>
          <t>2024/25</t>
        </is>
      </c>
      <c r="E142" s="82" t="n">
        <v>0</v>
      </c>
      <c r="F142" s="82" t="n">
        <v>1</v>
      </c>
      <c r="G142" s="82" t="n">
        <v>445</v>
      </c>
      <c r="H142" s="82" t="n">
        <v>72</v>
      </c>
      <c r="I142" s="82" t="n">
        <v>518</v>
      </c>
      <c r="J142" s="82" t="n">
        <v>1264</v>
      </c>
      <c r="K142" s="83">
        <f>I142/1000</f>
        <v/>
      </c>
      <c r="L142" s="83">
        <f>SUM(E142:G142)/1000</f>
        <v/>
      </c>
      <c r="M142" s="84">
        <f>IF(I142=0,"n.a.",H142/I142)</f>
        <v/>
      </c>
      <c r="N142" s="82">
        <f>IF(J142=0,"n.a.",I142*1000/J142)</f>
        <v/>
      </c>
      <c r="O142" s="82">
        <f>SUM(E142:H142)-I142</f>
        <v/>
      </c>
      <c r="P142" s="82">
        <f>RANK(I142,$I$7:$I$212,0)+COUNTIF($I$7:I142,I142)-1</f>
        <v/>
      </c>
      <c r="Q142" s="10" t="inlineStr">
        <is>
          <t>Chichester</t>
        </is>
      </c>
    </row>
    <row r="143" ht="46" customHeight="1">
      <c r="A143" s="10" t="inlineStr">
        <is>
          <t>10007800</t>
        </is>
      </c>
      <c r="B143" s="11" t="inlineStr">
        <is>
          <t>The University of the West of Scotland</t>
        </is>
      </c>
      <c r="C143" s="10" t="inlineStr">
        <is>
          <t>Other HE provider</t>
        </is>
      </c>
      <c r="D143" s="10" t="inlineStr">
        <is>
          <t>2024/25</t>
        </is>
      </c>
      <c r="E143" s="82" t="n">
        <v>11</v>
      </c>
      <c r="F143" s="82" t="n">
        <v>10</v>
      </c>
      <c r="G143" s="82" t="n">
        <v>445</v>
      </c>
      <c r="H143" s="82" t="n">
        <v>36</v>
      </c>
      <c r="I143" s="82" t="n">
        <v>502</v>
      </c>
      <c r="J143" s="82" t="n">
        <v>1390</v>
      </c>
      <c r="K143" s="83">
        <f>I143/1000</f>
        <v/>
      </c>
      <c r="L143" s="83">
        <f>SUM(E143:G143)/1000</f>
        <v/>
      </c>
      <c r="M143" s="84">
        <f>IF(I143=0,"n.a.",H143/I143)</f>
        <v/>
      </c>
      <c r="N143" s="82">
        <f>IF(J143=0,"n.a.",I143*1000/J143)</f>
        <v/>
      </c>
      <c r="O143" s="82">
        <f>SUM(E143:H143)-I143</f>
        <v/>
      </c>
      <c r="P143" s="82">
        <f>RANK(I143,$I$7:$I$212,0)+COUNTIF($I$7:I143,I143)-1</f>
        <v/>
      </c>
      <c r="Q143" s="10" t="inlineStr">
        <is>
          <t>the West of Scotland</t>
        </is>
      </c>
    </row>
    <row r="144" ht="46" customHeight="1">
      <c r="A144" s="10" t="inlineStr">
        <is>
          <t>10040812</t>
        </is>
      </c>
      <c r="B144" s="11" t="inlineStr">
        <is>
          <t>Harper Adams University</t>
        </is>
      </c>
      <c r="C144" s="10" t="inlineStr">
        <is>
          <t>Other HE provider</t>
        </is>
      </c>
      <c r="D144" s="10" t="inlineStr">
        <is>
          <t>2024/25</t>
        </is>
      </c>
      <c r="E144" s="82" t="n">
        <v>118</v>
      </c>
      <c r="F144" s="82" t="n">
        <v>120</v>
      </c>
      <c r="G144" s="82" t="n">
        <v>160</v>
      </c>
      <c r="H144" s="82" t="n">
        <v>84</v>
      </c>
      <c r="I144" s="82" t="n">
        <v>482</v>
      </c>
      <c r="J144" s="82" t="n">
        <v>5708</v>
      </c>
      <c r="K144" s="83">
        <f>I144/1000</f>
        <v/>
      </c>
      <c r="L144" s="83">
        <f>SUM(E144:G144)/1000</f>
        <v/>
      </c>
      <c r="M144" s="84">
        <f>IF(I144=0,"n.a.",H144/I144)</f>
        <v/>
      </c>
      <c r="N144" s="82">
        <f>IF(J144=0,"n.a.",I144*1000/J144)</f>
        <v/>
      </c>
      <c r="O144" s="82">
        <f>SUM(E144:H144)-I144</f>
        <v/>
      </c>
      <c r="P144" s="82">
        <f>RANK(I144,$I$7:$I$212,0)+COUNTIF($I$7:I144,I144)-1</f>
        <v/>
      </c>
      <c r="Q144" s="10" t="inlineStr">
        <is>
          <t>Harper Adams</t>
        </is>
      </c>
    </row>
    <row r="145" ht="46" customHeight="1">
      <c r="A145" s="10" t="inlineStr">
        <is>
          <t>10007761</t>
        </is>
      </c>
      <c r="B145" s="11" t="inlineStr">
        <is>
          <t>Courtauld Institute of Art</t>
        </is>
      </c>
      <c r="C145" s="10" t="inlineStr">
        <is>
          <t>Other HE provider</t>
        </is>
      </c>
      <c r="D145" s="10" t="inlineStr">
        <is>
          <t>2024/25</t>
        </is>
      </c>
      <c r="E145" s="82" t="n">
        <v>0</v>
      </c>
      <c r="F145" s="82" t="n">
        <v>0</v>
      </c>
      <c r="G145" s="82" t="n">
        <v>0</v>
      </c>
      <c r="H145" s="82" t="n">
        <v>473</v>
      </c>
      <c r="I145" s="82" t="n">
        <v>473</v>
      </c>
      <c r="J145" s="82" t="n">
        <v>3422</v>
      </c>
      <c r="K145" s="83">
        <f>I145/1000</f>
        <v/>
      </c>
      <c r="L145" s="83">
        <f>SUM(E145:G145)/1000</f>
        <v/>
      </c>
      <c r="M145" s="84">
        <f>IF(I145=0,"n.a.",H145/I145)</f>
        <v/>
      </c>
      <c r="N145" s="82">
        <f>IF(J145=0,"n.a.",I145*1000/J145)</f>
        <v/>
      </c>
      <c r="O145" s="82">
        <f>SUM(E145:H145)-I145</f>
        <v/>
      </c>
      <c r="P145" s="82">
        <f>RANK(I145,$I$7:$I$212,0)+COUNTIF($I$7:I145,I145)-1</f>
        <v/>
      </c>
      <c r="Q145" s="10" t="inlineStr">
        <is>
          <t>Courtauld Institute of Art</t>
        </is>
      </c>
    </row>
    <row r="146" ht="46" customHeight="1">
      <c r="A146" s="10" t="inlineStr">
        <is>
          <t>10080811</t>
        </is>
      </c>
      <c r="B146" s="11" t="inlineStr">
        <is>
          <t>Hartpury University</t>
        </is>
      </c>
      <c r="C146" s="10" t="inlineStr">
        <is>
          <t>Other HE provider</t>
        </is>
      </c>
      <c r="D146" s="10" t="inlineStr">
        <is>
          <t>2024/25</t>
        </is>
      </c>
      <c r="E146" s="82" t="n">
        <v>41</v>
      </c>
      <c r="F146" s="82" t="n">
        <v>4</v>
      </c>
      <c r="G146" s="82" t="n">
        <v>5</v>
      </c>
      <c r="H146" s="82" t="n">
        <v>408</v>
      </c>
      <c r="I146" s="82" t="n">
        <v>458</v>
      </c>
      <c r="J146" s="82" t="n">
        <v>2113</v>
      </c>
      <c r="K146" s="83">
        <f>I146/1000</f>
        <v/>
      </c>
      <c r="L146" s="83">
        <f>SUM(E146:G146)/1000</f>
        <v/>
      </c>
      <c r="M146" s="84">
        <f>IF(I146=0,"n.a.",H146/I146)</f>
        <v/>
      </c>
      <c r="N146" s="82">
        <f>IF(J146=0,"n.a.",I146*1000/J146)</f>
        <v/>
      </c>
      <c r="O146" s="82">
        <f>SUM(E146:H146)-I146</f>
        <v/>
      </c>
      <c r="P146" s="82">
        <f>RANK(I146,$I$7:$I$212,0)+COUNTIF($I$7:I146,I146)-1</f>
        <v/>
      </c>
      <c r="Q146" s="10" t="inlineStr">
        <is>
          <t>Hartpury</t>
        </is>
      </c>
    </row>
    <row r="147" ht="46" customHeight="1">
      <c r="A147" s="10" t="inlineStr">
        <is>
          <t>10037449</t>
        </is>
      </c>
      <c r="B147" s="11" t="inlineStr">
        <is>
          <t>University of St Mark and St John</t>
        </is>
      </c>
      <c r="C147" s="10" t="inlineStr">
        <is>
          <t>Other HE provider</t>
        </is>
      </c>
      <c r="D147" s="10" t="inlineStr">
        <is>
          <t>2024/25</t>
        </is>
      </c>
      <c r="E147" s="82" t="n">
        <v>2</v>
      </c>
      <c r="F147" s="82" t="n">
        <v>0</v>
      </c>
      <c r="G147" s="82" t="n">
        <v>383</v>
      </c>
      <c r="H147" s="82" t="n">
        <v>64</v>
      </c>
      <c r="I147" s="82" t="n">
        <v>449</v>
      </c>
      <c r="J147" s="82" t="n">
        <v>1857</v>
      </c>
      <c r="K147" s="83">
        <f>I147/1000</f>
        <v/>
      </c>
      <c r="L147" s="83">
        <f>SUM(E147:G147)/1000</f>
        <v/>
      </c>
      <c r="M147" s="84">
        <f>IF(I147=0,"n.a.",H147/I147)</f>
        <v/>
      </c>
      <c r="N147" s="82">
        <f>IF(J147=0,"n.a.",I147*1000/J147)</f>
        <v/>
      </c>
      <c r="O147" s="82">
        <f>SUM(E147:H147)-I147</f>
        <v/>
      </c>
      <c r="P147" s="82">
        <f>RANK(I147,$I$7:$I$212,0)+COUNTIF($I$7:I147,I147)-1</f>
        <v/>
      </c>
      <c r="Q147" s="10" t="inlineStr">
        <is>
          <t>St Mark and St John</t>
        </is>
      </c>
    </row>
    <row r="148" ht="46" customHeight="1">
      <c r="A148" s="10" t="inlineStr">
        <is>
          <t>10004048</t>
        </is>
      </c>
      <c r="B148" s="11" t="inlineStr">
        <is>
          <t>London Metropolitan University</t>
        </is>
      </c>
      <c r="C148" s="10" t="inlineStr">
        <is>
          <t>Other HE provider</t>
        </is>
      </c>
      <c r="D148" s="10" t="inlineStr">
        <is>
          <t>2024/25</t>
        </is>
      </c>
      <c r="E148" s="82" t="n">
        <v>75</v>
      </c>
      <c r="F148" s="82" t="n">
        <v>0</v>
      </c>
      <c r="G148" s="82" t="n">
        <v>109</v>
      </c>
      <c r="H148" s="82" t="n">
        <v>220</v>
      </c>
      <c r="I148" s="82" t="n">
        <v>404</v>
      </c>
      <c r="J148" s="82" t="n">
        <v>3350</v>
      </c>
      <c r="K148" s="83">
        <f>I148/1000</f>
        <v/>
      </c>
      <c r="L148" s="83">
        <f>SUM(E148:G148)/1000</f>
        <v/>
      </c>
      <c r="M148" s="84">
        <f>IF(I148=0,"n.a.",H148/I148)</f>
        <v/>
      </c>
      <c r="N148" s="82">
        <f>IF(J148=0,"n.a.",I148*1000/J148)</f>
        <v/>
      </c>
      <c r="O148" s="82">
        <f>SUM(E148:H148)-I148</f>
        <v/>
      </c>
      <c r="P148" s="82">
        <f>RANK(I148,$I$7:$I$212,0)+COUNTIF($I$7:I148,I148)-1</f>
        <v/>
      </c>
      <c r="Q148" s="10" t="inlineStr">
        <is>
          <t>London Metropolitan</t>
        </is>
      </c>
    </row>
    <row r="149" ht="46" customHeight="1">
      <c r="A149" s="10" t="inlineStr">
        <is>
          <t>10001444</t>
        </is>
      </c>
      <c r="B149" s="11" t="inlineStr">
        <is>
          <t>National Centre for Circus Arts</t>
        </is>
      </c>
      <c r="C149" s="10" t="inlineStr">
        <is>
          <t>Other HE provider</t>
        </is>
      </c>
      <c r="D149" s="10" t="inlineStr">
        <is>
          <t>2024/25</t>
        </is>
      </c>
      <c r="E149" s="82" t="n">
        <v>5</v>
      </c>
      <c r="F149" s="82" t="n">
        <v>0</v>
      </c>
      <c r="G149" s="82" t="n">
        <v>0</v>
      </c>
      <c r="H149" s="82" t="n">
        <v>394</v>
      </c>
      <c r="I149" s="82" t="n">
        <v>399</v>
      </c>
      <c r="J149" s="82" t="n">
        <v>92</v>
      </c>
      <c r="K149" s="83">
        <f>I149/1000</f>
        <v/>
      </c>
      <c r="L149" s="83">
        <f>SUM(E149:G149)/1000</f>
        <v/>
      </c>
      <c r="M149" s="84">
        <f>IF(I149=0,"n.a.",H149/I149)</f>
        <v/>
      </c>
      <c r="N149" s="82">
        <f>IF(J149=0,"n.a.",I149*1000/J149)</f>
        <v/>
      </c>
      <c r="O149" s="82">
        <f>SUM(E149:H149)-I149</f>
        <v/>
      </c>
      <c r="P149" s="82">
        <f>RANK(I149,$I$7:$I$212,0)+COUNTIF($I$7:I149,I149)-1</f>
        <v/>
      </c>
      <c r="Q149" s="10" t="inlineStr">
        <is>
          <t>National Centre for Circus Arts</t>
        </is>
      </c>
    </row>
    <row r="150" ht="46" customHeight="1">
      <c r="A150" s="10" t="inlineStr">
        <is>
          <t>10067623</t>
        </is>
      </c>
      <c r="B150" s="11" t="inlineStr">
        <is>
          <t>The London Interdisciplinary School Ltd</t>
        </is>
      </c>
      <c r="C150" s="10" t="inlineStr">
        <is>
          <t>Other HE provider</t>
        </is>
      </c>
      <c r="D150" s="10" t="inlineStr">
        <is>
          <t>2024/25</t>
        </is>
      </c>
      <c r="E150" s="82" t="n">
        <v>0</v>
      </c>
      <c r="F150" s="82" t="n">
        <v>187</v>
      </c>
      <c r="G150" s="82" t="n">
        <v>95</v>
      </c>
      <c r="H150" s="82" t="n">
        <v>114</v>
      </c>
      <c r="I150" s="82" t="n">
        <v>396</v>
      </c>
      <c r="J150" s="82" t="n">
        <v>0</v>
      </c>
      <c r="K150" s="83">
        <f>I150/1000</f>
        <v/>
      </c>
      <c r="L150" s="83">
        <f>SUM(E150:G150)/1000</f>
        <v/>
      </c>
      <c r="M150" s="84">
        <f>IF(I150=0,"n.a.",H150/I150)</f>
        <v/>
      </c>
      <c r="N150" s="82">
        <f>IF(J150=0,"n.a.",I150*1000/J150)</f>
        <v/>
      </c>
      <c r="O150" s="82">
        <f>SUM(E150:H150)-I150</f>
        <v/>
      </c>
      <c r="P150" s="82">
        <f>RANK(I150,$I$7:$I$212,0)+COUNTIF($I$7:I150,I150)-1</f>
        <v/>
      </c>
      <c r="Q150" s="10" t="inlineStr">
        <is>
          <t>The London Interdisciplinary School Ltd</t>
        </is>
      </c>
    </row>
    <row r="151" ht="46" customHeight="1">
      <c r="A151" s="10" t="inlineStr">
        <is>
          <t>10003758</t>
        </is>
      </c>
      <c r="B151" s="11" t="inlineStr">
        <is>
          <t>LAMDA Limited</t>
        </is>
      </c>
      <c r="C151" s="10" t="inlineStr">
        <is>
          <t>Other HE provider</t>
        </is>
      </c>
      <c r="D151" s="10" t="inlineStr">
        <is>
          <t>2024/25</t>
        </is>
      </c>
      <c r="E151" s="82" t="n">
        <v>0</v>
      </c>
      <c r="F151" s="82" t="n">
        <v>8</v>
      </c>
      <c r="G151" s="82" t="n">
        <v>0</v>
      </c>
      <c r="H151" s="82" t="n">
        <v>387</v>
      </c>
      <c r="I151" s="82" t="n">
        <v>395</v>
      </c>
      <c r="J151" s="82" t="n">
        <v>2609</v>
      </c>
      <c r="K151" s="83">
        <f>I151/1000</f>
        <v/>
      </c>
      <c r="L151" s="83">
        <f>SUM(E151:G151)/1000</f>
        <v/>
      </c>
      <c r="M151" s="84">
        <f>IF(I151=0,"n.a.",H151/I151)</f>
        <v/>
      </c>
      <c r="N151" s="82">
        <f>IF(J151=0,"n.a.",I151*1000/J151)</f>
        <v/>
      </c>
      <c r="O151" s="82">
        <f>SUM(E151:H151)-I151</f>
        <v/>
      </c>
      <c r="P151" s="82">
        <f>RANK(I151,$I$7:$I$212,0)+COUNTIF($I$7:I151,I151)-1</f>
        <v/>
      </c>
      <c r="Q151" s="10" t="inlineStr">
        <is>
          <t>LAMDA Limited</t>
        </is>
      </c>
    </row>
    <row r="152" ht="46" customHeight="1">
      <c r="A152" s="10" t="inlineStr">
        <is>
          <t>10007843</t>
        </is>
      </c>
      <c r="B152" s="11" t="inlineStr">
        <is>
          <t>St Mary's University, Twickenham</t>
        </is>
      </c>
      <c r="C152" s="10" t="inlineStr">
        <is>
          <t>Other HE provider</t>
        </is>
      </c>
      <c r="D152" s="10" t="inlineStr">
        <is>
          <t>2024/25</t>
        </is>
      </c>
      <c r="E152" s="82" t="n">
        <v>0</v>
      </c>
      <c r="F152" s="82" t="n">
        <v>0</v>
      </c>
      <c r="G152" s="82" t="n">
        <v>0</v>
      </c>
      <c r="H152" s="82" t="n">
        <v>390</v>
      </c>
      <c r="I152" s="82" t="n">
        <v>390</v>
      </c>
      <c r="J152" s="82" t="n">
        <v>5236</v>
      </c>
      <c r="K152" s="83">
        <f>I152/1000</f>
        <v/>
      </c>
      <c r="L152" s="83">
        <f>SUM(E152:G152)/1000</f>
        <v/>
      </c>
      <c r="M152" s="84">
        <f>IF(I152=0,"n.a.",H152/I152)</f>
        <v/>
      </c>
      <c r="N152" s="82">
        <f>IF(J152=0,"n.a.",I152*1000/J152)</f>
        <v/>
      </c>
      <c r="O152" s="82">
        <f>SUM(E152:H152)-I152</f>
        <v/>
      </c>
      <c r="P152" s="82">
        <f>RANK(I152,$I$7:$I$212,0)+COUNTIF($I$7:I152,I152)-1</f>
        <v/>
      </c>
      <c r="Q152" s="10" t="inlineStr">
        <is>
          <t>St Mary's University, Twickenham</t>
        </is>
      </c>
    </row>
    <row r="153" ht="46" customHeight="1">
      <c r="A153" s="10" t="inlineStr">
        <is>
          <t>10036456</t>
        </is>
      </c>
      <c r="B153" s="11" t="inlineStr">
        <is>
          <t>Academy of Live Technology Ltd</t>
        </is>
      </c>
      <c r="C153" s="10" t="inlineStr">
        <is>
          <t>Other HE provider</t>
        </is>
      </c>
      <c r="D153" s="10" t="inlineStr">
        <is>
          <t>2024/25</t>
        </is>
      </c>
      <c r="E153" s="82" t="n">
        <v>306</v>
      </c>
      <c r="F153" s="82" t="n">
        <v>63</v>
      </c>
      <c r="G153" s="82" t="n">
        <v>0</v>
      </c>
      <c r="H153" s="82" t="n">
        <v>0</v>
      </c>
      <c r="I153" s="82" t="n">
        <v>369</v>
      </c>
      <c r="J153" s="82" t="n">
        <v>54</v>
      </c>
      <c r="K153" s="83">
        <f>I153/1000</f>
        <v/>
      </c>
      <c r="L153" s="83">
        <f>SUM(E153:G153)/1000</f>
        <v/>
      </c>
      <c r="M153" s="84">
        <f>IF(I153=0,"n.a.",H153/I153)</f>
        <v/>
      </c>
      <c r="N153" s="82">
        <f>IF(J153=0,"n.a.",I153*1000/J153)</f>
        <v/>
      </c>
      <c r="O153" s="82">
        <f>SUM(E153:H153)-I153</f>
        <v/>
      </c>
      <c r="P153" s="82">
        <f>RANK(I153,$I$7:$I$212,0)+COUNTIF($I$7:I153,I153)-1</f>
        <v/>
      </c>
      <c r="Q153" s="10" t="inlineStr">
        <is>
          <t>Academy of Live Technology Ltd</t>
        </is>
      </c>
    </row>
    <row r="154" ht="46" customHeight="1">
      <c r="A154" s="10" t="inlineStr">
        <is>
          <t>10082828</t>
        </is>
      </c>
      <c r="B154" s="11" t="inlineStr">
        <is>
          <t>College of Legal Practice Limited</t>
        </is>
      </c>
      <c r="C154" s="10" t="inlineStr">
        <is>
          <t>Other HE provider</t>
        </is>
      </c>
      <c r="D154" s="10" t="inlineStr">
        <is>
          <t>2024/25</t>
        </is>
      </c>
      <c r="E154" s="82" t="n">
        <v>67</v>
      </c>
      <c r="F154" s="82" t="n">
        <v>211</v>
      </c>
      <c r="G154" s="82" t="n">
        <v>6</v>
      </c>
      <c r="H154" s="82" t="n">
        <v>3</v>
      </c>
      <c r="I154" s="82" t="n">
        <v>287</v>
      </c>
      <c r="J154" s="82" t="n">
        <v>563</v>
      </c>
      <c r="K154" s="83">
        <f>I154/1000</f>
        <v/>
      </c>
      <c r="L154" s="83">
        <f>SUM(E154:G154)/1000</f>
        <v/>
      </c>
      <c r="M154" s="84">
        <f>IF(I154=0,"n.a.",H154/I154)</f>
        <v/>
      </c>
      <c r="N154" s="82">
        <f>IF(J154=0,"n.a.",I154*1000/J154)</f>
        <v/>
      </c>
      <c r="O154" s="82">
        <f>SUM(E154:H154)-I154</f>
        <v/>
      </c>
      <c r="P154" s="82">
        <f>RANK(I154,$I$7:$I$212,0)+COUNTIF($I$7:I154,I154)-1</f>
        <v/>
      </c>
      <c r="Q154" s="10" t="inlineStr">
        <is>
          <t>College of Legal Practice Limited</t>
        </is>
      </c>
    </row>
    <row r="155" ht="46" customHeight="1">
      <c r="A155" s="10" t="inlineStr">
        <is>
          <t>10005378</t>
        </is>
      </c>
      <c r="B155" s="11" t="inlineStr">
        <is>
          <t>Rambert School</t>
        </is>
      </c>
      <c r="C155" s="10" t="inlineStr">
        <is>
          <t>Other HE provider</t>
        </is>
      </c>
      <c r="D155" s="10" t="inlineStr">
        <is>
          <t>2024/25</t>
        </is>
      </c>
      <c r="E155" s="82" t="n">
        <v>33</v>
      </c>
      <c r="F155" s="82" t="n">
        <v>0</v>
      </c>
      <c r="G155" s="82" t="n">
        <v>0</v>
      </c>
      <c r="H155" s="82" t="n">
        <v>247</v>
      </c>
      <c r="I155" s="82" t="n">
        <v>280</v>
      </c>
      <c r="J155" s="82" t="n">
        <v>0</v>
      </c>
      <c r="K155" s="83">
        <f>I155/1000</f>
        <v/>
      </c>
      <c r="L155" s="83">
        <f>SUM(E155:G155)/1000</f>
        <v/>
      </c>
      <c r="M155" s="84">
        <f>IF(I155=0,"n.a.",H155/I155)</f>
        <v/>
      </c>
      <c r="N155" s="82">
        <f>IF(J155=0,"n.a.",I155*1000/J155)</f>
        <v/>
      </c>
      <c r="O155" s="82">
        <f>SUM(E155:H155)-I155</f>
        <v/>
      </c>
      <c r="P155" s="82">
        <f>RANK(I155,$I$7:$I$212,0)+COUNTIF($I$7:I155,I155)-1</f>
        <v/>
      </c>
      <c r="Q155" s="10" t="inlineStr">
        <is>
          <t>Rambert School</t>
        </is>
      </c>
    </row>
    <row r="156" ht="46" customHeight="1">
      <c r="A156" s="10" t="inlineStr">
        <is>
          <t>10005700</t>
        </is>
      </c>
      <c r="B156" s="11" t="inlineStr">
        <is>
          <t>SRUC</t>
        </is>
      </c>
      <c r="C156" s="10" t="inlineStr">
        <is>
          <t>Other HE provider</t>
        </is>
      </c>
      <c r="D156" s="10" t="inlineStr">
        <is>
          <t>2024/25</t>
        </is>
      </c>
      <c r="E156" s="82" t="n">
        <v>8</v>
      </c>
      <c r="F156" s="82" t="n">
        <v>1</v>
      </c>
      <c r="G156" s="82" t="n">
        <v>0</v>
      </c>
      <c r="H156" s="82" t="n">
        <v>268</v>
      </c>
      <c r="I156" s="82" t="n">
        <v>277</v>
      </c>
      <c r="J156" s="82" t="n">
        <v>0</v>
      </c>
      <c r="K156" s="83">
        <f>I156/1000</f>
        <v/>
      </c>
      <c r="L156" s="83">
        <f>SUM(E156:G156)/1000</f>
        <v/>
      </c>
      <c r="M156" s="84">
        <f>IF(I156=0,"n.a.",H156/I156)</f>
        <v/>
      </c>
      <c r="N156" s="82">
        <f>IF(J156=0,"n.a.",I156*1000/J156)</f>
        <v/>
      </c>
      <c r="O156" s="82">
        <f>SUM(E156:H156)-I156</f>
        <v/>
      </c>
      <c r="P156" s="82">
        <f>RANK(I156,$I$7:$I$212,0)+COUNTIF($I$7:I156,I156)-1</f>
        <v/>
      </c>
      <c r="Q156" s="10" t="inlineStr">
        <is>
          <t>SRUC</t>
        </is>
      </c>
    </row>
    <row r="157" ht="46" customHeight="1">
      <c r="A157" s="10" t="inlineStr">
        <is>
          <t>10000571</t>
        </is>
      </c>
      <c r="B157" s="11" t="inlineStr">
        <is>
          <t>Bath Spa University</t>
        </is>
      </c>
      <c r="C157" s="10" t="inlineStr">
        <is>
          <t>Other HE provider</t>
        </is>
      </c>
      <c r="D157" s="10" t="inlineStr">
        <is>
          <t>2024/25</t>
        </is>
      </c>
      <c r="E157" s="82" t="n">
        <v>182</v>
      </c>
      <c r="F157" s="82" t="n">
        <v>0</v>
      </c>
      <c r="G157" s="82" t="n">
        <v>0</v>
      </c>
      <c r="H157" s="82" t="n">
        <v>87</v>
      </c>
      <c r="I157" s="82" t="n">
        <v>269</v>
      </c>
      <c r="J157" s="82" t="n">
        <v>36651</v>
      </c>
      <c r="K157" s="83">
        <f>I157/1000</f>
        <v/>
      </c>
      <c r="L157" s="83">
        <f>SUM(E157:G157)/1000</f>
        <v/>
      </c>
      <c r="M157" s="84">
        <f>IF(I157=0,"n.a.",H157/I157)</f>
        <v/>
      </c>
      <c r="N157" s="82">
        <f>IF(J157=0,"n.a.",I157*1000/J157)</f>
        <v/>
      </c>
      <c r="O157" s="82">
        <f>SUM(E157:H157)-I157</f>
        <v/>
      </c>
      <c r="P157" s="82">
        <f>RANK(I157,$I$7:$I$212,0)+COUNTIF($I$7:I157,I157)-1</f>
        <v/>
      </c>
      <c r="Q157" s="10" t="inlineStr">
        <is>
          <t>Bath Spa</t>
        </is>
      </c>
    </row>
    <row r="158" ht="46" customHeight="1">
      <c r="A158" s="10" t="inlineStr">
        <is>
          <t>10008017</t>
        </is>
      </c>
      <c r="B158" s="11" t="inlineStr">
        <is>
          <t>Trinity Laban Conservatoire of Music and Dance</t>
        </is>
      </c>
      <c r="C158" s="10" t="inlineStr">
        <is>
          <t>Other HE provider</t>
        </is>
      </c>
      <c r="D158" s="10" t="inlineStr">
        <is>
          <t>2024/25</t>
        </is>
      </c>
      <c r="E158" s="82" t="n">
        <v>0</v>
      </c>
      <c r="F158" s="82" t="n">
        <v>0</v>
      </c>
      <c r="G158" s="82" t="n">
        <v>0</v>
      </c>
      <c r="H158" s="82" t="n">
        <v>251</v>
      </c>
      <c r="I158" s="82" t="n">
        <v>251</v>
      </c>
      <c r="J158" s="82" t="n">
        <v>11880</v>
      </c>
      <c r="K158" s="83">
        <f>I158/1000</f>
        <v/>
      </c>
      <c r="L158" s="83">
        <f>SUM(E158:G158)/1000</f>
        <v/>
      </c>
      <c r="M158" s="84">
        <f>IF(I158=0,"n.a.",H158/I158)</f>
        <v/>
      </c>
      <c r="N158" s="82">
        <f>IF(J158=0,"n.a.",I158*1000/J158)</f>
        <v/>
      </c>
      <c r="O158" s="82">
        <f>SUM(E158:H158)-I158</f>
        <v/>
      </c>
      <c r="P158" s="82">
        <f>RANK(I158,$I$7:$I$212,0)+COUNTIF($I$7:I158,I158)-1</f>
        <v/>
      </c>
      <c r="Q158" s="10" t="inlineStr">
        <is>
          <t>Trinity Laban Conservatoire of Music and Dance</t>
        </is>
      </c>
    </row>
    <row r="159" ht="46" customHeight="1">
      <c r="A159" s="10" t="inlineStr">
        <is>
          <t>10007713</t>
        </is>
      </c>
      <c r="B159" s="11" t="inlineStr">
        <is>
          <t>York St John University</t>
        </is>
      </c>
      <c r="C159" s="10" t="inlineStr">
        <is>
          <t>Other HE provider</t>
        </is>
      </c>
      <c r="D159" s="10" t="inlineStr">
        <is>
          <t>2024/25</t>
        </is>
      </c>
      <c r="E159" s="82" t="n">
        <v>0</v>
      </c>
      <c r="F159" s="82" t="n">
        <v>0</v>
      </c>
      <c r="G159" s="82" t="n">
        <v>159</v>
      </c>
      <c r="H159" s="82" t="n">
        <v>61</v>
      </c>
      <c r="I159" s="82" t="n">
        <v>220</v>
      </c>
      <c r="J159" s="82" t="n">
        <v>1369</v>
      </c>
      <c r="K159" s="83">
        <f>I159/1000</f>
        <v/>
      </c>
      <c r="L159" s="83">
        <f>SUM(E159:G159)/1000</f>
        <v/>
      </c>
      <c r="M159" s="84">
        <f>IF(I159=0,"n.a.",H159/I159)</f>
        <v/>
      </c>
      <c r="N159" s="82">
        <f>IF(J159=0,"n.a.",I159*1000/J159)</f>
        <v/>
      </c>
      <c r="O159" s="82">
        <f>SUM(E159:H159)-I159</f>
        <v/>
      </c>
      <c r="P159" s="82">
        <f>RANK(I159,$I$7:$I$212,0)+COUNTIF($I$7:I159,I159)-1</f>
        <v/>
      </c>
      <c r="Q159" s="10" t="inlineStr">
        <is>
          <t>York St John</t>
        </is>
      </c>
    </row>
    <row r="160" ht="46" customHeight="1">
      <c r="A160" s="10" t="inlineStr">
        <is>
          <t>10004036</t>
        </is>
      </c>
      <c r="B160" s="11" t="inlineStr">
        <is>
          <t>London Film School Limited</t>
        </is>
      </c>
      <c r="C160" s="10" t="inlineStr">
        <is>
          <t>Other HE provider</t>
        </is>
      </c>
      <c r="D160" s="10" t="inlineStr">
        <is>
          <t>2024/25</t>
        </is>
      </c>
      <c r="E160" s="82" t="n">
        <v>0</v>
      </c>
      <c r="F160" s="82" t="n">
        <v>0</v>
      </c>
      <c r="G160" s="82" t="n">
        <v>0</v>
      </c>
      <c r="H160" s="82" t="n">
        <v>217</v>
      </c>
      <c r="I160" s="82" t="n">
        <v>217</v>
      </c>
      <c r="J160" s="82" t="n">
        <v>1057</v>
      </c>
      <c r="K160" s="83">
        <f>I160/1000</f>
        <v/>
      </c>
      <c r="L160" s="83">
        <f>SUM(E160:G160)/1000</f>
        <v/>
      </c>
      <c r="M160" s="84">
        <f>IF(I160=0,"n.a.",H160/I160)</f>
        <v/>
      </c>
      <c r="N160" s="82">
        <f>IF(J160=0,"n.a.",I160*1000/J160)</f>
        <v/>
      </c>
      <c r="O160" s="82">
        <f>SUM(E160:H160)-I160</f>
        <v/>
      </c>
      <c r="P160" s="82">
        <f>RANK(I160,$I$7:$I$212,0)+COUNTIF($I$7:I160,I160)-1</f>
        <v/>
      </c>
      <c r="Q160" s="10" t="inlineStr">
        <is>
          <t>London Film School Limited</t>
        </is>
      </c>
    </row>
    <row r="161" ht="46" customHeight="1">
      <c r="A161" s="10" t="inlineStr">
        <is>
          <t>10002681</t>
        </is>
      </c>
      <c r="B161" s="11" t="inlineStr">
        <is>
          <t>Glasgow School of Art</t>
        </is>
      </c>
      <c r="C161" s="10" t="inlineStr">
        <is>
          <t>Other HE provider</t>
        </is>
      </c>
      <c r="D161" s="10" t="inlineStr">
        <is>
          <t>2024/25</t>
        </is>
      </c>
      <c r="E161" s="82" t="n">
        <v>0</v>
      </c>
      <c r="F161" s="82" t="n">
        <v>0</v>
      </c>
      <c r="G161" s="82" t="n">
        <v>0</v>
      </c>
      <c r="H161" s="82" t="n">
        <v>215</v>
      </c>
      <c r="I161" s="82" t="n">
        <v>215</v>
      </c>
      <c r="J161" s="82" t="n">
        <v>2423</v>
      </c>
      <c r="K161" s="83">
        <f>I161/1000</f>
        <v/>
      </c>
      <c r="L161" s="83">
        <f>SUM(E161:G161)/1000</f>
        <v/>
      </c>
      <c r="M161" s="84">
        <f>IF(I161=0,"n.a.",H161/I161)</f>
        <v/>
      </c>
      <c r="N161" s="82">
        <f>IF(J161=0,"n.a.",I161*1000/J161)</f>
        <v/>
      </c>
      <c r="O161" s="82">
        <f>SUM(E161:H161)-I161</f>
        <v/>
      </c>
      <c r="P161" s="82">
        <f>RANK(I161,$I$7:$I$212,0)+COUNTIF($I$7:I161,I161)-1</f>
        <v/>
      </c>
      <c r="Q161" s="10" t="inlineStr">
        <is>
          <t>Glasgow School of Art</t>
        </is>
      </c>
    </row>
    <row r="162" ht="46" customHeight="1">
      <c r="A162" s="10" t="inlineStr">
        <is>
          <t>10003863</t>
        </is>
      </c>
      <c r="B162" s="11" t="inlineStr">
        <is>
          <t>Leeds Trinity University</t>
        </is>
      </c>
      <c r="C162" s="10" t="inlineStr">
        <is>
          <t>Other HE provider</t>
        </is>
      </c>
      <c r="D162" s="10" t="inlineStr">
        <is>
          <t>2024/25</t>
        </is>
      </c>
      <c r="E162" s="82" t="n">
        <v>2</v>
      </c>
      <c r="F162" s="82" t="n">
        <v>0</v>
      </c>
      <c r="G162" s="82" t="n">
        <v>131</v>
      </c>
      <c r="H162" s="82" t="n">
        <v>61</v>
      </c>
      <c r="I162" s="82" t="n">
        <v>194</v>
      </c>
      <c r="J162" s="82" t="n">
        <v>2492</v>
      </c>
      <c r="K162" s="83">
        <f>I162/1000</f>
        <v/>
      </c>
      <c r="L162" s="83">
        <f>SUM(E162:G162)/1000</f>
        <v/>
      </c>
      <c r="M162" s="84">
        <f>IF(I162=0,"n.a.",H162/I162)</f>
        <v/>
      </c>
      <c r="N162" s="82">
        <f>IF(J162=0,"n.a.",I162*1000/J162)</f>
        <v/>
      </c>
      <c r="O162" s="82">
        <f>SUM(E162:H162)-I162</f>
        <v/>
      </c>
      <c r="P162" s="82">
        <f>RANK(I162,$I$7:$I$212,0)+COUNTIF($I$7:I162,I162)-1</f>
        <v/>
      </c>
      <c r="Q162" s="10" t="inlineStr">
        <is>
          <t>Leeds Trinity</t>
        </is>
      </c>
    </row>
    <row r="163" ht="46" customHeight="1">
      <c r="A163" s="10" t="inlineStr">
        <is>
          <t>10007150</t>
        </is>
      </c>
      <c r="B163" s="11" t="inlineStr">
        <is>
          <t>The University of Kent</t>
        </is>
      </c>
      <c r="C163" s="10" t="inlineStr">
        <is>
          <t>Additional UK sample</t>
        </is>
      </c>
      <c r="D163" s="10" t="inlineStr">
        <is>
          <t>2024/25</t>
        </is>
      </c>
      <c r="E163" s="82" t="n">
        <v>10</v>
      </c>
      <c r="F163" s="82" t="n">
        <v>1</v>
      </c>
      <c r="G163" s="82" t="n">
        <v>34</v>
      </c>
      <c r="H163" s="82" t="n">
        <v>143</v>
      </c>
      <c r="I163" s="82" t="n">
        <v>188</v>
      </c>
      <c r="J163" s="82" t="n">
        <v>2950</v>
      </c>
      <c r="K163" s="83">
        <f>I163/1000</f>
        <v/>
      </c>
      <c r="L163" s="83">
        <f>SUM(E163:G163)/1000</f>
        <v/>
      </c>
      <c r="M163" s="84">
        <f>IF(I163=0,"n.a.",H163/I163)</f>
        <v/>
      </c>
      <c r="N163" s="82">
        <f>IF(J163=0,"n.a.",I163*1000/J163)</f>
        <v/>
      </c>
      <c r="O163" s="82">
        <f>SUM(E163:H163)-I163</f>
        <v/>
      </c>
      <c r="P163" s="82">
        <f>RANK(I163,$I$7:$I$212,0)+COUNTIF($I$7:I163,I163)-1</f>
        <v/>
      </c>
      <c r="Q163" s="10" t="inlineStr">
        <is>
          <t>Kent</t>
        </is>
      </c>
    </row>
    <row r="164" ht="46" customHeight="1">
      <c r="A164" s="10" t="inlineStr">
        <is>
          <t>10067406</t>
        </is>
      </c>
      <c r="B164" s="11" t="inlineStr">
        <is>
          <t>New Model Institute for Technology and Engineering (NMITE)</t>
        </is>
      </c>
      <c r="C164" s="10" t="inlineStr">
        <is>
          <t>Other HE provider</t>
        </is>
      </c>
      <c r="D164" s="10" t="inlineStr">
        <is>
          <t>2024/25</t>
        </is>
      </c>
      <c r="E164" s="82" t="n">
        <v>123</v>
      </c>
      <c r="F164" s="82" t="n">
        <v>1</v>
      </c>
      <c r="G164" s="82" t="n">
        <v>50</v>
      </c>
      <c r="H164" s="82" t="n">
        <v>0</v>
      </c>
      <c r="I164" s="82" t="n">
        <v>174</v>
      </c>
      <c r="J164" s="82" t="n">
        <v>1190</v>
      </c>
      <c r="K164" s="83">
        <f>I164/1000</f>
        <v/>
      </c>
      <c r="L164" s="83">
        <f>SUM(E164:G164)/1000</f>
        <v/>
      </c>
      <c r="M164" s="84">
        <f>IF(I164=0,"n.a.",H164/I164)</f>
        <v/>
      </c>
      <c r="N164" s="82">
        <f>IF(J164=0,"n.a.",I164*1000/J164)</f>
        <v/>
      </c>
      <c r="O164" s="82">
        <f>SUM(E164:H164)-I164</f>
        <v/>
      </c>
      <c r="P164" s="82">
        <f>RANK(I164,$I$7:$I$212,0)+COUNTIF($I$7:I164,I164)-1</f>
        <v/>
      </c>
      <c r="Q164" s="10" t="inlineStr">
        <is>
          <t>New Model Institute for Technology and Engineering (NMITE)</t>
        </is>
      </c>
    </row>
    <row r="165" ht="46" customHeight="1">
      <c r="A165" s="10" t="inlineStr">
        <is>
          <t>10001264</t>
        </is>
      </c>
      <c r="B165" s="11" t="inlineStr">
        <is>
          <t>Central School of Ballet</t>
        </is>
      </c>
      <c r="C165" s="10" t="inlineStr">
        <is>
          <t>Other HE provider</t>
        </is>
      </c>
      <c r="D165" s="10" t="inlineStr">
        <is>
          <t>2024/25</t>
        </is>
      </c>
      <c r="E165" s="82" t="n">
        <v>0</v>
      </c>
      <c r="F165" s="82" t="n">
        <v>0</v>
      </c>
      <c r="G165" s="82" t="n">
        <v>0</v>
      </c>
      <c r="H165" s="82" t="n">
        <v>169</v>
      </c>
      <c r="I165" s="82" t="n">
        <v>169</v>
      </c>
      <c r="J165" s="82" t="n">
        <v>2834</v>
      </c>
      <c r="K165" s="83">
        <f>I165/1000</f>
        <v/>
      </c>
      <c r="L165" s="83">
        <f>SUM(E165:G165)/1000</f>
        <v/>
      </c>
      <c r="M165" s="84">
        <f>IF(I165=0,"n.a.",H165/I165)</f>
        <v/>
      </c>
      <c r="N165" s="82">
        <f>IF(J165=0,"n.a.",I165*1000/J165)</f>
        <v/>
      </c>
      <c r="O165" s="82">
        <f>SUM(E165:H165)-I165</f>
        <v/>
      </c>
      <c r="P165" s="82">
        <f>RANK(I165,$I$7:$I$212,0)+COUNTIF($I$7:I165,I165)-1</f>
        <v/>
      </c>
      <c r="Q165" s="10" t="inlineStr">
        <is>
          <t>Central School of Ballet</t>
        </is>
      </c>
    </row>
    <row r="166" ht="46" customHeight="1">
      <c r="A166" s="10" t="inlineStr">
        <is>
          <t>10003958</t>
        </is>
      </c>
      <c r="B166" s="11" t="inlineStr">
        <is>
          <t>Liverpool School of Tropical Medicine</t>
        </is>
      </c>
      <c r="C166" s="10" t="inlineStr">
        <is>
          <t>Other HE provider</t>
        </is>
      </c>
      <c r="D166" s="10" t="inlineStr">
        <is>
          <t>2024/25</t>
        </is>
      </c>
      <c r="E166" s="82" t="n">
        <v>2</v>
      </c>
      <c r="F166" s="82" t="n">
        <v>0</v>
      </c>
      <c r="G166" s="82" t="n">
        <v>97</v>
      </c>
      <c r="H166" s="82" t="n">
        <v>55</v>
      </c>
      <c r="I166" s="82" t="n">
        <v>154</v>
      </c>
      <c r="J166" s="82" t="n">
        <v>5638</v>
      </c>
      <c r="K166" s="83">
        <f>I166/1000</f>
        <v/>
      </c>
      <c r="L166" s="83">
        <f>SUM(E166:G166)/1000</f>
        <v/>
      </c>
      <c r="M166" s="84">
        <f>IF(I166=0,"n.a.",H166/I166)</f>
        <v/>
      </c>
      <c r="N166" s="82">
        <f>IF(J166=0,"n.a.",I166*1000/J166)</f>
        <v/>
      </c>
      <c r="O166" s="82">
        <f>SUM(E166:H166)-I166</f>
        <v/>
      </c>
      <c r="P166" s="82">
        <f>RANK(I166,$I$7:$I$212,0)+COUNTIF($I$7:I166,I166)-1</f>
        <v/>
      </c>
      <c r="Q166" s="10" t="inlineStr">
        <is>
          <t>Liverpool School of Tropical Medicine</t>
        </is>
      </c>
    </row>
    <row r="167" ht="46" customHeight="1">
      <c r="A167" s="10" t="inlineStr">
        <is>
          <t>10008173</t>
        </is>
      </c>
      <c r="B167" s="11" t="inlineStr">
        <is>
          <t>University of the Built Environment</t>
        </is>
      </c>
      <c r="C167" s="10" t="inlineStr">
        <is>
          <t>Other HE provider</t>
        </is>
      </c>
      <c r="D167" s="10" t="inlineStr">
        <is>
          <t>2024/25</t>
        </is>
      </c>
      <c r="E167" s="82" t="n">
        <v>34</v>
      </c>
      <c r="F167" s="82" t="n">
        <v>57</v>
      </c>
      <c r="G167" s="82" t="n">
        <v>31</v>
      </c>
      <c r="H167" s="82" t="n">
        <v>10</v>
      </c>
      <c r="I167" s="82" t="n">
        <v>132</v>
      </c>
      <c r="J167" s="82" t="n">
        <v>1063</v>
      </c>
      <c r="K167" s="83">
        <f>I167/1000</f>
        <v/>
      </c>
      <c r="L167" s="83">
        <f>SUM(E167:G167)/1000</f>
        <v/>
      </c>
      <c r="M167" s="84">
        <f>IF(I167=0,"n.a.",H167/I167)</f>
        <v/>
      </c>
      <c r="N167" s="82">
        <f>IF(J167=0,"n.a.",I167*1000/J167)</f>
        <v/>
      </c>
      <c r="O167" s="82">
        <f>SUM(E167:H167)-I167</f>
        <v/>
      </c>
      <c r="P167" s="82">
        <f>RANK(I167,$I$7:$I$212,0)+COUNTIF($I$7:I167,I167)-1</f>
        <v/>
      </c>
      <c r="Q167" s="10" t="inlineStr">
        <is>
          <t>the Built Environment</t>
        </is>
      </c>
    </row>
    <row r="168" ht="46" customHeight="1">
      <c r="A168" s="10" t="inlineStr">
        <is>
          <t>10021682</t>
        </is>
      </c>
      <c r="B168" s="11" t="inlineStr">
        <is>
          <t>Kaplan Open Learning (Essex) Limited</t>
        </is>
      </c>
      <c r="C168" s="10" t="inlineStr">
        <is>
          <t>Other HE provider</t>
        </is>
      </c>
      <c r="D168" s="10" t="inlineStr">
        <is>
          <t>2024/25</t>
        </is>
      </c>
      <c r="E168" s="82" t="n">
        <v>0</v>
      </c>
      <c r="F168" s="82" t="n">
        <v>0</v>
      </c>
      <c r="G168" s="82" t="n">
        <v>0</v>
      </c>
      <c r="H168" s="82" t="n">
        <v>127</v>
      </c>
      <c r="I168" s="82" t="n">
        <v>127</v>
      </c>
      <c r="J168" s="82" t="n">
        <v>1281</v>
      </c>
      <c r="K168" s="83">
        <f>I168/1000</f>
        <v/>
      </c>
      <c r="L168" s="83">
        <f>SUM(E168:G168)/1000</f>
        <v/>
      </c>
      <c r="M168" s="84">
        <f>IF(I168=0,"n.a.",H168/I168)</f>
        <v/>
      </c>
      <c r="N168" s="82">
        <f>IF(J168=0,"n.a.",I168*1000/J168)</f>
        <v/>
      </c>
      <c r="O168" s="82">
        <f>SUM(E168:H168)-I168</f>
        <v/>
      </c>
      <c r="P168" s="82">
        <f>RANK(I168,$I$7:$I$212,0)+COUNTIF($I$7:I168,I168)-1</f>
        <v/>
      </c>
      <c r="Q168" s="10" t="inlineStr">
        <is>
          <t>Kaplan Open Learning (Essex) Limited</t>
        </is>
      </c>
    </row>
    <row r="169" ht="46" customHeight="1">
      <c r="A169" s="10" t="inlineStr">
        <is>
          <t>10008010</t>
        </is>
      </c>
      <c r="B169" s="11" t="inlineStr">
        <is>
          <t>Stranmillis University College</t>
        </is>
      </c>
      <c r="C169" s="10" t="inlineStr">
        <is>
          <t>Other HE provider</t>
        </is>
      </c>
      <c r="D169" s="10" t="inlineStr">
        <is>
          <t>2024/25</t>
        </is>
      </c>
      <c r="E169" s="82" t="n">
        <v>0</v>
      </c>
      <c r="F169" s="82" t="n">
        <v>0</v>
      </c>
      <c r="G169" s="82" t="n">
        <v>90</v>
      </c>
      <c r="H169" s="82" t="n">
        <v>34</v>
      </c>
      <c r="I169" s="82" t="n">
        <v>124</v>
      </c>
      <c r="J169" s="82" t="n">
        <v>0</v>
      </c>
      <c r="K169" s="83">
        <f>I169/1000</f>
        <v/>
      </c>
      <c r="L169" s="83">
        <f>SUM(E169:G169)/1000</f>
        <v/>
      </c>
      <c r="M169" s="84">
        <f>IF(I169=0,"n.a.",H169/I169)</f>
        <v/>
      </c>
      <c r="N169" s="82">
        <f>IF(J169=0,"n.a.",I169*1000/J169)</f>
        <v/>
      </c>
      <c r="O169" s="82">
        <f>SUM(E169:H169)-I169</f>
        <v/>
      </c>
      <c r="P169" s="82">
        <f>RANK(I169,$I$7:$I$212,0)+COUNTIF($I$7:I169,I169)-1</f>
        <v/>
      </c>
      <c r="Q169" s="10" t="inlineStr">
        <is>
          <t>Stranmillis University College</t>
        </is>
      </c>
    </row>
    <row r="170" ht="46" customHeight="1">
      <c r="A170" s="10" t="inlineStr">
        <is>
          <t>10003324</t>
        </is>
      </c>
      <c r="B170" s="11" t="inlineStr">
        <is>
          <t>The Institute of Cancer Research</t>
        </is>
      </c>
      <c r="C170" s="10" t="inlineStr">
        <is>
          <t>Other HE provider</t>
        </is>
      </c>
      <c r="D170" s="10" t="inlineStr">
        <is>
          <t>2024/25</t>
        </is>
      </c>
      <c r="E170" s="82" t="n">
        <v>5</v>
      </c>
      <c r="F170" s="82" t="n">
        <v>6</v>
      </c>
      <c r="G170" s="82" t="n">
        <v>64</v>
      </c>
      <c r="H170" s="82" t="n">
        <v>49</v>
      </c>
      <c r="I170" s="82" t="n">
        <v>124</v>
      </c>
      <c r="J170" s="82" t="n">
        <v>1509</v>
      </c>
      <c r="K170" s="83">
        <f>I170/1000</f>
        <v/>
      </c>
      <c r="L170" s="83">
        <f>SUM(E170:G170)/1000</f>
        <v/>
      </c>
      <c r="M170" s="84">
        <f>IF(I170=0,"n.a.",H170/I170)</f>
        <v/>
      </c>
      <c r="N170" s="82">
        <f>IF(J170=0,"n.a.",I170*1000/J170)</f>
        <v/>
      </c>
      <c r="O170" s="82">
        <f>SUM(E170:H170)-I170</f>
        <v/>
      </c>
      <c r="P170" s="82">
        <f>RANK(I170,$I$7:$I$212,0)+COUNTIF($I$7:I170,I170)-1</f>
        <v/>
      </c>
      <c r="Q170" s="10" t="inlineStr">
        <is>
          <t>The Institute of Cancer Research</t>
        </is>
      </c>
    </row>
    <row r="171" ht="46" customHeight="1">
      <c r="A171" s="10" t="inlineStr">
        <is>
          <t>10005545</t>
        </is>
      </c>
      <c r="B171" s="11" t="inlineStr">
        <is>
          <t>Royal Agricultural University</t>
        </is>
      </c>
      <c r="C171" s="10" t="inlineStr">
        <is>
          <t>Other HE provider</t>
        </is>
      </c>
      <c r="D171" s="10" t="inlineStr">
        <is>
          <t>2024/25</t>
        </is>
      </c>
      <c r="E171" s="82" t="n">
        <v>5</v>
      </c>
      <c r="F171" s="82" t="n">
        <v>64</v>
      </c>
      <c r="G171" s="82" t="n">
        <v>22</v>
      </c>
      <c r="H171" s="82" t="n">
        <v>3</v>
      </c>
      <c r="I171" s="82" t="n">
        <v>94</v>
      </c>
      <c r="J171" s="82" t="n">
        <v>445</v>
      </c>
      <c r="K171" s="83">
        <f>I171/1000</f>
        <v/>
      </c>
      <c r="L171" s="83">
        <f>SUM(E171:G171)/1000</f>
        <v/>
      </c>
      <c r="M171" s="84">
        <f>IF(I171=0,"n.a.",H171/I171)</f>
        <v/>
      </c>
      <c r="N171" s="82">
        <f>IF(J171=0,"n.a.",I171*1000/J171)</f>
        <v/>
      </c>
      <c r="O171" s="82">
        <f>SUM(E171:H171)-I171</f>
        <v/>
      </c>
      <c r="P171" s="82">
        <f>RANK(I171,$I$7:$I$212,0)+COUNTIF($I$7:I171,I171)-1</f>
        <v/>
      </c>
      <c r="Q171" s="10" t="inlineStr">
        <is>
          <t>Royal Agricultural</t>
        </is>
      </c>
    </row>
    <row r="172" ht="46" customHeight="1">
      <c r="A172" s="10" t="inlineStr">
        <is>
          <t>10032295</t>
        </is>
      </c>
      <c r="B172" s="11" t="inlineStr">
        <is>
          <t>Emmanuel Theological College</t>
        </is>
      </c>
      <c r="C172" s="10" t="inlineStr">
        <is>
          <t>Other HE provider</t>
        </is>
      </c>
      <c r="D172" s="10" t="inlineStr">
        <is>
          <t>2024/25</t>
        </is>
      </c>
      <c r="E172" s="82" t="n">
        <v>0</v>
      </c>
      <c r="F172" s="82" t="n">
        <v>0</v>
      </c>
      <c r="G172" s="82" t="n">
        <v>84</v>
      </c>
      <c r="H172" s="82" t="n">
        <v>0</v>
      </c>
      <c r="I172" s="82" t="n">
        <v>84</v>
      </c>
      <c r="J172" s="82" t="n">
        <v>232</v>
      </c>
      <c r="K172" s="83">
        <f>I172/1000</f>
        <v/>
      </c>
      <c r="L172" s="83">
        <f>SUM(E172:G172)/1000</f>
        <v/>
      </c>
      <c r="M172" s="84">
        <f>IF(I172=0,"n.a.",H172/I172)</f>
        <v/>
      </c>
      <c r="N172" s="82">
        <f>IF(J172=0,"n.a.",I172*1000/J172)</f>
        <v/>
      </c>
      <c r="O172" s="82">
        <f>SUM(E172:H172)-I172</f>
        <v/>
      </c>
      <c r="P172" s="82">
        <f>RANK(I172,$I$7:$I$212,0)+COUNTIF($I$7:I172,I172)-1</f>
        <v/>
      </c>
      <c r="Q172" s="10" t="inlineStr">
        <is>
          <t>Emmanuel Theological College</t>
        </is>
      </c>
    </row>
    <row r="173" ht="46" customHeight="1">
      <c r="A173" s="10" t="inlineStr">
        <is>
          <t>10062810</t>
        </is>
      </c>
      <c r="B173" s="11" t="inlineStr">
        <is>
          <t>The London School of Architecture</t>
        </is>
      </c>
      <c r="C173" s="10" t="inlineStr">
        <is>
          <t>Other HE provider</t>
        </is>
      </c>
      <c r="D173" s="10" t="inlineStr">
        <is>
          <t>2024/25</t>
        </is>
      </c>
      <c r="E173" s="82" t="n">
        <v>37</v>
      </c>
      <c r="F173" s="82" t="n">
        <v>17</v>
      </c>
      <c r="G173" s="82" t="n">
        <v>3</v>
      </c>
      <c r="H173" s="82" t="n">
        <v>2</v>
      </c>
      <c r="I173" s="82" t="n">
        <v>59</v>
      </c>
      <c r="J173" s="82" t="n">
        <v>188</v>
      </c>
      <c r="K173" s="83">
        <f>I173/1000</f>
        <v/>
      </c>
      <c r="L173" s="83">
        <f>SUM(E173:G173)/1000</f>
        <v/>
      </c>
      <c r="M173" s="84">
        <f>IF(I173=0,"n.a.",H173/I173)</f>
        <v/>
      </c>
      <c r="N173" s="82">
        <f>IF(J173=0,"n.a.",I173*1000/J173)</f>
        <v/>
      </c>
      <c r="O173" s="82">
        <f>SUM(E173:H173)-I173</f>
        <v/>
      </c>
      <c r="P173" s="82">
        <f>RANK(I173,$I$7:$I$212,0)+COUNTIF($I$7:I173,I173)-1</f>
        <v/>
      </c>
      <c r="Q173" s="10" t="inlineStr">
        <is>
          <t>The London School of Architecture</t>
        </is>
      </c>
    </row>
    <row r="174" ht="46" customHeight="1">
      <c r="A174" s="10" t="inlineStr">
        <is>
          <t>10007912</t>
        </is>
      </c>
      <c r="B174" s="11" t="inlineStr">
        <is>
          <t>Cliff College</t>
        </is>
      </c>
      <c r="C174" s="10" t="inlineStr">
        <is>
          <t>Other HE provider</t>
        </is>
      </c>
      <c r="D174" s="10" t="inlineStr">
        <is>
          <t>2024/25</t>
        </is>
      </c>
      <c r="E174" s="82" t="n">
        <v>0</v>
      </c>
      <c r="F174" s="82" t="n">
        <v>0</v>
      </c>
      <c r="G174" s="82" t="n">
        <v>0</v>
      </c>
      <c r="H174" s="82" t="n">
        <v>58</v>
      </c>
      <c r="I174" s="82" t="n">
        <v>58</v>
      </c>
      <c r="J174" s="82" t="n">
        <v>242</v>
      </c>
      <c r="K174" s="83">
        <f>I174/1000</f>
        <v/>
      </c>
      <c r="L174" s="83">
        <f>SUM(E174:G174)/1000</f>
        <v/>
      </c>
      <c r="M174" s="84">
        <f>IF(I174=0,"n.a.",H174/I174)</f>
        <v/>
      </c>
      <c r="N174" s="82">
        <f>IF(J174=0,"n.a.",I174*1000/J174)</f>
        <v/>
      </c>
      <c r="O174" s="82">
        <f>SUM(E174:H174)-I174</f>
        <v/>
      </c>
      <c r="P174" s="82">
        <f>RANK(I174,$I$7:$I$212,0)+COUNTIF($I$7:I174,I174)-1</f>
        <v/>
      </c>
      <c r="Q174" s="10" t="inlineStr">
        <is>
          <t>Cliff College</t>
        </is>
      </c>
    </row>
    <row r="175" ht="46" customHeight="1">
      <c r="A175" s="10" t="inlineStr">
        <is>
          <t>10008640</t>
        </is>
      </c>
      <c r="B175" s="11" t="inlineStr">
        <is>
          <t>Falmouth University</t>
        </is>
      </c>
      <c r="C175" s="10" t="inlineStr">
        <is>
          <t>Other HE provider</t>
        </is>
      </c>
      <c r="D175" s="10" t="inlineStr">
        <is>
          <t>2024/25</t>
        </is>
      </c>
      <c r="E175" s="82" t="n">
        <v>1</v>
      </c>
      <c r="F175" s="82" t="n">
        <v>0</v>
      </c>
      <c r="G175" s="82" t="n">
        <v>0</v>
      </c>
      <c r="H175" s="82" t="n">
        <v>53</v>
      </c>
      <c r="I175" s="82" t="n">
        <v>54</v>
      </c>
      <c r="J175" s="82" t="n">
        <v>1205</v>
      </c>
      <c r="K175" s="83">
        <f>I175/1000</f>
        <v/>
      </c>
      <c r="L175" s="83">
        <f>SUM(E175:G175)/1000</f>
        <v/>
      </c>
      <c r="M175" s="84">
        <f>IF(I175=0,"n.a.",H175/I175)</f>
        <v/>
      </c>
      <c r="N175" s="82">
        <f>IF(J175=0,"n.a.",I175*1000/J175)</f>
        <v/>
      </c>
      <c r="O175" s="82">
        <f>SUM(E175:H175)-I175</f>
        <v/>
      </c>
      <c r="P175" s="82">
        <f>RANK(I175,$I$7:$I$212,0)+COUNTIF($I$7:I175,I175)-1</f>
        <v/>
      </c>
      <c r="Q175" s="10" t="inlineStr">
        <is>
          <t>Falmouth</t>
        </is>
      </c>
    </row>
    <row r="176" ht="46" customHeight="1">
      <c r="A176" s="10" t="inlineStr">
        <is>
          <t>10037544</t>
        </is>
      </c>
      <c r="B176" s="11" t="inlineStr">
        <is>
          <t>BIMM University</t>
        </is>
      </c>
      <c r="C176" s="10" t="inlineStr">
        <is>
          <t>Other HE provider</t>
        </is>
      </c>
      <c r="D176" s="10" t="inlineStr">
        <is>
          <t>2024/25</t>
        </is>
      </c>
      <c r="E176" s="82" t="n">
        <v>0</v>
      </c>
      <c r="F176" s="82" t="n">
        <v>0</v>
      </c>
      <c r="G176" s="82" t="n">
        <v>0</v>
      </c>
      <c r="H176" s="82" t="n">
        <v>52</v>
      </c>
      <c r="I176" s="82" t="n">
        <v>52</v>
      </c>
      <c r="J176" s="82" t="n">
        <v>523</v>
      </c>
      <c r="K176" s="83">
        <f>I176/1000</f>
        <v/>
      </c>
      <c r="L176" s="83">
        <f>SUM(E176:G176)/1000</f>
        <v/>
      </c>
      <c r="M176" s="84">
        <f>IF(I176=0,"n.a.",H176/I176)</f>
        <v/>
      </c>
      <c r="N176" s="82">
        <f>IF(J176=0,"n.a.",I176*1000/J176)</f>
        <v/>
      </c>
      <c r="O176" s="82">
        <f>SUM(E176:H176)-I176</f>
        <v/>
      </c>
      <c r="P176" s="82">
        <f>RANK(I176,$I$7:$I$212,0)+COUNTIF($I$7:I176,I176)-1</f>
        <v/>
      </c>
      <c r="Q176" s="10" t="inlineStr">
        <is>
          <t>BIMM</t>
        </is>
      </c>
    </row>
    <row r="177" ht="46" customHeight="1">
      <c r="A177" s="10" t="inlineStr">
        <is>
          <t>10007835</t>
        </is>
      </c>
      <c r="B177" s="11" t="inlineStr">
        <is>
          <t>Royal Academy of Music</t>
        </is>
      </c>
      <c r="C177" s="10" t="inlineStr">
        <is>
          <t>Other HE provider</t>
        </is>
      </c>
      <c r="D177" s="10" t="inlineStr">
        <is>
          <t>2024/25</t>
        </is>
      </c>
      <c r="E177" s="82" t="n">
        <v>0</v>
      </c>
      <c r="F177" s="82" t="n">
        <v>0</v>
      </c>
      <c r="G177" s="82" t="n">
        <v>0</v>
      </c>
      <c r="H177" s="82" t="n">
        <v>48</v>
      </c>
      <c r="I177" s="82" t="n">
        <v>48</v>
      </c>
      <c r="J177" s="82" t="n">
        <v>115</v>
      </c>
      <c r="K177" s="83">
        <f>I177/1000</f>
        <v/>
      </c>
      <c r="L177" s="83">
        <f>SUM(E177:G177)/1000</f>
        <v/>
      </c>
      <c r="M177" s="84">
        <f>IF(I177=0,"n.a.",H177/I177)</f>
        <v/>
      </c>
      <c r="N177" s="82">
        <f>IF(J177=0,"n.a.",I177*1000/J177)</f>
        <v/>
      </c>
      <c r="O177" s="82">
        <f>SUM(E177:H177)-I177</f>
        <v/>
      </c>
      <c r="P177" s="82">
        <f>RANK(I177,$I$7:$I$212,0)+COUNTIF($I$7:I177,I177)-1</f>
        <v/>
      </c>
      <c r="Q177" s="10" t="inlineStr">
        <is>
          <t>Royal Academy of Music</t>
        </is>
      </c>
    </row>
    <row r="178" ht="46" customHeight="1">
      <c r="A178" s="10" t="inlineStr">
        <is>
          <t>10009612</t>
        </is>
      </c>
      <c r="B178" s="11" t="inlineStr">
        <is>
          <t>Luther King House Educational Trust</t>
        </is>
      </c>
      <c r="C178" s="10" t="inlineStr">
        <is>
          <t>Other HE provider</t>
        </is>
      </c>
      <c r="D178" s="10" t="inlineStr">
        <is>
          <t>2024/25</t>
        </is>
      </c>
      <c r="E178" s="82" t="n">
        <v>0</v>
      </c>
      <c r="F178" s="82" t="n">
        <v>0</v>
      </c>
      <c r="G178" s="82" t="n">
        <v>17</v>
      </c>
      <c r="H178" s="82" t="n">
        <v>18</v>
      </c>
      <c r="I178" s="82" t="n">
        <v>35</v>
      </c>
      <c r="J178" s="82" t="n">
        <v>232</v>
      </c>
      <c r="K178" s="83">
        <f>I178/1000</f>
        <v/>
      </c>
      <c r="L178" s="83">
        <f>SUM(E178:G178)/1000</f>
        <v/>
      </c>
      <c r="M178" s="84">
        <f>IF(I178=0,"n.a.",H178/I178)</f>
        <v/>
      </c>
      <c r="N178" s="82">
        <f>IF(J178=0,"n.a.",I178*1000/J178)</f>
        <v/>
      </c>
      <c r="O178" s="82">
        <f>SUM(E178:H178)-I178</f>
        <v/>
      </c>
      <c r="P178" s="82">
        <f>RANK(I178,$I$7:$I$212,0)+COUNTIF($I$7:I178,I178)-1</f>
        <v/>
      </c>
      <c r="Q178" s="10" t="inlineStr">
        <is>
          <t>Luther King House Educational Trust</t>
        </is>
      </c>
    </row>
    <row r="179" ht="46" customHeight="1">
      <c r="A179" s="10" t="inlineStr">
        <is>
          <t>10007849</t>
        </is>
      </c>
      <c r="B179" s="11" t="inlineStr">
        <is>
          <t>Abertay University</t>
        </is>
      </c>
      <c r="C179" s="10" t="inlineStr">
        <is>
          <t>Other HE provider</t>
        </is>
      </c>
      <c r="D179" s="10" t="inlineStr">
        <is>
          <t>2024/25</t>
        </is>
      </c>
      <c r="E179" s="82" t="n">
        <v>0</v>
      </c>
      <c r="F179" s="82" t="n">
        <v>0</v>
      </c>
      <c r="G179" s="82" t="n">
        <v>0</v>
      </c>
      <c r="H179" s="82" t="n">
        <v>27</v>
      </c>
      <c r="I179" s="82" t="n">
        <v>27</v>
      </c>
      <c r="J179" s="82" t="n">
        <v>0</v>
      </c>
      <c r="K179" s="83">
        <f>I179/1000</f>
        <v/>
      </c>
      <c r="L179" s="83">
        <f>SUM(E179:G179)/1000</f>
        <v/>
      </c>
      <c r="M179" s="84">
        <f>IF(I179=0,"n.a.",H179/I179)</f>
        <v/>
      </c>
      <c r="N179" s="82">
        <f>IF(J179=0,"n.a.",I179*1000/J179)</f>
        <v/>
      </c>
      <c r="O179" s="82">
        <f>SUM(E179:H179)-I179</f>
        <v/>
      </c>
      <c r="P179" s="82">
        <f>RANK(I179,$I$7:$I$212,0)+COUNTIF($I$7:I179,I179)-1</f>
        <v/>
      </c>
      <c r="Q179" s="10" t="inlineStr">
        <is>
          <t>Abertay</t>
        </is>
      </c>
    </row>
    <row r="180" ht="46" customHeight="1">
      <c r="A180" s="10" t="inlineStr">
        <is>
          <t>10004028</t>
        </is>
      </c>
      <c r="B180" s="11" t="inlineStr">
        <is>
          <t>The Place, London Contemporary Dance School (LCDS)</t>
        </is>
      </c>
      <c r="C180" s="10" t="inlineStr">
        <is>
          <t>Other HE provider</t>
        </is>
      </c>
      <c r="D180" s="10" t="inlineStr">
        <is>
          <t>2024/25</t>
        </is>
      </c>
      <c r="E180" s="82" t="n">
        <v>0</v>
      </c>
      <c r="F180" s="82" t="n">
        <v>0</v>
      </c>
      <c r="G180" s="82" t="n">
        <v>0</v>
      </c>
      <c r="H180" s="82" t="n">
        <v>20</v>
      </c>
      <c r="I180" s="82" t="n">
        <v>20</v>
      </c>
      <c r="J180" s="82" t="n">
        <v>472</v>
      </c>
      <c r="K180" s="83">
        <f>I180/1000</f>
        <v/>
      </c>
      <c r="L180" s="83">
        <f>SUM(E180:G180)/1000</f>
        <v/>
      </c>
      <c r="M180" s="84">
        <f>IF(I180=0,"n.a.",H180/I180)</f>
        <v/>
      </c>
      <c r="N180" s="82">
        <f>IF(J180=0,"n.a.",I180*1000/J180)</f>
        <v/>
      </c>
      <c r="O180" s="82">
        <f>SUM(E180:H180)-I180</f>
        <v/>
      </c>
      <c r="P180" s="82">
        <f>RANK(I180,$I$7:$I$212,0)+COUNTIF($I$7:I180,I180)-1</f>
        <v/>
      </c>
      <c r="Q180" s="10" t="inlineStr">
        <is>
          <t>The Place, London Contemporary Dance School (LCDS)</t>
        </is>
      </c>
    </row>
    <row r="181" ht="46" customHeight="1">
      <c r="A181" s="10" t="inlineStr">
        <is>
          <t>10000712</t>
        </is>
      </c>
      <c r="B181" s="11" t="inlineStr">
        <is>
          <t>University College Birmingham</t>
        </is>
      </c>
      <c r="C181" s="10" t="inlineStr">
        <is>
          <t>Other HE provider</t>
        </is>
      </c>
      <c r="D181" s="10" t="inlineStr">
        <is>
          <t>2024/25</t>
        </is>
      </c>
      <c r="E181" s="82" t="n">
        <v>0</v>
      </c>
      <c r="F181" s="82" t="n">
        <v>0</v>
      </c>
      <c r="G181" s="82" t="n">
        <v>0</v>
      </c>
      <c r="H181" s="82" t="n">
        <v>17</v>
      </c>
      <c r="I181" s="82" t="n">
        <v>17</v>
      </c>
      <c r="J181" s="82" t="n">
        <v>219</v>
      </c>
      <c r="K181" s="83">
        <f>I181/1000</f>
        <v/>
      </c>
      <c r="L181" s="83">
        <f>SUM(E181:G181)/1000</f>
        <v/>
      </c>
      <c r="M181" s="84">
        <f>IF(I181=0,"n.a.",H181/I181)</f>
        <v/>
      </c>
      <c r="N181" s="82">
        <f>IF(J181=0,"n.a.",I181*1000/J181)</f>
        <v/>
      </c>
      <c r="O181" s="82">
        <f>SUM(E181:H181)-I181</f>
        <v/>
      </c>
      <c r="P181" s="82">
        <f>RANK(I181,$I$7:$I$212,0)+COUNTIF($I$7:I181,I181)-1</f>
        <v/>
      </c>
      <c r="Q181" s="10" t="inlineStr">
        <is>
          <t>University College Birmingham</t>
        </is>
      </c>
    </row>
    <row r="182" ht="46" customHeight="1">
      <c r="A182" s="10" t="inlineStr">
        <is>
          <t>10032282</t>
        </is>
      </c>
      <c r="B182" s="11" t="inlineStr">
        <is>
          <t>The Queen's Foundation for Ecumenical Theological Education</t>
        </is>
      </c>
      <c r="C182" s="10" t="inlineStr">
        <is>
          <t>Other HE provider</t>
        </is>
      </c>
      <c r="D182" s="10" t="inlineStr">
        <is>
          <t>2024/25</t>
        </is>
      </c>
      <c r="E182" s="82" t="n">
        <v>0</v>
      </c>
      <c r="F182" s="82" t="n">
        <v>0</v>
      </c>
      <c r="G182" s="82" t="n">
        <v>0</v>
      </c>
      <c r="H182" s="82" t="n">
        <v>15</v>
      </c>
      <c r="I182" s="82" t="n">
        <v>15</v>
      </c>
      <c r="J182" s="82" t="n">
        <v>318</v>
      </c>
      <c r="K182" s="83">
        <f>I182/1000</f>
        <v/>
      </c>
      <c r="L182" s="83">
        <f>SUM(E182:G182)/1000</f>
        <v/>
      </c>
      <c r="M182" s="84">
        <f>IF(I182=0,"n.a.",H182/I182)</f>
        <v/>
      </c>
      <c r="N182" s="82">
        <f>IF(J182=0,"n.a.",I182*1000/J182)</f>
        <v/>
      </c>
      <c r="O182" s="82">
        <f>SUM(E182:H182)-I182</f>
        <v/>
      </c>
      <c r="P182" s="82">
        <f>RANK(I182,$I$7:$I$212,0)+COUNTIF($I$7:I182,I182)-1</f>
        <v/>
      </c>
      <c r="Q182" s="10" t="inlineStr">
        <is>
          <t>The Queen's Foundation for Ecumenical Theological Education</t>
        </is>
      </c>
    </row>
    <row r="183" ht="46" customHeight="1">
      <c r="A183" s="10" t="inlineStr">
        <is>
          <t>10066502</t>
        </is>
      </c>
      <c r="B183" s="11" t="inlineStr">
        <is>
          <t>The College of Health Ltd</t>
        </is>
      </c>
      <c r="C183" s="10" t="inlineStr">
        <is>
          <t>Other HE provider</t>
        </is>
      </c>
      <c r="D183" s="10" t="inlineStr">
        <is>
          <t>2024/25</t>
        </is>
      </c>
      <c r="E183" s="82" t="n">
        <v>0</v>
      </c>
      <c r="F183" s="82" t="n">
        <v>0</v>
      </c>
      <c r="G183" s="82" t="n">
        <v>0</v>
      </c>
      <c r="H183" s="82" t="n">
        <v>14</v>
      </c>
      <c r="I183" s="82" t="n">
        <v>14</v>
      </c>
      <c r="J183" s="82" t="n">
        <v>14</v>
      </c>
      <c r="K183" s="83">
        <f>I183/1000</f>
        <v/>
      </c>
      <c r="L183" s="83">
        <f>SUM(E183:G183)/1000</f>
        <v/>
      </c>
      <c r="M183" s="84">
        <f>IF(I183=0,"n.a.",H183/I183)</f>
        <v/>
      </c>
      <c r="N183" s="82">
        <f>IF(J183=0,"n.a.",I183*1000/J183)</f>
        <v/>
      </c>
      <c r="O183" s="82">
        <f>SUM(E183:H183)-I183</f>
        <v/>
      </c>
      <c r="P183" s="82">
        <f>RANK(I183,$I$7:$I$212,0)+COUNTIF($I$7:I183,I183)-1</f>
        <v/>
      </c>
      <c r="Q183" s="10" t="inlineStr">
        <is>
          <t>The College of Health Ltd</t>
        </is>
      </c>
    </row>
    <row r="184" ht="46" customHeight="1">
      <c r="A184" s="10" t="inlineStr">
        <is>
          <t>10067648</t>
        </is>
      </c>
      <c r="B184" s="11" t="inlineStr">
        <is>
          <t>University Academy 92 Limited</t>
        </is>
      </c>
      <c r="C184" s="10" t="inlineStr">
        <is>
          <t>Other HE provider</t>
        </is>
      </c>
      <c r="D184" s="10" t="inlineStr">
        <is>
          <t>2024/25</t>
        </is>
      </c>
      <c r="E184" s="82" t="n">
        <v>7</v>
      </c>
      <c r="F184" s="82" t="n">
        <v>5</v>
      </c>
      <c r="G184" s="82" t="n">
        <v>0</v>
      </c>
      <c r="H184" s="82" t="n">
        <v>0</v>
      </c>
      <c r="I184" s="82" t="n">
        <v>12</v>
      </c>
      <c r="J184" s="82" t="n">
        <v>101</v>
      </c>
      <c r="K184" s="83">
        <f>I184/1000</f>
        <v/>
      </c>
      <c r="L184" s="83">
        <f>SUM(E184:G184)/1000</f>
        <v/>
      </c>
      <c r="M184" s="84">
        <f>IF(I184=0,"n.a.",H184/I184)</f>
        <v/>
      </c>
      <c r="N184" s="82">
        <f>IF(J184=0,"n.a.",I184*1000/J184)</f>
        <v/>
      </c>
      <c r="O184" s="82">
        <f>SUM(E184:H184)-I184</f>
        <v/>
      </c>
      <c r="P184" s="82">
        <f>RANK(I184,$I$7:$I$212,0)+COUNTIF($I$7:I184,I184)-1</f>
        <v/>
      </c>
      <c r="Q184" s="10" t="inlineStr">
        <is>
          <t>University Academy 92 Limited</t>
        </is>
      </c>
    </row>
    <row r="185" ht="46" customHeight="1">
      <c r="A185" s="10" t="inlineStr">
        <is>
          <t>10001386</t>
        </is>
      </c>
      <c r="B185" s="11" t="inlineStr">
        <is>
          <t>Chicken Shed Theatre Company</t>
        </is>
      </c>
      <c r="C185" s="10" t="inlineStr">
        <is>
          <t>Other HE provider</t>
        </is>
      </c>
      <c r="D185" s="10" t="inlineStr">
        <is>
          <t>2024/25</t>
        </is>
      </c>
      <c r="E185" s="82" t="n">
        <v>7</v>
      </c>
      <c r="F185" s="82" t="n">
        <v>0</v>
      </c>
      <c r="G185" s="82" t="n">
        <v>0</v>
      </c>
      <c r="H185" s="82" t="n">
        <v>0</v>
      </c>
      <c r="I185" s="82" t="n">
        <v>7</v>
      </c>
      <c r="J185" s="82" t="n">
        <v>37</v>
      </c>
      <c r="K185" s="83">
        <f>I185/1000</f>
        <v/>
      </c>
      <c r="L185" s="83">
        <f>SUM(E185:G185)/1000</f>
        <v/>
      </c>
      <c r="M185" s="84">
        <f>IF(I185=0,"n.a.",H185/I185)</f>
        <v/>
      </c>
      <c r="N185" s="82">
        <f>IF(J185=0,"n.a.",I185*1000/J185)</f>
        <v/>
      </c>
      <c r="O185" s="82">
        <f>SUM(E185:H185)-I185</f>
        <v/>
      </c>
      <c r="P185" s="82">
        <f>RANK(I185,$I$7:$I$212,0)+COUNTIF($I$7:I185,I185)-1</f>
        <v/>
      </c>
      <c r="Q185" s="10" t="inlineStr">
        <is>
          <t>Chicken Shed Theatre Company</t>
        </is>
      </c>
    </row>
    <row r="186" ht="46" customHeight="1">
      <c r="A186" s="10" t="inlineStr">
        <is>
          <t>10007361</t>
        </is>
      </c>
      <c r="B186" s="11" t="inlineStr">
        <is>
          <t>Waverley Abbey College</t>
        </is>
      </c>
      <c r="C186" s="10" t="inlineStr">
        <is>
          <t>Other HE provider</t>
        </is>
      </c>
      <c r="D186" s="10" t="inlineStr">
        <is>
          <t>2024/25</t>
        </is>
      </c>
      <c r="E186" s="82" t="n">
        <v>0</v>
      </c>
      <c r="F186" s="82" t="n">
        <v>0</v>
      </c>
      <c r="G186" s="82" t="n">
        <v>0</v>
      </c>
      <c r="H186" s="82" t="n">
        <v>7</v>
      </c>
      <c r="I186" s="82" t="n">
        <v>7</v>
      </c>
      <c r="J186" s="82" t="n">
        <v>57</v>
      </c>
      <c r="K186" s="83">
        <f>I186/1000</f>
        <v/>
      </c>
      <c r="L186" s="83">
        <f>SUM(E186:G186)/1000</f>
        <v/>
      </c>
      <c r="M186" s="84">
        <f>IF(I186=0,"n.a.",H186/I186)</f>
        <v/>
      </c>
      <c r="N186" s="82">
        <f>IF(J186=0,"n.a.",I186*1000/J186)</f>
        <v/>
      </c>
      <c r="O186" s="82">
        <f>SUM(E186:H186)-I186</f>
        <v/>
      </c>
      <c r="P186" s="82">
        <f>RANK(I186,$I$7:$I$212,0)+COUNTIF($I$7:I186,I186)-1</f>
        <v/>
      </c>
      <c r="Q186" s="10" t="inlineStr">
        <is>
          <t>Waverley Abbey College</t>
        </is>
      </c>
    </row>
    <row r="187" ht="46" customHeight="1">
      <c r="A187" s="10" t="inlineStr">
        <is>
          <t>10005127</t>
        </is>
      </c>
      <c r="B187" s="11" t="inlineStr">
        <is>
          <t>Arts University Plymouth</t>
        </is>
      </c>
      <c r="C187" s="10" t="inlineStr">
        <is>
          <t>Other HE provider</t>
        </is>
      </c>
      <c r="D187" s="10" t="inlineStr">
        <is>
          <t>2024/25</t>
        </is>
      </c>
      <c r="E187" s="82" t="n">
        <v>4</v>
      </c>
      <c r="F187" s="82" t="n">
        <v>1</v>
      </c>
      <c r="G187" s="82" t="n">
        <v>0</v>
      </c>
      <c r="H187" s="82" t="n">
        <v>0</v>
      </c>
      <c r="I187" s="82" t="n">
        <v>5</v>
      </c>
      <c r="J187" s="82" t="n">
        <v>24</v>
      </c>
      <c r="K187" s="83">
        <f>I187/1000</f>
        <v/>
      </c>
      <c r="L187" s="83">
        <f>SUM(E187:G187)/1000</f>
        <v/>
      </c>
      <c r="M187" s="84">
        <f>IF(I187=0,"n.a.",H187/I187)</f>
        <v/>
      </c>
      <c r="N187" s="82">
        <f>IF(J187=0,"n.a.",I187*1000/J187)</f>
        <v/>
      </c>
      <c r="O187" s="82">
        <f>SUM(E187:H187)-I187</f>
        <v/>
      </c>
      <c r="P187" s="82">
        <f>RANK(I187,$I$7:$I$212,0)+COUNTIF($I$7:I187,I187)-1</f>
        <v/>
      </c>
      <c r="Q187" s="10" t="inlineStr">
        <is>
          <t>Arts University Plymouth</t>
        </is>
      </c>
    </row>
    <row r="188" ht="46" customHeight="1">
      <c r="A188" s="10" t="inlineStr">
        <is>
          <t>10004320</t>
        </is>
      </c>
      <c r="B188" s="11" t="inlineStr">
        <is>
          <t>The Metanoia Institute</t>
        </is>
      </c>
      <c r="C188" s="10" t="inlineStr">
        <is>
          <t>Other HE provider</t>
        </is>
      </c>
      <c r="D188" s="10" t="inlineStr">
        <is>
          <t>2024/25</t>
        </is>
      </c>
      <c r="E188" s="82" t="n">
        <v>0</v>
      </c>
      <c r="F188" s="82" t="n">
        <v>0</v>
      </c>
      <c r="G188" s="82" t="n">
        <v>0</v>
      </c>
      <c r="H188" s="82" t="n">
        <v>5</v>
      </c>
      <c r="I188" s="82" t="n">
        <v>5</v>
      </c>
      <c r="J188" s="82" t="n">
        <v>7</v>
      </c>
      <c r="K188" s="83">
        <f>I188/1000</f>
        <v/>
      </c>
      <c r="L188" s="83">
        <f>SUM(E188:G188)/1000</f>
        <v/>
      </c>
      <c r="M188" s="84">
        <f>IF(I188=0,"n.a.",H188/I188)</f>
        <v/>
      </c>
      <c r="N188" s="82">
        <f>IF(J188=0,"n.a.",I188*1000/J188)</f>
        <v/>
      </c>
      <c r="O188" s="82">
        <f>SUM(E188:H188)-I188</f>
        <v/>
      </c>
      <c r="P188" s="82">
        <f>RANK(I188,$I$7:$I$212,0)+COUNTIF($I$7:I188,I188)-1</f>
        <v/>
      </c>
      <c r="Q188" s="10" t="inlineStr">
        <is>
          <t>The Metanoia Institute</t>
        </is>
      </c>
    </row>
    <row r="189" ht="46" customHeight="1">
      <c r="A189" s="10" t="inlineStr">
        <is>
          <t>10003945</t>
        </is>
      </c>
      <c r="B189" s="11" t="inlineStr">
        <is>
          <t>The Liverpool Institute for Performing Arts</t>
        </is>
      </c>
      <c r="C189" s="10" t="inlineStr">
        <is>
          <t>Other HE provider</t>
        </is>
      </c>
      <c r="D189" s="10" t="inlineStr">
        <is>
          <t>2024/25</t>
        </is>
      </c>
      <c r="E189" s="82" t="n">
        <v>0</v>
      </c>
      <c r="F189" s="82" t="n">
        <v>0</v>
      </c>
      <c r="G189" s="82" t="n">
        <v>4</v>
      </c>
      <c r="H189" s="82" t="n">
        <v>0</v>
      </c>
      <c r="I189" s="82" t="n">
        <v>4</v>
      </c>
      <c r="J189" s="82" t="n">
        <v>0</v>
      </c>
      <c r="K189" s="83">
        <f>I189/1000</f>
        <v/>
      </c>
      <c r="L189" s="83">
        <f>SUM(E189:G189)/1000</f>
        <v/>
      </c>
      <c r="M189" s="84">
        <f>IF(I189=0,"n.a.",H189/I189)</f>
        <v/>
      </c>
      <c r="N189" s="82">
        <f>IF(J189=0,"n.a.",I189*1000/J189)</f>
        <v/>
      </c>
      <c r="O189" s="82">
        <f>SUM(E189:H189)-I189</f>
        <v/>
      </c>
      <c r="P189" s="82">
        <f>RANK(I189,$I$7:$I$212,0)+COUNTIF($I$7:I189,I189)-1</f>
        <v/>
      </c>
      <c r="Q189" s="10" t="inlineStr">
        <is>
          <t>The Liverpool Institute for Performing Arts</t>
        </is>
      </c>
    </row>
    <row r="190" ht="46" customHeight="1">
      <c r="A190" s="10" t="inlineStr">
        <is>
          <t>10067853</t>
        </is>
      </c>
      <c r="B190" s="11" t="inlineStr">
        <is>
          <t>ACM Guildford Limited</t>
        </is>
      </c>
      <c r="C190" s="10" t="inlineStr">
        <is>
          <t>Other HE provider</t>
        </is>
      </c>
      <c r="D190" s="10" t="inlineStr">
        <is>
          <t>2024/25</t>
        </is>
      </c>
      <c r="E190" s="82" t="n">
        <v>0</v>
      </c>
      <c r="F190" s="82" t="n">
        <v>0</v>
      </c>
      <c r="G190" s="82" t="n">
        <v>0</v>
      </c>
      <c r="H190" s="82" t="n">
        <v>2</v>
      </c>
      <c r="I190" s="82" t="n">
        <v>2</v>
      </c>
      <c r="J190" s="82" t="n">
        <v>10</v>
      </c>
      <c r="K190" s="83">
        <f>I190/1000</f>
        <v/>
      </c>
      <c r="L190" s="83">
        <f>SUM(E190:G190)/1000</f>
        <v/>
      </c>
      <c r="M190" s="84">
        <f>IF(I190=0,"n.a.",H190/I190)</f>
        <v/>
      </c>
      <c r="N190" s="82">
        <f>IF(J190=0,"n.a.",I190*1000/J190)</f>
        <v/>
      </c>
      <c r="O190" s="82">
        <f>SUM(E190:H190)-I190</f>
        <v/>
      </c>
      <c r="P190" s="82">
        <f>RANK(I190,$I$7:$I$212,0)+COUNTIF($I$7:I190,I190)-1</f>
        <v/>
      </c>
      <c r="Q190" s="10" t="inlineStr">
        <is>
          <t>ACM Guildford Limited</t>
        </is>
      </c>
    </row>
    <row r="191" ht="46" customHeight="1">
      <c r="A191" s="10" t="inlineStr">
        <is>
          <t>10004538</t>
        </is>
      </c>
      <c r="B191" s="11" t="inlineStr">
        <is>
          <t>Nazarene Theological College</t>
        </is>
      </c>
      <c r="C191" s="10" t="inlineStr">
        <is>
          <t>Other HE provider</t>
        </is>
      </c>
      <c r="D191" s="10" t="inlineStr">
        <is>
          <t>2024/25</t>
        </is>
      </c>
      <c r="E191" s="82" t="n">
        <v>0</v>
      </c>
      <c r="F191" s="82" t="n">
        <v>0</v>
      </c>
      <c r="G191" s="82" t="n">
        <v>1</v>
      </c>
      <c r="H191" s="82" t="n">
        <v>1</v>
      </c>
      <c r="I191" s="82" t="n">
        <v>2</v>
      </c>
      <c r="J191" s="82" t="n">
        <v>15</v>
      </c>
      <c r="K191" s="83">
        <f>I191/1000</f>
        <v/>
      </c>
      <c r="L191" s="83">
        <f>SUM(E191:G191)/1000</f>
        <v/>
      </c>
      <c r="M191" s="84">
        <f>IF(I191=0,"n.a.",H191/I191)</f>
        <v/>
      </c>
      <c r="N191" s="82">
        <f>IF(J191=0,"n.a.",I191*1000/J191)</f>
        <v/>
      </c>
      <c r="O191" s="82">
        <f>SUM(E191:H191)-I191</f>
        <v/>
      </c>
      <c r="P191" s="82">
        <f>RANK(I191,$I$7:$I$212,0)+COUNTIF($I$7:I191,I191)-1</f>
        <v/>
      </c>
      <c r="Q191" s="10" t="inlineStr">
        <is>
          <t>Nazarene Theological College</t>
        </is>
      </c>
    </row>
    <row r="192" ht="46" customHeight="1">
      <c r="A192" s="10" t="inlineStr">
        <is>
          <t>10032036</t>
        </is>
      </c>
      <c r="B192" s="11" t="inlineStr">
        <is>
          <t>Amity University [IN] London</t>
        </is>
      </c>
      <c r="C192" s="10" t="inlineStr">
        <is>
          <t>Other HE provider</t>
        </is>
      </c>
      <c r="D192" s="10" t="inlineStr">
        <is>
          <t>2024/25</t>
        </is>
      </c>
      <c r="E192" s="82" t="n">
        <v>0</v>
      </c>
      <c r="F192" s="82" t="n">
        <v>0</v>
      </c>
      <c r="G192" s="82" t="n">
        <v>0</v>
      </c>
      <c r="H192" s="82" t="n">
        <v>0</v>
      </c>
      <c r="I192" s="82" t="n">
        <v>0</v>
      </c>
      <c r="J192" s="82" t="n">
        <v>0</v>
      </c>
      <c r="K192" s="83">
        <f>I192/1000</f>
        <v/>
      </c>
      <c r="L192" s="83">
        <f>SUM(E192:G192)/1000</f>
        <v/>
      </c>
      <c r="M192" s="84">
        <f>IF(I192=0,"n.a.",H192/I192)</f>
        <v/>
      </c>
      <c r="N192" s="82">
        <f>IF(J192=0,"n.a.",I192*1000/J192)</f>
        <v/>
      </c>
      <c r="O192" s="82">
        <f>SUM(E192:H192)-I192</f>
        <v/>
      </c>
      <c r="P192" s="82">
        <f>RANK(I192,$I$7:$I$212,0)+COUNTIF($I$7:I192,I192)-1</f>
        <v/>
      </c>
      <c r="Q192" s="10" t="inlineStr">
        <is>
          <t>Amity University [IN] London</t>
        </is>
      </c>
    </row>
    <row r="193" ht="46" customHeight="1">
      <c r="A193" s="10" t="inlineStr">
        <is>
          <t>10004061</t>
        </is>
      </c>
      <c r="B193" s="11" t="inlineStr">
        <is>
          <t>Bloomsbury Institute</t>
        </is>
      </c>
      <c r="C193" s="10" t="inlineStr">
        <is>
          <t>Other HE provider</t>
        </is>
      </c>
      <c r="D193" s="10" t="inlineStr">
        <is>
          <t>2024/25</t>
        </is>
      </c>
      <c r="E193" s="82" t="n">
        <v>0</v>
      </c>
      <c r="F193" s="82" t="n">
        <v>0</v>
      </c>
      <c r="G193" s="82" t="n">
        <v>0</v>
      </c>
      <c r="H193" s="82" t="n">
        <v>0</v>
      </c>
      <c r="I193" s="82" t="n">
        <v>0</v>
      </c>
      <c r="J193" s="82" t="n">
        <v>0</v>
      </c>
      <c r="K193" s="83">
        <f>I193/1000</f>
        <v/>
      </c>
      <c r="L193" s="83">
        <f>SUM(E193:G193)/1000</f>
        <v/>
      </c>
      <c r="M193" s="84">
        <f>IF(I193=0,"n.a.",H193/I193)</f>
        <v/>
      </c>
      <c r="N193" s="82">
        <f>IF(J193=0,"n.a.",I193*1000/J193)</f>
        <v/>
      </c>
      <c r="O193" s="82">
        <f>SUM(E193:H193)-I193</f>
        <v/>
      </c>
      <c r="P193" s="82">
        <f>RANK(I193,$I$7:$I$212,0)+COUNTIF($I$7:I193,I193)-1</f>
        <v/>
      </c>
      <c r="Q193" s="10" t="inlineStr">
        <is>
          <t>Bloomsbury Institute</t>
        </is>
      </c>
    </row>
    <row r="194" ht="46" customHeight="1">
      <c r="A194" s="10" t="inlineStr">
        <is>
          <t>10038772</t>
        </is>
      </c>
      <c r="B194" s="11" t="inlineStr">
        <is>
          <t>British Academy of Jewellery Limited</t>
        </is>
      </c>
      <c r="C194" s="10" t="inlineStr">
        <is>
          <t>Other HE provider</t>
        </is>
      </c>
      <c r="D194" s="10" t="inlineStr">
        <is>
          <t>2024/25</t>
        </is>
      </c>
      <c r="E194" s="82" t="n">
        <v>0</v>
      </c>
      <c r="F194" s="82" t="n">
        <v>0</v>
      </c>
      <c r="G194" s="82" t="n">
        <v>0</v>
      </c>
      <c r="H194" s="82" t="n">
        <v>0</v>
      </c>
      <c r="I194" s="82" t="n">
        <v>0</v>
      </c>
      <c r="J194" s="82" t="n">
        <v>0</v>
      </c>
      <c r="K194" s="83">
        <f>I194/1000</f>
        <v/>
      </c>
      <c r="L194" s="83">
        <f>SUM(E194:G194)/1000</f>
        <v/>
      </c>
      <c r="M194" s="84">
        <f>IF(I194=0,"n.a.",H194/I194)</f>
        <v/>
      </c>
      <c r="N194" s="82">
        <f>IF(J194=0,"n.a.",I194*1000/J194)</f>
        <v/>
      </c>
      <c r="O194" s="82">
        <f>SUM(E194:H194)-I194</f>
        <v/>
      </c>
      <c r="P194" s="82">
        <f>RANK(I194,$I$7:$I$212,0)+COUNTIF($I$7:I194,I194)-1</f>
        <v/>
      </c>
      <c r="Q194" s="10" t="inlineStr">
        <is>
          <t>British Academy of Jewellery Limited</t>
        </is>
      </c>
    </row>
    <row r="195" ht="46" customHeight="1">
      <c r="A195" s="10" t="inlineStr">
        <is>
          <t>10024024</t>
        </is>
      </c>
      <c r="B195" s="11" t="inlineStr">
        <is>
          <t>Central Film School</t>
        </is>
      </c>
      <c r="C195" s="10" t="inlineStr">
        <is>
          <t>Other HE provider</t>
        </is>
      </c>
      <c r="D195" s="10" t="inlineStr">
        <is>
          <t>2024/25</t>
        </is>
      </c>
      <c r="E195" s="82" t="n">
        <v>0</v>
      </c>
      <c r="F195" s="82" t="n">
        <v>0</v>
      </c>
      <c r="G195" s="82" t="n">
        <v>0</v>
      </c>
      <c r="H195" s="82" t="n">
        <v>0</v>
      </c>
      <c r="I195" s="82" t="n">
        <v>0</v>
      </c>
      <c r="J195" s="82" t="n">
        <v>0</v>
      </c>
      <c r="K195" s="83">
        <f>I195/1000</f>
        <v/>
      </c>
      <c r="L195" s="83">
        <f>SUM(E195:G195)/1000</f>
        <v/>
      </c>
      <c r="M195" s="84">
        <f>IF(I195=0,"n.a.",H195/I195)</f>
        <v/>
      </c>
      <c r="N195" s="82">
        <f>IF(J195=0,"n.a.",I195*1000/J195)</f>
        <v/>
      </c>
      <c r="O195" s="82">
        <f>SUM(E195:H195)-I195</f>
        <v/>
      </c>
      <c r="P195" s="82">
        <f>RANK(I195,$I$7:$I$212,0)+COUNTIF($I$7:I195,I195)-1</f>
        <v/>
      </c>
      <c r="Q195" s="10" t="inlineStr">
        <is>
          <t>Central Film School</t>
        </is>
      </c>
    </row>
    <row r="196" ht="46" customHeight="1">
      <c r="A196" s="10" t="inlineStr">
        <is>
          <t>10091065</t>
        </is>
      </c>
      <c r="B196" s="11" t="inlineStr">
        <is>
          <t>Collective Acting Studio</t>
        </is>
      </c>
      <c r="C196" s="10" t="inlineStr">
        <is>
          <t>Other HE provider</t>
        </is>
      </c>
      <c r="D196" s="10" t="inlineStr">
        <is>
          <t>2024/25</t>
        </is>
      </c>
      <c r="E196" s="82" t="n">
        <v>0</v>
      </c>
      <c r="F196" s="82" t="n">
        <v>0</v>
      </c>
      <c r="G196" s="82" t="n">
        <v>0</v>
      </c>
      <c r="H196" s="82" t="n">
        <v>0</v>
      </c>
      <c r="I196" s="82" t="n">
        <v>0</v>
      </c>
      <c r="J196" s="82" t="n">
        <v>0</v>
      </c>
      <c r="K196" s="83">
        <f>I196/1000</f>
        <v/>
      </c>
      <c r="L196" s="83">
        <f>SUM(E196:G196)/1000</f>
        <v/>
      </c>
      <c r="M196" s="84">
        <f>IF(I196=0,"n.a.",H196/I196)</f>
        <v/>
      </c>
      <c r="N196" s="82">
        <f>IF(J196=0,"n.a.",I196*1000/J196)</f>
        <v/>
      </c>
      <c r="O196" s="82">
        <f>SUM(E196:H196)-I196</f>
        <v/>
      </c>
      <c r="P196" s="82">
        <f>RANK(I196,$I$7:$I$212,0)+COUNTIF($I$7:I196,I196)-1</f>
        <v/>
      </c>
      <c r="Q196" s="10" t="inlineStr">
        <is>
          <t>Collective Acting Studio</t>
        </is>
      </c>
    </row>
    <row r="197" ht="46" customHeight="1">
      <c r="A197" s="10" t="inlineStr">
        <is>
          <t>10034324</t>
        </is>
      </c>
      <c r="B197" s="11" t="inlineStr">
        <is>
          <t>Court Theatre Training Company Ltd</t>
        </is>
      </c>
      <c r="C197" s="10" t="inlineStr">
        <is>
          <t>Other HE provider</t>
        </is>
      </c>
      <c r="D197" s="10" t="inlineStr">
        <is>
          <t>2024/25</t>
        </is>
      </c>
      <c r="E197" s="82" t="n">
        <v>0</v>
      </c>
      <c r="F197" s="82" t="n">
        <v>0</v>
      </c>
      <c r="G197" s="82" t="n">
        <v>0</v>
      </c>
      <c r="H197" s="82" t="n">
        <v>0</v>
      </c>
      <c r="I197" s="82" t="n">
        <v>0</v>
      </c>
      <c r="J197" s="82" t="n">
        <v>0</v>
      </c>
      <c r="K197" s="83">
        <f>I197/1000</f>
        <v/>
      </c>
      <c r="L197" s="83">
        <f>SUM(E197:G197)/1000</f>
        <v/>
      </c>
      <c r="M197" s="84">
        <f>IF(I197=0,"n.a.",H197/I197)</f>
        <v/>
      </c>
      <c r="N197" s="82">
        <f>IF(J197=0,"n.a.",I197*1000/J197)</f>
        <v/>
      </c>
      <c r="O197" s="82">
        <f>SUM(E197:H197)-I197</f>
        <v/>
      </c>
      <c r="P197" s="82">
        <f>RANK(I197,$I$7:$I$212,0)+COUNTIF($I$7:I197,I197)-1</f>
        <v/>
      </c>
      <c r="Q197" s="10" t="inlineStr">
        <is>
          <t>Court Theatre Training Company Ltd</t>
        </is>
      </c>
    </row>
    <row r="198" ht="46" customHeight="1">
      <c r="A198" s="10" t="inlineStr">
        <is>
          <t>10015688</t>
        </is>
      </c>
      <c r="B198" s="11" t="inlineStr">
        <is>
          <t>David Game College Ltd</t>
        </is>
      </c>
      <c r="C198" s="10" t="inlineStr">
        <is>
          <t>Other HE provider</t>
        </is>
      </c>
      <c r="D198" s="10" t="inlineStr">
        <is>
          <t>2024/25</t>
        </is>
      </c>
      <c r="E198" s="82" t="n">
        <v>0</v>
      </c>
      <c r="F198" s="82" t="n">
        <v>0</v>
      </c>
      <c r="G198" s="82" t="n">
        <v>0</v>
      </c>
      <c r="H198" s="82" t="n">
        <v>0</v>
      </c>
      <c r="I198" s="82" t="n">
        <v>0</v>
      </c>
      <c r="J198" s="82" t="n">
        <v>0</v>
      </c>
      <c r="K198" s="83">
        <f>I198/1000</f>
        <v/>
      </c>
      <c r="L198" s="83">
        <f>SUM(E198:G198)/1000</f>
        <v/>
      </c>
      <c r="M198" s="84">
        <f>IF(I198=0,"n.a.",H198/I198)</f>
        <v/>
      </c>
      <c r="N198" s="82">
        <f>IF(J198=0,"n.a.",I198*1000/J198)</f>
        <v/>
      </c>
      <c r="O198" s="82">
        <f>SUM(E198:H198)-I198</f>
        <v/>
      </c>
      <c r="P198" s="82">
        <f>RANK(I198,$I$7:$I$212,0)+COUNTIF($I$7:I198,I198)-1</f>
        <v/>
      </c>
      <c r="Q198" s="10" t="inlineStr">
        <is>
          <t>David Game College Ltd</t>
        </is>
      </c>
    </row>
    <row r="199" ht="46" customHeight="1">
      <c r="A199" s="10" t="inlineStr">
        <is>
          <t>10089771</t>
        </is>
      </c>
      <c r="B199" s="11" t="inlineStr">
        <is>
          <t>Engineering College of Technology Limited</t>
        </is>
      </c>
      <c r="C199" s="10" t="inlineStr">
        <is>
          <t>Other HE provider</t>
        </is>
      </c>
      <c r="D199" s="10" t="inlineStr">
        <is>
          <t>2024/25</t>
        </is>
      </c>
      <c r="E199" s="82" t="n">
        <v>0</v>
      </c>
      <c r="F199" s="82" t="n">
        <v>0</v>
      </c>
      <c r="G199" s="82" t="n">
        <v>0</v>
      </c>
      <c r="H199" s="82" t="n">
        <v>0</v>
      </c>
      <c r="I199" s="82" t="n">
        <v>0</v>
      </c>
      <c r="J199" s="82" t="n">
        <v>0</v>
      </c>
      <c r="K199" s="83">
        <f>I199/1000</f>
        <v/>
      </c>
      <c r="L199" s="83">
        <f>SUM(E199:G199)/1000</f>
        <v/>
      </c>
      <c r="M199" s="84">
        <f>IF(I199=0,"n.a.",H199/I199)</f>
        <v/>
      </c>
      <c r="N199" s="82">
        <f>IF(J199=0,"n.a.",I199*1000/J199)</f>
        <v/>
      </c>
      <c r="O199" s="82">
        <f>SUM(E199:H199)-I199</f>
        <v/>
      </c>
      <c r="P199" s="82">
        <f>RANK(I199,$I$7:$I$212,0)+COUNTIF($I$7:I199,I199)-1</f>
        <v/>
      </c>
      <c r="Q199" s="10" t="inlineStr">
        <is>
          <t>Engineering College of Technology Limited</t>
        </is>
      </c>
    </row>
    <row r="200" ht="46" customHeight="1">
      <c r="A200" s="10" t="inlineStr">
        <is>
          <t>10022087</t>
        </is>
      </c>
      <c r="B200" s="11" t="inlineStr">
        <is>
          <t>Futureworks</t>
        </is>
      </c>
      <c r="C200" s="10" t="inlineStr">
        <is>
          <t>Other HE provider</t>
        </is>
      </c>
      <c r="D200" s="10" t="inlineStr">
        <is>
          <t>2024/25</t>
        </is>
      </c>
      <c r="E200" s="82" t="n">
        <v>0</v>
      </c>
      <c r="F200" s="82" t="n">
        <v>0</v>
      </c>
      <c r="G200" s="82" t="n">
        <v>0</v>
      </c>
      <c r="H200" s="82" t="n">
        <v>0</v>
      </c>
      <c r="I200" s="82" t="n">
        <v>0</v>
      </c>
      <c r="J200" s="82" t="n">
        <v>0</v>
      </c>
      <c r="K200" s="83">
        <f>I200/1000</f>
        <v/>
      </c>
      <c r="L200" s="83">
        <f>SUM(E200:G200)/1000</f>
        <v/>
      </c>
      <c r="M200" s="84">
        <f>IF(I200=0,"n.a.",H200/I200)</f>
        <v/>
      </c>
      <c r="N200" s="82">
        <f>IF(J200=0,"n.a.",I200*1000/J200)</f>
        <v/>
      </c>
      <c r="O200" s="82">
        <f>SUM(E200:H200)-I200</f>
        <v/>
      </c>
      <c r="P200" s="82">
        <f>RANK(I200,$I$7:$I$212,0)+COUNTIF($I$7:I200,I200)-1</f>
        <v/>
      </c>
      <c r="Q200" s="10" t="inlineStr">
        <is>
          <t>Futureworks</t>
        </is>
      </c>
    </row>
    <row r="201" ht="46" customHeight="1">
      <c r="A201" s="10" t="inlineStr">
        <is>
          <t>10003854</t>
        </is>
      </c>
      <c r="B201" s="11" t="inlineStr">
        <is>
          <t>Leeds Arts University</t>
        </is>
      </c>
      <c r="C201" s="10" t="inlineStr">
        <is>
          <t>Other HE provider</t>
        </is>
      </c>
      <c r="D201" s="10" t="inlineStr">
        <is>
          <t>2024/25</t>
        </is>
      </c>
      <c r="E201" s="82" t="n">
        <v>0</v>
      </c>
      <c r="F201" s="82" t="n">
        <v>0</v>
      </c>
      <c r="G201" s="82" t="n">
        <v>0</v>
      </c>
      <c r="H201" s="82" t="n">
        <v>0</v>
      </c>
      <c r="I201" s="82" t="n">
        <v>0</v>
      </c>
      <c r="J201" s="82" t="n">
        <v>0</v>
      </c>
      <c r="K201" s="83">
        <f>I201/1000</f>
        <v/>
      </c>
      <c r="L201" s="83">
        <f>SUM(E201:G201)/1000</f>
        <v/>
      </c>
      <c r="M201" s="84">
        <f>IF(I201=0,"n.a.",H201/I201)</f>
        <v/>
      </c>
      <c r="N201" s="82">
        <f>IF(J201=0,"n.a.",I201*1000/J201)</f>
        <v/>
      </c>
      <c r="O201" s="82">
        <f>SUM(E201:H201)-I201</f>
        <v/>
      </c>
      <c r="P201" s="82">
        <f>RANK(I201,$I$7:$I$212,0)+COUNTIF($I$7:I201,I201)-1</f>
        <v/>
      </c>
      <c r="Q201" s="10" t="inlineStr">
        <is>
          <t>Leeds Arts</t>
        </is>
      </c>
    </row>
    <row r="202" ht="46" customHeight="1">
      <c r="A202" s="10" t="inlineStr">
        <is>
          <t>10034449</t>
        </is>
      </c>
      <c r="B202" s="11" t="inlineStr">
        <is>
          <t>Leeds Conservatoire</t>
        </is>
      </c>
      <c r="C202" s="10" t="inlineStr">
        <is>
          <t>Other HE provider</t>
        </is>
      </c>
      <c r="D202" s="10" t="inlineStr">
        <is>
          <t>2024/25</t>
        </is>
      </c>
      <c r="E202" s="82" t="n">
        <v>0</v>
      </c>
      <c r="F202" s="82" t="n">
        <v>0</v>
      </c>
      <c r="G202" s="82" t="n">
        <v>0</v>
      </c>
      <c r="H202" s="82" t="n">
        <v>0</v>
      </c>
      <c r="I202" s="82" t="n">
        <v>0</v>
      </c>
      <c r="J202" s="82" t="n">
        <v>0</v>
      </c>
      <c r="K202" s="83">
        <f>I202/1000</f>
        <v/>
      </c>
      <c r="L202" s="83">
        <f>SUM(E202:G202)/1000</f>
        <v/>
      </c>
      <c r="M202" s="84">
        <f>IF(I202=0,"n.a.",H202/I202)</f>
        <v/>
      </c>
      <c r="N202" s="82">
        <f>IF(J202=0,"n.a.",I202*1000/J202)</f>
        <v/>
      </c>
      <c r="O202" s="82">
        <f>SUM(E202:H202)-I202</f>
        <v/>
      </c>
      <c r="P202" s="82">
        <f>RANK(I202,$I$7:$I$212,0)+COUNTIF($I$7:I202,I202)-1</f>
        <v/>
      </c>
      <c r="Q202" s="10" t="inlineStr">
        <is>
          <t>Leeds Conservatoire</t>
        </is>
      </c>
    </row>
    <row r="203" ht="46" customHeight="1">
      <c r="A203" s="10" t="inlineStr">
        <is>
          <t>10007811</t>
        </is>
      </c>
      <c r="B203" s="11" t="inlineStr">
        <is>
          <t>Lincoln Bishop University</t>
        </is>
      </c>
      <c r="C203" s="10" t="inlineStr">
        <is>
          <t>Other HE provider</t>
        </is>
      </c>
      <c r="D203" s="10" t="inlineStr">
        <is>
          <t>2024/25</t>
        </is>
      </c>
      <c r="E203" s="82" t="n">
        <v>0</v>
      </c>
      <c r="F203" s="82" t="n">
        <v>0</v>
      </c>
      <c r="G203" s="82" t="n">
        <v>0</v>
      </c>
      <c r="H203" s="82" t="n">
        <v>0</v>
      </c>
      <c r="I203" s="82" t="n">
        <v>0</v>
      </c>
      <c r="J203" s="82" t="n">
        <v>0</v>
      </c>
      <c r="K203" s="83">
        <f>I203/1000</f>
        <v/>
      </c>
      <c r="L203" s="83">
        <f>SUM(E203:G203)/1000</f>
        <v/>
      </c>
      <c r="M203" s="84">
        <f>IF(I203=0,"n.a.",H203/I203)</f>
        <v/>
      </c>
      <c r="N203" s="82">
        <f>IF(J203=0,"n.a.",I203*1000/J203)</f>
        <v/>
      </c>
      <c r="O203" s="82">
        <f>SUM(E203:H203)-I203</f>
        <v/>
      </c>
      <c r="P203" s="82">
        <f>RANK(I203,$I$7:$I$212,0)+COUNTIF($I$7:I203,I203)-1</f>
        <v/>
      </c>
      <c r="Q203" s="10" t="inlineStr">
        <is>
          <t>Lincoln Bishop</t>
        </is>
      </c>
    </row>
    <row r="204" ht="46" customHeight="1">
      <c r="A204" s="10" t="inlineStr">
        <is>
          <t>10004075</t>
        </is>
      </c>
      <c r="B204" s="11" t="inlineStr">
        <is>
          <t>London School of Theology</t>
        </is>
      </c>
      <c r="C204" s="10" t="inlineStr">
        <is>
          <t>Other HE provider</t>
        </is>
      </c>
      <c r="D204" s="10" t="inlineStr">
        <is>
          <t>2024/25</t>
        </is>
      </c>
      <c r="E204" s="82" t="n">
        <v>0</v>
      </c>
      <c r="F204" s="82" t="n">
        <v>0</v>
      </c>
      <c r="G204" s="82" t="n">
        <v>0</v>
      </c>
      <c r="H204" s="82" t="n">
        <v>0</v>
      </c>
      <c r="I204" s="82" t="n">
        <v>0</v>
      </c>
      <c r="J204" s="82" t="n">
        <v>0</v>
      </c>
      <c r="K204" s="83">
        <f>I204/1000</f>
        <v/>
      </c>
      <c r="L204" s="83">
        <f>SUM(E204:G204)/1000</f>
        <v/>
      </c>
      <c r="M204" s="84">
        <f>IF(I204=0,"n.a.",H204/I204)</f>
        <v/>
      </c>
      <c r="N204" s="82">
        <f>IF(J204=0,"n.a.",I204*1000/J204)</f>
        <v/>
      </c>
      <c r="O204" s="82">
        <f>SUM(E204:H204)-I204</f>
        <v/>
      </c>
      <c r="P204" s="82">
        <f>RANK(I204,$I$7:$I$212,0)+COUNTIF($I$7:I204,I204)-1</f>
        <v/>
      </c>
      <c r="Q204" s="10" t="inlineStr">
        <is>
          <t>London School of Theology</t>
        </is>
      </c>
    </row>
    <row r="205" ht="46" customHeight="1">
      <c r="A205" s="10" t="inlineStr">
        <is>
          <t>10023777</t>
        </is>
      </c>
      <c r="B205" s="11" t="inlineStr">
        <is>
          <t>Mont Rose College of Management and Sciences Limited</t>
        </is>
      </c>
      <c r="C205" s="10" t="inlineStr">
        <is>
          <t>Other HE provider</t>
        </is>
      </c>
      <c r="D205" s="10" t="inlineStr">
        <is>
          <t>2024/25</t>
        </is>
      </c>
      <c r="E205" s="82" t="n">
        <v>0</v>
      </c>
      <c r="F205" s="82" t="n">
        <v>0</v>
      </c>
      <c r="G205" s="82" t="n">
        <v>0</v>
      </c>
      <c r="H205" s="82" t="n">
        <v>0</v>
      </c>
      <c r="I205" s="82" t="n">
        <v>0</v>
      </c>
      <c r="J205" s="82" t="n">
        <v>0</v>
      </c>
      <c r="K205" s="83">
        <f>I205/1000</f>
        <v/>
      </c>
      <c r="L205" s="83">
        <f>SUM(E205:G205)/1000</f>
        <v/>
      </c>
      <c r="M205" s="84">
        <f>IF(I205=0,"n.a.",H205/I205)</f>
        <v/>
      </c>
      <c r="N205" s="82">
        <f>IF(J205=0,"n.a.",I205*1000/J205)</f>
        <v/>
      </c>
      <c r="O205" s="82">
        <f>SUM(E205:H205)-I205</f>
        <v/>
      </c>
      <c r="P205" s="82">
        <f>RANK(I205,$I$7:$I$212,0)+COUNTIF($I$7:I205,I205)-1</f>
        <v/>
      </c>
      <c r="Q205" s="10" t="inlineStr">
        <is>
          <t>Mont Rose College of Management and Sciences Limited</t>
        </is>
      </c>
    </row>
    <row r="206" ht="46" customHeight="1">
      <c r="A206" s="10" t="inlineStr">
        <is>
          <t>10048199</t>
        </is>
      </c>
      <c r="B206" s="11" t="inlineStr">
        <is>
          <t>Northeastern University London</t>
        </is>
      </c>
      <c r="C206" s="10" t="inlineStr">
        <is>
          <t>Other HE provider</t>
        </is>
      </c>
      <c r="D206" s="10" t="inlineStr">
        <is>
          <t>2024/25</t>
        </is>
      </c>
      <c r="E206" s="82" t="n">
        <v>0</v>
      </c>
      <c r="F206" s="82" t="n">
        <v>0</v>
      </c>
      <c r="G206" s="82" t="n">
        <v>0</v>
      </c>
      <c r="H206" s="82" t="n">
        <v>0</v>
      </c>
      <c r="I206" s="82" t="n">
        <v>0</v>
      </c>
      <c r="J206" s="82" t="n">
        <v>0</v>
      </c>
      <c r="K206" s="83">
        <f>I206/1000</f>
        <v/>
      </c>
      <c r="L206" s="83">
        <f>SUM(E206:G206)/1000</f>
        <v/>
      </c>
      <c r="M206" s="84">
        <f>IF(I206=0,"n.a.",H206/I206)</f>
        <v/>
      </c>
      <c r="N206" s="82">
        <f>IF(J206=0,"n.a.",I206*1000/J206)</f>
        <v/>
      </c>
      <c r="O206" s="82">
        <f>SUM(E206:H206)-I206</f>
        <v/>
      </c>
      <c r="P206" s="82">
        <f>RANK(I206,$I$7:$I$212,0)+COUNTIF($I$7:I206,I206)-1</f>
        <v/>
      </c>
      <c r="Q206" s="10" t="inlineStr">
        <is>
          <t>Northeastern University London</t>
        </is>
      </c>
    </row>
    <row r="207" ht="46" customHeight="1">
      <c r="A207" s="10" t="inlineStr">
        <is>
          <t>10005389</t>
        </is>
      </c>
      <c r="B207" s="11" t="inlineStr">
        <is>
          <t>Ravensbourne University London</t>
        </is>
      </c>
      <c r="C207" s="10" t="inlineStr">
        <is>
          <t>Other HE provider</t>
        </is>
      </c>
      <c r="D207" s="10" t="inlineStr">
        <is>
          <t>2024/25</t>
        </is>
      </c>
      <c r="E207" s="82" t="n">
        <v>0</v>
      </c>
      <c r="F207" s="82" t="n">
        <v>0</v>
      </c>
      <c r="G207" s="82" t="n">
        <v>0</v>
      </c>
      <c r="H207" s="82" t="n">
        <v>0</v>
      </c>
      <c r="I207" s="82" t="n">
        <v>0</v>
      </c>
      <c r="J207" s="82" t="n">
        <v>0</v>
      </c>
      <c r="K207" s="83">
        <f>I207/1000</f>
        <v/>
      </c>
      <c r="L207" s="83">
        <f>SUM(E207:G207)/1000</f>
        <v/>
      </c>
      <c r="M207" s="84">
        <f>IF(I207=0,"n.a.",H207/I207)</f>
        <v/>
      </c>
      <c r="N207" s="82">
        <f>IF(J207=0,"n.a.",I207*1000/J207)</f>
        <v/>
      </c>
      <c r="O207" s="82">
        <f>SUM(E207:H207)-I207</f>
        <v/>
      </c>
      <c r="P207" s="82">
        <f>RANK(I207,$I$7:$I$212,0)+COUNTIF($I$7:I207,I207)-1</f>
        <v/>
      </c>
      <c r="Q207" s="10" t="inlineStr">
        <is>
          <t>Ravensbourne University London</t>
        </is>
      </c>
    </row>
    <row r="208" ht="46" customHeight="1">
      <c r="A208" s="10" t="inlineStr">
        <is>
          <t>10005523</t>
        </is>
      </c>
      <c r="B208" s="11" t="inlineStr">
        <is>
          <t>Rose Bruford College of Theatre and Performance</t>
        </is>
      </c>
      <c r="C208" s="10" t="inlineStr">
        <is>
          <t>Other HE provider</t>
        </is>
      </c>
      <c r="D208" s="10" t="inlineStr">
        <is>
          <t>2024/25</t>
        </is>
      </c>
      <c r="E208" s="82" t="n">
        <v>0</v>
      </c>
      <c r="F208" s="82" t="n">
        <v>0</v>
      </c>
      <c r="G208" s="82" t="n">
        <v>0</v>
      </c>
      <c r="H208" s="82" t="n">
        <v>0</v>
      </c>
      <c r="I208" s="82" t="n">
        <v>0</v>
      </c>
      <c r="J208" s="82" t="n">
        <v>0</v>
      </c>
      <c r="K208" s="83">
        <f>I208/1000</f>
        <v/>
      </c>
      <c r="L208" s="83">
        <f>SUM(E208:G208)/1000</f>
        <v/>
      </c>
      <c r="M208" s="84">
        <f>IF(I208=0,"n.a.",H208/I208)</f>
        <v/>
      </c>
      <c r="N208" s="82">
        <f>IF(J208=0,"n.a.",I208*1000/J208)</f>
        <v/>
      </c>
      <c r="O208" s="82">
        <f>SUM(E208:H208)-I208</f>
        <v/>
      </c>
      <c r="P208" s="82">
        <f>RANK(I208,$I$7:$I$212,0)+COUNTIF($I$7:I208,I208)-1</f>
        <v/>
      </c>
      <c r="Q208" s="10" t="inlineStr">
        <is>
          <t>Rose Bruford College of Theatre and Performance</t>
        </is>
      </c>
    </row>
    <row r="209" ht="46" customHeight="1">
      <c r="A209" s="10" t="inlineStr">
        <is>
          <t>10008026</t>
        </is>
      </c>
      <c r="B209" s="11" t="inlineStr">
        <is>
          <t>St Mary's University College</t>
        </is>
      </c>
      <c r="C209" s="10" t="inlineStr">
        <is>
          <t>Other HE provider</t>
        </is>
      </c>
      <c r="D209" s="10" t="inlineStr">
        <is>
          <t>2024/25</t>
        </is>
      </c>
      <c r="E209" s="82" t="n">
        <v>0</v>
      </c>
      <c r="F209" s="82" t="n">
        <v>0</v>
      </c>
      <c r="G209" s="82" t="n">
        <v>0</v>
      </c>
      <c r="H209" s="82" t="n">
        <v>0</v>
      </c>
      <c r="I209" s="82" t="n">
        <v>0</v>
      </c>
      <c r="J209" s="82" t="n">
        <v>0</v>
      </c>
      <c r="K209" s="83">
        <f>I209/1000</f>
        <v/>
      </c>
      <c r="L209" s="83">
        <f>SUM(E209:G209)/1000</f>
        <v/>
      </c>
      <c r="M209" s="84">
        <f>IF(I209=0,"n.a.",H209/I209)</f>
        <v/>
      </c>
      <c r="N209" s="82">
        <f>IF(J209=0,"n.a.",I209*1000/J209)</f>
        <v/>
      </c>
      <c r="O209" s="82">
        <f>SUM(E209:H209)-I209</f>
        <v/>
      </c>
      <c r="P209" s="82">
        <f>RANK(I209,$I$7:$I$212,0)+COUNTIF($I$7:I209,I209)-1</f>
        <v/>
      </c>
      <c r="Q209" s="10" t="inlineStr">
        <is>
          <t>St Mary's University College</t>
        </is>
      </c>
    </row>
    <row r="210" ht="46" customHeight="1">
      <c r="A210" s="10" t="inlineStr">
        <is>
          <t>10030776</t>
        </is>
      </c>
      <c r="B210" s="11" t="inlineStr">
        <is>
          <t>St Mellitus College</t>
        </is>
      </c>
      <c r="C210" s="10" t="inlineStr">
        <is>
          <t>Other HE provider</t>
        </is>
      </c>
      <c r="D210" s="10" t="inlineStr">
        <is>
          <t>2024/25</t>
        </is>
      </c>
      <c r="E210" s="82" t="n">
        <v>0</v>
      </c>
      <c r="F210" s="82" t="n">
        <v>0</v>
      </c>
      <c r="G210" s="82" t="n">
        <v>0</v>
      </c>
      <c r="H210" s="82" t="n">
        <v>0</v>
      </c>
      <c r="I210" s="82" t="n">
        <v>0</v>
      </c>
      <c r="J210" s="82" t="n">
        <v>0</v>
      </c>
      <c r="K210" s="83">
        <f>I210/1000</f>
        <v/>
      </c>
      <c r="L210" s="83">
        <f>SUM(E210:G210)/1000</f>
        <v/>
      </c>
      <c r="M210" s="84">
        <f>IF(I210=0,"n.a.",H210/I210)</f>
        <v/>
      </c>
      <c r="N210" s="82">
        <f>IF(J210=0,"n.a.",I210*1000/J210)</f>
        <v/>
      </c>
      <c r="O210" s="82">
        <f>SUM(E210:H210)-I210</f>
        <v/>
      </c>
      <c r="P210" s="82">
        <f>RANK(I210,$I$7:$I$212,0)+COUNTIF($I$7:I210,I210)-1</f>
        <v/>
      </c>
      <c r="Q210" s="10" t="inlineStr">
        <is>
          <t>St Mellitus College</t>
        </is>
      </c>
    </row>
    <row r="211" ht="46" customHeight="1">
      <c r="A211" s="10" t="inlineStr">
        <is>
          <t>10082743</t>
        </is>
      </c>
      <c r="B211" s="11" t="inlineStr">
        <is>
          <t>ThinkSpace Education Limited</t>
        </is>
      </c>
      <c r="C211" s="10" t="inlineStr">
        <is>
          <t>Other HE provider</t>
        </is>
      </c>
      <c r="D211" s="10" t="inlineStr">
        <is>
          <t>2024/25</t>
        </is>
      </c>
      <c r="E211" s="82" t="n">
        <v>0</v>
      </c>
      <c r="F211" s="82" t="n">
        <v>0</v>
      </c>
      <c r="G211" s="82" t="n">
        <v>0</v>
      </c>
      <c r="H211" s="82" t="n">
        <v>0</v>
      </c>
      <c r="I211" s="82" t="n">
        <v>0</v>
      </c>
      <c r="J211" s="82" t="n">
        <v>0</v>
      </c>
      <c r="K211" s="83">
        <f>I211/1000</f>
        <v/>
      </c>
      <c r="L211" s="83">
        <f>SUM(E211:G211)/1000</f>
        <v/>
      </c>
      <c r="M211" s="84">
        <f>IF(I211=0,"n.a.",H211/I211)</f>
        <v/>
      </c>
      <c r="N211" s="82">
        <f>IF(J211=0,"n.a.",I211*1000/J211)</f>
        <v/>
      </c>
      <c r="O211" s="82">
        <f>SUM(E211:H211)-I211</f>
        <v/>
      </c>
      <c r="P211" s="82">
        <f>RANK(I211,$I$7:$I$212,0)+COUNTIF($I$7:I211,I211)-1</f>
        <v/>
      </c>
      <c r="Q211" s="10" t="inlineStr">
        <is>
          <t>ThinkSpace Education Limited</t>
        </is>
      </c>
    </row>
    <row r="212" ht="46" customHeight="1">
      <c r="A212" s="10" t="inlineStr">
        <is>
          <t>10089591</t>
        </is>
      </c>
      <c r="B212" s="11" t="inlineStr">
        <is>
          <t>Walbrook Institute London Limited</t>
        </is>
      </c>
      <c r="C212" s="10" t="inlineStr">
        <is>
          <t>Other HE provider</t>
        </is>
      </c>
      <c r="D212" s="10" t="inlineStr">
        <is>
          <t>2024/25</t>
        </is>
      </c>
      <c r="E212" s="82" t="n">
        <v>0</v>
      </c>
      <c r="F212" s="82" t="n">
        <v>0</v>
      </c>
      <c r="G212" s="82" t="n">
        <v>0</v>
      </c>
      <c r="H212" s="82" t="n">
        <v>0</v>
      </c>
      <c r="I212" s="82" t="n">
        <v>0</v>
      </c>
      <c r="J212" s="82" t="n">
        <v>0</v>
      </c>
      <c r="K212" s="83">
        <f>I212/1000</f>
        <v/>
      </c>
      <c r="L212" s="83">
        <f>SUM(E212:G212)/1000</f>
        <v/>
      </c>
      <c r="M212" s="84">
        <f>IF(I212=0,"n.a.",H212/I212)</f>
        <v/>
      </c>
      <c r="N212" s="82">
        <f>IF(J212=0,"n.a.",I212*1000/J212)</f>
        <v/>
      </c>
      <c r="O212" s="82">
        <f>SUM(E212:H212)-I212</f>
        <v/>
      </c>
      <c r="P212" s="82">
        <f>RANK(I212,$I$7:$I$212,0)+COUNTIF($I$7:I212,I212)-1</f>
        <v/>
      </c>
      <c r="Q212" s="10" t="inlineStr">
        <is>
          <t>Walbrook Institute London Limited</t>
        </is>
      </c>
    </row>
    <row r="213">
      <c r="E213" s="85" t="n"/>
      <c r="F213" s="85" t="n"/>
      <c r="G213" s="85" t="n"/>
      <c r="H213" s="85" t="n"/>
      <c r="I213" s="85" t="n"/>
      <c r="J213" s="85" t="n"/>
      <c r="K213" s="86" t="n"/>
      <c r="L213" s="86" t="n"/>
      <c r="M213" s="23" t="n"/>
      <c r="N213" s="23" t="n"/>
      <c r="O213" s="23" t="n"/>
      <c r="P213" s="23" t="n"/>
    </row>
    <row r="214" ht="32" customHeight="1">
      <c r="B214" s="24" t="inlineStr">
        <is>
          <t>Published HESA total</t>
        </is>
      </c>
      <c r="C214" s="24" t="inlineStr">
        <is>
          <t>Control (excluded)</t>
        </is>
      </c>
      <c r="D214" s="24" t="inlineStr">
        <is>
          <t>2024/25</t>
        </is>
      </c>
      <c r="E214" s="87" t="n">
        <v>30066</v>
      </c>
      <c r="F214" s="87" t="n">
        <v>146741</v>
      </c>
      <c r="G214" s="87" t="n">
        <v>293718</v>
      </c>
      <c r="H214" s="87" t="n">
        <v>353653</v>
      </c>
      <c r="I214" s="87" t="n">
        <v>824178</v>
      </c>
      <c r="J214" s="87" t="n">
        <v>4510435</v>
      </c>
      <c r="K214" s="88">
        <f>I214/1000</f>
        <v/>
      </c>
      <c r="L214" s="88">
        <f>SUM(E214:G214)/1000</f>
        <v/>
      </c>
      <c r="M214" s="27" t="n"/>
      <c r="N214" s="27" t="n"/>
      <c r="O214" s="27" t="n"/>
      <c r="P214" s="27" t="n"/>
      <c r="Q214" s="24" t="n"/>
    </row>
    <row r="215" ht="32" customHeight="1">
      <c r="B215" s="24" t="inlineStr">
        <is>
          <t>Calculated provider sum</t>
        </is>
      </c>
      <c r="C215" s="24" t="inlineStr">
        <is>
          <t>All 206 rows</t>
        </is>
      </c>
      <c r="D215" s="24" t="inlineStr">
        <is>
          <t>2024/25</t>
        </is>
      </c>
      <c r="E215" s="87">
        <f>SUM(E7:E212)</f>
        <v/>
      </c>
      <c r="F215" s="87">
        <f>SUM(F7:F212)</f>
        <v/>
      </c>
      <c r="G215" s="87">
        <f>SUM(G7:G212)</f>
        <v/>
      </c>
      <c r="H215" s="87">
        <f>SUM(H7:H212)</f>
        <v/>
      </c>
      <c r="I215" s="87">
        <f>SUM(I7:I212)</f>
        <v/>
      </c>
      <c r="J215" s="87">
        <f>SUM(J7:J212)</f>
        <v/>
      </c>
      <c r="K215" s="88">
        <f>I215/1000</f>
        <v/>
      </c>
      <c r="L215" s="88">
        <f>SUM(E215:G215)/1000</f>
        <v/>
      </c>
      <c r="M215" s="27" t="n"/>
      <c r="N215" s="27" t="n"/>
      <c r="O215" s="27" t="n"/>
      <c r="P215" s="27" t="n"/>
      <c r="Q215" s="24" t="n"/>
    </row>
    <row r="216" ht="32" customHeight="1">
      <c r="B216" s="24" t="inlineStr">
        <is>
          <t>Difference to published total</t>
        </is>
      </c>
      <c r="C216" s="24" t="inlineStr">
        <is>
          <t>Should equal zero</t>
        </is>
      </c>
      <c r="D216" s="24" t="inlineStr">
        <is>
          <t>2024/25</t>
        </is>
      </c>
      <c r="E216" s="87">
        <f>E215-E214</f>
        <v/>
      </c>
      <c r="F216" s="87">
        <f>F215-F214</f>
        <v/>
      </c>
      <c r="G216" s="87">
        <f>G215-G214</f>
        <v/>
      </c>
      <c r="H216" s="87">
        <f>H215-H214</f>
        <v/>
      </c>
      <c r="I216" s="87">
        <f>I215-I214</f>
        <v/>
      </c>
      <c r="J216" s="87">
        <f>J215-J214</f>
        <v/>
      </c>
      <c r="K216" s="88" t="n"/>
      <c r="L216" s="88" t="n"/>
      <c r="M216" s="27" t="n"/>
      <c r="N216" s="27" t="n"/>
      <c r="O216" s="27" t="n"/>
      <c r="P216" s="27" t="n"/>
      <c r="Q216" s="24" t="n"/>
    </row>
  </sheetData>
  <mergeCells count="3">
    <mergeCell ref="A3:F3"/>
    <mergeCell ref="A2:F2"/>
    <mergeCell ref="A4:F4"/>
  </mergeCells>
  <conditionalFormatting sqref="O7:O212">
    <cfRule type="cellIs" priority="1" operator="notEqual" dxfId="1">
      <formula>0</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tabColor rgb="FF203B60"/>
    <outlinePr summaryBelow="1" summaryRight="1"/>
    <pageSetUpPr/>
  </sheetPr>
  <dimension ref="A1:N95"/>
  <sheetViews>
    <sheetView showGridLines="0" workbookViewId="0">
      <pane xSplit="2" ySplit="6" topLeftCell="C7" activePane="bottomRight" state="frozen"/>
      <selection activeCell="A1" sqref="A1"/>
    </sheetView>
  </sheetViews>
  <sheetFormatPr baseColWidth="8" defaultRowHeight="15"/>
  <cols>
    <col width="14" customWidth="1" min="1" max="1"/>
    <col width="31" customWidth="1" min="2" max="2"/>
    <col width="28" customWidth="1" min="3" max="3"/>
    <col width="48" customWidth="1" min="4" max="4"/>
    <col width="16" customWidth="1" min="5" max="5"/>
    <col width="19" customWidth="1" min="6" max="6"/>
    <col width="18" customWidth="1" min="7" max="7"/>
    <col width="19" customWidth="1" min="8" max="8"/>
    <col width="18" customWidth="1" min="9" max="9"/>
    <col width="17" customWidth="1" min="10" max="10"/>
    <col width="40" customWidth="1" min="11" max="11"/>
    <col width="85" customWidth="1" min="12" max="12"/>
    <col width="88" customWidth="1" min="13" max="13"/>
    <col width="18" customWidth="1" min="14" max="14"/>
  </cols>
  <sheetData>
    <row r="1"/>
    <row r="2" ht="28" customHeight="1">
      <c r="A2" s="4" t="inlineStr">
        <is>
          <t>Lifelong learning: revenue, growth and other evidence</t>
        </is>
      </c>
      <c r="G2" s="2" t="n"/>
      <c r="H2" s="2" t="n"/>
      <c r="I2" s="2" t="n"/>
      <c r="J2" s="2" t="n"/>
      <c r="K2" s="2" t="n"/>
      <c r="L2" s="2" t="n"/>
      <c r="M2" s="2" t="n"/>
      <c r="N2" s="2" t="n"/>
    </row>
    <row r="3" ht="36" customHeight="1">
      <c r="A3" s="6" t="inlineStr">
        <is>
          <t>Column C contains five evidence types. HESA gives comparable 2024/25 income for all 54 researched UK institutions; original accounts and Australian evidence retained.</t>
        </is>
      </c>
      <c r="G3" s="2" t="n"/>
      <c r="H3" s="2" t="n"/>
      <c r="I3" s="2" t="n"/>
      <c r="J3" s="2" t="n"/>
      <c r="K3" s="2" t="n"/>
      <c r="L3" s="2" t="n"/>
      <c r="M3" s="2" t="n"/>
      <c r="N3" s="2" t="n"/>
    </row>
    <row r="4" ht="36" customHeight="1">
      <c r="A4" s="6" t="inlineStr">
        <is>
          <t>Growth is calculated only within matching categories and periods. Do not sum different definitions, reporting entities, periods or currencies. HESA figures link by UKPRN; no HESA growth is implied.</t>
        </is>
      </c>
      <c r="G4" s="2" t="n"/>
      <c r="H4" s="2" t="n"/>
      <c r="I4" s="2" t="n"/>
      <c r="J4" s="2" t="n"/>
      <c r="K4" s="2" t="n"/>
      <c r="L4" s="2" t="n"/>
      <c r="M4" s="2" t="n"/>
      <c r="N4" s="2" t="n"/>
    </row>
    <row r="5">
      <c r="A5" s="2" t="n"/>
      <c r="B5" s="2" t="n"/>
      <c r="C5" s="2" t="n"/>
      <c r="D5" s="2" t="n"/>
      <c r="E5" s="2" t="n"/>
      <c r="F5" s="2" t="n"/>
      <c r="G5" s="2" t="n"/>
      <c r="H5" s="2" t="n"/>
      <c r="I5" s="2" t="n"/>
      <c r="J5" s="2" t="n"/>
      <c r="K5" s="2" t="n"/>
      <c r="L5" s="2" t="n"/>
      <c r="M5" s="2" t="n"/>
      <c r="N5" s="2" t="n"/>
    </row>
    <row r="6" ht="40" customHeight="1">
      <c r="A6" s="9" t="inlineStr">
        <is>
          <t>Country</t>
        </is>
      </c>
      <c r="B6" s="9" t="inlineStr">
        <is>
          <t>University</t>
        </is>
      </c>
      <c r="C6" s="9" t="inlineStr">
        <is>
          <t>Evidence type</t>
        </is>
      </c>
      <c r="D6" s="9" t="inlineStr">
        <is>
          <t>Reported metric</t>
        </is>
      </c>
      <c r="E6" s="9" t="inlineStr">
        <is>
          <t>Unit</t>
        </is>
      </c>
      <c r="F6" s="9" t="inlineStr">
        <is>
          <t>Prior period</t>
        </is>
      </c>
      <c r="G6" s="9" t="inlineStr">
        <is>
          <t>Prior value</t>
        </is>
      </c>
      <c r="H6" s="9" t="inlineStr">
        <is>
          <t>Current period</t>
        </is>
      </c>
      <c r="I6" s="9" t="inlineStr">
        <is>
          <t>Current value</t>
        </is>
      </c>
      <c r="J6" s="9" t="inlineStr">
        <is>
          <t>Growth</t>
        </is>
      </c>
      <c r="K6" s="9" t="inlineStr">
        <is>
          <t>Reporting coverage</t>
        </is>
      </c>
      <c r="L6" s="9" t="inlineStr">
        <is>
          <t>Interpretation / limitation</t>
        </is>
      </c>
      <c r="M6" s="9" t="inlineStr">
        <is>
          <t>Primary source</t>
        </is>
      </c>
      <c r="N6" s="9" t="inlineStr">
        <is>
          <t>HESA UKPRN</t>
        </is>
      </c>
    </row>
    <row r="7" ht="110" customHeight="1">
      <c r="A7" s="10" t="inlineStr">
        <is>
          <t>UK</t>
        </is>
      </c>
      <c r="B7" s="11" t="inlineStr">
        <is>
          <t>Birmingham</t>
        </is>
      </c>
      <c r="C7" s="10" t="inlineStr">
        <is>
          <t>Reported course revenue</t>
        </is>
      </c>
      <c r="D7" s="10" t="inlineStr">
        <is>
          <t>Other courses</t>
        </is>
      </c>
      <c r="E7" s="10" t="inlineStr">
        <is>
          <t>GBP m</t>
        </is>
      </c>
      <c r="F7" s="10" t="inlineStr">
        <is>
          <t>2023/24</t>
        </is>
      </c>
      <c r="G7" s="83" t="n">
        <v>1.92</v>
      </c>
      <c r="H7" s="83" t="inlineStr">
        <is>
          <t>2024/25</t>
        </is>
      </c>
      <c r="I7" s="83" t="n">
        <v>6.199</v>
      </c>
      <c r="J7" s="84">
        <f>IF(G7=0,"n.a.",I7/G7-1)</f>
        <v/>
      </c>
      <c r="K7" s="10" t="inlineStr">
        <is>
          <t>Broader fee category</t>
        </is>
      </c>
      <c r="L7" s="10" t="inlineStr">
        <is>
          <t>Large increase in a broader course-fee category. Standalone lifelong-learning income is not separated.</t>
        </is>
      </c>
      <c r="M7" s="10" t="inlineStr">
        <is>
          <t>https://www.birmingham.ac.uk/documents/finance/uob-annual-report-and-accounts-2024-25.pdf</t>
        </is>
      </c>
      <c r="N7" s="10" t="inlineStr">
        <is>
          <t>10006840</t>
        </is>
      </c>
    </row>
    <row r="8" ht="110" customHeight="1">
      <c r="A8" s="10" t="inlineStr">
        <is>
          <t>UK</t>
        </is>
      </c>
      <c r="B8" s="11" t="inlineStr">
        <is>
          <t>Bristol</t>
        </is>
      </c>
      <c r="C8" s="10" t="inlineStr">
        <is>
          <t>Reported course revenue</t>
        </is>
      </c>
      <c r="D8" s="10" t="inlineStr">
        <is>
          <t>Short course fees</t>
        </is>
      </c>
      <c r="E8" s="10" t="inlineStr">
        <is>
          <t>GBP m</t>
        </is>
      </c>
      <c r="F8" s="10" t="inlineStr">
        <is>
          <t>2023/24</t>
        </is>
      </c>
      <c r="G8" s="83" t="n">
        <v>6.5</v>
      </c>
      <c r="H8" s="83" t="inlineStr">
        <is>
          <t>2024/25</t>
        </is>
      </c>
      <c r="I8" s="83" t="n">
        <v>6.2</v>
      </c>
      <c r="J8" s="84">
        <f>IF(G8=0,"n.a.",I8/G8-1)</f>
        <v/>
      </c>
      <c r="K8" s="10" t="inlineStr">
        <is>
          <t>Consolidated</t>
        </is>
      </c>
      <c r="L8" s="10" t="inlineStr">
        <is>
          <t>Note 1. Excludes separately reported research training support. Not necessarily the whole lifelong-learning portfolio.</t>
        </is>
      </c>
      <c r="M8" s="10" t="inlineStr">
        <is>
          <t>https://www.bristol.ac.uk/media-library/sites/finance/documents/UoB_ARFS2025_WEB.pdf</t>
        </is>
      </c>
      <c r="N8" s="10" t="inlineStr">
        <is>
          <t>10007786</t>
        </is>
      </c>
    </row>
    <row r="9" ht="110" customHeight="1">
      <c r="A9" s="10" t="inlineStr">
        <is>
          <t>UK</t>
        </is>
      </c>
      <c r="B9" s="11" t="inlineStr">
        <is>
          <t>Cambridge</t>
        </is>
      </c>
      <c r="C9" s="10" t="inlineStr">
        <is>
          <t>Reported course revenue</t>
        </is>
      </c>
      <c r="D9" s="10" t="inlineStr">
        <is>
          <t>ICE academic fee income</t>
        </is>
      </c>
      <c r="E9" s="10" t="inlineStr">
        <is>
          <t>GBP m</t>
        </is>
      </c>
      <c r="F9" s="10" t="inlineStr">
        <is>
          <t>2022/23</t>
        </is>
      </c>
      <c r="G9" s="83" t="n">
        <v>7.721</v>
      </c>
      <c r="H9" s="83" t="inlineStr">
        <is>
          <t>2023/24</t>
        </is>
      </c>
      <c r="I9" s="83" t="n">
        <v>8.946</v>
      </c>
      <c r="J9" s="84">
        <f>IF(G9=0,"n.a.",I9/G9-1)</f>
        <v/>
      </c>
      <c r="K9" s="10" t="inlineStr">
        <is>
          <t>Institute for Continuing Education</t>
        </is>
      </c>
      <c r="L9" s="10" t="inlineStr">
        <is>
          <t>Institute only. Includes award and non-award study. 2023/24 evidence, not the latest university-wide total.</t>
        </is>
      </c>
      <c r="M9" s="10" t="inlineStr">
        <is>
          <t>https://www.pace.cam.ac.uk/sites/default/files/2026-07/ICE%20Annual%20Report%20202324.pdf</t>
        </is>
      </c>
      <c r="N9" s="10" t="inlineStr">
        <is>
          <t>10007788</t>
        </is>
      </c>
    </row>
    <row r="10" ht="110" customHeight="1">
      <c r="A10" s="10" t="inlineStr">
        <is>
          <t>UK</t>
        </is>
      </c>
      <c r="B10" s="11" t="inlineStr">
        <is>
          <t>Cardiff</t>
        </is>
      </c>
      <c r="C10" s="10" t="inlineStr">
        <is>
          <t>Reported course revenue</t>
        </is>
      </c>
      <c r="D10" s="10" t="inlineStr">
        <is>
          <t>External CPD income</t>
        </is>
      </c>
      <c r="E10" s="10" t="inlineStr">
        <is>
          <t>GBP m</t>
        </is>
      </c>
      <c r="F10" s="10" t="inlineStr">
        <is>
          <t>2021/22</t>
        </is>
      </c>
      <c r="G10" s="83" t="n">
        <v>7.209159</v>
      </c>
      <c r="H10" s="83" t="inlineStr">
        <is>
          <t>2022/23</t>
        </is>
      </c>
      <c r="I10" s="83" t="n">
        <v>7.903582</v>
      </c>
      <c r="J10" s="84">
        <f>IF(G10=0,"n.a.",I10/G10-1)</f>
        <v/>
      </c>
      <c r="K10" s="10" t="inlineStr">
        <is>
          <t>University HE-BCI CPD return</t>
        </is>
      </c>
      <c r="L10" s="10" t="inlineStr">
        <is>
          <t>CPD Unit Review 2023. Report rounds growth to 10%. Actual values imply 9.6%. Older evidence. Learner hours fell 5%.</t>
        </is>
      </c>
      <c r="M10" s="10" t="inlineStr">
        <is>
          <t>https://www.cardiff.ac.uk/__data/assets/pdf_file/0007/2806738/Annual-Review-English-2023.pdf</t>
        </is>
      </c>
      <c r="N10" s="10" t="inlineStr">
        <is>
          <t>10007814</t>
        </is>
      </c>
    </row>
    <row r="11" ht="110" customHeight="1">
      <c r="A11" s="10" t="inlineStr">
        <is>
          <t>UK</t>
        </is>
      </c>
      <c r="B11" s="11" t="inlineStr">
        <is>
          <t>Durham</t>
        </is>
      </c>
      <c r="C11" s="10" t="inlineStr">
        <is>
          <t>No numeric evidence</t>
        </is>
      </c>
      <c r="D11" s="10" t="inlineStr">
        <is>
          <t>Additional accounts category unverified</t>
        </is>
      </c>
      <c r="E11" s="10" t="inlineStr">
        <is>
          <t>GBP m</t>
        </is>
      </c>
      <c r="F11" s="10" t="inlineStr">
        <is>
          <t>n.a.</t>
        </is>
      </c>
      <c r="G11" s="83" t="inlineStr">
        <is>
          <t>n.a.</t>
        </is>
      </c>
      <c r="H11" s="83" t="inlineStr">
        <is>
          <t>n.a.</t>
        </is>
      </c>
      <c r="I11" s="83" t="inlineStr">
        <is>
          <t>n.a.</t>
        </is>
      </c>
      <c r="J11" s="84" t="inlineStr">
        <is>
          <t>n.a.</t>
        </is>
      </c>
      <c r="K11" s="10" t="inlineStr">
        <is>
          <t>Evidence gap</t>
        </is>
      </c>
      <c r="L11" s="10" t="inlineStr">
        <is>
          <t>Supplementary accounts evidence; comparable CPD/CE income is in the HESA row. Professional short courses and executive education exist. No separate revenue or growth figure confirmed in this scan.</t>
        </is>
      </c>
      <c r="M11" s="10" t="inlineStr">
        <is>
          <t>https://dur.ac.uk/departments/academic/psychology/short-courses/</t>
        </is>
      </c>
      <c r="N11" s="10" t="inlineStr">
        <is>
          <t>10007143</t>
        </is>
      </c>
    </row>
    <row r="12" ht="110" customHeight="1">
      <c r="A12" s="10" t="inlineStr">
        <is>
          <t>UK</t>
        </is>
      </c>
      <c r="B12" s="11" t="inlineStr">
        <is>
          <t>Edinburgh</t>
        </is>
      </c>
      <c r="C12" s="10" t="inlineStr">
        <is>
          <t>Reported course revenue</t>
        </is>
      </c>
      <c r="D12" s="10" t="inlineStr">
        <is>
          <t>Short course and other fees / support grants</t>
        </is>
      </c>
      <c r="E12" s="10" t="inlineStr">
        <is>
          <t>GBP m</t>
        </is>
      </c>
      <c r="F12" s="10" t="inlineStr">
        <is>
          <t>2023/24</t>
        </is>
      </c>
      <c r="G12" s="83" t="n">
        <v>6.3</v>
      </c>
      <c r="H12" s="83" t="inlineStr">
        <is>
          <t>2024/25</t>
        </is>
      </c>
      <c r="I12" s="83" t="n">
        <v>7</v>
      </c>
      <c r="J12" s="84">
        <f>IF(G12=0,"n.a.",I12/G12-1)</f>
        <v/>
      </c>
      <c r="K12" s="10" t="inlineStr">
        <is>
          <t>Consolidated and institution</t>
        </is>
      </c>
      <c r="L12" s="10" t="inlineStr">
        <is>
          <t>Non-credit-bearing category combines short courses with other fees and support grants. Broader than a pure CPD total.</t>
        </is>
      </c>
      <c r="M12" s="10" t="inlineStr">
        <is>
          <t>https://uoe-finance.ed.ac.uk/sites/default/files/2026-01/Annual%20Report%20and%20Accounts%20for%202024/25.pdf</t>
        </is>
      </c>
      <c r="N12" s="10" t="inlineStr">
        <is>
          <t>10007790</t>
        </is>
      </c>
    </row>
    <row r="13" ht="110" customHeight="1">
      <c r="A13" s="10" t="inlineStr">
        <is>
          <t>UK</t>
        </is>
      </c>
      <c r="B13" s="11" t="inlineStr">
        <is>
          <t>Exeter</t>
        </is>
      </c>
      <c r="C13" s="10" t="inlineStr">
        <is>
          <t>No numeric evidence</t>
        </is>
      </c>
      <c r="D13" s="10" t="inlineStr">
        <is>
          <t>Additional accounts category unverified</t>
        </is>
      </c>
      <c r="E13" s="10" t="inlineStr">
        <is>
          <t>GBP m</t>
        </is>
      </c>
      <c r="F13" s="10" t="inlineStr">
        <is>
          <t>n.a.</t>
        </is>
      </c>
      <c r="G13" s="83" t="inlineStr">
        <is>
          <t>n.a.</t>
        </is>
      </c>
      <c r="H13" s="83" t="inlineStr">
        <is>
          <t>n.a.</t>
        </is>
      </c>
      <c r="I13" s="83" t="inlineStr">
        <is>
          <t>n.a.</t>
        </is>
      </c>
      <c r="J13" s="84" t="inlineStr">
        <is>
          <t>n.a.</t>
        </is>
      </c>
      <c r="K13" s="10" t="inlineStr">
        <is>
          <t>Evidence gap</t>
        </is>
      </c>
      <c r="L13" s="10" t="inlineStr">
        <is>
          <t>Supplementary accounts evidence; comparable CPD/CE income is in the HESA row. Financial statements identified. A separate lifelong-learning revenue or growth figure was not confirmed.</t>
        </is>
      </c>
      <c r="M13" s="10" t="inlineStr">
        <is>
          <t>https://www.exeter.ac.uk/departments/finance/aboutus/financialstatements/</t>
        </is>
      </c>
      <c r="N13" s="10" t="inlineStr">
        <is>
          <t>10007792</t>
        </is>
      </c>
    </row>
    <row r="14" ht="110" customHeight="1">
      <c r="A14" s="10" t="inlineStr">
        <is>
          <t>UK</t>
        </is>
      </c>
      <c r="B14" s="11" t="inlineStr">
        <is>
          <t>Glasgow</t>
        </is>
      </c>
      <c r="C14" s="10" t="inlineStr">
        <is>
          <t>Reported course revenue</t>
        </is>
      </c>
      <c r="D14" s="10" t="inlineStr">
        <is>
          <t>Short courses</t>
        </is>
      </c>
      <c r="E14" s="10" t="inlineStr">
        <is>
          <t>GBP m</t>
        </is>
      </c>
      <c r="F14" s="10" t="inlineStr">
        <is>
          <t>2023/24</t>
        </is>
      </c>
      <c r="G14" s="83" t="n">
        <v>5.6</v>
      </c>
      <c r="H14" s="83" t="inlineStr">
        <is>
          <t>2024/25</t>
        </is>
      </c>
      <c r="I14" s="83" t="n">
        <v>6.3</v>
      </c>
      <c r="J14" s="84">
        <f>IF(G14=0,"n.a.",I14/G14-1)</f>
        <v/>
      </c>
      <c r="K14" s="10" t="inlineStr">
        <is>
          <t>University financial statements</t>
        </is>
      </c>
      <c r="L14" s="10" t="inlineStr">
        <is>
          <t>Note 1. Revenue category, not profit or a student-participation measure.</t>
        </is>
      </c>
      <c r="M14" s="10" t="inlineStr">
        <is>
          <t>https://www.gla.ac.uk/media/Media_1230503_smxx.pdf</t>
        </is>
      </c>
      <c r="N14" s="10" t="inlineStr">
        <is>
          <t>10007794</t>
        </is>
      </c>
    </row>
    <row r="15" ht="110" customHeight="1">
      <c r="A15" s="10" t="inlineStr">
        <is>
          <t>UK</t>
        </is>
      </c>
      <c r="B15" s="11" t="inlineStr">
        <is>
          <t>Imperial College London</t>
        </is>
      </c>
      <c r="C15" s="10" t="inlineStr">
        <is>
          <t>Reported course revenue</t>
        </is>
      </c>
      <c r="D15" s="10" t="inlineStr">
        <is>
          <t>Short course fees</t>
        </is>
      </c>
      <c r="E15" s="10" t="inlineStr">
        <is>
          <t>GBP m</t>
        </is>
      </c>
      <c r="F15" s="10" t="inlineStr">
        <is>
          <t>2023/24</t>
        </is>
      </c>
      <c r="G15" s="83" t="n">
        <v>17.3</v>
      </c>
      <c r="H15" s="83" t="inlineStr">
        <is>
          <t>2024/25</t>
        </is>
      </c>
      <c r="I15" s="83" t="n">
        <v>20.9</v>
      </c>
      <c r="J15" s="84">
        <f>IF(G15=0,"n.a.",I15/G15-1)</f>
        <v/>
      </c>
      <c r="K15" s="10" t="inlineStr">
        <is>
          <t>Consolidated</t>
        </is>
      </c>
      <c r="L15" s="10" t="inlineStr">
        <is>
          <t>Note 1. University-only figure is £21.2m in 2025. Uses consolidated values consistently.</t>
        </is>
      </c>
      <c r="M15" s="10" t="inlineStr">
        <is>
          <t>https://www.imperial.ac.uk/media/imperial-college/administration-and-support-services/finance/public/Annual_Report_2024-25_web.pdf</t>
        </is>
      </c>
      <c r="N15" s="10" t="inlineStr">
        <is>
          <t>10003270</t>
        </is>
      </c>
    </row>
    <row r="16" ht="110" customHeight="1">
      <c r="A16" s="10" t="inlineStr">
        <is>
          <t>UK</t>
        </is>
      </c>
      <c r="B16" s="11" t="inlineStr">
        <is>
          <t>King’s College London</t>
        </is>
      </c>
      <c r="C16" s="10" t="inlineStr">
        <is>
          <t>Reported course revenue</t>
        </is>
      </c>
      <c r="D16" s="10" t="inlineStr">
        <is>
          <t>Special and short course fees</t>
        </is>
      </c>
      <c r="E16" s="10" t="inlineStr">
        <is>
          <t>GBP m</t>
        </is>
      </c>
      <c r="F16" s="10" t="inlineStr">
        <is>
          <t>2023/24</t>
        </is>
      </c>
      <c r="G16" s="83" t="n">
        <v>42.444</v>
      </c>
      <c r="H16" s="83" t="inlineStr">
        <is>
          <t>2024/25</t>
        </is>
      </c>
      <c r="I16" s="83" t="n">
        <v>49.153</v>
      </c>
      <c r="J16" s="84">
        <f>IF(G16=0,"n.a.",I16/G16-1)</f>
        <v/>
      </c>
      <c r="K16" s="10" t="inlineStr">
        <is>
          <t>Consolidated and university</t>
        </is>
      </c>
      <c r="L16" s="10" t="inlineStr">
        <is>
          <t>Note 1. Special and short courses are combined. Not a standalone lifelong-learning division total.</t>
        </is>
      </c>
      <c r="M16" s="10" t="inlineStr">
        <is>
          <t>https://www.kcl.ac.uk/assets/pdf24/financial-statements-2024-25.pdf</t>
        </is>
      </c>
      <c r="N16" s="10" t="inlineStr">
        <is>
          <t>10003645</t>
        </is>
      </c>
    </row>
    <row r="17" ht="110" customHeight="1">
      <c r="A17" s="10" t="inlineStr">
        <is>
          <t>UK</t>
        </is>
      </c>
      <c r="B17" s="11" t="inlineStr">
        <is>
          <t>Leeds</t>
        </is>
      </c>
      <c r="C17" s="10" t="inlineStr">
        <is>
          <t>Reported course revenue</t>
        </is>
      </c>
      <c r="D17" s="10" t="inlineStr">
        <is>
          <t>Short course fees</t>
        </is>
      </c>
      <c r="E17" s="10" t="inlineStr">
        <is>
          <t>GBP m</t>
        </is>
      </c>
      <c r="F17" s="10" t="inlineStr">
        <is>
          <t>2023/24</t>
        </is>
      </c>
      <c r="G17" s="83" t="n">
        <v>19.054</v>
      </c>
      <c r="H17" s="83" t="inlineStr">
        <is>
          <t>2024/25</t>
        </is>
      </c>
      <c r="I17" s="83" t="n">
        <v>20.669</v>
      </c>
      <c r="J17" s="84">
        <f>IF(G17=0,"n.a.",I17/G17-1)</f>
        <v/>
      </c>
      <c r="K17" s="10" t="inlineStr">
        <is>
          <t>Consolidated</t>
        </is>
      </c>
      <c r="L17" s="10" t="inlineStr">
        <is>
          <t>Note 1. Uses group values. Research training support and other fees are excluded.</t>
        </is>
      </c>
      <c r="M17" s="10" t="inlineStr">
        <is>
          <t>https://www.leeds.ac.uk/download/downloads/id/3533/annual-report-and-accounts-2024-25.pdf</t>
        </is>
      </c>
      <c r="N17" s="10" t="inlineStr">
        <is>
          <t>10007795</t>
        </is>
      </c>
    </row>
    <row r="18" ht="110" customHeight="1">
      <c r="A18" s="10" t="inlineStr">
        <is>
          <t>UK</t>
        </is>
      </c>
      <c r="B18" s="11" t="inlineStr">
        <is>
          <t>Liverpool</t>
        </is>
      </c>
      <c r="C18" s="10" t="inlineStr">
        <is>
          <t>Reported course revenue</t>
        </is>
      </c>
      <c r="D18" s="10" t="inlineStr">
        <is>
          <t>Special courses</t>
        </is>
      </c>
      <c r="E18" s="10" t="inlineStr">
        <is>
          <t>GBP m</t>
        </is>
      </c>
      <c r="F18" s="10" t="inlineStr">
        <is>
          <t>2023/24</t>
        </is>
      </c>
      <c r="G18" s="83" t="n">
        <v>12.2</v>
      </c>
      <c r="H18" s="83" t="inlineStr">
        <is>
          <t>2024/25</t>
        </is>
      </c>
      <c r="I18" s="83" t="n">
        <v>12.1</v>
      </c>
      <c r="J18" s="84">
        <f>IF(G18=0,"n.a.",I18/G18-1)</f>
        <v/>
      </c>
      <c r="K18" s="10" t="inlineStr">
        <is>
          <t>Consolidated</t>
        </is>
      </c>
      <c r="L18" s="10" t="inlineStr">
        <is>
          <t>Note 2. Broader special-course category. Not verified as a pure CPD or continuing-education total.</t>
        </is>
      </c>
      <c r="M18" s="10" t="inlineStr">
        <is>
          <t>https://www.liverpool.ac.uk/media/livacuk/finance/financial-statements-2024-2025.pdf</t>
        </is>
      </c>
      <c r="N18" s="10" t="inlineStr">
        <is>
          <t>10006842</t>
        </is>
      </c>
    </row>
    <row r="19" ht="110" customHeight="1">
      <c r="A19" s="10" t="inlineStr">
        <is>
          <t>UK</t>
        </is>
      </c>
      <c r="B19" s="11" t="inlineStr">
        <is>
          <t>London School of Economics</t>
        </is>
      </c>
      <c r="C19" s="10" t="inlineStr">
        <is>
          <t>Reported course revenue</t>
        </is>
      </c>
      <c r="D19" s="10" t="inlineStr">
        <is>
          <t>Non-qualifying-course fees</t>
        </is>
      </c>
      <c r="E19" s="10" t="inlineStr">
        <is>
          <t>GBP m</t>
        </is>
      </c>
      <c r="F19" s="10" t="inlineStr">
        <is>
          <t>2023/24</t>
        </is>
      </c>
      <c r="G19" s="83" t="n">
        <v>40.865</v>
      </c>
      <c r="H19" s="83" t="inlineStr">
        <is>
          <t>2024/25</t>
        </is>
      </c>
      <c r="I19" s="83" t="n">
        <v>42.373</v>
      </c>
      <c r="J19" s="84">
        <f>IF(G19=0,"n.a.",I19/G19-1)</f>
        <v/>
      </c>
      <c r="K19" s="10" t="inlineStr">
        <is>
          <t>Group</t>
        </is>
      </c>
      <c r="L19" s="10" t="inlineStr">
        <is>
          <t>Accounts category is a proxy, not an isolated Lifelong Learning Division total. Summer School and other non-qualifying provision may be included.</t>
        </is>
      </c>
      <c r="M19" s="10" t="inlineStr">
        <is>
          <t>https://info.lse.ac.uk/staff/divisions/Finance-Division/assets/annual-accounts/PDF/LSE-Financial-Statements-FY-24-25-FINAL-Signatures-Redacted.pdf</t>
        </is>
      </c>
      <c r="N19" s="10" t="inlineStr">
        <is>
          <t>10004063</t>
        </is>
      </c>
    </row>
    <row r="20" ht="110" customHeight="1">
      <c r="A20" s="10" t="inlineStr">
        <is>
          <t>UK</t>
        </is>
      </c>
      <c r="B20" s="11" t="inlineStr">
        <is>
          <t>London School of Economics</t>
        </is>
      </c>
      <c r="C20" s="10" t="inlineStr">
        <is>
          <t>Participation</t>
        </is>
      </c>
      <c r="D20" s="10" t="inlineStr">
        <is>
          <t>Online student numbers</t>
        </is>
      </c>
      <c r="E20" s="10" t="inlineStr">
        <is>
          <t>Enrolments</t>
        </is>
      </c>
      <c r="F20" s="10" t="inlineStr">
        <is>
          <t>2023/24</t>
        </is>
      </c>
      <c r="G20" s="82" t="n">
        <v>10213</v>
      </c>
      <c r="H20" s="82" t="inlineStr">
        <is>
          <t>2024/25</t>
        </is>
      </c>
      <c r="I20" s="82" t="n">
        <v>9230</v>
      </c>
      <c r="J20" s="84">
        <f>IF(G20=0,"n.a.",I20/G20-1)</f>
        <v/>
      </c>
      <c r="K20" s="10" t="inlineStr">
        <is>
          <t>Participation, not revenue</t>
        </is>
      </c>
      <c r="L20" s="10" t="inlineStr">
        <is>
          <t>Uses the 2024/25 report’s own 2023/24 comparative for a consistent series. This online student-number category is separate from revenue.</t>
        </is>
      </c>
      <c r="M20" s="10" t="inlineStr">
        <is>
          <t>https://info.lse.ac.uk/staff/divisions/Finance-Division/assets/annual-accounts/PDF/LSE-Financial-Statements-FY-24-25-FINAL-Signatures-Redacted.pdf</t>
        </is>
      </c>
      <c r="N20" s="10" t="inlineStr">
        <is>
          <t>10004063</t>
        </is>
      </c>
    </row>
    <row r="21" ht="110" customHeight="1">
      <c r="A21" s="10" t="inlineStr">
        <is>
          <t>UK</t>
        </is>
      </c>
      <c r="B21" s="11" t="inlineStr">
        <is>
          <t>Manchester</t>
        </is>
      </c>
      <c r="C21" s="10" t="inlineStr">
        <is>
          <t>Reported course revenue</t>
        </is>
      </c>
      <c r="D21" s="10" t="inlineStr">
        <is>
          <t>Short course fees</t>
        </is>
      </c>
      <c r="E21" s="10" t="inlineStr">
        <is>
          <t>GBP m</t>
        </is>
      </c>
      <c r="F21" s="10" t="inlineStr">
        <is>
          <t>2023/24</t>
        </is>
      </c>
      <c r="G21" s="83" t="n">
        <v>27.334</v>
      </c>
      <c r="H21" s="83" t="inlineStr">
        <is>
          <t>2024/25</t>
        </is>
      </c>
      <c r="I21" s="83" t="n">
        <v>28.053</v>
      </c>
      <c r="J21" s="84">
        <f>IF(G21=0,"n.a.",I21/G21-1)</f>
        <v/>
      </c>
      <c r="K21" s="10" t="inlineStr">
        <is>
          <t>Consolidated</t>
        </is>
      </c>
      <c r="L21" s="10" t="inlineStr">
        <is>
          <t>Note 1. Exact audited values rather than rounded infographic values.</t>
        </is>
      </c>
      <c r="M21" s="10" t="inlineStr">
        <is>
          <t>https://documents.manchester.ac.uk/display.aspx?DocID=78079</t>
        </is>
      </c>
      <c r="N21" s="10" t="inlineStr">
        <is>
          <t>10007798</t>
        </is>
      </c>
    </row>
    <row r="22" ht="110" customHeight="1">
      <c r="A22" s="10" t="inlineStr">
        <is>
          <t>UK</t>
        </is>
      </c>
      <c r="B22" s="11" t="inlineStr">
        <is>
          <t>Newcastle</t>
        </is>
      </c>
      <c r="C22" s="10" t="inlineStr">
        <is>
          <t>Reported course revenue</t>
        </is>
      </c>
      <c r="D22" s="10" t="inlineStr">
        <is>
          <t>Short courses</t>
        </is>
      </c>
      <c r="E22" s="10" t="inlineStr">
        <is>
          <t>GBP m</t>
        </is>
      </c>
      <c r="F22" s="10" t="inlineStr">
        <is>
          <t>2023/24</t>
        </is>
      </c>
      <c r="G22" s="83" t="n">
        <v>3.9</v>
      </c>
      <c r="H22" s="83" t="inlineStr">
        <is>
          <t>2024/25</t>
        </is>
      </c>
      <c r="I22" s="83" t="n">
        <v>4</v>
      </c>
      <c r="J22" s="84">
        <f>IF(G22=0,"n.a.",I22/G22-1)</f>
        <v/>
      </c>
      <c r="K22" s="10" t="inlineStr">
        <is>
          <t>Consolidated</t>
        </is>
      </c>
      <c r="L22" s="10" t="inlineStr">
        <is>
          <t>University-only 2024 value is £3.8m. Uses consistent group values for growth.</t>
        </is>
      </c>
      <c r="M22" s="10" t="inlineStr">
        <is>
          <t>https://www.ncl.ac.uk/mediav8/freedom-of-information/files/IAR-2425.pdf</t>
        </is>
      </c>
      <c r="N22" s="10" t="inlineStr">
        <is>
          <t>10007799</t>
        </is>
      </c>
    </row>
    <row r="23" ht="110" customHeight="1">
      <c r="A23" s="10" t="inlineStr">
        <is>
          <t>UK</t>
        </is>
      </c>
      <c r="B23" s="11" t="inlineStr">
        <is>
          <t>Nottingham</t>
        </is>
      </c>
      <c r="C23" s="10" t="inlineStr">
        <is>
          <t>Reported course revenue</t>
        </is>
      </c>
      <c r="D23" s="10" t="inlineStr">
        <is>
          <t>Non-qualifying-course fees</t>
        </is>
      </c>
      <c r="E23" s="10" t="inlineStr">
        <is>
          <t>GBP m</t>
        </is>
      </c>
      <c r="F23" s="10" t="inlineStr">
        <is>
          <t>2023/24</t>
        </is>
      </c>
      <c r="G23" s="83" t="n">
        <v>5.7</v>
      </c>
      <c r="H23" s="83" t="inlineStr">
        <is>
          <t>2024/25</t>
        </is>
      </c>
      <c r="I23" s="83" t="n">
        <v>5.2</v>
      </c>
      <c r="J23" s="84">
        <f>IF(G23=0,"n.a.",I23/G23-1)</f>
        <v/>
      </c>
      <c r="K23" s="10" t="inlineStr">
        <is>
          <t>Broader fee category</t>
        </is>
      </c>
      <c r="L23" s="10" t="inlineStr">
        <is>
          <t>Note 4. Proxy only. Larger non-credit-bearing courses and other-fees line is £23.4m and is not substituted for lifelong-learning income.</t>
        </is>
      </c>
      <c r="M23" s="10" t="inlineStr">
        <is>
          <t>https://www.nottingham.ac.uk/fabs/finance/documents/financialstatements/2025-university-of-nottingham-report-accounts-signed.pdf</t>
        </is>
      </c>
      <c r="N23" s="10" t="inlineStr">
        <is>
          <t>10007154</t>
        </is>
      </c>
    </row>
    <row r="24" ht="110" customHeight="1">
      <c r="A24" s="10" t="inlineStr">
        <is>
          <t>UK</t>
        </is>
      </c>
      <c r="B24" s="11" t="inlineStr">
        <is>
          <t>Oxford</t>
        </is>
      </c>
      <c r="C24" s="10" t="inlineStr">
        <is>
          <t>Qualitative growth</t>
        </is>
      </c>
      <c r="D24" s="10" t="inlineStr">
        <is>
          <t>Executive-education growth noted</t>
        </is>
      </c>
      <c r="E24" s="10" t="inlineStr">
        <is>
          <t>GBP m</t>
        </is>
      </c>
      <c r="F24" s="10" t="inlineStr">
        <is>
          <t>2023/24</t>
        </is>
      </c>
      <c r="G24" s="83" t="inlineStr">
        <is>
          <t>n.a.</t>
        </is>
      </c>
      <c r="H24" s="83" t="inlineStr">
        <is>
          <t>2024/25</t>
        </is>
      </c>
      <c r="I24" s="83" t="inlineStr">
        <is>
          <t>n.a.</t>
        </is>
      </c>
      <c r="J24" s="84" t="inlineStr">
        <is>
          <t>n.a.</t>
        </is>
      </c>
      <c r="K24" s="10" t="inlineStr">
        <is>
          <t>Qualitative growth evidence</t>
        </is>
      </c>
      <c r="L24" s="10" t="inlineStr">
        <is>
          <t>2024/25 financial review identifies executive-education growth as one tuition-income driver. No isolated revenue or percentage verified.</t>
        </is>
      </c>
      <c r="M24" s="10" t="inlineStr">
        <is>
          <t>https://www.ox.ac.uk/sites/files/oxford/Oxford_University_Annual_Report_Accounts_2024-25.pdf</t>
        </is>
      </c>
      <c r="N24" s="10" t="inlineStr">
        <is>
          <t>10007774</t>
        </is>
      </c>
    </row>
    <row r="25" ht="110" customHeight="1">
      <c r="A25" s="10" t="inlineStr">
        <is>
          <t>UK</t>
        </is>
      </c>
      <c r="B25" s="11" t="inlineStr">
        <is>
          <t>Queen Mary University of London</t>
        </is>
      </c>
      <c r="C25" s="10" t="inlineStr">
        <is>
          <t>No numeric evidence</t>
        </is>
      </c>
      <c r="D25" s="10" t="inlineStr">
        <is>
          <t>Additional accounts category unverified</t>
        </is>
      </c>
      <c r="E25" s="10" t="inlineStr">
        <is>
          <t>GBP m</t>
        </is>
      </c>
      <c r="F25" s="10" t="inlineStr">
        <is>
          <t>n.a.</t>
        </is>
      </c>
      <c r="G25" s="83" t="inlineStr">
        <is>
          <t>n.a.</t>
        </is>
      </c>
      <c r="H25" s="83" t="inlineStr">
        <is>
          <t>2025</t>
        </is>
      </c>
      <c r="I25" s="83" t="inlineStr">
        <is>
          <t>n.a.</t>
        </is>
      </c>
      <c r="J25" s="84" t="inlineStr">
        <is>
          <t>n.a.</t>
        </is>
      </c>
      <c r="K25" s="10" t="inlineStr">
        <is>
          <t>Evidence gap</t>
        </is>
      </c>
      <c r="L25" s="10" t="inlineStr">
        <is>
          <t>Supplementary accounts evidence; comparable CPD/CE income is in the HESA row. Healthcare Leadership Foundations online short course launched in January 2025. Launch is evidence of portfolio expansion, not revenue growth.</t>
        </is>
      </c>
      <c r="M25" s="10" t="inlineStr">
        <is>
          <t>https://www.qmul.ac.uk/digital-education-studio/our-work/the-care-agenda/</t>
        </is>
      </c>
      <c r="N25" s="10" t="inlineStr">
        <is>
          <t>10007775</t>
        </is>
      </c>
    </row>
    <row r="26" ht="110" customHeight="1">
      <c r="A26" s="10" t="inlineStr">
        <is>
          <t>UK</t>
        </is>
      </c>
      <c r="B26" s="11" t="inlineStr">
        <is>
          <t>Queen’s University Belfast</t>
        </is>
      </c>
      <c r="C26" s="10" t="inlineStr">
        <is>
          <t>No numeric evidence</t>
        </is>
      </c>
      <c r="D26" s="10" t="inlineStr">
        <is>
          <t>Additional accounts category unverified</t>
        </is>
      </c>
      <c r="E26" s="10" t="inlineStr">
        <is>
          <t>GBP m</t>
        </is>
      </c>
      <c r="F26" s="10" t="inlineStr">
        <is>
          <t>n.a.</t>
        </is>
      </c>
      <c r="G26" s="83" t="inlineStr">
        <is>
          <t>n.a.</t>
        </is>
      </c>
      <c r="H26" s="83" t="inlineStr">
        <is>
          <t>n.a.</t>
        </is>
      </c>
      <c r="I26" s="83" t="inlineStr">
        <is>
          <t>n.a.</t>
        </is>
      </c>
      <c r="J26" s="84" t="inlineStr">
        <is>
          <t>n.a.</t>
        </is>
      </c>
      <c r="K26" s="10" t="inlineStr">
        <is>
          <t>Evidence gap</t>
        </is>
      </c>
      <c r="L26" s="10" t="inlineStr">
        <is>
          <t>Supplementary accounts evidence; comparable CPD/CE income is in the HESA row. Short-course / microcredential provision exists. A standalone revenue or growth figure was not confirmed.</t>
        </is>
      </c>
      <c r="M26" s="10" t="inlineStr">
        <is>
          <t>https://www.qub.ac.uk/directorates/FinanceDirectorate/visitors/financial-statements/</t>
        </is>
      </c>
      <c r="N26" s="10" t="inlineStr">
        <is>
          <t>10005343</t>
        </is>
      </c>
    </row>
    <row r="27" ht="110" customHeight="1">
      <c r="A27" s="10" t="inlineStr">
        <is>
          <t>UK</t>
        </is>
      </c>
      <c r="B27" s="11" t="inlineStr">
        <is>
          <t>Sheffield</t>
        </is>
      </c>
      <c r="C27" s="10" t="inlineStr">
        <is>
          <t>No numeric evidence</t>
        </is>
      </c>
      <c r="D27" s="10" t="inlineStr">
        <is>
          <t>Additional accounts category unverified</t>
        </is>
      </c>
      <c r="E27" s="10" t="inlineStr">
        <is>
          <t>GBP m</t>
        </is>
      </c>
      <c r="F27" s="10" t="inlineStr">
        <is>
          <t>2023/24</t>
        </is>
      </c>
      <c r="G27" s="83" t="inlineStr">
        <is>
          <t>n.a.</t>
        </is>
      </c>
      <c r="H27" s="83" t="inlineStr">
        <is>
          <t>2024/25</t>
        </is>
      </c>
      <c r="I27" s="83" t="inlineStr">
        <is>
          <t>n.a.</t>
        </is>
      </c>
      <c r="J27" s="84" t="inlineStr">
        <is>
          <t>n.a.</t>
        </is>
      </c>
      <c r="K27" s="10" t="inlineStr">
        <is>
          <t>Evidence gap</t>
        </is>
      </c>
      <c r="L27" s="10" t="inlineStr">
        <is>
          <t>Supplementary accounts evidence; comparable CPD/CE income is in the HESA row. 2024/25 accounts disclose £29.6m non-qualifying-course fees, but research training and other contracts are bundled. Not used as lifelong-learning income.</t>
        </is>
      </c>
      <c r="M27" s="10" t="inlineStr">
        <is>
          <t>https://sheffield.ac.uk/media/112641/download?attachment=</t>
        </is>
      </c>
      <c r="N27" s="10" t="inlineStr">
        <is>
          <t>10007157</t>
        </is>
      </c>
    </row>
    <row r="28" ht="110" customHeight="1">
      <c r="A28" s="10" t="inlineStr">
        <is>
          <t>UK</t>
        </is>
      </c>
      <c r="B28" s="11" t="inlineStr">
        <is>
          <t>Southampton</t>
        </is>
      </c>
      <c r="C28" s="10" t="inlineStr">
        <is>
          <t>Reported course revenue</t>
        </is>
      </c>
      <c r="D28" s="10" t="inlineStr">
        <is>
          <t>Special and short course fees</t>
        </is>
      </c>
      <c r="E28" s="10" t="inlineStr">
        <is>
          <t>GBP m</t>
        </is>
      </c>
      <c r="F28" s="10" t="inlineStr">
        <is>
          <t>2023/24</t>
        </is>
      </c>
      <c r="G28" s="83" t="n">
        <v>9.315</v>
      </c>
      <c r="H28" s="83" t="inlineStr">
        <is>
          <t>2024/25</t>
        </is>
      </c>
      <c r="I28" s="83" t="n">
        <v>9.432</v>
      </c>
      <c r="J28" s="84">
        <f>IF(G28=0,"n.a.",I28/G28-1)</f>
        <v/>
      </c>
      <c r="K28" s="10" t="inlineStr">
        <is>
          <t>Consolidated</t>
        </is>
      </c>
      <c r="L28" s="10" t="inlineStr">
        <is>
          <t>Note 2. Combined special and short-course fee category.</t>
        </is>
      </c>
      <c r="M28" s="10" t="inlineStr">
        <is>
          <t>https://www.southampton.ac.uk/~assets/doc/finance/financial-statements-2024-25.pdf</t>
        </is>
      </c>
      <c r="N28" s="10" t="inlineStr">
        <is>
          <t>10007158</t>
        </is>
      </c>
    </row>
    <row r="29" ht="110" customHeight="1">
      <c r="A29" s="10" t="inlineStr">
        <is>
          <t>UK</t>
        </is>
      </c>
      <c r="B29" s="11" t="inlineStr">
        <is>
          <t>UCL</t>
        </is>
      </c>
      <c r="C29" s="10" t="inlineStr">
        <is>
          <t>Reported course revenue</t>
        </is>
      </c>
      <c r="D29" s="10" t="inlineStr">
        <is>
          <t>Short course fees</t>
        </is>
      </c>
      <c r="E29" s="10" t="inlineStr">
        <is>
          <t>GBP m</t>
        </is>
      </c>
      <c r="F29" s="10" t="inlineStr">
        <is>
          <t>2023/24</t>
        </is>
      </c>
      <c r="G29" s="83" t="n">
        <v>26.7</v>
      </c>
      <c r="H29" s="83" t="inlineStr">
        <is>
          <t>2024/25</t>
        </is>
      </c>
      <c r="I29" s="83" t="n">
        <v>30.3</v>
      </c>
      <c r="J29" s="84">
        <f>IF(G29=0,"n.a.",I29/G29-1)</f>
        <v/>
      </c>
      <c r="K29" s="10" t="inlineStr">
        <is>
          <t>Group</t>
        </is>
      </c>
      <c r="L29" s="10" t="inlineStr">
        <is>
          <t>Note 1. Research training support and other fees are separately reported and excluded here.</t>
        </is>
      </c>
      <c r="M29" s="10" t="inlineStr">
        <is>
          <t>https://www.ucl.ac.uk/about/sites/about/files/2026-02/UCL-Annual-Report-And-Accounts-2025-18feb26.pdf</t>
        </is>
      </c>
      <c r="N29" s="10" t="inlineStr">
        <is>
          <t>10007784</t>
        </is>
      </c>
    </row>
    <row r="30" ht="110" customHeight="1">
      <c r="A30" s="10" t="inlineStr">
        <is>
          <t>UK</t>
        </is>
      </c>
      <c r="B30" s="11" t="inlineStr">
        <is>
          <t>Warwick</t>
        </is>
      </c>
      <c r="C30" s="10" t="inlineStr">
        <is>
          <t>Reported course revenue</t>
        </is>
      </c>
      <c r="D30" s="10" t="inlineStr">
        <is>
          <t>Non-accredited short course fees</t>
        </is>
      </c>
      <c r="E30" s="10" t="inlineStr">
        <is>
          <t>GBP m</t>
        </is>
      </c>
      <c r="F30" s="10" t="inlineStr">
        <is>
          <t>2023/24</t>
        </is>
      </c>
      <c r="G30" s="83" t="n">
        <v>4.5</v>
      </c>
      <c r="H30" s="83" t="inlineStr">
        <is>
          <t>2024/25</t>
        </is>
      </c>
      <c r="I30" s="83" t="n">
        <v>5.7</v>
      </c>
      <c r="J30" s="84">
        <f>IF(G30=0,"n.a.",I30/G30-1)</f>
        <v/>
      </c>
      <c r="K30" s="10" t="inlineStr">
        <is>
          <t>University financial statements</t>
        </is>
      </c>
      <c r="L30" s="10" t="inlineStr">
        <is>
          <t>Note 2. Narrower category excludes accredited provision.</t>
        </is>
      </c>
      <c r="M30" s="10" t="inlineStr">
        <is>
          <t>https://warwick.ac.uk/services/finance/resources/accounts/annual-report-24_25_v24singlepages.pdf</t>
        </is>
      </c>
      <c r="N30" s="10" t="inlineStr">
        <is>
          <t>10007163</t>
        </is>
      </c>
    </row>
    <row r="31" ht="110" customHeight="1">
      <c r="A31" s="10" t="inlineStr">
        <is>
          <t>UK</t>
        </is>
      </c>
      <c r="B31" s="11" t="inlineStr">
        <is>
          <t>York</t>
        </is>
      </c>
      <c r="C31" s="10" t="inlineStr">
        <is>
          <t>Reported course revenue</t>
        </is>
      </c>
      <c r="D31" s="10" t="inlineStr">
        <is>
          <t>Short courses and other fees</t>
        </is>
      </c>
      <c r="E31" s="10" t="inlineStr">
        <is>
          <t>GBP m</t>
        </is>
      </c>
      <c r="F31" s="10" t="inlineStr">
        <is>
          <t>2023/24</t>
        </is>
      </c>
      <c r="G31" s="83" t="n">
        <v>4.076</v>
      </c>
      <c r="H31" s="83" t="inlineStr">
        <is>
          <t>2024/25</t>
        </is>
      </c>
      <c r="I31" s="83" t="n">
        <v>3.974</v>
      </c>
      <c r="J31" s="84">
        <f>IF(G31=0,"n.a.",I31/G31-1)</f>
        <v/>
      </c>
      <c r="K31" s="10" t="inlineStr">
        <is>
          <t>Consolidated</t>
        </is>
      </c>
      <c r="L31" s="10" t="inlineStr">
        <is>
          <t>Note 1. Includes other fees, so not a pure continuing-education total.</t>
        </is>
      </c>
      <c r="M31" s="10" t="inlineStr">
        <is>
          <t>https://www.york.ac.uk/media/staffhome/marketing/corporatepublications/2025-Annual-Report-and-Financial-Statements.pdf</t>
        </is>
      </c>
      <c r="N31" s="10" t="inlineStr">
        <is>
          <t>10007167</t>
        </is>
      </c>
    </row>
    <row r="32" ht="110" customHeight="1">
      <c r="A32" s="10" t="inlineStr">
        <is>
          <t>Australia</t>
        </is>
      </c>
      <c r="B32" s="11" t="inlineStr">
        <is>
          <t>UNSW Sydney</t>
        </is>
      </c>
      <c r="C32" s="10" t="inlineStr">
        <is>
          <t>Reported course revenue</t>
        </is>
      </c>
      <c r="D32" s="10" t="inlineStr">
        <is>
          <t>Continuing education</t>
        </is>
      </c>
      <c r="E32" s="10" t="inlineStr">
        <is>
          <t>AUD m</t>
        </is>
      </c>
      <c r="F32" s="10" t="inlineStr">
        <is>
          <t>2024</t>
        </is>
      </c>
      <c r="G32" s="83" t="n">
        <v>39.196</v>
      </c>
      <c r="H32" s="83" t="inlineStr">
        <is>
          <t>2025</t>
        </is>
      </c>
      <c r="I32" s="83" t="n">
        <v>40.182</v>
      </c>
      <c r="J32" s="84">
        <f>IF(G32=0,"n.a.",I32/G32-1)</f>
        <v/>
      </c>
      <c r="K32" s="10" t="inlineStr">
        <is>
          <t>Consolidated</t>
        </is>
      </c>
      <c r="L32" s="10" t="inlineStr">
        <is>
          <t>Note 2.4. Uses group values rather than parent-only values.</t>
        </is>
      </c>
      <c r="M32" s="10" t="inlineStr">
        <is>
          <t>https://www.unsw.edu.au/content/dam/pdfs/news/annual-reports/2026-05-unsw-annual-report-2025.pdf</t>
        </is>
      </c>
      <c r="N32" s="10" t="str"/>
    </row>
    <row r="33" ht="110" customHeight="1">
      <c r="A33" s="10" t="inlineStr">
        <is>
          <t>Australia</t>
        </is>
      </c>
      <c r="B33" s="11" t="inlineStr">
        <is>
          <t>Melbourne</t>
        </is>
      </c>
      <c r="C33" s="10" t="inlineStr">
        <is>
          <t>Reported course revenue</t>
        </is>
      </c>
      <c r="D33" s="10" t="inlineStr">
        <is>
          <t>MBS corporate programmes</t>
        </is>
      </c>
      <c r="E33" s="10" t="inlineStr">
        <is>
          <t>AUD m</t>
        </is>
      </c>
      <c r="F33" s="10" t="inlineStr">
        <is>
          <t>2024</t>
        </is>
      </c>
      <c r="G33" s="83" t="n">
        <v>21.735</v>
      </c>
      <c r="H33" s="83" t="inlineStr">
        <is>
          <t>2025</t>
        </is>
      </c>
      <c r="I33" s="83" t="n">
        <v>26.98</v>
      </c>
      <c r="J33" s="84">
        <f>IF(G33=0,"n.a.",I33/G33-1)</f>
        <v/>
      </c>
      <c r="K33" s="10" t="inlineStr">
        <is>
          <t>Melbourne Business School consolidated</t>
        </is>
      </c>
      <c r="L33" s="10" t="inlineStr">
        <is>
          <t>Business-school entity only, not total University of Melbourne lifelong learning. Corporate programmes are the reported category.</t>
        </is>
      </c>
      <c r="M33" s="10" t="inlineStr">
        <is>
          <t>https://mbs.edu/-/media/PDF/Annual-Financial-Reports/MBS-Consolidated-Statutory-Accounts-2025.aspx</t>
        </is>
      </c>
      <c r="N33" s="10" t="str"/>
    </row>
    <row r="34" ht="110" customHeight="1">
      <c r="A34" s="10" t="inlineStr">
        <is>
          <t>Australia</t>
        </is>
      </c>
      <c r="B34" s="11" t="inlineStr">
        <is>
          <t>Sydney</t>
        </is>
      </c>
      <c r="C34" s="10" t="inlineStr">
        <is>
          <t>Reported course revenue</t>
        </is>
      </c>
      <c r="D34" s="10" t="inlineStr">
        <is>
          <t>Continuing education</t>
        </is>
      </c>
      <c r="E34" s="10" t="inlineStr">
        <is>
          <t>AUD m</t>
        </is>
      </c>
      <c r="F34" s="10" t="inlineStr">
        <is>
          <t>2024</t>
        </is>
      </c>
      <c r="G34" s="83" t="n">
        <v>14.726</v>
      </c>
      <c r="H34" s="83" t="inlineStr">
        <is>
          <t>2025</t>
        </is>
      </c>
      <c r="I34" s="83" t="n">
        <v>15.891</v>
      </c>
      <c r="J34" s="84">
        <f>IF(G34=0,"n.a.",I34/G34-1)</f>
        <v/>
      </c>
      <c r="K34" s="10" t="inlineStr">
        <is>
          <t>Consolidated</t>
        </is>
      </c>
      <c r="L34" s="10" t="inlineStr">
        <is>
          <t>Note 5. Wider accounts category, not just the Centre for Continuing Education component.</t>
        </is>
      </c>
      <c r="M34" s="10" t="inlineStr">
        <is>
          <t>https://www.sydney.edu.au/content/dam/corporate/documents/about-us/values-and-visions/annual-report/annual-report-2025.pdf</t>
        </is>
      </c>
      <c r="N34" s="10" t="str"/>
    </row>
    <row r="35" ht="110" customHeight="1">
      <c r="A35" s="10" t="inlineStr">
        <is>
          <t>Australia</t>
        </is>
      </c>
      <c r="B35" s="11" t="inlineStr">
        <is>
          <t>Australian National University</t>
        </is>
      </c>
      <c r="C35" s="10" t="inlineStr">
        <is>
          <t>No numeric evidence</t>
        </is>
      </c>
      <c r="D35" s="10" t="inlineStr">
        <is>
          <t>Standalone revenue not verified</t>
        </is>
      </c>
      <c r="E35" s="10" t="inlineStr">
        <is>
          <t>AUD m</t>
        </is>
      </c>
      <c r="F35" s="10" t="inlineStr">
        <is>
          <t>n.a.</t>
        </is>
      </c>
      <c r="G35" s="83" t="inlineStr">
        <is>
          <t>n.a.</t>
        </is>
      </c>
      <c r="H35" s="83" t="inlineStr">
        <is>
          <t>n.a.</t>
        </is>
      </c>
      <c r="I35" s="83" t="inlineStr">
        <is>
          <t>n.a.</t>
        </is>
      </c>
      <c r="J35" s="84" t="inlineStr">
        <is>
          <t>n.a.</t>
        </is>
      </c>
      <c r="K35" s="10" t="inlineStr">
        <is>
          <t>Evidence gap</t>
        </is>
      </c>
      <c r="L35" s="10" t="inlineStr">
        <is>
          <t>Executive short courses are offered. The continuing-education line could not be reliably extracted from the current accounts.</t>
        </is>
      </c>
      <c r="M35" s="10" t="inlineStr">
        <is>
          <t>https://cce.anu.edu.au/executive-short-courses/</t>
        </is>
      </c>
      <c r="N35" s="10" t="str"/>
    </row>
    <row r="36" ht="110" customHeight="1">
      <c r="A36" s="10" t="inlineStr">
        <is>
          <t>Australia</t>
        </is>
      </c>
      <c r="B36" s="11" t="inlineStr">
        <is>
          <t>Monash</t>
        </is>
      </c>
      <c r="C36" s="10" t="inlineStr">
        <is>
          <t>No numeric evidence</t>
        </is>
      </c>
      <c r="D36" s="10" t="inlineStr">
        <is>
          <t>Standalone revenue not verified</t>
        </is>
      </c>
      <c r="E36" s="10" t="inlineStr">
        <is>
          <t>AUD m</t>
        </is>
      </c>
      <c r="F36" s="10" t="inlineStr">
        <is>
          <t>n.a.</t>
        </is>
      </c>
      <c r="G36" s="83" t="inlineStr">
        <is>
          <t>n.a.</t>
        </is>
      </c>
      <c r="H36" s="83" t="inlineStr">
        <is>
          <t>n.a.</t>
        </is>
      </c>
      <c r="I36" s="83" t="inlineStr">
        <is>
          <t>n.a.</t>
        </is>
      </c>
      <c r="J36" s="84" t="inlineStr">
        <is>
          <t>n.a.</t>
        </is>
      </c>
      <c r="K36" s="10" t="inlineStr">
        <is>
          <t>Evidence gap</t>
        </is>
      </c>
      <c r="L36" s="10" t="inlineStr">
        <is>
          <t>Professional-development short courses exist. A separate revenue or growth figure was not confirmed.</t>
        </is>
      </c>
      <c r="M36" s="10" t="inlineStr">
        <is>
          <t>https://shop.monash.edu/professional-development-events/short-courses.html</t>
        </is>
      </c>
      <c r="N36" s="10" t="str"/>
    </row>
    <row r="37" ht="110" customHeight="1">
      <c r="A37" s="10" t="inlineStr">
        <is>
          <t>Australia</t>
        </is>
      </c>
      <c r="B37" s="11" t="inlineStr">
        <is>
          <t>Queensland</t>
        </is>
      </c>
      <c r="C37" s="10" t="inlineStr">
        <is>
          <t>Reported course revenue</t>
        </is>
      </c>
      <c r="D37" s="10" t="inlineStr">
        <is>
          <t>Continuing education</t>
        </is>
      </c>
      <c r="E37" s="10" t="inlineStr">
        <is>
          <t>AUD m</t>
        </is>
      </c>
      <c r="F37" s="10" t="inlineStr">
        <is>
          <t>2024</t>
        </is>
      </c>
      <c r="G37" s="83" t="n">
        <v>11.688</v>
      </c>
      <c r="H37" s="83" t="inlineStr">
        <is>
          <t>2025</t>
        </is>
      </c>
      <c r="I37" s="83" t="n">
        <v>12.711</v>
      </c>
      <c r="J37" s="84">
        <f>IF(G37=0,"n.a.",I37/G37-1)</f>
        <v/>
      </c>
      <c r="K37" s="10" t="inlineStr">
        <is>
          <t>Consolidated</t>
        </is>
      </c>
      <c r="L37" s="10" t="inlineStr">
        <is>
          <t>Parent-only income fell from A$13.833m to A$13.066m. Group and parent growth differ. Uses group values consistently.</t>
        </is>
      </c>
      <c r="M37" s="10" t="inlineStr">
        <is>
          <t>https://about.uq.edu.au/sites/default/files/2026-03/2025-uq-annual-report.PDF</t>
        </is>
      </c>
      <c r="N37" s="10" t="str"/>
    </row>
    <row r="38" ht="110" customHeight="1">
      <c r="A38" s="10" t="inlineStr">
        <is>
          <t>Australia</t>
        </is>
      </c>
      <c r="B38" s="11" t="inlineStr">
        <is>
          <t>Western Australia</t>
        </is>
      </c>
      <c r="C38" s="10" t="inlineStr">
        <is>
          <t>Reported course revenue</t>
        </is>
      </c>
      <c r="D38" s="10" t="inlineStr">
        <is>
          <t>Continuing education and short courses</t>
        </is>
      </c>
      <c r="E38" s="10" t="inlineStr">
        <is>
          <t>AUD m</t>
        </is>
      </c>
      <c r="F38" s="10" t="inlineStr">
        <is>
          <t>2024</t>
        </is>
      </c>
      <c r="G38" s="83" t="n">
        <v>13.813</v>
      </c>
      <c r="H38" s="83" t="inlineStr">
        <is>
          <t>2025</t>
        </is>
      </c>
      <c r="I38" s="83" t="n">
        <v>12.148</v>
      </c>
      <c r="J38" s="84">
        <f>IF(G38=0,"n.a.",I38/G38-1)</f>
        <v/>
      </c>
      <c r="K38" s="10" t="inlineStr">
        <is>
          <t>Consolidated</t>
        </is>
      </c>
      <c r="L38" s="10" t="inlineStr">
        <is>
          <t>2025 accounts. Revenue decreased; this does not by itself establish learner-volume decline.</t>
        </is>
      </c>
      <c r="M38" s="10" t="inlineStr">
        <is>
          <t>https://www.assethub.uwa.edu.au/api/public/content/66d06dcabdf84864b8e3bab2ab5e7a61?v=04406c3e</t>
        </is>
      </c>
      <c r="N38" s="10" t="str"/>
    </row>
    <row r="39" ht="110" customHeight="1">
      <c r="A39" s="10" t="inlineStr">
        <is>
          <t>Australia</t>
        </is>
      </c>
      <c r="B39" s="11" t="inlineStr">
        <is>
          <t>Adelaide University</t>
        </is>
      </c>
      <c r="C39" s="10" t="inlineStr">
        <is>
          <t>No numeric evidence</t>
        </is>
      </c>
      <c r="D39" s="10" t="inlineStr">
        <is>
          <t>No comparable teaching-year trend</t>
        </is>
      </c>
      <c r="E39" s="10" t="inlineStr">
        <is>
          <t>AUD m</t>
        </is>
      </c>
      <c r="F39" s="10" t="inlineStr">
        <is>
          <t>n.a.</t>
        </is>
      </c>
      <c r="G39" s="83" t="inlineStr">
        <is>
          <t>n.a.</t>
        </is>
      </c>
      <c r="H39" s="83" t="inlineStr">
        <is>
          <t>2026</t>
        </is>
      </c>
      <c r="I39" s="83" t="inlineStr">
        <is>
          <t>n.a.</t>
        </is>
      </c>
      <c r="J39" s="84" t="inlineStr">
        <is>
          <t>n.a.</t>
        </is>
      </c>
      <c r="K39" s="10" t="inlineStr">
        <is>
          <t>New merged institution</t>
        </is>
      </c>
      <c r="L39" s="10" t="inlineStr">
        <is>
          <t>New university began teaching in 2026. Predecessor revenues are not spliced into a growth series for the merged institution.</t>
        </is>
      </c>
      <c r="M39" s="10" t="inlineStr">
        <is>
          <t>https://adelaide.edu.au/about/news/2025/adelaide-university-releases-first-annual-report/</t>
        </is>
      </c>
      <c r="N39" s="10" t="str"/>
    </row>
    <row r="40" ht="110" customHeight="1">
      <c r="A40" s="10" t="inlineStr">
        <is>
          <t>Australia</t>
        </is>
      </c>
      <c r="B40" s="11" t="inlineStr">
        <is>
          <t>University of Technology Sydney</t>
        </is>
      </c>
      <c r="C40" s="10" t="inlineStr">
        <is>
          <t>Reported course revenue</t>
        </is>
      </c>
      <c r="D40" s="10" t="inlineStr">
        <is>
          <t>Continuing education</t>
        </is>
      </c>
      <c r="E40" s="10" t="inlineStr">
        <is>
          <t>AUD m</t>
        </is>
      </c>
      <c r="F40" s="10" t="inlineStr">
        <is>
          <t>2024</t>
        </is>
      </c>
      <c r="G40" s="83" t="n">
        <v>11.73</v>
      </c>
      <c r="H40" s="83" t="inlineStr">
        <is>
          <t>2025</t>
        </is>
      </c>
      <c r="I40" s="83" t="n">
        <v>10.179</v>
      </c>
      <c r="J40" s="84">
        <f>IF(G40=0,"n.a.",I40/G40-1)</f>
        <v/>
      </c>
      <c r="K40" s="10" t="inlineStr">
        <is>
          <t>Consolidated</t>
        </is>
      </c>
      <c r="L40" s="10" t="inlineStr">
        <is>
          <t>2025 Volume 2, note 2.3. Revenue decreased.</t>
        </is>
      </c>
      <c r="M40" s="10" t="inlineStr">
        <is>
          <t>https://www.uts.edu.au/sites/default/files/2026-05/UTS%20Annual%20Report%202025%20volume%20two.pdf</t>
        </is>
      </c>
      <c r="N40" s="10" t="str"/>
    </row>
    <row r="41" ht="110" customHeight="1">
      <c r="A41" s="10" t="inlineStr">
        <is>
          <t>Australia</t>
        </is>
      </c>
      <c r="B41" s="11" t="inlineStr">
        <is>
          <t>RMIT</t>
        </is>
      </c>
      <c r="C41" s="10" t="inlineStr">
        <is>
          <t>Reported course revenue</t>
        </is>
      </c>
      <c r="D41" s="10" t="inlineStr">
        <is>
          <t>Continuing education</t>
        </is>
      </c>
      <c r="E41" s="10" t="inlineStr">
        <is>
          <t>AUD m</t>
        </is>
      </c>
      <c r="F41" s="10" t="inlineStr">
        <is>
          <t>2023</t>
        </is>
      </c>
      <c r="G41" s="83" t="n">
        <v>6.676</v>
      </c>
      <c r="H41" s="83" t="inlineStr">
        <is>
          <t>2024</t>
        </is>
      </c>
      <c r="I41" s="83" t="n">
        <v>5.991</v>
      </c>
      <c r="J41" s="84">
        <f>IF(G41=0,"n.a.",I41/G41-1)</f>
        <v/>
      </c>
      <c r="K41" s="10" t="inlineStr">
        <is>
          <t>Consolidated</t>
        </is>
      </c>
      <c r="L41" s="10" t="inlineStr">
        <is>
          <t>2024 accounts, note 6. Older verified evidence; a 2025 category value was not confirmed. Does not measure the entire RMIT Online business.</t>
        </is>
      </c>
      <c r="M41" s="10" t="inlineStr">
        <is>
          <t>https://www.rmit.edu.au/content/dam/rmit/documents/about/annual-reports/rmit-university-annual-report-2024.pdf</t>
        </is>
      </c>
      <c r="N41" s="10" t="str"/>
    </row>
    <row r="42" ht="110" customHeight="1">
      <c r="A42" s="10" t="inlineStr">
        <is>
          <t>UK</t>
        </is>
      </c>
      <c r="B42" s="11" t="inlineStr">
        <is>
          <t>Birmingham</t>
        </is>
      </c>
      <c r="C42" s="10" t="inlineStr">
        <is>
          <t>HESA CPD/CE revenue</t>
        </is>
      </c>
      <c r="D42" s="10" t="inlineStr">
        <is>
          <t>CPD/CE courses for business and the community</t>
        </is>
      </c>
      <c r="E42" s="10" t="inlineStr">
        <is>
          <t>GBP m</t>
        </is>
      </c>
      <c r="F42" s="10" t="inlineStr">
        <is>
          <t>Not supplied</t>
        </is>
      </c>
      <c r="G42" s="83" t="inlineStr">
        <is>
          <t>n.a.</t>
        </is>
      </c>
      <c r="H42" s="83" t="inlineStr">
        <is>
          <t>2024/25</t>
        </is>
      </c>
      <c r="I42" s="83">
        <f>INDEX('UK providers'!$K$7:$K$212,MATCH(N42,'UK providers'!$A$7:$A$212,0))</f>
        <v/>
      </c>
      <c r="J42" s="84" t="inlineStr">
        <is>
          <t>n.a.</t>
        </is>
      </c>
      <c r="K42" s="10" t="inlineStr">
        <is>
          <t>HESA provider return</t>
        </is>
      </c>
      <c r="L42" s="10" t="inlineStr">
        <is>
          <t>Comparable CPD/CE definition. One year supplied: no growth calculation. Do not add to overlapping annual-report categories.</t>
        </is>
      </c>
      <c r="M42" s="10" t="inlineStr">
        <is>
          <t>HESA HE-BCI Table 2b; user-supplied dt032-table-2b.csv. https://www.hesa.ac.uk/data-and-analysis/business-community</t>
        </is>
      </c>
      <c r="N42" s="10" t="inlineStr">
        <is>
          <t>10006840</t>
        </is>
      </c>
    </row>
    <row r="43" ht="110" customHeight="1">
      <c r="A43" s="10" t="inlineStr">
        <is>
          <t>UK</t>
        </is>
      </c>
      <c r="B43" s="11" t="inlineStr">
        <is>
          <t>Bristol</t>
        </is>
      </c>
      <c r="C43" s="10" t="inlineStr">
        <is>
          <t>HESA CPD/CE revenue</t>
        </is>
      </c>
      <c r="D43" s="10" t="inlineStr">
        <is>
          <t>CPD/CE courses for business and the community</t>
        </is>
      </c>
      <c r="E43" s="10" t="inlineStr">
        <is>
          <t>GBP m</t>
        </is>
      </c>
      <c r="F43" s="10" t="inlineStr">
        <is>
          <t>Not supplied</t>
        </is>
      </c>
      <c r="G43" s="83" t="inlineStr">
        <is>
          <t>n.a.</t>
        </is>
      </c>
      <c r="H43" s="83" t="inlineStr">
        <is>
          <t>2024/25</t>
        </is>
      </c>
      <c r="I43" s="83">
        <f>INDEX('UK providers'!$K$7:$K$212,MATCH(N43,'UK providers'!$A$7:$A$212,0))</f>
        <v/>
      </c>
      <c r="J43" s="84" t="inlineStr">
        <is>
          <t>n.a.</t>
        </is>
      </c>
      <c r="K43" s="10" t="inlineStr">
        <is>
          <t>HESA provider return</t>
        </is>
      </c>
      <c r="L43" s="10" t="inlineStr">
        <is>
          <t>Comparable CPD/CE definition. One year supplied: no growth calculation. Do not add to overlapping annual-report categories.</t>
        </is>
      </c>
      <c r="M43" s="10" t="inlineStr">
        <is>
          <t>HESA HE-BCI Table 2b; user-supplied dt032-table-2b.csv. https://www.hesa.ac.uk/data-and-analysis/business-community</t>
        </is>
      </c>
      <c r="N43" s="10" t="inlineStr">
        <is>
          <t>10007786</t>
        </is>
      </c>
    </row>
    <row r="44" ht="110" customHeight="1">
      <c r="A44" s="10" t="inlineStr">
        <is>
          <t>UK</t>
        </is>
      </c>
      <c r="B44" s="11" t="inlineStr">
        <is>
          <t>Cambridge</t>
        </is>
      </c>
      <c r="C44" s="10" t="inlineStr">
        <is>
          <t>HESA CPD/CE revenue</t>
        </is>
      </c>
      <c r="D44" s="10" t="inlineStr">
        <is>
          <t>CPD/CE courses for business and the community</t>
        </is>
      </c>
      <c r="E44" s="10" t="inlineStr">
        <is>
          <t>GBP m</t>
        </is>
      </c>
      <c r="F44" s="10" t="inlineStr">
        <is>
          <t>Not supplied</t>
        </is>
      </c>
      <c r="G44" s="83" t="inlineStr">
        <is>
          <t>n.a.</t>
        </is>
      </c>
      <c r="H44" s="83" t="inlineStr">
        <is>
          <t>2024/25</t>
        </is>
      </c>
      <c r="I44" s="83">
        <f>INDEX('UK providers'!$K$7:$K$212,MATCH(N44,'UK providers'!$A$7:$A$212,0))</f>
        <v/>
      </c>
      <c r="J44" s="84" t="inlineStr">
        <is>
          <t>n.a.</t>
        </is>
      </c>
      <c r="K44" s="10" t="inlineStr">
        <is>
          <t>HESA provider return</t>
        </is>
      </c>
      <c r="L44" s="10" t="inlineStr">
        <is>
          <t>Comparable CPD/CE definition. One year supplied: no growth calculation. Do not add to overlapping annual-report categories.</t>
        </is>
      </c>
      <c r="M44" s="10" t="inlineStr">
        <is>
          <t>HESA HE-BCI Table 2b; user-supplied dt032-table-2b.csv. https://www.hesa.ac.uk/data-and-analysis/business-community</t>
        </is>
      </c>
      <c r="N44" s="10" t="inlineStr">
        <is>
          <t>10007788</t>
        </is>
      </c>
    </row>
    <row r="45" ht="110" customHeight="1">
      <c r="A45" s="10" t="inlineStr">
        <is>
          <t>UK</t>
        </is>
      </c>
      <c r="B45" s="11" t="inlineStr">
        <is>
          <t>Cardiff</t>
        </is>
      </c>
      <c r="C45" s="10" t="inlineStr">
        <is>
          <t>HESA CPD/CE revenue</t>
        </is>
      </c>
      <c r="D45" s="10" t="inlineStr">
        <is>
          <t>CPD/CE courses for business and the community</t>
        </is>
      </c>
      <c r="E45" s="10" t="inlineStr">
        <is>
          <t>GBP m</t>
        </is>
      </c>
      <c r="F45" s="10" t="inlineStr">
        <is>
          <t>Not supplied</t>
        </is>
      </c>
      <c r="G45" s="83" t="inlineStr">
        <is>
          <t>n.a.</t>
        </is>
      </c>
      <c r="H45" s="83" t="inlineStr">
        <is>
          <t>2024/25</t>
        </is>
      </c>
      <c r="I45" s="83">
        <f>INDEX('UK providers'!$K$7:$K$212,MATCH(N45,'UK providers'!$A$7:$A$212,0))</f>
        <v/>
      </c>
      <c r="J45" s="84" t="inlineStr">
        <is>
          <t>n.a.</t>
        </is>
      </c>
      <c r="K45" s="10" t="inlineStr">
        <is>
          <t>HESA provider return</t>
        </is>
      </c>
      <c r="L45" s="10" t="inlineStr">
        <is>
          <t>Comparable CPD/CE definition. One year supplied: no growth calculation. Do not add to overlapping annual-report categories.</t>
        </is>
      </c>
      <c r="M45" s="10" t="inlineStr">
        <is>
          <t>HESA HE-BCI Table 2b; user-supplied dt032-table-2b.csv. https://www.hesa.ac.uk/data-and-analysis/business-community</t>
        </is>
      </c>
      <c r="N45" s="10" t="inlineStr">
        <is>
          <t>10007814</t>
        </is>
      </c>
    </row>
    <row r="46" ht="110" customHeight="1">
      <c r="A46" s="10" t="inlineStr">
        <is>
          <t>UK</t>
        </is>
      </c>
      <c r="B46" s="11" t="inlineStr">
        <is>
          <t>Durham</t>
        </is>
      </c>
      <c r="C46" s="10" t="inlineStr">
        <is>
          <t>HESA CPD/CE revenue</t>
        </is>
      </c>
      <c r="D46" s="10" t="inlineStr">
        <is>
          <t>CPD/CE courses for business and the community</t>
        </is>
      </c>
      <c r="E46" s="10" t="inlineStr">
        <is>
          <t>GBP m</t>
        </is>
      </c>
      <c r="F46" s="10" t="inlineStr">
        <is>
          <t>Not supplied</t>
        </is>
      </c>
      <c r="G46" s="83" t="inlineStr">
        <is>
          <t>n.a.</t>
        </is>
      </c>
      <c r="H46" s="83" t="inlineStr">
        <is>
          <t>2024/25</t>
        </is>
      </c>
      <c r="I46" s="83">
        <f>INDEX('UK providers'!$K$7:$K$212,MATCH(N46,'UK providers'!$A$7:$A$212,0))</f>
        <v/>
      </c>
      <c r="J46" s="84" t="inlineStr">
        <is>
          <t>n.a.</t>
        </is>
      </c>
      <c r="K46" s="10" t="inlineStr">
        <is>
          <t>HESA provider return</t>
        </is>
      </c>
      <c r="L46" s="10" t="inlineStr">
        <is>
          <t>Comparable CPD/CE definition. One year supplied: no growth calculation. Do not add to overlapping annual-report categories.</t>
        </is>
      </c>
      <c r="M46" s="10" t="inlineStr">
        <is>
          <t>HESA HE-BCI Table 2b; user-supplied dt032-table-2b.csv. https://www.hesa.ac.uk/data-and-analysis/business-community</t>
        </is>
      </c>
      <c r="N46" s="10" t="inlineStr">
        <is>
          <t>10007143</t>
        </is>
      </c>
    </row>
    <row r="47" ht="110" customHeight="1">
      <c r="A47" s="10" t="inlineStr">
        <is>
          <t>UK</t>
        </is>
      </c>
      <c r="B47" s="11" t="inlineStr">
        <is>
          <t>Edinburgh</t>
        </is>
      </c>
      <c r="C47" s="10" t="inlineStr">
        <is>
          <t>HESA CPD/CE revenue</t>
        </is>
      </c>
      <c r="D47" s="10" t="inlineStr">
        <is>
          <t>CPD/CE courses for business and the community</t>
        </is>
      </c>
      <c r="E47" s="10" t="inlineStr">
        <is>
          <t>GBP m</t>
        </is>
      </c>
      <c r="F47" s="10" t="inlineStr">
        <is>
          <t>Not supplied</t>
        </is>
      </c>
      <c r="G47" s="83" t="inlineStr">
        <is>
          <t>n.a.</t>
        </is>
      </c>
      <c r="H47" s="83" t="inlineStr">
        <is>
          <t>2024/25</t>
        </is>
      </c>
      <c r="I47" s="83">
        <f>INDEX('UK providers'!$K$7:$K$212,MATCH(N47,'UK providers'!$A$7:$A$212,0))</f>
        <v/>
      </c>
      <c r="J47" s="84" t="inlineStr">
        <is>
          <t>n.a.</t>
        </is>
      </c>
      <c r="K47" s="10" t="inlineStr">
        <is>
          <t>HESA provider return</t>
        </is>
      </c>
      <c r="L47" s="10" t="inlineStr">
        <is>
          <t>Comparable CPD/CE definition. One year supplied: no growth calculation. Do not add to overlapping annual-report categories.</t>
        </is>
      </c>
      <c r="M47" s="10" t="inlineStr">
        <is>
          <t>HESA HE-BCI Table 2b; user-supplied dt032-table-2b.csv. https://www.hesa.ac.uk/data-and-analysis/business-community</t>
        </is>
      </c>
      <c r="N47" s="10" t="inlineStr">
        <is>
          <t>10007790</t>
        </is>
      </c>
    </row>
    <row r="48" ht="110" customHeight="1">
      <c r="A48" s="10" t="inlineStr">
        <is>
          <t>UK</t>
        </is>
      </c>
      <c r="B48" s="11" t="inlineStr">
        <is>
          <t>Exeter</t>
        </is>
      </c>
      <c r="C48" s="10" t="inlineStr">
        <is>
          <t>HESA CPD/CE revenue</t>
        </is>
      </c>
      <c r="D48" s="10" t="inlineStr">
        <is>
          <t>CPD/CE courses for business and the community</t>
        </is>
      </c>
      <c r="E48" s="10" t="inlineStr">
        <is>
          <t>GBP m</t>
        </is>
      </c>
      <c r="F48" s="10" t="inlineStr">
        <is>
          <t>Not supplied</t>
        </is>
      </c>
      <c r="G48" s="83" t="inlineStr">
        <is>
          <t>n.a.</t>
        </is>
      </c>
      <c r="H48" s="83" t="inlineStr">
        <is>
          <t>2024/25</t>
        </is>
      </c>
      <c r="I48" s="83">
        <f>INDEX('UK providers'!$K$7:$K$212,MATCH(N48,'UK providers'!$A$7:$A$212,0))</f>
        <v/>
      </c>
      <c r="J48" s="84" t="inlineStr">
        <is>
          <t>n.a.</t>
        </is>
      </c>
      <c r="K48" s="10" t="inlineStr">
        <is>
          <t>HESA provider return</t>
        </is>
      </c>
      <c r="L48" s="10" t="inlineStr">
        <is>
          <t>Comparable CPD/CE definition. One year supplied: no growth calculation. Do not add to overlapping annual-report categories.</t>
        </is>
      </c>
      <c r="M48" s="10" t="inlineStr">
        <is>
          <t>HESA HE-BCI Table 2b; user-supplied dt032-table-2b.csv. https://www.hesa.ac.uk/data-and-analysis/business-community</t>
        </is>
      </c>
      <c r="N48" s="10" t="inlineStr">
        <is>
          <t>10007792</t>
        </is>
      </c>
    </row>
    <row r="49" ht="110" customHeight="1">
      <c r="A49" s="10" t="inlineStr">
        <is>
          <t>UK</t>
        </is>
      </c>
      <c r="B49" s="11" t="inlineStr">
        <is>
          <t>Glasgow</t>
        </is>
      </c>
      <c r="C49" s="10" t="inlineStr">
        <is>
          <t>HESA CPD/CE revenue</t>
        </is>
      </c>
      <c r="D49" s="10" t="inlineStr">
        <is>
          <t>CPD/CE courses for business and the community</t>
        </is>
      </c>
      <c r="E49" s="10" t="inlineStr">
        <is>
          <t>GBP m</t>
        </is>
      </c>
      <c r="F49" s="10" t="inlineStr">
        <is>
          <t>Not supplied</t>
        </is>
      </c>
      <c r="G49" s="83" t="inlineStr">
        <is>
          <t>n.a.</t>
        </is>
      </c>
      <c r="H49" s="83" t="inlineStr">
        <is>
          <t>2024/25</t>
        </is>
      </c>
      <c r="I49" s="83">
        <f>INDEX('UK providers'!$K$7:$K$212,MATCH(N49,'UK providers'!$A$7:$A$212,0))</f>
        <v/>
      </c>
      <c r="J49" s="84" t="inlineStr">
        <is>
          <t>n.a.</t>
        </is>
      </c>
      <c r="K49" s="10" t="inlineStr">
        <is>
          <t>HESA provider return</t>
        </is>
      </c>
      <c r="L49" s="10" t="inlineStr">
        <is>
          <t>Comparable CPD/CE definition. One year supplied: no growth calculation. Do not add to overlapping annual-report categories.</t>
        </is>
      </c>
      <c r="M49" s="10" t="inlineStr">
        <is>
          <t>HESA HE-BCI Table 2b; user-supplied dt032-table-2b.csv. https://www.hesa.ac.uk/data-and-analysis/business-community</t>
        </is>
      </c>
      <c r="N49" s="10" t="inlineStr">
        <is>
          <t>10007794</t>
        </is>
      </c>
    </row>
    <row r="50" ht="110" customHeight="1">
      <c r="A50" s="10" t="inlineStr">
        <is>
          <t>UK</t>
        </is>
      </c>
      <c r="B50" s="11" t="inlineStr">
        <is>
          <t>Imperial College London</t>
        </is>
      </c>
      <c r="C50" s="10" t="inlineStr">
        <is>
          <t>HESA CPD/CE revenue</t>
        </is>
      </c>
      <c r="D50" s="10" t="inlineStr">
        <is>
          <t>CPD/CE courses for business and the community</t>
        </is>
      </c>
      <c r="E50" s="10" t="inlineStr">
        <is>
          <t>GBP m</t>
        </is>
      </c>
      <c r="F50" s="10" t="inlineStr">
        <is>
          <t>Not supplied</t>
        </is>
      </c>
      <c r="G50" s="83" t="inlineStr">
        <is>
          <t>n.a.</t>
        </is>
      </c>
      <c r="H50" s="83" t="inlineStr">
        <is>
          <t>2024/25</t>
        </is>
      </c>
      <c r="I50" s="83">
        <f>INDEX('UK providers'!$K$7:$K$212,MATCH(N50,'UK providers'!$A$7:$A$212,0))</f>
        <v/>
      </c>
      <c r="J50" s="84" t="inlineStr">
        <is>
          <t>n.a.</t>
        </is>
      </c>
      <c r="K50" s="10" t="inlineStr">
        <is>
          <t>HESA provider return</t>
        </is>
      </c>
      <c r="L50" s="10" t="inlineStr">
        <is>
          <t>Comparable CPD/CE definition. One year supplied: no growth calculation. Do not add to overlapping annual-report categories.</t>
        </is>
      </c>
      <c r="M50" s="10" t="inlineStr">
        <is>
          <t>HESA HE-BCI Table 2b; user-supplied dt032-table-2b.csv. https://www.hesa.ac.uk/data-and-analysis/business-community</t>
        </is>
      </c>
      <c r="N50" s="10" t="inlineStr">
        <is>
          <t>10003270</t>
        </is>
      </c>
    </row>
    <row r="51" ht="110" customHeight="1">
      <c r="A51" s="10" t="inlineStr">
        <is>
          <t>UK</t>
        </is>
      </c>
      <c r="B51" s="11" t="inlineStr">
        <is>
          <t>King’s College London</t>
        </is>
      </c>
      <c r="C51" s="10" t="inlineStr">
        <is>
          <t>HESA CPD/CE revenue</t>
        </is>
      </c>
      <c r="D51" s="10" t="inlineStr">
        <is>
          <t>CPD/CE courses for business and the community</t>
        </is>
      </c>
      <c r="E51" s="10" t="inlineStr">
        <is>
          <t>GBP m</t>
        </is>
      </c>
      <c r="F51" s="10" t="inlineStr">
        <is>
          <t>Not supplied</t>
        </is>
      </c>
      <c r="G51" s="83" t="inlineStr">
        <is>
          <t>n.a.</t>
        </is>
      </c>
      <c r="H51" s="83" t="inlineStr">
        <is>
          <t>2024/25</t>
        </is>
      </c>
      <c r="I51" s="83">
        <f>INDEX('UK providers'!$K$7:$K$212,MATCH(N51,'UK providers'!$A$7:$A$212,0))</f>
        <v/>
      </c>
      <c r="J51" s="84" t="inlineStr">
        <is>
          <t>n.a.</t>
        </is>
      </c>
      <c r="K51" s="10" t="inlineStr">
        <is>
          <t>HESA provider return</t>
        </is>
      </c>
      <c r="L51" s="10" t="inlineStr">
        <is>
          <t>Comparable CPD/CE definition. One year supplied: no growth calculation. Do not add to overlapping annual-report categories.</t>
        </is>
      </c>
      <c r="M51" s="10" t="inlineStr">
        <is>
          <t>HESA HE-BCI Table 2b; user-supplied dt032-table-2b.csv. https://www.hesa.ac.uk/data-and-analysis/business-community</t>
        </is>
      </c>
      <c r="N51" s="10" t="inlineStr">
        <is>
          <t>10003645</t>
        </is>
      </c>
    </row>
    <row r="52" ht="110" customHeight="1">
      <c r="A52" s="10" t="inlineStr">
        <is>
          <t>UK</t>
        </is>
      </c>
      <c r="B52" s="11" t="inlineStr">
        <is>
          <t>Leeds</t>
        </is>
      </c>
      <c r="C52" s="10" t="inlineStr">
        <is>
          <t>HESA CPD/CE revenue</t>
        </is>
      </c>
      <c r="D52" s="10" t="inlineStr">
        <is>
          <t>CPD/CE courses for business and the community</t>
        </is>
      </c>
      <c r="E52" s="10" t="inlineStr">
        <is>
          <t>GBP m</t>
        </is>
      </c>
      <c r="F52" s="10" t="inlineStr">
        <is>
          <t>Not supplied</t>
        </is>
      </c>
      <c r="G52" s="83" t="inlineStr">
        <is>
          <t>n.a.</t>
        </is>
      </c>
      <c r="H52" s="83" t="inlineStr">
        <is>
          <t>2024/25</t>
        </is>
      </c>
      <c r="I52" s="83">
        <f>INDEX('UK providers'!$K$7:$K$212,MATCH(N52,'UK providers'!$A$7:$A$212,0))</f>
        <v/>
      </c>
      <c r="J52" s="84" t="inlineStr">
        <is>
          <t>n.a.</t>
        </is>
      </c>
      <c r="K52" s="10" t="inlineStr">
        <is>
          <t>HESA provider return</t>
        </is>
      </c>
      <c r="L52" s="10" t="inlineStr">
        <is>
          <t>Comparable CPD/CE definition. One year supplied: no growth calculation. Do not add to overlapping annual-report categories.</t>
        </is>
      </c>
      <c r="M52" s="10" t="inlineStr">
        <is>
          <t>HESA HE-BCI Table 2b; user-supplied dt032-table-2b.csv. https://www.hesa.ac.uk/data-and-analysis/business-community</t>
        </is>
      </c>
      <c r="N52" s="10" t="inlineStr">
        <is>
          <t>10007795</t>
        </is>
      </c>
    </row>
    <row r="53" ht="110" customHeight="1">
      <c r="A53" s="10" t="inlineStr">
        <is>
          <t>UK</t>
        </is>
      </c>
      <c r="B53" s="11" t="inlineStr">
        <is>
          <t>Liverpool</t>
        </is>
      </c>
      <c r="C53" s="10" t="inlineStr">
        <is>
          <t>HESA CPD/CE revenue</t>
        </is>
      </c>
      <c r="D53" s="10" t="inlineStr">
        <is>
          <t>CPD/CE courses for business and the community</t>
        </is>
      </c>
      <c r="E53" s="10" t="inlineStr">
        <is>
          <t>GBP m</t>
        </is>
      </c>
      <c r="F53" s="10" t="inlineStr">
        <is>
          <t>Not supplied</t>
        </is>
      </c>
      <c r="G53" s="83" t="inlineStr">
        <is>
          <t>n.a.</t>
        </is>
      </c>
      <c r="H53" s="83" t="inlineStr">
        <is>
          <t>2024/25</t>
        </is>
      </c>
      <c r="I53" s="83">
        <f>INDEX('UK providers'!$K$7:$K$212,MATCH(N53,'UK providers'!$A$7:$A$212,0))</f>
        <v/>
      </c>
      <c r="J53" s="84" t="inlineStr">
        <is>
          <t>n.a.</t>
        </is>
      </c>
      <c r="K53" s="10" t="inlineStr">
        <is>
          <t>HESA provider return</t>
        </is>
      </c>
      <c r="L53" s="10" t="inlineStr">
        <is>
          <t>Comparable CPD/CE definition. One year supplied: no growth calculation. Do not add to overlapping annual-report categories.</t>
        </is>
      </c>
      <c r="M53" s="10" t="inlineStr">
        <is>
          <t>HESA HE-BCI Table 2b; user-supplied dt032-table-2b.csv. https://www.hesa.ac.uk/data-and-analysis/business-community</t>
        </is>
      </c>
      <c r="N53" s="10" t="inlineStr">
        <is>
          <t>10006842</t>
        </is>
      </c>
    </row>
    <row r="54" ht="110" customHeight="1">
      <c r="A54" s="10" t="inlineStr">
        <is>
          <t>UK</t>
        </is>
      </c>
      <c r="B54" s="11" t="inlineStr">
        <is>
          <t>London School of Economics</t>
        </is>
      </c>
      <c r="C54" s="10" t="inlineStr">
        <is>
          <t>HESA CPD/CE revenue</t>
        </is>
      </c>
      <c r="D54" s="10" t="inlineStr">
        <is>
          <t>CPD/CE courses for business and the community</t>
        </is>
      </c>
      <c r="E54" s="10" t="inlineStr">
        <is>
          <t>GBP m</t>
        </is>
      </c>
      <c r="F54" s="10" t="inlineStr">
        <is>
          <t>Not supplied</t>
        </is>
      </c>
      <c r="G54" s="83" t="inlineStr">
        <is>
          <t>n.a.</t>
        </is>
      </c>
      <c r="H54" s="83" t="inlineStr">
        <is>
          <t>2024/25</t>
        </is>
      </c>
      <c r="I54" s="83">
        <f>INDEX('UK providers'!$K$7:$K$212,MATCH(N54,'UK providers'!$A$7:$A$212,0))</f>
        <v/>
      </c>
      <c r="J54" s="84" t="inlineStr">
        <is>
          <t>n.a.</t>
        </is>
      </c>
      <c r="K54" s="10" t="inlineStr">
        <is>
          <t>HESA provider return</t>
        </is>
      </c>
      <c r="L54" s="10" t="inlineStr">
        <is>
          <t>Comparable CPD/CE definition. One year supplied: no growth calculation. Do not add to overlapping annual-report categories.</t>
        </is>
      </c>
      <c r="M54" s="10" t="inlineStr">
        <is>
          <t>HESA HE-BCI Table 2b; user-supplied dt032-table-2b.csv. https://www.hesa.ac.uk/data-and-analysis/business-community</t>
        </is>
      </c>
      <c r="N54" s="10" t="inlineStr">
        <is>
          <t>10004063</t>
        </is>
      </c>
    </row>
    <row r="55" ht="110" customHeight="1">
      <c r="A55" s="10" t="inlineStr">
        <is>
          <t>UK</t>
        </is>
      </c>
      <c r="B55" s="11" t="inlineStr">
        <is>
          <t>Manchester</t>
        </is>
      </c>
      <c r="C55" s="10" t="inlineStr">
        <is>
          <t>HESA CPD/CE revenue</t>
        </is>
      </c>
      <c r="D55" s="10" t="inlineStr">
        <is>
          <t>CPD/CE courses for business and the community</t>
        </is>
      </c>
      <c r="E55" s="10" t="inlineStr">
        <is>
          <t>GBP m</t>
        </is>
      </c>
      <c r="F55" s="10" t="inlineStr">
        <is>
          <t>Not supplied</t>
        </is>
      </c>
      <c r="G55" s="83" t="inlineStr">
        <is>
          <t>n.a.</t>
        </is>
      </c>
      <c r="H55" s="83" t="inlineStr">
        <is>
          <t>2024/25</t>
        </is>
      </c>
      <c r="I55" s="83">
        <f>INDEX('UK providers'!$K$7:$K$212,MATCH(N55,'UK providers'!$A$7:$A$212,0))</f>
        <v/>
      </c>
      <c r="J55" s="84" t="inlineStr">
        <is>
          <t>n.a.</t>
        </is>
      </c>
      <c r="K55" s="10" t="inlineStr">
        <is>
          <t>HESA provider return</t>
        </is>
      </c>
      <c r="L55" s="10" t="inlineStr">
        <is>
          <t>Comparable CPD/CE definition. One year supplied: no growth calculation. Do not add to overlapping annual-report categories.</t>
        </is>
      </c>
      <c r="M55" s="10" t="inlineStr">
        <is>
          <t>HESA HE-BCI Table 2b; user-supplied dt032-table-2b.csv. https://www.hesa.ac.uk/data-and-analysis/business-community</t>
        </is>
      </c>
      <c r="N55" s="10" t="inlineStr">
        <is>
          <t>10007798</t>
        </is>
      </c>
    </row>
    <row r="56" ht="110" customHeight="1">
      <c r="A56" s="10" t="inlineStr">
        <is>
          <t>UK</t>
        </is>
      </c>
      <c r="B56" s="11" t="inlineStr">
        <is>
          <t>Newcastle</t>
        </is>
      </c>
      <c r="C56" s="10" t="inlineStr">
        <is>
          <t>HESA CPD/CE revenue</t>
        </is>
      </c>
      <c r="D56" s="10" t="inlineStr">
        <is>
          <t>CPD/CE courses for business and the community</t>
        </is>
      </c>
      <c r="E56" s="10" t="inlineStr">
        <is>
          <t>GBP m</t>
        </is>
      </c>
      <c r="F56" s="10" t="inlineStr">
        <is>
          <t>Not supplied</t>
        </is>
      </c>
      <c r="G56" s="83" t="inlineStr">
        <is>
          <t>n.a.</t>
        </is>
      </c>
      <c r="H56" s="83" t="inlineStr">
        <is>
          <t>2024/25</t>
        </is>
      </c>
      <c r="I56" s="83">
        <f>INDEX('UK providers'!$K$7:$K$212,MATCH(N56,'UK providers'!$A$7:$A$212,0))</f>
        <v/>
      </c>
      <c r="J56" s="84" t="inlineStr">
        <is>
          <t>n.a.</t>
        </is>
      </c>
      <c r="K56" s="10" t="inlineStr">
        <is>
          <t>HESA provider return</t>
        </is>
      </c>
      <c r="L56" s="10" t="inlineStr">
        <is>
          <t>Comparable CPD/CE definition. One year supplied: no growth calculation. Do not add to overlapping annual-report categories.</t>
        </is>
      </c>
      <c r="M56" s="10" t="inlineStr">
        <is>
          <t>HESA HE-BCI Table 2b; user-supplied dt032-table-2b.csv. https://www.hesa.ac.uk/data-and-analysis/business-community</t>
        </is>
      </c>
      <c r="N56" s="10" t="inlineStr">
        <is>
          <t>10007799</t>
        </is>
      </c>
    </row>
    <row r="57" ht="110" customHeight="1">
      <c r="A57" s="10" t="inlineStr">
        <is>
          <t>UK</t>
        </is>
      </c>
      <c r="B57" s="11" t="inlineStr">
        <is>
          <t>Nottingham</t>
        </is>
      </c>
      <c r="C57" s="10" t="inlineStr">
        <is>
          <t>HESA CPD/CE revenue</t>
        </is>
      </c>
      <c r="D57" s="10" t="inlineStr">
        <is>
          <t>CPD/CE courses for business and the community</t>
        </is>
      </c>
      <c r="E57" s="10" t="inlineStr">
        <is>
          <t>GBP m</t>
        </is>
      </c>
      <c r="F57" s="10" t="inlineStr">
        <is>
          <t>Not supplied</t>
        </is>
      </c>
      <c r="G57" s="83" t="inlineStr">
        <is>
          <t>n.a.</t>
        </is>
      </c>
      <c r="H57" s="83" t="inlineStr">
        <is>
          <t>2024/25</t>
        </is>
      </c>
      <c r="I57" s="83">
        <f>INDEX('UK providers'!$K$7:$K$212,MATCH(N57,'UK providers'!$A$7:$A$212,0))</f>
        <v/>
      </c>
      <c r="J57" s="84" t="inlineStr">
        <is>
          <t>n.a.</t>
        </is>
      </c>
      <c r="K57" s="10" t="inlineStr">
        <is>
          <t>HESA provider return</t>
        </is>
      </c>
      <c r="L57" s="10" t="inlineStr">
        <is>
          <t>Comparable CPD/CE definition. One year supplied: no growth calculation. Do not add to overlapping annual-report categories.</t>
        </is>
      </c>
      <c r="M57" s="10" t="inlineStr">
        <is>
          <t>HESA HE-BCI Table 2b; user-supplied dt032-table-2b.csv. https://www.hesa.ac.uk/data-and-analysis/business-community</t>
        </is>
      </c>
      <c r="N57" s="10" t="inlineStr">
        <is>
          <t>10007154</t>
        </is>
      </c>
    </row>
    <row r="58" ht="110" customHeight="1">
      <c r="A58" s="10" t="inlineStr">
        <is>
          <t>UK</t>
        </is>
      </c>
      <c r="B58" s="11" t="inlineStr">
        <is>
          <t>Oxford</t>
        </is>
      </c>
      <c r="C58" s="10" t="inlineStr">
        <is>
          <t>HESA CPD/CE revenue</t>
        </is>
      </c>
      <c r="D58" s="10" t="inlineStr">
        <is>
          <t>CPD/CE courses for business and the community</t>
        </is>
      </c>
      <c r="E58" s="10" t="inlineStr">
        <is>
          <t>GBP m</t>
        </is>
      </c>
      <c r="F58" s="10" t="inlineStr">
        <is>
          <t>Not supplied</t>
        </is>
      </c>
      <c r="G58" s="83" t="inlineStr">
        <is>
          <t>n.a.</t>
        </is>
      </c>
      <c r="H58" s="83" t="inlineStr">
        <is>
          <t>2024/25</t>
        </is>
      </c>
      <c r="I58" s="83">
        <f>INDEX('UK providers'!$K$7:$K$212,MATCH(N58,'UK providers'!$A$7:$A$212,0))</f>
        <v/>
      </c>
      <c r="J58" s="84" t="inlineStr">
        <is>
          <t>n.a.</t>
        </is>
      </c>
      <c r="K58" s="10" t="inlineStr">
        <is>
          <t>HESA provider return</t>
        </is>
      </c>
      <c r="L58" s="10" t="inlineStr">
        <is>
          <t>Comparable CPD/CE definition. One year supplied: no growth calculation. Do not add to overlapping annual-report categories.</t>
        </is>
      </c>
      <c r="M58" s="10" t="inlineStr">
        <is>
          <t>HESA HE-BCI Table 2b; user-supplied dt032-table-2b.csv. https://www.hesa.ac.uk/data-and-analysis/business-community</t>
        </is>
      </c>
      <c r="N58" s="10" t="inlineStr">
        <is>
          <t>10007774</t>
        </is>
      </c>
    </row>
    <row r="59" ht="110" customHeight="1">
      <c r="A59" s="10" t="inlineStr">
        <is>
          <t>UK</t>
        </is>
      </c>
      <c r="B59" s="11" t="inlineStr">
        <is>
          <t>Queen Mary University of London</t>
        </is>
      </c>
      <c r="C59" s="10" t="inlineStr">
        <is>
          <t>HESA CPD/CE revenue</t>
        </is>
      </c>
      <c r="D59" s="10" t="inlineStr">
        <is>
          <t>CPD/CE courses for business and the community</t>
        </is>
      </c>
      <c r="E59" s="10" t="inlineStr">
        <is>
          <t>GBP m</t>
        </is>
      </c>
      <c r="F59" s="10" t="inlineStr">
        <is>
          <t>Not supplied</t>
        </is>
      </c>
      <c r="G59" s="83" t="inlineStr">
        <is>
          <t>n.a.</t>
        </is>
      </c>
      <c r="H59" s="83" t="inlineStr">
        <is>
          <t>2024/25</t>
        </is>
      </c>
      <c r="I59" s="83">
        <f>INDEX('UK providers'!$K$7:$K$212,MATCH(N59,'UK providers'!$A$7:$A$212,0))</f>
        <v/>
      </c>
      <c r="J59" s="84" t="inlineStr">
        <is>
          <t>n.a.</t>
        </is>
      </c>
      <c r="K59" s="10" t="inlineStr">
        <is>
          <t>HESA provider return</t>
        </is>
      </c>
      <c r="L59" s="10" t="inlineStr">
        <is>
          <t>Comparable CPD/CE definition. One year supplied: no growth calculation. Do not add to overlapping annual-report categories.</t>
        </is>
      </c>
      <c r="M59" s="10" t="inlineStr">
        <is>
          <t>HESA HE-BCI Table 2b; user-supplied dt032-table-2b.csv. https://www.hesa.ac.uk/data-and-analysis/business-community</t>
        </is>
      </c>
      <c r="N59" s="10" t="inlineStr">
        <is>
          <t>10007775</t>
        </is>
      </c>
    </row>
    <row r="60" ht="110" customHeight="1">
      <c r="A60" s="10" t="inlineStr">
        <is>
          <t>UK</t>
        </is>
      </c>
      <c r="B60" s="11" t="inlineStr">
        <is>
          <t>Queen’s University Belfast</t>
        </is>
      </c>
      <c r="C60" s="10" t="inlineStr">
        <is>
          <t>HESA CPD/CE revenue</t>
        </is>
      </c>
      <c r="D60" s="10" t="inlineStr">
        <is>
          <t>CPD/CE courses for business and the community</t>
        </is>
      </c>
      <c r="E60" s="10" t="inlineStr">
        <is>
          <t>GBP m</t>
        </is>
      </c>
      <c r="F60" s="10" t="inlineStr">
        <is>
          <t>Not supplied</t>
        </is>
      </c>
      <c r="G60" s="83" t="inlineStr">
        <is>
          <t>n.a.</t>
        </is>
      </c>
      <c r="H60" s="83" t="inlineStr">
        <is>
          <t>2024/25</t>
        </is>
      </c>
      <c r="I60" s="83">
        <f>INDEX('UK providers'!$K$7:$K$212,MATCH(N60,'UK providers'!$A$7:$A$212,0))</f>
        <v/>
      </c>
      <c r="J60" s="84" t="inlineStr">
        <is>
          <t>n.a.</t>
        </is>
      </c>
      <c r="K60" s="10" t="inlineStr">
        <is>
          <t>HESA provider return</t>
        </is>
      </c>
      <c r="L60" s="10" t="inlineStr">
        <is>
          <t>Comparable CPD/CE definition. One year supplied: no growth calculation. Do not add to overlapping annual-report categories.</t>
        </is>
      </c>
      <c r="M60" s="10" t="inlineStr">
        <is>
          <t>HESA HE-BCI Table 2b; user-supplied dt032-table-2b.csv. https://www.hesa.ac.uk/data-and-analysis/business-community</t>
        </is>
      </c>
      <c r="N60" s="10" t="inlineStr">
        <is>
          <t>10005343</t>
        </is>
      </c>
    </row>
    <row r="61" ht="110" customHeight="1">
      <c r="A61" s="10" t="inlineStr">
        <is>
          <t>UK</t>
        </is>
      </c>
      <c r="B61" s="11" t="inlineStr">
        <is>
          <t>Sheffield</t>
        </is>
      </c>
      <c r="C61" s="10" t="inlineStr">
        <is>
          <t>HESA CPD/CE revenue</t>
        </is>
      </c>
      <c r="D61" s="10" t="inlineStr">
        <is>
          <t>CPD/CE courses for business and the community</t>
        </is>
      </c>
      <c r="E61" s="10" t="inlineStr">
        <is>
          <t>GBP m</t>
        </is>
      </c>
      <c r="F61" s="10" t="inlineStr">
        <is>
          <t>Not supplied</t>
        </is>
      </c>
      <c r="G61" s="83" t="inlineStr">
        <is>
          <t>n.a.</t>
        </is>
      </c>
      <c r="H61" s="83" t="inlineStr">
        <is>
          <t>2024/25</t>
        </is>
      </c>
      <c r="I61" s="83">
        <f>INDEX('UK providers'!$K$7:$K$212,MATCH(N61,'UK providers'!$A$7:$A$212,0))</f>
        <v/>
      </c>
      <c r="J61" s="84" t="inlineStr">
        <is>
          <t>n.a.</t>
        </is>
      </c>
      <c r="K61" s="10" t="inlineStr">
        <is>
          <t>HESA provider return</t>
        </is>
      </c>
      <c r="L61" s="10" t="inlineStr">
        <is>
          <t>Comparable CPD/CE definition. One year supplied: no growth calculation. Do not add to overlapping annual-report categories.</t>
        </is>
      </c>
      <c r="M61" s="10" t="inlineStr">
        <is>
          <t>HESA HE-BCI Table 2b; user-supplied dt032-table-2b.csv. https://www.hesa.ac.uk/data-and-analysis/business-community</t>
        </is>
      </c>
      <c r="N61" s="10" t="inlineStr">
        <is>
          <t>10007157</t>
        </is>
      </c>
    </row>
    <row r="62" ht="110" customHeight="1">
      <c r="A62" s="10" t="inlineStr">
        <is>
          <t>UK</t>
        </is>
      </c>
      <c r="B62" s="11" t="inlineStr">
        <is>
          <t>Southampton</t>
        </is>
      </c>
      <c r="C62" s="10" t="inlineStr">
        <is>
          <t>HESA CPD/CE revenue</t>
        </is>
      </c>
      <c r="D62" s="10" t="inlineStr">
        <is>
          <t>CPD/CE courses for business and the community</t>
        </is>
      </c>
      <c r="E62" s="10" t="inlineStr">
        <is>
          <t>GBP m</t>
        </is>
      </c>
      <c r="F62" s="10" t="inlineStr">
        <is>
          <t>Not supplied</t>
        </is>
      </c>
      <c r="G62" s="83" t="inlineStr">
        <is>
          <t>n.a.</t>
        </is>
      </c>
      <c r="H62" s="83" t="inlineStr">
        <is>
          <t>2024/25</t>
        </is>
      </c>
      <c r="I62" s="83">
        <f>INDEX('UK providers'!$K$7:$K$212,MATCH(N62,'UK providers'!$A$7:$A$212,0))</f>
        <v/>
      </c>
      <c r="J62" s="84" t="inlineStr">
        <is>
          <t>n.a.</t>
        </is>
      </c>
      <c r="K62" s="10" t="inlineStr">
        <is>
          <t>HESA provider return</t>
        </is>
      </c>
      <c r="L62" s="10" t="inlineStr">
        <is>
          <t>Comparable CPD/CE definition. One year supplied: no growth calculation. Do not add to overlapping annual-report categories.</t>
        </is>
      </c>
      <c r="M62" s="10" t="inlineStr">
        <is>
          <t>HESA HE-BCI Table 2b; user-supplied dt032-table-2b.csv. https://www.hesa.ac.uk/data-and-analysis/business-community</t>
        </is>
      </c>
      <c r="N62" s="10" t="inlineStr">
        <is>
          <t>10007158</t>
        </is>
      </c>
    </row>
    <row r="63" ht="110" customHeight="1">
      <c r="A63" s="10" t="inlineStr">
        <is>
          <t>UK</t>
        </is>
      </c>
      <c r="B63" s="11" t="inlineStr">
        <is>
          <t>UCL</t>
        </is>
      </c>
      <c r="C63" s="10" t="inlineStr">
        <is>
          <t>HESA CPD/CE revenue</t>
        </is>
      </c>
      <c r="D63" s="10" t="inlineStr">
        <is>
          <t>CPD/CE courses for business and the community</t>
        </is>
      </c>
      <c r="E63" s="10" t="inlineStr">
        <is>
          <t>GBP m</t>
        </is>
      </c>
      <c r="F63" s="10" t="inlineStr">
        <is>
          <t>Not supplied</t>
        </is>
      </c>
      <c r="G63" s="83" t="inlineStr">
        <is>
          <t>n.a.</t>
        </is>
      </c>
      <c r="H63" s="83" t="inlineStr">
        <is>
          <t>2024/25</t>
        </is>
      </c>
      <c r="I63" s="83">
        <f>INDEX('UK providers'!$K$7:$K$212,MATCH(N63,'UK providers'!$A$7:$A$212,0))</f>
        <v/>
      </c>
      <c r="J63" s="84" t="inlineStr">
        <is>
          <t>n.a.</t>
        </is>
      </c>
      <c r="K63" s="10" t="inlineStr">
        <is>
          <t>HESA provider return</t>
        </is>
      </c>
      <c r="L63" s="10" t="inlineStr">
        <is>
          <t>Comparable CPD/CE definition. One year supplied: no growth calculation. Do not add to overlapping annual-report categories.</t>
        </is>
      </c>
      <c r="M63" s="10" t="inlineStr">
        <is>
          <t>HESA HE-BCI Table 2b; user-supplied dt032-table-2b.csv. https://www.hesa.ac.uk/data-and-analysis/business-community</t>
        </is>
      </c>
      <c r="N63" s="10" t="inlineStr">
        <is>
          <t>10007784</t>
        </is>
      </c>
    </row>
    <row r="64" ht="110" customHeight="1">
      <c r="A64" s="10" t="inlineStr">
        <is>
          <t>UK</t>
        </is>
      </c>
      <c r="B64" s="11" t="inlineStr">
        <is>
          <t>Warwick</t>
        </is>
      </c>
      <c r="C64" s="10" t="inlineStr">
        <is>
          <t>HESA CPD/CE revenue</t>
        </is>
      </c>
      <c r="D64" s="10" t="inlineStr">
        <is>
          <t>CPD/CE courses for business and the community</t>
        </is>
      </c>
      <c r="E64" s="10" t="inlineStr">
        <is>
          <t>GBP m</t>
        </is>
      </c>
      <c r="F64" s="10" t="inlineStr">
        <is>
          <t>Not supplied</t>
        </is>
      </c>
      <c r="G64" s="83" t="inlineStr">
        <is>
          <t>n.a.</t>
        </is>
      </c>
      <c r="H64" s="83" t="inlineStr">
        <is>
          <t>2024/25</t>
        </is>
      </c>
      <c r="I64" s="83">
        <f>INDEX('UK providers'!$K$7:$K$212,MATCH(N64,'UK providers'!$A$7:$A$212,0))</f>
        <v/>
      </c>
      <c r="J64" s="84" t="inlineStr">
        <is>
          <t>n.a.</t>
        </is>
      </c>
      <c r="K64" s="10" t="inlineStr">
        <is>
          <t>HESA provider return</t>
        </is>
      </c>
      <c r="L64" s="10" t="inlineStr">
        <is>
          <t>Comparable CPD/CE definition. One year supplied: no growth calculation. Do not add to overlapping annual-report categories.</t>
        </is>
      </c>
      <c r="M64" s="10" t="inlineStr">
        <is>
          <t>HESA HE-BCI Table 2b; user-supplied dt032-table-2b.csv. https://www.hesa.ac.uk/data-and-analysis/business-community</t>
        </is>
      </c>
      <c r="N64" s="10" t="inlineStr">
        <is>
          <t>10007163</t>
        </is>
      </c>
    </row>
    <row r="65" ht="110" customHeight="1">
      <c r="A65" s="10" t="inlineStr">
        <is>
          <t>UK</t>
        </is>
      </c>
      <c r="B65" s="11" t="inlineStr">
        <is>
          <t>York</t>
        </is>
      </c>
      <c r="C65" s="10" t="inlineStr">
        <is>
          <t>HESA CPD/CE revenue</t>
        </is>
      </c>
      <c r="D65" s="10" t="inlineStr">
        <is>
          <t>CPD/CE courses for business and the community</t>
        </is>
      </c>
      <c r="E65" s="10" t="inlineStr">
        <is>
          <t>GBP m</t>
        </is>
      </c>
      <c r="F65" s="10" t="inlineStr">
        <is>
          <t>Not supplied</t>
        </is>
      </c>
      <c r="G65" s="83" t="inlineStr">
        <is>
          <t>n.a.</t>
        </is>
      </c>
      <c r="H65" s="83" t="inlineStr">
        <is>
          <t>2024/25</t>
        </is>
      </c>
      <c r="I65" s="83">
        <f>INDEX('UK providers'!$K$7:$K$212,MATCH(N65,'UK providers'!$A$7:$A$212,0))</f>
        <v/>
      </c>
      <c r="J65" s="84" t="inlineStr">
        <is>
          <t>n.a.</t>
        </is>
      </c>
      <c r="K65" s="10" t="inlineStr">
        <is>
          <t>HESA provider return</t>
        </is>
      </c>
      <c r="L65" s="10" t="inlineStr">
        <is>
          <t>Comparable CPD/CE definition. One year supplied: no growth calculation. Do not add to overlapping annual-report categories.</t>
        </is>
      </c>
      <c r="M65" s="10" t="inlineStr">
        <is>
          <t>HESA HE-BCI Table 2b; user-supplied dt032-table-2b.csv. https://www.hesa.ac.uk/data-and-analysis/business-community</t>
        </is>
      </c>
      <c r="N65" s="10" t="inlineStr">
        <is>
          <t>10007167</t>
        </is>
      </c>
    </row>
    <row r="66" ht="110" customHeight="1">
      <c r="A66" s="10" t="inlineStr">
        <is>
          <t>UK</t>
        </is>
      </c>
      <c r="B66" s="11" t="inlineStr">
        <is>
          <t>Bath</t>
        </is>
      </c>
      <c r="C66" s="10" t="inlineStr">
        <is>
          <t>HESA CPD/CE revenue</t>
        </is>
      </c>
      <c r="D66" s="10" t="inlineStr">
        <is>
          <t>CPD/CE courses for business and the community</t>
        </is>
      </c>
      <c r="E66" s="10" t="inlineStr">
        <is>
          <t>GBP m</t>
        </is>
      </c>
      <c r="F66" s="10" t="inlineStr">
        <is>
          <t>Not supplied</t>
        </is>
      </c>
      <c r="G66" s="83" t="inlineStr">
        <is>
          <t>n.a.</t>
        </is>
      </c>
      <c r="H66" s="83" t="inlineStr">
        <is>
          <t>2024/25</t>
        </is>
      </c>
      <c r="I66" s="83">
        <f>INDEX('UK providers'!$K$7:$K$212,MATCH(N66,'UK providers'!$A$7:$A$212,0))</f>
        <v/>
      </c>
      <c r="J66" s="84" t="inlineStr">
        <is>
          <t>n.a.</t>
        </is>
      </c>
      <c r="K66" s="10" t="inlineStr">
        <is>
          <t>HESA provider return</t>
        </is>
      </c>
      <c r="L66" s="10" t="inlineStr">
        <is>
          <t>Comparable CPD/CE definition. One year supplied: no growth calculation. Do not add to overlapping annual-report categories.</t>
        </is>
      </c>
      <c r="M66" s="10" t="inlineStr">
        <is>
          <t>HESA HE-BCI Table 2b; user-supplied dt032-table-2b.csv. https://www.hesa.ac.uk/data-and-analysis/business-community</t>
        </is>
      </c>
      <c r="N66" s="10" t="inlineStr">
        <is>
          <t>10007850</t>
        </is>
      </c>
    </row>
    <row r="67" ht="110" customHeight="1">
      <c r="A67" s="10" t="inlineStr">
        <is>
          <t>UK</t>
        </is>
      </c>
      <c r="B67" s="11" t="inlineStr">
        <is>
          <t>St Andrews</t>
        </is>
      </c>
      <c r="C67" s="10" t="inlineStr">
        <is>
          <t>HESA CPD/CE revenue</t>
        </is>
      </c>
      <c r="D67" s="10" t="inlineStr">
        <is>
          <t>CPD/CE courses for business and the community</t>
        </is>
      </c>
      <c r="E67" s="10" t="inlineStr">
        <is>
          <t>GBP m</t>
        </is>
      </c>
      <c r="F67" s="10" t="inlineStr">
        <is>
          <t>Not supplied</t>
        </is>
      </c>
      <c r="G67" s="83" t="inlineStr">
        <is>
          <t>n.a.</t>
        </is>
      </c>
      <c r="H67" s="83" t="inlineStr">
        <is>
          <t>2024/25</t>
        </is>
      </c>
      <c r="I67" s="83">
        <f>INDEX('UK providers'!$K$7:$K$212,MATCH(N67,'UK providers'!$A$7:$A$212,0))</f>
        <v/>
      </c>
      <c r="J67" s="84" t="inlineStr">
        <is>
          <t>n.a.</t>
        </is>
      </c>
      <c r="K67" s="10" t="inlineStr">
        <is>
          <t>HESA provider return</t>
        </is>
      </c>
      <c r="L67" s="10" t="inlineStr">
        <is>
          <t>Comparable CPD/CE definition. One year supplied: no growth calculation. Do not add to overlapping annual-report categories.</t>
        </is>
      </c>
      <c r="M67" s="10" t="inlineStr">
        <is>
          <t>HESA HE-BCI Table 2b; user-supplied dt032-table-2b.csv. https://www.hesa.ac.uk/data-and-analysis/business-community</t>
        </is>
      </c>
      <c r="N67" s="10" t="inlineStr">
        <is>
          <t>10007803</t>
        </is>
      </c>
    </row>
    <row r="68" ht="110" customHeight="1">
      <c r="A68" s="10" t="inlineStr">
        <is>
          <t>UK</t>
        </is>
      </c>
      <c r="B68" s="11" t="inlineStr">
        <is>
          <t>Lancaster</t>
        </is>
      </c>
      <c r="C68" s="10" t="inlineStr">
        <is>
          <t>HESA CPD/CE revenue</t>
        </is>
      </c>
      <c r="D68" s="10" t="inlineStr">
        <is>
          <t>CPD/CE courses for business and the community</t>
        </is>
      </c>
      <c r="E68" s="10" t="inlineStr">
        <is>
          <t>GBP m</t>
        </is>
      </c>
      <c r="F68" s="10" t="inlineStr">
        <is>
          <t>Not supplied</t>
        </is>
      </c>
      <c r="G68" s="83" t="inlineStr">
        <is>
          <t>n.a.</t>
        </is>
      </c>
      <c r="H68" s="83" t="inlineStr">
        <is>
          <t>2024/25</t>
        </is>
      </c>
      <c r="I68" s="83">
        <f>INDEX('UK providers'!$K$7:$K$212,MATCH(N68,'UK providers'!$A$7:$A$212,0))</f>
        <v/>
      </c>
      <c r="J68" s="84" t="inlineStr">
        <is>
          <t>n.a.</t>
        </is>
      </c>
      <c r="K68" s="10" t="inlineStr">
        <is>
          <t>HESA provider return</t>
        </is>
      </c>
      <c r="L68" s="10" t="inlineStr">
        <is>
          <t>Comparable CPD/CE definition. One year supplied: no growth calculation. Do not add to overlapping annual-report categories.</t>
        </is>
      </c>
      <c r="M68" s="10" t="inlineStr">
        <is>
          <t>HESA HE-BCI Table 2b; user-supplied dt032-table-2b.csv. https://www.hesa.ac.uk/data-and-analysis/business-community</t>
        </is>
      </c>
      <c r="N68" s="10" t="inlineStr">
        <is>
          <t>10007768</t>
        </is>
      </c>
    </row>
    <row r="69" ht="110" customHeight="1">
      <c r="A69" s="10" t="inlineStr">
        <is>
          <t>UK</t>
        </is>
      </c>
      <c r="B69" s="11" t="inlineStr">
        <is>
          <t>Loughborough</t>
        </is>
      </c>
      <c r="C69" s="10" t="inlineStr">
        <is>
          <t>HESA CPD/CE revenue</t>
        </is>
      </c>
      <c r="D69" s="10" t="inlineStr">
        <is>
          <t>CPD/CE courses for business and the community</t>
        </is>
      </c>
      <c r="E69" s="10" t="inlineStr">
        <is>
          <t>GBP m</t>
        </is>
      </c>
      <c r="F69" s="10" t="inlineStr">
        <is>
          <t>Not supplied</t>
        </is>
      </c>
      <c r="G69" s="83" t="inlineStr">
        <is>
          <t>n.a.</t>
        </is>
      </c>
      <c r="H69" s="83" t="inlineStr">
        <is>
          <t>2024/25</t>
        </is>
      </c>
      <c r="I69" s="83">
        <f>INDEX('UK providers'!$K$7:$K$212,MATCH(N69,'UK providers'!$A$7:$A$212,0))</f>
        <v/>
      </c>
      <c r="J69" s="84" t="inlineStr">
        <is>
          <t>n.a.</t>
        </is>
      </c>
      <c r="K69" s="10" t="inlineStr">
        <is>
          <t>HESA provider return</t>
        </is>
      </c>
      <c r="L69" s="10" t="inlineStr">
        <is>
          <t>Comparable CPD/CE definition. One year supplied: no growth calculation. Do not add to overlapping annual-report categories.</t>
        </is>
      </c>
      <c r="M69" s="10" t="inlineStr">
        <is>
          <t>HESA HE-BCI Table 2b; user-supplied dt032-table-2b.csv. https://www.hesa.ac.uk/data-and-analysis/business-community</t>
        </is>
      </c>
      <c r="N69" s="10" t="inlineStr">
        <is>
          <t>10004113</t>
        </is>
      </c>
    </row>
    <row r="70" ht="110" customHeight="1">
      <c r="A70" s="10" t="inlineStr">
        <is>
          <t>UK</t>
        </is>
      </c>
      <c r="B70" s="11" t="inlineStr">
        <is>
          <t>Aberdeen</t>
        </is>
      </c>
      <c r="C70" s="10" t="inlineStr">
        <is>
          <t>HESA CPD/CE revenue</t>
        </is>
      </c>
      <c r="D70" s="10" t="inlineStr">
        <is>
          <t>CPD/CE courses for business and the community</t>
        </is>
      </c>
      <c r="E70" s="10" t="inlineStr">
        <is>
          <t>GBP m</t>
        </is>
      </c>
      <c r="F70" s="10" t="inlineStr">
        <is>
          <t>Not supplied</t>
        </is>
      </c>
      <c r="G70" s="83" t="inlineStr">
        <is>
          <t>n.a.</t>
        </is>
      </c>
      <c r="H70" s="83" t="inlineStr">
        <is>
          <t>2024/25</t>
        </is>
      </c>
      <c r="I70" s="83">
        <f>INDEX('UK providers'!$K$7:$K$212,MATCH(N70,'UK providers'!$A$7:$A$212,0))</f>
        <v/>
      </c>
      <c r="J70" s="84" t="inlineStr">
        <is>
          <t>n.a.</t>
        </is>
      </c>
      <c r="K70" s="10" t="inlineStr">
        <is>
          <t>HESA provider return</t>
        </is>
      </c>
      <c r="L70" s="10" t="inlineStr">
        <is>
          <t>Comparable CPD/CE definition. One year supplied: no growth calculation. Do not add to overlapping annual-report categories.</t>
        </is>
      </c>
      <c r="M70" s="10" t="inlineStr">
        <is>
          <t>HESA HE-BCI Table 2b; user-supplied dt032-table-2b.csv. https://www.hesa.ac.uk/data-and-analysis/business-community</t>
        </is>
      </c>
      <c r="N70" s="10" t="inlineStr">
        <is>
          <t>10007783</t>
        </is>
      </c>
    </row>
    <row r="71" ht="110" customHeight="1">
      <c r="A71" s="10" t="inlineStr">
        <is>
          <t>UK</t>
        </is>
      </c>
      <c r="B71" s="11" t="inlineStr">
        <is>
          <t>Reading</t>
        </is>
      </c>
      <c r="C71" s="10" t="inlineStr">
        <is>
          <t>HESA CPD/CE revenue</t>
        </is>
      </c>
      <c r="D71" s="10" t="inlineStr">
        <is>
          <t>CPD/CE courses for business and the community</t>
        </is>
      </c>
      <c r="E71" s="10" t="inlineStr">
        <is>
          <t>GBP m</t>
        </is>
      </c>
      <c r="F71" s="10" t="inlineStr">
        <is>
          <t>Not supplied</t>
        </is>
      </c>
      <c r="G71" s="83" t="inlineStr">
        <is>
          <t>n.a.</t>
        </is>
      </c>
      <c r="H71" s="83" t="inlineStr">
        <is>
          <t>2024/25</t>
        </is>
      </c>
      <c r="I71" s="83">
        <f>INDEX('UK providers'!$K$7:$K$212,MATCH(N71,'UK providers'!$A$7:$A$212,0))</f>
        <v/>
      </c>
      <c r="J71" s="84" t="inlineStr">
        <is>
          <t>n.a.</t>
        </is>
      </c>
      <c r="K71" s="10" t="inlineStr">
        <is>
          <t>HESA provider return</t>
        </is>
      </c>
      <c r="L71" s="10" t="inlineStr">
        <is>
          <t>Comparable CPD/CE definition. One year supplied: no growth calculation. Do not add to overlapping annual-report categories.</t>
        </is>
      </c>
      <c r="M71" s="10" t="inlineStr">
        <is>
          <t>HESA HE-BCI Table 2b; user-supplied dt032-table-2b.csv. https://www.hesa.ac.uk/data-and-analysis/business-community</t>
        </is>
      </c>
      <c r="N71" s="10" t="inlineStr">
        <is>
          <t>10007802</t>
        </is>
      </c>
    </row>
    <row r="72" ht="110" customHeight="1">
      <c r="A72" s="10" t="inlineStr">
        <is>
          <t>UK</t>
        </is>
      </c>
      <c r="B72" s="11" t="inlineStr">
        <is>
          <t>Surrey</t>
        </is>
      </c>
      <c r="C72" s="10" t="inlineStr">
        <is>
          <t>HESA CPD/CE revenue</t>
        </is>
      </c>
      <c r="D72" s="10" t="inlineStr">
        <is>
          <t>CPD/CE courses for business and the community</t>
        </is>
      </c>
      <c r="E72" s="10" t="inlineStr">
        <is>
          <t>GBP m</t>
        </is>
      </c>
      <c r="F72" s="10" t="inlineStr">
        <is>
          <t>Not supplied</t>
        </is>
      </c>
      <c r="G72" s="83" t="inlineStr">
        <is>
          <t>n.a.</t>
        </is>
      </c>
      <c r="H72" s="83" t="inlineStr">
        <is>
          <t>2024/25</t>
        </is>
      </c>
      <c r="I72" s="83">
        <f>INDEX('UK providers'!$K$7:$K$212,MATCH(N72,'UK providers'!$A$7:$A$212,0))</f>
        <v/>
      </c>
      <c r="J72" s="84" t="inlineStr">
        <is>
          <t>n.a.</t>
        </is>
      </c>
      <c r="K72" s="10" t="inlineStr">
        <is>
          <t>HESA provider return</t>
        </is>
      </c>
      <c r="L72" s="10" t="inlineStr">
        <is>
          <t>Comparable CPD/CE definition. One year supplied: no growth calculation. Do not add to overlapping annual-report categories.</t>
        </is>
      </c>
      <c r="M72" s="10" t="inlineStr">
        <is>
          <t>HESA HE-BCI Table 2b; user-supplied dt032-table-2b.csv. https://www.hesa.ac.uk/data-and-analysis/business-community</t>
        </is>
      </c>
      <c r="N72" s="10" t="inlineStr">
        <is>
          <t>10007160</t>
        </is>
      </c>
    </row>
    <row r="73" ht="110" customHeight="1">
      <c r="A73" s="10" t="inlineStr">
        <is>
          <t>UK</t>
        </is>
      </c>
      <c r="B73" s="11" t="inlineStr">
        <is>
          <t>Sussex</t>
        </is>
      </c>
      <c r="C73" s="10" t="inlineStr">
        <is>
          <t>HESA CPD/CE revenue</t>
        </is>
      </c>
      <c r="D73" s="10" t="inlineStr">
        <is>
          <t>CPD/CE courses for business and the community</t>
        </is>
      </c>
      <c r="E73" s="10" t="inlineStr">
        <is>
          <t>GBP m</t>
        </is>
      </c>
      <c r="F73" s="10" t="inlineStr">
        <is>
          <t>Not supplied</t>
        </is>
      </c>
      <c r="G73" s="83" t="inlineStr">
        <is>
          <t>n.a.</t>
        </is>
      </c>
      <c r="H73" s="83" t="inlineStr">
        <is>
          <t>2024/25</t>
        </is>
      </c>
      <c r="I73" s="83">
        <f>INDEX('UK providers'!$K$7:$K$212,MATCH(N73,'UK providers'!$A$7:$A$212,0))</f>
        <v/>
      </c>
      <c r="J73" s="84" t="inlineStr">
        <is>
          <t>n.a.</t>
        </is>
      </c>
      <c r="K73" s="10" t="inlineStr">
        <is>
          <t>HESA provider return</t>
        </is>
      </c>
      <c r="L73" s="10" t="inlineStr">
        <is>
          <t>Comparable CPD/CE definition. One year supplied: no growth calculation. Do not add to overlapping annual-report categories.</t>
        </is>
      </c>
      <c r="M73" s="10" t="inlineStr">
        <is>
          <t>HESA HE-BCI Table 2b; user-supplied dt032-table-2b.csv. https://www.hesa.ac.uk/data-and-analysis/business-community</t>
        </is>
      </c>
      <c r="N73" s="10" t="inlineStr">
        <is>
          <t>10007806</t>
        </is>
      </c>
    </row>
    <row r="74" ht="110" customHeight="1">
      <c r="A74" s="10" t="inlineStr">
        <is>
          <t>UK</t>
        </is>
      </c>
      <c r="B74" s="11" t="inlineStr">
        <is>
          <t>Leicester</t>
        </is>
      </c>
      <c r="C74" s="10" t="inlineStr">
        <is>
          <t>HESA CPD/CE revenue</t>
        </is>
      </c>
      <c r="D74" s="10" t="inlineStr">
        <is>
          <t>CPD/CE courses for business and the community</t>
        </is>
      </c>
      <c r="E74" s="10" t="inlineStr">
        <is>
          <t>GBP m</t>
        </is>
      </c>
      <c r="F74" s="10" t="inlineStr">
        <is>
          <t>Not supplied</t>
        </is>
      </c>
      <c r="G74" s="83" t="inlineStr">
        <is>
          <t>n.a.</t>
        </is>
      </c>
      <c r="H74" s="83" t="inlineStr">
        <is>
          <t>2024/25</t>
        </is>
      </c>
      <c r="I74" s="83">
        <f>INDEX('UK providers'!$K$7:$K$212,MATCH(N74,'UK providers'!$A$7:$A$212,0))</f>
        <v/>
      </c>
      <c r="J74" s="84" t="inlineStr">
        <is>
          <t>n.a.</t>
        </is>
      </c>
      <c r="K74" s="10" t="inlineStr">
        <is>
          <t>HESA provider return</t>
        </is>
      </c>
      <c r="L74" s="10" t="inlineStr">
        <is>
          <t>Comparable CPD/CE definition. One year supplied: no growth calculation. Do not add to overlapping annual-report categories.</t>
        </is>
      </c>
      <c r="M74" s="10" t="inlineStr">
        <is>
          <t>HESA HE-BCI Table 2b; user-supplied dt032-table-2b.csv. https://www.hesa.ac.uk/data-and-analysis/business-community</t>
        </is>
      </c>
      <c r="N74" s="10" t="inlineStr">
        <is>
          <t>10007796</t>
        </is>
      </c>
    </row>
    <row r="75" ht="110" customHeight="1">
      <c r="A75" s="10" t="inlineStr">
        <is>
          <t>UK</t>
        </is>
      </c>
      <c r="B75" s="11" t="inlineStr">
        <is>
          <t>Strathclyde</t>
        </is>
      </c>
      <c r="C75" s="10" t="inlineStr">
        <is>
          <t>HESA CPD/CE revenue</t>
        </is>
      </c>
      <c r="D75" s="10" t="inlineStr">
        <is>
          <t>CPD/CE courses for business and the community</t>
        </is>
      </c>
      <c r="E75" s="10" t="inlineStr">
        <is>
          <t>GBP m</t>
        </is>
      </c>
      <c r="F75" s="10" t="inlineStr">
        <is>
          <t>Not supplied</t>
        </is>
      </c>
      <c r="G75" s="83" t="inlineStr">
        <is>
          <t>n.a.</t>
        </is>
      </c>
      <c r="H75" s="83" t="inlineStr">
        <is>
          <t>2024/25</t>
        </is>
      </c>
      <c r="I75" s="83">
        <f>INDEX('UK providers'!$K$7:$K$212,MATCH(N75,'UK providers'!$A$7:$A$212,0))</f>
        <v/>
      </c>
      <c r="J75" s="84" t="inlineStr">
        <is>
          <t>n.a.</t>
        </is>
      </c>
      <c r="K75" s="10" t="inlineStr">
        <is>
          <t>HESA provider return</t>
        </is>
      </c>
      <c r="L75" s="10" t="inlineStr">
        <is>
          <t>Comparable CPD/CE definition. One year supplied: no growth calculation. Do not add to overlapping annual-report categories.</t>
        </is>
      </c>
      <c r="M75" s="10" t="inlineStr">
        <is>
          <t>HESA HE-BCI Table 2b; user-supplied dt032-table-2b.csv. https://www.hesa.ac.uk/data-and-analysis/business-community</t>
        </is>
      </c>
      <c r="N75" s="10" t="inlineStr">
        <is>
          <t>10007805</t>
        </is>
      </c>
    </row>
    <row r="76" ht="110" customHeight="1">
      <c r="A76" s="10" t="inlineStr">
        <is>
          <t>UK</t>
        </is>
      </c>
      <c r="B76" s="11" t="inlineStr">
        <is>
          <t>Heriot-Watt</t>
        </is>
      </c>
      <c r="C76" s="10" t="inlineStr">
        <is>
          <t>HESA CPD/CE revenue</t>
        </is>
      </c>
      <c r="D76" s="10" t="inlineStr">
        <is>
          <t>CPD/CE courses for business and the community</t>
        </is>
      </c>
      <c r="E76" s="10" t="inlineStr">
        <is>
          <t>GBP m</t>
        </is>
      </c>
      <c r="F76" s="10" t="inlineStr">
        <is>
          <t>Not supplied</t>
        </is>
      </c>
      <c r="G76" s="83" t="inlineStr">
        <is>
          <t>n.a.</t>
        </is>
      </c>
      <c r="H76" s="83" t="inlineStr">
        <is>
          <t>2024/25</t>
        </is>
      </c>
      <c r="I76" s="83">
        <f>INDEX('UK providers'!$K$7:$K$212,MATCH(N76,'UK providers'!$A$7:$A$212,0))</f>
        <v/>
      </c>
      <c r="J76" s="84" t="inlineStr">
        <is>
          <t>n.a.</t>
        </is>
      </c>
      <c r="K76" s="10" t="inlineStr">
        <is>
          <t>HESA provider return</t>
        </is>
      </c>
      <c r="L76" s="10" t="inlineStr">
        <is>
          <t>Comparable CPD/CE definition. One year supplied: no growth calculation. Do not add to overlapping annual-report categories.</t>
        </is>
      </c>
      <c r="M76" s="10" t="inlineStr">
        <is>
          <t>HESA HE-BCI Table 2b; user-supplied dt032-table-2b.csv. https://www.hesa.ac.uk/data-and-analysis/business-community</t>
        </is>
      </c>
      <c r="N76" s="10" t="inlineStr">
        <is>
          <t>10007764</t>
        </is>
      </c>
    </row>
    <row r="77" ht="110" customHeight="1">
      <c r="A77" s="10" t="inlineStr">
        <is>
          <t>UK</t>
        </is>
      </c>
      <c r="B77" s="11" t="inlineStr">
        <is>
          <t>East Anglia</t>
        </is>
      </c>
      <c r="C77" s="10" t="inlineStr">
        <is>
          <t>HESA CPD/CE revenue</t>
        </is>
      </c>
      <c r="D77" s="10" t="inlineStr">
        <is>
          <t>CPD/CE courses for business and the community</t>
        </is>
      </c>
      <c r="E77" s="10" t="inlineStr">
        <is>
          <t>GBP m</t>
        </is>
      </c>
      <c r="F77" s="10" t="inlineStr">
        <is>
          <t>Not supplied</t>
        </is>
      </c>
      <c r="G77" s="83" t="inlineStr">
        <is>
          <t>n.a.</t>
        </is>
      </c>
      <c r="H77" s="83" t="inlineStr">
        <is>
          <t>2024/25</t>
        </is>
      </c>
      <c r="I77" s="83">
        <f>INDEX('UK providers'!$K$7:$K$212,MATCH(N77,'UK providers'!$A$7:$A$212,0))</f>
        <v/>
      </c>
      <c r="J77" s="84" t="inlineStr">
        <is>
          <t>n.a.</t>
        </is>
      </c>
      <c r="K77" s="10" t="inlineStr">
        <is>
          <t>HESA provider return</t>
        </is>
      </c>
      <c r="L77" s="10" t="inlineStr">
        <is>
          <t>Comparable CPD/CE definition. One year supplied: no growth calculation. Do not add to overlapping annual-report categories.</t>
        </is>
      </c>
      <c r="M77" s="10" t="inlineStr">
        <is>
          <t>HESA HE-BCI Table 2b; user-supplied dt032-table-2b.csv. https://www.hesa.ac.uk/data-and-analysis/business-community</t>
        </is>
      </c>
      <c r="N77" s="10" t="inlineStr">
        <is>
          <t>10007789</t>
        </is>
      </c>
    </row>
    <row r="78" ht="110" customHeight="1">
      <c r="A78" s="10" t="inlineStr">
        <is>
          <t>UK</t>
        </is>
      </c>
      <c r="B78" s="11" t="inlineStr">
        <is>
          <t>Dundee</t>
        </is>
      </c>
      <c r="C78" s="10" t="inlineStr">
        <is>
          <t>HESA CPD/CE revenue</t>
        </is>
      </c>
      <c r="D78" s="10" t="inlineStr">
        <is>
          <t>CPD/CE courses for business and the community</t>
        </is>
      </c>
      <c r="E78" s="10" t="inlineStr">
        <is>
          <t>GBP m</t>
        </is>
      </c>
      <c r="F78" s="10" t="inlineStr">
        <is>
          <t>Not supplied</t>
        </is>
      </c>
      <c r="G78" s="83" t="inlineStr">
        <is>
          <t>n.a.</t>
        </is>
      </c>
      <c r="H78" s="83" t="inlineStr">
        <is>
          <t>2024/25</t>
        </is>
      </c>
      <c r="I78" s="83">
        <f>INDEX('UK providers'!$K$7:$K$212,MATCH(N78,'UK providers'!$A$7:$A$212,0))</f>
        <v/>
      </c>
      <c r="J78" s="84" t="inlineStr">
        <is>
          <t>n.a.</t>
        </is>
      </c>
      <c r="K78" s="10" t="inlineStr">
        <is>
          <t>HESA provider return</t>
        </is>
      </c>
      <c r="L78" s="10" t="inlineStr">
        <is>
          <t>Comparable CPD/CE definition. One year supplied: no growth calculation. Do not add to overlapping annual-report categories.</t>
        </is>
      </c>
      <c r="M78" s="10" t="inlineStr">
        <is>
          <t>HESA HE-BCI Table 2b; user-supplied dt032-table-2b.csv. https://www.hesa.ac.uk/data-and-analysis/business-community</t>
        </is>
      </c>
      <c r="N78" s="10" t="inlineStr">
        <is>
          <t>10007852</t>
        </is>
      </c>
    </row>
    <row r="79" ht="110" customHeight="1">
      <c r="A79" s="10" t="inlineStr">
        <is>
          <t>UK</t>
        </is>
      </c>
      <c r="B79" s="11" t="inlineStr">
        <is>
          <t>Swansea</t>
        </is>
      </c>
      <c r="C79" s="10" t="inlineStr">
        <is>
          <t>HESA CPD/CE revenue</t>
        </is>
      </c>
      <c r="D79" s="10" t="inlineStr">
        <is>
          <t>CPD/CE courses for business and the community</t>
        </is>
      </c>
      <c r="E79" s="10" t="inlineStr">
        <is>
          <t>GBP m</t>
        </is>
      </c>
      <c r="F79" s="10" t="inlineStr">
        <is>
          <t>Not supplied</t>
        </is>
      </c>
      <c r="G79" s="83" t="inlineStr">
        <is>
          <t>n.a.</t>
        </is>
      </c>
      <c r="H79" s="83" t="inlineStr">
        <is>
          <t>2024/25</t>
        </is>
      </c>
      <c r="I79" s="83">
        <f>INDEX('UK providers'!$K$7:$K$212,MATCH(N79,'UK providers'!$A$7:$A$212,0))</f>
        <v/>
      </c>
      <c r="J79" s="84" t="inlineStr">
        <is>
          <t>n.a.</t>
        </is>
      </c>
      <c r="K79" s="10" t="inlineStr">
        <is>
          <t>HESA provider return</t>
        </is>
      </c>
      <c r="L79" s="10" t="inlineStr">
        <is>
          <t>Comparable CPD/CE definition. One year supplied: no growth calculation. Do not add to overlapping annual-report categories.</t>
        </is>
      </c>
      <c r="M79" s="10" t="inlineStr">
        <is>
          <t>HESA HE-BCI Table 2b; user-supplied dt032-table-2b.csv. https://www.hesa.ac.uk/data-and-analysis/business-community</t>
        </is>
      </c>
      <c r="N79" s="10" t="inlineStr">
        <is>
          <t>10007855</t>
        </is>
      </c>
    </row>
    <row r="80" ht="110" customHeight="1">
      <c r="A80" s="10" t="inlineStr">
        <is>
          <t>UK</t>
        </is>
      </c>
      <c r="B80" s="11" t="inlineStr">
        <is>
          <t>Essex</t>
        </is>
      </c>
      <c r="C80" s="10" t="inlineStr">
        <is>
          <t>HESA CPD/CE revenue</t>
        </is>
      </c>
      <c r="D80" s="10" t="inlineStr">
        <is>
          <t>CPD/CE courses for business and the community</t>
        </is>
      </c>
      <c r="E80" s="10" t="inlineStr">
        <is>
          <t>GBP m</t>
        </is>
      </c>
      <c r="F80" s="10" t="inlineStr">
        <is>
          <t>Not supplied</t>
        </is>
      </c>
      <c r="G80" s="83" t="inlineStr">
        <is>
          <t>n.a.</t>
        </is>
      </c>
      <c r="H80" s="83" t="inlineStr">
        <is>
          <t>2024/25</t>
        </is>
      </c>
      <c r="I80" s="83">
        <f>INDEX('UK providers'!$K$7:$K$212,MATCH(N80,'UK providers'!$A$7:$A$212,0))</f>
        <v/>
      </c>
      <c r="J80" s="84" t="inlineStr">
        <is>
          <t>n.a.</t>
        </is>
      </c>
      <c r="K80" s="10" t="inlineStr">
        <is>
          <t>HESA provider return</t>
        </is>
      </c>
      <c r="L80" s="10" t="inlineStr">
        <is>
          <t>Comparable CPD/CE definition. One year supplied: no growth calculation. Do not add to overlapping annual-report categories.</t>
        </is>
      </c>
      <c r="M80" s="10" t="inlineStr">
        <is>
          <t>HESA HE-BCI Table 2b; user-supplied dt032-table-2b.csv. https://www.hesa.ac.uk/data-and-analysis/business-community</t>
        </is>
      </c>
      <c r="N80" s="10" t="inlineStr">
        <is>
          <t>10007791</t>
        </is>
      </c>
    </row>
    <row r="81" ht="110" customHeight="1">
      <c r="A81" s="10" t="inlineStr">
        <is>
          <t>UK</t>
        </is>
      </c>
      <c r="B81" s="11" t="inlineStr">
        <is>
          <t>Kent</t>
        </is>
      </c>
      <c r="C81" s="10" t="inlineStr">
        <is>
          <t>HESA CPD/CE revenue</t>
        </is>
      </c>
      <c r="D81" s="10" t="inlineStr">
        <is>
          <t>CPD/CE courses for business and the community</t>
        </is>
      </c>
      <c r="E81" s="10" t="inlineStr">
        <is>
          <t>GBP m</t>
        </is>
      </c>
      <c r="F81" s="10" t="inlineStr">
        <is>
          <t>Not supplied</t>
        </is>
      </c>
      <c r="G81" s="83" t="inlineStr">
        <is>
          <t>n.a.</t>
        </is>
      </c>
      <c r="H81" s="83" t="inlineStr">
        <is>
          <t>2024/25</t>
        </is>
      </c>
      <c r="I81" s="83">
        <f>INDEX('UK providers'!$K$7:$K$212,MATCH(N81,'UK providers'!$A$7:$A$212,0))</f>
        <v/>
      </c>
      <c r="J81" s="84" t="inlineStr">
        <is>
          <t>n.a.</t>
        </is>
      </c>
      <c r="K81" s="10" t="inlineStr">
        <is>
          <t>HESA provider return</t>
        </is>
      </c>
      <c r="L81" s="10" t="inlineStr">
        <is>
          <t>Comparable CPD/CE definition. One year supplied: no growth calculation. Do not add to overlapping annual-report categories.</t>
        </is>
      </c>
      <c r="M81" s="10" t="inlineStr">
        <is>
          <t>HESA HE-BCI Table 2b; user-supplied dt032-table-2b.csv. https://www.hesa.ac.uk/data-and-analysis/business-community</t>
        </is>
      </c>
      <c r="N81" s="10" t="inlineStr">
        <is>
          <t>10007150</t>
        </is>
      </c>
    </row>
    <row r="82" ht="110" customHeight="1">
      <c r="A82" s="10" t="inlineStr">
        <is>
          <t>UK</t>
        </is>
      </c>
      <c r="B82" s="11" t="inlineStr">
        <is>
          <t>Brunel</t>
        </is>
      </c>
      <c r="C82" s="10" t="inlineStr">
        <is>
          <t>HESA CPD/CE revenue</t>
        </is>
      </c>
      <c r="D82" s="10" t="inlineStr">
        <is>
          <t>CPD/CE courses for business and the community</t>
        </is>
      </c>
      <c r="E82" s="10" t="inlineStr">
        <is>
          <t>GBP m</t>
        </is>
      </c>
      <c r="F82" s="10" t="inlineStr">
        <is>
          <t>Not supplied</t>
        </is>
      </c>
      <c r="G82" s="83" t="inlineStr">
        <is>
          <t>n.a.</t>
        </is>
      </c>
      <c r="H82" s="83" t="inlineStr">
        <is>
          <t>2024/25</t>
        </is>
      </c>
      <c r="I82" s="83">
        <f>INDEX('UK providers'!$K$7:$K$212,MATCH(N82,'UK providers'!$A$7:$A$212,0))</f>
        <v/>
      </c>
      <c r="J82" s="84" t="inlineStr">
        <is>
          <t>n.a.</t>
        </is>
      </c>
      <c r="K82" s="10" t="inlineStr">
        <is>
          <t>HESA provider return</t>
        </is>
      </c>
      <c r="L82" s="10" t="inlineStr">
        <is>
          <t>Comparable CPD/CE definition. One year supplied: no growth calculation. Do not add to overlapping annual-report categories.</t>
        </is>
      </c>
      <c r="M82" s="10" t="inlineStr">
        <is>
          <t>HESA HE-BCI Table 2b; user-supplied dt032-table-2b.csv. https://www.hesa.ac.uk/data-and-analysis/business-community</t>
        </is>
      </c>
      <c r="N82" s="10" t="inlineStr">
        <is>
          <t>10000961</t>
        </is>
      </c>
    </row>
    <row r="83" ht="110" customHeight="1">
      <c r="A83" s="10" t="inlineStr">
        <is>
          <t>UK</t>
        </is>
      </c>
      <c r="B83" s="11" t="inlineStr">
        <is>
          <t>Aston</t>
        </is>
      </c>
      <c r="C83" s="10" t="inlineStr">
        <is>
          <t>HESA CPD/CE revenue</t>
        </is>
      </c>
      <c r="D83" s="10" t="inlineStr">
        <is>
          <t>CPD/CE courses for business and the community</t>
        </is>
      </c>
      <c r="E83" s="10" t="inlineStr">
        <is>
          <t>GBP m</t>
        </is>
      </c>
      <c r="F83" s="10" t="inlineStr">
        <is>
          <t>Not supplied</t>
        </is>
      </c>
      <c r="G83" s="83" t="inlineStr">
        <is>
          <t>n.a.</t>
        </is>
      </c>
      <c r="H83" s="83" t="inlineStr">
        <is>
          <t>2024/25</t>
        </is>
      </c>
      <c r="I83" s="83">
        <f>INDEX('UK providers'!$K$7:$K$212,MATCH(N83,'UK providers'!$A$7:$A$212,0))</f>
        <v/>
      </c>
      <c r="J83" s="84" t="inlineStr">
        <is>
          <t>n.a.</t>
        </is>
      </c>
      <c r="K83" s="10" t="inlineStr">
        <is>
          <t>HESA provider return</t>
        </is>
      </c>
      <c r="L83" s="10" t="inlineStr">
        <is>
          <t>Comparable CPD/CE definition. One year supplied: no growth calculation. Do not add to overlapping annual-report categories.</t>
        </is>
      </c>
      <c r="M83" s="10" t="inlineStr">
        <is>
          <t>HESA HE-BCI Table 2b; user-supplied dt032-table-2b.csv. https://www.hesa.ac.uk/data-and-analysis/business-community</t>
        </is>
      </c>
      <c r="N83" s="10" t="inlineStr">
        <is>
          <t>10007759</t>
        </is>
      </c>
    </row>
    <row r="84" ht="110" customHeight="1">
      <c r="A84" s="10" t="inlineStr">
        <is>
          <t>UK</t>
        </is>
      </c>
      <c r="B84" s="11" t="inlineStr">
        <is>
          <t>Stirling</t>
        </is>
      </c>
      <c r="C84" s="10" t="inlineStr">
        <is>
          <t>HESA CPD/CE revenue</t>
        </is>
      </c>
      <c r="D84" s="10" t="inlineStr">
        <is>
          <t>CPD/CE courses for business and the community</t>
        </is>
      </c>
      <c r="E84" s="10" t="inlineStr">
        <is>
          <t>GBP m</t>
        </is>
      </c>
      <c r="F84" s="10" t="inlineStr">
        <is>
          <t>Not supplied</t>
        </is>
      </c>
      <c r="G84" s="83" t="inlineStr">
        <is>
          <t>n.a.</t>
        </is>
      </c>
      <c r="H84" s="83" t="inlineStr">
        <is>
          <t>2024/25</t>
        </is>
      </c>
      <c r="I84" s="83">
        <f>INDEX('UK providers'!$K$7:$K$212,MATCH(N84,'UK providers'!$A$7:$A$212,0))</f>
        <v/>
      </c>
      <c r="J84" s="84" t="inlineStr">
        <is>
          <t>n.a.</t>
        </is>
      </c>
      <c r="K84" s="10" t="inlineStr">
        <is>
          <t>HESA provider return</t>
        </is>
      </c>
      <c r="L84" s="10" t="inlineStr">
        <is>
          <t>Comparable CPD/CE definition. One year supplied: no growth calculation. Do not add to overlapping annual-report categories.</t>
        </is>
      </c>
      <c r="M84" s="10" t="inlineStr">
        <is>
          <t>HESA HE-BCI Table 2b; user-supplied dt032-table-2b.csv. https://www.hesa.ac.uk/data-and-analysis/business-community</t>
        </is>
      </c>
      <c r="N84" s="10" t="inlineStr">
        <is>
          <t>10007804</t>
        </is>
      </c>
    </row>
    <row r="85" ht="110" customHeight="1">
      <c r="A85" s="10" t="inlineStr">
        <is>
          <t>UK</t>
        </is>
      </c>
      <c r="B85" s="11" t="inlineStr">
        <is>
          <t>SOAS</t>
        </is>
      </c>
      <c r="C85" s="10" t="inlineStr">
        <is>
          <t>HESA CPD/CE revenue</t>
        </is>
      </c>
      <c r="D85" s="10" t="inlineStr">
        <is>
          <t>CPD/CE courses for business and the community</t>
        </is>
      </c>
      <c r="E85" s="10" t="inlineStr">
        <is>
          <t>GBP m</t>
        </is>
      </c>
      <c r="F85" s="10" t="inlineStr">
        <is>
          <t>Not supplied</t>
        </is>
      </c>
      <c r="G85" s="83" t="inlineStr">
        <is>
          <t>n.a.</t>
        </is>
      </c>
      <c r="H85" s="83" t="inlineStr">
        <is>
          <t>2024/25</t>
        </is>
      </c>
      <c r="I85" s="83">
        <f>INDEX('UK providers'!$K$7:$K$212,MATCH(N85,'UK providers'!$A$7:$A$212,0))</f>
        <v/>
      </c>
      <c r="J85" s="84" t="inlineStr">
        <is>
          <t>n.a.</t>
        </is>
      </c>
      <c r="K85" s="10" t="inlineStr">
        <is>
          <t>HESA provider return</t>
        </is>
      </c>
      <c r="L85" s="10" t="inlineStr">
        <is>
          <t>Comparable CPD/CE definition. One year supplied: no growth calculation. Do not add to overlapping annual-report categories.</t>
        </is>
      </c>
      <c r="M85" s="10" t="inlineStr">
        <is>
          <t>HESA HE-BCI Table 2b; user-supplied dt032-table-2b.csv. https://www.hesa.ac.uk/data-and-analysis/business-community</t>
        </is>
      </c>
      <c r="N85" s="10" t="inlineStr">
        <is>
          <t>10007780</t>
        </is>
      </c>
    </row>
    <row r="86" ht="110" customHeight="1">
      <c r="A86" s="10" t="inlineStr">
        <is>
          <t>UK</t>
        </is>
      </c>
      <c r="B86" s="11" t="inlineStr">
        <is>
          <t>Birkbeck</t>
        </is>
      </c>
      <c r="C86" s="10" t="inlineStr">
        <is>
          <t>HESA CPD/CE revenue</t>
        </is>
      </c>
      <c r="D86" s="10" t="inlineStr">
        <is>
          <t>CPD/CE courses for business and the community</t>
        </is>
      </c>
      <c r="E86" s="10" t="inlineStr">
        <is>
          <t>GBP m</t>
        </is>
      </c>
      <c r="F86" s="10" t="inlineStr">
        <is>
          <t>Not supplied</t>
        </is>
      </c>
      <c r="G86" s="83" t="inlineStr">
        <is>
          <t>n.a.</t>
        </is>
      </c>
      <c r="H86" s="83" t="inlineStr">
        <is>
          <t>2024/25</t>
        </is>
      </c>
      <c r="I86" s="83">
        <f>INDEX('UK providers'!$K$7:$K$212,MATCH(N86,'UK providers'!$A$7:$A$212,0))</f>
        <v/>
      </c>
      <c r="J86" s="84" t="inlineStr">
        <is>
          <t>n.a.</t>
        </is>
      </c>
      <c r="K86" s="10" t="inlineStr">
        <is>
          <t>HESA provider return</t>
        </is>
      </c>
      <c r="L86" s="10" t="inlineStr">
        <is>
          <t>Comparable CPD/CE definition. One year supplied: no growth calculation. Do not add to overlapping annual-report categories.</t>
        </is>
      </c>
      <c r="M86" s="10" t="inlineStr">
        <is>
          <t>HESA HE-BCI Table 2b; user-supplied dt032-table-2b.csv. https://www.hesa.ac.uk/data-and-analysis/business-community</t>
        </is>
      </c>
      <c r="N86" s="10" t="inlineStr">
        <is>
          <t>10007760</t>
        </is>
      </c>
    </row>
    <row r="87" ht="110" customHeight="1">
      <c r="A87" s="10" t="inlineStr">
        <is>
          <t>UK</t>
        </is>
      </c>
      <c r="B87" s="11" t="inlineStr">
        <is>
          <t>Royal Holloway</t>
        </is>
      </c>
      <c r="C87" s="10" t="inlineStr">
        <is>
          <t>HESA CPD/CE revenue</t>
        </is>
      </c>
      <c r="D87" s="10" t="inlineStr">
        <is>
          <t>CPD/CE courses for business and the community</t>
        </is>
      </c>
      <c r="E87" s="10" t="inlineStr">
        <is>
          <t>GBP m</t>
        </is>
      </c>
      <c r="F87" s="10" t="inlineStr">
        <is>
          <t>Not supplied</t>
        </is>
      </c>
      <c r="G87" s="83" t="inlineStr">
        <is>
          <t>n.a.</t>
        </is>
      </c>
      <c r="H87" s="83" t="inlineStr">
        <is>
          <t>2024/25</t>
        </is>
      </c>
      <c r="I87" s="83">
        <f>INDEX('UK providers'!$K$7:$K$212,MATCH(N87,'UK providers'!$A$7:$A$212,0))</f>
        <v/>
      </c>
      <c r="J87" s="84" t="inlineStr">
        <is>
          <t>n.a.</t>
        </is>
      </c>
      <c r="K87" s="10" t="inlineStr">
        <is>
          <t>HESA provider return</t>
        </is>
      </c>
      <c r="L87" s="10" t="inlineStr">
        <is>
          <t>Comparable CPD/CE definition. One year supplied: no growth calculation. Do not add to overlapping annual-report categories.</t>
        </is>
      </c>
      <c r="M87" s="10" t="inlineStr">
        <is>
          <t>HESA HE-BCI Table 2b; user-supplied dt032-table-2b.csv. https://www.hesa.ac.uk/data-and-analysis/business-community</t>
        </is>
      </c>
      <c r="N87" s="10" t="inlineStr">
        <is>
          <t>10005553</t>
        </is>
      </c>
    </row>
    <row r="88" ht="110" customHeight="1">
      <c r="A88" s="10" t="inlineStr">
        <is>
          <t>UK</t>
        </is>
      </c>
      <c r="B88" s="11" t="inlineStr">
        <is>
          <t>City St George’s</t>
        </is>
      </c>
      <c r="C88" s="10" t="inlineStr">
        <is>
          <t>HESA CPD/CE revenue</t>
        </is>
      </c>
      <c r="D88" s="10" t="inlineStr">
        <is>
          <t>CPD/CE courses for business and the community</t>
        </is>
      </c>
      <c r="E88" s="10" t="inlineStr">
        <is>
          <t>GBP m</t>
        </is>
      </c>
      <c r="F88" s="10" t="inlineStr">
        <is>
          <t>Not supplied</t>
        </is>
      </c>
      <c r="G88" s="83" t="inlineStr">
        <is>
          <t>n.a.</t>
        </is>
      </c>
      <c r="H88" s="83" t="inlineStr">
        <is>
          <t>2024/25</t>
        </is>
      </c>
      <c r="I88" s="83">
        <f>INDEX('UK providers'!$K$7:$K$212,MATCH(N88,'UK providers'!$A$7:$A$212,0))</f>
        <v/>
      </c>
      <c r="J88" s="84" t="inlineStr">
        <is>
          <t>n.a.</t>
        </is>
      </c>
      <c r="K88" s="10" t="inlineStr">
        <is>
          <t>HESA provider return</t>
        </is>
      </c>
      <c r="L88" s="10" t="inlineStr">
        <is>
          <t>Comparable CPD/CE definition. One year supplied: no growth calculation. Do not add to overlapping annual-report categories.</t>
        </is>
      </c>
      <c r="M88" s="10" t="inlineStr">
        <is>
          <t>HESA HE-BCI Table 2b; user-supplied dt032-table-2b.csv. https://www.hesa.ac.uk/data-and-analysis/business-community</t>
        </is>
      </c>
      <c r="N88" s="10" t="inlineStr">
        <is>
          <t>10001478</t>
        </is>
      </c>
    </row>
    <row r="89" ht="110" customHeight="1">
      <c r="A89" s="10" t="inlineStr">
        <is>
          <t>UK</t>
        </is>
      </c>
      <c r="B89" s="11" t="inlineStr">
        <is>
          <t>Oxford Brookes</t>
        </is>
      </c>
      <c r="C89" s="10" t="inlineStr">
        <is>
          <t>HESA CPD/CE revenue</t>
        </is>
      </c>
      <c r="D89" s="10" t="inlineStr">
        <is>
          <t>CPD/CE courses for business and the community</t>
        </is>
      </c>
      <c r="E89" s="10" t="inlineStr">
        <is>
          <t>GBP m</t>
        </is>
      </c>
      <c r="F89" s="10" t="inlineStr">
        <is>
          <t>Not supplied</t>
        </is>
      </c>
      <c r="G89" s="83" t="inlineStr">
        <is>
          <t>n.a.</t>
        </is>
      </c>
      <c r="H89" s="83" t="inlineStr">
        <is>
          <t>2024/25</t>
        </is>
      </c>
      <c r="I89" s="83">
        <f>INDEX('UK providers'!$K$7:$K$212,MATCH(N89,'UK providers'!$A$7:$A$212,0))</f>
        <v/>
      </c>
      <c r="J89" s="84" t="inlineStr">
        <is>
          <t>n.a.</t>
        </is>
      </c>
      <c r="K89" s="10" t="inlineStr">
        <is>
          <t>HESA provider return</t>
        </is>
      </c>
      <c r="L89" s="10" t="inlineStr">
        <is>
          <t>Comparable CPD/CE definition. One year supplied: no growth calculation. Do not add to overlapping annual-report categories.</t>
        </is>
      </c>
      <c r="M89" s="10" t="inlineStr">
        <is>
          <t>HESA HE-BCI Table 2b; user-supplied dt032-table-2b.csv. https://www.hesa.ac.uk/data-and-analysis/business-community</t>
        </is>
      </c>
      <c r="N89" s="10" t="inlineStr">
        <is>
          <t>10004930</t>
        </is>
      </c>
    </row>
    <row r="90" ht="110" customHeight="1">
      <c r="A90" s="10" t="inlineStr">
        <is>
          <t>UK</t>
        </is>
      </c>
      <c r="B90" s="11" t="inlineStr">
        <is>
          <t>Northumbria</t>
        </is>
      </c>
      <c r="C90" s="10" t="inlineStr">
        <is>
          <t>HESA CPD/CE revenue</t>
        </is>
      </c>
      <c r="D90" s="10" t="inlineStr">
        <is>
          <t>CPD/CE courses for business and the community</t>
        </is>
      </c>
      <c r="E90" s="10" t="inlineStr">
        <is>
          <t>GBP m</t>
        </is>
      </c>
      <c r="F90" s="10" t="inlineStr">
        <is>
          <t>Not supplied</t>
        </is>
      </c>
      <c r="G90" s="83" t="inlineStr">
        <is>
          <t>n.a.</t>
        </is>
      </c>
      <c r="H90" s="83" t="inlineStr">
        <is>
          <t>2024/25</t>
        </is>
      </c>
      <c r="I90" s="83">
        <f>INDEX('UK providers'!$K$7:$K$212,MATCH(N90,'UK providers'!$A$7:$A$212,0))</f>
        <v/>
      </c>
      <c r="J90" s="84" t="inlineStr">
        <is>
          <t>n.a.</t>
        </is>
      </c>
      <c r="K90" s="10" t="inlineStr">
        <is>
          <t>HESA provider return</t>
        </is>
      </c>
      <c r="L90" s="10" t="inlineStr">
        <is>
          <t>Comparable CPD/CE definition. One year supplied: no growth calculation. Do not add to overlapping annual-report categories.</t>
        </is>
      </c>
      <c r="M90" s="10" t="inlineStr">
        <is>
          <t>HESA HE-BCI Table 2b; user-supplied dt032-table-2b.csv. https://www.hesa.ac.uk/data-and-analysis/business-community</t>
        </is>
      </c>
      <c r="N90" s="10" t="inlineStr">
        <is>
          <t>10001282</t>
        </is>
      </c>
    </row>
    <row r="91" ht="110" customHeight="1">
      <c r="A91" s="10" t="inlineStr">
        <is>
          <t>UK</t>
        </is>
      </c>
      <c r="B91" s="11" t="inlineStr">
        <is>
          <t>Portsmouth</t>
        </is>
      </c>
      <c r="C91" s="10" t="inlineStr">
        <is>
          <t>HESA CPD/CE revenue</t>
        </is>
      </c>
      <c r="D91" s="10" t="inlineStr">
        <is>
          <t>CPD/CE courses for business and the community</t>
        </is>
      </c>
      <c r="E91" s="10" t="inlineStr">
        <is>
          <t>GBP m</t>
        </is>
      </c>
      <c r="F91" s="10" t="inlineStr">
        <is>
          <t>Not supplied</t>
        </is>
      </c>
      <c r="G91" s="83" t="inlineStr">
        <is>
          <t>n.a.</t>
        </is>
      </c>
      <c r="H91" s="83" t="inlineStr">
        <is>
          <t>2024/25</t>
        </is>
      </c>
      <c r="I91" s="83">
        <f>INDEX('UK providers'!$K$7:$K$212,MATCH(N91,'UK providers'!$A$7:$A$212,0))</f>
        <v/>
      </c>
      <c r="J91" s="84" t="inlineStr">
        <is>
          <t>n.a.</t>
        </is>
      </c>
      <c r="K91" s="10" t="inlineStr">
        <is>
          <t>HESA provider return</t>
        </is>
      </c>
      <c r="L91" s="10" t="inlineStr">
        <is>
          <t>Comparable CPD/CE definition. One year supplied: no growth calculation. Do not add to overlapping annual-report categories.</t>
        </is>
      </c>
      <c r="M91" s="10" t="inlineStr">
        <is>
          <t>HESA HE-BCI Table 2b; user-supplied dt032-table-2b.csv. https://www.hesa.ac.uk/data-and-analysis/business-community</t>
        </is>
      </c>
      <c r="N91" s="10" t="inlineStr">
        <is>
          <t>10007155</t>
        </is>
      </c>
    </row>
    <row r="92" ht="110" customHeight="1">
      <c r="A92" s="10" t="inlineStr">
        <is>
          <t>UK</t>
        </is>
      </c>
      <c r="B92" s="11" t="inlineStr">
        <is>
          <t>Coventry</t>
        </is>
      </c>
      <c r="C92" s="10" t="inlineStr">
        <is>
          <t>HESA CPD/CE revenue</t>
        </is>
      </c>
      <c r="D92" s="10" t="inlineStr">
        <is>
          <t>CPD/CE courses for business and the community</t>
        </is>
      </c>
      <c r="E92" s="10" t="inlineStr">
        <is>
          <t>GBP m</t>
        </is>
      </c>
      <c r="F92" s="10" t="inlineStr">
        <is>
          <t>Not supplied</t>
        </is>
      </c>
      <c r="G92" s="83" t="inlineStr">
        <is>
          <t>n.a.</t>
        </is>
      </c>
      <c r="H92" s="83" t="inlineStr">
        <is>
          <t>2024/25</t>
        </is>
      </c>
      <c r="I92" s="83">
        <f>INDEX('UK providers'!$K$7:$K$212,MATCH(N92,'UK providers'!$A$7:$A$212,0))</f>
        <v/>
      </c>
      <c r="J92" s="84" t="inlineStr">
        <is>
          <t>n.a.</t>
        </is>
      </c>
      <c r="K92" s="10" t="inlineStr">
        <is>
          <t>HESA provider return</t>
        </is>
      </c>
      <c r="L92" s="10" t="inlineStr">
        <is>
          <t>Comparable CPD/CE definition. One year supplied: no growth calculation. Do not add to overlapping annual-report categories.</t>
        </is>
      </c>
      <c r="M92" s="10" t="inlineStr">
        <is>
          <t>HESA HE-BCI Table 2b; user-supplied dt032-table-2b.csv. https://www.hesa.ac.uk/data-and-analysis/business-community</t>
        </is>
      </c>
      <c r="N92" s="10" t="inlineStr">
        <is>
          <t>10001726</t>
        </is>
      </c>
    </row>
    <row r="93" ht="110" customHeight="1">
      <c r="A93" s="10" t="inlineStr">
        <is>
          <t>UK</t>
        </is>
      </c>
      <c r="B93" s="11" t="inlineStr">
        <is>
          <t>Nottingham Trent</t>
        </is>
      </c>
      <c r="C93" s="10" t="inlineStr">
        <is>
          <t>HESA CPD/CE revenue</t>
        </is>
      </c>
      <c r="D93" s="10" t="inlineStr">
        <is>
          <t>CPD/CE courses for business and the community</t>
        </is>
      </c>
      <c r="E93" s="10" t="inlineStr">
        <is>
          <t>GBP m</t>
        </is>
      </c>
      <c r="F93" s="10" t="inlineStr">
        <is>
          <t>Not supplied</t>
        </is>
      </c>
      <c r="G93" s="83" t="inlineStr">
        <is>
          <t>n.a.</t>
        </is>
      </c>
      <c r="H93" s="83" t="inlineStr">
        <is>
          <t>2024/25</t>
        </is>
      </c>
      <c r="I93" s="83">
        <f>INDEX('UK providers'!$K$7:$K$212,MATCH(N93,'UK providers'!$A$7:$A$212,0))</f>
        <v/>
      </c>
      <c r="J93" s="84" t="inlineStr">
        <is>
          <t>n.a.</t>
        </is>
      </c>
      <c r="K93" s="10" t="inlineStr">
        <is>
          <t>HESA provider return</t>
        </is>
      </c>
      <c r="L93" s="10" t="inlineStr">
        <is>
          <t>Comparable CPD/CE definition. One year supplied: no growth calculation. Do not add to overlapping annual-report categories.</t>
        </is>
      </c>
      <c r="M93" s="10" t="inlineStr">
        <is>
          <t>HESA HE-BCI Table 2b; user-supplied dt032-table-2b.csv. https://www.hesa.ac.uk/data-and-analysis/business-community</t>
        </is>
      </c>
      <c r="N93" s="10" t="inlineStr">
        <is>
          <t>10004797</t>
        </is>
      </c>
    </row>
    <row r="94" ht="110" customHeight="1">
      <c r="A94" s="10" t="inlineStr">
        <is>
          <t>UK</t>
        </is>
      </c>
      <c r="B94" s="11" t="inlineStr">
        <is>
          <t>Manchester Metropolitan</t>
        </is>
      </c>
      <c r="C94" s="10" t="inlineStr">
        <is>
          <t>HESA CPD/CE revenue</t>
        </is>
      </c>
      <c r="D94" s="10" t="inlineStr">
        <is>
          <t>CPD/CE courses for business and the community</t>
        </is>
      </c>
      <c r="E94" s="10" t="inlineStr">
        <is>
          <t>GBP m</t>
        </is>
      </c>
      <c r="F94" s="10" t="inlineStr">
        <is>
          <t>Not supplied</t>
        </is>
      </c>
      <c r="G94" s="83" t="inlineStr">
        <is>
          <t>n.a.</t>
        </is>
      </c>
      <c r="H94" s="83" t="inlineStr">
        <is>
          <t>2024/25</t>
        </is>
      </c>
      <c r="I94" s="83">
        <f>INDEX('UK providers'!$K$7:$K$212,MATCH(N94,'UK providers'!$A$7:$A$212,0))</f>
        <v/>
      </c>
      <c r="J94" s="84" t="inlineStr">
        <is>
          <t>n.a.</t>
        </is>
      </c>
      <c r="K94" s="10" t="inlineStr">
        <is>
          <t>HESA provider return</t>
        </is>
      </c>
      <c r="L94" s="10" t="inlineStr">
        <is>
          <t>Comparable CPD/CE definition. One year supplied: no growth calculation. Do not add to overlapping annual-report categories.</t>
        </is>
      </c>
      <c r="M94" s="10" t="inlineStr">
        <is>
          <t>HESA HE-BCI Table 2b; user-supplied dt032-table-2b.csv. https://www.hesa.ac.uk/data-and-analysis/business-community</t>
        </is>
      </c>
      <c r="N94" s="10" t="inlineStr">
        <is>
          <t>10004180</t>
        </is>
      </c>
    </row>
    <row r="95" ht="110" customHeight="1">
      <c r="A95" s="10" t="inlineStr">
        <is>
          <t>UK</t>
        </is>
      </c>
      <c r="B95" s="11" t="inlineStr">
        <is>
          <t>Plymouth</t>
        </is>
      </c>
      <c r="C95" s="10" t="inlineStr">
        <is>
          <t>HESA CPD/CE revenue</t>
        </is>
      </c>
      <c r="D95" s="10" t="inlineStr">
        <is>
          <t>CPD/CE courses for business and the community</t>
        </is>
      </c>
      <c r="E95" s="10" t="inlineStr">
        <is>
          <t>GBP m</t>
        </is>
      </c>
      <c r="F95" s="10" t="inlineStr">
        <is>
          <t>Not supplied</t>
        </is>
      </c>
      <c r="G95" s="83" t="inlineStr">
        <is>
          <t>n.a.</t>
        </is>
      </c>
      <c r="H95" s="83" t="inlineStr">
        <is>
          <t>2024/25</t>
        </is>
      </c>
      <c r="I95" s="83">
        <f>INDEX('UK providers'!$K$7:$K$212,MATCH(N95,'UK providers'!$A$7:$A$212,0))</f>
        <v/>
      </c>
      <c r="J95" s="84" t="inlineStr">
        <is>
          <t>n.a.</t>
        </is>
      </c>
      <c r="K95" s="10" t="inlineStr">
        <is>
          <t>HESA provider return</t>
        </is>
      </c>
      <c r="L95" s="10" t="inlineStr">
        <is>
          <t>Comparable CPD/CE definition. One year supplied: no growth calculation. Do not add to overlapping annual-report categories.</t>
        </is>
      </c>
      <c r="M95" s="10" t="inlineStr">
        <is>
          <t>HESA HE-BCI Table 2b; user-supplied dt032-table-2b.csv. https://www.hesa.ac.uk/data-and-analysis/business-community</t>
        </is>
      </c>
      <c r="N95" s="10" t="inlineStr">
        <is>
          <t>10007801</t>
        </is>
      </c>
    </row>
  </sheetData>
  <mergeCells count="3">
    <mergeCell ref="A3:F3"/>
    <mergeCell ref="A2:F2"/>
    <mergeCell ref="A4:F4"/>
  </mergeCells>
  <conditionalFormatting sqref="J7:J95">
    <cfRule type="cellIs" priority="1" operator="lessThan" dxfId="3">
      <formula>0</formula>
    </cfRule>
  </conditionalFormatting>
  <dataValidations count="1">
    <dataValidation sqref="C7:C95" showDropDown="0" showInputMessage="0" showErrorMessage="0" allowBlank="0" type="list">
      <formula1>"HESA CPD/CE revenue,Reported course revenue,Participation,Qualitative growth,No numeric evidence"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2026-10-13T23:03:25Z</dcterms:created>
  <dcterms:modified xmlns:dcterms="http://purl.org/dc/terms/" xmlns:xsi="http://www.w3.org/2001/XMLSchema-instance" xsi:type="dcterms:W3CDTF">2026-10-13T23:03:28Z</dcterms:modified>
</cp:coreProperties>
</file>