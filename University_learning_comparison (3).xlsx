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53f469693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82e8e4bb20e48ac"/>
    <x:sheet xmlns:r="http://schemas.openxmlformats.org/officeDocument/2006/relationships" name="UK providers" sheetId="2" r:id="Rd51d44ac1a9a4a33"/>
    <x:sheet xmlns:r="http://schemas.openxmlformats.org/officeDocument/2006/relationships" name="Schemes" sheetId="3" r:id="R5a29c63955f74b99"/>
    <x:sheet xmlns:r="http://schemas.openxmlformats.org/officeDocument/2006/relationships" name="Revenue evidence" sheetId="4" r:id="Ra47f533da39e4ab7"/>
    <x:sheet xmlns:r="http://schemas.openxmlformats.org/officeDocument/2006/relationships" name="Institution index" sheetId="5" r:id="R12580c30d3e6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 mmm yyyy"/>
    <x:numFmt numFmtId="201" formatCode="#,##0"/>
    <x:numFmt numFmtId="202" formatCode="#,##0.000"/>
    <x:numFmt numFmtId="203" formatCode="0.0%"/>
    <x:numFmt numFmtId="204" formatCode="0"/>
    <x:numFmt numFmtId="205" formatCode="&quot;£&quot;#,##0.0&quot;m&quot;"/>
    <x:numFmt numFmtId="206" formatCode="#,##0.0"/>
  </x:numFmts>
  <x:fonts count="13">
    <x:font>
      <x:sz val="11"/>
      <x:name val="Carlito"/>
    </x:font>
    <x:font>
      <x:sz val="10"/>
      <x:color rgb="FF172B4D"/>
      <x:name val="Arial"/>
    </x:font>
    <x:font>
      <x:b/>
      <x:sz val="15"/>
      <x:color rgb="FF203B60"/>
      <x:name val="Arial"/>
    </x:font>
    <x:font>
      <x:sz val="10"/>
      <x:color rgb="FF526277"/>
      <x:name val="Arial"/>
    </x:font>
    <x:font>
      <x:b/>
      <x:sz val="10"/>
      <x:color rgb="FFFFFFFF"/>
      <x:name val="Arial"/>
    </x:font>
    <x:font>
      <x:b/>
      <x:sz val="10"/>
      <x:color rgb="FF172B4D"/>
      <x:name val="Arial"/>
    </x:font>
    <x:font>
      <x:b/>
      <x:sz val="13"/>
      <x:color rgb="FF203B60"/>
      <x:name val="Arial"/>
    </x:font>
    <x:font>
      <x:sz val="10"/>
      <x:color rgb="FF172B4D"/>
      <x:name val="Arial"/>
    </x:font>
    <x:font>
      <x:b/>
      <x:sz val="20"/>
      <x:color rgb="FF203B60"/>
      <x:name val="Arial"/>
    </x:font>
    <x:font>
      <x:sz val="11"/>
      <x:color rgb="FF526277"/>
      <x:name val="Arial"/>
    </x:font>
    <x:font>
      <x:b/>
      <x:sz val="10"/>
      <x:color rgb="FF526277"/>
      <x:name val="Arial"/>
    </x:font>
    <x:font>
      <x:b/>
      <x:sz val="25"/>
      <x:color rgb="FF203B60"/>
      <x:name val="Arial"/>
    </x:font>
    <x:font>
      <x:b/>
      <x:sz val="12"/>
      <x:color rgb="FF203B6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60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205" fontId="1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6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956600"/>
      </x:font>
    </x:dxf>
    <x:dxf>
      <x:font>
        <x:b/>
        <x:color rgb="FFB42318"/>
      </x:font>
    </x:dxf>
    <x:dxf>
      <x:font>
        <x:b/>
        <x:color rgb="FFB42318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429504bf94fd1" /><Relationship Type="http://schemas.openxmlformats.org/officeDocument/2006/relationships/theme" Target="/xl/theme/theme1.xml" Id="R746cf2d2398f4b56" /><Relationship Type="http://schemas.openxmlformats.org/officeDocument/2006/relationships/sharedStrings" Target="/xl/sharedStrings.xml" Id="R90ca8ec5378548c6" /><Relationship Type="http://schemas.openxmlformats.org/officeDocument/2006/relationships/worksheet" Target="/xl/worksheets/sheet1.xml" Id="R582e8e4bb20e48ac" /><Relationship Type="http://schemas.openxmlformats.org/officeDocument/2006/relationships/worksheet" Target="/xl/worksheets/sheet2.xml" Id="Rd51d44ac1a9a4a33" /><Relationship Type="http://schemas.openxmlformats.org/officeDocument/2006/relationships/worksheet" Target="/xl/worksheets/sheet3.xml" Id="R5a29c63955f74b99" /><Relationship Type="http://schemas.openxmlformats.org/officeDocument/2006/relationships/worksheet" Target="/xl/worksheets/sheet4.xml" Id="Ra47f533da39e4ab7" /><Relationship Type="http://schemas.openxmlformats.org/officeDocument/2006/relationships/worksheet" Target="/xl/worksheets/sheet5.xml" Id="R12580c30d3e64a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d5353ccfd845c9" /><Relationship Type="http://schemas.openxmlformats.org/officeDocument/2006/relationships/chart" Target="/xl/drawings/charts/chart2.xml" Id="Re20d3999577d49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Top 10 UK providers: CPD/CE income (£m)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CPD/CE (£m)</c:v>
          </c:tx>
          <c:spPr>
            <a:solidFill xmlns:a="http://schemas.openxmlformats.org/drawingml/2006/main">
              <a:srgbClr val="376C99"/>
            </a:solidFill>
          </c:spPr>
          <c:cat>
            <c:strRef>
              <c:f>'Dashboard'!$Q$6:$Q$15</c:f>
              <c:strCache>
                <c:ptCount val="0"/>
              </c:strCache>
            </c:strRef>
          </c:cat>
          <c:val>
            <c:numRef>
              <c:f>'Dashboard'!$R$6:$R$15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UK income by customer (£m)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CPD/CE (£m)</c:v>
          </c:tx>
          <c:spPr>
            <a:solidFill xmlns:a="http://schemas.openxmlformats.org/drawingml/2006/main">
              <a:srgbClr val="237E83"/>
            </a:solidFill>
          </c:spPr>
          <c:cat>
            <c:strRef>
              <c:f>'Dashboard'!$Q$19:$Q$22</c:f>
              <c:strCache>
                <c:ptCount val="0"/>
              </c:strCache>
            </c:strRef>
          </c:cat>
          <c:val>
            <c:numRef>
              <c:f>'Dashboard'!$R$19:$R$22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d5353ccfd845c9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0d3999577d49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UKprovidersTable" displayName="UKprovidersTable" ref="A6:Q212" headerRowCount="1" totalsRowCount="0" totalsRowShown="0">
  <x:autoFilter ref="A6:Q212"/>
  <x:tableColumns count="17">
    <x:tableColumn id="1" name="UKPRN"/>
    <x:tableColumn id="2" name="HESA provider name"/>
    <x:tableColumn id="3" name="Research cohort"/>
    <x:tableColumn id="4" name="Academic year"/>
    <x:tableColumn id="5" name="SMEs (£000)"/>
    <x:tableColumn id="6" name="Other commercial (£000)"/>
    <x:tableColumn id="7" name="Non-commercial (£000)"/>
    <x:tableColumn id="8" name="Individuals (£000)"/>
    <x:tableColumn id="9" name="Total CPD/CE (£000)"/>
    <x:tableColumn id="10" name="Learner days"/>
    <x:tableColumn id="11" name="Total income (£m)"/>
    <x:tableColumn id="12" name="Organisations (£m)"/>
    <x:tableColumn id="13" name="Individuals share"/>
    <x:tableColumn id="14" name="Income per learner day (£)"/>
    <x:tableColumn id="15" name="Components − total (£000)"/>
    <x:tableColumn id="16" name="Revenue rank"/>
    <x:tableColumn id="17" name="Chart lab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chemesTable" displayName="SchemesTable" ref="A6:P158" headerRowCount="1" totalsRowCount="0" totalsRowShown="0">
  <x:autoFilter ref="A6:P158"/>
  <x:tableColumns count="16">
    <x:tableColumn id="1" name="Country"/>
    <x:tableColumn id="2" name="University"/>
    <x:tableColumn id="3" name="Academic reach"/>
    <x:tableColumn id="4" name="Learning model"/>
    <x:tableColumn id="5" name="Scheme / framework"/>
    <x:tableColumn id="6" name="Administrative home"/>
    <x:tableColumn id="7" name="Participation"/>
    <x:tableColumn id="8" name="Eligibility / restrictions"/>
    <x:tableColumn id="9" name="Delivery / credit / practical activity"/>
    <x:tableColumn id="10" name="Basis for reach classification"/>
    <x:tableColumn id="11" name="Latest dated / current evidence"/>
    <x:tableColumn id="12" name="Cohort"/>
    <x:tableColumn id="13" name="Primary sources"/>
    <x:tableColumn id="14" name="Scope evidence basis"/>
    <x:tableColumn id="15" name="Evidence currency"/>
    <x:tableColumn id="16" name="Research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enueevidenceTable" displayName="RevenueevidenceTable" ref="A6:N95" headerRowCount="1" totalsRowCount="0" totalsRowShown="0">
  <x:autoFilter ref="A6:N95"/>
  <x:tableColumns count="14">
    <x:tableColumn id="1" name="Country"/>
    <x:tableColumn id="2" name="University"/>
    <x:tableColumn id="3" name="Evidence type"/>
    <x:tableColumn id="4" name="Reported metric"/>
    <x:tableColumn id="5" name="Unit"/>
    <x:tableColumn id="6" name="Prior period"/>
    <x:tableColumn id="7" name="Prior value"/>
    <x:tableColumn id="8" name="Current period"/>
    <x:tableColumn id="9" name="Current value"/>
    <x:tableColumn id="10" name="Growth"/>
    <x:tableColumn id="11" name="Reporting coverage"/>
    <x:tableColumn id="12" name="Interpretation / limitation"/>
    <x:tableColumn id="13" name="Primary source"/>
    <x:tableColumn id="14" name="HESA UKPR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stitutionindexTable" displayName="InstitutionindexTable" ref="A6:M130" headerRowCount="1" totalsRowCount="0" totalsRowShown="0">
  <x:autoFilter ref="A6:M130"/>
  <x:tableColumns count="13">
    <x:tableColumn id="1" name="Country"/>
    <x:tableColumn id="2" name="University"/>
    <x:tableColumn id="3" name="Cohort"/>
    <x:tableColumn id="4" name="QS edition"/>
    <x:tableColumn id="5" name="QS rank"/>
    <x:tableColumn id="6" name="Tied rank?"/>
    <x:tableColumn id="7" name="Official ranking source"/>
    <x:tableColumn id="8" name="UKPRN"/>
    <x:tableColumn id="9" name="Scheme examples"/>
    <x:tableColumn id="10" name="University-wide examples"/>
    <x:tableColumn id="11" name="Narrower examples"/>
    <x:tableColumn id="12" name="Unconfirmed reach examples"/>
    <x:tableColumn id="13" name="Broadest documented reac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456e3bf51d14a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7c6ceebf9246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6b4aaa5a7d49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e377e7473f4a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6545c3d6ba4ed9" /></Relationships>
</file>

<file path=xl/worksheets/sheet1.xml><?xml version="1.0" encoding="utf-8"?>
<x:worksheet xmlns:x="http://schemas.openxmlformats.org/spreadsheetml/2006/main">
  <x:sheetPr>
    <x:tabColor rgb="FF237E8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7" max="17" width="32" hidden="0" customWidth="1"/>
    <x:col min="18" max="18" width="22" hidden="0" customWidth="1"/>
    <x:col min="19" max="19" width="22" hidden="0" customWidth="1"/>
  </x:cols>
  <x:sheetData>
    <x:row r="2" ht="35" customHeight="1">
      <x:c r="A2" s="37" t="str">
        <x:v>Lifelong learning income dashboard</x:v>
      </x:c>
      <x:c r="B2" s="37" t="str">
        <x:v>Lifelong learning income dashboard</x:v>
      </x:c>
      <x:c r="C2" s="37" t="str">
        <x:v>Lifelong learning income dashboard</x:v>
      </x:c>
      <x:c r="D2" s="37" t="str">
        <x:v>Lifelong learning income dashboard</x:v>
      </x:c>
      <x:c r="E2" s="37" t="str">
        <x:v>Lifelong learning income dashboard</x:v>
      </x:c>
      <x:c r="F2" s="37" t="str">
        <x:v>Lifelong learning income dashboard</x:v>
      </x:c>
      <x:c r="G2" s="37" t="str">
        <x:v>Lifelong learning income dashboard</x:v>
      </x:c>
      <x:c r="H2" s="37" t="str">
        <x:v>Lifelong learning income dashboard</x:v>
      </x:c>
      <x:c r="I2" s="37" t="str">
        <x:v>Lifelong learning income dashboard</x:v>
      </x:c>
      <x:c r="J2" s="37" t="str">
        <x:v>Lifelong learning income dashboard</x:v>
      </x:c>
      <x:c r="K2" s="37" t="str">
        <x:v>Lifelong learning income dashboard</x:v>
      </x:c>
      <x:c r="L2" s="37" t="str">
        <x:v>Lifelong learning income dashboard</x:v>
      </x:c>
      <x:c r="M2" s="37" t="str">
        <x:v>Lifelong learning income dashboard</x:v>
      </x:c>
      <x:c r="N2" s="37" t="str">
        <x:v>Lifelong learning income dashboard</x:v>
      </x:c>
      <x:c r="O2" s="2"/>
      <x:c r="P2" s="2"/>
      <x:c r="Q2" s="2"/>
      <x:c r="R2" s="2"/>
      <x:c r="S2" s="2"/>
    </x:row>
    <x:row r="3" ht="26" customHeight="1">
      <x:c r="A3" s="39" t="str">
        <x:v>UK comparable CPD/CE income | 2024/25 | HESA HE-BCI provider returns</x:v>
      </x:c>
      <x:c r="B3" s="39" t="str">
        <x:v>UK comparable CPD/CE income | 2024/25 | HESA HE-BCI provider returns</x:v>
      </x:c>
      <x:c r="C3" s="39" t="str">
        <x:v>UK comparable CPD/CE income | 2024/25 | HESA HE-BCI provider returns</x:v>
      </x:c>
      <x:c r="D3" s="39" t="str">
        <x:v>UK comparable CPD/CE income | 2024/25 | HESA HE-BCI provider returns</x:v>
      </x:c>
      <x:c r="E3" s="39" t="str">
        <x:v>UK comparable CPD/CE income | 2024/25 | HESA HE-BCI provider returns</x:v>
      </x:c>
      <x:c r="F3" s="39" t="str">
        <x:v>UK comparable CPD/CE income | 2024/25 | HESA HE-BCI provider returns</x:v>
      </x:c>
      <x:c r="G3" s="39" t="str">
        <x:v>UK comparable CPD/CE income | 2024/25 | HESA HE-BCI provider returns</x:v>
      </x:c>
      <x:c r="H3" s="39" t="str">
        <x:v>UK comparable CPD/CE income | 2024/25 | HESA HE-BCI provider returns</x:v>
      </x:c>
      <x:c r="I3" s="39" t="str">
        <x:v>UK comparable CPD/CE income | 2024/25 | HESA HE-BCI provider returns</x:v>
      </x:c>
      <x:c r="J3" s="39" t="str">
        <x:v>UK comparable CPD/CE income | 2024/25 | HESA HE-BCI provider returns</x:v>
      </x:c>
      <x:c r="K3" s="39" t="str">
        <x:v>UK comparable CPD/CE income | 2024/25 | HESA HE-BCI provider returns</x:v>
      </x:c>
      <x:c r="L3" s="39" t="str">
        <x:v>UK comparable CPD/CE income | 2024/25 | HESA HE-BCI provider returns</x:v>
      </x:c>
      <x:c r="M3" s="39" t="str">
        <x:v>UK comparable CPD/CE income | 2024/25 | HESA HE-BCI provider returns</x:v>
      </x:c>
      <x:c r="N3" s="39" t="str">
        <x:v>UK comparable CPD/CE income | 2024/25 | HESA HE-BCI provider returns</x:v>
      </x:c>
      <x:c r="O3" s="2"/>
      <x:c r="P3" s="2"/>
      <x:c r="Q3" s="2"/>
      <x:c r="R3" s="2"/>
      <x:c r="S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0" customHeight="1">
      <x:c r="A5" s="41" t="str">
        <x:v>UK income (£m)</x:v>
      </x:c>
      <x:c r="B5" s="41" t="str">
        <x:v>UK income (£m)</x:v>
      </x:c>
      <x:c r="C5" s="41" t="str">
        <x:v>UK income (£m)</x:v>
      </x:c>
      <x:c r="D5" s="41" t="str">
        <x:v>UK income (£m)</x:v>
      </x:c>
      <x:c r="E5" s="2"/>
      <x:c r="F5" s="41" t="str">
        <x:v>HE providers</x:v>
      </x:c>
      <x:c r="G5" s="41" t="str">
        <x:v>HE providers</x:v>
      </x:c>
      <x:c r="H5" s="41" t="str">
        <x:v>HE providers</x:v>
      </x:c>
      <x:c r="I5" s="41" t="str">
        <x:v>HE providers</x:v>
      </x:c>
      <x:c r="J5" s="2"/>
      <x:c r="K5" s="41" t="str">
        <x:v>Learner days</x:v>
      </x:c>
      <x:c r="L5" s="41" t="str">
        <x:v>Learner days</x:v>
      </x:c>
      <x:c r="M5" s="41" t="str">
        <x:v>Learner days</x:v>
      </x:c>
      <x:c r="N5" s="41" t="str">
        <x:v>Learner days</x:v>
      </x:c>
      <x:c r="O5" s="2"/>
      <x:c r="P5" s="2"/>
      <x:c r="Q5" s="9" t="str">
        <x:v>Top provider</x:v>
      </x:c>
      <x:c r="R5" s="9" t="str">
        <x:v>CPD/CE (£m)</x:v>
      </x:c>
      <x:c r="S5" s="2"/>
    </x:row>
    <x:row r="6" ht="23" customHeight="1">
      <x:c r="A6" s="43" t="n">
        <x:f>SUM('UK providers'!I7:I212)/1000</x:f>
        <x:v>824.178</x:v>
      </x:c>
      <x:c r="B6" s="43"/>
      <x:c r="C6" s="43"/>
      <x:c r="D6" s="43"/>
      <x:c r="E6" s="2"/>
      <x:c r="F6" s="45" t="n">
        <x:f>COUNTA('UK providers'!A7:A212)</x:f>
        <x:v>206</x:v>
      </x:c>
      <x:c r="G6" s="45"/>
      <x:c r="H6" s="45"/>
      <x:c r="I6" s="45"/>
      <x:c r="J6" s="2"/>
      <x:c r="K6" s="45" t="n">
        <x:f>SUM('UK providers'!J7:J212)</x:f>
        <x:v>4510435</x:v>
      </x:c>
      <x:c r="L6" s="45"/>
      <x:c r="M6" s="45"/>
      <x:c r="N6" s="45"/>
      <x:c r="O6" s="2"/>
      <x:c r="P6" s="2"/>
      <x:c r="Q6" s="2" t="str">
        <x:f>INDEX('UK providers'!$Q$7:$Q$212,MATCH(1,'UK providers'!$P$7:$P$212,0))</x:f>
        <x:v>London Business School</x:v>
      </x:c>
      <x:c r="R6" s="53" t="n">
        <x:f>INDEX('UK providers'!$K$7:$K$212,MATCH(1,'UK providers'!$P$7:$P$212,0))</x:f>
        <x:v>70</x:v>
      </x:c>
      <x:c r="S6" s="2"/>
    </x:row>
    <x:row r="7" ht="23" customHeight="1">
      <x:c r="A7" s="43"/>
      <x:c r="B7" s="43"/>
      <x:c r="C7" s="43"/>
      <x:c r="D7" s="43"/>
      <x:c r="E7" s="2"/>
      <x:c r="F7" s="45"/>
      <x:c r="G7" s="45"/>
      <x:c r="H7" s="45"/>
      <x:c r="I7" s="45"/>
      <x:c r="J7" s="2"/>
      <x:c r="K7" s="45"/>
      <x:c r="L7" s="45"/>
      <x:c r="M7" s="45"/>
      <x:c r="N7" s="45"/>
      <x:c r="O7" s="2"/>
      <x:c r="P7" s="2"/>
      <x:c r="Q7" s="2" t="str">
        <x:f>INDEX('UK providers'!$Q$7:$Q$212,MATCH(2,'UK providers'!$P$7:$P$212,0))</x:f>
        <x:v>Oxford</x:v>
      </x:c>
      <x:c r="R7" s="53" t="n">
        <x:f>INDEX('UK providers'!$K$7:$K$212,MATCH(2,'UK providers'!$P$7:$P$212,0))</x:f>
        <x:v>44.732</x:v>
      </x:c>
      <x:c r="S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 t="str">
        <x:f>INDEX('UK providers'!$Q$7:$Q$212,MATCH(3,'UK providers'!$P$7:$P$212,0))</x:f>
        <x:v>Cambridge</x:v>
      </x:c>
      <x:c r="R8" s="53" t="n">
        <x:f>INDEX('UK providers'!$K$7:$K$212,MATCH(3,'UK providers'!$P$7:$P$212,0))</x:f>
        <x:v>42.743</x:v>
      </x:c>
      <x:c r="S8" s="2"/>
    </x:row>
    <x:row r="9" ht="23" customHeight="1">
      <x:c r="A9" s="6" t="str">
        <x:v>CPD/CE is a defined part of lifelong learning. These HE providers extend beyond universities. The supplied file contains one year, so a UK HESA income growth trend is unavailable.</x:v>
      </x:c>
      <x:c r="B9" s="6" t="str">
        <x:v>CPD/CE is a defined part of lifelong learning. These HE providers extend beyond universities. The supplied file contains one year, so a UK HESA income growth trend is unavailable.</x:v>
      </x:c>
      <x:c r="C9" s="6" t="str">
        <x:v>CPD/CE is a defined part of lifelong learning. These HE providers extend beyond universities. The supplied file contains one year, so a UK HESA income growth trend is unavailable.</x:v>
      </x:c>
      <x:c r="D9" s="6" t="str">
        <x:v>CPD/CE is a defined part of lifelong learning. These HE providers extend beyond universities. The supplied file contains one year, so a UK HESA income growth trend is unavailable.</x:v>
      </x:c>
      <x:c r="E9" s="6" t="str">
        <x:v>CPD/CE is a defined part of lifelong learning. These HE providers extend beyond universities. The supplied file contains one year, so a UK HESA income growth trend is unavailable.</x:v>
      </x:c>
      <x:c r="F9" s="6" t="str">
        <x:v>CPD/CE is a defined part of lifelong learning. These HE providers extend beyond universities. The supplied file contains one year, so a UK HESA income growth trend is unavailable.</x:v>
      </x:c>
      <x:c r="G9" s="6" t="str">
        <x:v>CPD/CE is a defined part of lifelong learning. These HE providers extend beyond universities. The supplied file contains one year, so a UK HESA income growth trend is unavailable.</x:v>
      </x:c>
      <x:c r="H9" s="6" t="str">
        <x:v>CPD/CE is a defined part of lifelong learning. These HE providers extend beyond universities. The supplied file contains one year, so a UK HESA income growth trend is unavailable.</x:v>
      </x:c>
      <x:c r="I9" s="6" t="str">
        <x:v>CPD/CE is a defined part of lifelong learning. These HE providers extend beyond universities. The supplied file contains one year, so a UK HESA income growth trend is unavailable.</x:v>
      </x:c>
      <x:c r="J9" s="6" t="str">
        <x:v>CPD/CE is a defined part of lifelong learning. These HE providers extend beyond universities. The supplied file contains one year, so a UK HESA income growth trend is unavailable.</x:v>
      </x:c>
      <x:c r="K9" s="6" t="str">
        <x:v>CPD/CE is a defined part of lifelong learning. These HE providers extend beyond universities. The supplied file contains one year, so a UK HESA income growth trend is unavailable.</x:v>
      </x:c>
      <x:c r="L9" s="6" t="str">
        <x:v>CPD/CE is a defined part of lifelong learning. These HE providers extend beyond universities. The supplied file contains one year, so a UK HESA income growth trend is unavailable.</x:v>
      </x:c>
      <x:c r="M9" s="6" t="str">
        <x:v>CPD/CE is a defined part of lifelong learning. These HE providers extend beyond universities. The supplied file contains one year, so a UK HESA income growth trend is unavailable.</x:v>
      </x:c>
      <x:c r="N9" s="6" t="str">
        <x:v>CPD/CE is a defined part of lifelong learning. These HE providers extend beyond universities. The supplied file contains one year, so a UK HESA income growth trend is unavailable.</x:v>
      </x:c>
      <x:c r="O9" s="2"/>
      <x:c r="P9" s="2"/>
      <x:c r="Q9" s="2" t="str">
        <x:f>INDEX('UK providers'!$Q$7:$Q$212,MATCH(4,'UK providers'!$P$7:$P$212,0))</x:f>
        <x:v>King’s College London</x:v>
      </x:c>
      <x:c r="R9" s="53" t="n">
        <x:f>INDEX('UK providers'!$K$7:$K$212,MATCH(4,'UK providers'!$P$7:$P$212,0))</x:f>
        <x:v>40.944</x:v>
      </x:c>
      <x:c r="S9" s="2"/>
    </x:row>
    <x:row r="10" ht="23" customHeight="1">
      <x:c r="A10" s="6" t="str">
        <x:v>CPD/CE is a defined part of lifelong learning. These HE providers extend beyond universities. The supplied file contains one year, so a UK HESA income growth trend is unavailable.</x:v>
      </x:c>
      <x:c r="B10" s="6" t="str">
        <x:v>CPD/CE is a defined part of lifelong learning. These HE providers extend beyond universities. The supplied file contains one year, so a UK HESA income growth trend is unavailable.</x:v>
      </x:c>
      <x:c r="C10" s="6" t="str">
        <x:v>CPD/CE is a defined part of lifelong learning. These HE providers extend beyond universities. The supplied file contains one year, so a UK HESA income growth trend is unavailable.</x:v>
      </x:c>
      <x:c r="D10" s="6" t="str">
        <x:v>CPD/CE is a defined part of lifelong learning. These HE providers extend beyond universities. The supplied file contains one year, so a UK HESA income growth trend is unavailable.</x:v>
      </x:c>
      <x:c r="E10" s="6" t="str">
        <x:v>CPD/CE is a defined part of lifelong learning. These HE providers extend beyond universities. The supplied file contains one year, so a UK HESA income growth trend is unavailable.</x:v>
      </x:c>
      <x:c r="F10" s="6" t="str">
        <x:v>CPD/CE is a defined part of lifelong learning. These HE providers extend beyond universities. The supplied file contains one year, so a UK HESA income growth trend is unavailable.</x:v>
      </x:c>
      <x:c r="G10" s="6" t="str">
        <x:v>CPD/CE is a defined part of lifelong learning. These HE providers extend beyond universities. The supplied file contains one year, so a UK HESA income growth trend is unavailable.</x:v>
      </x:c>
      <x:c r="H10" s="6" t="str">
        <x:v>CPD/CE is a defined part of lifelong learning. These HE providers extend beyond universities. The supplied file contains one year, so a UK HESA income growth trend is unavailable.</x:v>
      </x:c>
      <x:c r="I10" s="6" t="str">
        <x:v>CPD/CE is a defined part of lifelong learning. These HE providers extend beyond universities. The supplied file contains one year, so a UK HESA income growth trend is unavailable.</x:v>
      </x:c>
      <x:c r="J10" s="6" t="str">
        <x:v>CPD/CE is a defined part of lifelong learning. These HE providers extend beyond universities. The supplied file contains one year, so a UK HESA income growth trend is unavailable.</x:v>
      </x:c>
      <x:c r="K10" s="6" t="str">
        <x:v>CPD/CE is a defined part of lifelong learning. These HE providers extend beyond universities. The supplied file contains one year, so a UK HESA income growth trend is unavailable.</x:v>
      </x:c>
      <x:c r="L10" s="6" t="str">
        <x:v>CPD/CE is a defined part of lifelong learning. These HE providers extend beyond universities. The supplied file contains one year, so a UK HESA income growth trend is unavailable.</x:v>
      </x:c>
      <x:c r="M10" s="6" t="str">
        <x:v>CPD/CE is a defined part of lifelong learning. These HE providers extend beyond universities. The supplied file contains one year, so a UK HESA income growth trend is unavailable.</x:v>
      </x:c>
      <x:c r="N10" s="6" t="str">
        <x:v>CPD/CE is a defined part of lifelong learning. These HE providers extend beyond universities. The supplied file contains one year, so a UK HESA income growth trend is unavailable.</x:v>
      </x:c>
      <x:c r="O10" s="2"/>
      <x:c r="P10" s="2"/>
      <x:c r="Q10" s="2" t="str">
        <x:f>INDEX('UK providers'!$Q$7:$Q$212,MATCH(5,'UK providers'!$P$7:$P$212,0))</x:f>
        <x:v>London School of Economics</x:v>
      </x:c>
      <x:c r="R10" s="53" t="n">
        <x:f>INDEX('UK providers'!$K$7:$K$212,MATCH(5,'UK providers'!$P$7:$P$212,0))</x:f>
        <x:v>33.776</x:v>
      </x:c>
      <x:c r="S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 t="str">
        <x:f>INDEX('UK providers'!$Q$7:$Q$212,MATCH(6,'UK providers'!$P$7:$P$212,0))</x:f>
        <x:v>Manchester</x:v>
      </x:c>
      <x:c r="R11" s="53" t="n">
        <x:f>INDEX('UK providers'!$K$7:$K$212,MATCH(6,'UK providers'!$P$7:$P$212,0))</x:f>
        <x:v>22.88</x:v>
      </x:c>
      <x:c r="S11" s="2"/>
    </x:row>
    <x:row r="12" ht="23" customHeight="1">
      <x:c r="A12" s="47" t="str">
        <x:v>UK income by research cohort</x:v>
      </x:c>
      <x:c r="B12" s="47" t="str">
        <x:v>UK income by research cohort</x:v>
      </x:c>
      <x:c r="C12" s="47" t="str">
        <x:v>UK income by research cohort</x:v>
      </x:c>
      <x:c r="D12" s="47" t="str">
        <x:v>UK income by research cohort</x:v>
      </x:c>
      <x:c r="E12" s="47" t="str">
        <x:v>UK income by research cohort</x:v>
      </x:c>
      <x:c r="F12" s="47" t="str">
        <x:v>UK income by research cohort</x:v>
      </x:c>
      <x:c r="G12" s="47" t="str">
        <x:v>UK income by research cohort</x:v>
      </x:c>
      <x:c r="H12" s="2"/>
      <x:c r="I12" s="47" t="str">
        <x:v>Customer mix</x:v>
      </x:c>
      <x:c r="J12" s="47" t="str">
        <x:v>Customer mix</x:v>
      </x:c>
      <x:c r="K12" s="47" t="str">
        <x:v>Customer mix</x:v>
      </x:c>
      <x:c r="L12" s="47" t="str">
        <x:v>Customer mix</x:v>
      </x:c>
      <x:c r="M12" s="47" t="str">
        <x:v>Customer mix</x:v>
      </x:c>
      <x:c r="N12" s="47" t="str">
        <x:v>Customer mix</x:v>
      </x:c>
      <x:c r="O12" s="2"/>
      <x:c r="P12" s="2"/>
      <x:c r="Q12" s="2" t="str">
        <x:f>INDEX('UK providers'!$Q$7:$Q$212,MATCH(7,'UK providers'!$P$7:$P$212,0))</x:f>
        <x:v>Cranfield</x:v>
      </x:c>
      <x:c r="R12" s="53" t="n">
        <x:f>INDEX('UK providers'!$K$7:$K$212,MATCH(7,'UK providers'!$P$7:$P$212,0))</x:f>
        <x:v>19.229</x:v>
      </x:c>
      <x:c r="S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 t="str">
        <x:f>INDEX('UK providers'!$Q$7:$Q$212,MATCH(8,'UK providers'!$P$7:$P$212,0))</x:f>
        <x:v>Strathclyde</x:v>
      </x:c>
      <x:c r="R13" s="53" t="n">
        <x:f>INDEX('UK providers'!$K$7:$K$212,MATCH(8,'UK providers'!$P$7:$P$212,0))</x:f>
        <x:v>17.128</x:v>
      </x:c>
      <x:c r="S13" s="2"/>
    </x:row>
    <x:row r="14" ht="23" customHeight="1">
      <x:c r="A14" s="9" t="str">
        <x:v>Cohort</x:v>
      </x:c>
      <x:c r="B14" s="9" t="str">
        <x:v>Cohort</x:v>
      </x:c>
      <x:c r="C14" s="9" t="str">
        <x:v>Cohort</x:v>
      </x:c>
      <x:c r="D14" s="9" t="str">
        <x:v>Providers</x:v>
      </x:c>
      <x:c r="E14" s="9" t="str">
        <x:v>Providers</x:v>
      </x:c>
      <x:c r="F14" s="9" t="str">
        <x:v>Income (£m)</x:v>
      </x:c>
      <x:c r="G14" s="9" t="str">
        <x:v>Income (£m)</x:v>
      </x:c>
      <x:c r="H14" s="2"/>
      <x:c r="I14" s="9" t="str">
        <x:v>Customer</x:v>
      </x:c>
      <x:c r="J14" s="9" t="str">
        <x:v>Customer</x:v>
      </x:c>
      <x:c r="K14" s="9" t="str">
        <x:v>Customer</x:v>
      </x:c>
      <x:c r="L14" s="9" t="str">
        <x:v>Customer</x:v>
      </x:c>
      <x:c r="M14" s="9" t="str">
        <x:v>Income (£m)</x:v>
      </x:c>
      <x:c r="N14" s="9" t="str">
        <x:v>Income (£m)</x:v>
      </x:c>
      <x:c r="O14" s="2"/>
      <x:c r="P14" s="2"/>
      <x:c r="Q14" s="2" t="str">
        <x:f>INDEX('UK providers'!$Q$7:$Q$212,MATCH(9,'UK providers'!$P$7:$P$212,0))</x:f>
        <x:v>UCL</x:v>
      </x:c>
      <x:c r="R14" s="53" t="n">
        <x:f>INDEX('UK providers'!$K$7:$K$212,MATCH(9,'UK providers'!$P$7:$P$212,0))</x:f>
        <x:v>16.737</x:v>
      </x:c>
      <x:c r="S14" s="2"/>
    </x:row>
    <x:row r="15" ht="23" customHeight="1">
      <x:c r="A15" s="51" t="str">
        <x:v>Russell Group</x:v>
      </x:c>
      <x:c r="B15" s="51" t="str">
        <x:v>Russell Group</x:v>
      </x:c>
      <x:c r="C15" s="51" t="str">
        <x:v>Russell Group</x:v>
      </x:c>
      <x:c r="D15" s="52" t="n">
        <x:f>COUNTIF('UK providers'!$C$7:$C$212,A15)</x:f>
        <x:v>24</x:v>
      </x:c>
      <x:c r="E15" s="52"/>
      <x:c r="F15" s="53" t="n">
        <x:f>SUMIF('UK providers'!$C$7:$C$212,A15,'UK providers'!$K$7:$K$212)</x:f>
        <x:v>313.97900000000004</x:v>
      </x:c>
      <x:c r="G15" s="53"/>
      <x:c r="H15" s="2"/>
      <x:c r="I15" s="51" t="str">
        <x:v>Individuals</x:v>
      </x:c>
      <x:c r="J15" s="51" t="str">
        <x:v>Individuals</x:v>
      </x:c>
      <x:c r="K15" s="51" t="str">
        <x:v>Individuals</x:v>
      </x:c>
      <x:c r="L15" s="51" t="str">
        <x:v>Individuals</x:v>
      </x:c>
      <x:c r="M15" s="53" t="n">
        <x:f>SUM('UK providers'!H7:H212)/1000</x:f>
        <x:v>353.653</x:v>
      </x:c>
      <x:c r="N15" s="53"/>
      <x:c r="O15" s="2"/>
      <x:c r="P15" s="2"/>
      <x:c r="Q15" s="2" t="str">
        <x:f>INDEX('UK providers'!$Q$7:$Q$212,MATCH(10,'UK providers'!$P$7:$P$212,0))</x:f>
        <x:v>Lancashire</x:v>
      </x:c>
      <x:c r="R15" s="53" t="n">
        <x:f>INDEX('UK providers'!$K$7:$K$212,MATCH(10,'UK providers'!$P$7:$P$212,0))</x:f>
        <x:v>16.265</x:v>
      </x:c>
      <x:c r="S15" s="2"/>
    </x:row>
    <x:row r="16" ht="23" customHeight="1">
      <x:c r="A16" s="51" t="str">
        <x:v>Additional UK sample</x:v>
      </x:c>
      <x:c r="B16" s="51" t="str">
        <x:v>Additional UK sample</x:v>
      </x:c>
      <x:c r="C16" s="51" t="str">
        <x:v>Additional UK sample</x:v>
      </x:c>
      <x:c r="D16" s="52" t="n">
        <x:f>COUNTIF('UK providers'!$C$7:$C$212,A16)</x:f>
        <x:v>30</x:v>
      </x:c>
      <x:c r="E16" s="52"/>
      <x:c r="F16" s="53" t="n">
        <x:f>SUMIF('UK providers'!$C$7:$C$212,A16,'UK providers'!$K$7:$K$212)</x:f>
        <x:v>131.436</x:v>
      </x:c>
      <x:c r="G16" s="53"/>
      <x:c r="H16" s="2"/>
      <x:c r="I16" s="51" t="str">
        <x:v>Non-commercial</x:v>
      </x:c>
      <x:c r="J16" s="51" t="str">
        <x:v>Non-commercial</x:v>
      </x:c>
      <x:c r="K16" s="51" t="str">
        <x:v>Non-commercial</x:v>
      </x:c>
      <x:c r="L16" s="51" t="str">
        <x:v>Non-commercial</x:v>
      </x:c>
      <x:c r="M16" s="53" t="n">
        <x:f>SUM('UK providers'!G7:G212)/1000</x:f>
        <x:v>293.718</x:v>
      </x:c>
      <x:c r="N16" s="53"/>
      <x:c r="O16" s="2"/>
      <x:c r="P16" s="2"/>
      <x:c r="Q16" s="2"/>
      <x:c r="R16" s="53"/>
      <x:c r="S16" s="2"/>
    </x:row>
    <x:row r="17" ht="23" customHeight="1">
      <x:c r="A17" s="51" t="str">
        <x:v>Other HE provider</x:v>
      </x:c>
      <x:c r="B17" s="51" t="str">
        <x:v>Other HE provider</x:v>
      </x:c>
      <x:c r="C17" s="51" t="str">
        <x:v>Other HE provider</x:v>
      </x:c>
      <x:c r="D17" s="52" t="n">
        <x:f>COUNTIF('UK providers'!$C$7:$C$212,A17)</x:f>
        <x:v>152</x:v>
      </x:c>
      <x:c r="E17" s="52"/>
      <x:c r="F17" s="53" t="n">
        <x:f>SUMIF('UK providers'!$C$7:$C$212,A17,'UK providers'!$K$7:$K$212)</x:f>
        <x:v>378.7630000000002</x:v>
      </x:c>
      <x:c r="G17" s="53"/>
      <x:c r="H17" s="2"/>
      <x:c r="I17" s="51" t="str">
        <x:v>Other commercial</x:v>
      </x:c>
      <x:c r="J17" s="51" t="str">
        <x:v>Other commercial</x:v>
      </x:c>
      <x:c r="K17" s="51" t="str">
        <x:v>Other commercial</x:v>
      </x:c>
      <x:c r="L17" s="51" t="str">
        <x:v>Other commercial</x:v>
      </x:c>
      <x:c r="M17" s="53" t="n">
        <x:f>SUM('UK providers'!F7:F212)/1000</x:f>
        <x:v>146.741</x:v>
      </x:c>
      <x:c r="N17" s="53"/>
      <x:c r="O17" s="2"/>
      <x:c r="P17" s="2"/>
      <x:c r="Q17" s="2"/>
      <x:c r="R17" s="53"/>
      <x:c r="S17" s="2"/>
    </x:row>
    <x:row r="18" ht="40" customHeight="1">
      <x:c r="A18" s="2"/>
      <x:c r="B18" s="2"/>
      <x:c r="C18" s="2"/>
      <x:c r="D18" s="2"/>
      <x:c r="E18" s="2"/>
      <x:c r="F18" s="2"/>
      <x:c r="G18" s="2"/>
      <x:c r="H18" s="2"/>
      <x:c r="I18" s="51" t="str">
        <x:v>SMEs</x:v>
      </x:c>
      <x:c r="J18" s="51" t="str">
        <x:v>SMEs</x:v>
      </x:c>
      <x:c r="K18" s="51" t="str">
        <x:v>SMEs</x:v>
      </x:c>
      <x:c r="L18" s="51" t="str">
        <x:v>SMEs</x:v>
      </x:c>
      <x:c r="M18" s="53" t="n">
        <x:f>SUM('UK providers'!E7:E212)/1000</x:f>
        <x:v>30.066</x:v>
      </x:c>
      <x:c r="N18" s="53"/>
      <x:c r="O18" s="2"/>
      <x:c r="P18" s="2"/>
      <x:c r="Q18" s="9" t="str">
        <x:v>Customer</x:v>
      </x:c>
      <x:c r="R18" s="55" t="str">
        <x:v>CPD/CE (£m)</x:v>
      </x:c>
      <x:c r="S18" s="2"/>
    </x:row>
    <x:row r="19" ht="23" customHeight="1">
      <x:c r="A19" s="51" t="str">
        <x:v>Share from individual learners</x:v>
      </x:c>
      <x:c r="B19" s="51" t="str">
        <x:v>Share from individual learners</x:v>
      </x:c>
      <x:c r="C19" s="51" t="str">
        <x:v>Share from individual learners</x:v>
      </x:c>
      <x:c r="D19" s="51" t="str">
        <x:v>Share from individual learners</x:v>
      </x:c>
      <x:c r="E19" s="51" t="str">
        <x:v>Share from individual learners</x:v>
      </x:c>
      <x:c r="F19" s="54" t="n">
        <x:f>SUM('UK providers'!H7:H212)/SUM('UK providers'!I7:I212)</x:f>
        <x:v>0.42909784051503436</x:v>
      </x:c>
      <x:c r="G19" s="54"/>
      <x:c r="H19" s="2"/>
      <x:c r="I19" s="2"/>
      <x:c r="J19" s="2"/>
      <x:c r="K19" s="2"/>
      <x:c r="L19" s="2"/>
      <x:c r="M19" s="2"/>
      <x:c r="N19" s="2"/>
      <x:c r="O19" s="2"/>
      <x:c r="P19" s="2"/>
      <x:c r="Q19" s="2" t="str">
        <x:f>I15</x:f>
        <x:v>Individuals</x:v>
      </x:c>
      <x:c r="R19" s="53" t="n">
        <x:f>M15</x:f>
        <x:v>353.653</x:v>
      </x:c>
      <x:c r="S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 t="str">
        <x:f>I16</x:f>
        <x:v>Non-commercial</x:v>
      </x:c>
      <x:c r="R20" s="53" t="n">
        <x:f>M16</x:f>
        <x:v>293.718</x:v>
      </x:c>
      <x:c r="S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 t="str">
        <x:f>I17</x:f>
        <x:v>Other commercial</x:v>
      </x:c>
      <x:c r="R21" s="53" t="n">
        <x:f>M17</x:f>
        <x:v>146.741</x:v>
      </x:c>
      <x:c r="S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 t="str">
        <x:f>I18</x:f>
        <x:v>SMEs</x:v>
      </x:c>
      <x:c r="R22" s="53" t="n">
        <x:f>M18</x:f>
        <x:v>30.066</x:v>
      </x:c>
      <x:c r="S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3" customHeight="1">
      <x:c r="A42" s="47" t="str">
        <x:v>Australian revenue and growth: seven of the top 10 institutions</x:v>
      </x:c>
      <x:c r="B42" s="47" t="str">
        <x:v>Australian revenue and growth: seven of the top 10 institutions</x:v>
      </x:c>
      <x:c r="C42" s="47" t="str">
        <x:v>Australian revenue and growth: seven of the top 10 institutions</x:v>
      </x:c>
      <x:c r="D42" s="47" t="str">
        <x:v>Australian revenue and growth: seven of the top 10 institutions</x:v>
      </x:c>
      <x:c r="E42" s="47" t="str">
        <x:v>Australian revenue and growth: seven of the top 10 institutions</x:v>
      </x:c>
      <x:c r="F42" s="47" t="str">
        <x:v>Australian revenue and growth: seven of the top 10 institutions</x:v>
      </x:c>
      <x:c r="G42" s="47" t="str">
        <x:v>Australian revenue and growth: seven of the top 10 institutions</x:v>
      </x:c>
      <x:c r="H42" s="47" t="str">
        <x:v>Australian revenue and growth: seven of the top 10 institutions</x:v>
      </x:c>
      <x:c r="I42" s="47" t="str">
        <x:v>Australian revenue and growth: seven of the top 10 institutions</x:v>
      </x:c>
      <x:c r="J42" s="47" t="str">
        <x:v>Australian revenue and growth: seven of the top 10 institutions</x:v>
      </x:c>
      <x:c r="K42" s="47" t="str">
        <x:v>Australian revenue and growth: seven of the top 10 institutions</x:v>
      </x:c>
      <x:c r="L42" s="47" t="str">
        <x:v>Australian revenue and growth: seven of the top 10 institutions</x:v>
      </x:c>
      <x:c r="M42" s="47" t="str">
        <x:v>Australian revenue and growth: seven of the top 10 institutions</x:v>
      </x:c>
      <x:c r="N42" s="47" t="str">
        <x:v>Australian revenue and growth: seven of the top 10 institutions</x:v>
      </x:c>
      <x:c r="O42" s="2"/>
      <x:c r="P42" s="2"/>
      <x:c r="Q42" s="2"/>
      <x:c r="R42" s="2"/>
      <x:c r="S42" s="2"/>
    </x:row>
    <x:row r="43" ht="23" customHeight="1">
      <x:c r="A43" s="6" t="str">
        <x:v>Separate measures in AUD millions. Melbourne is the Business School entity. Periods and definitions differ; amounts must not be aggregated. Three institutions have no comparable numeric row.</x:v>
      </x:c>
      <x:c r="B43" s="6" t="str">
        <x:v>Separate measures in AUD millions. Melbourne is the Business School entity. Periods and definitions differ; amounts must not be aggregated. Three institutions have no comparable numeric row.</x:v>
      </x:c>
      <x:c r="C43" s="6" t="str">
        <x:v>Separate measures in AUD millions. Melbourne is the Business School entity. Periods and definitions differ; amounts must not be aggregated. Three institutions have no comparable numeric row.</x:v>
      </x:c>
      <x:c r="D43" s="6" t="str">
        <x:v>Separate measures in AUD millions. Melbourne is the Business School entity. Periods and definitions differ; amounts must not be aggregated. Three institutions have no comparable numeric row.</x:v>
      </x:c>
      <x:c r="E43" s="6" t="str">
        <x:v>Separate measures in AUD millions. Melbourne is the Business School entity. Periods and definitions differ; amounts must not be aggregated. Three institutions have no comparable numeric row.</x:v>
      </x:c>
      <x:c r="F43" s="6" t="str">
        <x:v>Separate measures in AUD millions. Melbourne is the Business School entity. Periods and definitions differ; amounts must not be aggregated. Three institutions have no comparable numeric row.</x:v>
      </x:c>
      <x:c r="G43" s="6" t="str">
        <x:v>Separate measures in AUD millions. Melbourne is the Business School entity. Periods and definitions differ; amounts must not be aggregated. Three institutions have no comparable numeric row.</x:v>
      </x:c>
      <x:c r="H43" s="6" t="str">
        <x:v>Separate measures in AUD millions. Melbourne is the Business School entity. Periods and definitions differ; amounts must not be aggregated. Three institutions have no comparable numeric row.</x:v>
      </x:c>
      <x:c r="I43" s="6" t="str">
        <x:v>Separate measures in AUD millions. Melbourne is the Business School entity. Periods and definitions differ; amounts must not be aggregated. Three institutions have no comparable numeric row.</x:v>
      </x:c>
      <x:c r="J43" s="6" t="str">
        <x:v>Separate measures in AUD millions. Melbourne is the Business School entity. Periods and definitions differ; amounts must not be aggregated. Three institutions have no comparable numeric row.</x:v>
      </x:c>
      <x:c r="K43" s="6" t="str">
        <x:v>Separate measures in AUD millions. Melbourne is the Business School entity. Periods and definitions differ; amounts must not be aggregated. Three institutions have no comparable numeric row.</x:v>
      </x:c>
      <x:c r="L43" s="6" t="str">
        <x:v>Separate measures in AUD millions. Melbourne is the Business School entity. Periods and definitions differ; amounts must not be aggregated. Three institutions have no comparable numeric row.</x:v>
      </x:c>
      <x:c r="M43" s="6" t="str">
        <x:v>Separate measures in AUD millions. Melbourne is the Business School entity. Periods and definitions differ; amounts must not be aggregated. Three institutions have no comparable numeric row.</x:v>
      </x:c>
      <x:c r="N43" s="6" t="str">
        <x:v>Separate measures in AUD millions. Melbourne is the Business School entity. Periods and definitions differ; amounts must not be aggregated. Three institutions have no comparable numeric row.</x:v>
      </x:c>
      <x:c r="O43" s="2"/>
      <x:c r="P43" s="2"/>
      <x:c r="Q43" s="2"/>
      <x:c r="R43" s="2"/>
      <x:c r="S43" s="2"/>
    </x:row>
    <x:row r="44" ht="23" customHeight="1">
      <x:c r="A44" s="6" t="str">
        <x:v>Separate measures in AUD millions. Melbourne is the Business School entity. Periods and definitions differ; amounts must not be aggregated. Three institutions have no comparable numeric row.</x:v>
      </x:c>
      <x:c r="B44" s="6" t="str">
        <x:v>Separate measures in AUD millions. Melbourne is the Business School entity. Periods and definitions differ; amounts must not be aggregated. Three institutions have no comparable numeric row.</x:v>
      </x:c>
      <x:c r="C44" s="6" t="str">
        <x:v>Separate measures in AUD millions. Melbourne is the Business School entity. Periods and definitions differ; amounts must not be aggregated. Three institutions have no comparable numeric row.</x:v>
      </x:c>
      <x:c r="D44" s="6" t="str">
        <x:v>Separate measures in AUD millions. Melbourne is the Business School entity. Periods and definitions differ; amounts must not be aggregated. Three institutions have no comparable numeric row.</x:v>
      </x:c>
      <x:c r="E44" s="6" t="str">
        <x:v>Separate measures in AUD millions. Melbourne is the Business School entity. Periods and definitions differ; amounts must not be aggregated. Three institutions have no comparable numeric row.</x:v>
      </x:c>
      <x:c r="F44" s="6" t="str">
        <x:v>Separate measures in AUD millions. Melbourne is the Business School entity. Periods and definitions differ; amounts must not be aggregated. Three institutions have no comparable numeric row.</x:v>
      </x:c>
      <x:c r="G44" s="6" t="str">
        <x:v>Separate measures in AUD millions. Melbourne is the Business School entity. Periods and definitions differ; amounts must not be aggregated. Three institutions have no comparable numeric row.</x:v>
      </x:c>
      <x:c r="H44" s="6" t="str">
        <x:v>Separate measures in AUD millions. Melbourne is the Business School entity. Periods and definitions differ; amounts must not be aggregated. Three institutions have no comparable numeric row.</x:v>
      </x:c>
      <x:c r="I44" s="6" t="str">
        <x:v>Separate measures in AUD millions. Melbourne is the Business School entity. Periods and definitions differ; amounts must not be aggregated. Three institutions have no comparable numeric row.</x:v>
      </x:c>
      <x:c r="J44" s="6" t="str">
        <x:v>Separate measures in AUD millions. Melbourne is the Business School entity. Periods and definitions differ; amounts must not be aggregated. Three institutions have no comparable numeric row.</x:v>
      </x:c>
      <x:c r="K44" s="6" t="str">
        <x:v>Separate measures in AUD millions. Melbourne is the Business School entity. Periods and definitions differ; amounts must not be aggregated. Three institutions have no comparable numeric row.</x:v>
      </x:c>
      <x:c r="L44" s="6" t="str">
        <x:v>Separate measures in AUD millions. Melbourne is the Business School entity. Periods and definitions differ; amounts must not be aggregated. Three institutions have no comparable numeric row.</x:v>
      </x:c>
      <x:c r="M44" s="6" t="str">
        <x:v>Separate measures in AUD millions. Melbourne is the Business School entity. Periods and definitions differ; amounts must not be aggregated. Three institutions have no comparable numeric row.</x:v>
      </x:c>
      <x:c r="N44" s="6" t="str">
        <x:v>Separate measures in AUD millions. Melbourne is the Business School entity. Periods and definitions differ; amounts must not be aggregated. Three institutions have no comparable numeric row.</x:v>
      </x:c>
      <x:c r="O44" s="2"/>
      <x:c r="P44" s="2"/>
      <x:c r="Q44" s="2"/>
      <x:c r="R44" s="2"/>
      <x:c r="S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3" customHeight="1">
      <x:c r="A46" s="9" t="str">
        <x:v>Institution</x:v>
      </x:c>
      <x:c r="B46" s="9" t="str">
        <x:v>Institution</x:v>
      </x:c>
      <x:c r="C46" s="9" t="str">
        <x:v>Institution</x:v>
      </x:c>
      <x:c r="D46" s="9" t="str">
        <x:v>Reported metric</x:v>
      </x:c>
      <x:c r="E46" s="9" t="str">
        <x:v>Reported metric</x:v>
      </x:c>
      <x:c r="F46" s="9" t="str">
        <x:v>Reported metric</x:v>
      </x:c>
      <x:c r="G46" s="9" t="str">
        <x:v>Reported metric</x:v>
      </x:c>
      <x:c r="H46" s="9" t="str">
        <x:v>Reported metric</x:v>
      </x:c>
      <x:c r="I46" s="9" t="str">
        <x:v>Current period</x:v>
      </x:c>
      <x:c r="J46" s="9" t="str">
        <x:v>Current period</x:v>
      </x:c>
      <x:c r="K46" s="9" t="str">
        <x:v>AUD m</x:v>
      </x:c>
      <x:c r="L46" s="9" t="str">
        <x:v>AUD m</x:v>
      </x:c>
      <x:c r="M46" s="9" t="str">
        <x:v>Growth</x:v>
      </x:c>
      <x:c r="N46" s="9" t="str">
        <x:v>Growth</x:v>
      </x:c>
      <x:c r="O46" s="2"/>
      <x:c r="P46" s="2"/>
      <x:c r="Q46" s="2"/>
      <x:c r="R46" s="2"/>
      <x:c r="S46" s="2"/>
    </x:row>
    <x:row r="47" ht="34" customHeight="1">
      <x:c r="A47" s="56" t="str">
        <x:f>'Revenue evidence'!B32</x:f>
        <x:v>UNSW Sydney</x:v>
      </x:c>
      <x:c r="B47" s="56"/>
      <x:c r="C47" s="56"/>
      <x:c r="D47" s="56" t="str">
        <x:f>'Revenue evidence'!D32</x:f>
        <x:v>Continuing education</x:v>
      </x:c>
      <x:c r="E47" s="56"/>
      <x:c r="F47" s="56"/>
      <x:c r="G47" s="56"/>
      <x:c r="H47" s="56"/>
      <x:c r="I47" s="56" t="str">
        <x:f>'Revenue evidence'!H32</x:f>
        <x:v>2025</x:v>
      </x:c>
      <x:c r="J47" s="56"/>
      <x:c r="K47" s="57" t="n">
        <x:f>'Revenue evidence'!I32</x:f>
        <x:v>40.182</x:v>
      </x:c>
      <x:c r="L47" s="57"/>
      <x:c r="M47" s="58" t="n">
        <x:f>'Revenue evidence'!J32</x:f>
        <x:v>0.02515562812531913</x:v>
      </x:c>
      <x:c r="N47" s="58"/>
      <x:c r="O47" s="2"/>
      <x:c r="P47" s="2"/>
      <x:c r="Q47" s="2"/>
      <x:c r="R47" s="2"/>
      <x:c r="S47" s="2"/>
    </x:row>
    <x:row r="48" ht="34" customHeight="1">
      <x:c r="A48" s="10" t="str">
        <x:f>'Revenue evidence'!B33</x:f>
        <x:v>Melbourne</x:v>
      </x:c>
      <x:c r="B48" s="10"/>
      <x:c r="C48" s="10"/>
      <x:c r="D48" s="10" t="str">
        <x:f>'Revenue evidence'!D33</x:f>
        <x:v>MBS corporate programmes</x:v>
      </x:c>
      <x:c r="E48" s="10"/>
      <x:c r="F48" s="10"/>
      <x:c r="G48" s="10"/>
      <x:c r="H48" s="10"/>
      <x:c r="I48" s="10" t="str">
        <x:f>'Revenue evidence'!H33</x:f>
        <x:v>2025</x:v>
      </x:c>
      <x:c r="J48" s="10"/>
      <x:c r="K48" s="15" t="n">
        <x:f>'Revenue evidence'!I33</x:f>
        <x:v>26.98</x:v>
      </x:c>
      <x:c r="L48" s="15"/>
      <x:c r="M48" s="17" t="n">
        <x:f>'Revenue evidence'!J33</x:f>
        <x:v>0.24131585001150224</x:v>
      </x:c>
      <x:c r="N48" s="17"/>
      <x:c r="O48" s="2"/>
      <x:c r="P48" s="2"/>
      <x:c r="Q48" s="2"/>
      <x:c r="R48" s="2"/>
      <x:c r="S48" s="2"/>
    </x:row>
    <x:row r="49" ht="34" customHeight="1">
      <x:c r="A49" s="56" t="str">
        <x:f>'Revenue evidence'!B34</x:f>
        <x:v>Sydney</x:v>
      </x:c>
      <x:c r="B49" s="56"/>
      <x:c r="C49" s="56"/>
      <x:c r="D49" s="56" t="str">
        <x:f>'Revenue evidence'!D34</x:f>
        <x:v>Continuing education</x:v>
      </x:c>
      <x:c r="E49" s="56"/>
      <x:c r="F49" s="56"/>
      <x:c r="G49" s="56"/>
      <x:c r="H49" s="56"/>
      <x:c r="I49" s="56" t="str">
        <x:f>'Revenue evidence'!H34</x:f>
        <x:v>2025</x:v>
      </x:c>
      <x:c r="J49" s="56"/>
      <x:c r="K49" s="57" t="n">
        <x:f>'Revenue evidence'!I34</x:f>
        <x:v>15.891</x:v>
      </x:c>
      <x:c r="L49" s="57"/>
      <x:c r="M49" s="58" t="n">
        <x:f>'Revenue evidence'!J34</x:f>
        <x:v>0.07911177509167455</x:v>
      </x:c>
      <x:c r="N49" s="58"/>
      <x:c r="O49" s="2"/>
      <x:c r="P49" s="2"/>
      <x:c r="Q49" s="2"/>
      <x:c r="R49" s="2"/>
      <x:c r="S49" s="2"/>
    </x:row>
    <x:row r="50" ht="34" customHeight="1">
      <x:c r="A50" s="10" t="str">
        <x:f>'Revenue evidence'!B37</x:f>
        <x:v>Queensland</x:v>
      </x:c>
      <x:c r="B50" s="10"/>
      <x:c r="C50" s="10"/>
      <x:c r="D50" s="10" t="str">
        <x:f>'Revenue evidence'!D37</x:f>
        <x:v>Continuing education</x:v>
      </x:c>
      <x:c r="E50" s="10"/>
      <x:c r="F50" s="10"/>
      <x:c r="G50" s="10"/>
      <x:c r="H50" s="10"/>
      <x:c r="I50" s="10" t="str">
        <x:f>'Revenue evidence'!H37</x:f>
        <x:v>2025</x:v>
      </x:c>
      <x:c r="J50" s="10"/>
      <x:c r="K50" s="15" t="n">
        <x:f>'Revenue evidence'!I37</x:f>
        <x:v>12.711</x:v>
      </x:c>
      <x:c r="L50" s="15"/>
      <x:c r="M50" s="17" t="n">
        <x:f>'Revenue evidence'!J37</x:f>
        <x:v>0.08752566735112932</x:v>
      </x:c>
      <x:c r="N50" s="17"/>
      <x:c r="O50" s="2"/>
      <x:c r="P50" s="2"/>
      <x:c r="Q50" s="2"/>
      <x:c r="R50" s="2"/>
      <x:c r="S50" s="2"/>
    </x:row>
    <x:row r="51" ht="34" customHeight="1">
      <x:c r="A51" s="56" t="str">
        <x:f>'Revenue evidence'!B38</x:f>
        <x:v>Western Australia</x:v>
      </x:c>
      <x:c r="B51" s="56"/>
      <x:c r="C51" s="56"/>
      <x:c r="D51" s="56" t="str">
        <x:f>'Revenue evidence'!D38</x:f>
        <x:v>Continuing education and short courses</x:v>
      </x:c>
      <x:c r="E51" s="56"/>
      <x:c r="F51" s="56"/>
      <x:c r="G51" s="56"/>
      <x:c r="H51" s="56"/>
      <x:c r="I51" s="56" t="str">
        <x:f>'Revenue evidence'!H38</x:f>
        <x:v>2025</x:v>
      </x:c>
      <x:c r="J51" s="56"/>
      <x:c r="K51" s="57" t="n">
        <x:f>'Revenue evidence'!I38</x:f>
        <x:v>12.148</x:v>
      </x:c>
      <x:c r="L51" s="57"/>
      <x:c r="M51" s="58" t="n">
        <x:f>'Revenue evidence'!J38</x:f>
        <x:v>-0.12053862303627028</x:v>
      </x:c>
      <x:c r="N51" s="58"/>
      <x:c r="O51" s="2"/>
      <x:c r="P51" s="2"/>
      <x:c r="Q51" s="2"/>
      <x:c r="R51" s="2"/>
      <x:c r="S51" s="2"/>
    </x:row>
    <x:row r="52" ht="34" customHeight="1">
      <x:c r="A52" s="10" t="str">
        <x:f>'Revenue evidence'!B40</x:f>
        <x:v>University of Technology Sydney</x:v>
      </x:c>
      <x:c r="B52" s="10"/>
      <x:c r="C52" s="10"/>
      <x:c r="D52" s="10" t="str">
        <x:f>'Revenue evidence'!D40</x:f>
        <x:v>Continuing education</x:v>
      </x:c>
      <x:c r="E52" s="10"/>
      <x:c r="F52" s="10"/>
      <x:c r="G52" s="10"/>
      <x:c r="H52" s="10"/>
      <x:c r="I52" s="10" t="str">
        <x:f>'Revenue evidence'!H40</x:f>
        <x:v>2025</x:v>
      </x:c>
      <x:c r="J52" s="10"/>
      <x:c r="K52" s="15" t="n">
        <x:f>'Revenue evidence'!I40</x:f>
        <x:v>10.179</x:v>
      </x:c>
      <x:c r="L52" s="15"/>
      <x:c r="M52" s="17" t="n">
        <x:f>'Revenue evidence'!J40</x:f>
        <x:v>-0.13222506393861888</x:v>
      </x:c>
      <x:c r="N52" s="17"/>
      <x:c r="O52" s="2"/>
      <x:c r="P52" s="2"/>
      <x:c r="Q52" s="2"/>
      <x:c r="R52" s="2"/>
      <x:c r="S52" s="2"/>
    </x:row>
    <x:row r="53" ht="34" customHeight="1">
      <x:c r="A53" s="56" t="str">
        <x:f>'Revenue evidence'!B41</x:f>
        <x:v>RMIT</x:v>
      </x:c>
      <x:c r="B53" s="56"/>
      <x:c r="C53" s="56"/>
      <x:c r="D53" s="56" t="str">
        <x:f>'Revenue evidence'!D41</x:f>
        <x:v>Continuing education</x:v>
      </x:c>
      <x:c r="E53" s="56"/>
      <x:c r="F53" s="56"/>
      <x:c r="G53" s="56"/>
      <x:c r="H53" s="56"/>
      <x:c r="I53" s="56" t="str">
        <x:f>'Revenue evidence'!H41</x:f>
        <x:v>2024</x:v>
      </x:c>
      <x:c r="J53" s="56"/>
      <x:c r="K53" s="57" t="n">
        <x:f>'Revenue evidence'!I41</x:f>
        <x:v>5.991</x:v>
      </x:c>
      <x:c r="L53" s="57"/>
      <x:c r="M53" s="58" t="n">
        <x:f>'Revenue evidence'!J41</x:f>
        <x:v>-0.10260635110844829</x:v>
      </x:c>
      <x:c r="N53" s="58"/>
      <x:c r="O53" s="2"/>
      <x:c r="P53" s="2"/>
      <x:c r="Q53" s="2"/>
      <x:c r="R53" s="2"/>
      <x:c r="S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3" customHeight="1">
      <x:c r="A56" s="47" t="str">
        <x:v>Experiential-learning research coverage</x:v>
      </x:c>
      <x:c r="B56" s="47" t="str">
        <x:v>Experiential-learning research coverage</x:v>
      </x:c>
      <x:c r="C56" s="47" t="str">
        <x:v>Experiential-learning research coverage</x:v>
      </x:c>
      <x:c r="D56" s="47" t="str">
        <x:v>Experiential-learning research coverage</x:v>
      </x:c>
      <x:c r="E56" s="47" t="str">
        <x:v>Experiential-learning research coverage</x:v>
      </x:c>
      <x:c r="F56" s="47" t="str">
        <x:v>Experiential-learning research coverage</x:v>
      </x:c>
      <x:c r="G56" s="47" t="str">
        <x:v>Experiential-learning research coverage</x:v>
      </x:c>
      <x:c r="H56" s="47" t="str">
        <x:v>Experiential-learning research coverage</x:v>
      </x:c>
      <x:c r="I56" s="47" t="str">
        <x:v>Experiential-learning research coverage</x:v>
      </x:c>
      <x:c r="J56" s="47" t="str">
        <x:v>Experiential-learning research coverage</x:v>
      </x:c>
      <x:c r="K56" s="47" t="str">
        <x:v>Experiential-learning research coverage</x:v>
      </x:c>
      <x:c r="L56" s="47" t="str">
        <x:v>Experiential-learning research coverage</x:v>
      </x:c>
      <x:c r="M56" s="47" t="str">
        <x:v>Experiential-learning research coverage</x:v>
      </x:c>
      <x:c r="N56" s="47" t="str">
        <x:v>Experiential-learning research coverage</x:v>
      </x:c>
      <x:c r="O56" s="2"/>
      <x:c r="P56" s="2"/>
      <x:c r="Q56" s="2"/>
      <x:c r="R56" s="2"/>
      <x:c r="S56" s="2"/>
    </x:row>
    <x:row r="57" ht="23" customHeight="1">
      <x:c r="A57" s="51" t="str">
        <x:v>Institutions reviewed</x:v>
      </x:c>
      <x:c r="B57" s="51" t="str">
        <x:v>Institutions reviewed</x:v>
      </x:c>
      <x:c r="C57" s="51" t="str">
        <x:v>Institutions reviewed</x:v>
      </x:c>
      <x:c r="D57" s="51" t="str">
        <x:v>Institutions reviewed</x:v>
      </x:c>
      <x:c r="E57" s="51" t="str">
        <x:v>Institutions reviewed</x:v>
      </x:c>
      <x:c r="F57" s="52" t="n">
        <x:f>COUNTA('Institution index'!B7:B130)</x:f>
        <x:v>124</x:v>
      </x:c>
      <x:c r="G57" s="52"/>
      <x:c r="H57" s="2"/>
      <x:c r="I57" s="51" t="str">
        <x:v>Documented examples</x:v>
      </x:c>
      <x:c r="J57" s="51" t="str">
        <x:v>Documented examples</x:v>
      </x:c>
      <x:c r="K57" s="51" t="str">
        <x:v>Documented examples</x:v>
      </x:c>
      <x:c r="L57" s="51" t="str">
        <x:v>Documented examples</x:v>
      </x:c>
      <x:c r="M57" s="52" t="n">
        <x:f>COUNTA(Schemes!E7:E158)</x:f>
        <x:v>152</x:v>
      </x:c>
      <x:c r="N57" s="52"/>
      <x:c r="O57" s="2"/>
      <x:c r="P57" s="2"/>
      <x:c r="Q57" s="2"/>
      <x:c r="R57" s="2"/>
      <x:c r="S57" s="2"/>
    </x:row>
    <x:row r="58" ht="34" customHeight="1">
      <x:c r="A58" s="51" t="str">
        <x:v>With a university-wide scheme/framework</x:v>
      </x:c>
      <x:c r="B58" s="51" t="str">
        <x:v>With a university-wide scheme/framework</x:v>
      </x:c>
      <x:c r="C58" s="51" t="str">
        <x:v>With a university-wide scheme/framework</x:v>
      </x:c>
      <x:c r="D58" s="51" t="str">
        <x:v>With a university-wide scheme/framework</x:v>
      </x:c>
      <x:c r="E58" s="51" t="str">
        <x:v>With a university-wide scheme/framework</x:v>
      </x:c>
      <x:c r="F58" s="52" t="n">
        <x:f>COUNTIF('Institution index'!J7:J130,"&gt;0")</x:f>
        <x:v>108</x:v>
      </x:c>
      <x:c r="G58" s="52"/>
      <x:c r="H58" s="2"/>
      <x:c r="I58" s="51" t="str">
        <x:v>With a narrower documented example</x:v>
      </x:c>
      <x:c r="J58" s="51" t="str">
        <x:v>With a narrower documented example</x:v>
      </x:c>
      <x:c r="K58" s="51" t="str">
        <x:v>With a narrower documented example</x:v>
      </x:c>
      <x:c r="L58" s="51" t="str">
        <x:v>With a narrower documented example</x:v>
      </x:c>
      <x:c r="M58" s="52" t="n">
        <x:f>COUNTIF('Institution index'!K7:K130,"&gt;0")</x:f>
        <x:v>24</x:v>
      </x:c>
      <x:c r="N58" s="52"/>
      <x:c r="O58" s="2"/>
      <x:c r="P58" s="2"/>
      <x:c r="Q58" s="2"/>
      <x:c r="R58" s="2"/>
      <x:c r="S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23" customHeight="1">
      <x:c r="A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B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C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D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E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F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G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H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I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J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K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L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M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N60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O60" s="2"/>
      <x:c r="P60" s="2"/>
      <x:c r="Q60" s="2"/>
      <x:c r="R60" s="2"/>
      <x:c r="S60" s="2"/>
    </x:row>
    <x:row r="61" ht="23" customHeight="1">
      <x:c r="A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B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C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D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E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F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G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H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I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J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K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L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M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N61" s="6" t="str">
        <x:v>Academic eligibility or framework remit determines reach, separately from host faculty. Wider and narrower examples can coexist. Paused, ending and unverified current-intake evidence is visible on Schemes. Counts do not estimate prevalence.</x:v>
      </x:c>
      <x:c r="O61" s="2"/>
      <x:c r="P61" s="2"/>
      <x:c r="Q61" s="2"/>
      <x:c r="R61" s="2"/>
      <x:c r="S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</x:sheetData>
  <x:mergeCells>
    <x:mergeCell ref="A2:N2"/>
    <x:mergeCell ref="A3:N3"/>
    <x:mergeCell ref="A5:D5"/>
    <x:mergeCell ref="F5:I5"/>
    <x:mergeCell ref="K5:N5"/>
    <x:mergeCell ref="A6:D7"/>
    <x:mergeCell ref="F6:I7"/>
    <x:mergeCell ref="K6:N7"/>
    <x:mergeCell ref="A9:N10"/>
    <x:mergeCell ref="A12:G12"/>
    <x:mergeCell ref="I12:N12"/>
    <x:mergeCell ref="A14:C14"/>
    <x:mergeCell ref="D14:E14"/>
    <x:mergeCell ref="F14:G14"/>
    <x:mergeCell ref="I14:L14"/>
    <x:mergeCell ref="M14:N14"/>
    <x:mergeCell ref="A15:C15"/>
    <x:mergeCell ref="D15:E15"/>
    <x:mergeCell ref="F15:G15"/>
    <x:mergeCell ref="A16:C16"/>
    <x:mergeCell ref="D16:E16"/>
    <x:mergeCell ref="F16:G16"/>
    <x:mergeCell ref="A17:C17"/>
    <x:mergeCell ref="D17:E17"/>
    <x:mergeCell ref="F17:G17"/>
    <x:mergeCell ref="I15:L15"/>
    <x:mergeCell ref="M15:N15"/>
    <x:mergeCell ref="I16:L16"/>
    <x:mergeCell ref="M16:N16"/>
    <x:mergeCell ref="I17:L17"/>
    <x:mergeCell ref="M17:N17"/>
    <x:mergeCell ref="I18:L18"/>
    <x:mergeCell ref="M18:N18"/>
    <x:mergeCell ref="A19:E19"/>
    <x:mergeCell ref="F19:G19"/>
    <x:mergeCell ref="A42:N42"/>
    <x:mergeCell ref="A43:N44"/>
    <x:mergeCell ref="A46:C46"/>
    <x:mergeCell ref="D46:H46"/>
    <x:mergeCell ref="I46:J46"/>
    <x:mergeCell ref="K46:L46"/>
    <x:mergeCell ref="M46:N46"/>
    <x:mergeCell ref="A47:C47"/>
    <x:mergeCell ref="D47:H47"/>
    <x:mergeCell ref="I47:J47"/>
    <x:mergeCell ref="K47:L47"/>
    <x:mergeCell ref="M47:N47"/>
    <x:mergeCell ref="A48:C48"/>
    <x:mergeCell ref="D48:H48"/>
    <x:mergeCell ref="I48:J48"/>
    <x:mergeCell ref="K48:L48"/>
    <x:mergeCell ref="M48:N48"/>
    <x:mergeCell ref="A49:C49"/>
    <x:mergeCell ref="D49:H49"/>
    <x:mergeCell ref="I49:J49"/>
    <x:mergeCell ref="K49:L49"/>
    <x:mergeCell ref="M49:N49"/>
    <x:mergeCell ref="A50:C50"/>
    <x:mergeCell ref="D50:H50"/>
    <x:mergeCell ref="I50:J50"/>
    <x:mergeCell ref="K50:L50"/>
    <x:mergeCell ref="M50:N50"/>
    <x:mergeCell ref="A51:C51"/>
    <x:mergeCell ref="D51:H51"/>
    <x:mergeCell ref="I51:J51"/>
    <x:mergeCell ref="K51:L51"/>
    <x:mergeCell ref="M51:N51"/>
    <x:mergeCell ref="A52:C52"/>
    <x:mergeCell ref="D52:H52"/>
    <x:mergeCell ref="I52:J52"/>
    <x:mergeCell ref="K52:L52"/>
    <x:mergeCell ref="M52:N52"/>
    <x:mergeCell ref="A53:C53"/>
    <x:mergeCell ref="D53:H53"/>
    <x:mergeCell ref="I53:J53"/>
    <x:mergeCell ref="K53:L53"/>
    <x:mergeCell ref="M53:N53"/>
    <x:mergeCell ref="A56:N56"/>
    <x:mergeCell ref="A57:E57"/>
    <x:mergeCell ref="F57:G57"/>
    <x:mergeCell ref="I57:L57"/>
    <x:mergeCell ref="M57:N57"/>
    <x:mergeCell ref="A58:E58"/>
    <x:mergeCell ref="F58:G58"/>
    <x:mergeCell ref="I58:L58"/>
    <x:mergeCell ref="M58:N58"/>
    <x:mergeCell ref="A60:N61"/>
  </x:mergeCells>
  <x:pageMargins left="0.7" right="0.7" top="0.75" bottom="0.75" header="0.3" footer="0.3"/>
  <x:drawing xmlns:r="http://schemas.openxmlformats.org/officeDocument/2006/relationships" r:id="Re456e3bf51d14af9"/>
</x:worksheet>
</file>

<file path=xl/worksheets/sheet2.xml><?xml version="1.0" encoding="utf-8"?>
<x:worksheet xmlns:x="http://schemas.openxmlformats.org/spreadsheetml/2006/main">
  <x:sheetPr>
    <x:tabColor rgb="FF203B6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51" hidden="0" customWidth="1"/>
    <x:col min="3" max="3" width="27" hidden="0" customWidth="1"/>
    <x:col min="4" max="4" width="17" hidden="0" customWidth="1"/>
    <x:col min="5" max="5" width="20" hidden="0" customWidth="1"/>
    <x:col min="6" max="6" width="23" hidden="0" customWidth="1"/>
    <x:col min="7" max="7" width="23" hidden="0" customWidth="1"/>
    <x:col min="8" max="8" width="21" hidden="0" customWidth="1"/>
    <x:col min="9" max="9" width="24" hidden="0" customWidth="1"/>
    <x:col min="10" max="10" width="21" hidden="0" customWidth="1"/>
    <x:col min="11" max="11" width="22" hidden="0" customWidth="1"/>
    <x:col min="12" max="12" width="23" hidden="0" customWidth="1"/>
    <x:col min="13" max="13" width="21" hidden="0" customWidth="1"/>
    <x:col min="14" max="14" width="25" hidden="0" customWidth="1"/>
    <x:col min="15" max="15" width="27" hidden="0" customWidth="1"/>
    <x:col min="16" max="16" width="19" hidden="0" customWidth="1"/>
    <x:col min="17" max="17" width="31" hidden="0" customWidth="1"/>
  </x:cols>
  <x:sheetData>
    <x:row r="2" ht="28" customHeight="1">
      <x:c r="A2" s="4" t="str">
        <x:v>UK CPD and continuing education: all HESA providers</x:v>
      </x:c>
      <x:c r="B2" s="4" t="str">
        <x:v>UK CPD and continuing education: all HESA providers</x:v>
      </x:c>
      <x:c r="C2" s="4" t="str">
        <x:v>UK CPD and continuing education: all HESA providers</x:v>
      </x:c>
      <x:c r="D2" s="4" t="str">
        <x:v>UK CPD and continuing education: all HESA providers</x:v>
      </x:c>
      <x:c r="E2" s="4" t="str">
        <x:v>UK CPD and continuing education: all HESA providers</x:v>
      </x:c>
      <x:c r="F2" s="4" t="str">
        <x:v>UK CPD and continuing education: all HESA providers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36" customHeight="1">
      <x:c r="A3" s="6" t="str">
        <x:v>Source: user-supplied HESA HE-BCI Table 2b, dt032-table-2b.csv. Actual data: 2024/25 only; 206 HE providers. Raw income inputs in GBP thousands.</x:v>
      </x:c>
      <x:c r="B3" s="6" t="str">
        <x:v>Source: user-supplied HESA HE-BCI Table 2b, dt032-table-2b.csv. Actual data: 2024/25 only; 206 HE providers. Raw income inputs in GBP thousands.</x:v>
      </x:c>
      <x:c r="C3" s="6" t="str">
        <x:v>Source: user-supplied HESA HE-BCI Table 2b, dt032-table-2b.csv. Actual data: 2024/25 only; 206 HE providers. Raw income inputs in GBP thousands.</x:v>
      </x:c>
      <x:c r="D3" s="6" t="str">
        <x:v>Source: user-supplied HESA HE-BCI Table 2b, dt032-table-2b.csv. Actual data: 2024/25 only; 206 HE providers. Raw income inputs in GBP thousands.</x:v>
      </x:c>
      <x:c r="E3" s="6" t="str">
        <x:v>Source: user-supplied HESA HE-BCI Table 2b, dt032-table-2b.csv. Actual data: 2024/25 only; 206 HE providers. Raw income inputs in GBP thousands.</x:v>
      </x:c>
      <x:c r="F3" s="6" t="str">
        <x:v>Source: user-supplied HESA HE-BCI Table 2b, dt032-table-2b.csv. Actual data: 2024/25 only; 206 HE providers. Raw income inputs in GBP thousands.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36" customHeight="1">
      <x:c r="A4" s="6" t="str">
        <x:v>Learner days are rounded reported figures; zero days with income do not prove no learners. Published Total is a separate control, excluded from provider sums. CPD/CE does not capture every lifelong-learning activity.</x:v>
      </x:c>
      <x:c r="B4" s="6" t="str">
        <x:v>Learner days are rounded reported figures; zero days with income do not prove no learners. Published Total is a separate control, excluded from provider sums. CPD/CE does not capture every lifelong-learning activity.</x:v>
      </x:c>
      <x:c r="C4" s="6" t="str">
        <x:v>Learner days are rounded reported figures; zero days with income do not prove no learners. Published Total is a separate control, excluded from provider sums. CPD/CE does not capture every lifelong-learning activity.</x:v>
      </x:c>
      <x:c r="D4" s="6" t="str">
        <x:v>Learner days are rounded reported figures; zero days with income do not prove no learners. Published Total is a separate control, excluded from provider sums. CPD/CE does not capture every lifelong-learning activity.</x:v>
      </x:c>
      <x:c r="E4" s="6" t="str">
        <x:v>Learner days are rounded reported figures; zero days with income do not prove no learners. Published Total is a separate control, excluded from provider sums. CPD/CE does not capture every lifelong-learning activity.</x:v>
      </x:c>
      <x:c r="F4" s="6" t="str">
        <x:v>Learner days are rounded reported figures; zero days with income do not prove no learners. Published Total is a separate control, excluded from provider sums. CPD/CE does not capture every lifelong-learning activity.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0" customHeight="1">
      <x:c r="A6" s="9" t="str">
        <x:v>UKPRN</x:v>
      </x:c>
      <x:c r="B6" s="9" t="str">
        <x:v>HESA provider name</x:v>
      </x:c>
      <x:c r="C6" s="9" t="str">
        <x:v>Research cohort</x:v>
      </x:c>
      <x:c r="D6" s="9" t="str">
        <x:v>Academic year</x:v>
      </x:c>
      <x:c r="E6" s="9" t="str">
        <x:v>SMEs (£000)</x:v>
      </x:c>
      <x:c r="F6" s="9" t="str">
        <x:v>Other commercial (£000)</x:v>
      </x:c>
      <x:c r="G6" s="9" t="str">
        <x:v>Non-commercial (£000)</x:v>
      </x:c>
      <x:c r="H6" s="9" t="str">
        <x:v>Individuals (£000)</x:v>
      </x:c>
      <x:c r="I6" s="9" t="str">
        <x:v>Total CPD/CE (£000)</x:v>
      </x:c>
      <x:c r="J6" s="9" t="str">
        <x:v>Learner days</x:v>
      </x:c>
      <x:c r="K6" s="9" t="str">
        <x:v>Total income (£m)</x:v>
      </x:c>
      <x:c r="L6" s="9" t="str">
        <x:v>Organisations (£m)</x:v>
      </x:c>
      <x:c r="M6" s="9" t="str">
        <x:v>Individuals share</x:v>
      </x:c>
      <x:c r="N6" s="9" t="str">
        <x:v>Income per learner day (£)</x:v>
      </x:c>
      <x:c r="O6" s="9" t="str">
        <x:v>Components − total (£000)</x:v>
      </x:c>
      <x:c r="P6" s="9" t="str">
        <x:v>Revenue rank</x:v>
      </x:c>
      <x:c r="Q6" s="9" t="str">
        <x:v>Chart label</x:v>
      </x:c>
    </x:row>
    <x:row r="7" ht="46" customHeight="1">
      <x:c r="A7" s="10" t="str">
        <x:v>10007769</x:v>
      </x:c>
      <x:c r="B7" s="11" t="str">
        <x:v>London Business School</x:v>
      </x:c>
      <x:c r="C7" s="10" t="str">
        <x:v>Other HE provider</x:v>
      </x:c>
      <x:c r="D7" s="10" t="str">
        <x:v>2024/25</x:v>
      </x:c>
      <x:c r="E7" s="18" t="n">
        <x:v>0</x:v>
      </x:c>
      <x:c r="F7" s="18" t="n">
        <x:v>27000</x:v>
      </x:c>
      <x:c r="G7" s="18" t="n">
        <x:v>11000</x:v>
      </x:c>
      <x:c r="H7" s="18" t="n">
        <x:v>32000</x:v>
      </x:c>
      <x:c r="I7" s="18" t="n">
        <x:v>70000</x:v>
      </x:c>
      <x:c r="J7" s="18" t="n">
        <x:v>67600</x:v>
      </x:c>
      <x:c r="K7" s="19" t="n">
        <x:f>I7/1000</x:f>
        <x:v>70</x:v>
      </x:c>
      <x:c r="L7" s="19" t="n">
        <x:f>SUM(E7:G7)/1000</x:f>
        <x:v>38</x:v>
      </x:c>
      <x:c r="M7" s="20" t="n">
        <x:f>IF(I7=0,"n.a.",H7/I7)</x:f>
        <x:v>0.45714285714285713</x:v>
      </x:c>
      <x:c r="N7" s="18" t="n">
        <x:f>IF(J7=0,"n.a.",I7*1000/J7)</x:f>
        <x:v>1035.5029585798816</x:v>
      </x:c>
      <x:c r="O7" s="18" t="n">
        <x:f>SUM(E7:H7)-I7</x:f>
        <x:v>0</x:v>
      </x:c>
      <x:c r="P7" s="18" t="n">
        <x:f>RANK(I7,$I$7:$I$212,0)+COUNTIF($I$7:I7,I7)-1</x:f>
        <x:v>1</x:v>
      </x:c>
      <x:c r="Q7" s="10" t="str">
        <x:v>London Business School</x:v>
      </x:c>
    </x:row>
    <x:row r="8" ht="46" customHeight="1">
      <x:c r="A8" s="10" t="str">
        <x:v>10007774</x:v>
      </x:c>
      <x:c r="B8" s="11" t="str">
        <x:v>The University of Oxford</x:v>
      </x:c>
      <x:c r="C8" s="10" t="str">
        <x:v>Russell Group</x:v>
      </x:c>
      <x:c r="D8" s="10" t="str">
        <x:v>2024/25</x:v>
      </x:c>
      <x:c r="E8" s="18" t="n">
        <x:v>3704</x:v>
      </x:c>
      <x:c r="F8" s="18" t="n">
        <x:v>21117</x:v>
      </x:c>
      <x:c r="G8" s="18" t="n">
        <x:v>5725</x:v>
      </x:c>
      <x:c r="H8" s="18" t="n">
        <x:v>14186</x:v>
      </x:c>
      <x:c r="I8" s="18" t="n">
        <x:v>44732</x:v>
      </x:c>
      <x:c r="J8" s="18" t="n">
        <x:v>42976</x:v>
      </x:c>
      <x:c r="K8" s="19" t="n">
        <x:f>I8/1000</x:f>
        <x:v>44.732</x:v>
      </x:c>
      <x:c r="L8" s="19" t="n">
        <x:f>SUM(E8:G8)/1000</x:f>
        <x:v>30.546</x:v>
      </x:c>
      <x:c r="M8" s="20" t="n">
        <x:f>IF(I8=0,"n.a.",H8/I8)</x:f>
        <x:v>0.31713314852901725</x:v>
      </x:c>
      <x:c r="N8" s="18" t="n">
        <x:f>IF(J8=0,"n.a.",I8*1000/J8)</x:f>
        <x:v>1040.8600148920327</x:v>
      </x:c>
      <x:c r="O8" s="18" t="n">
        <x:f>SUM(E8:H8)-I8</x:f>
        <x:v>0</x:v>
      </x:c>
      <x:c r="P8" s="18" t="n">
        <x:f>RANK(I8,$I$7:$I$212,0)+COUNTIF($I$7:I8,I8)-1</x:f>
        <x:v>2</x:v>
      </x:c>
      <x:c r="Q8" s="10" t="str">
        <x:v>Oxford</x:v>
      </x:c>
    </x:row>
    <x:row r="9" ht="46" customHeight="1">
      <x:c r="A9" s="10" t="str">
        <x:v>10007788</x:v>
      </x:c>
      <x:c r="B9" s="11" t="str">
        <x:v>The University of Cambridge</x:v>
      </x:c>
      <x:c r="C9" s="10" t="str">
        <x:v>Russell Group</x:v>
      </x:c>
      <x:c r="D9" s="10" t="str">
        <x:v>2024/25</x:v>
      </x:c>
      <x:c r="E9" s="18" t="n">
        <x:v>1968</x:v>
      </x:c>
      <x:c r="F9" s="18" t="n">
        <x:v>21032</x:v>
      </x:c>
      <x:c r="G9" s="18" t="n">
        <x:v>7061</x:v>
      </x:c>
      <x:c r="H9" s="18" t="n">
        <x:v>12682</x:v>
      </x:c>
      <x:c r="I9" s="18" t="n">
        <x:v>42743</x:v>
      </x:c>
      <x:c r="J9" s="18" t="n">
        <x:v>67144</x:v>
      </x:c>
      <x:c r="K9" s="19" t="n">
        <x:f>I9/1000</x:f>
        <x:v>42.743</x:v>
      </x:c>
      <x:c r="L9" s="19" t="n">
        <x:f>SUM(E9:G9)/1000</x:f>
        <x:v>30.061</x:v>
      </x:c>
      <x:c r="M9" s="20" t="n">
        <x:f>IF(I9=0,"n.a.",H9/I9)</x:f>
        <x:v>0.2967035537982828</x:v>
      </x:c>
      <x:c r="N9" s="18" t="n">
        <x:f>IF(J9=0,"n.a.",I9*1000/J9)</x:f>
        <x:v>636.5870368163946</x:v>
      </x:c>
      <x:c r="O9" s="18" t="n">
        <x:f>SUM(E9:H9)-I9</x:f>
        <x:v>0</x:v>
      </x:c>
      <x:c r="P9" s="18" t="n">
        <x:f>RANK(I9,$I$7:$I$212,0)+COUNTIF($I$7:I9,I9)-1</x:f>
        <x:v>3</x:v>
      </x:c>
      <x:c r="Q9" s="10" t="str">
        <x:v>Cambridge</x:v>
      </x:c>
    </x:row>
    <x:row r="10" ht="46" customHeight="1">
      <x:c r="A10" s="10" t="str">
        <x:v>10003645</x:v>
      </x:c>
      <x:c r="B10" s="11" t="str">
        <x:v>King's College London</x:v>
      </x:c>
      <x:c r="C10" s="10" t="str">
        <x:v>Russell Group</x:v>
      </x:c>
      <x:c r="D10" s="10" t="str">
        <x:v>2024/25</x:v>
      </x:c>
      <x:c r="E10" s="18" t="n">
        <x:v>211</x:v>
      </x:c>
      <x:c r="F10" s="18" t="n">
        <x:v>2446</x:v>
      </x:c>
      <x:c r="G10" s="18" t="n">
        <x:v>23909</x:v>
      </x:c>
      <x:c r="H10" s="18" t="n">
        <x:v>14378</x:v>
      </x:c>
      <x:c r="I10" s="18" t="n">
        <x:v>40944</x:v>
      </x:c>
      <x:c r="J10" s="18" t="n">
        <x:v>140204</x:v>
      </x:c>
      <x:c r="K10" s="19" t="n">
        <x:f>I10/1000</x:f>
        <x:v>40.944</x:v>
      </x:c>
      <x:c r="L10" s="19" t="n">
        <x:f>SUM(E10:G10)/1000</x:f>
        <x:v>26.566</x:v>
      </x:c>
      <x:c r="M10" s="20" t="n">
        <x:f>IF(I10=0,"n.a.",H10/I10)</x:f>
        <x:v>0.3511625635013677</x:v>
      </x:c>
      <x:c r="N10" s="18" t="n">
        <x:f>IF(J10=0,"n.a.",I10*1000/J10)</x:f>
        <x:v>292.03161108099624</x:v>
      </x:c>
      <x:c r="O10" s="18" t="n">
        <x:f>SUM(E10:H10)-I10</x:f>
        <x:v>0</x:v>
      </x:c>
      <x:c r="P10" s="18" t="n">
        <x:f>RANK(I10,$I$7:$I$212,0)+COUNTIF($I$7:I10,I10)-1</x:f>
        <x:v>4</x:v>
      </x:c>
      <x:c r="Q10" s="10" t="str">
        <x:v>King’s College London</x:v>
      </x:c>
    </x:row>
    <x:row r="11" ht="46" customHeight="1">
      <x:c r="A11" s="10" t="str">
        <x:v>10004063</x:v>
      </x:c>
      <x:c r="B11" s="11" t="str">
        <x:v>London School of Economics and Political Science</x:v>
      </x:c>
      <x:c r="C11" s="10" t="str">
        <x:v>Russell Group</x:v>
      </x:c>
      <x:c r="D11" s="10" t="str">
        <x:v>2024/25</x:v>
      </x:c>
      <x:c r="E11" s="18" t="n">
        <x:v>57</x:v>
      </x:c>
      <x:c r="F11" s="18" t="n">
        <x:v>1341</x:v>
      </x:c>
      <x:c r="G11" s="18" t="n">
        <x:v>2348</x:v>
      </x:c>
      <x:c r="H11" s="18" t="n">
        <x:v>30030</x:v>
      </x:c>
      <x:c r="I11" s="18" t="n">
        <x:v>33776</x:v>
      </x:c>
      <x:c r="J11" s="18" t="n">
        <x:v>71917</x:v>
      </x:c>
      <x:c r="K11" s="19" t="n">
        <x:f>I11/1000</x:f>
        <x:v>33.776</x:v>
      </x:c>
      <x:c r="L11" s="19" t="n">
        <x:f>SUM(E11:G11)/1000</x:f>
        <x:v>3.746</x:v>
      </x:c>
      <x:c r="M11" s="20" t="n">
        <x:f>IF(I11=0,"n.a.",H11/I11)</x:f>
        <x:v>0.8890928469919469</x:v>
      </x:c>
      <x:c r="N11" s="18" t="n">
        <x:f>IF(J11=0,"n.a.",I11*1000/J11)</x:f>
        <x:v>469.65251609494277</x:v>
      </x:c>
      <x:c r="O11" s="18" t="n">
        <x:f>SUM(E11:H11)-I11</x:f>
        <x:v>0</x:v>
      </x:c>
      <x:c r="P11" s="18" t="n">
        <x:f>RANK(I11,$I$7:$I$212,0)+COUNTIF($I$7:I11,I11)-1</x:f>
        <x:v>5</x:v>
      </x:c>
      <x:c r="Q11" s="10" t="str">
        <x:v>London School of Economics</x:v>
      </x:c>
    </x:row>
    <x:row r="12" ht="46" customHeight="1">
      <x:c r="A12" s="10" t="str">
        <x:v>10007798</x:v>
      </x:c>
      <x:c r="B12" s="11" t="str">
        <x:v>The University of Manchester</x:v>
      </x:c>
      <x:c r="C12" s="10" t="str">
        <x:v>Russell Group</x:v>
      </x:c>
      <x:c r="D12" s="10" t="str">
        <x:v>2024/25</x:v>
      </x:c>
      <x:c r="E12" s="18" t="n">
        <x:v>560</x:v>
      </x:c>
      <x:c r="F12" s="18" t="n">
        <x:v>3063</x:v>
      </x:c>
      <x:c r="G12" s="18" t="n">
        <x:v>9581</x:v>
      </x:c>
      <x:c r="H12" s="18" t="n">
        <x:v>9676</x:v>
      </x:c>
      <x:c r="I12" s="18" t="n">
        <x:v>22880</x:v>
      </x:c>
      <x:c r="J12" s="18" t="n">
        <x:v>323834</x:v>
      </x:c>
      <x:c r="K12" s="19" t="n">
        <x:f>I12/1000</x:f>
        <x:v>22.88</x:v>
      </x:c>
      <x:c r="L12" s="19" t="n">
        <x:f>SUM(E12:G12)/1000</x:f>
        <x:v>13.204</x:v>
      </x:c>
      <x:c r="M12" s="20" t="n">
        <x:f>IF(I12=0,"n.a.",H12/I12)</x:f>
        <x:v>0.42290209790209793</x:v>
      </x:c>
      <x:c r="N12" s="18" t="n">
        <x:f>IF(J12=0,"n.a.",I12*1000/J12)</x:f>
        <x:v>70.65348295731764</x:v>
      </x:c>
      <x:c r="O12" s="18" t="n">
        <x:f>SUM(E12:H12)-I12</x:f>
        <x:v>0</x:v>
      </x:c>
      <x:c r="P12" s="18" t="n">
        <x:f>RANK(I12,$I$7:$I$212,0)+COUNTIF($I$7:I12,I12)-1</x:f>
        <x:v>6</x:v>
      </x:c>
      <x:c r="Q12" s="10" t="str">
        <x:v>Manchester</x:v>
      </x:c>
    </x:row>
    <x:row r="13" ht="46" customHeight="1">
      <x:c r="A13" s="10" t="str">
        <x:v>10007822</x:v>
      </x:c>
      <x:c r="B13" s="11" t="str">
        <x:v>Cranfield University</x:v>
      </x:c>
      <x:c r="C13" s="10" t="str">
        <x:v>Other HE provider</x:v>
      </x:c>
      <x:c r="D13" s="10" t="str">
        <x:v>2024/25</x:v>
      </x:c>
      <x:c r="E13" s="18" t="n">
        <x:v>331</x:v>
      </x:c>
      <x:c r="F13" s="18" t="n">
        <x:v>10978</x:v>
      </x:c>
      <x:c r="G13" s="18" t="n">
        <x:v>7770</x:v>
      </x:c>
      <x:c r="H13" s="18" t="n">
        <x:v>150</x:v>
      </x:c>
      <x:c r="I13" s="18" t="n">
        <x:v>19229</x:v>
      </x:c>
      <x:c r="J13" s="18" t="n">
        <x:v>39697</x:v>
      </x:c>
      <x:c r="K13" s="19" t="n">
        <x:f>I13/1000</x:f>
        <x:v>19.229</x:v>
      </x:c>
      <x:c r="L13" s="19" t="n">
        <x:f>SUM(E13:G13)/1000</x:f>
        <x:v>19.079</x:v>
      </x:c>
      <x:c r="M13" s="20" t="n">
        <x:f>IF(I13=0,"n.a.",H13/I13)</x:f>
        <x:v>0.007800717666025274</x:v>
      </x:c>
      <x:c r="N13" s="18" t="n">
        <x:f>IF(J13=0,"n.a.",I13*1000/J13)</x:f>
        <x:v>484.39428672191855</x:v>
      </x:c>
      <x:c r="O13" s="18" t="n">
        <x:f>SUM(E13:H13)-I13</x:f>
        <x:v>0</x:v>
      </x:c>
      <x:c r="P13" s="18" t="n">
        <x:f>RANK(I13,$I$7:$I$212,0)+COUNTIF($I$7:I13,I13)-1</x:f>
        <x:v>7</x:v>
      </x:c>
      <x:c r="Q13" s="10" t="str">
        <x:v>Cranfield</x:v>
      </x:c>
    </x:row>
    <x:row r="14" ht="46" customHeight="1">
      <x:c r="A14" s="10" t="str">
        <x:v>10007805</x:v>
      </x:c>
      <x:c r="B14" s="11" t="str">
        <x:v>The University of Strathclyde</x:v>
      </x:c>
      <x:c r="C14" s="10" t="str">
        <x:v>Additional UK sample</x:v>
      </x:c>
      <x:c r="D14" s="10" t="str">
        <x:v>2024/25</x:v>
      </x:c>
      <x:c r="E14" s="18" t="n">
        <x:v>280</x:v>
      </x:c>
      <x:c r="F14" s="18" t="n">
        <x:v>1714</x:v>
      </x:c>
      <x:c r="G14" s="18" t="n">
        <x:v>7453</x:v>
      </x:c>
      <x:c r="H14" s="18" t="n">
        <x:v>7681</x:v>
      </x:c>
      <x:c r="I14" s="18" t="n">
        <x:v>17128</x:v>
      </x:c>
      <x:c r="J14" s="18" t="n">
        <x:v>0</x:v>
      </x:c>
      <x:c r="K14" s="19" t="n">
        <x:f>I14/1000</x:f>
        <x:v>17.128</x:v>
      </x:c>
      <x:c r="L14" s="19" t="n">
        <x:f>SUM(E14:G14)/1000</x:f>
        <x:v>9.447</x:v>
      </x:c>
      <x:c r="M14" s="20" t="n">
        <x:f>IF(I14=0,"n.a.",H14/I14)</x:f>
        <x:v>0.4484469873890705</x:v>
      </x:c>
      <x:c r="N14" s="18" t="str">
        <x:f>IF(J14=0,"n.a.",I14*1000/J14)</x:f>
        <x:v>n.a.</x:v>
      </x:c>
      <x:c r="O14" s="18" t="n">
        <x:f>SUM(E14:H14)-I14</x:f>
        <x:v>0</x:v>
      </x:c>
      <x:c r="P14" s="18" t="n">
        <x:f>RANK(I14,$I$7:$I$212,0)+COUNTIF($I$7:I14,I14)-1</x:f>
        <x:v>8</x:v>
      </x:c>
      <x:c r="Q14" s="10" t="str">
        <x:v>Strathclyde</x:v>
      </x:c>
    </x:row>
    <x:row r="15" ht="46" customHeight="1">
      <x:c r="A15" s="10" t="str">
        <x:v>10007784</x:v>
      </x:c>
      <x:c r="B15" s="11" t="str">
        <x:v>University College London</x:v>
      </x:c>
      <x:c r="C15" s="10" t="str">
        <x:v>Russell Group</x:v>
      </x:c>
      <x:c r="D15" s="10" t="str">
        <x:v>2024/25</x:v>
      </x:c>
      <x:c r="E15" s="18" t="n">
        <x:v>591</x:v>
      </x:c>
      <x:c r="F15" s="18" t="n">
        <x:v>1486</x:v>
      </x:c>
      <x:c r="G15" s="18" t="n">
        <x:v>435</x:v>
      </x:c>
      <x:c r="H15" s="18" t="n">
        <x:v>14225</x:v>
      </x:c>
      <x:c r="I15" s="18" t="n">
        <x:v>16737</x:v>
      </x:c>
      <x:c r="J15" s="18" t="n">
        <x:v>85424</x:v>
      </x:c>
      <x:c r="K15" s="19" t="n">
        <x:f>I15/1000</x:f>
        <x:v>16.737</x:v>
      </x:c>
      <x:c r="L15" s="19" t="n">
        <x:f>SUM(E15:G15)/1000</x:f>
        <x:v>2.512</x:v>
      </x:c>
      <x:c r="M15" s="20" t="n">
        <x:f>IF(I15=0,"n.a.",H15/I15)</x:f>
        <x:v>0.8499133655971799</x:v>
      </x:c>
      <x:c r="N15" s="18" t="n">
        <x:f>IF(J15=0,"n.a.",I15*1000/J15)</x:f>
        <x:v>195.92854467128674</x:v>
      </x:c>
      <x:c r="O15" s="18" t="n">
        <x:f>SUM(E15:H15)-I15</x:f>
        <x:v>0</x:v>
      </x:c>
      <x:c r="P15" s="18" t="n">
        <x:f>RANK(I15,$I$7:$I$212,0)+COUNTIF($I$7:I15,I15)-1</x:f>
        <x:v>9</x:v>
      </x:c>
      <x:c r="Q15" s="10" t="str">
        <x:v>UCL</x:v>
      </x:c>
    </x:row>
    <x:row r="16" ht="46" customHeight="1">
      <x:c r="A16" s="10" t="str">
        <x:v>10007141</x:v>
      </x:c>
      <x:c r="B16" s="11" t="str">
        <x:v>University of Lancashire</x:v>
      </x:c>
      <x:c r="C16" s="10" t="str">
        <x:v>Other HE provider</x:v>
      </x:c>
      <x:c r="D16" s="10" t="str">
        <x:v>2024/25</x:v>
      </x:c>
      <x:c r="E16" s="18" t="n">
        <x:v>299</x:v>
      </x:c>
      <x:c r="F16" s="18" t="n">
        <x:v>1067</x:v>
      </x:c>
      <x:c r="G16" s="18" t="n">
        <x:v>14112</x:v>
      </x:c>
      <x:c r="H16" s="18" t="n">
        <x:v>787</x:v>
      </x:c>
      <x:c r="I16" s="18" t="n">
        <x:v>16265</x:v>
      </x:c>
      <x:c r="J16" s="18" t="n">
        <x:v>90361</x:v>
      </x:c>
      <x:c r="K16" s="19" t="n">
        <x:f>I16/1000</x:f>
        <x:v>16.265</x:v>
      </x:c>
      <x:c r="L16" s="19" t="n">
        <x:f>SUM(E16:G16)/1000</x:f>
        <x:v>15.478</x:v>
      </x:c>
      <x:c r="M16" s="20" t="n">
        <x:f>IF(I16=0,"n.a.",H16/I16)</x:f>
        <x:v>0.04838610513372272</x:v>
      </x:c>
      <x:c r="N16" s="18" t="n">
        <x:f>IF(J16=0,"n.a.",I16*1000/J16)</x:f>
        <x:v>180.00022133442525</x:v>
      </x:c>
      <x:c r="O16" s="18" t="n">
        <x:f>SUM(E16:H16)-I16</x:f>
        <x:v>0</x:v>
      </x:c>
      <x:c r="P16" s="18" t="n">
        <x:f>RANK(I16,$I$7:$I$212,0)+COUNTIF($I$7:I16,I16)-1</x:f>
        <x:v>10</x:v>
      </x:c>
      <x:c r="Q16" s="10" t="str">
        <x:v>Lancashire</x:v>
      </x:c>
    </x:row>
    <x:row r="17" ht="46" customHeight="1">
      <x:c r="A17" s="10" t="str">
        <x:v>10007790</x:v>
      </x:c>
      <x:c r="B17" s="11" t="str">
        <x:v>The University of Edinburgh</x:v>
      </x:c>
      <x:c r="C17" s="10" t="str">
        <x:v>Russell Group</x:v>
      </x:c>
      <x:c r="D17" s="10" t="str">
        <x:v>2024/25</x:v>
      </x:c>
      <x:c r="E17" s="18" t="n">
        <x:v>0</x:v>
      </x:c>
      <x:c r="F17" s="18" t="n">
        <x:v>0</x:v>
      </x:c>
      <x:c r="G17" s="18" t="n">
        <x:v>0</x:v>
      </x:c>
      <x:c r="H17" s="18" t="n">
        <x:v>15702</x:v>
      </x:c>
      <x:c r="I17" s="18" t="n">
        <x:v>15702</x:v>
      </x:c>
      <x:c r="J17" s="18" t="n">
        <x:v>0</x:v>
      </x:c>
      <x:c r="K17" s="19" t="n">
        <x:f>I17/1000</x:f>
        <x:v>15.702</x:v>
      </x:c>
      <x:c r="L17" s="19" t="n">
        <x:f>SUM(E17:G17)/1000</x:f>
        <x:v>0</x:v>
      </x:c>
      <x:c r="M17" s="20" t="n">
        <x:f>IF(I17=0,"n.a.",H17/I17)</x:f>
        <x:v>1</x:v>
      </x:c>
      <x:c r="N17" s="18" t="str">
        <x:f>IF(J17=0,"n.a.",I17*1000/J17)</x:f>
        <x:v>n.a.</x:v>
      </x:c>
      <x:c r="O17" s="18" t="n">
        <x:f>SUM(E17:H17)-I17</x:f>
        <x:v>0</x:v>
      </x:c>
      <x:c r="P17" s="18" t="n">
        <x:f>RANK(I17,$I$7:$I$212,0)+COUNTIF($I$7:I17,I17)-1</x:f>
        <x:v>11</x:v>
      </x:c>
      <x:c r="Q17" s="10" t="str">
        <x:v>Edinburgh</x:v>
      </x:c>
    </x:row>
    <x:row r="18" ht="46" customHeight="1">
      <x:c r="A18" s="10" t="str">
        <x:v>10003270</x:v>
      </x:c>
      <x:c r="B18" s="11" t="str">
        <x:v>Imperial College of Science, Technology and Medicine</x:v>
      </x:c>
      <x:c r="C18" s="10" t="str">
        <x:v>Russell Group</x:v>
      </x:c>
      <x:c r="D18" s="10" t="str">
        <x:v>2024/25</x:v>
      </x:c>
      <x:c r="E18" s="18" t="n">
        <x:v>3</x:v>
      </x:c>
      <x:c r="F18" s="18" t="n">
        <x:v>4632</x:v>
      </x:c>
      <x:c r="G18" s="18" t="n">
        <x:v>951</x:v>
      </x:c>
      <x:c r="H18" s="18" t="n">
        <x:v>9964</x:v>
      </x:c>
      <x:c r="I18" s="18" t="n">
        <x:v>15550</x:v>
      </x:c>
      <x:c r="J18" s="18" t="n">
        <x:v>137817</x:v>
      </x:c>
      <x:c r="K18" s="19" t="n">
        <x:f>I18/1000</x:f>
        <x:v>15.55</x:v>
      </x:c>
      <x:c r="L18" s="19" t="n">
        <x:f>SUM(E18:G18)/1000</x:f>
        <x:v>5.586</x:v>
      </x:c>
      <x:c r="M18" s="20" t="n">
        <x:f>IF(I18=0,"n.a.",H18/I18)</x:f>
        <x:v>0.6407717041800643</x:v>
      </x:c>
      <x:c r="N18" s="18" t="n">
        <x:f>IF(J18=0,"n.a.",I18*1000/J18)</x:f>
        <x:v>112.830782849721</x:v>
      </x:c>
      <x:c r="O18" s="18" t="n">
        <x:f>SUM(E18:H18)-I18</x:f>
        <x:v>0</x:v>
      </x:c>
      <x:c r="P18" s="18" t="n">
        <x:f>RANK(I18,$I$7:$I$212,0)+COUNTIF($I$7:I18,I18)-1</x:f>
        <x:v>12</x:v>
      </x:c>
      <x:c r="Q18" s="10" t="str">
        <x:v>Imperial College London</x:v>
      </x:c>
    </x:row>
    <x:row r="19" ht="46" customHeight="1">
      <x:c r="A19" s="10" t="str">
        <x:v>10007775</x:v>
      </x:c>
      <x:c r="B19" s="11" t="str">
        <x:v>Queen Mary University of London</x:v>
      </x:c>
      <x:c r="C19" s="10" t="str">
        <x:v>Russell Group</x:v>
      </x:c>
      <x:c r="D19" s="10" t="str">
        <x:v>2024/25</x:v>
      </x:c>
      <x:c r="E19" s="18" t="n">
        <x:v>4</x:v>
      </x:c>
      <x:c r="F19" s="18" t="n">
        <x:v>9</x:v>
      </x:c>
      <x:c r="G19" s="18" t="n">
        <x:v>0</x:v>
      </x:c>
      <x:c r="H19" s="18" t="n">
        <x:v>11965</x:v>
      </x:c>
      <x:c r="I19" s="18" t="n">
        <x:v>11978</x:v>
      </x:c>
      <x:c r="J19" s="18" t="n">
        <x:v>0</x:v>
      </x:c>
      <x:c r="K19" s="19" t="n">
        <x:f>I19/1000</x:f>
        <x:v>11.978</x:v>
      </x:c>
      <x:c r="L19" s="19" t="n">
        <x:f>SUM(E19:G19)/1000</x:f>
        <x:v>0.013</x:v>
      </x:c>
      <x:c r="M19" s="20" t="n">
        <x:f>IF(I19=0,"n.a.",H19/I19)</x:f>
        <x:v>0.998914676907664</x:v>
      </x:c>
      <x:c r="N19" s="18" t="str">
        <x:f>IF(J19=0,"n.a.",I19*1000/J19)</x:f>
        <x:v>n.a.</x:v>
      </x:c>
      <x:c r="O19" s="18" t="n">
        <x:f>SUM(E19:H19)-I19</x:f>
        <x:v>0</x:v>
      </x:c>
      <x:c r="P19" s="18" t="n">
        <x:f>RANK(I19,$I$7:$I$212,0)+COUNTIF($I$7:I19,I19)-1</x:f>
        <x:v>13</x:v>
      </x:c>
      <x:c r="Q19" s="10" t="str">
        <x:v>Queen Mary University of London</x:v>
      </x:c>
    </x:row>
    <x:row r="20" ht="46" customHeight="1">
      <x:c r="A20" s="10" t="str">
        <x:v>10007802</x:v>
      </x:c>
      <x:c r="B20" s="11" t="str">
        <x:v>The University of Reading</x:v>
      </x:c>
      <x:c r="C20" s="10" t="str">
        <x:v>Additional UK sample</x:v>
      </x:c>
      <x:c r="D20" s="10" t="str">
        <x:v>2024/25</x:v>
      </x:c>
      <x:c r="E20" s="18" t="n">
        <x:v>0</x:v>
      </x:c>
      <x:c r="F20" s="18" t="n">
        <x:v>11763</x:v>
      </x:c>
      <x:c r="G20" s="18" t="n">
        <x:v>0</x:v>
      </x:c>
      <x:c r="H20" s="18" t="n">
        <x:v>205</x:v>
      </x:c>
      <x:c r="I20" s="18" t="n">
        <x:v>11968</x:v>
      </x:c>
      <x:c r="J20" s="18" t="n">
        <x:v>16548</x:v>
      </x:c>
      <x:c r="K20" s="19" t="n">
        <x:f>I20/1000</x:f>
        <x:v>11.968</x:v>
      </x:c>
      <x:c r="L20" s="19" t="n">
        <x:f>SUM(E20:G20)/1000</x:f>
        <x:v>11.763</x:v>
      </x:c>
      <x:c r="M20" s="20" t="n">
        <x:f>IF(I20=0,"n.a.",H20/I20)</x:f>
        <x:v>0.017129010695187165</x:v>
      </x:c>
      <x:c r="N20" s="18" t="n">
        <x:f>IF(J20=0,"n.a.",I20*1000/J20)</x:f>
        <x:v>723.2293932801547</x:v>
      </x:c>
      <x:c r="O20" s="18" t="n">
        <x:f>SUM(E20:H20)-I20</x:f>
        <x:v>0</x:v>
      </x:c>
      <x:c r="P20" s="18" t="n">
        <x:f>RANK(I20,$I$7:$I$212,0)+COUNTIF($I$7:I20,I20)-1</x:f>
        <x:v>14</x:v>
      </x:c>
      <x:c r="Q20" s="10" t="str">
        <x:v>Reading</x:v>
      </x:c>
    </x:row>
    <x:row r="21" ht="46" customHeight="1">
      <x:c r="A21" s="10" t="str">
        <x:v>10000291</x:v>
      </x:c>
      <x:c r="B21" s="11" t="str">
        <x:v>Anglia Ruskin University</x:v>
      </x:c>
      <x:c r="C21" s="10" t="str">
        <x:v>Other HE provider</x:v>
      </x:c>
      <x:c r="D21" s="10" t="str">
        <x:v>2024/25</x:v>
      </x:c>
      <x:c r="E21" s="18" t="n">
        <x:v>942</x:v>
      </x:c>
      <x:c r="F21" s="18" t="n">
        <x:v>2825</x:v>
      </x:c>
      <x:c r="G21" s="18" t="n">
        <x:v>7768</x:v>
      </x:c>
      <x:c r="H21" s="18" t="n">
        <x:v>235</x:v>
      </x:c>
      <x:c r="I21" s="18" t="n">
        <x:v>11770</x:v>
      </x:c>
      <x:c r="J21" s="18" t="n">
        <x:v>93717</x:v>
      </x:c>
      <x:c r="K21" s="19" t="n">
        <x:f>I21/1000</x:f>
        <x:v>11.77</x:v>
      </x:c>
      <x:c r="L21" s="19" t="n">
        <x:f>SUM(E21:G21)/1000</x:f>
        <x:v>11.535</x:v>
      </x:c>
      <x:c r="M21" s="20" t="n">
        <x:f>IF(I21=0,"n.a.",H21/I21)</x:f>
        <x:v>0.019966015293118096</x:v>
      </x:c>
      <x:c r="N21" s="18" t="n">
        <x:f>IF(J21=0,"n.a.",I21*1000/J21)</x:f>
        <x:v>125.59087465454506</x:v>
      </x:c>
      <x:c r="O21" s="18" t="n">
        <x:f>SUM(E21:H21)-I21</x:f>
        <x:v>0</x:v>
      </x:c>
      <x:c r="P21" s="18" t="n">
        <x:f>RANK(I21,$I$7:$I$212,0)+COUNTIF($I$7:I21,I21)-1</x:f>
        <x:v>15</x:v>
      </x:c>
      <x:c r="Q21" s="10" t="str">
        <x:v>Anglia Ruskin</x:v>
      </x:c>
    </x:row>
    <x:row r="22" ht="46" customHeight="1">
      <x:c r="A22" s="10" t="str">
        <x:v>10001143</x:v>
      </x:c>
      <x:c r="B22" s="11" t="str">
        <x:v>Canterbury Christ Church University</x:v>
      </x:c>
      <x:c r="C22" s="10" t="str">
        <x:v>Other HE provider</x:v>
      </x:c>
      <x:c r="D22" s="10" t="str">
        <x:v>2024/25</x:v>
      </x:c>
      <x:c r="E22" s="18" t="n">
        <x:v>1998</x:v>
      </x:c>
      <x:c r="F22" s="18" t="n">
        <x:v>1243</x:v>
      </x:c>
      <x:c r="G22" s="18" t="n">
        <x:v>5084</x:v>
      </x:c>
      <x:c r="H22" s="18" t="n">
        <x:v>3389</x:v>
      </x:c>
      <x:c r="I22" s="18" t="n">
        <x:v>11714</x:v>
      </x:c>
      <x:c r="J22" s="18" t="n">
        <x:v>35210</x:v>
      </x:c>
      <x:c r="K22" s="19" t="n">
        <x:f>I22/1000</x:f>
        <x:v>11.714</x:v>
      </x:c>
      <x:c r="L22" s="19" t="n">
        <x:f>SUM(E22:G22)/1000</x:f>
        <x:v>8.325</x:v>
      </x:c>
      <x:c r="M22" s="20" t="n">
        <x:f>IF(I22=0,"n.a.",H22/I22)</x:f>
        <x:v>0.2893119344374253</x:v>
      </x:c>
      <x:c r="N22" s="18" t="n">
        <x:f>IF(J22=0,"n.a.",I22*1000/J22)</x:f>
        <x:v>332.6895768247657</x:v>
      </x:c>
      <x:c r="O22" s="18" t="n">
        <x:f>SUM(E22:H22)-I22</x:f>
        <x:v>0</x:v>
      </x:c>
      <x:c r="P22" s="18" t="n">
        <x:f>RANK(I22,$I$7:$I$212,0)+COUNTIF($I$7:I22,I22)-1</x:f>
        <x:v>16</x:v>
      </x:c>
      <x:c r="Q22" s="10" t="str">
        <x:v>Canterbury Christ Church</x:v>
      </x:c>
    </x:row>
    <x:row r="23" ht="46" customHeight="1">
      <x:c r="A23" s="10" t="str">
        <x:v>10001726</x:v>
      </x:c>
      <x:c r="B23" s="11" t="str">
        <x:v>Coventry University</x:v>
      </x:c>
      <x:c r="C23" s="10" t="str">
        <x:v>Additional UK sample</x:v>
      </x:c>
      <x:c r="D23" s="10" t="str">
        <x:v>2024/25</x:v>
      </x:c>
      <x:c r="E23" s="18" t="n">
        <x:v>176</x:v>
      </x:c>
      <x:c r="F23" s="18" t="n">
        <x:v>2895</x:v>
      </x:c>
      <x:c r="G23" s="18" t="n">
        <x:v>1867</x:v>
      </x:c>
      <x:c r="H23" s="18" t="n">
        <x:v>6722</x:v>
      </x:c>
      <x:c r="I23" s="18" t="n">
        <x:v>11660</x:v>
      </x:c>
      <x:c r="J23" s="18" t="n">
        <x:v>124930</x:v>
      </x:c>
      <x:c r="K23" s="19" t="n">
        <x:f>I23/1000</x:f>
        <x:v>11.66</x:v>
      </x:c>
      <x:c r="L23" s="19" t="n">
        <x:f>SUM(E23:G23)/1000</x:f>
        <x:v>4.938</x:v>
      </x:c>
      <x:c r="M23" s="20" t="n">
        <x:f>IF(I23=0,"n.a.",H23/I23)</x:f>
        <x:v>0.5765008576329331</x:v>
      </x:c>
      <x:c r="N23" s="18" t="n">
        <x:f>IF(J23=0,"n.a.",I23*1000/J23)</x:f>
        <x:v>93.33226606899863</x:v>
      </x:c>
      <x:c r="O23" s="18" t="n">
        <x:f>SUM(E23:H23)-I23</x:f>
        <x:v>0</x:v>
      </x:c>
      <x:c r="P23" s="18" t="n">
        <x:f>RANK(I23,$I$7:$I$212,0)+COUNTIF($I$7:I23,I23)-1</x:f>
        <x:v>17</x:v>
      </x:c>
      <x:c r="Q23" s="10" t="str">
        <x:v>Coventry</x:v>
      </x:c>
    </x:row>
    <x:row r="24" ht="46" customHeight="1">
      <x:c r="A24" s="10" t="str">
        <x:v>10007814</x:v>
      </x:c>
      <x:c r="B24" s="11" t="str">
        <x:v>Cardiff University</x:v>
      </x:c>
      <x:c r="C24" s="10" t="str">
        <x:v>Russell Group</x:v>
      </x:c>
      <x:c r="D24" s="10" t="str">
        <x:v>2024/25</x:v>
      </x:c>
      <x:c r="E24" s="18" t="n">
        <x:v>2080</x:v>
      </x:c>
      <x:c r="F24" s="18" t="n">
        <x:v>812</x:v>
      </x:c>
      <x:c r="G24" s="18" t="n">
        <x:v>6290</x:v>
      </x:c>
      <x:c r="H24" s="18" t="n">
        <x:v>1804</x:v>
      </x:c>
      <x:c r="I24" s="18" t="n">
        <x:v>10986</x:v>
      </x:c>
      <x:c r="J24" s="18" t="n">
        <x:v>103694</x:v>
      </x:c>
      <x:c r="K24" s="19" t="n">
        <x:f>I24/1000</x:f>
        <x:v>10.986</x:v>
      </x:c>
      <x:c r="L24" s="19" t="n">
        <x:f>SUM(E24:G24)/1000</x:f>
        <x:v>9.182</x:v>
      </x:c>
      <x:c r="M24" s="20" t="n">
        <x:f>IF(I24=0,"n.a.",H24/I24)</x:f>
        <x:v>0.1642089932641544</x:v>
      </x:c>
      <x:c r="N24" s="18" t="n">
        <x:f>IF(J24=0,"n.a.",I24*1000/J24)</x:f>
        <x:v>105.94634212201285</x:v>
      </x:c>
      <x:c r="O24" s="18" t="n">
        <x:f>SUM(E24:H24)-I24</x:f>
        <x:v>0</x:v>
      </x:c>
      <x:c r="P24" s="18" t="n">
        <x:f>RANK(I24,$I$7:$I$212,0)+COUNTIF($I$7:I24,I24)-1</x:f>
        <x:v>18</x:v>
      </x:c>
      <x:c r="Q24" s="10" t="str">
        <x:v>Cardiff</x:v>
      </x:c>
    </x:row>
    <x:row r="25" ht="46" customHeight="1">
      <x:c r="A25" s="10" t="str">
        <x:v>10007851</x:v>
      </x:c>
      <x:c r="B25" s="11" t="str">
        <x:v>University of Derby</x:v>
      </x:c>
      <x:c r="C25" s="10" t="str">
        <x:v>Other HE provider</x:v>
      </x:c>
      <x:c r="D25" s="10" t="str">
        <x:v>2024/25</x:v>
      </x:c>
      <x:c r="E25" s="18" t="n">
        <x:v>31</x:v>
      </x:c>
      <x:c r="F25" s="18" t="n">
        <x:v>334</x:v>
      </x:c>
      <x:c r="G25" s="18" t="n">
        <x:v>121</x:v>
      </x:c>
      <x:c r="H25" s="18" t="n">
        <x:v>10044</x:v>
      </x:c>
      <x:c r="I25" s="18" t="n">
        <x:v>10530</x:v>
      </x:c>
      <x:c r="J25" s="18" t="n">
        <x:v>30174</x:v>
      </x:c>
      <x:c r="K25" s="19" t="n">
        <x:f>I25/1000</x:f>
        <x:v>10.53</x:v>
      </x:c>
      <x:c r="L25" s="19" t="n">
        <x:f>SUM(E25:G25)/1000</x:f>
        <x:v>0.486</x:v>
      </x:c>
      <x:c r="M25" s="20" t="n">
        <x:f>IF(I25=0,"n.a.",H25/I25)</x:f>
        <x:v>0.9538461538461539</x:v>
      </x:c>
      <x:c r="N25" s="18" t="n">
        <x:f>IF(J25=0,"n.a.",I25*1000/J25)</x:f>
        <x:v>348.9759395506065</x:v>
      </x:c>
      <x:c r="O25" s="18" t="n">
        <x:f>SUM(E25:H25)-I25</x:f>
        <x:v>0</x:v>
      </x:c>
      <x:c r="P25" s="18" t="n">
        <x:f>RANK(I25,$I$7:$I$212,0)+COUNTIF($I$7:I25,I25)-1</x:f>
        <x:v>19</x:v>
      </x:c>
      <x:c r="Q25" s="10" t="str">
        <x:v>Derby</x:v>
      </x:c>
    </x:row>
    <x:row r="26" ht="46" customHeight="1">
      <x:c r="A26" s="10" t="str">
        <x:v>10007857</x:v>
      </x:c>
      <x:c r="B26" s="11" t="str">
        <x:v>Bangor University</x:v>
      </x:c>
      <x:c r="C26" s="10" t="str">
        <x:v>Other HE provider</x:v>
      </x:c>
      <x:c r="D26" s="10" t="str">
        <x:v>2024/25</x:v>
      </x:c>
      <x:c r="E26" s="18" t="n">
        <x:v>9</x:v>
      </x:c>
      <x:c r="F26" s="18" t="n">
        <x:v>10</x:v>
      </x:c>
      <x:c r="G26" s="18" t="n">
        <x:v>67</x:v>
      </x:c>
      <x:c r="H26" s="18" t="n">
        <x:v>10022</x:v>
      </x:c>
      <x:c r="I26" s="18" t="n">
        <x:v>10108</x:v>
      </x:c>
      <x:c r="J26" s="18" t="n">
        <x:v>86838</x:v>
      </x:c>
      <x:c r="K26" s="19" t="n">
        <x:f>I26/1000</x:f>
        <x:v>10.108</x:v>
      </x:c>
      <x:c r="L26" s="19" t="n">
        <x:f>SUM(E26:G26)/1000</x:f>
        <x:v>0.086</x:v>
      </x:c>
      <x:c r="M26" s="20" t="n">
        <x:f>IF(I26=0,"n.a.",H26/I26)</x:f>
        <x:v>0.9914918876137713</x:v>
      </x:c>
      <x:c r="N26" s="18" t="n">
        <x:f>IF(J26=0,"n.a.",I26*1000/J26)</x:f>
        <x:v>116.40065409152675</x:v>
      </x:c>
      <x:c r="O26" s="18" t="n">
        <x:f>SUM(E26:H26)-I26</x:f>
        <x:v>0</x:v>
      </x:c>
      <x:c r="P26" s="18" t="n">
        <x:f>RANK(I26,$I$7:$I$212,0)+COUNTIF($I$7:I26,I26)-1</x:f>
        <x:v>20</x:v>
      </x:c>
      <x:c r="Q26" s="10" t="str">
        <x:v>Bangor</x:v>
      </x:c>
    </x:row>
    <x:row r="27" ht="46" customHeight="1">
      <x:c r="A27" s="10" t="str">
        <x:v>10004351</x:v>
      </x:c>
      <x:c r="B27" s="11" t="str">
        <x:v>Middlesex University</x:v>
      </x:c>
      <x:c r="C27" s="10" t="str">
        <x:v>Other HE provider</x:v>
      </x:c>
      <x:c r="D27" s="10" t="str">
        <x:v>2024/25</x:v>
      </x:c>
      <x:c r="E27" s="18" t="n">
        <x:v>23</x:v>
      </x:c>
      <x:c r="F27" s="18" t="n">
        <x:v>48</x:v>
      </x:c>
      <x:c r="G27" s="18" t="n">
        <x:v>5299</x:v>
      </x:c>
      <x:c r="H27" s="18" t="n">
        <x:v>3638</x:v>
      </x:c>
      <x:c r="I27" s="18" t="n">
        <x:v>9008</x:v>
      </x:c>
      <x:c r="J27" s="18" t="n">
        <x:v>58794</x:v>
      </x:c>
      <x:c r="K27" s="19" t="n">
        <x:f>I27/1000</x:f>
        <x:v>9.008</x:v>
      </x:c>
      <x:c r="L27" s="19" t="n">
        <x:f>SUM(E27:G27)/1000</x:f>
        <x:v>5.37</x:v>
      </x:c>
      <x:c r="M27" s="20" t="n">
        <x:f>IF(I27=0,"n.a.",H27/I27)</x:f>
        <x:v>0.40386323268206037</x:v>
      </x:c>
      <x:c r="N27" s="18" t="n">
        <x:f>IF(J27=0,"n.a.",I27*1000/J27)</x:f>
        <x:v>153.2129128822669</x:v>
      </x:c>
      <x:c r="O27" s="18" t="n">
        <x:f>SUM(E27:H27)-I27</x:f>
        <x:v>0</x:v>
      </x:c>
      <x:c r="P27" s="18" t="n">
        <x:f>RANK(I27,$I$7:$I$212,0)+COUNTIF($I$7:I27,I27)-1</x:f>
        <x:v>21</x:v>
      </x:c>
      <x:c r="Q27" s="10" t="str">
        <x:v>Middlesex</x:v>
      </x:c>
    </x:row>
    <x:row r="28" ht="46" customHeight="1">
      <x:c r="A28" s="10" t="str">
        <x:v>10007842</x:v>
      </x:c>
      <x:c r="B28" s="11" t="str">
        <x:v>University of Cumbria</x:v>
      </x:c>
      <x:c r="C28" s="10" t="str">
        <x:v>Other HE provider</x:v>
      </x:c>
      <x:c r="D28" s="10" t="str">
        <x:v>2024/25</x:v>
      </x:c>
      <x:c r="E28" s="18" t="n">
        <x:v>64</x:v>
      </x:c>
      <x:c r="F28" s="18" t="n">
        <x:v>1924</x:v>
      </x:c>
      <x:c r="G28" s="18" t="n">
        <x:v>3485</x:v>
      </x:c>
      <x:c r="H28" s="18" t="n">
        <x:v>3420</x:v>
      </x:c>
      <x:c r="I28" s="18" t="n">
        <x:v>8893</x:v>
      </x:c>
      <x:c r="J28" s="18" t="n">
        <x:v>128269</x:v>
      </x:c>
      <x:c r="K28" s="19" t="n">
        <x:f>I28/1000</x:f>
        <x:v>8.893</x:v>
      </x:c>
      <x:c r="L28" s="19" t="n">
        <x:f>SUM(E28:G28)/1000</x:f>
        <x:v>5.473</x:v>
      </x:c>
      <x:c r="M28" s="20" t="n">
        <x:f>IF(I28=0,"n.a.",H28/I28)</x:f>
        <x:v>0.38457213538738333</x:v>
      </x:c>
      <x:c r="N28" s="18" t="n">
        <x:f>IF(J28=0,"n.a.",I28*1000/J28)</x:f>
        <x:v>69.33085936586393</x:v>
      </x:c>
      <x:c r="O28" s="18" t="n">
        <x:f>SUM(E28:H28)-I28</x:f>
        <x:v>0</x:v>
      </x:c>
      <x:c r="P28" s="18" t="n">
        <x:f>RANK(I28,$I$7:$I$212,0)+COUNTIF($I$7:I28,I28)-1</x:f>
        <x:v>22</x:v>
      </x:c>
      <x:c r="Q28" s="10" t="str">
        <x:v>Cumbria</x:v>
      </x:c>
    </x:row>
    <x:row r="29" ht="46" customHeight="1">
      <x:c r="A29" s="10" t="str">
        <x:v>10007794</x:v>
      </x:c>
      <x:c r="B29" s="11" t="str">
        <x:v>The University of Glasgow</x:v>
      </x:c>
      <x:c r="C29" s="10" t="str">
        <x:v>Russell Group</x:v>
      </x:c>
      <x:c r="D29" s="10" t="str">
        <x:v>2024/25</x:v>
      </x:c>
      <x:c r="E29" s="18" t="n">
        <x:v>0</x:v>
      </x:c>
      <x:c r="F29" s="18" t="n">
        <x:v>0</x:v>
      </x:c>
      <x:c r="G29" s="18" t="n">
        <x:v>5620</x:v>
      </x:c>
      <x:c r="H29" s="18" t="n">
        <x:v>3253</x:v>
      </x:c>
      <x:c r="I29" s="18" t="n">
        <x:v>8873</x:v>
      </x:c>
      <x:c r="J29" s="18" t="n">
        <x:v>0</x:v>
      </x:c>
      <x:c r="K29" s="19" t="n">
        <x:f>I29/1000</x:f>
        <x:v>8.873</x:v>
      </x:c>
      <x:c r="L29" s="19" t="n">
        <x:f>SUM(E29:G29)/1000</x:f>
        <x:v>5.62</x:v>
      </x:c>
      <x:c r="M29" s="20" t="n">
        <x:f>IF(I29=0,"n.a.",H29/I29)</x:f>
        <x:v>0.36661782936999887</x:v>
      </x:c>
      <x:c r="N29" s="18" t="str">
        <x:f>IF(J29=0,"n.a.",I29*1000/J29)</x:f>
        <x:v>n.a.</x:v>
      </x:c>
      <x:c r="O29" s="18" t="n">
        <x:f>SUM(E29:H29)-I29</x:f>
        <x:v>0</x:v>
      </x:c>
      <x:c r="P29" s="18" t="n">
        <x:f>RANK(I29,$I$7:$I$212,0)+COUNTIF($I$7:I29,I29)-1</x:f>
        <x:v>23</x:v>
      </x:c>
      <x:c r="Q29" s="10" t="str">
        <x:v>Glasgow</x:v>
      </x:c>
    </x:row>
    <x:row r="30" ht="46" customHeight="1">
      <x:c r="A30" s="10" t="str">
        <x:v>10007164</x:v>
      </x:c>
      <x:c r="B30" s="11" t="str">
        <x:v>University of the West of England, Bristol</x:v>
      </x:c>
      <x:c r="C30" s="10" t="str">
        <x:v>Other HE provider</x:v>
      </x:c>
      <x:c r="D30" s="10" t="str">
        <x:v>2024/25</x:v>
      </x:c>
      <x:c r="E30" s="18" t="n">
        <x:v>225</x:v>
      </x:c>
      <x:c r="F30" s="18" t="n">
        <x:v>536</x:v>
      </x:c>
      <x:c r="G30" s="18" t="n">
        <x:v>7005</x:v>
      </x:c>
      <x:c r="H30" s="18" t="n">
        <x:v>783</x:v>
      </x:c>
      <x:c r="I30" s="18" t="n">
        <x:v>8549</x:v>
      </x:c>
      <x:c r="J30" s="18" t="n">
        <x:v>38892</x:v>
      </x:c>
      <x:c r="K30" s="19" t="n">
        <x:f>I30/1000</x:f>
        <x:v>8.549</x:v>
      </x:c>
      <x:c r="L30" s="19" t="n">
        <x:f>SUM(E30:G30)/1000</x:f>
        <x:v>7.766</x:v>
      </x:c>
      <x:c r="M30" s="20" t="n">
        <x:f>IF(I30=0,"n.a.",H30/I30)</x:f>
        <x:v>0.09158965960931104</x:v>
      </x:c>
      <x:c r="N30" s="18" t="n">
        <x:f>IF(J30=0,"n.a.",I30*1000/J30)</x:f>
        <x:v>219.81384346395146</x:v>
      </x:c>
      <x:c r="O30" s="18" t="n">
        <x:f>SUM(E30:H30)-I30</x:f>
        <x:v>0</x:v>
      </x:c>
      <x:c r="P30" s="18" t="n">
        <x:f>RANK(I30,$I$7:$I$212,0)+COUNTIF($I$7:I30,I30)-1</x:f>
        <x:v>24</x:v>
      </x:c>
      <x:c r="Q30" s="10" t="str">
        <x:v>the West of England, Bristol</x:v>
      </x:c>
    </x:row>
    <x:row r="31" ht="46" customHeight="1">
      <x:c r="A31" s="10" t="str">
        <x:v>10007163</x:v>
      </x:c>
      <x:c r="B31" s="11" t="str">
        <x:v>The University of Warwick</x:v>
      </x:c>
      <x:c r="C31" s="10" t="str">
        <x:v>Russell Group</x:v>
      </x:c>
      <x:c r="D31" s="10" t="str">
        <x:v>2024/25</x:v>
      </x:c>
      <x:c r="E31" s="18" t="n">
        <x:v>107</x:v>
      </x:c>
      <x:c r="F31" s="18" t="n">
        <x:v>2220</x:v>
      </x:c>
      <x:c r="G31" s="18" t="n">
        <x:v>3244</x:v>
      </x:c>
      <x:c r="H31" s="18" t="n">
        <x:v>2933</x:v>
      </x:c>
      <x:c r="I31" s="18" t="n">
        <x:v>8504</x:v>
      </x:c>
      <x:c r="J31" s="18" t="n">
        <x:v>11479</x:v>
      </x:c>
      <x:c r="K31" s="19" t="n">
        <x:f>I31/1000</x:f>
        <x:v>8.504</x:v>
      </x:c>
      <x:c r="L31" s="19" t="n">
        <x:f>SUM(E31:G31)/1000</x:f>
        <x:v>5.571</x:v>
      </x:c>
      <x:c r="M31" s="20" t="n">
        <x:f>IF(I31=0,"n.a.",H31/I31)</x:f>
        <x:v>0.34489651928504234</x:v>
      </x:c>
      <x:c r="N31" s="18" t="n">
        <x:f>IF(J31=0,"n.a.",I31*1000/J31)</x:f>
        <x:v>740.8310828469379</x:v>
      </x:c>
      <x:c r="O31" s="18" t="n">
        <x:f>SUM(E31:H31)-I31</x:f>
        <x:v>0</x:v>
      </x:c>
      <x:c r="P31" s="18" t="n">
        <x:f>RANK(I31,$I$7:$I$212,0)+COUNTIF($I$7:I31,I31)-1</x:f>
        <x:v>25</x:v>
      </x:c>
      <x:c r="Q31" s="10" t="str">
        <x:v>Warwick</x:v>
      </x:c>
    </x:row>
    <x:row r="32" ht="46" customHeight="1">
      <x:c r="A32" s="10" t="str">
        <x:v>10006022</x:v>
      </x:c>
      <x:c r="B32" s="11" t="str">
        <x:v>Southampton Solent University</x:v>
      </x:c>
      <x:c r="C32" s="10" t="str">
        <x:v>Other HE provider</x:v>
      </x:c>
      <x:c r="D32" s="10" t="str">
        <x:v>2024/25</x:v>
      </x:c>
      <x:c r="E32" s="18" t="n">
        <x:v>1365</x:v>
      </x:c>
      <x:c r="F32" s="18" t="n">
        <x:v>2138</x:v>
      </x:c>
      <x:c r="G32" s="18" t="n">
        <x:v>1039</x:v>
      </x:c>
      <x:c r="H32" s="18" t="n">
        <x:v>3707</x:v>
      </x:c>
      <x:c r="I32" s="18" t="n">
        <x:v>8249</x:v>
      </x:c>
      <x:c r="J32" s="18" t="n">
        <x:v>33667</x:v>
      </x:c>
      <x:c r="K32" s="19" t="n">
        <x:f>I32/1000</x:f>
        <x:v>8.249</x:v>
      </x:c>
      <x:c r="L32" s="19" t="n">
        <x:f>SUM(E32:G32)/1000</x:f>
        <x:v>4.542</x:v>
      </x:c>
      <x:c r="M32" s="20" t="n">
        <x:f>IF(I32=0,"n.a.",H32/I32)</x:f>
        <x:v>0.4493878045823736</x:v>
      </x:c>
      <x:c r="N32" s="18" t="n">
        <x:f>IF(J32=0,"n.a.",I32*1000/J32)</x:f>
        <x:v>245.0173760655835</x:v>
      </x:c>
      <x:c r="O32" s="18" t="n">
        <x:f>SUM(E32:H32)-I32</x:f>
        <x:v>0</x:v>
      </x:c>
      <x:c r="P32" s="18" t="n">
        <x:f>RANK(I32,$I$7:$I$212,0)+COUNTIF($I$7:I32,I32)-1</x:f>
        <x:v>26</x:v>
      </x:c>
      <x:c r="Q32" s="10" t="str">
        <x:v>Southampton Solent</x:v>
      </x:c>
    </x:row>
    <x:row r="33" ht="46" customHeight="1">
      <x:c r="A33" s="10" t="str">
        <x:v>10007780</x:v>
      </x:c>
      <x:c r="B33" s="11" t="str">
        <x:v>SOAS University of London</x:v>
      </x:c>
      <x:c r="C33" s="10" t="str">
        <x:v>Additional UK sample</x:v>
      </x:c>
      <x:c r="D33" s="10" t="str">
        <x:v>2024/25</x:v>
      </x:c>
      <x:c r="E33" s="18" t="n">
        <x:v>0</x:v>
      </x:c>
      <x:c r="F33" s="18" t="n">
        <x:v>0</x:v>
      </x:c>
      <x:c r="G33" s="18" t="n">
        <x:v>43</x:v>
      </x:c>
      <x:c r="H33" s="18" t="n">
        <x:v>8185</x:v>
      </x:c>
      <x:c r="I33" s="18" t="n">
        <x:v>8228</x:v>
      </x:c>
      <x:c r="J33" s="18" t="n">
        <x:v>90037</x:v>
      </x:c>
      <x:c r="K33" s="19" t="n">
        <x:f>I33/1000</x:f>
        <x:v>8.228</x:v>
      </x:c>
      <x:c r="L33" s="19" t="n">
        <x:f>SUM(E33:G33)/1000</x:f>
        <x:v>0.043</x:v>
      </x:c>
      <x:c r="M33" s="20" t="n">
        <x:f>IF(I33=0,"n.a.",H33/I33)</x:f>
        <x:v>0.9947739426349052</x:v>
      </x:c>
      <x:c r="N33" s="18" t="n">
        <x:f>IF(J33=0,"n.a.",I33*1000/J33)</x:f>
        <x:v>91.38465297599876</x:v>
      </x:c>
      <x:c r="O33" s="18" t="n">
        <x:f>SUM(E33:H33)-I33</x:f>
        <x:v>0</x:v>
      </x:c>
      <x:c r="P33" s="18" t="n">
        <x:f>RANK(I33,$I$7:$I$212,0)+COUNTIF($I$7:I33,I33)-1</x:f>
        <x:v>27</x:v>
      </x:c>
      <x:c r="Q33" s="10" t="str">
        <x:v>SOAS</x:v>
      </x:c>
    </x:row>
    <x:row r="34" ht="46" customHeight="1">
      <x:c r="A34" s="10" t="str">
        <x:v>10007161</x:v>
      </x:c>
      <x:c r="B34" s="11" t="str">
        <x:v>Teesside University</x:v>
      </x:c>
      <x:c r="C34" s="10" t="str">
        <x:v>Other HE provider</x:v>
      </x:c>
      <x:c r="D34" s="10" t="str">
        <x:v>2024/25</x:v>
      </x:c>
      <x:c r="E34" s="18" t="n">
        <x:v>595</x:v>
      </x:c>
      <x:c r="F34" s="18" t="n">
        <x:v>809</x:v>
      </x:c>
      <x:c r="G34" s="18" t="n">
        <x:v>4602</x:v>
      </x:c>
      <x:c r="H34" s="18" t="n">
        <x:v>2155</x:v>
      </x:c>
      <x:c r="I34" s="18" t="n">
        <x:v>8161</x:v>
      </x:c>
      <x:c r="J34" s="18" t="n">
        <x:v>164776</x:v>
      </x:c>
      <x:c r="K34" s="19" t="n">
        <x:f>I34/1000</x:f>
        <x:v>8.161</x:v>
      </x:c>
      <x:c r="L34" s="19" t="n">
        <x:f>SUM(E34:G34)/1000</x:f>
        <x:v>6.006</x:v>
      </x:c>
      <x:c r="M34" s="20" t="n">
        <x:f>IF(I34=0,"n.a.",H34/I34)</x:f>
        <x:v>0.2640607768655802</x:v>
      </x:c>
      <x:c r="N34" s="18" t="n">
        <x:f>IF(J34=0,"n.a.",I34*1000/J34)</x:f>
        <x:v>49.52784386075642</x:v>
      </x:c>
      <x:c r="O34" s="18" t="n">
        <x:f>SUM(E34:H34)-I34</x:f>
        <x:v>0</x:v>
      </x:c>
      <x:c r="P34" s="18" t="n">
        <x:f>RANK(I34,$I$7:$I$212,0)+COUNTIF($I$7:I34,I34)-1</x:f>
        <x:v>28</x:v>
      </x:c>
      <x:c r="Q34" s="10" t="str">
        <x:v>Teesside</x:v>
      </x:c>
    </x:row>
    <x:row r="35" ht="46" customHeight="1">
      <x:c r="A35" s="10" t="str">
        <x:v>10006842</x:v>
      </x:c>
      <x:c r="B35" s="11" t="str">
        <x:v>The University of Liverpool</x:v>
      </x:c>
      <x:c r="C35" s="10" t="str">
        <x:v>Russell Group</x:v>
      </x:c>
      <x:c r="D35" s="10" t="str">
        <x:v>2024/25</x:v>
      </x:c>
      <x:c r="E35" s="18" t="n">
        <x:v>415</x:v>
      </x:c>
      <x:c r="F35" s="18" t="n">
        <x:v>29</x:v>
      </x:c>
      <x:c r="G35" s="18" t="n">
        <x:v>6664</x:v>
      </x:c>
      <x:c r="H35" s="18" t="n">
        <x:v>954</x:v>
      </x:c>
      <x:c r="I35" s="18" t="n">
        <x:v>8062</x:v>
      </x:c>
      <x:c r="J35" s="18" t="n">
        <x:v>17388</x:v>
      </x:c>
      <x:c r="K35" s="19" t="n">
        <x:f>I35/1000</x:f>
        <x:v>8.062</x:v>
      </x:c>
      <x:c r="L35" s="19" t="n">
        <x:f>SUM(E35:G35)/1000</x:f>
        <x:v>7.108</x:v>
      </x:c>
      <x:c r="M35" s="20" t="n">
        <x:f>IF(I35=0,"n.a.",H35/I35)</x:f>
        <x:v>0.11833291987099975</x:v>
      </x:c>
      <x:c r="N35" s="18" t="n">
        <x:f>IF(J35=0,"n.a.",I35*1000/J35)</x:f>
        <x:v>463.6530940878767</x:v>
      </x:c>
      <x:c r="O35" s="18" t="n">
        <x:f>SUM(E35:H35)-I35</x:f>
        <x:v>0</x:v>
      </x:c>
      <x:c r="P35" s="18" t="n">
        <x:f>RANK(I35,$I$7:$I$212,0)+COUNTIF($I$7:I35,I35)-1</x:f>
        <x:v>29</x:v>
      </x:c>
      <x:c r="Q35" s="10" t="str">
        <x:v>Liverpool</x:v>
      </x:c>
    </x:row>
    <x:row r="36" ht="46" customHeight="1">
      <x:c r="A36" s="10" t="str">
        <x:v>10001282</x:v>
      </x:c>
      <x:c r="B36" s="11" t="str">
        <x:v>University of Northumbria at Newcastle</x:v>
      </x:c>
      <x:c r="C36" s="10" t="str">
        <x:v>Additional UK sample</x:v>
      </x:c>
      <x:c r="D36" s="10" t="str">
        <x:v>2024/25</x:v>
      </x:c>
      <x:c r="E36" s="18" t="n">
        <x:v>139</x:v>
      </x:c>
      <x:c r="F36" s="18" t="n">
        <x:v>20</x:v>
      </x:c>
      <x:c r="G36" s="18" t="n">
        <x:v>5110</x:v>
      </x:c>
      <x:c r="H36" s="18" t="n">
        <x:v>2328</x:v>
      </x:c>
      <x:c r="I36" s="18" t="n">
        <x:v>7597</x:v>
      </x:c>
      <x:c r="J36" s="18" t="n">
        <x:v>29694</x:v>
      </x:c>
      <x:c r="K36" s="19" t="n">
        <x:f>I36/1000</x:f>
        <x:v>7.597</x:v>
      </x:c>
      <x:c r="L36" s="19" t="n">
        <x:f>SUM(E36:G36)/1000</x:f>
        <x:v>5.269</x:v>
      </x:c>
      <x:c r="M36" s="20" t="n">
        <x:f>IF(I36=0,"n.a.",H36/I36)</x:f>
        <x:v>0.3064367513492168</x:v>
      </x:c>
      <x:c r="N36" s="18" t="n">
        <x:f>IF(J36=0,"n.a.",I36*1000/J36)</x:f>
        <x:v>255.8429312318987</x:v>
      </x:c>
      <x:c r="O36" s="18" t="n">
        <x:f>SUM(E36:H36)-I36</x:f>
        <x:v>0</x:v>
      </x:c>
      <x:c r="P36" s="18" t="n">
        <x:f>RANK(I36,$I$7:$I$212,0)+COUNTIF($I$7:I36,I36)-1</x:f>
        <x:v>30</x:v>
      </x:c>
      <x:c r="Q36" s="10" t="str">
        <x:v>Northumbria</x:v>
      </x:c>
    </x:row>
    <x:row r="37" ht="46" customHeight="1">
      <x:c r="A37" s="10" t="str">
        <x:v>10001883</x:v>
      </x:c>
      <x:c r="B37" s="11" t="str">
        <x:v>De Montfort University</x:v>
      </x:c>
      <x:c r="C37" s="10" t="str">
        <x:v>Other HE provider</x:v>
      </x:c>
      <x:c r="D37" s="10" t="str">
        <x:v>2024/25</x:v>
      </x:c>
      <x:c r="E37" s="18" t="n">
        <x:v>158</x:v>
      </x:c>
      <x:c r="F37" s="18" t="n">
        <x:v>336</x:v>
      </x:c>
      <x:c r="G37" s="18" t="n">
        <x:v>5325</x:v>
      </x:c>
      <x:c r="H37" s="18" t="n">
        <x:v>1649</x:v>
      </x:c>
      <x:c r="I37" s="18" t="n">
        <x:v>7468</x:v>
      </x:c>
      <x:c r="J37" s="18" t="n">
        <x:v>92618</x:v>
      </x:c>
      <x:c r="K37" s="19" t="n">
        <x:f>I37/1000</x:f>
        <x:v>7.468</x:v>
      </x:c>
      <x:c r="L37" s="19" t="n">
        <x:f>SUM(E37:G37)/1000</x:f>
        <x:v>5.819</x:v>
      </x:c>
      <x:c r="M37" s="20" t="n">
        <x:f>IF(I37=0,"n.a.",H37/I37)</x:f>
        <x:v>0.22080878414568827</x:v>
      </x:c>
      <x:c r="N37" s="18" t="n">
        <x:f>IF(J37=0,"n.a.",I37*1000/J37)</x:f>
        <x:v>80.63227450387613</x:v>
      </x:c>
      <x:c r="O37" s="18" t="n">
        <x:f>SUM(E37:H37)-I37</x:f>
        <x:v>0</x:v>
      </x:c>
      <x:c r="P37" s="18" t="n">
        <x:f>RANK(I37,$I$7:$I$212,0)+COUNTIF($I$7:I37,I37)-1</x:f>
        <x:v>31</x:v>
      </x:c>
      <x:c r="Q37" s="10" t="str">
        <x:v>De Montfort</x:v>
      </x:c>
    </x:row>
    <x:row r="38" ht="46" customHeight="1">
      <x:c r="A38" s="10" t="str">
        <x:v>10007140</x:v>
      </x:c>
      <x:c r="B38" s="11" t="str">
        <x:v>Birmingham City University</x:v>
      </x:c>
      <x:c r="C38" s="10" t="str">
        <x:v>Other HE provider</x:v>
      </x:c>
      <x:c r="D38" s="10" t="str">
        <x:v>2024/25</x:v>
      </x:c>
      <x:c r="E38" s="18" t="n">
        <x:v>230</x:v>
      </x:c>
      <x:c r="F38" s="18" t="n">
        <x:v>42</x:v>
      </x:c>
      <x:c r="G38" s="18" t="n">
        <x:v>6516</x:v>
      </x:c>
      <x:c r="H38" s="18" t="n">
        <x:v>311</x:v>
      </x:c>
      <x:c r="I38" s="18" t="n">
        <x:v>7099</x:v>
      </x:c>
      <x:c r="J38" s="18" t="n">
        <x:v>62406</x:v>
      </x:c>
      <x:c r="K38" s="19" t="n">
        <x:f>I38/1000</x:f>
        <x:v>7.099</x:v>
      </x:c>
      <x:c r="L38" s="19" t="n">
        <x:f>SUM(E38:G38)/1000</x:f>
        <x:v>6.788</x:v>
      </x:c>
      <x:c r="M38" s="20" t="n">
        <x:f>IF(I38=0,"n.a.",H38/I38)</x:f>
        <x:v>0.04380898718129314</x:v>
      </x:c>
      <x:c r="N38" s="18" t="n">
        <x:f>IF(J38=0,"n.a.",I38*1000/J38)</x:f>
        <x:v>113.75508765182835</x:v>
      </x:c>
      <x:c r="O38" s="18" t="n">
        <x:f>SUM(E38:H38)-I38</x:f>
        <x:v>0</x:v>
      </x:c>
      <x:c r="P38" s="18" t="n">
        <x:f>RANK(I38,$I$7:$I$212,0)+COUNTIF($I$7:I38,I38)-1</x:f>
        <x:v>32</x:v>
      </x:c>
      <x:c r="Q38" s="10" t="str">
        <x:v>Birmingham City</x:v>
      </x:c>
    </x:row>
    <x:row r="39" ht="46" customHeight="1">
      <x:c r="A39" s="10" t="str">
        <x:v>10005790</x:v>
      </x:c>
      <x:c r="B39" s="11" t="str">
        <x:v>Sheffield Hallam University</x:v>
      </x:c>
      <x:c r="C39" s="10" t="str">
        <x:v>Other HE provider</x:v>
      </x:c>
      <x:c r="D39" s="10" t="str">
        <x:v>2024/25</x:v>
      </x:c>
      <x:c r="E39" s="18" t="n">
        <x:v>52</x:v>
      </x:c>
      <x:c r="F39" s="18" t="n">
        <x:v>159</x:v>
      </x:c>
      <x:c r="G39" s="18" t="n">
        <x:v>5334</x:v>
      </x:c>
      <x:c r="H39" s="18" t="n">
        <x:v>1489</x:v>
      </x:c>
      <x:c r="I39" s="18" t="n">
        <x:v>7034</x:v>
      </x:c>
      <x:c r="J39" s="18" t="n">
        <x:v>0</x:v>
      </x:c>
      <x:c r="K39" s="19" t="n">
        <x:f>I39/1000</x:f>
        <x:v>7.034</x:v>
      </x:c>
      <x:c r="L39" s="19" t="n">
        <x:f>SUM(E39:G39)/1000</x:f>
        <x:v>5.545</x:v>
      </x:c>
      <x:c r="M39" s="20" t="n">
        <x:f>IF(I39=0,"n.a.",H39/I39)</x:f>
        <x:v>0.21168609610463462</x:v>
      </x:c>
      <x:c r="N39" s="18" t="str">
        <x:f>IF(J39=0,"n.a.",I39*1000/J39)</x:f>
        <x:v>n.a.</x:v>
      </x:c>
      <x:c r="O39" s="18" t="n">
        <x:f>SUM(E39:H39)-I39</x:f>
        <x:v>0</x:v>
      </x:c>
      <x:c r="P39" s="18" t="n">
        <x:f>RANK(I39,$I$7:$I$212,0)+COUNTIF($I$7:I39,I39)-1</x:f>
        <x:v>33</x:v>
      </x:c>
      <x:c r="Q39" s="10" t="str">
        <x:v>Sheffield Hallam</x:v>
      </x:c>
    </x:row>
    <x:row r="40" ht="46" customHeight="1">
      <x:c r="A40" s="10" t="str">
        <x:v>10004797</x:v>
      </x:c>
      <x:c r="B40" s="11" t="str">
        <x:v>The Nottingham Trent University</x:v>
      </x:c>
      <x:c r="C40" s="10" t="str">
        <x:v>Additional UK sample</x:v>
      </x:c>
      <x:c r="D40" s="10" t="str">
        <x:v>2024/25</x:v>
      </x:c>
      <x:c r="E40" s="18" t="n">
        <x:v>0</x:v>
      </x:c>
      <x:c r="F40" s="18" t="n">
        <x:v>458</x:v>
      </x:c>
      <x:c r="G40" s="18" t="n">
        <x:v>183</x:v>
      </x:c>
      <x:c r="H40" s="18" t="n">
        <x:v>6375</x:v>
      </x:c>
      <x:c r="I40" s="18" t="n">
        <x:v>7016</x:v>
      </x:c>
      <x:c r="J40" s="18" t="n">
        <x:v>51865</x:v>
      </x:c>
      <x:c r="K40" s="19" t="n">
        <x:f>I40/1000</x:f>
        <x:v>7.016</x:v>
      </x:c>
      <x:c r="L40" s="19" t="n">
        <x:f>SUM(E40:G40)/1000</x:f>
        <x:v>0.641</x:v>
      </x:c>
      <x:c r="M40" s="20" t="n">
        <x:f>IF(I40=0,"n.a.",H40/I40)</x:f>
        <x:v>0.9086374002280502</x:v>
      </x:c>
      <x:c r="N40" s="18" t="n">
        <x:f>IF(J40=0,"n.a.",I40*1000/J40)</x:f>
        <x:v>135.2742697387448</x:v>
      </x:c>
      <x:c r="O40" s="18" t="n">
        <x:f>SUM(E40:H40)-I40</x:f>
        <x:v>0</x:v>
      </x:c>
      <x:c r="P40" s="18" t="n">
        <x:f>RANK(I40,$I$7:$I$212,0)+COUNTIF($I$7:I40,I40)-1</x:f>
        <x:v>34</x:v>
      </x:c>
      <x:c r="Q40" s="10" t="str">
        <x:v>Nottingham Trent</x:v>
      </x:c>
    </x:row>
    <x:row r="41" ht="46" customHeight="1">
      <x:c r="A41" s="10" t="str">
        <x:v>10007850</x:v>
      </x:c>
      <x:c r="B41" s="11" t="str">
        <x:v>The University of Bath</x:v>
      </x:c>
      <x:c r="C41" s="10" t="str">
        <x:v>Additional UK sample</x:v>
      </x:c>
      <x:c r="D41" s="10" t="str">
        <x:v>2024/25</x:v>
      </x:c>
      <x:c r="E41" s="18" t="n">
        <x:v>101</x:v>
      </x:c>
      <x:c r="F41" s="18" t="n">
        <x:v>354</x:v>
      </x:c>
      <x:c r="G41" s="18" t="n">
        <x:v>2722</x:v>
      </x:c>
      <x:c r="H41" s="18" t="n">
        <x:v>3570</x:v>
      </x:c>
      <x:c r="I41" s="18" t="n">
        <x:v>6747</x:v>
      </x:c>
      <x:c r="J41" s="18" t="n">
        <x:v>46521</x:v>
      </x:c>
      <x:c r="K41" s="19" t="n">
        <x:f>I41/1000</x:f>
        <x:v>6.747</x:v>
      </x:c>
      <x:c r="L41" s="19" t="n">
        <x:f>SUM(E41:G41)/1000</x:f>
        <x:v>3.177</x:v>
      </x:c>
      <x:c r="M41" s="20" t="n">
        <x:f>IF(I41=0,"n.a.",H41/I41)</x:f>
        <x:v>0.5291240551356158</x:v>
      </x:c>
      <x:c r="N41" s="18" t="n">
        <x:f>IF(J41=0,"n.a.",I41*1000/J41)</x:f>
        <x:v>145.03127619784613</x:v>
      </x:c>
      <x:c r="O41" s="18" t="n">
        <x:f>SUM(E41:H41)-I41</x:f>
        <x:v>0</x:v>
      </x:c>
      <x:c r="P41" s="18" t="n">
        <x:f>RANK(I41,$I$7:$I$212,0)+COUNTIF($I$7:I41,I41)-1</x:f>
        <x:v>35</x:v>
      </x:c>
      <x:c r="Q41" s="10" t="str">
        <x:v>Bath</x:v>
      </x:c>
    </x:row>
    <x:row r="42" ht="46" customHeight="1">
      <x:c r="A42" s="10" t="str">
        <x:v>10007789</x:v>
      </x:c>
      <x:c r="B42" s="11" t="str">
        <x:v>The University of East Anglia</x:v>
      </x:c>
      <x:c r="C42" s="10" t="str">
        <x:v>Additional UK sample</x:v>
      </x:c>
      <x:c r="D42" s="10" t="str">
        <x:v>2024/25</x:v>
      </x:c>
      <x:c r="E42" s="18" t="n">
        <x:v>36</x:v>
      </x:c>
      <x:c r="F42" s="18" t="n">
        <x:v>291</x:v>
      </x:c>
      <x:c r="G42" s="18" t="n">
        <x:v>4615</x:v>
      </x:c>
      <x:c r="H42" s="18" t="n">
        <x:v>1467</x:v>
      </x:c>
      <x:c r="I42" s="18" t="n">
        <x:v>6409</x:v>
      </x:c>
      <x:c r="J42" s="18" t="n">
        <x:v>17235</x:v>
      </x:c>
      <x:c r="K42" s="19" t="n">
        <x:f>I42/1000</x:f>
        <x:v>6.409</x:v>
      </x:c>
      <x:c r="L42" s="19" t="n">
        <x:f>SUM(E42:G42)/1000</x:f>
        <x:v>4.942</x:v>
      </x:c>
      <x:c r="M42" s="20" t="n">
        <x:f>IF(I42=0,"n.a.",H42/I42)</x:f>
        <x:v>0.2288968637853019</x:v>
      </x:c>
      <x:c r="N42" s="18" t="n">
        <x:f>IF(J42=0,"n.a.",I42*1000/J42)</x:f>
        <x:v>371.85958804757763</x:v>
      </x:c>
      <x:c r="O42" s="18" t="n">
        <x:f>SUM(E42:H42)-I42</x:f>
        <x:v>0</x:v>
      </x:c>
      <x:c r="P42" s="18" t="n">
        <x:f>RANK(I42,$I$7:$I$212,0)+COUNTIF($I$7:I42,I42)-1</x:f>
        <x:v>36</x:v>
      </x:c>
      <x:c r="Q42" s="10" t="str">
        <x:v>East Anglia</x:v>
      </x:c>
    </x:row>
    <x:row r="43" ht="46" customHeight="1">
      <x:c r="A43" s="10" t="str">
        <x:v>10007147</x:v>
      </x:c>
      <x:c r="B43" s="11" t="str">
        <x:v>University of Hertfordshire</x:v>
      </x:c>
      <x:c r="C43" s="10" t="str">
        <x:v>Other HE provider</x:v>
      </x:c>
      <x:c r="D43" s="10" t="str">
        <x:v>2024/25</x:v>
      </x:c>
      <x:c r="E43" s="18" t="n">
        <x:v>19</x:v>
      </x:c>
      <x:c r="F43" s="18" t="n">
        <x:v>139</x:v>
      </x:c>
      <x:c r="G43" s="18" t="n">
        <x:v>4895</x:v>
      </x:c>
      <x:c r="H43" s="18" t="n">
        <x:v>1324</x:v>
      </x:c>
      <x:c r="I43" s="18" t="n">
        <x:v>6377</x:v>
      </x:c>
      <x:c r="J43" s="18" t="n">
        <x:v>28490</x:v>
      </x:c>
      <x:c r="K43" s="19" t="n">
        <x:f>I43/1000</x:f>
        <x:v>6.377</x:v>
      </x:c>
      <x:c r="L43" s="19" t="n">
        <x:f>SUM(E43:G43)/1000</x:f>
        <x:v>5.053</x:v>
      </x:c>
      <x:c r="M43" s="20" t="n">
        <x:f>IF(I43=0,"n.a.",H43/I43)</x:f>
        <x:v>0.2076211384663635</x:v>
      </x:c>
      <x:c r="N43" s="18" t="n">
        <x:f>IF(J43=0,"n.a.",I43*1000/J43)</x:f>
        <x:v>223.83292383292383</x:v>
      </x:c>
      <x:c r="O43" s="18" t="n">
        <x:f>SUM(E43:H43)-I43</x:f>
        <x:v>0</x:v>
      </x:c>
      <x:c r="P43" s="18" t="n">
        <x:f>RANK(I43,$I$7:$I$212,0)+COUNTIF($I$7:I43,I43)-1</x:f>
        <x:v>37</x:v>
      </x:c>
      <x:c r="Q43" s="10" t="str">
        <x:v>Hertfordshire</x:v>
      </x:c>
    </x:row>
    <x:row r="44" ht="46" customHeight="1">
      <x:c r="A44" s="10" t="str">
        <x:v>10039956</x:v>
      </x:c>
      <x:c r="B44" s="11" t="str">
        <x:v>The University of Law</x:v>
      </x:c>
      <x:c r="C44" s="10" t="str">
        <x:v>Other HE provider</x:v>
      </x:c>
      <x:c r="D44" s="10" t="str">
        <x:v>2024/25</x:v>
      </x:c>
      <x:c r="E44" s="18" t="n">
        <x:v>0</x:v>
      </x:c>
      <x:c r="F44" s="18" t="n">
        <x:v>2518</x:v>
      </x:c>
      <x:c r="G44" s="18" t="n">
        <x:v>0</x:v>
      </x:c>
      <x:c r="H44" s="18" t="n">
        <x:v>3834</x:v>
      </x:c>
      <x:c r="I44" s="18" t="n">
        <x:v>6352</x:v>
      </x:c>
      <x:c r="J44" s="18" t="n">
        <x:v>3240</x:v>
      </x:c>
      <x:c r="K44" s="19" t="n">
        <x:f>I44/1000</x:f>
        <x:v>6.352</x:v>
      </x:c>
      <x:c r="L44" s="19" t="n">
        <x:f>SUM(E44:G44)/1000</x:f>
        <x:v>2.518</x:v>
      </x:c>
      <x:c r="M44" s="20" t="n">
        <x:f>IF(I44=0,"n.a.",H44/I44)</x:f>
        <x:v>0.6035894206549118</x:v>
      </x:c>
      <x:c r="N44" s="18" t="n">
        <x:f>IF(J44=0,"n.a.",I44*1000/J44)</x:f>
        <x:v>1960.4938271604938</x:v>
      </x:c>
      <x:c r="O44" s="18" t="n">
        <x:f>SUM(E44:H44)-I44</x:f>
        <x:v>0</x:v>
      </x:c>
      <x:c r="P44" s="18" t="n">
        <x:f>RANK(I44,$I$7:$I$212,0)+COUNTIF($I$7:I44,I44)-1</x:f>
        <x:v>38</x:v>
      </x:c>
      <x:c r="Q44" s="10" t="str">
        <x:v>Law</x:v>
      </x:c>
    </x:row>
    <x:row r="45" ht="46" customHeight="1">
      <x:c r="A45" s="10" t="str">
        <x:v>10001478</x:v>
      </x:c>
      <x:c r="B45" s="11" t="str">
        <x:v>City St George's, University of London</x:v>
      </x:c>
      <x:c r="C45" s="10" t="str">
        <x:v>Additional UK sample</x:v>
      </x:c>
      <x:c r="D45" s="10" t="str">
        <x:v>2024/25</x:v>
      </x:c>
      <x:c r="E45" s="18" t="n">
        <x:v>875</x:v>
      </x:c>
      <x:c r="F45" s="18" t="n">
        <x:v>1731</x:v>
      </x:c>
      <x:c r="G45" s="18" t="n">
        <x:v>2604</x:v>
      </x:c>
      <x:c r="H45" s="18" t="n">
        <x:v>787</x:v>
      </x:c>
      <x:c r="I45" s="18" t="n">
        <x:v>5997</x:v>
      </x:c>
      <x:c r="J45" s="18" t="n">
        <x:v>11693</x:v>
      </x:c>
      <x:c r="K45" s="19" t="n">
        <x:f>I45/1000</x:f>
        <x:v>5.997</x:v>
      </x:c>
      <x:c r="L45" s="19" t="n">
        <x:f>SUM(E45:G45)/1000</x:f>
        <x:v>5.21</x:v>
      </x:c>
      <x:c r="M45" s="20" t="n">
        <x:f>IF(I45=0,"n.a.",H45/I45)</x:f>
        <x:v>0.1312322828080707</x:v>
      </x:c>
      <x:c r="N45" s="18" t="n">
        <x:f>IF(J45=0,"n.a.",I45*1000/J45)</x:f>
        <x:v>512.8709484306851</x:v>
      </x:c>
      <x:c r="O45" s="18" t="n">
        <x:f>SUM(E45:H45)-I45</x:f>
        <x:v>0</x:v>
      </x:c>
      <x:c r="P45" s="18" t="n">
        <x:f>RANK(I45,$I$7:$I$212,0)+COUNTIF($I$7:I45,I45)-1</x:f>
        <x:v>39</x:v>
      </x:c>
      <x:c r="Q45" s="10" t="str">
        <x:v>City St George’s</x:v>
      </x:c>
    </x:row>
    <x:row r="46" ht="46" customHeight="1">
      <x:c r="A46" s="10" t="str">
        <x:v>10007773</x:v>
      </x:c>
      <x:c r="B46" s="11" t="str">
        <x:v>The Open University</x:v>
      </x:c>
      <x:c r="C46" s="10" t="str">
        <x:v>Other HE provider</x:v>
      </x:c>
      <x:c r="D46" s="10" t="str">
        <x:v>2024/25</x:v>
      </x:c>
      <x:c r="E46" s="18" t="n">
        <x:v>594</x:v>
      </x:c>
      <x:c r="F46" s="18" t="n">
        <x:v>1039</x:v>
      </x:c>
      <x:c r="G46" s="18" t="n">
        <x:v>2469</x:v>
      </x:c>
      <x:c r="H46" s="18" t="n">
        <x:v>1825</x:v>
      </x:c>
      <x:c r="I46" s="18" t="n">
        <x:v>5927</x:v>
      </x:c>
      <x:c r="J46" s="18" t="n">
        <x:v>626208</x:v>
      </x:c>
      <x:c r="K46" s="19" t="n">
        <x:f>I46/1000</x:f>
        <x:v>5.927</x:v>
      </x:c>
      <x:c r="L46" s="19" t="n">
        <x:f>SUM(E46:G46)/1000</x:f>
        <x:v>4.102</x:v>
      </x:c>
      <x:c r="M46" s="20" t="n">
        <x:f>IF(I46=0,"n.a.",H46/I46)</x:f>
        <x:v>0.3079129407794837</x:v>
      </x:c>
      <x:c r="N46" s="18" t="n">
        <x:f>IF(J46=0,"n.a.",I46*1000/J46)</x:f>
        <x:v>9.464906229240125</x:v>
      </x:c>
      <x:c r="O46" s="18" t="n">
        <x:f>SUM(E46:H46)-I46</x:f>
        <x:v>0</x:v>
      </x:c>
      <x:c r="P46" s="18" t="n">
        <x:f>RANK(I46,$I$7:$I$212,0)+COUNTIF($I$7:I46,I46)-1</x:f>
        <x:v>40</x:v>
      </x:c>
      <x:c r="Q46" s="10" t="str">
        <x:v>The Open</x:v>
      </x:c>
    </x:row>
    <x:row r="47" ht="46" customHeight="1">
      <x:c r="A47" s="10" t="str">
        <x:v>10007155</x:v>
      </x:c>
      <x:c r="B47" s="11" t="str">
        <x:v>The University of Portsmouth</x:v>
      </x:c>
      <x:c r="C47" s="10" t="str">
        <x:v>Additional UK sample</x:v>
      </x:c>
      <x:c r="D47" s="10" t="str">
        <x:v>2024/25</x:v>
      </x:c>
      <x:c r="E47" s="18" t="n">
        <x:v>101</x:v>
      </x:c>
      <x:c r="F47" s="18" t="n">
        <x:v>482</x:v>
      </x:c>
      <x:c r="G47" s="18" t="n">
        <x:v>4134</x:v>
      </x:c>
      <x:c r="H47" s="18" t="n">
        <x:v>951</x:v>
      </x:c>
      <x:c r="I47" s="18" t="n">
        <x:v>5668</x:v>
      </x:c>
      <x:c r="J47" s="18" t="n">
        <x:v>29434</x:v>
      </x:c>
      <x:c r="K47" s="19" t="n">
        <x:f>I47/1000</x:f>
        <x:v>5.668</x:v>
      </x:c>
      <x:c r="L47" s="19" t="n">
        <x:f>SUM(E47:G47)/1000</x:f>
        <x:v>4.717</x:v>
      </x:c>
      <x:c r="M47" s="20" t="n">
        <x:f>IF(I47=0,"n.a.",H47/I47)</x:f>
        <x:v>0.16778405081157374</x:v>
      </x:c>
      <x:c r="N47" s="18" t="n">
        <x:f>IF(J47=0,"n.a.",I47*1000/J47)</x:f>
        <x:v>192.5664197866413</x:v>
      </x:c>
      <x:c r="O47" s="18" t="n">
        <x:f>SUM(E47:H47)-I47</x:f>
        <x:v>0</x:v>
      </x:c>
      <x:c r="P47" s="18" t="n">
        <x:f>RANK(I47,$I$7:$I$212,0)+COUNTIF($I$7:I47,I47)-1</x:f>
        <x:v>41</x:v>
      </x:c>
      <x:c r="Q47" s="10" t="str">
        <x:v>Portsmouth</x:v>
      </x:c>
    </x:row>
    <x:row r="48" ht="46" customHeight="1">
      <x:c r="A48" s="10" t="str">
        <x:v>10005343</x:v>
      </x:c>
      <x:c r="B48" s="11" t="str">
        <x:v>Queen's University Belfast</x:v>
      </x:c>
      <x:c r="C48" s="10" t="str">
        <x:v>Russell Group</x:v>
      </x:c>
      <x:c r="D48" s="10" t="str">
        <x:v>2024/25</x:v>
      </x:c>
      <x:c r="E48" s="18" t="n">
        <x:v>0</x:v>
      </x:c>
      <x:c r="F48" s="18" t="n">
        <x:v>10</x:v>
      </x:c>
      <x:c r="G48" s="18" t="n">
        <x:v>5555</x:v>
      </x:c>
      <x:c r="H48" s="18" t="n">
        <x:v>0</x:v>
      </x:c>
      <x:c r="I48" s="18" t="n">
        <x:v>5565</x:v>
      </x:c>
      <x:c r="J48" s="18" t="n">
        <x:v>14571</x:v>
      </x:c>
      <x:c r="K48" s="19" t="n">
        <x:f>I48/1000</x:f>
        <x:v>5.565</x:v>
      </x:c>
      <x:c r="L48" s="19" t="n">
        <x:f>SUM(E48:G48)/1000</x:f>
        <x:v>5.565</x:v>
      </x:c>
      <x:c r="M48" s="20" t="n">
        <x:f>IF(I48=0,"n.a.",H48/I48)</x:f>
        <x:v>0</x:v>
      </x:c>
      <x:c r="N48" s="18" t="n">
        <x:f>IF(J48=0,"n.a.",I48*1000/J48)</x:f>
        <x:v>381.9229977352275</x:v>
      </x:c>
      <x:c r="O48" s="18" t="n">
        <x:f>SUM(E48:H48)-I48</x:f>
        <x:v>0</x:v>
      </x:c>
      <x:c r="P48" s="18" t="n">
        <x:f>RANK(I48,$I$7:$I$212,0)+COUNTIF($I$7:I48,I48)-1</x:f>
        <x:v>42</x:v>
      </x:c>
      <x:c r="Q48" s="10" t="str">
        <x:v>Queen’s University Belfast</x:v>
      </x:c>
    </x:row>
    <x:row r="49" ht="46" customHeight="1">
      <x:c r="A49" s="10" t="str">
        <x:v>10007162</x:v>
      </x:c>
      <x:c r="B49" s="11" t="str">
        <x:v>University of the Arts, London</x:v>
      </x:c>
      <x:c r="C49" s="10" t="str">
        <x:v>Other HE provider</x:v>
      </x:c>
      <x:c r="D49" s="10" t="str">
        <x:v>2024/25</x:v>
      </x:c>
      <x:c r="E49" s="18" t="n">
        <x:v>104</x:v>
      </x:c>
      <x:c r="F49" s="18" t="n">
        <x:v>74</x:v>
      </x:c>
      <x:c r="G49" s="18" t="n">
        <x:v>209</x:v>
      </x:c>
      <x:c r="H49" s="18" t="n">
        <x:v>5163</x:v>
      </x:c>
      <x:c r="I49" s="18" t="n">
        <x:v>5550</x:v>
      </x:c>
      <x:c r="J49" s="18" t="n">
        <x:v>25170</x:v>
      </x:c>
      <x:c r="K49" s="19" t="n">
        <x:f>I49/1000</x:f>
        <x:v>5.55</x:v>
      </x:c>
      <x:c r="L49" s="19" t="n">
        <x:f>SUM(E49:G49)/1000</x:f>
        <x:v>0.387</x:v>
      </x:c>
      <x:c r="M49" s="20" t="n">
        <x:f>IF(I49=0,"n.a.",H49/I49)</x:f>
        <x:v>0.9302702702702703</x:v>
      </x:c>
      <x:c r="N49" s="18" t="n">
        <x:f>IF(J49=0,"n.a.",I49*1000/J49)</x:f>
        <x:v>220.5005959475566</x:v>
      </x:c>
      <x:c r="O49" s="18" t="n">
        <x:f>SUM(E49:H49)-I49</x:f>
        <x:v>0</x:v>
      </x:c>
      <x:c r="P49" s="18" t="n">
        <x:f>RANK(I49,$I$7:$I$212,0)+COUNTIF($I$7:I49,I49)-1</x:f>
        <x:v>43</x:v>
      </x:c>
      <x:c r="Q49" s="10" t="str">
        <x:v>the Arts, London</x:v>
      </x:c>
    </x:row>
    <x:row r="50" ht="46" customHeight="1">
      <x:c r="A50" s="10" t="str">
        <x:v>10004180</x:v>
      </x:c>
      <x:c r="B50" s="11" t="str">
        <x:v>The Manchester Metropolitan University</x:v>
      </x:c>
      <x:c r="C50" s="10" t="str">
        <x:v>Additional UK sample</x:v>
      </x:c>
      <x:c r="D50" s="10" t="str">
        <x:v>2024/25</x:v>
      </x:c>
      <x:c r="E50" s="18" t="n">
        <x:v>0</x:v>
      </x:c>
      <x:c r="F50" s="18" t="n">
        <x:v>81</x:v>
      </x:c>
      <x:c r="G50" s="18" t="n">
        <x:v>3650</x:v>
      </x:c>
      <x:c r="H50" s="18" t="n">
        <x:v>1751</x:v>
      </x:c>
      <x:c r="I50" s="18" t="n">
        <x:v>5482</x:v>
      </x:c>
      <x:c r="J50" s="18" t="n">
        <x:v>24981</x:v>
      </x:c>
      <x:c r="K50" s="19" t="n">
        <x:f>I50/1000</x:f>
        <x:v>5.482</x:v>
      </x:c>
      <x:c r="L50" s="19" t="n">
        <x:f>SUM(E50:G50)/1000</x:f>
        <x:v>3.731</x:v>
      </x:c>
      <x:c r="M50" s="20" t="n">
        <x:f>IF(I50=0,"n.a.",H50/I50)</x:f>
        <x:v>0.3194089748267056</x:v>
      </x:c>
      <x:c r="N50" s="18" t="n">
        <x:f>IF(J50=0,"n.a.",I50*1000/J50)</x:f>
        <x:v>219.44677955245987</x:v>
      </x:c>
      <x:c r="O50" s="18" t="n">
        <x:f>SUM(E50:H50)-I50</x:f>
        <x:v>0</x:v>
      </x:c>
      <x:c r="P50" s="18" t="n">
        <x:f>RANK(I50,$I$7:$I$212,0)+COUNTIF($I$7:I50,I50)-1</x:f>
        <x:v>44</x:v>
      </x:c>
      <x:c r="Q50" s="10" t="str">
        <x:v>Manchester Metropolitan</x:v>
      </x:c>
    </x:row>
    <x:row r="51" ht="46" customHeight="1">
      <x:c r="A51" s="10" t="str">
        <x:v>10007151</x:v>
      </x:c>
      <x:c r="B51" s="11" t="str">
        <x:v>The University of Lincoln</x:v>
      </x:c>
      <x:c r="C51" s="10" t="str">
        <x:v>Other HE provider</x:v>
      </x:c>
      <x:c r="D51" s="10" t="str">
        <x:v>2024/25</x:v>
      </x:c>
      <x:c r="E51" s="18" t="n">
        <x:v>60</x:v>
      </x:c>
      <x:c r="F51" s="18" t="n">
        <x:v>119</x:v>
      </x:c>
      <x:c r="G51" s="18" t="n">
        <x:v>4855</x:v>
      </x:c>
      <x:c r="H51" s="18" t="n">
        <x:v>268</x:v>
      </x:c>
      <x:c r="I51" s="18" t="n">
        <x:v>5302</x:v>
      </x:c>
      <x:c r="J51" s="18" t="n">
        <x:v>35140</x:v>
      </x:c>
      <x:c r="K51" s="19" t="n">
        <x:f>I51/1000</x:f>
        <x:v>5.302</x:v>
      </x:c>
      <x:c r="L51" s="19" t="n">
        <x:f>SUM(E51:G51)/1000</x:f>
        <x:v>5.034</x:v>
      </x:c>
      <x:c r="M51" s="20" t="n">
        <x:f>IF(I51=0,"n.a.",H51/I51)</x:f>
        <x:v>0.05054696341003395</x:v>
      </x:c>
      <x:c r="N51" s="18" t="n">
        <x:f>IF(J51=0,"n.a.",I51*1000/J51)</x:f>
        <x:v>150.88218554354012</x:v>
      </x:c>
      <x:c r="O51" s="18" t="n">
        <x:f>SUM(E51:H51)-I51</x:f>
        <x:v>0</x:v>
      </x:c>
      <x:c r="P51" s="18" t="n">
        <x:f>RANK(I51,$I$7:$I$212,0)+COUNTIF($I$7:I51,I51)-1</x:f>
        <x:v>45</x:v>
      </x:c>
      <x:c r="Q51" s="10" t="str">
        <x:v>Lincoln</x:v>
      </x:c>
    </x:row>
    <x:row r="52" ht="46" customHeight="1">
      <x:c r="A52" s="10" t="str">
        <x:v>10007783</x:v>
      </x:c>
      <x:c r="B52" s="11" t="str">
        <x:v>The University of Aberdeen</x:v>
      </x:c>
      <x:c r="C52" s="10" t="str">
        <x:v>Additional UK sample</x:v>
      </x:c>
      <x:c r="D52" s="10" t="str">
        <x:v>2024/25</x:v>
      </x:c>
      <x:c r="E52" s="18" t="n">
        <x:v>117</x:v>
      </x:c>
      <x:c r="F52" s="18" t="n">
        <x:v>291</x:v>
      </x:c>
      <x:c r="G52" s="18" t="n">
        <x:v>1638</x:v>
      </x:c>
      <x:c r="H52" s="18" t="n">
        <x:v>3153</x:v>
      </x:c>
      <x:c r="I52" s="18" t="n">
        <x:v>5199</x:v>
      </x:c>
      <x:c r="J52" s="18" t="n">
        <x:v>114009</x:v>
      </x:c>
      <x:c r="K52" s="19" t="n">
        <x:f>I52/1000</x:f>
        <x:v>5.199</x:v>
      </x:c>
      <x:c r="L52" s="19" t="n">
        <x:f>SUM(E52:G52)/1000</x:f>
        <x:v>2.046</x:v>
      </x:c>
      <x:c r="M52" s="20" t="n">
        <x:f>IF(I52=0,"n.a.",H52/I52)</x:f>
        <x:v>0.6064627813040969</x:v>
      </x:c>
      <x:c r="N52" s="18" t="n">
        <x:f>IF(J52=0,"n.a.",I52*1000/J52)</x:f>
        <x:v>45.60166302660316</x:v>
      </x:c>
      <x:c r="O52" s="18" t="n">
        <x:f>SUM(E52:H52)-I52</x:f>
        <x:v>0</x:v>
      </x:c>
      <x:c r="P52" s="18" t="n">
        <x:f>RANK(I52,$I$7:$I$212,0)+COUNTIF($I$7:I52,I52)-1</x:f>
        <x:v>46</x:v>
      </x:c>
      <x:c r="Q52" s="10" t="str">
        <x:v>Aberdeen</x:v>
      </x:c>
    </x:row>
    <x:row r="53" ht="46" customHeight="1">
      <x:c r="A53" s="10" t="str">
        <x:v>10007145</x:v>
      </x:c>
      <x:c r="B53" s="11" t="str">
        <x:v>University of Gloucestershire</x:v>
      </x:c>
      <x:c r="C53" s="10" t="str">
        <x:v>Other HE provider</x:v>
      </x:c>
      <x:c r="D53" s="10" t="str">
        <x:v>2024/25</x:v>
      </x:c>
      <x:c r="E53" s="18" t="n">
        <x:v>353</x:v>
      </x:c>
      <x:c r="F53" s="18" t="n">
        <x:v>470</x:v>
      </x:c>
      <x:c r="G53" s="18" t="n">
        <x:v>4346</x:v>
      </x:c>
      <x:c r="H53" s="18" t="n">
        <x:v>15</x:v>
      </x:c>
      <x:c r="I53" s="18" t="n">
        <x:v>5184</x:v>
      </x:c>
      <x:c r="J53" s="18" t="n">
        <x:v>22688</x:v>
      </x:c>
      <x:c r="K53" s="19" t="n">
        <x:f>I53/1000</x:f>
        <x:v>5.184</x:v>
      </x:c>
      <x:c r="L53" s="19" t="n">
        <x:f>SUM(E53:G53)/1000</x:f>
        <x:v>5.169</x:v>
      </x:c>
      <x:c r="M53" s="20" t="n">
        <x:f>IF(I53=0,"n.a.",H53/I53)</x:f>
        <x:v>0.0028935185185185184</x:v>
      </x:c>
      <x:c r="N53" s="18" t="n">
        <x:f>IF(J53=0,"n.a.",I53*1000/J53)</x:f>
        <x:v>228.49083215796898</x:v>
      </x:c>
      <x:c r="O53" s="18" t="n">
        <x:f>SUM(E53:H53)-I53</x:f>
        <x:v>0</x:v>
      </x:c>
      <x:c r="P53" s="18" t="n">
        <x:f>RANK(I53,$I$7:$I$212,0)+COUNTIF($I$7:I53,I53)-1</x:f>
        <x:v>47</x:v>
      </x:c>
      <x:c r="Q53" s="10" t="str">
        <x:v>Gloucestershire</x:v>
      </x:c>
    </x:row>
    <x:row r="54" ht="46" customHeight="1">
      <x:c r="A54" s="10" t="str">
        <x:v>10005500</x:v>
      </x:c>
      <x:c r="B54" s="11" t="str">
        <x:v>Robert Gordon University</x:v>
      </x:c>
      <x:c r="C54" s="10" t="str">
        <x:v>Other HE provider</x:v>
      </x:c>
      <x:c r="D54" s="10" t="str">
        <x:v>2024/25</x:v>
      </x:c>
      <x:c r="E54" s="18" t="n">
        <x:v>98</x:v>
      </x:c>
      <x:c r="F54" s="18" t="n">
        <x:v>397</x:v>
      </x:c>
      <x:c r="G54" s="18" t="n">
        <x:v>1989</x:v>
      </x:c>
      <x:c r="H54" s="18" t="n">
        <x:v>2506</x:v>
      </x:c>
      <x:c r="I54" s="18" t="n">
        <x:v>4990</x:v>
      </x:c>
      <x:c r="J54" s="18" t="n">
        <x:v>0</x:v>
      </x:c>
      <x:c r="K54" s="19" t="n">
        <x:f>I54/1000</x:f>
        <x:v>4.99</x:v>
      </x:c>
      <x:c r="L54" s="19" t="n">
        <x:f>SUM(E54:G54)/1000</x:f>
        <x:v>2.484</x:v>
      </x:c>
      <x:c r="M54" s="20" t="n">
        <x:f>IF(I54=0,"n.a.",H54/I54)</x:f>
        <x:v>0.5022044088176353</x:v>
      </x:c>
      <x:c r="N54" s="18" t="str">
        <x:f>IF(J54=0,"n.a.",I54*1000/J54)</x:f>
        <x:v>n.a.</x:v>
      </x:c>
      <x:c r="O54" s="18" t="n">
        <x:f>SUM(E54:H54)-I54</x:f>
        <x:v>0</x:v>
      </x:c>
      <x:c r="P54" s="18" t="n">
        <x:f>RANK(I54,$I$7:$I$212,0)+COUNTIF($I$7:I54,I54)-1</x:f>
        <x:v>48</x:v>
      </x:c>
      <x:c r="Q54" s="10" t="str">
        <x:v>Robert Gordon</x:v>
      </x:c>
    </x:row>
    <x:row r="55" ht="46" customHeight="1">
      <x:c r="A55" s="10" t="str">
        <x:v>10007167</x:v>
      </x:c>
      <x:c r="B55" s="11" t="str">
        <x:v>The University of York</x:v>
      </x:c>
      <x:c r="C55" s="10" t="str">
        <x:v>Russell Group</x:v>
      </x:c>
      <x:c r="D55" s="10" t="str">
        <x:v>2024/25</x:v>
      </x:c>
      <x:c r="E55" s="18" t="n">
        <x:v>89</x:v>
      </x:c>
      <x:c r="F55" s="18" t="n">
        <x:v>1006</x:v>
      </x:c>
      <x:c r="G55" s="18" t="n">
        <x:v>3416</x:v>
      </x:c>
      <x:c r="H55" s="18" t="n">
        <x:v>259</x:v>
      </x:c>
      <x:c r="I55" s="18" t="n">
        <x:v>4770</x:v>
      </x:c>
      <x:c r="J55" s="18" t="n">
        <x:v>7817</x:v>
      </x:c>
      <x:c r="K55" s="19" t="n">
        <x:f>I55/1000</x:f>
        <x:v>4.77</x:v>
      </x:c>
      <x:c r="L55" s="19" t="n">
        <x:f>SUM(E55:G55)/1000</x:f>
        <x:v>4.511</x:v>
      </x:c>
      <x:c r="M55" s="20" t="n">
        <x:f>IF(I55=0,"n.a.",H55/I55)</x:f>
        <x:v>0.05429769392033543</x:v>
      </x:c>
      <x:c r="N55" s="18" t="n">
        <x:f>IF(J55=0,"n.a.",I55*1000/J55)</x:f>
        <x:v>610.2085198925419</x:v>
      </x:c>
      <x:c r="O55" s="18" t="n">
        <x:f>SUM(E55:H55)-I55</x:f>
        <x:v>0</x:v>
      </x:c>
      <x:c r="P55" s="18" t="n">
        <x:f>RANK(I55,$I$7:$I$212,0)+COUNTIF($I$7:I55,I55)-1</x:f>
        <x:v>49</x:v>
      </x:c>
      <x:c r="Q55" s="10" t="str">
        <x:v>York</x:v>
      </x:c>
    </x:row>
    <x:row r="56" ht="46" customHeight="1">
      <x:c r="A56" s="10" t="str">
        <x:v>10007823</x:v>
      </x:c>
      <x:c r="B56" s="11" t="str">
        <x:v>Edge Hill University</x:v>
      </x:c>
      <x:c r="C56" s="10" t="str">
        <x:v>Other HE provider</x:v>
      </x:c>
      <x:c r="D56" s="10" t="str">
        <x:v>2024/25</x:v>
      </x:c>
      <x:c r="E56" s="18" t="n">
        <x:v>16</x:v>
      </x:c>
      <x:c r="F56" s="18" t="n">
        <x:v>0</x:v>
      </x:c>
      <x:c r="G56" s="18" t="n">
        <x:v>3684</x:v>
      </x:c>
      <x:c r="H56" s="18" t="n">
        <x:v>900</x:v>
      </x:c>
      <x:c r="I56" s="18" t="n">
        <x:v>4600</x:v>
      </x:c>
      <x:c r="J56" s="18" t="n">
        <x:v>11308</x:v>
      </x:c>
      <x:c r="K56" s="19" t="n">
        <x:f>I56/1000</x:f>
        <x:v>4.6</x:v>
      </x:c>
      <x:c r="L56" s="19" t="n">
        <x:f>SUM(E56:G56)/1000</x:f>
        <x:v>3.7</x:v>
      </x:c>
      <x:c r="M56" s="20" t="n">
        <x:f>IF(I56=0,"n.a.",H56/I56)</x:f>
        <x:v>0.1956521739130435</x:v>
      </x:c>
      <x:c r="N56" s="18" t="n">
        <x:f>IF(J56=0,"n.a.",I56*1000/J56)</x:f>
        <x:v>406.7916519278387</x:v>
      </x:c>
      <x:c r="O56" s="18" t="n">
        <x:f>SUM(E56:H56)-I56</x:f>
        <x:v>0</x:v>
      </x:c>
      <x:c r="P56" s="18" t="n">
        <x:f>RANK(I56,$I$7:$I$212,0)+COUNTIF($I$7:I56,I56)-1</x:f>
        <x:v>50</x:v>
      </x:c>
      <x:c r="Q56" s="10" t="str">
        <x:v>Edge Hill</x:v>
      </x:c>
    </x:row>
    <x:row r="57" ht="46" customHeight="1">
      <x:c r="A57" s="10" t="str">
        <x:v>10009292</x:v>
      </x:c>
      <x:c r="B57" s="11" t="str">
        <x:v>Royal Academy of Dramatic Art</x:v>
      </x:c>
      <x:c r="C57" s="10" t="str">
        <x:v>Other HE provider</x:v>
      </x:c>
      <x:c r="D57" s="10" t="str">
        <x:v>2024/25</x:v>
      </x:c>
      <x:c r="E57" s="18" t="n">
        <x:v>419</x:v>
      </x:c>
      <x:c r="F57" s="18" t="n">
        <x:v>605</x:v>
      </x:c>
      <x:c r="G57" s="18" t="n">
        <x:v>462</x:v>
      </x:c>
      <x:c r="H57" s="18" t="n">
        <x:v>3061</x:v>
      </x:c>
      <x:c r="I57" s="18" t="n">
        <x:v>4547</x:v>
      </x:c>
      <x:c r="J57" s="18" t="n">
        <x:v>13991</x:v>
      </x:c>
      <x:c r="K57" s="19" t="n">
        <x:f>I57/1000</x:f>
        <x:v>4.547</x:v>
      </x:c>
      <x:c r="L57" s="19" t="n">
        <x:f>SUM(E57:G57)/1000</x:f>
        <x:v>1.486</x:v>
      </x:c>
      <x:c r="M57" s="20" t="n">
        <x:f>IF(I57=0,"n.a.",H57/I57)</x:f>
        <x:v>0.6731911150208929</x:v>
      </x:c>
      <x:c r="N57" s="18" t="n">
        <x:f>IF(J57=0,"n.a.",I57*1000/J57)</x:f>
        <x:v>324.99463941104995</x:v>
      </x:c>
      <x:c r="O57" s="18" t="n">
        <x:f>SUM(E57:H57)-I57</x:f>
        <x:v>0</x:v>
      </x:c>
      <x:c r="P57" s="18" t="n">
        <x:f>RANK(I57,$I$7:$I$212,0)+COUNTIF($I$7:I57,I57)-1</x:f>
        <x:v>51</x:v>
      </x:c>
      <x:c r="Q57" s="10" t="str">
        <x:v>Royal Academy of Dramatic Art</x:v>
      </x:c>
    </x:row>
    <x:row r="58" ht="46" customHeight="1">
      <x:c r="A58" s="10" t="str">
        <x:v>10006299</x:v>
      </x:c>
      <x:c r="B58" s="11" t="str">
        <x:v>University of Staffordshire</x:v>
      </x:c>
      <x:c r="C58" s="10" t="str">
        <x:v>Other HE provider</x:v>
      </x:c>
      <x:c r="D58" s="10" t="str">
        <x:v>2024/25</x:v>
      </x:c>
      <x:c r="E58" s="18" t="n">
        <x:v>0</x:v>
      </x:c>
      <x:c r="F58" s="18" t="n">
        <x:v>0</x:v>
      </x:c>
      <x:c r="G58" s="18" t="n">
        <x:v>3964</x:v>
      </x:c>
      <x:c r="H58" s="18" t="n">
        <x:v>529</x:v>
      </x:c>
      <x:c r="I58" s="18" t="n">
        <x:v>4493</x:v>
      </x:c>
      <x:c r="J58" s="18" t="n">
        <x:v>0</x:v>
      </x:c>
      <x:c r="K58" s="19" t="n">
        <x:f>I58/1000</x:f>
        <x:v>4.493</x:v>
      </x:c>
      <x:c r="L58" s="19" t="n">
        <x:f>SUM(E58:G58)/1000</x:f>
        <x:v>3.964</x:v>
      </x:c>
      <x:c r="M58" s="20" t="n">
        <x:f>IF(I58=0,"n.a.",H58/I58)</x:f>
        <x:v>0.11773870465168039</x:v>
      </x:c>
      <x:c r="N58" s="18" t="str">
        <x:f>IF(J58=0,"n.a.",I58*1000/J58)</x:f>
        <x:v>n.a.</x:v>
      </x:c>
      <x:c r="O58" s="18" t="n">
        <x:f>SUM(E58:H58)-I58</x:f>
        <x:v>0</x:v>
      </x:c>
      <x:c r="P58" s="18" t="n">
        <x:f>RANK(I58,$I$7:$I$212,0)+COUNTIF($I$7:I58,I58)-1</x:f>
        <x:v>52</x:v>
      </x:c>
      <x:c r="Q58" s="10" t="str">
        <x:v>Staffordshire</x:v>
      </x:c>
    </x:row>
    <x:row r="59" ht="46" customHeight="1">
      <x:c r="A59" s="10" t="str">
        <x:v>10007792</x:v>
      </x:c>
      <x:c r="B59" s="11" t="str">
        <x:v>The University of Exeter</x:v>
      </x:c>
      <x:c r="C59" s="10" t="str">
        <x:v>Russell Group</x:v>
      </x:c>
      <x:c r="D59" s="10" t="str">
        <x:v>2024/25</x:v>
      </x:c>
      <x:c r="E59" s="18" t="n">
        <x:v>1018</x:v>
      </x:c>
      <x:c r="F59" s="18" t="n">
        <x:v>1740</x:v>
      </x:c>
      <x:c r="G59" s="18" t="n">
        <x:v>1103</x:v>
      </x:c>
      <x:c r="H59" s="18" t="n">
        <x:v>382</x:v>
      </x:c>
      <x:c r="I59" s="18" t="n">
        <x:v>4243</x:v>
      </x:c>
      <x:c r="J59" s="18" t="n">
        <x:v>0</x:v>
      </x:c>
      <x:c r="K59" s="19" t="n">
        <x:f>I59/1000</x:f>
        <x:v>4.243</x:v>
      </x:c>
      <x:c r="L59" s="19" t="n">
        <x:f>SUM(E59:G59)/1000</x:f>
        <x:v>3.861</x:v>
      </x:c>
      <x:c r="M59" s="20" t="n">
        <x:f>IF(I59=0,"n.a.",H59/I59)</x:f>
        <x:v>0.0900306386990337</x:v>
      </x:c>
      <x:c r="N59" s="18" t="str">
        <x:f>IF(J59=0,"n.a.",I59*1000/J59)</x:f>
        <x:v>n.a.</x:v>
      </x:c>
      <x:c r="O59" s="18" t="n">
        <x:f>SUM(E59:H59)-I59</x:f>
        <x:v>0</x:v>
      </x:c>
      <x:c r="P59" s="18" t="n">
        <x:f>RANK(I59,$I$7:$I$212,0)+COUNTIF($I$7:I59,I59)-1</x:f>
        <x:v>53</x:v>
      </x:c>
      <x:c r="Q59" s="10" t="str">
        <x:v>Exeter</x:v>
      </x:c>
    </x:row>
    <x:row r="60" ht="46" customHeight="1">
      <x:c r="A60" s="10" t="str">
        <x:v>10007855</x:v>
      </x:c>
      <x:c r="B60" s="11" t="str">
        <x:v>Swansea University</x:v>
      </x:c>
      <x:c r="C60" s="10" t="str">
        <x:v>Additional UK sample</x:v>
      </x:c>
      <x:c r="D60" s="10" t="str">
        <x:v>2024/25</x:v>
      </x:c>
      <x:c r="E60" s="18" t="n">
        <x:v>15</x:v>
      </x:c>
      <x:c r="F60" s="18" t="n">
        <x:v>110</x:v>
      </x:c>
      <x:c r="G60" s="18" t="n">
        <x:v>1954</x:v>
      </x:c>
      <x:c r="H60" s="18" t="n">
        <x:v>2136</x:v>
      </x:c>
      <x:c r="I60" s="18" t="n">
        <x:v>4215</x:v>
      </x:c>
      <x:c r="J60" s="18" t="n">
        <x:v>37852</x:v>
      </x:c>
      <x:c r="K60" s="19" t="n">
        <x:f>I60/1000</x:f>
        <x:v>4.215</x:v>
      </x:c>
      <x:c r="L60" s="19" t="n">
        <x:f>SUM(E60:G60)/1000</x:f>
        <x:v>2.079</x:v>
      </x:c>
      <x:c r="M60" s="20" t="n">
        <x:f>IF(I60=0,"n.a.",H60/I60)</x:f>
        <x:v>0.5067615658362989</x:v>
      </x:c>
      <x:c r="N60" s="18" t="n">
        <x:f>IF(J60=0,"n.a.",I60*1000/J60)</x:f>
        <x:v>111.35475007925605</x:v>
      </x:c>
      <x:c r="O60" s="18" t="n">
        <x:f>SUM(E60:H60)-I60</x:f>
        <x:v>0</x:v>
      </x:c>
      <x:c r="P60" s="18" t="n">
        <x:f>RANK(I60,$I$7:$I$212,0)+COUNTIF($I$7:I60,I60)-1</x:f>
        <x:v>54</x:v>
      </x:c>
      <x:c r="Q60" s="10" t="str">
        <x:v>Swansea</x:v>
      </x:c>
    </x:row>
    <x:row r="61" ht="46" customHeight="1">
      <x:c r="A61" s="10" t="str">
        <x:v>10007139</x:v>
      </x:c>
      <x:c r="B61" s="11" t="str">
        <x:v>University of Worcester</x:v>
      </x:c>
      <x:c r="C61" s="10" t="str">
        <x:v>Other HE provider</x:v>
      </x:c>
      <x:c r="D61" s="10" t="str">
        <x:v>2024/25</x:v>
      </x:c>
      <x:c r="E61" s="18" t="n">
        <x:v>195</x:v>
      </x:c>
      <x:c r="F61" s="18" t="n">
        <x:v>142</x:v>
      </x:c>
      <x:c r="G61" s="18" t="n">
        <x:v>1811</x:v>
      </x:c>
      <x:c r="H61" s="18" t="n">
        <x:v>1913</x:v>
      </x:c>
      <x:c r="I61" s="18" t="n">
        <x:v>4061</x:v>
      </x:c>
      <x:c r="J61" s="18" t="n">
        <x:v>21835</x:v>
      </x:c>
      <x:c r="K61" s="19" t="n">
        <x:f>I61/1000</x:f>
        <x:v>4.061</x:v>
      </x:c>
      <x:c r="L61" s="19" t="n">
        <x:f>SUM(E61:G61)/1000</x:f>
        <x:v>2.148</x:v>
      </x:c>
      <x:c r="M61" s="20" t="n">
        <x:f>IF(I61=0,"n.a.",H61/I61)</x:f>
        <x:v>0.47106623984240337</x:v>
      </x:c>
      <x:c r="N61" s="18" t="n">
        <x:f>IF(J61=0,"n.a.",I61*1000/J61)</x:f>
        <x:v>185.98580261048775</x:v>
      </x:c>
      <x:c r="O61" s="18" t="n">
        <x:f>SUM(E61:H61)-I61</x:f>
        <x:v>0</x:v>
      </x:c>
      <x:c r="P61" s="18" t="n">
        <x:f>RANK(I61,$I$7:$I$212,0)+COUNTIF($I$7:I61,I61)-1</x:f>
        <x:v>55</x:v>
      </x:c>
      <x:c r="Q61" s="10" t="str">
        <x:v>Worcester</x:v>
      </x:c>
    </x:row>
    <x:row r="62" ht="46" customHeight="1">
      <x:c r="A62" s="10" t="str">
        <x:v>10007149</x:v>
      </x:c>
      <x:c r="B62" s="11" t="str">
        <x:v>The University of Hull</x:v>
      </x:c>
      <x:c r="C62" s="10" t="str">
        <x:v>Other HE provider</x:v>
      </x:c>
      <x:c r="D62" s="10" t="str">
        <x:v>2024/25</x:v>
      </x:c>
      <x:c r="E62" s="18" t="n">
        <x:v>23</x:v>
      </x:c>
      <x:c r="F62" s="18" t="n">
        <x:v>180</x:v>
      </x:c>
      <x:c r="G62" s="18" t="n">
        <x:v>1802</x:v>
      </x:c>
      <x:c r="H62" s="18" t="n">
        <x:v>1945</x:v>
      </x:c>
      <x:c r="I62" s="18" t="n">
        <x:v>3950</x:v>
      </x:c>
      <x:c r="J62" s="18" t="n">
        <x:v>19281</x:v>
      </x:c>
      <x:c r="K62" s="19" t="n">
        <x:f>I62/1000</x:f>
        <x:v>3.95</x:v>
      </x:c>
      <x:c r="L62" s="19" t="n">
        <x:f>SUM(E62:G62)/1000</x:f>
        <x:v>2.005</x:v>
      </x:c>
      <x:c r="M62" s="20" t="n">
        <x:f>IF(I62=0,"n.a.",H62/I62)</x:f>
        <x:v>0.49240506329113926</x:v>
      </x:c>
      <x:c r="N62" s="18" t="n">
        <x:f>IF(J62=0,"n.a.",I62*1000/J62)</x:f>
        <x:v>204.86489289974585</x:v>
      </x:c>
      <x:c r="O62" s="18" t="n">
        <x:f>SUM(E62:H62)-I62</x:f>
        <x:v>0</x:v>
      </x:c>
      <x:c r="P62" s="18" t="n">
        <x:f>RANK(I62,$I$7:$I$212,0)+COUNTIF($I$7:I62,I62)-1</x:f>
        <x:v>56</x:v>
      </x:c>
      <x:c r="Q62" s="10" t="str">
        <x:v>Hull</x:v>
      </x:c>
    </x:row>
    <x:row r="63" ht="46" customHeight="1">
      <x:c r="A63" s="10" t="str">
        <x:v>10007795</x:v>
      </x:c>
      <x:c r="B63" s="11" t="str">
        <x:v>The University of Leeds</x:v>
      </x:c>
      <x:c r="C63" s="10" t="str">
        <x:v>Russell Group</x:v>
      </x:c>
      <x:c r="D63" s="10" t="str">
        <x:v>2024/25</x:v>
      </x:c>
      <x:c r="E63" s="18" t="n">
        <x:v>40</x:v>
      </x:c>
      <x:c r="F63" s="18" t="n">
        <x:v>1208</x:v>
      </x:c>
      <x:c r="G63" s="18" t="n">
        <x:v>2231</x:v>
      </x:c>
      <x:c r="H63" s="18" t="n">
        <x:v>437</x:v>
      </x:c>
      <x:c r="I63" s="18" t="n">
        <x:v>3916</x:v>
      </x:c>
      <x:c r="J63" s="18" t="n">
        <x:v>33901</x:v>
      </x:c>
      <x:c r="K63" s="19" t="n">
        <x:f>I63/1000</x:f>
        <x:v>3.916</x:v>
      </x:c>
      <x:c r="L63" s="19" t="n">
        <x:f>SUM(E63:G63)/1000</x:f>
        <x:v>3.479</x:v>
      </x:c>
      <x:c r="M63" s="20" t="n">
        <x:f>IF(I63=0,"n.a.",H63/I63)</x:f>
        <x:v>0.11159346271705822</x:v>
      </x:c>
      <x:c r="N63" s="18" t="n">
        <x:f>IF(J63=0,"n.a.",I63*1000/J63)</x:f>
        <x:v>115.51281673106988</x:v>
      </x:c>
      <x:c r="O63" s="18" t="n">
        <x:f>SUM(E63:H63)-I63</x:f>
        <x:v>0</x:v>
      </x:c>
      <x:c r="P63" s="18" t="n">
        <x:f>RANK(I63,$I$7:$I$212,0)+COUNTIF($I$7:I63,I63)-1</x:f>
        <x:v>57</x:v>
      </x:c>
      <x:c r="Q63" s="10" t="str">
        <x:v>Leeds</x:v>
      </x:c>
    </x:row>
    <x:row r="64" ht="46" customHeight="1">
      <x:c r="A64" s="10" t="str">
        <x:v>10003861</x:v>
      </x:c>
      <x:c r="B64" s="11" t="str">
        <x:v>Leeds Beckett University</x:v>
      </x:c>
      <x:c r="C64" s="10" t="str">
        <x:v>Other HE provider</x:v>
      </x:c>
      <x:c r="D64" s="10" t="str">
        <x:v>2024/25</x:v>
      </x:c>
      <x:c r="E64" s="18" t="n">
        <x:v>667</x:v>
      </x:c>
      <x:c r="F64" s="18" t="n">
        <x:v>684</x:v>
      </x:c>
      <x:c r="G64" s="18" t="n">
        <x:v>2234</x:v>
      </x:c>
      <x:c r="H64" s="18" t="n">
        <x:v>231</x:v>
      </x:c>
      <x:c r="I64" s="18" t="n">
        <x:v>3816</x:v>
      </x:c>
      <x:c r="J64" s="18" t="n">
        <x:v>57597</x:v>
      </x:c>
      <x:c r="K64" s="19" t="n">
        <x:f>I64/1000</x:f>
        <x:v>3.816</x:v>
      </x:c>
      <x:c r="L64" s="19" t="n">
        <x:f>SUM(E64:G64)/1000</x:f>
        <x:v>3.585</x:v>
      </x:c>
      <x:c r="M64" s="20" t="n">
        <x:f>IF(I64=0,"n.a.",H64/I64)</x:f>
        <x:v>0.060534591194968554</x:v>
      </x:c>
      <x:c r="N64" s="18" t="n">
        <x:f>IF(J64=0,"n.a.",I64*1000/J64)</x:f>
        <x:v>66.25345070055732</x:v>
      </x:c>
      <x:c r="O64" s="18" t="n">
        <x:f>SUM(E64:H64)-I64</x:f>
        <x:v>0</x:v>
      </x:c>
      <x:c r="P64" s="18" t="n">
        <x:f>RANK(I64,$I$7:$I$212,0)+COUNTIF($I$7:I64,I64)-1</x:f>
        <x:v>58</x:v>
      </x:c>
      <x:c r="Q64" s="10" t="str">
        <x:v>Leeds Beckett</x:v>
      </x:c>
    </x:row>
    <x:row r="65" ht="46" customHeight="1">
      <x:c r="A65" s="10" t="str">
        <x:v>10007165</x:v>
      </x:c>
      <x:c r="B65" s="11" t="str">
        <x:v>The University of Westminster</x:v>
      </x:c>
      <x:c r="C65" s="10" t="str">
        <x:v>Other HE provider</x:v>
      </x:c>
      <x:c r="D65" s="10" t="str">
        <x:v>2024/25</x:v>
      </x:c>
      <x:c r="E65" s="18" t="n">
        <x:v>770</x:v>
      </x:c>
      <x:c r="F65" s="18" t="n">
        <x:v>296</x:v>
      </x:c>
      <x:c r="G65" s="18" t="n">
        <x:v>514</x:v>
      </x:c>
      <x:c r="H65" s="18" t="n">
        <x:v>2210</x:v>
      </x:c>
      <x:c r="I65" s="18" t="n">
        <x:v>3790</x:v>
      </x:c>
      <x:c r="J65" s="18" t="n">
        <x:v>25105</x:v>
      </x:c>
      <x:c r="K65" s="19" t="n">
        <x:f>I65/1000</x:f>
        <x:v>3.79</x:v>
      </x:c>
      <x:c r="L65" s="19" t="n">
        <x:f>SUM(E65:G65)/1000</x:f>
        <x:v>1.58</x:v>
      </x:c>
      <x:c r="M65" s="20" t="n">
        <x:f>IF(I65=0,"n.a.",H65/I65)</x:f>
        <x:v>0.58311345646438</x:v>
      </x:c>
      <x:c r="N65" s="18" t="n">
        <x:f>IF(J65=0,"n.a.",I65*1000/J65)</x:f>
        <x:v>150.9659430392352</x:v>
      </x:c>
      <x:c r="O65" s="18" t="n">
        <x:f>SUM(E65:H65)-I65</x:f>
        <x:v>0</x:v>
      </x:c>
      <x:c r="P65" s="18" t="n">
        <x:f>RANK(I65,$I$7:$I$212,0)+COUNTIF($I$7:I65,I65)-1</x:f>
        <x:v>59</x:v>
      </x:c>
      <x:c r="Q65" s="10" t="str">
        <x:v>Westminster</x:v>
      </x:c>
    </x:row>
    <x:row r="66" ht="46" customHeight="1">
      <x:c r="A66" s="10" t="str">
        <x:v>10007799</x:v>
      </x:c>
      <x:c r="B66" s="11" t="str">
        <x:v>Newcastle University</x:v>
      </x:c>
      <x:c r="C66" s="10" t="str">
        <x:v>Russell Group</x:v>
      </x:c>
      <x:c r="D66" s="10" t="str">
        <x:v>2024/25</x:v>
      </x:c>
      <x:c r="E66" s="18" t="n">
        <x:v>90</x:v>
      </x:c>
      <x:c r="F66" s="18" t="n">
        <x:v>36</x:v>
      </x:c>
      <x:c r="G66" s="18" t="n">
        <x:v>2353</x:v>
      </x:c>
      <x:c r="H66" s="18" t="n">
        <x:v>1247</x:v>
      </x:c>
      <x:c r="I66" s="18" t="n">
        <x:v>3726</x:v>
      </x:c>
      <x:c r="J66" s="18" t="n">
        <x:v>46185</x:v>
      </x:c>
      <x:c r="K66" s="19" t="n">
        <x:f>I66/1000</x:f>
        <x:v>3.726</x:v>
      </x:c>
      <x:c r="L66" s="19" t="n">
        <x:f>SUM(E66:G66)/1000</x:f>
        <x:v>2.479</x:v>
      </x:c>
      <x:c r="M66" s="20" t="n">
        <x:f>IF(I66=0,"n.a.",H66/I66)</x:f>
        <x:v>0.33467525496511</x:v>
      </x:c>
      <x:c r="N66" s="18" t="n">
        <x:f>IF(J66=0,"n.a.",I66*1000/J66)</x:f>
        <x:v>80.67554400779474</x:v>
      </x:c>
      <x:c r="O66" s="18" t="n">
        <x:f>SUM(E66:H66)-I66</x:f>
        <x:v>0</x:v>
      </x:c>
      <x:c r="P66" s="18" t="n">
        <x:f>RANK(I66,$I$7:$I$212,0)+COUNTIF($I$7:I66,I66)-1</x:f>
        <x:v>60</x:v>
      </x:c>
      <x:c r="Q66" s="10" t="str">
        <x:v>Newcastle</x:v>
      </x:c>
    </x:row>
    <x:row r="67" ht="46" customHeight="1">
      <x:c r="A67" s="10" t="str">
        <x:v>10004511</x:v>
      </x:c>
      <x:c r="B67" s="11" t="str">
        <x:v>The National Film and Television School</x:v>
      </x:c>
      <x:c r="C67" s="10" t="str">
        <x:v>Other HE provider</x:v>
      </x:c>
      <x:c r="D67" s="10" t="str">
        <x:v>2024/25</x:v>
      </x:c>
      <x:c r="E67" s="18" t="n">
        <x:v>0</x:v>
      </x:c>
      <x:c r="F67" s="18" t="n">
        <x:v>0</x:v>
      </x:c>
      <x:c r="G67" s="18" t="n">
        <x:v>0</x:v>
      </x:c>
      <x:c r="H67" s="18" t="n">
        <x:v>3599</x:v>
      </x:c>
      <x:c r="I67" s="18" t="n">
        <x:v>3599</x:v>
      </x:c>
      <x:c r="J67" s="18" t="n">
        <x:v>0</x:v>
      </x:c>
      <x:c r="K67" s="19" t="n">
        <x:f>I67/1000</x:f>
        <x:v>3.599</x:v>
      </x:c>
      <x:c r="L67" s="19" t="n">
        <x:f>SUM(E67:G67)/1000</x:f>
        <x:v>0</x:v>
      </x:c>
      <x:c r="M67" s="20" t="n">
        <x:f>IF(I67=0,"n.a.",H67/I67)</x:f>
        <x:v>1</x:v>
      </x:c>
      <x:c r="N67" s="18" t="str">
        <x:f>IF(J67=0,"n.a.",I67*1000/J67)</x:f>
        <x:v>n.a.</x:v>
      </x:c>
      <x:c r="O67" s="18" t="n">
        <x:f>SUM(E67:H67)-I67</x:f>
        <x:v>0</x:v>
      </x:c>
      <x:c r="P67" s="18" t="n">
        <x:f>RANK(I67,$I$7:$I$212,0)+COUNTIF($I$7:I67,I67)-1</x:f>
        <x:v>61</x:v>
      </x:c>
      <x:c r="Q67" s="10" t="str">
        <x:v>The National Film and Television School</x:v>
      </x:c>
    </x:row>
    <x:row r="68" ht="46" customHeight="1">
      <x:c r="A68" s="10" t="str">
        <x:v>10007793</x:v>
      </x:c>
      <x:c r="B68" s="11" t="str">
        <x:v>University of South Wales</x:v>
      </x:c>
      <x:c r="C68" s="10" t="str">
        <x:v>Other HE provider</x:v>
      </x:c>
      <x:c r="D68" s="10" t="str">
        <x:v>2024/25</x:v>
      </x:c>
      <x:c r="E68" s="18" t="n">
        <x:v>4</x:v>
      </x:c>
      <x:c r="F68" s="18" t="n">
        <x:v>229</x:v>
      </x:c>
      <x:c r="G68" s="18" t="n">
        <x:v>2365</x:v>
      </x:c>
      <x:c r="H68" s="18" t="n">
        <x:v>958</x:v>
      </x:c>
      <x:c r="I68" s="18" t="n">
        <x:v>3556</x:v>
      </x:c>
      <x:c r="J68" s="18" t="n">
        <x:v>32802</x:v>
      </x:c>
      <x:c r="K68" s="19" t="n">
        <x:f>I68/1000</x:f>
        <x:v>3.556</x:v>
      </x:c>
      <x:c r="L68" s="19" t="n">
        <x:f>SUM(E68:G68)/1000</x:f>
        <x:v>2.598</x:v>
      </x:c>
      <x:c r="M68" s="20" t="n">
        <x:f>IF(I68=0,"n.a.",H68/I68)</x:f>
        <x:v>0.26940382452193473</x:v>
      </x:c>
      <x:c r="N68" s="18" t="n">
        <x:f>IF(J68=0,"n.a.",I68*1000/J68)</x:f>
        <x:v>108.40802390098165</x:v>
      </x:c>
      <x:c r="O68" s="18" t="n">
        <x:f>SUM(E68:H68)-I68</x:f>
        <x:v>0</x:v>
      </x:c>
      <x:c r="P68" s="18" t="n">
        <x:f>RANK(I68,$I$7:$I$212,0)+COUNTIF($I$7:I68,I68)-1</x:f>
        <x:v>62</x:v>
      </x:c>
      <x:c r="Q68" s="10" t="str">
        <x:v>South Wales</x:v>
      </x:c>
    </x:row>
    <x:row r="69" ht="46" customHeight="1">
      <x:c r="A69" s="10" t="str">
        <x:v>10007796</x:v>
      </x:c>
      <x:c r="B69" s="11" t="str">
        <x:v>The University of Leicester</x:v>
      </x:c>
      <x:c r="C69" s="10" t="str">
        <x:v>Additional UK sample</x:v>
      </x:c>
      <x:c r="D69" s="10" t="str">
        <x:v>2024/25</x:v>
      </x:c>
      <x:c r="E69" s="18" t="n">
        <x:v>18</x:v>
      </x:c>
      <x:c r="F69" s="18" t="n">
        <x:v>298</x:v>
      </x:c>
      <x:c r="G69" s="18" t="n">
        <x:v>2073</x:v>
      </x:c>
      <x:c r="H69" s="18" t="n">
        <x:v>1152</x:v>
      </x:c>
      <x:c r="I69" s="18" t="n">
        <x:v>3541</x:v>
      </x:c>
      <x:c r="J69" s="18" t="n">
        <x:v>18062</x:v>
      </x:c>
      <x:c r="K69" s="19" t="n">
        <x:f>I69/1000</x:f>
        <x:v>3.541</x:v>
      </x:c>
      <x:c r="L69" s="19" t="n">
        <x:f>SUM(E69:G69)/1000</x:f>
        <x:v>2.389</x:v>
      </x:c>
      <x:c r="M69" s="20" t="n">
        <x:f>IF(I69=0,"n.a.",H69/I69)</x:f>
        <x:v>0.32533182716746684</x:v>
      </x:c>
      <x:c r="N69" s="18" t="n">
        <x:f>IF(J69=0,"n.a.",I69*1000/J69)</x:f>
        <x:v>196.04694939652308</x:v>
      </x:c>
      <x:c r="O69" s="18" t="n">
        <x:f>SUM(E69:H69)-I69</x:f>
        <x:v>0</x:v>
      </x:c>
      <x:c r="P69" s="18" t="n">
        <x:f>RANK(I69,$I$7:$I$212,0)+COUNTIF($I$7:I69,I69)-1</x:f>
        <x:v>63</x:v>
      </x:c>
      <x:c r="Q69" s="10" t="str">
        <x:v>Leicester</x:v>
      </x:c>
    </x:row>
    <x:row r="70" ht="46" customHeight="1">
      <x:c r="A70" s="10" t="str">
        <x:v>10007807</x:v>
      </x:c>
      <x:c r="B70" s="11" t="str">
        <x:v>Ulster University</x:v>
      </x:c>
      <x:c r="C70" s="10" t="str">
        <x:v>Other HE provider</x:v>
      </x:c>
      <x:c r="D70" s="10" t="str">
        <x:v>2024/25</x:v>
      </x:c>
      <x:c r="E70" s="18" t="n">
        <x:v>521</x:v>
      </x:c>
      <x:c r="F70" s="18" t="n">
        <x:v>485</x:v>
      </x:c>
      <x:c r="G70" s="18" t="n">
        <x:v>648</x:v>
      </x:c>
      <x:c r="H70" s="18" t="n">
        <x:v>1887</x:v>
      </x:c>
      <x:c r="I70" s="18" t="n">
        <x:v>3541</x:v>
      </x:c>
      <x:c r="J70" s="18" t="n">
        <x:v>12665</x:v>
      </x:c>
      <x:c r="K70" s="19" t="n">
        <x:f>I70/1000</x:f>
        <x:v>3.541</x:v>
      </x:c>
      <x:c r="L70" s="19" t="n">
        <x:f>SUM(E70:G70)/1000</x:f>
        <x:v>1.654</x:v>
      </x:c>
      <x:c r="M70" s="20" t="n">
        <x:f>IF(I70=0,"n.a.",H70/I70)</x:f>
        <x:v>0.53290031064671</x:v>
      </x:c>
      <x:c r="N70" s="18" t="n">
        <x:f>IF(J70=0,"n.a.",I70*1000/J70)</x:f>
        <x:v>279.58941966048167</x:v>
      </x:c>
      <x:c r="O70" s="18" t="n">
        <x:f>SUM(E70:H70)-I70</x:f>
        <x:v>0</x:v>
      </x:c>
      <x:c r="P70" s="18" t="n">
        <x:f>RANK(I70,$I$7:$I$212,0)+COUNTIF($I$7:I70,I70)-1</x:f>
        <x:v>64</x:v>
      </x:c>
      <x:c r="Q70" s="10" t="str">
        <x:v>Ulster</x:v>
      </x:c>
    </x:row>
    <x:row r="71" ht="46" customHeight="1">
      <x:c r="A71" s="10" t="str">
        <x:v>10007791</x:v>
      </x:c>
      <x:c r="B71" s="11" t="str">
        <x:v>The University of Essex</x:v>
      </x:c>
      <x:c r="C71" s="10" t="str">
        <x:v>Additional UK sample</x:v>
      </x:c>
      <x:c r="D71" s="10" t="str">
        <x:v>2024/25</x:v>
      </x:c>
      <x:c r="E71" s="18" t="n">
        <x:v>53</x:v>
      </x:c>
      <x:c r="F71" s="18" t="n">
        <x:v>8</x:v>
      </x:c>
      <x:c r="G71" s="18" t="n">
        <x:v>2286</x:v>
      </x:c>
      <x:c r="H71" s="18" t="n">
        <x:v>929</x:v>
      </x:c>
      <x:c r="I71" s="18" t="n">
        <x:v>3276</x:v>
      </x:c>
      <x:c r="J71" s="18" t="n">
        <x:v>5935</x:v>
      </x:c>
      <x:c r="K71" s="19" t="n">
        <x:f>I71/1000</x:f>
        <x:v>3.276</x:v>
      </x:c>
      <x:c r="L71" s="19" t="n">
        <x:f>SUM(E71:G71)/1000</x:f>
        <x:v>2.347</x:v>
      </x:c>
      <x:c r="M71" s="20" t="n">
        <x:f>IF(I71=0,"n.a.",H71/I71)</x:f>
        <x:v>0.28357753357753357</x:v>
      </x:c>
      <x:c r="N71" s="18" t="n">
        <x:f>IF(J71=0,"n.a.",I71*1000/J71)</x:f>
        <x:v>551.9797809604044</x:v>
      </x:c>
      <x:c r="O71" s="18" t="n">
        <x:f>SUM(E71:H71)-I71</x:f>
        <x:v>0</x:v>
      </x:c>
      <x:c r="P71" s="18" t="n">
        <x:f>RANK(I71,$I$7:$I$212,0)+COUNTIF($I$7:I71,I71)-1</x:f>
        <x:v>65</x:v>
      </x:c>
      <x:c r="Q71" s="10" t="str">
        <x:v>Essex</x:v>
      </x:c>
    </x:row>
    <x:row r="72" ht="46" customHeight="1">
      <x:c r="A72" s="10" t="str">
        <x:v>10007156</x:v>
      </x:c>
      <x:c r="B72" s="11" t="str">
        <x:v>The University of Salford</x:v>
      </x:c>
      <x:c r="C72" s="10" t="str">
        <x:v>Other HE provider</x:v>
      </x:c>
      <x:c r="D72" s="10" t="str">
        <x:v>2024/25</x:v>
      </x:c>
      <x:c r="E72" s="18" t="n">
        <x:v>562</x:v>
      </x:c>
      <x:c r="F72" s="18" t="n">
        <x:v>499</x:v>
      </x:c>
      <x:c r="G72" s="18" t="n">
        <x:v>1771</x:v>
      </x:c>
      <x:c r="H72" s="18" t="n">
        <x:v>349</x:v>
      </x:c>
      <x:c r="I72" s="18" t="n">
        <x:v>3181</x:v>
      </x:c>
      <x:c r="J72" s="18" t="n">
        <x:v>18077</x:v>
      </x:c>
      <x:c r="K72" s="19" t="n">
        <x:f>I72/1000</x:f>
        <x:v>3.181</x:v>
      </x:c>
      <x:c r="L72" s="19" t="n">
        <x:f>SUM(E72:G72)/1000</x:f>
        <x:v>2.832</x:v>
      </x:c>
      <x:c r="M72" s="20" t="n">
        <x:f>IF(I72=0,"n.a.",H72/I72)</x:f>
        <x:v>0.10971392643822697</x:v>
      </x:c>
      <x:c r="N72" s="18" t="n">
        <x:f>IF(J72=0,"n.a.",I72*1000/J72)</x:f>
        <x:v>175.96946395972782</x:v>
      </x:c>
      <x:c r="O72" s="18" t="n">
        <x:f>SUM(E72:H72)-I72</x:f>
        <x:v>0</x:v>
      </x:c>
      <x:c r="P72" s="18" t="n">
        <x:f>RANK(I72,$I$7:$I$212,0)+COUNTIF($I$7:I72,I72)-1</x:f>
        <x:v>66</x:v>
      </x:c>
      <x:c r="Q72" s="10" t="str">
        <x:v>Salford</x:v>
      </x:c>
    </x:row>
    <x:row r="73" ht="46" customHeight="1">
      <x:c r="A73" s="10" t="str">
        <x:v>10007764</x:v>
      </x:c>
      <x:c r="B73" s="11" t="str">
        <x:v>Heriot-Watt University</x:v>
      </x:c>
      <x:c r="C73" s="10" t="str">
        <x:v>Additional UK sample</x:v>
      </x:c>
      <x:c r="D73" s="10" t="str">
        <x:v>2024/25</x:v>
      </x:c>
      <x:c r="E73" s="18" t="n">
        <x:v>105</x:v>
      </x:c>
      <x:c r="F73" s="18" t="n">
        <x:v>138</x:v>
      </x:c>
      <x:c r="G73" s="18" t="n">
        <x:v>559</x:v>
      </x:c>
      <x:c r="H73" s="18" t="n">
        <x:v>2374</x:v>
      </x:c>
      <x:c r="I73" s="18" t="n">
        <x:v>3176</x:v>
      </x:c>
      <x:c r="J73" s="18" t="n">
        <x:v>0</x:v>
      </x:c>
      <x:c r="K73" s="19" t="n">
        <x:f>I73/1000</x:f>
        <x:v>3.176</x:v>
      </x:c>
      <x:c r="L73" s="19" t="n">
        <x:f>SUM(E73:G73)/1000</x:f>
        <x:v>0.802</x:v>
      </x:c>
      <x:c r="M73" s="20" t="n">
        <x:f>IF(I73=0,"n.a.",H73/I73)</x:f>
        <x:v>0.7474811083123426</x:v>
      </x:c>
      <x:c r="N73" s="18" t="str">
        <x:f>IF(J73=0,"n.a.",I73*1000/J73)</x:f>
        <x:v>n.a.</x:v>
      </x:c>
      <x:c r="O73" s="18" t="n">
        <x:f>SUM(E73:H73)-I73</x:f>
        <x:v>0</x:v>
      </x:c>
      <x:c r="P73" s="18" t="n">
        <x:f>RANK(I73,$I$7:$I$212,0)+COUNTIF($I$7:I73,I73)-1</x:f>
        <x:v>67</x:v>
      </x:c>
      <x:c r="Q73" s="10" t="str">
        <x:v>Heriot-Watt</x:v>
      </x:c>
    </x:row>
    <x:row r="74" ht="46" customHeight="1">
      <x:c r="A74" s="10" t="str">
        <x:v>10007760</x:v>
      </x:c>
      <x:c r="B74" s="11" t="str">
        <x:v>Birkbeck College</x:v>
      </x:c>
      <x:c r="C74" s="10" t="str">
        <x:v>Additional UK sample</x:v>
      </x:c>
      <x:c r="D74" s="10" t="str">
        <x:v>2024/25</x:v>
      </x:c>
      <x:c r="E74" s="18" t="n">
        <x:v>14</x:v>
      </x:c>
      <x:c r="F74" s="18" t="n">
        <x:v>27</x:v>
      </x:c>
      <x:c r="G74" s="18" t="n">
        <x:v>74</x:v>
      </x:c>
      <x:c r="H74" s="18" t="n">
        <x:v>3044</x:v>
      </x:c>
      <x:c r="I74" s="18" t="n">
        <x:v>3159</x:v>
      </x:c>
      <x:c r="J74" s="18" t="n">
        <x:v>13865</x:v>
      </x:c>
      <x:c r="K74" s="19" t="n">
        <x:f>I74/1000</x:f>
        <x:v>3.159</x:v>
      </x:c>
      <x:c r="L74" s="19" t="n">
        <x:f>SUM(E74:G74)/1000</x:f>
        <x:v>0.115</x:v>
      </x:c>
      <x:c r="M74" s="20" t="n">
        <x:f>IF(I74=0,"n.a.",H74/I74)</x:f>
        <x:v>0.9635960747071858</x:v>
      </x:c>
      <x:c r="N74" s="18" t="n">
        <x:f>IF(J74=0,"n.a.",I74*1000/J74)</x:f>
        <x:v>227.8398846015146</x:v>
      </x:c>
      <x:c r="O74" s="18" t="n">
        <x:f>SUM(E74:H74)-I74</x:f>
        <x:v>0</x:v>
      </x:c>
      <x:c r="P74" s="18" t="n">
        <x:f>RANK(I74,$I$7:$I$212,0)+COUNTIF($I$7:I74,I74)-1</x:f>
        <x:v>68</x:v>
      </x:c>
      <x:c r="Q74" s="10" t="str">
        <x:v>Birkbeck</x:v>
      </x:c>
    </x:row>
    <x:row r="75" ht="46" customHeight="1">
      <x:c r="A75" s="10" t="str">
        <x:v>10004078</x:v>
      </x:c>
      <x:c r="B75" s="11" t="str">
        <x:v>London South Bank University</x:v>
      </x:c>
      <x:c r="C75" s="10" t="str">
        <x:v>Other HE provider</x:v>
      </x:c>
      <x:c r="D75" s="10" t="str">
        <x:v>2024/25</x:v>
      </x:c>
      <x:c r="E75" s="18" t="n">
        <x:v>105</x:v>
      </x:c>
      <x:c r="F75" s="18" t="n">
        <x:v>32</x:v>
      </x:c>
      <x:c r="G75" s="18" t="n">
        <x:v>1597</x:v>
      </x:c>
      <x:c r="H75" s="18" t="n">
        <x:v>1421</x:v>
      </x:c>
      <x:c r="I75" s="18" t="n">
        <x:v>3155</x:v>
      </x:c>
      <x:c r="J75" s="18" t="n">
        <x:v>33836</x:v>
      </x:c>
      <x:c r="K75" s="19" t="n">
        <x:f>I75/1000</x:f>
        <x:v>3.155</x:v>
      </x:c>
      <x:c r="L75" s="19" t="n">
        <x:f>SUM(E75:G75)/1000</x:f>
        <x:v>1.734</x:v>
      </x:c>
      <x:c r="M75" s="20" t="n">
        <x:f>IF(I75=0,"n.a.",H75/I75)</x:f>
        <x:v>0.4503961965134707</x:v>
      </x:c>
      <x:c r="N75" s="18" t="n">
        <x:f>IF(J75=0,"n.a.",I75*1000/J75)</x:f>
        <x:v>93.24388225558576</x:v>
      </x:c>
      <x:c r="O75" s="18" t="n">
        <x:f>SUM(E75:H75)-I75</x:f>
        <x:v>0</x:v>
      </x:c>
      <x:c r="P75" s="18" t="n">
        <x:f>RANK(I75,$I$7:$I$212,0)+COUNTIF($I$7:I75,I75)-1</x:f>
        <x:v>69</x:v>
      </x:c>
      <x:c r="Q75" s="10" t="str">
        <x:v>London South Bank</x:v>
      </x:c>
    </x:row>
    <x:row r="76" ht="46" customHeight="1">
      <x:c r="A76" s="10" t="str">
        <x:v>10000824</x:v>
      </x:c>
      <x:c r="B76" s="11" t="str">
        <x:v>Bournemouth University</x:v>
      </x:c>
      <x:c r="C76" s="10" t="str">
        <x:v>Other HE provider</x:v>
      </x:c>
      <x:c r="D76" s="10" t="str">
        <x:v>2024/25</x:v>
      </x:c>
      <x:c r="E76" s="18" t="n">
        <x:v>113</x:v>
      </x:c>
      <x:c r="F76" s="18" t="n">
        <x:v>22</x:v>
      </x:c>
      <x:c r="G76" s="18" t="n">
        <x:v>2410</x:v>
      </x:c>
      <x:c r="H76" s="18" t="n">
        <x:v>598</x:v>
      </x:c>
      <x:c r="I76" s="18" t="n">
        <x:v>3143</x:v>
      </x:c>
      <x:c r="J76" s="18" t="n">
        <x:v>10476</x:v>
      </x:c>
      <x:c r="K76" s="19" t="n">
        <x:f>I76/1000</x:f>
        <x:v>3.143</x:v>
      </x:c>
      <x:c r="L76" s="19" t="n">
        <x:f>SUM(E76:G76)/1000</x:f>
        <x:v>2.545</x:v>
      </x:c>
      <x:c r="M76" s="20" t="n">
        <x:f>IF(I76=0,"n.a.",H76/I76)</x:f>
        <x:v>0.19026407890550429</x:v>
      </x:c>
      <x:c r="N76" s="18" t="n">
        <x:f>IF(J76=0,"n.a.",I76*1000/J76)</x:f>
        <x:v>300.01909125620466</x:v>
      </x:c>
      <x:c r="O76" s="18" t="n">
        <x:f>SUM(E76:H76)-I76</x:f>
        <x:v>0</x:v>
      </x:c>
      <x:c r="P76" s="18" t="n">
        <x:f>RANK(I76,$I$7:$I$212,0)+COUNTIF($I$7:I76,I76)-1</x:f>
        <x:v>70</x:v>
      </x:c>
      <x:c r="Q76" s="10" t="str">
        <x:v>Bournemouth</x:v>
      </x:c>
    </x:row>
    <x:row r="77" ht="46" customHeight="1">
      <x:c r="A77" s="10" t="str">
        <x:v>10007154</x:v>
      </x:c>
      <x:c r="B77" s="11" t="str">
        <x:v>University of Nottingham</x:v>
      </x:c>
      <x:c r="C77" s="10" t="str">
        <x:v>Russell Group</x:v>
      </x:c>
      <x:c r="D77" s="10" t="str">
        <x:v>2024/25</x:v>
      </x:c>
      <x:c r="E77" s="18" t="n">
        <x:v>22</x:v>
      </x:c>
      <x:c r="F77" s="18" t="n">
        <x:v>419</x:v>
      </x:c>
      <x:c r="G77" s="18" t="n">
        <x:v>1154</x:v>
      </x:c>
      <x:c r="H77" s="18" t="n">
        <x:v>1505</x:v>
      </x:c>
      <x:c r="I77" s="18" t="n">
        <x:v>3100</x:v>
      </x:c>
      <x:c r="J77" s="18" t="n">
        <x:v>3345</x:v>
      </x:c>
      <x:c r="K77" s="19" t="n">
        <x:f>I77/1000</x:f>
        <x:v>3.1</x:v>
      </x:c>
      <x:c r="L77" s="19" t="n">
        <x:f>SUM(E77:G77)/1000</x:f>
        <x:v>1.595</x:v>
      </x:c>
      <x:c r="M77" s="20" t="n">
        <x:f>IF(I77=0,"n.a.",H77/I77)</x:f>
        <x:v>0.4854838709677419</x:v>
      </x:c>
      <x:c r="N77" s="18" t="n">
        <x:f>IF(J77=0,"n.a.",I77*1000/J77)</x:f>
        <x:v>926.7563527653214</x:v>
      </x:c>
      <x:c r="O77" s="18" t="n">
        <x:f>SUM(E77:H77)-I77</x:f>
        <x:v>0</x:v>
      </x:c>
      <x:c r="P77" s="18" t="n">
        <x:f>RANK(I77,$I$7:$I$212,0)+COUNTIF($I$7:I77,I77)-1</x:f>
        <x:v>71</x:v>
      </x:c>
      <x:c r="Q77" s="10" t="str">
        <x:v>Nottingham</x:v>
      </x:c>
    </x:row>
    <x:row r="78" ht="46" customHeight="1">
      <x:c r="A78" s="10" t="str">
        <x:v>10007833</x:v>
      </x:c>
      <x:c r="B78" s="11" t="str">
        <x:v>Wrexham University</x:v>
      </x:c>
      <x:c r="C78" s="10" t="str">
        <x:v>Other HE provider</x:v>
      </x:c>
      <x:c r="D78" s="10" t="str">
        <x:v>2024/25</x:v>
      </x:c>
      <x:c r="E78" s="18" t="n">
        <x:v>78</x:v>
      </x:c>
      <x:c r="F78" s="18" t="n">
        <x:v>13</x:v>
      </x:c>
      <x:c r="G78" s="18" t="n">
        <x:v>2427</x:v>
      </x:c>
      <x:c r="H78" s="18" t="n">
        <x:v>576</x:v>
      </x:c>
      <x:c r="I78" s="18" t="n">
        <x:v>3094</x:v>
      </x:c>
      <x:c r="J78" s="18" t="n">
        <x:v>30078</x:v>
      </x:c>
      <x:c r="K78" s="19" t="n">
        <x:f>I78/1000</x:f>
        <x:v>3.094</x:v>
      </x:c>
      <x:c r="L78" s="19" t="n">
        <x:f>SUM(E78:G78)/1000</x:f>
        <x:v>2.518</x:v>
      </x:c>
      <x:c r="M78" s="20" t="n">
        <x:f>IF(I78=0,"n.a.",H78/I78)</x:f>
        <x:v>0.18616677440206852</x:v>
      </x:c>
      <x:c r="N78" s="18" t="n">
        <x:f>IF(J78=0,"n.a.",I78*1000/J78)</x:f>
        <x:v>102.86588204002926</x:v>
      </x:c>
      <x:c r="O78" s="18" t="n">
        <x:f>SUM(E78:H78)-I78</x:f>
        <x:v>0</x:v>
      </x:c>
      <x:c r="P78" s="18" t="n">
        <x:f>RANK(I78,$I$7:$I$212,0)+COUNTIF($I$7:I78,I78)-1</x:f>
        <x:v>72</x:v>
      </x:c>
      <x:c r="Q78" s="10" t="str">
        <x:v>Wrexham</x:v>
      </x:c>
    </x:row>
    <x:row r="79" ht="46" customHeight="1">
      <x:c r="A79" s="10" t="str">
        <x:v>10000886</x:v>
      </x:c>
      <x:c r="B79" s="11" t="str">
        <x:v>The University of Brighton</x:v>
      </x:c>
      <x:c r="C79" s="10" t="str">
        <x:v>Other HE provider</x:v>
      </x:c>
      <x:c r="D79" s="10" t="str">
        <x:v>2024/25</x:v>
      </x:c>
      <x:c r="E79" s="18" t="n">
        <x:v>4</x:v>
      </x:c>
      <x:c r="F79" s="18" t="n">
        <x:v>0</x:v>
      </x:c>
      <x:c r="G79" s="18" t="n">
        <x:v>3019</x:v>
      </x:c>
      <x:c r="H79" s="18" t="n">
        <x:v>36</x:v>
      </x:c>
      <x:c r="I79" s="18" t="n">
        <x:v>3059</x:v>
      </x:c>
      <x:c r="J79" s="18" t="n">
        <x:v>72000</x:v>
      </x:c>
      <x:c r="K79" s="19" t="n">
        <x:f>I79/1000</x:f>
        <x:v>3.059</x:v>
      </x:c>
      <x:c r="L79" s="19" t="n">
        <x:f>SUM(E79:G79)/1000</x:f>
        <x:v>3.023</x:v>
      </x:c>
      <x:c r="M79" s="20" t="n">
        <x:f>IF(I79=0,"n.a.",H79/I79)</x:f>
        <x:v>0.011768551814318405</x:v>
      </x:c>
      <x:c r="N79" s="18" t="n">
        <x:f>IF(J79=0,"n.a.",I79*1000/J79)</x:f>
        <x:v>42.486111111111114</x:v>
      </x:c>
      <x:c r="O79" s="18" t="n">
        <x:f>SUM(E79:H79)-I79</x:f>
        <x:v>0</x:v>
      </x:c>
      <x:c r="P79" s="18" t="n">
        <x:f>RANK(I79,$I$7:$I$212,0)+COUNTIF($I$7:I79,I79)-1</x:f>
        <x:v>73</x:v>
      </x:c>
      <x:c r="Q79" s="10" t="str">
        <x:v>Brighton</x:v>
      </x:c>
    </x:row>
    <x:row r="80" ht="46" customHeight="1">
      <x:c r="A80" s="10" t="str">
        <x:v>10007144</x:v>
      </x:c>
      <x:c r="B80" s="11" t="str">
        <x:v>The University of East London</x:v>
      </x:c>
      <x:c r="C80" s="10" t="str">
        <x:v>Other HE provider</x:v>
      </x:c>
      <x:c r="D80" s="10" t="str">
        <x:v>2024/25</x:v>
      </x:c>
      <x:c r="E80" s="18" t="n">
        <x:v>0</x:v>
      </x:c>
      <x:c r="F80" s="18" t="n">
        <x:v>0</x:v>
      </x:c>
      <x:c r="G80" s="18" t="n">
        <x:v>382</x:v>
      </x:c>
      <x:c r="H80" s="18" t="n">
        <x:v>2651</x:v>
      </x:c>
      <x:c r="I80" s="18" t="n">
        <x:v>3033</x:v>
      </x:c>
      <x:c r="J80" s="18" t="n">
        <x:v>23996</x:v>
      </x:c>
      <x:c r="K80" s="19" t="n">
        <x:f>I80/1000</x:f>
        <x:v>3.033</x:v>
      </x:c>
      <x:c r="L80" s="19" t="n">
        <x:f>SUM(E80:G80)/1000</x:f>
        <x:v>0.382</x:v>
      </x:c>
      <x:c r="M80" s="20" t="n">
        <x:f>IF(I80=0,"n.a.",H80/I80)</x:f>
        <x:v>0.8740520936366634</x:v>
      </x:c>
      <x:c r="N80" s="18" t="n">
        <x:f>IF(J80=0,"n.a.",I80*1000/J80)</x:f>
        <x:v>126.39606601100184</x:v>
      </x:c>
      <x:c r="O80" s="18" t="n">
        <x:f>SUM(E80:H80)-I80</x:f>
        <x:v>0</x:v>
      </x:c>
      <x:c r="P80" s="18" t="n">
        <x:f>RANK(I80,$I$7:$I$212,0)+COUNTIF($I$7:I80,I80)-1</x:f>
        <x:v>74</x:v>
      </x:c>
      <x:c r="Q80" s="10" t="str">
        <x:v>East London</x:v>
      </x:c>
    </x:row>
    <x:row r="81" ht="46" customHeight="1">
      <x:c r="A81" s="10" t="str">
        <x:v>10003957</x:v>
      </x:c>
      <x:c r="B81" s="11" t="str">
        <x:v>Liverpool John Moores University</x:v>
      </x:c>
      <x:c r="C81" s="10" t="str">
        <x:v>Other HE provider</x:v>
      </x:c>
      <x:c r="D81" s="10" t="str">
        <x:v>2024/25</x:v>
      </x:c>
      <x:c r="E81" s="18" t="n">
        <x:v>0</x:v>
      </x:c>
      <x:c r="F81" s="18" t="n">
        <x:v>172</x:v>
      </x:c>
      <x:c r="G81" s="18" t="n">
        <x:v>2685</x:v>
      </x:c>
      <x:c r="H81" s="18" t="n">
        <x:v>0</x:v>
      </x:c>
      <x:c r="I81" s="18" t="n">
        <x:v>2857</x:v>
      </x:c>
      <x:c r="J81" s="18" t="n">
        <x:v>0</x:v>
      </x:c>
      <x:c r="K81" s="19" t="n">
        <x:f>I81/1000</x:f>
        <x:v>2.857</x:v>
      </x:c>
      <x:c r="L81" s="19" t="n">
        <x:f>SUM(E81:G81)/1000</x:f>
        <x:v>2.857</x:v>
      </x:c>
      <x:c r="M81" s="20" t="n">
        <x:f>IF(I81=0,"n.a.",H81/I81)</x:f>
        <x:v>0</x:v>
      </x:c>
      <x:c r="N81" s="18" t="str">
        <x:f>IF(J81=0,"n.a.",I81*1000/J81)</x:f>
        <x:v>n.a.</x:v>
      </x:c>
      <x:c r="O81" s="18" t="n">
        <x:f>SUM(E81:H81)-I81</x:f>
        <x:v>0</x:v>
      </x:c>
      <x:c r="P81" s="18" t="n">
        <x:f>RANK(I81,$I$7:$I$212,0)+COUNTIF($I$7:I81,I81)-1</x:f>
        <x:v>75</x:v>
      </x:c>
      <x:c r="Q81" s="10" t="str">
        <x:v>Liverpool John Moores</x:v>
      </x:c>
    </x:row>
    <x:row r="82" ht="46" customHeight="1">
      <x:c r="A82" s="10" t="str">
        <x:v>10007158</x:v>
      </x:c>
      <x:c r="B82" s="11" t="str">
        <x:v>The University of Southampton</x:v>
      </x:c>
      <x:c r="C82" s="10" t="str">
        <x:v>Russell Group</x:v>
      </x:c>
      <x:c r="D82" s="10" t="str">
        <x:v>2024/25</x:v>
      </x:c>
      <x:c r="E82" s="18" t="n">
        <x:v>128</x:v>
      </x:c>
      <x:c r="F82" s="18" t="n">
        <x:v>129</x:v>
      </x:c>
      <x:c r="G82" s="18" t="n">
        <x:v>1974</x:v>
      </x:c>
      <x:c r="H82" s="18" t="n">
        <x:v>370</x:v>
      </x:c>
      <x:c r="I82" s="18" t="n">
        <x:v>2601</x:v>
      </x:c>
      <x:c r="J82" s="18" t="n">
        <x:v>6027</x:v>
      </x:c>
      <x:c r="K82" s="19" t="n">
        <x:f>I82/1000</x:f>
        <x:v>2.601</x:v>
      </x:c>
      <x:c r="L82" s="19" t="n">
        <x:f>SUM(E82:G82)/1000</x:f>
        <x:v>2.231</x:v>
      </x:c>
      <x:c r="M82" s="20" t="n">
        <x:f>IF(I82=0,"n.a.",H82/I82)</x:f>
        <x:v>0.14225297962322184</x:v>
      </x:c>
      <x:c r="N82" s="18" t="n">
        <x:f>IF(J82=0,"n.a.",I82*1000/J82)</x:f>
        <x:v>431.55798904927826</x:v>
      </x:c>
      <x:c r="O82" s="18" t="n">
        <x:f>SUM(E82:H82)-I82</x:f>
        <x:v>0</x:v>
      </x:c>
      <x:c r="P82" s="18" t="n">
        <x:f>RANK(I82,$I$7:$I$212,0)+COUNTIF($I$7:I82,I82)-1</x:f>
        <x:v>76</x:v>
      </x:c>
      <x:c r="Q82" s="10" t="str">
        <x:v>Southampton</x:v>
      </x:c>
    </x:row>
    <x:row r="83" ht="46" customHeight="1">
      <x:c r="A83" s="10" t="str">
        <x:v>10007159</x:v>
      </x:c>
      <x:c r="B83" s="11" t="str">
        <x:v>The University of Sunderland</x:v>
      </x:c>
      <x:c r="C83" s="10" t="str">
        <x:v>Other HE provider</x:v>
      </x:c>
      <x:c r="D83" s="10" t="str">
        <x:v>2024/25</x:v>
      </x:c>
      <x:c r="E83" s="18" t="n">
        <x:v>111</x:v>
      </x:c>
      <x:c r="F83" s="18" t="n">
        <x:v>330</x:v>
      </x:c>
      <x:c r="G83" s="18" t="n">
        <x:v>1229</x:v>
      </x:c>
      <x:c r="H83" s="18" t="n">
        <x:v>918</x:v>
      </x:c>
      <x:c r="I83" s="18" t="n">
        <x:v>2588</x:v>
      </x:c>
      <x:c r="J83" s="18" t="n">
        <x:v>15750</x:v>
      </x:c>
      <x:c r="K83" s="19" t="n">
        <x:f>I83/1000</x:f>
        <x:v>2.588</x:v>
      </x:c>
      <x:c r="L83" s="19" t="n">
        <x:f>SUM(E83:G83)/1000</x:f>
        <x:v>1.67</x:v>
      </x:c>
      <x:c r="M83" s="20" t="n">
        <x:f>IF(I83=0,"n.a.",H83/I83)</x:f>
        <x:v>0.3547140649149923</x:v>
      </x:c>
      <x:c r="N83" s="18" t="n">
        <x:f>IF(J83=0,"n.a.",I83*1000/J83)</x:f>
        <x:v>164.31746031746033</x:v>
      </x:c>
      <x:c r="O83" s="18" t="n">
        <x:f>SUM(E83:H83)-I83</x:f>
        <x:v>0</x:v>
      </x:c>
      <x:c r="P83" s="18" t="n">
        <x:f>RANK(I83,$I$7:$I$212,0)+COUNTIF($I$7:I83,I83)-1</x:f>
        <x:v>77</x:v>
      </x:c>
      <x:c r="Q83" s="10" t="str">
        <x:v>Sunderland</x:v>
      </x:c>
    </x:row>
    <x:row r="84" ht="46" customHeight="1">
      <x:c r="A84" s="10" t="str">
        <x:v>10007148</x:v>
      </x:c>
      <x:c r="B84" s="11" t="str">
        <x:v>The University of Huddersfield</x:v>
      </x:c>
      <x:c r="C84" s="10" t="str">
        <x:v>Other HE provider</x:v>
      </x:c>
      <x:c r="D84" s="10" t="str">
        <x:v>2024/25</x:v>
      </x:c>
      <x:c r="E84" s="18" t="n">
        <x:v>39</x:v>
      </x:c>
      <x:c r="F84" s="18" t="n">
        <x:v>31</x:v>
      </x:c>
      <x:c r="G84" s="18" t="n">
        <x:v>2150</x:v>
      </x:c>
      <x:c r="H84" s="18" t="n">
        <x:v>354</x:v>
      </x:c>
      <x:c r="I84" s="18" t="n">
        <x:v>2574</x:v>
      </x:c>
      <x:c r="J84" s="18" t="n">
        <x:v>2203</x:v>
      </x:c>
      <x:c r="K84" s="19" t="n">
        <x:f>I84/1000</x:f>
        <x:v>2.574</x:v>
      </x:c>
      <x:c r="L84" s="19" t="n">
        <x:f>SUM(E84:G84)/1000</x:f>
        <x:v>2.22</x:v>
      </x:c>
      <x:c r="M84" s="20" t="n">
        <x:f>IF(I84=0,"n.a.",H84/I84)</x:f>
        <x:v>0.13752913752913754</x:v>
      </x:c>
      <x:c r="N84" s="18" t="n">
        <x:f>IF(J84=0,"n.a.",I84*1000/J84)</x:f>
        <x:v>1168.406718111666</x:v>
      </x:c>
      <x:c r="O84" s="18" t="n">
        <x:f>SUM(E84:H84)-I84</x:f>
        <x:v>0</x:v>
      </x:c>
      <x:c r="P84" s="18" t="n">
        <x:f>RANK(I84,$I$7:$I$212,0)+COUNTIF($I$7:I84,I84)-1</x:f>
        <x:v>78</x:v>
      </x:c>
      <x:c r="Q84" s="10" t="str">
        <x:v>Huddersfield</x:v>
      </x:c>
    </x:row>
    <x:row r="85" ht="46" customHeight="1">
      <x:c r="A85" s="10" t="str">
        <x:v>10007166</x:v>
      </x:c>
      <x:c r="B85" s="11" t="str">
        <x:v>The University of Wolverhampton</x:v>
      </x:c>
      <x:c r="C85" s="10" t="str">
        <x:v>Other HE provider</x:v>
      </x:c>
      <x:c r="D85" s="10" t="str">
        <x:v>2024/25</x:v>
      </x:c>
      <x:c r="E85" s="18" t="n">
        <x:v>17</x:v>
      </x:c>
      <x:c r="F85" s="18" t="n">
        <x:v>1</x:v>
      </x:c>
      <x:c r="G85" s="18" t="n">
        <x:v>1274</x:v>
      </x:c>
      <x:c r="H85" s="18" t="n">
        <x:v>1225</x:v>
      </x:c>
      <x:c r="I85" s="18" t="n">
        <x:v>2517</x:v>
      </x:c>
      <x:c r="J85" s="18" t="n">
        <x:v>2891</x:v>
      </x:c>
      <x:c r="K85" s="19" t="n">
        <x:f>I85/1000</x:f>
        <x:v>2.517</x:v>
      </x:c>
      <x:c r="L85" s="19" t="n">
        <x:f>SUM(E85:G85)/1000</x:f>
        <x:v>1.292</x:v>
      </x:c>
      <x:c r="M85" s="20" t="n">
        <x:f>IF(I85=0,"n.a.",H85/I85)</x:f>
        <x:v>0.48669050456893126</x:v>
      </x:c>
      <x:c r="N85" s="18" t="n">
        <x:f>IF(J85=0,"n.a.",I85*1000/J85)</x:f>
        <x:v>870.6329989622968</x:v>
      </x:c>
      <x:c r="O85" s="18" t="n">
        <x:f>SUM(E85:H85)-I85</x:f>
        <x:v>0</x:v>
      </x:c>
      <x:c r="P85" s="18" t="n">
        <x:f>RANK(I85,$I$7:$I$212,0)+COUNTIF($I$7:I85,I85)-1</x:f>
        <x:v>79</x:v>
      </x:c>
      <x:c r="Q85" s="10" t="str">
        <x:v>Wolverhampton</x:v>
      </x:c>
    </x:row>
    <x:row r="86" ht="46" customHeight="1">
      <x:c r="A86" s="10" t="str">
        <x:v>10007858</x:v>
      </x:c>
      <x:c r="B86" s="11" t="str">
        <x:v>University of Wales Trinity Saint David</x:v>
      </x:c>
      <x:c r="C86" s="10" t="str">
        <x:v>Other HE provider</x:v>
      </x:c>
      <x:c r="D86" s="10" t="str">
        <x:v>2024/25</x:v>
      </x:c>
      <x:c r="E86" s="18" t="n">
        <x:v>146</x:v>
      </x:c>
      <x:c r="F86" s="18" t="n">
        <x:v>68</x:v>
      </x:c>
      <x:c r="G86" s="18" t="n">
        <x:v>671</x:v>
      </x:c>
      <x:c r="H86" s="18" t="n">
        <x:v>1338</x:v>
      </x:c>
      <x:c r="I86" s="18" t="n">
        <x:v>2223</x:v>
      </x:c>
      <x:c r="J86" s="18" t="n">
        <x:v>27400</x:v>
      </x:c>
      <x:c r="K86" s="19" t="n">
        <x:f>I86/1000</x:f>
        <x:v>2.223</x:v>
      </x:c>
      <x:c r="L86" s="19" t="n">
        <x:f>SUM(E86:G86)/1000</x:f>
        <x:v>0.885</x:v>
      </x:c>
      <x:c r="M86" s="20" t="n">
        <x:f>IF(I86=0,"n.a.",H86/I86)</x:f>
        <x:v>0.601889338731444</x:v>
      </x:c>
      <x:c r="N86" s="18" t="n">
        <x:f>IF(J86=0,"n.a.",I86*1000/J86)</x:f>
        <x:v>81.13138686131387</x:v>
      </x:c>
      <x:c r="O86" s="18" t="n">
        <x:f>SUM(E86:H86)-I86</x:f>
        <x:v>0</x:v>
      </x:c>
      <x:c r="P86" s="18" t="n">
        <x:f>RANK(I86,$I$7:$I$212,0)+COUNTIF($I$7:I86,I86)-1</x:f>
        <x:v>80</x:v>
      </x:c>
      <x:c r="Q86" s="10" t="str">
        <x:v>Wales Trinity Saint David</x:v>
      </x:c>
    </x:row>
    <x:row r="87" ht="46" customHeight="1">
      <x:c r="A87" s="10" t="str">
        <x:v>10007776</x:v>
      </x:c>
      <x:c r="B87" s="11" t="str">
        <x:v>Roehampton University</x:v>
      </x:c>
      <x:c r="C87" s="10" t="str">
        <x:v>Other HE provider</x:v>
      </x:c>
      <x:c r="D87" s="10" t="str">
        <x:v>2024/25</x:v>
      </x:c>
      <x:c r="E87" s="18" t="n">
        <x:v>0</x:v>
      </x:c>
      <x:c r="F87" s="18" t="n">
        <x:v>0</x:v>
      </x:c>
      <x:c r="G87" s="18" t="n">
        <x:v>157</x:v>
      </x:c>
      <x:c r="H87" s="18" t="n">
        <x:v>2027</x:v>
      </x:c>
      <x:c r="I87" s="18" t="n">
        <x:v>2184</x:v>
      </x:c>
      <x:c r="J87" s="18" t="n">
        <x:v>39106</x:v>
      </x:c>
      <x:c r="K87" s="19" t="n">
        <x:f>I87/1000</x:f>
        <x:v>2.184</x:v>
      </x:c>
      <x:c r="L87" s="19" t="n">
        <x:f>SUM(E87:G87)/1000</x:f>
        <x:v>0.157</x:v>
      </x:c>
      <x:c r="M87" s="20" t="n">
        <x:f>IF(I87=0,"n.a.",H87/I87)</x:f>
        <x:v>0.9281135531135531</x:v>
      </x:c>
      <x:c r="N87" s="18" t="n">
        <x:f>IF(J87=0,"n.a.",I87*1000/J87)</x:f>
        <x:v>55.84820743619905</x:v>
      </x:c>
      <x:c r="O87" s="18" t="n">
        <x:f>SUM(E87:H87)-I87</x:f>
        <x:v>0</x:v>
      </x:c>
      <x:c r="P87" s="18" t="n">
        <x:f>RANK(I87,$I$7:$I$212,0)+COUNTIF($I$7:I87,I87)-1</x:f>
        <x:v>81</x:v>
      </x:c>
      <x:c r="Q87" s="10" t="str">
        <x:v>Roehampton</x:v>
      </x:c>
    </x:row>
    <x:row r="88" ht="46" customHeight="1">
      <x:c r="A88" s="10" t="str">
        <x:v>10007152</x:v>
      </x:c>
      <x:c r="B88" s="11" t="str">
        <x:v>University of Bedfordshire</x:v>
      </x:c>
      <x:c r="C88" s="10" t="str">
        <x:v>Other HE provider</x:v>
      </x:c>
      <x:c r="D88" s="10" t="str">
        <x:v>2024/25</x:v>
      </x:c>
      <x:c r="E88" s="18" t="n">
        <x:v>423</x:v>
      </x:c>
      <x:c r="F88" s="18" t="n">
        <x:v>10</x:v>
      </x:c>
      <x:c r="G88" s="18" t="n">
        <x:v>168</x:v>
      </x:c>
      <x:c r="H88" s="18" t="n">
        <x:v>1559</x:v>
      </x:c>
      <x:c r="I88" s="18" t="n">
        <x:v>2160</x:v>
      </x:c>
      <x:c r="J88" s="18" t="n">
        <x:v>25012</x:v>
      </x:c>
      <x:c r="K88" s="19" t="n">
        <x:f>I88/1000</x:f>
        <x:v>2.16</x:v>
      </x:c>
      <x:c r="L88" s="19" t="n">
        <x:f>SUM(E88:G88)/1000</x:f>
        <x:v>0.601</x:v>
      </x:c>
      <x:c r="M88" s="20" t="n">
        <x:f>IF(I88=0,"n.a.",H88/I88)</x:f>
        <x:v>0.7217592592592592</x:v>
      </x:c>
      <x:c r="N88" s="18" t="n">
        <x:f>IF(J88=0,"n.a.",I88*1000/J88)</x:f>
        <x:v>86.35854789700943</x:v>
      </x:c>
      <x:c r="O88" s="18" t="n">
        <x:f>SUM(E88:H88)-I88</x:f>
        <x:v>0</x:v>
      </x:c>
      <x:c r="P88" s="18" t="n">
        <x:f>RANK(I88,$I$7:$I$212,0)+COUNTIF($I$7:I88,I88)-1</x:f>
        <x:v>82</x:v>
      </x:c>
      <x:c r="Q88" s="10" t="str">
        <x:v>Bedfordshire</x:v>
      </x:c>
    </x:row>
    <x:row r="89" ht="46" customHeight="1">
      <x:c r="A89" s="10" t="str">
        <x:v>10007771</x:v>
      </x:c>
      <x:c r="B89" s="11" t="str">
        <x:v>London School of Hygiene and Tropical Medicine</x:v>
      </x:c>
      <x:c r="C89" s="10" t="str">
        <x:v>Other HE provider</x:v>
      </x:c>
      <x:c r="D89" s="10" t="str">
        <x:v>2024/25</x:v>
      </x:c>
      <x:c r="E89" s="18" t="n">
        <x:v>2</x:v>
      </x:c>
      <x:c r="F89" s="18" t="n">
        <x:v>263</x:v>
      </x:c>
      <x:c r="G89" s="18" t="n">
        <x:v>644</x:v>
      </x:c>
      <x:c r="H89" s="18" t="n">
        <x:v>1245</x:v>
      </x:c>
      <x:c r="I89" s="18" t="n">
        <x:v>2154</x:v>
      </x:c>
      <x:c r="J89" s="18" t="n">
        <x:v>14022</x:v>
      </x:c>
      <x:c r="K89" s="19" t="n">
        <x:f>I89/1000</x:f>
        <x:v>2.154</x:v>
      </x:c>
      <x:c r="L89" s="19" t="n">
        <x:f>SUM(E89:G89)/1000</x:f>
        <x:v>0.909</x:v>
      </x:c>
      <x:c r="M89" s="20" t="n">
        <x:f>IF(I89=0,"n.a.",H89/I89)</x:f>
        <x:v>0.5779944289693594</x:v>
      </x:c>
      <x:c r="N89" s="18" t="n">
        <x:f>IF(J89=0,"n.a.",I89*1000/J89)</x:f>
        <x:v>153.61574668378262</x:v>
      </x:c>
      <x:c r="O89" s="18" t="n">
        <x:f>SUM(E89:H89)-I89</x:f>
        <x:v>0</x:v>
      </x:c>
      <x:c r="P89" s="18" t="n">
        <x:f>RANK(I89,$I$7:$I$212,0)+COUNTIF($I$7:I89,I89)-1</x:f>
        <x:v>83</x:v>
      </x:c>
      <x:c r="Q89" s="10" t="str">
        <x:v>London School of Hygiene and Tropical Medicine</x:v>
      </x:c>
    </x:row>
    <x:row r="90" ht="46" customHeight="1">
      <x:c r="A90" s="10" t="str">
        <x:v>10007804</x:v>
      </x:c>
      <x:c r="B90" s="11" t="str">
        <x:v>The University of Stirling</x:v>
      </x:c>
      <x:c r="C90" s="10" t="str">
        <x:v>Additional UK sample</x:v>
      </x:c>
      <x:c r="D90" s="10" t="str">
        <x:v>2024/25</x:v>
      </x:c>
      <x:c r="E90" s="18" t="n">
        <x:v>20</x:v>
      </x:c>
      <x:c r="F90" s="18" t="n">
        <x:v>15</x:v>
      </x:c>
      <x:c r="G90" s="18" t="n">
        <x:v>326</x:v>
      </x:c>
      <x:c r="H90" s="18" t="n">
        <x:v>1636</x:v>
      </x:c>
      <x:c r="I90" s="18" t="n">
        <x:v>1997</x:v>
      </x:c>
      <x:c r="J90" s="18" t="n">
        <x:v>28957</x:v>
      </x:c>
      <x:c r="K90" s="19" t="n">
        <x:f>I90/1000</x:f>
        <x:v>1.997</x:v>
      </x:c>
      <x:c r="L90" s="19" t="n">
        <x:f>SUM(E90:G90)/1000</x:f>
        <x:v>0.361</x:v>
      </x:c>
      <x:c r="M90" s="20" t="n">
        <x:f>IF(I90=0,"n.a.",H90/I90)</x:f>
        <x:v>0.8192288432648973</x:v>
      </x:c>
      <x:c r="N90" s="18" t="n">
        <x:f>IF(J90=0,"n.a.",I90*1000/J90)</x:f>
        <x:v>68.96432641502918</x:v>
      </x:c>
      <x:c r="O90" s="18" t="n">
        <x:f>SUM(E90:H90)-I90</x:f>
        <x:v>0</x:v>
      </x:c>
      <x:c r="P90" s="18" t="n">
        <x:f>RANK(I90,$I$7:$I$212,0)+COUNTIF($I$7:I90,I90)-1</x:f>
        <x:v>84</x:v>
      </x:c>
      <x:c r="Q90" s="10" t="str">
        <x:v>Stirling</x:v>
      </x:c>
    </x:row>
    <x:row r="91" ht="46" customHeight="1">
      <x:c r="A91" s="10" t="str">
        <x:v>10007801</x:v>
      </x:c>
      <x:c r="B91" s="11" t="str">
        <x:v>University of Plymouth</x:v>
      </x:c>
      <x:c r="C91" s="10" t="str">
        <x:v>Additional UK sample</x:v>
      </x:c>
      <x:c r="D91" s="10" t="str">
        <x:v>2024/25</x:v>
      </x:c>
      <x:c r="E91" s="18" t="n">
        <x:v>42</x:v>
      </x:c>
      <x:c r="F91" s="18" t="n">
        <x:v>12</x:v>
      </x:c>
      <x:c r="G91" s="18" t="n">
        <x:v>1790</x:v>
      </x:c>
      <x:c r="H91" s="18" t="n">
        <x:v>121</x:v>
      </x:c>
      <x:c r="I91" s="18" t="n">
        <x:v>1965</x:v>
      </x:c>
      <x:c r="J91" s="18" t="n">
        <x:v>9230</x:v>
      </x:c>
      <x:c r="K91" s="19" t="n">
        <x:f>I91/1000</x:f>
        <x:v>1.965</x:v>
      </x:c>
      <x:c r="L91" s="19" t="n">
        <x:f>SUM(E91:G91)/1000</x:f>
        <x:v>1.844</x:v>
      </x:c>
      <x:c r="M91" s="20" t="n">
        <x:f>IF(I91=0,"n.a.",H91/I91)</x:f>
        <x:v>0.06157760814249364</x:v>
      </x:c>
      <x:c r="N91" s="18" t="n">
        <x:f>IF(J91=0,"n.a.",I91*1000/J91)</x:f>
        <x:v>212.89274106175515</x:v>
      </x:c>
      <x:c r="O91" s="18" t="n">
        <x:f>SUM(E91:H91)-I91</x:f>
        <x:v>0</x:v>
      </x:c>
      <x:c r="P91" s="18" t="n">
        <x:f>RANK(I91,$I$7:$I$212,0)+COUNTIF($I$7:I91,I91)-1</x:f>
        <x:v>85</x:v>
      </x:c>
      <x:c r="Q91" s="10" t="str">
        <x:v>Plymouth</x:v>
      </x:c>
    </x:row>
    <x:row r="92" ht="46" customHeight="1">
      <x:c r="A92" s="10" t="str">
        <x:v>10007762</x:v>
      </x:c>
      <x:c r="B92" s="11" t="str">
        <x:v>Glasgow Caledonian University</x:v>
      </x:c>
      <x:c r="C92" s="10" t="str">
        <x:v>Other HE provider</x:v>
      </x:c>
      <x:c r="D92" s="10" t="str">
        <x:v>2024/25</x:v>
      </x:c>
      <x:c r="E92" s="18" t="n">
        <x:v>15</x:v>
      </x:c>
      <x:c r="F92" s="18" t="n">
        <x:v>52</x:v>
      </x:c>
      <x:c r="G92" s="18" t="n">
        <x:v>1655</x:v>
      </x:c>
      <x:c r="H92" s="18" t="n">
        <x:v>241</x:v>
      </x:c>
      <x:c r="I92" s="18" t="n">
        <x:v>1963</x:v>
      </x:c>
      <x:c r="J92" s="18" t="n">
        <x:v>6886</x:v>
      </x:c>
      <x:c r="K92" s="19" t="n">
        <x:f>I92/1000</x:f>
        <x:v>1.963</x:v>
      </x:c>
      <x:c r="L92" s="19" t="n">
        <x:f>SUM(E92:G92)/1000</x:f>
        <x:v>1.722</x:v>
      </x:c>
      <x:c r="M92" s="20" t="n">
        <x:f>IF(I92=0,"n.a.",H92/I92)</x:f>
        <x:v>0.12277126846663271</x:v>
      </x:c>
      <x:c r="N92" s="18" t="n">
        <x:f>IF(J92=0,"n.a.",I92*1000/J92)</x:f>
        <x:v>285.07115887307583</x:v>
      </x:c>
      <x:c r="O92" s="18" t="n">
        <x:f>SUM(E92:H92)-I92</x:f>
        <x:v>0</x:v>
      </x:c>
      <x:c r="P92" s="18" t="n">
        <x:f>RANK(I92,$I$7:$I$212,0)+COUNTIF($I$7:I92,I92)-1</x:f>
        <x:v>86</x:v>
      </x:c>
      <x:c r="Q92" s="10" t="str">
        <x:v>Glasgow Caledonian</x:v>
      </x:c>
    </x:row>
    <x:row r="93" ht="46" customHeight="1">
      <x:c r="A93" s="10" t="str">
        <x:v>10007848</x:v>
      </x:c>
      <x:c r="B93" s="11" t="str">
        <x:v>University of Chester</x:v>
      </x:c>
      <x:c r="C93" s="10" t="str">
        <x:v>Other HE provider</x:v>
      </x:c>
      <x:c r="D93" s="10" t="str">
        <x:v>2024/25</x:v>
      </x:c>
      <x:c r="E93" s="18" t="n">
        <x:v>153</x:v>
      </x:c>
      <x:c r="F93" s="18" t="n">
        <x:v>0</x:v>
      </x:c>
      <x:c r="G93" s="18" t="n">
        <x:v>598</x:v>
      </x:c>
      <x:c r="H93" s="18" t="n">
        <x:v>1081</x:v>
      </x:c>
      <x:c r="I93" s="18" t="n">
        <x:v>1832</x:v>
      </x:c>
      <x:c r="J93" s="18" t="n">
        <x:v>4318</x:v>
      </x:c>
      <x:c r="K93" s="19" t="n">
        <x:f>I93/1000</x:f>
        <x:v>1.832</x:v>
      </x:c>
      <x:c r="L93" s="19" t="n">
        <x:f>SUM(E93:G93)/1000</x:f>
        <x:v>0.751</x:v>
      </x:c>
      <x:c r="M93" s="20" t="n">
        <x:f>IF(I93=0,"n.a.",H93/I93)</x:f>
        <x:v>0.5900655021834061</x:v>
      </x:c>
      <x:c r="N93" s="18" t="n">
        <x:f>IF(J93=0,"n.a.",I93*1000/J93)</x:f>
        <x:v>424.27049559981475</x:v>
      </x:c>
      <x:c r="O93" s="18" t="n">
        <x:f>SUM(E93:H93)-I93</x:f>
        <x:v>0</x:v>
      </x:c>
      <x:c r="P93" s="18" t="n">
        <x:f>RANK(I93,$I$7:$I$212,0)+COUNTIF($I$7:I93,I93)-1</x:f>
        <x:v>87</x:v>
      </x:c>
      <x:c r="Q93" s="10" t="str">
        <x:v>Chester</x:v>
      </x:c>
    </x:row>
    <x:row r="94" ht="46" customHeight="1">
      <x:c r="A94" s="10" t="str">
        <x:v>10007146</x:v>
      </x:c>
      <x:c r="B94" s="11" t="str">
        <x:v>The University of Greenwich</x:v>
      </x:c>
      <x:c r="C94" s="10" t="str">
        <x:v>Other HE provider</x:v>
      </x:c>
      <x:c r="D94" s="10" t="str">
        <x:v>2024/25</x:v>
      </x:c>
      <x:c r="E94" s="18" t="n">
        <x:v>264</x:v>
      </x:c>
      <x:c r="F94" s="18" t="n">
        <x:v>123</x:v>
      </x:c>
      <x:c r="G94" s="18" t="n">
        <x:v>1403</x:v>
      </x:c>
      <x:c r="H94" s="18" t="n">
        <x:v>40</x:v>
      </x:c>
      <x:c r="I94" s="18" t="n">
        <x:v>1830</x:v>
      </x:c>
      <x:c r="J94" s="18" t="n">
        <x:v>3660</x:v>
      </x:c>
      <x:c r="K94" s="19" t="n">
        <x:f>I94/1000</x:f>
        <x:v>1.83</x:v>
      </x:c>
      <x:c r="L94" s="19" t="n">
        <x:f>SUM(E94:G94)/1000</x:f>
        <x:v>1.79</x:v>
      </x:c>
      <x:c r="M94" s="20" t="n">
        <x:f>IF(I94=0,"n.a.",H94/I94)</x:f>
        <x:v>0.02185792349726776</x:v>
      </x:c>
      <x:c r="N94" s="18" t="n">
        <x:f>IF(J94=0,"n.a.",I94*1000/J94)</x:f>
        <x:v>500</x:v>
      </x:c>
      <x:c r="O94" s="18" t="n">
        <x:f>SUM(E94:H94)-I94</x:f>
        <x:v>0</x:v>
      </x:c>
      <x:c r="P94" s="18" t="n">
        <x:f>RANK(I94,$I$7:$I$212,0)+COUNTIF($I$7:I94,I94)-1</x:f>
        <x:v>88</x:v>
      </x:c>
      <x:c r="Q94" s="10" t="str">
        <x:v>Greenwich</x:v>
      </x:c>
    </x:row>
    <x:row r="95" ht="46" customHeight="1">
      <x:c r="A95" s="10" t="str">
        <x:v>10003678</x:v>
      </x:c>
      <x:c r="B95" s="11" t="str">
        <x:v>Kingston University</x:v>
      </x:c>
      <x:c r="C95" s="10" t="str">
        <x:v>Other HE provider</x:v>
      </x:c>
      <x:c r="D95" s="10" t="str">
        <x:v>2024/25</x:v>
      </x:c>
      <x:c r="E95" s="18" t="n">
        <x:v>560</x:v>
      </x:c>
      <x:c r="F95" s="18" t="n">
        <x:v>0</x:v>
      </x:c>
      <x:c r="G95" s="18" t="n">
        <x:v>1053</x:v>
      </x:c>
      <x:c r="H95" s="18" t="n">
        <x:v>91</x:v>
      </x:c>
      <x:c r="I95" s="18" t="n">
        <x:v>1704</x:v>
      </x:c>
      <x:c r="J95" s="18" t="n">
        <x:v>6423</x:v>
      </x:c>
      <x:c r="K95" s="19" t="n">
        <x:f>I95/1000</x:f>
        <x:v>1.704</x:v>
      </x:c>
      <x:c r="L95" s="19" t="n">
        <x:f>SUM(E95:G95)/1000</x:f>
        <x:v>1.613</x:v>
      </x:c>
      <x:c r="M95" s="20" t="n">
        <x:f>IF(I95=0,"n.a.",H95/I95)</x:f>
        <x:v>0.0534037558685446</x:v>
      </x:c>
      <x:c r="N95" s="18" t="n">
        <x:f>IF(J95=0,"n.a.",I95*1000/J95)</x:f>
        <x:v>265.2965903783279</x:v>
      </x:c>
      <x:c r="O95" s="18" t="n">
        <x:f>SUM(E95:H95)-I95</x:f>
        <x:v>0</x:v>
      </x:c>
      <x:c r="P95" s="18" t="n">
        <x:f>RANK(I95,$I$7:$I$212,0)+COUNTIF($I$7:I95,I95)-1</x:f>
        <x:v>89</x:v>
      </x:c>
      <x:c r="Q95" s="10" t="str">
        <x:v>Kingston</x:v>
      </x:c>
    </x:row>
    <x:row r="96" ht="46" customHeight="1">
      <x:c r="A96" s="10" t="str">
        <x:v>10007786</x:v>
      </x:c>
      <x:c r="B96" s="11" t="str">
        <x:v>The University of Bristol</x:v>
      </x:c>
      <x:c r="C96" s="10" t="str">
        <x:v>Russell Group</x:v>
      </x:c>
      <x:c r="D96" s="10" t="str">
        <x:v>2024/25</x:v>
      </x:c>
      <x:c r="E96" s="18" t="n">
        <x:v>27</x:v>
      </x:c>
      <x:c r="F96" s="18" t="n">
        <x:v>556</x:v>
      </x:c>
      <x:c r="G96" s="18" t="n">
        <x:v>949</x:v>
      </x:c>
      <x:c r="H96" s="18" t="n">
        <x:v>26</x:v>
      </x:c>
      <x:c r="I96" s="18" t="n">
        <x:v>1558</x:v>
      </x:c>
      <x:c r="J96" s="18" t="n">
        <x:v>4718</x:v>
      </x:c>
      <x:c r="K96" s="19" t="n">
        <x:f>I96/1000</x:f>
        <x:v>1.558</x:v>
      </x:c>
      <x:c r="L96" s="19" t="n">
        <x:f>SUM(E96:G96)/1000</x:f>
        <x:v>1.532</x:v>
      </x:c>
      <x:c r="M96" s="20" t="n">
        <x:f>IF(I96=0,"n.a.",H96/I96)</x:f>
        <x:v>0.01668806161745828</x:v>
      </x:c>
      <x:c r="N96" s="18" t="n">
        <x:f>IF(J96=0,"n.a.",I96*1000/J96)</x:f>
        <x:v>330.2246714709623</x:v>
      </x:c>
      <x:c r="O96" s="18" t="n">
        <x:f>SUM(E96:H96)-I96</x:f>
        <x:v>0</x:v>
      </x:c>
      <x:c r="P96" s="18" t="n">
        <x:f>RANK(I96,$I$7:$I$212,0)+COUNTIF($I$7:I96,I96)-1</x:f>
        <x:v>90</x:v>
      </x:c>
      <x:c r="Q96" s="10" t="str">
        <x:v>Bristol</x:v>
      </x:c>
    </x:row>
    <x:row r="97" ht="46" customHeight="1">
      <x:c r="A97" s="10" t="str">
        <x:v>10007114</x:v>
      </x:c>
      <x:c r="B97" s="11" t="str">
        <x:v>University of the Highlands and Islands</x:v>
      </x:c>
      <x:c r="C97" s="10" t="str">
        <x:v>Other HE provider</x:v>
      </x:c>
      <x:c r="D97" s="10" t="str">
        <x:v>2024/25</x:v>
      </x:c>
      <x:c r="E97" s="18" t="n">
        <x:v>293</x:v>
      </x:c>
      <x:c r="F97" s="18" t="n">
        <x:v>195</x:v>
      </x:c>
      <x:c r="G97" s="18" t="n">
        <x:v>271</x:v>
      </x:c>
      <x:c r="H97" s="18" t="n">
        <x:v>737</x:v>
      </x:c>
      <x:c r="I97" s="18" t="n">
        <x:v>1496</x:v>
      </x:c>
      <x:c r="J97" s="18" t="n">
        <x:v>26950</x:v>
      </x:c>
      <x:c r="K97" s="19" t="n">
        <x:f>I97/1000</x:f>
        <x:v>1.496</x:v>
      </x:c>
      <x:c r="L97" s="19" t="n">
        <x:f>SUM(E97:G97)/1000</x:f>
        <x:v>0.759</x:v>
      </x:c>
      <x:c r="M97" s="20" t="n">
        <x:f>IF(I97=0,"n.a.",H97/I97)</x:f>
        <x:v>0.49264705882352944</x:v>
      </x:c>
      <x:c r="N97" s="18" t="n">
        <x:f>IF(J97=0,"n.a.",I97*1000/J97)</x:f>
        <x:v>55.51020408163265</x:v>
      </x:c>
      <x:c r="O97" s="18" t="n">
        <x:f>SUM(E97:H97)-I97</x:f>
        <x:v>0</x:v>
      </x:c>
      <x:c r="P97" s="18" t="n">
        <x:f>RANK(I97,$I$7:$I$212,0)+COUNTIF($I$7:I97,I97)-1</x:f>
        <x:v>91</x:v>
      </x:c>
      <x:c r="Q97" s="10" t="str">
        <x:v>the Highlands and Islands</x:v>
      </x:c>
    </x:row>
    <x:row r="98" ht="46" customHeight="1">
      <x:c r="A98" s="10" t="str">
        <x:v>10004930</x:v>
      </x:c>
      <x:c r="B98" s="11" t="str">
        <x:v>Oxford Brookes University</x:v>
      </x:c>
      <x:c r="C98" s="10" t="str">
        <x:v>Additional UK sample</x:v>
      </x:c>
      <x:c r="D98" s="10" t="str">
        <x:v>2024/25</x:v>
      </x:c>
      <x:c r="E98" s="18" t="n">
        <x:v>19</x:v>
      </x:c>
      <x:c r="F98" s="18" t="n">
        <x:v>5</x:v>
      </x:c>
      <x:c r="G98" s="18" t="n">
        <x:v>953</x:v>
      </x:c>
      <x:c r="H98" s="18" t="n">
        <x:v>508</x:v>
      </x:c>
      <x:c r="I98" s="18" t="n">
        <x:v>1485</x:v>
      </x:c>
      <x:c r="J98" s="18" t="n">
        <x:v>5275</x:v>
      </x:c>
      <x:c r="K98" s="19" t="n">
        <x:f>I98/1000</x:f>
        <x:v>1.485</x:v>
      </x:c>
      <x:c r="L98" s="19" t="n">
        <x:f>SUM(E98:G98)/1000</x:f>
        <x:v>0.977</x:v>
      </x:c>
      <x:c r="M98" s="20" t="n">
        <x:f>IF(I98=0,"n.a.",H98/I98)</x:f>
        <x:v>0.3420875420875421</x:v>
      </x:c>
      <x:c r="N98" s="18" t="n">
        <x:f>IF(J98=0,"n.a.",I98*1000/J98)</x:f>
        <x:v>281.5165876777251</x:v>
      </x:c>
      <x:c r="O98" s="18" t="n">
        <x:f>SUM(E98:H98)-I98</x:f>
        <x:v>0</x:v>
      </x:c>
      <x:c r="P98" s="18" t="n">
        <x:f>RANK(I98,$I$7:$I$212,0)+COUNTIF($I$7:I98,I98)-1</x:f>
        <x:v>92</x:v>
      </x:c>
      <x:c r="Q98" s="10" t="str">
        <x:v>Oxford Brookes</x:v>
      </x:c>
    </x:row>
    <x:row r="99" ht="46" customHeight="1">
      <x:c r="A99" s="10" t="str">
        <x:v>10007160</x:v>
      </x:c>
      <x:c r="B99" s="11" t="str">
        <x:v>The University of Surrey</x:v>
      </x:c>
      <x:c r="C99" s="10" t="str">
        <x:v>Additional UK sample</x:v>
      </x:c>
      <x:c r="D99" s="10" t="str">
        <x:v>2024/25</x:v>
      </x:c>
      <x:c r="E99" s="18" t="n">
        <x:v>86</x:v>
      </x:c>
      <x:c r="F99" s="18" t="n">
        <x:v>200</x:v>
      </x:c>
      <x:c r="G99" s="18" t="n">
        <x:v>827</x:v>
      </x:c>
      <x:c r="H99" s="18" t="n">
        <x:v>330</x:v>
      </x:c>
      <x:c r="I99" s="18" t="n">
        <x:v>1443</x:v>
      </x:c>
      <x:c r="J99" s="18" t="n">
        <x:v>7140</x:v>
      </x:c>
      <x:c r="K99" s="19" t="n">
        <x:f>I99/1000</x:f>
        <x:v>1.443</x:v>
      </x:c>
      <x:c r="L99" s="19" t="n">
        <x:f>SUM(E99:G99)/1000</x:f>
        <x:v>1.113</x:v>
      </x:c>
      <x:c r="M99" s="20" t="n">
        <x:f>IF(I99=0,"n.a.",H99/I99)</x:f>
        <x:v>0.2286902286902287</x:v>
      </x:c>
      <x:c r="N99" s="18" t="n">
        <x:f>IF(J99=0,"n.a.",I99*1000/J99)</x:f>
        <x:v>202.10084033613447</x:v>
      </x:c>
      <x:c r="O99" s="18" t="n">
        <x:f>SUM(E99:H99)-I99</x:f>
        <x:v>0</x:v>
      </x:c>
      <x:c r="P99" s="18" t="n">
        <x:f>RANK(I99,$I$7:$I$212,0)+COUNTIF($I$7:I99,I99)-1</x:f>
        <x:v>93</x:v>
      </x:c>
      <x:c r="Q99" s="10" t="str">
        <x:v>Surrey</x:v>
      </x:c>
    </x:row>
    <x:row r="100" ht="46" customHeight="1">
      <x:c r="A100" s="10" t="str">
        <x:v>10019178</x:v>
      </x:c>
      <x:c r="B100" s="11" t="str">
        <x:v>Point Blank Music School</x:v>
      </x:c>
      <x:c r="C100" s="10" t="str">
        <x:v>Other HE provider</x:v>
      </x:c>
      <x:c r="D100" s="10" t="str">
        <x:v>2024/25</x:v>
      </x:c>
      <x:c r="E100" s="18" t="n">
        <x:v>0</x:v>
      </x:c>
      <x:c r="F100" s="18" t="n">
        <x:v>0</x:v>
      </x:c>
      <x:c r="G100" s="18" t="n">
        <x:v>0</x:v>
      </x:c>
      <x:c r="H100" s="18" t="n">
        <x:v>1389</x:v>
      </x:c>
      <x:c r="I100" s="18" t="n">
        <x:v>1389</x:v>
      </x:c>
      <x:c r="J100" s="18" t="n">
        <x:v>12305</x:v>
      </x:c>
      <x:c r="K100" s="19" t="n">
        <x:f>I100/1000</x:f>
        <x:v>1.389</x:v>
      </x:c>
      <x:c r="L100" s="19" t="n">
        <x:f>SUM(E100:G100)/1000</x:f>
        <x:v>0</x:v>
      </x:c>
      <x:c r="M100" s="20" t="n">
        <x:f>IF(I100=0,"n.a.",H100/I100)</x:f>
        <x:v>1</x:v>
      </x:c>
      <x:c r="N100" s="18" t="n">
        <x:f>IF(J100=0,"n.a.",I100*1000/J100)</x:f>
        <x:v>112.88094270621698</x:v>
      </x:c>
      <x:c r="O100" s="18" t="n">
        <x:f>SUM(E100:H100)-I100</x:f>
        <x:v>0</x:v>
      </x:c>
      <x:c r="P100" s="18" t="n">
        <x:f>RANK(I100,$I$7:$I$212,0)+COUNTIF($I$7:I100,I100)-1</x:f>
        <x:v>94</x:v>
      </x:c>
      <x:c r="Q100" s="10" t="str">
        <x:v>Point Blank Music School</x:v>
      </x:c>
    </x:row>
    <x:row r="101" ht="46" customHeight="1">
      <x:c r="A101" s="10" t="str">
        <x:v>10000961</x:v>
      </x:c>
      <x:c r="B101" s="11" t="str">
        <x:v>Brunel University London</x:v>
      </x:c>
      <x:c r="C101" s="10" t="str">
        <x:v>Additional UK sample</x:v>
      </x:c>
      <x:c r="D101" s="10" t="str">
        <x:v>2024/25</x:v>
      </x:c>
      <x:c r="E101" s="18" t="n">
        <x:v>269</x:v>
      </x:c>
      <x:c r="F101" s="18" t="n">
        <x:v>0</x:v>
      </x:c>
      <x:c r="G101" s="18" t="n">
        <x:v>4</x:v>
      </x:c>
      <x:c r="H101" s="18" t="n">
        <x:v>1109</x:v>
      </x:c>
      <x:c r="I101" s="18" t="n">
        <x:v>1382</x:v>
      </x:c>
      <x:c r="J101" s="18" t="n">
        <x:v>12169</x:v>
      </x:c>
      <x:c r="K101" s="19" t="n">
        <x:f>I101/1000</x:f>
        <x:v>1.382</x:v>
      </x:c>
      <x:c r="L101" s="19" t="n">
        <x:f>SUM(E101:G101)/1000</x:f>
        <x:v>0.273</x:v>
      </x:c>
      <x:c r="M101" s="20" t="n">
        <x:f>IF(I101=0,"n.a.",H101/I101)</x:f>
        <x:v>0.8024602026049205</x:v>
      </x:c>
      <x:c r="N101" s="18" t="n">
        <x:f>IF(J101=0,"n.a.",I101*1000/J101)</x:f>
        <x:v>113.56726107321883</x:v>
      </x:c>
      <x:c r="O101" s="18" t="n">
        <x:f>SUM(E101:H101)-I101</x:f>
        <x:v>0</x:v>
      </x:c>
      <x:c r="P101" s="18" t="n">
        <x:f>RANK(I101,$I$7:$I$212,0)+COUNTIF($I$7:I101,I101)-1</x:f>
        <x:v>95</x:v>
      </x:c>
      <x:c r="Q101" s="10" t="str">
        <x:v>Brunel</x:v>
      </x:c>
    </x:row>
    <x:row r="102" ht="46" customHeight="1">
      <x:c r="A102" s="10" t="str">
        <x:v>10007837</x:v>
      </x:c>
      <x:c r="B102" s="11" t="str">
        <x:v>Royal Northern College of Music</x:v>
      </x:c>
      <x:c r="C102" s="10" t="str">
        <x:v>Other HE provider</x:v>
      </x:c>
      <x:c r="D102" s="10" t="str">
        <x:v>2024/25</x:v>
      </x:c>
      <x:c r="E102" s="18" t="n">
        <x:v>0</x:v>
      </x:c>
      <x:c r="F102" s="18" t="n">
        <x:v>0</x:v>
      </x:c>
      <x:c r="G102" s="18" t="n">
        <x:v>0</x:v>
      </x:c>
      <x:c r="H102" s="18" t="n">
        <x:v>1382</x:v>
      </x:c>
      <x:c r="I102" s="18" t="n">
        <x:v>1382</x:v>
      </x:c>
      <x:c r="J102" s="18" t="n">
        <x:v>17492</x:v>
      </x:c>
      <x:c r="K102" s="19" t="n">
        <x:f>I102/1000</x:f>
        <x:v>1.382</x:v>
      </x:c>
      <x:c r="L102" s="19" t="n">
        <x:f>SUM(E102:G102)/1000</x:f>
        <x:v>0</x:v>
      </x:c>
      <x:c r="M102" s="20" t="n">
        <x:f>IF(I102=0,"n.a.",H102/I102)</x:f>
        <x:v>1</x:v>
      </x:c>
      <x:c r="N102" s="18" t="n">
        <x:f>IF(J102=0,"n.a.",I102*1000/J102)</x:f>
        <x:v>79.00754630688314</x:v>
      </x:c>
      <x:c r="O102" s="18" t="n">
        <x:f>SUM(E102:H102)-I102</x:f>
        <x:v>0</x:v>
      </x:c>
      <x:c r="P102" s="18" t="n">
        <x:f>RANK(I102,$I$7:$I$212,0)+COUNTIF($I$7:I102,I102)-1</x:f>
        <x:v>96</x:v>
      </x:c>
      <x:c r="Q102" s="10" t="str">
        <x:v>Royal Northern College of Music</x:v>
      </x:c>
    </x:row>
    <x:row r="103" ht="46" customHeight="1">
      <x:c r="A103" s="10" t="str">
        <x:v>10007778</x:v>
      </x:c>
      <x:c r="B103" s="11" t="str">
        <x:v>Royal College of Music</x:v>
      </x:c>
      <x:c r="C103" s="10" t="str">
        <x:v>Other HE provider</x:v>
      </x:c>
      <x:c r="D103" s="10" t="str">
        <x:v>2024/25</x:v>
      </x:c>
      <x:c r="E103" s="18" t="n">
        <x:v>0</x:v>
      </x:c>
      <x:c r="F103" s="18" t="n">
        <x:v>0</x:v>
      </x:c>
      <x:c r="G103" s="18" t="n">
        <x:v>0</x:v>
      </x:c>
      <x:c r="H103" s="18" t="n">
        <x:v>1348</x:v>
      </x:c>
      <x:c r="I103" s="18" t="n">
        <x:v>1348</x:v>
      </x:c>
      <x:c r="J103" s="18" t="n">
        <x:v>8863</x:v>
      </x:c>
      <x:c r="K103" s="19" t="n">
        <x:f>I103/1000</x:f>
        <x:v>1.348</x:v>
      </x:c>
      <x:c r="L103" s="19" t="n">
        <x:f>SUM(E103:G103)/1000</x:f>
        <x:v>0</x:v>
      </x:c>
      <x:c r="M103" s="20" t="n">
        <x:f>IF(I103=0,"n.a.",H103/I103)</x:f>
        <x:v>1</x:v>
      </x:c>
      <x:c r="N103" s="18" t="n">
        <x:f>IF(J103=0,"n.a.",I103*1000/J103)</x:f>
        <x:v>152.09297077738916</x:v>
      </x:c>
      <x:c r="O103" s="18" t="n">
        <x:f>SUM(E103:H103)-I103</x:f>
        <x:v>0</x:v>
      </x:c>
      <x:c r="P103" s="18" t="n">
        <x:f>RANK(I103,$I$7:$I$212,0)+COUNTIF($I$7:I103,I103)-1</x:f>
        <x:v>97</x:v>
      </x:c>
      <x:c r="Q103" s="10" t="str">
        <x:v>Royal College of Music</x:v>
      </x:c>
    </x:row>
    <x:row r="104" ht="46" customHeight="1">
      <x:c r="A104" s="10" t="str">
        <x:v>10007856</x:v>
      </x:c>
      <x:c r="B104" s="11" t="str">
        <x:v>Aberystwyth University</x:v>
      </x:c>
      <x:c r="C104" s="10" t="str">
        <x:v>Other HE provider</x:v>
      </x:c>
      <x:c r="D104" s="10" t="str">
        <x:v>2024/25</x:v>
      </x:c>
      <x:c r="E104" s="18" t="n">
        <x:v>38</x:v>
      </x:c>
      <x:c r="F104" s="18" t="n">
        <x:v>46</x:v>
      </x:c>
      <x:c r="G104" s="18" t="n">
        <x:v>104</x:v>
      </x:c>
      <x:c r="H104" s="18" t="n">
        <x:v>1150</x:v>
      </x:c>
      <x:c r="I104" s="18" t="n">
        <x:v>1338</x:v>
      </x:c>
      <x:c r="J104" s="18" t="n">
        <x:v>57686</x:v>
      </x:c>
      <x:c r="K104" s="19" t="n">
        <x:f>I104/1000</x:f>
        <x:v>1.338</x:v>
      </x:c>
      <x:c r="L104" s="19" t="n">
        <x:f>SUM(E104:G104)/1000</x:f>
        <x:v>0.188</x:v>
      </x:c>
      <x:c r="M104" s="20" t="n">
        <x:f>IF(I104=0,"n.a.",H104/I104)</x:f>
        <x:v>0.85949177877429</x:v>
      </x:c>
      <x:c r="N104" s="18" t="n">
        <x:f>IF(J104=0,"n.a.",I104*1000/J104)</x:f>
        <x:v>23.194535935928997</x:v>
      </x:c>
      <x:c r="O104" s="18" t="n">
        <x:f>SUM(E104:H104)-I104</x:f>
        <x:v>0</x:v>
      </x:c>
      <x:c r="P104" s="18" t="n">
        <x:f>RANK(I104,$I$7:$I$212,0)+COUNTIF($I$7:I104,I104)-1</x:f>
        <x:v>98</x:v>
      </x:c>
      <x:c r="Q104" s="10" t="str">
        <x:v>Aberystwyth</x:v>
      </x:c>
    </x:row>
    <x:row r="105" ht="46" customHeight="1">
      <x:c r="A105" s="10" t="str">
        <x:v>10007143</x:v>
      </x:c>
      <x:c r="B105" s="11" t="str">
        <x:v>University of Durham</x:v>
      </x:c>
      <x:c r="C105" s="10" t="str">
        <x:v>Russell Group</x:v>
      </x:c>
      <x:c r="D105" s="10" t="str">
        <x:v>2024/25</x:v>
      </x:c>
      <x:c r="E105" s="18" t="n">
        <x:v>0</x:v>
      </x:c>
      <x:c r="F105" s="18" t="n">
        <x:v>283</x:v>
      </x:c>
      <x:c r="G105" s="18" t="n">
        <x:v>458</x:v>
      </x:c>
      <x:c r="H105" s="18" t="n">
        <x:v>595</x:v>
      </x:c>
      <x:c r="I105" s="18" t="n">
        <x:v>1336</x:v>
      </x:c>
      <x:c r="J105" s="18" t="n">
        <x:v>12766</x:v>
      </x:c>
      <x:c r="K105" s="19" t="n">
        <x:f>I105/1000</x:f>
        <x:v>1.336</x:v>
      </x:c>
      <x:c r="L105" s="19" t="n">
        <x:f>SUM(E105:G105)/1000</x:f>
        <x:v>0.741</x:v>
      </x:c>
      <x:c r="M105" s="20" t="n">
        <x:f>IF(I105=0,"n.a.",H105/I105)</x:f>
        <x:v>0.4453592814371258</x:v>
      </x:c>
      <x:c r="N105" s="18" t="n">
        <x:f>IF(J105=0,"n.a.",I105*1000/J105)</x:f>
        <x:v>104.6529844900517</x:v>
      </x:c>
      <x:c r="O105" s="18" t="n">
        <x:f>SUM(E105:H105)-I105</x:f>
        <x:v>0</x:v>
      </x:c>
      <x:c r="P105" s="18" t="n">
        <x:f>RANK(I105,$I$7:$I$212,0)+COUNTIF($I$7:I105,I105)-1</x:f>
        <x:v>99</x:v>
      </x:c>
      <x:c r="Q105" s="10" t="str">
        <x:v>Durham</x:v>
      </x:c>
    </x:row>
    <x:row r="106" ht="46" customHeight="1">
      <x:c r="A106" s="10" t="str">
        <x:v>10005337</x:v>
      </x:c>
      <x:c r="B106" s="11" t="str">
        <x:v>Queen Margaret University, Edinburgh</x:v>
      </x:c>
      <x:c r="C106" s="10" t="str">
        <x:v>Other HE provider</x:v>
      </x:c>
      <x:c r="D106" s="10" t="str">
        <x:v>2024/25</x:v>
      </x:c>
      <x:c r="E106" s="18" t="n">
        <x:v>0</x:v>
      </x:c>
      <x:c r="F106" s="18" t="n">
        <x:v>0</x:v>
      </x:c>
      <x:c r="G106" s="18" t="n">
        <x:v>13</x:v>
      </x:c>
      <x:c r="H106" s="18" t="n">
        <x:v>1301</x:v>
      </x:c>
      <x:c r="I106" s="18" t="n">
        <x:v>1314</x:v>
      </x:c>
      <x:c r="J106" s="18" t="n">
        <x:v>8000</x:v>
      </x:c>
      <x:c r="K106" s="19" t="n">
        <x:f>I106/1000</x:f>
        <x:v>1.314</x:v>
      </x:c>
      <x:c r="L106" s="19" t="n">
        <x:f>SUM(E106:G106)/1000</x:f>
        <x:v>0.013</x:v>
      </x:c>
      <x:c r="M106" s="20" t="n">
        <x:f>IF(I106=0,"n.a.",H106/I106)</x:f>
        <x:v>0.9901065449010654</x:v>
      </x:c>
      <x:c r="N106" s="18" t="n">
        <x:f>IF(J106=0,"n.a.",I106*1000/J106)</x:f>
        <x:v>164.25</x:v>
      </x:c>
      <x:c r="O106" s="18" t="n">
        <x:f>SUM(E106:H106)-I106</x:f>
        <x:v>0</x:v>
      </x:c>
      <x:c r="P106" s="18" t="n">
        <x:f>RANK(I106,$I$7:$I$212,0)+COUNTIF($I$7:I106,I106)-1</x:f>
        <x:v>100</x:v>
      </x:c>
      <x:c r="Q106" s="10" t="str">
        <x:v>Queen Margaret University, Edinburgh</x:v>
      </x:c>
    </x:row>
    <x:row r="107" ht="46" customHeight="1">
      <x:c r="A107" s="10" t="str">
        <x:v>10006841</x:v>
      </x:c>
      <x:c r="B107" s="11" t="str">
        <x:v>University of Greater Manchester</x:v>
      </x:c>
      <x:c r="C107" s="10" t="str">
        <x:v>Other HE provider</x:v>
      </x:c>
      <x:c r="D107" s="10" t="str">
        <x:v>2024/25</x:v>
      </x:c>
      <x:c r="E107" s="18" t="n">
        <x:v>695</x:v>
      </x:c>
      <x:c r="F107" s="18" t="n">
        <x:v>140</x:v>
      </x:c>
      <x:c r="G107" s="18" t="n">
        <x:v>369</x:v>
      </x:c>
      <x:c r="H107" s="18" t="n">
        <x:v>94</x:v>
      </x:c>
      <x:c r="I107" s="18" t="n">
        <x:v>1298</x:v>
      </x:c>
      <x:c r="J107" s="18" t="n">
        <x:v>9984</x:v>
      </x:c>
      <x:c r="K107" s="19" t="n">
        <x:f>I107/1000</x:f>
        <x:v>1.298</x:v>
      </x:c>
      <x:c r="L107" s="19" t="n">
        <x:f>SUM(E107:G107)/1000</x:f>
        <x:v>1.204</x:v>
      </x:c>
      <x:c r="M107" s="20" t="n">
        <x:f>IF(I107=0,"n.a.",H107/I107)</x:f>
        <x:v>0.0724191063174114</x:v>
      </x:c>
      <x:c r="N107" s="18" t="n">
        <x:f>IF(J107=0,"n.a.",I107*1000/J107)</x:f>
        <x:v>130.00801282051282</x:v>
      </x:c>
      <x:c r="O107" s="18" t="n">
        <x:f>SUM(E107:H107)-I107</x:f>
        <x:v>0</x:v>
      </x:c>
      <x:c r="P107" s="18" t="n">
        <x:f>RANK(I107,$I$7:$I$212,0)+COUNTIF($I$7:I107,I107)-1</x:f>
        <x:v>101</x:v>
      </x:c>
      <x:c r="Q107" s="10" t="str">
        <x:v>Greater Manchester</x:v>
      </x:c>
    </x:row>
    <x:row r="108" ht="46" customHeight="1">
      <x:c r="A108" s="10" t="str">
        <x:v>10007768</x:v>
      </x:c>
      <x:c r="B108" s="11" t="str">
        <x:v>The University of Lancaster</x:v>
      </x:c>
      <x:c r="C108" s="10" t="str">
        <x:v>Additional UK sample</x:v>
      </x:c>
      <x:c r="D108" s="10" t="str">
        <x:v>2024/25</x:v>
      </x:c>
      <x:c r="E108" s="18" t="n">
        <x:v>177</x:v>
      </x:c>
      <x:c r="F108" s="18" t="n">
        <x:v>510</x:v>
      </x:c>
      <x:c r="G108" s="18" t="n">
        <x:v>500</x:v>
      </x:c>
      <x:c r="H108" s="18" t="n">
        <x:v>102</x:v>
      </x:c>
      <x:c r="I108" s="18" t="n">
        <x:v>1289</x:v>
      </x:c>
      <x:c r="J108" s="18" t="n">
        <x:v>3148</x:v>
      </x:c>
      <x:c r="K108" s="19" t="n">
        <x:f>I108/1000</x:f>
        <x:v>1.289</x:v>
      </x:c>
      <x:c r="L108" s="19" t="n">
        <x:f>SUM(E108:G108)/1000</x:f>
        <x:v>1.187</x:v>
      </x:c>
      <x:c r="M108" s="20" t="n">
        <x:f>IF(I108=0,"n.a.",H108/I108)</x:f>
        <x:v>0.0791311093871218</x:v>
      </x:c>
      <x:c r="N108" s="18" t="n">
        <x:f>IF(J108=0,"n.a.",I108*1000/J108)</x:f>
        <x:v>409.4663278271919</x:v>
      </x:c>
      <x:c r="O108" s="18" t="n">
        <x:f>SUM(E108:H108)-I108</x:f>
        <x:v>0</x:v>
      </x:c>
      <x:c r="P108" s="18" t="n">
        <x:f>RANK(I108,$I$7:$I$212,0)+COUNTIF($I$7:I108,I108)-1</x:f>
        <x:v>102</x:v>
      </x:c>
      <x:c r="Q108" s="10" t="str">
        <x:v>Lancaster</x:v>
      </x:c>
    </x:row>
    <x:row r="109" ht="46" customHeight="1">
      <x:c r="A109" s="10" t="str">
        <x:v>10007777</x:v>
      </x:c>
      <x:c r="B109" s="11" t="str">
        <x:v>Royal College of Art</x:v>
      </x:c>
      <x:c r="C109" s="10" t="str">
        <x:v>Other HE provider</x:v>
      </x:c>
      <x:c r="D109" s="10" t="str">
        <x:v>2024/25</x:v>
      </x:c>
      <x:c r="E109" s="18" t="n">
        <x:v>0</x:v>
      </x:c>
      <x:c r="F109" s="18" t="n">
        <x:v>727</x:v>
      </x:c>
      <x:c r="G109" s="18" t="n">
        <x:v>0</x:v>
      </x:c>
      <x:c r="H109" s="18" t="n">
        <x:v>505</x:v>
      </x:c>
      <x:c r="I109" s="18" t="n">
        <x:v>1232</x:v>
      </x:c>
      <x:c r="J109" s="18" t="n">
        <x:v>8622</x:v>
      </x:c>
      <x:c r="K109" s="19" t="n">
        <x:f>I109/1000</x:f>
        <x:v>1.232</x:v>
      </x:c>
      <x:c r="L109" s="19" t="n">
        <x:f>SUM(E109:G109)/1000</x:f>
        <x:v>0.727</x:v>
      </x:c>
      <x:c r="M109" s="20" t="n">
        <x:f>IF(I109=0,"n.a.",H109/I109)</x:f>
        <x:v>0.4099025974025974</x:v>
      </x:c>
      <x:c r="N109" s="18" t="n">
        <x:f>IF(J109=0,"n.a.",I109*1000/J109)</x:f>
        <x:v>142.89028067733705</x:v>
      </x:c>
      <x:c r="O109" s="18" t="n">
        <x:f>SUM(E109:H109)-I109</x:f>
        <x:v>0</x:v>
      </x:c>
      <x:c r="P109" s="18" t="n">
        <x:f>RANK(I109,$I$7:$I$212,0)+COUNTIF($I$7:I109,I109)-1</x:f>
        <x:v>103</x:v>
      </x:c>
      <x:c r="Q109" s="10" t="str">
        <x:v>Royal College of Art</x:v>
      </x:c>
    </x:row>
    <x:row r="110" ht="46" customHeight="1">
      <x:c r="A110" s="10" t="str">
        <x:v>10007785</x:v>
      </x:c>
      <x:c r="B110" s="11" t="str">
        <x:v>The University of Bradford</x:v>
      </x:c>
      <x:c r="C110" s="10" t="str">
        <x:v>Other HE provider</x:v>
      </x:c>
      <x:c r="D110" s="10" t="str">
        <x:v>2024/25</x:v>
      </x:c>
      <x:c r="E110" s="18" t="n">
        <x:v>311</x:v>
      </x:c>
      <x:c r="F110" s="18" t="n">
        <x:v>154</x:v>
      </x:c>
      <x:c r="G110" s="18" t="n">
        <x:v>706</x:v>
      </x:c>
      <x:c r="H110" s="18" t="n">
        <x:v>52</x:v>
      </x:c>
      <x:c r="I110" s="18" t="n">
        <x:v>1223</x:v>
      </x:c>
      <x:c r="J110" s="18" t="n">
        <x:v>6115</x:v>
      </x:c>
      <x:c r="K110" s="19" t="n">
        <x:f>I110/1000</x:f>
        <x:v>1.223</x:v>
      </x:c>
      <x:c r="L110" s="19" t="n">
        <x:f>SUM(E110:G110)/1000</x:f>
        <x:v>1.171</x:v>
      </x:c>
      <x:c r="M110" s="20" t="n">
        <x:f>IF(I110=0,"n.a.",H110/I110)</x:f>
        <x:v>0.04251839738348324</x:v>
      </x:c>
      <x:c r="N110" s="18" t="n">
        <x:f>IF(J110=0,"n.a.",I110*1000/J110)</x:f>
        <x:v>200</x:v>
      </x:c>
      <x:c r="O110" s="18" t="n">
        <x:f>SUM(E110:H110)-I110</x:f>
        <x:v>0</x:v>
      </x:c>
      <x:c r="P110" s="18" t="n">
        <x:f>RANK(I110,$I$7:$I$212,0)+COUNTIF($I$7:I110,I110)-1</x:f>
        <x:v>104</x:v>
      </x:c>
      <x:c r="Q110" s="10" t="str">
        <x:v>Bradford</x:v>
      </x:c>
    </x:row>
    <x:row r="111" ht="46" customHeight="1">
      <x:c r="A111" s="10" t="str">
        <x:v>10007772</x:v>
      </x:c>
      <x:c r="B111" s="11" t="str">
        <x:v>Edinburgh Napier University</x:v>
      </x:c>
      <x:c r="C111" s="10" t="str">
        <x:v>Other HE provider</x:v>
      </x:c>
      <x:c r="D111" s="10" t="str">
        <x:v>2024/25</x:v>
      </x:c>
      <x:c r="E111" s="18" t="n">
        <x:v>5</x:v>
      </x:c>
      <x:c r="F111" s="18" t="n">
        <x:v>382</x:v>
      </x:c>
      <x:c r="G111" s="18" t="n">
        <x:v>686</x:v>
      </x:c>
      <x:c r="H111" s="18" t="n">
        <x:v>98</x:v>
      </x:c>
      <x:c r="I111" s="18" t="n">
        <x:v>1171</x:v>
      </x:c>
      <x:c r="J111" s="18" t="n">
        <x:v>5267</x:v>
      </x:c>
      <x:c r="K111" s="19" t="n">
        <x:f>I111/1000</x:f>
        <x:v>1.171</x:v>
      </x:c>
      <x:c r="L111" s="19" t="n">
        <x:f>SUM(E111:G111)/1000</x:f>
        <x:v>1.073</x:v>
      </x:c>
      <x:c r="M111" s="20" t="n">
        <x:f>IF(I111=0,"n.a.",H111/I111)</x:f>
        <x:v>0.08368915456874466</x:v>
      </x:c>
      <x:c r="N111" s="18" t="n">
        <x:f>IF(J111=0,"n.a.",I111*1000/J111)</x:f>
        <x:v>222.32770077843173</x:v>
      </x:c>
      <x:c r="O111" s="18" t="n">
        <x:f>SUM(E111:H111)-I111</x:f>
        <x:v>0</x:v>
      </x:c>
      <x:c r="P111" s="18" t="n">
        <x:f>RANK(I111,$I$7:$I$212,0)+COUNTIF($I$7:I111,I111)-1</x:f>
        <x:v>105</x:v>
      </x:c>
      <x:c r="Q111" s="10" t="str">
        <x:v>Edinburgh Napier</x:v>
      </x:c>
    </x:row>
    <x:row r="112" ht="46" customHeight="1">
      <x:c r="A112" s="10" t="str">
        <x:v>10006566</x:v>
      </x:c>
      <x:c r="B112" s="11" t="str">
        <x:v>The University of West London</x:v>
      </x:c>
      <x:c r="C112" s="10" t="str">
        <x:v>Other HE provider</x:v>
      </x:c>
      <x:c r="D112" s="10" t="str">
        <x:v>2024/25</x:v>
      </x:c>
      <x:c r="E112" s="18" t="n">
        <x:v>0</x:v>
      </x:c>
      <x:c r="F112" s="18" t="n">
        <x:v>0</x:v>
      </x:c>
      <x:c r="G112" s="18" t="n">
        <x:v>311</x:v>
      </x:c>
      <x:c r="H112" s="18" t="n">
        <x:v>823</x:v>
      </x:c>
      <x:c r="I112" s="18" t="n">
        <x:v>1134</x:v>
      </x:c>
      <x:c r="J112" s="18" t="n">
        <x:v>2269</x:v>
      </x:c>
      <x:c r="K112" s="19" t="n">
        <x:f>I112/1000</x:f>
        <x:v>1.134</x:v>
      </x:c>
      <x:c r="L112" s="19" t="n">
        <x:f>SUM(E112:G112)/1000</x:f>
        <x:v>0.311</x:v>
      </x:c>
      <x:c r="M112" s="20" t="n">
        <x:f>IF(I112=0,"n.a.",H112/I112)</x:f>
        <x:v>0.7257495590828924</x:v>
      </x:c>
      <x:c r="N112" s="18" t="n">
        <x:f>IF(J112=0,"n.a.",I112*1000/J112)</x:f>
        <x:v>499.779638607316</x:v>
      </x:c>
      <x:c r="O112" s="18" t="n">
        <x:f>SUM(E112:H112)-I112</x:f>
        <x:v>0</x:v>
      </x:c>
      <x:c r="P112" s="18" t="n">
        <x:f>RANK(I112,$I$7:$I$212,0)+COUNTIF($I$7:I112,I112)-1</x:f>
        <x:v>106</x:v>
      </x:c>
      <x:c r="Q112" s="10" t="str">
        <x:v>West London</x:v>
      </x:c>
    </x:row>
    <x:row r="113" ht="46" customHeight="1">
      <x:c r="A113" s="10" t="str">
        <x:v>10007832</x:v>
      </x:c>
      <x:c r="B113" s="11" t="str">
        <x:v>Birmingham Newman University</x:v>
      </x:c>
      <x:c r="C113" s="10" t="str">
        <x:v>Other HE provider</x:v>
      </x:c>
      <x:c r="D113" s="10" t="str">
        <x:v>2024/25</x:v>
      </x:c>
      <x:c r="E113" s="18" t="n">
        <x:v>0</x:v>
      </x:c>
      <x:c r="F113" s="18" t="n">
        <x:v>0</x:v>
      </x:c>
      <x:c r="G113" s="18" t="n">
        <x:v>0</x:v>
      </x:c>
      <x:c r="H113" s="18" t="n">
        <x:v>1114</x:v>
      </x:c>
      <x:c r="I113" s="18" t="n">
        <x:v>1114</x:v>
      </x:c>
      <x:c r="J113" s="18" t="n">
        <x:v>6372</x:v>
      </x:c>
      <x:c r="K113" s="19" t="n">
        <x:f>I113/1000</x:f>
        <x:v>1.114</x:v>
      </x:c>
      <x:c r="L113" s="19" t="n">
        <x:f>SUM(E113:G113)/1000</x:f>
        <x:v>0</x:v>
      </x:c>
      <x:c r="M113" s="20" t="n">
        <x:f>IF(I113=0,"n.a.",H113/I113)</x:f>
        <x:v>1</x:v>
      </x:c>
      <x:c r="N113" s="18" t="n">
        <x:f>IF(J113=0,"n.a.",I113*1000/J113)</x:f>
        <x:v>174.82736974262397</x:v>
      </x:c>
      <x:c r="O113" s="18" t="n">
        <x:f>SUM(E113:H113)-I113</x:f>
        <x:v>0</x:v>
      </x:c>
      <x:c r="P113" s="18" t="n">
        <x:f>RANK(I113,$I$7:$I$212,0)+COUNTIF($I$7:I113,I113)-1</x:f>
        <x:v>107</x:v>
      </x:c>
      <x:c r="Q113" s="10" t="str">
        <x:v>Birmingham Newman</x:v>
      </x:c>
    </x:row>
    <x:row r="114" ht="46" customHeight="1">
      <x:c r="A114" s="10" t="str">
        <x:v>10006427</x:v>
      </x:c>
      <x:c r="B114" s="11" t="str">
        <x:v>University for the Creative Arts</x:v>
      </x:c>
      <x:c r="C114" s="10" t="str">
        <x:v>Other HE provider</x:v>
      </x:c>
      <x:c r="D114" s="10" t="str">
        <x:v>2024/25</x:v>
      </x:c>
      <x:c r="E114" s="18" t="n">
        <x:v>0</x:v>
      </x:c>
      <x:c r="F114" s="18" t="n">
        <x:v>0</x:v>
      </x:c>
      <x:c r="G114" s="18" t="n">
        <x:v>0</x:v>
      </x:c>
      <x:c r="H114" s="18" t="n">
        <x:v>1105</x:v>
      </x:c>
      <x:c r="I114" s="18" t="n">
        <x:v>1105</x:v>
      </x:c>
      <x:c r="J114" s="18" t="n">
        <x:v>4466</x:v>
      </x:c>
      <x:c r="K114" s="19" t="n">
        <x:f>I114/1000</x:f>
        <x:v>1.105</x:v>
      </x:c>
      <x:c r="L114" s="19" t="n">
        <x:f>SUM(E114:G114)/1000</x:f>
        <x:v>0</x:v>
      </x:c>
      <x:c r="M114" s="20" t="n">
        <x:f>IF(I114=0,"n.a.",H114/I114)</x:f>
        <x:v>1</x:v>
      </x:c>
      <x:c r="N114" s="18" t="n">
        <x:f>IF(J114=0,"n.a.",I114*1000/J114)</x:f>
        <x:v>247.42498880429915</x:v>
      </x:c>
      <x:c r="O114" s="18" t="n">
        <x:f>SUM(E114:H114)-I114</x:f>
        <x:v>0</x:v>
      </x:c>
      <x:c r="P114" s="18" t="n">
        <x:f>RANK(I114,$I$7:$I$212,0)+COUNTIF($I$7:I114,I114)-1</x:f>
        <x:v>108</x:v>
      </x:c>
      <x:c r="Q114" s="10" t="str">
        <x:v>University for the Creative Arts</x:v>
      </x:c>
    </x:row>
    <x:row r="115" ht="46" customHeight="1">
      <x:c r="A115" s="10" t="str">
        <x:v>10007803</x:v>
      </x:c>
      <x:c r="B115" s="11" t="str">
        <x:v>The University of St. Andrews</x:v>
      </x:c>
      <x:c r="C115" s="10" t="str">
        <x:v>Additional UK sample</x:v>
      </x:c>
      <x:c r="D115" s="10" t="str">
        <x:v>2024/25</x:v>
      </x:c>
      <x:c r="E115" s="18" t="n">
        <x:v>20</x:v>
      </x:c>
      <x:c r="F115" s="18" t="n">
        <x:v>2</x:v>
      </x:c>
      <x:c r="G115" s="18" t="n">
        <x:v>101</x:v>
      </x:c>
      <x:c r="H115" s="18" t="n">
        <x:v>950</x:v>
      </x:c>
      <x:c r="I115" s="18" t="n">
        <x:v>1073</x:v>
      </x:c>
      <x:c r="J115" s="18" t="n">
        <x:v>1636</x:v>
      </x:c>
      <x:c r="K115" s="19" t="n">
        <x:f>I115/1000</x:f>
        <x:v>1.073</x:v>
      </x:c>
      <x:c r="L115" s="19" t="n">
        <x:f>SUM(E115:G115)/1000</x:f>
        <x:v>0.123</x:v>
      </x:c>
      <x:c r="M115" s="20" t="n">
        <x:f>IF(I115=0,"n.a.",H115/I115)</x:f>
        <x:v>0.8853681267474371</x:v>
      </x:c>
      <x:c r="N115" s="18" t="n">
        <x:f>IF(J115=0,"n.a.",I115*1000/J115)</x:f>
        <x:v>655.8679706601467</x:v>
      </x:c>
      <x:c r="O115" s="18" t="n">
        <x:f>SUM(E115:H115)-I115</x:f>
        <x:v>0</x:v>
      </x:c>
      <x:c r="P115" s="18" t="n">
        <x:f>RANK(I115,$I$7:$I$212,0)+COUNTIF($I$7:I115,I115)-1</x:f>
        <x:v>109</x:v>
      </x:c>
      <x:c r="Q115" s="10" t="str">
        <x:v>St Andrews</x:v>
      </x:c>
    </x:row>
    <x:row r="116" ht="46" customHeight="1">
      <x:c r="A116" s="10" t="str">
        <x:v>10007854</x:v>
      </x:c>
      <x:c r="B116" s="11" t="str">
        <x:v>Cardiff Metropolitan University</x:v>
      </x:c>
      <x:c r="C116" s="10" t="str">
        <x:v>Other HE provider</x:v>
      </x:c>
      <x:c r="D116" s="10" t="str">
        <x:v>2024/25</x:v>
      </x:c>
      <x:c r="E116" s="18" t="n">
        <x:v>4</x:v>
      </x:c>
      <x:c r="F116" s="18" t="n">
        <x:v>1</x:v>
      </x:c>
      <x:c r="G116" s="18" t="n">
        <x:v>365</x:v>
      </x:c>
      <x:c r="H116" s="18" t="n">
        <x:v>699</x:v>
      </x:c>
      <x:c r="I116" s="18" t="n">
        <x:v>1069</x:v>
      </x:c>
      <x:c r="J116" s="18" t="n">
        <x:v>28559</x:v>
      </x:c>
      <x:c r="K116" s="19" t="n">
        <x:f>I116/1000</x:f>
        <x:v>1.069</x:v>
      </x:c>
      <x:c r="L116" s="19" t="n">
        <x:f>SUM(E116:G116)/1000</x:f>
        <x:v>0.37</x:v>
      </x:c>
      <x:c r="M116" s="20" t="n">
        <x:f>IF(I116=0,"n.a.",H116/I116)</x:f>
        <x:v>0.6538821328344246</x:v>
      </x:c>
      <x:c r="N116" s="18" t="n">
        <x:f>IF(J116=0,"n.a.",I116*1000/J116)</x:f>
        <x:v>37.43128260793445</x:v>
      </x:c>
      <x:c r="O116" s="18" t="n">
        <x:f>SUM(E116:H116)-I116</x:f>
        <x:v>0</x:v>
      </x:c>
      <x:c r="P116" s="18" t="n">
        <x:f>RANK(I116,$I$7:$I$212,0)+COUNTIF($I$7:I116,I116)-1</x:f>
        <x:v>110</x:v>
      </x:c>
      <x:c r="Q116" s="10" t="str">
        <x:v>Cardiff Metropolitan</x:v>
      </x:c>
    </x:row>
    <x:row r="117" ht="46" customHeight="1">
      <x:c r="A117" s="10" t="str">
        <x:v>10007157</x:v>
      </x:c>
      <x:c r="B117" s="11" t="str">
        <x:v>The University of Sheffield</x:v>
      </x:c>
      <x:c r="C117" s="10" t="str">
        <x:v>Russell Group</x:v>
      </x:c>
      <x:c r="D117" s="10" t="str">
        <x:v>2024/25</x:v>
      </x:c>
      <x:c r="E117" s="18" t="n">
        <x:v>26</x:v>
      </x:c>
      <x:c r="F117" s="18" t="n">
        <x:v>108</x:v>
      </x:c>
      <x:c r="G117" s="18" t="n">
        <x:v>622</x:v>
      </x:c>
      <x:c r="H117" s="18" t="n">
        <x:v>269</x:v>
      </x:c>
      <x:c r="I117" s="18" t="n">
        <x:v>1025</x:v>
      </x:c>
      <x:c r="J117" s="18" t="n">
        <x:v>9619</x:v>
      </x:c>
      <x:c r="K117" s="19" t="n">
        <x:f>I117/1000</x:f>
        <x:v>1.025</x:v>
      </x:c>
      <x:c r="L117" s="19" t="n">
        <x:f>SUM(E117:G117)/1000</x:f>
        <x:v>0.756</x:v>
      </x:c>
      <x:c r="M117" s="20" t="n">
        <x:f>IF(I117=0,"n.a.",H117/I117)</x:f>
        <x:v>0.2624390243902439</x:v>
      </x:c>
      <x:c r="N117" s="18" t="n">
        <x:f>IF(J117=0,"n.a.",I117*1000/J117)</x:f>
        <x:v>106.55993346501715</x:v>
      </x:c>
      <x:c r="O117" s="18" t="n">
        <x:f>SUM(E117:H117)-I117</x:f>
        <x:v>0</x:v>
      </x:c>
      <x:c r="P117" s="18" t="n">
        <x:f>RANK(I117,$I$7:$I$212,0)+COUNTIF($I$7:I117,I117)-1</x:f>
        <x:v>111</x:v>
      </x:c>
      <x:c r="Q117" s="10" t="str">
        <x:v>Sheffield</x:v>
      </x:c>
    </x:row>
    <x:row r="118" ht="46" customHeight="1">
      <x:c r="A118" s="10" t="str">
        <x:v>10002718</x:v>
      </x:c>
      <x:c r="B118" s="11" t="str">
        <x:v>Goldsmiths College</x:v>
      </x:c>
      <x:c r="C118" s="10" t="str">
        <x:v>Other HE provider</x:v>
      </x:c>
      <x:c r="D118" s="10" t="str">
        <x:v>2024/25</x:v>
      </x:c>
      <x:c r="E118" s="18" t="n">
        <x:v>2</x:v>
      </x:c>
      <x:c r="F118" s="18" t="n">
        <x:v>6</x:v>
      </x:c>
      <x:c r="G118" s="18" t="n">
        <x:v>37</x:v>
      </x:c>
      <x:c r="H118" s="18" t="n">
        <x:v>973</x:v>
      </x:c>
      <x:c r="I118" s="18" t="n">
        <x:v>1018</x:v>
      </x:c>
      <x:c r="J118" s="18" t="n">
        <x:v>3153</x:v>
      </x:c>
      <x:c r="K118" s="19" t="n">
        <x:f>I118/1000</x:f>
        <x:v>1.018</x:v>
      </x:c>
      <x:c r="L118" s="19" t="n">
        <x:f>SUM(E118:G118)/1000</x:f>
        <x:v>0.045</x:v>
      </x:c>
      <x:c r="M118" s="20" t="n">
        <x:f>IF(I118=0,"n.a.",H118/I118)</x:f>
        <x:v>0.9557956777996071</x:v>
      </x:c>
      <x:c r="N118" s="18" t="n">
        <x:f>IF(J118=0,"n.a.",I118*1000/J118)</x:f>
        <x:v>322.8671106882334</x:v>
      </x:c>
      <x:c r="O118" s="18" t="n">
        <x:f>SUM(E118:H118)-I118</x:f>
        <x:v>0</x:v>
      </x:c>
      <x:c r="P118" s="18" t="n">
        <x:f>RANK(I118,$I$7:$I$212,0)+COUNTIF($I$7:I118,I118)-1</x:f>
        <x:v>112</x:v>
      </x:c>
      <x:c r="Q118" s="10" t="str">
        <x:v>Goldsmiths College</x:v>
      </x:c>
    </x:row>
    <x:row r="119" ht="46" customHeight="1">
      <x:c r="A119" s="10" t="str">
        <x:v>10008816</x:v>
      </x:c>
      <x:c r="B119" s="11" t="str">
        <x:v>Northern School of Contemporary Dance</x:v>
      </x:c>
      <x:c r="C119" s="10" t="str">
        <x:v>Other HE provider</x:v>
      </x:c>
      <x:c r="D119" s="10" t="str">
        <x:v>2024/25</x:v>
      </x:c>
      <x:c r="E119" s="18" t="n">
        <x:v>0</x:v>
      </x:c>
      <x:c r="F119" s="18" t="n">
        <x:v>0</x:v>
      </x:c>
      <x:c r="G119" s="18" t="n">
        <x:v>0</x:v>
      </x:c>
      <x:c r="H119" s="18" t="n">
        <x:v>1012</x:v>
      </x:c>
      <x:c r="I119" s="18" t="n">
        <x:v>1012</x:v>
      </x:c>
      <x:c r="J119" s="18" t="n">
        <x:v>0</x:v>
      </x:c>
      <x:c r="K119" s="19" t="n">
        <x:f>I119/1000</x:f>
        <x:v>1.012</x:v>
      </x:c>
      <x:c r="L119" s="19" t="n">
        <x:f>SUM(E119:G119)/1000</x:f>
        <x:v>0</x:v>
      </x:c>
      <x:c r="M119" s="20" t="n">
        <x:f>IF(I119=0,"n.a.",H119/I119)</x:f>
        <x:v>1</x:v>
      </x:c>
      <x:c r="N119" s="18" t="str">
        <x:f>IF(J119=0,"n.a.",I119*1000/J119)</x:f>
        <x:v>n.a.</x:v>
      </x:c>
      <x:c r="O119" s="18" t="n">
        <x:f>SUM(E119:H119)-I119</x:f>
        <x:v>0</x:v>
      </x:c>
      <x:c r="P119" s="18" t="n">
        <x:f>RANK(I119,$I$7:$I$212,0)+COUNTIF($I$7:I119,I119)-1</x:f>
        <x:v>113</x:v>
      </x:c>
      <x:c r="Q119" s="10" t="str">
        <x:v>Northern School of Contemporary Dance</x:v>
      </x:c>
    </x:row>
    <x:row r="120" ht="46" customHeight="1">
      <x:c r="A120" s="10" t="str">
        <x:v>10007779</x:v>
      </x:c>
      <x:c r="B120" s="11" t="str">
        <x:v>The Royal Veterinary College</x:v>
      </x:c>
      <x:c r="C120" s="10" t="str">
        <x:v>Other HE provider</x:v>
      </x:c>
      <x:c r="D120" s="10" t="str">
        <x:v>2024/25</x:v>
      </x:c>
      <x:c r="E120" s="18" t="n">
        <x:v>257</x:v>
      </x:c>
      <x:c r="F120" s="18" t="n">
        <x:v>66</x:v>
      </x:c>
      <x:c r="G120" s="18" t="n">
        <x:v>76</x:v>
      </x:c>
      <x:c r="H120" s="18" t="n">
        <x:v>539</x:v>
      </x:c>
      <x:c r="I120" s="18" t="n">
        <x:v>938</x:v>
      </x:c>
      <x:c r="J120" s="18" t="n">
        <x:v>5277</x:v>
      </x:c>
      <x:c r="K120" s="19" t="n">
        <x:f>I120/1000</x:f>
        <x:v>0.938</x:v>
      </x:c>
      <x:c r="L120" s="19" t="n">
        <x:f>SUM(E120:G120)/1000</x:f>
        <x:v>0.399</x:v>
      </x:c>
      <x:c r="M120" s="20" t="n">
        <x:f>IF(I120=0,"n.a.",H120/I120)</x:f>
        <x:v>0.5746268656716418</x:v>
      </x:c>
      <x:c r="N120" s="18" t="n">
        <x:f>IF(J120=0,"n.a.",I120*1000/J120)</x:f>
        <x:v>177.7525108963426</x:v>
      </x:c>
      <x:c r="O120" s="18" t="n">
        <x:f>SUM(E120:H120)-I120</x:f>
        <x:v>0</x:v>
      </x:c>
      <x:c r="P120" s="18" t="n">
        <x:f>RANK(I120,$I$7:$I$212,0)+COUNTIF($I$7:I120,I120)-1</x:f>
        <x:v>114</x:v>
      </x:c>
      <x:c r="Q120" s="10" t="str">
        <x:v>The Royal Veterinary College</x:v>
      </x:c>
    </x:row>
    <x:row r="121" ht="46" customHeight="1">
      <x:c r="A121" s="10" t="str">
        <x:v>10007806</x:v>
      </x:c>
      <x:c r="B121" s="11" t="str">
        <x:v>The University of Sussex</x:v>
      </x:c>
      <x:c r="C121" s="10" t="str">
        <x:v>Additional UK sample</x:v>
      </x:c>
      <x:c r="D121" s="10" t="str">
        <x:v>2024/25</x:v>
      </x:c>
      <x:c r="E121" s="18" t="n">
        <x:v>0</x:v>
      </x:c>
      <x:c r="F121" s="18" t="n">
        <x:v>0</x:v>
      </x:c>
      <x:c r="G121" s="18" t="n">
        <x:v>91</x:v>
      </x:c>
      <x:c r="H121" s="18" t="n">
        <x:v>839</x:v>
      </x:c>
      <x:c r="I121" s="18" t="n">
        <x:v>930</x:v>
      </x:c>
      <x:c r="J121" s="18" t="n">
        <x:v>980</x:v>
      </x:c>
      <x:c r="K121" s="19" t="n">
        <x:f>I121/1000</x:f>
        <x:v>0.93</x:v>
      </x:c>
      <x:c r="L121" s="19" t="n">
        <x:f>SUM(E121:G121)/1000</x:f>
        <x:v>0.091</x:v>
      </x:c>
      <x:c r="M121" s="20" t="n">
        <x:f>IF(I121=0,"n.a.",H121/I121)</x:f>
        <x:v>0.9021505376344086</x:v>
      </x:c>
      <x:c r="N121" s="18" t="n">
        <x:f>IF(J121=0,"n.a.",I121*1000/J121)</x:f>
        <x:v>948.9795918367347</x:v>
      </x:c>
      <x:c r="O121" s="18" t="n">
        <x:f>SUM(E121:H121)-I121</x:f>
        <x:v>0</x:v>
      </x:c>
      <x:c r="P121" s="18" t="n">
        <x:f>RANK(I121,$I$7:$I$212,0)+COUNTIF($I$7:I121,I121)-1</x:f>
        <x:v>115</x:v>
      </x:c>
      <x:c r="Q121" s="10" t="str">
        <x:v>Sussex</x:v>
      </x:c>
    </x:row>
    <x:row r="122" ht="46" customHeight="1">
      <x:c r="A122" s="10" t="str">
        <x:v>10007759</x:v>
      </x:c>
      <x:c r="B122" s="11" t="str">
        <x:v>Aston University</x:v>
      </x:c>
      <x:c r="C122" s="10" t="str">
        <x:v>Additional UK sample</x:v>
      </x:c>
      <x:c r="D122" s="10" t="str">
        <x:v>2024/25</x:v>
      </x:c>
      <x:c r="E122" s="18" t="n">
        <x:v>441</x:v>
      </x:c>
      <x:c r="F122" s="18" t="n">
        <x:v>209</x:v>
      </x:c>
      <x:c r="G122" s="18" t="n">
        <x:v>145</x:v>
      </x:c>
      <x:c r="H122" s="18" t="n">
        <x:v>124</x:v>
      </x:c>
      <x:c r="I122" s="18" t="n">
        <x:v>919</x:v>
      </x:c>
      <x:c r="J122" s="18" t="n">
        <x:v>1748</x:v>
      </x:c>
      <x:c r="K122" s="19" t="n">
        <x:f>I122/1000</x:f>
        <x:v>0.919</x:v>
      </x:c>
      <x:c r="L122" s="19" t="n">
        <x:f>SUM(E122:G122)/1000</x:f>
        <x:v>0.795</x:v>
      </x:c>
      <x:c r="M122" s="20" t="n">
        <x:f>IF(I122=0,"n.a.",H122/I122)</x:f>
        <x:v>0.13492927094668117</x:v>
      </x:c>
      <x:c r="N122" s="18" t="n">
        <x:f>IF(J122=0,"n.a.",I122*1000/J122)</x:f>
        <x:v>525.7437070938215</x:v>
      </x:c>
      <x:c r="O122" s="18" t="n">
        <x:f>SUM(E122:H122)-I122</x:f>
        <x:v>0</x:v>
      </x:c>
      <x:c r="P122" s="18" t="n">
        <x:f>RANK(I122,$I$7:$I$212,0)+COUNTIF($I$7:I122,I122)-1</x:f>
        <x:v>116</x:v>
      </x:c>
      <x:c r="Q122" s="10" t="str">
        <x:v>Aston</x:v>
      </x:c>
    </x:row>
    <x:row r="123" ht="46" customHeight="1">
      <x:c r="A123" s="10" t="str">
        <x:v>10000385</x:v>
      </x:c>
      <x:c r="B123" s="11" t="str">
        <x:v>The Arts University Bournemouth</x:v>
      </x:c>
      <x:c r="C123" s="10" t="str">
        <x:v>Other HE provider</x:v>
      </x:c>
      <x:c r="D123" s="10" t="str">
        <x:v>2024/25</x:v>
      </x:c>
      <x:c r="E123" s="18" t="n">
        <x:v>0</x:v>
      </x:c>
      <x:c r="F123" s="18" t="n">
        <x:v>0</x:v>
      </x:c>
      <x:c r="G123" s="18" t="n">
        <x:v>0</x:v>
      </x:c>
      <x:c r="H123" s="18" t="n">
        <x:v>908</x:v>
      </x:c>
      <x:c r="I123" s="18" t="n">
        <x:v>908</x:v>
      </x:c>
      <x:c r="J123" s="18" t="n">
        <x:v>0</x:v>
      </x:c>
      <x:c r="K123" s="19" t="n">
        <x:f>I123/1000</x:f>
        <x:v>0.908</x:v>
      </x:c>
      <x:c r="L123" s="19" t="n">
        <x:f>SUM(E123:G123)/1000</x:f>
        <x:v>0</x:v>
      </x:c>
      <x:c r="M123" s="20" t="n">
        <x:f>IF(I123=0,"n.a.",H123/I123)</x:f>
        <x:v>1</x:v>
      </x:c>
      <x:c r="N123" s="18" t="str">
        <x:f>IF(J123=0,"n.a.",I123*1000/J123)</x:f>
        <x:v>n.a.</x:v>
      </x:c>
      <x:c r="O123" s="18" t="n">
        <x:f>SUM(E123:H123)-I123</x:f>
        <x:v>0</x:v>
      </x:c>
      <x:c r="P123" s="18" t="n">
        <x:f>RANK(I123,$I$7:$I$212,0)+COUNTIF($I$7:I123,I123)-1</x:f>
        <x:v>117</x:v>
      </x:c>
      <x:c r="Q123" s="10" t="str">
        <x:v>The Arts University Bournemouth</x:v>
      </x:c>
    </x:row>
    <x:row r="124" ht="46" customHeight="1">
      <x:c r="A124" s="10" t="str">
        <x:v>10007767</x:v>
      </x:c>
      <x:c r="B124" s="11" t="str">
        <x:v>Keele University</x:v>
      </x:c>
      <x:c r="C124" s="10" t="str">
        <x:v>Other HE provider</x:v>
      </x:c>
      <x:c r="D124" s="10" t="str">
        <x:v>2024/25</x:v>
      </x:c>
      <x:c r="E124" s="18" t="n">
        <x:v>2</x:v>
      </x:c>
      <x:c r="F124" s="18" t="n">
        <x:v>17</x:v>
      </x:c>
      <x:c r="G124" s="18" t="n">
        <x:v>613</x:v>
      </x:c>
      <x:c r="H124" s="18" t="n">
        <x:v>252</x:v>
      </x:c>
      <x:c r="I124" s="18" t="n">
        <x:v>884</x:v>
      </x:c>
      <x:c r="J124" s="18" t="n">
        <x:v>11592</x:v>
      </x:c>
      <x:c r="K124" s="19" t="n">
        <x:f>I124/1000</x:f>
        <x:v>0.884</x:v>
      </x:c>
      <x:c r="L124" s="19" t="n">
        <x:f>SUM(E124:G124)/1000</x:f>
        <x:v>0.632</x:v>
      </x:c>
      <x:c r="M124" s="20" t="n">
        <x:f>IF(I124=0,"n.a.",H124/I124)</x:f>
        <x:v>0.2850678733031674</x:v>
      </x:c>
      <x:c r="N124" s="18" t="n">
        <x:f>IF(J124=0,"n.a.",I124*1000/J124)</x:f>
        <x:v>76.25948930296757</x:v>
      </x:c>
      <x:c r="O124" s="18" t="n">
        <x:f>SUM(E124:H124)-I124</x:f>
        <x:v>0</x:v>
      </x:c>
      <x:c r="P124" s="18" t="n">
        <x:f>RANK(I124,$I$7:$I$212,0)+COUNTIF($I$7:I124,I124)-1</x:f>
        <x:v>118</x:v>
      </x:c>
      <x:c r="Q124" s="10" t="str">
        <x:v>Keele</x:v>
      </x:c>
    </x:row>
    <x:row r="125" ht="46" customHeight="1">
      <x:c r="A125" s="10" t="str">
        <x:v>10004113</x:v>
      </x:c>
      <x:c r="B125" s="11" t="str">
        <x:v>Loughborough University</x:v>
      </x:c>
      <x:c r="C125" s="10" t="str">
        <x:v>Additional UK sample</x:v>
      </x:c>
      <x:c r="D125" s="10" t="str">
        <x:v>2024/25</x:v>
      </x:c>
      <x:c r="E125" s="18" t="n">
        <x:v>0</x:v>
      </x:c>
      <x:c r="F125" s="18" t="n">
        <x:v>234</x:v>
      </x:c>
      <x:c r="G125" s="18" t="n">
        <x:v>483</x:v>
      </x:c>
      <x:c r="H125" s="18" t="n">
        <x:v>129</x:v>
      </x:c>
      <x:c r="I125" s="18" t="n">
        <x:v>846</x:v>
      </x:c>
      <x:c r="J125" s="18" t="n">
        <x:v>1128</x:v>
      </x:c>
      <x:c r="K125" s="19" t="n">
        <x:f>I125/1000</x:f>
        <x:v>0.846</x:v>
      </x:c>
      <x:c r="L125" s="19" t="n">
        <x:f>SUM(E125:G125)/1000</x:f>
        <x:v>0.717</x:v>
      </x:c>
      <x:c r="M125" s="20" t="n">
        <x:f>IF(I125=0,"n.a.",H125/I125)</x:f>
        <x:v>0.1524822695035461</x:v>
      </x:c>
      <x:c r="N125" s="18" t="n">
        <x:f>IF(J125=0,"n.a.",I125*1000/J125)</x:f>
        <x:v>750</x:v>
      </x:c>
      <x:c r="O125" s="18" t="n">
        <x:f>SUM(E125:H125)-I125</x:f>
        <x:v>0</x:v>
      </x:c>
      <x:c r="P125" s="18" t="n">
        <x:f>RANK(I125,$I$7:$I$212,0)+COUNTIF($I$7:I125,I125)-1</x:f>
        <x:v>119</x:v>
      </x:c>
      <x:c r="Q125" s="10" t="str">
        <x:v>Loughborough</x:v>
      </x:c>
    </x:row>
    <x:row r="126" ht="46" customHeight="1">
      <x:c r="A126" s="10" t="str">
        <x:v>10007138</x:v>
      </x:c>
      <x:c r="B126" s="11" t="str">
        <x:v>The University of Northampton</x:v>
      </x:c>
      <x:c r="C126" s="10" t="str">
        <x:v>Other HE provider</x:v>
      </x:c>
      <x:c r="D126" s="10" t="str">
        <x:v>2024/25</x:v>
      </x:c>
      <x:c r="E126" s="18" t="n">
        <x:v>6</x:v>
      </x:c>
      <x:c r="F126" s="18" t="n">
        <x:v>0</x:v>
      </x:c>
      <x:c r="G126" s="18" t="n">
        <x:v>690</x:v>
      </x:c>
      <x:c r="H126" s="18" t="n">
        <x:v>144</x:v>
      </x:c>
      <x:c r="I126" s="18" t="n">
        <x:v>840</x:v>
      </x:c>
      <x:c r="J126" s="18" t="n">
        <x:v>2261</x:v>
      </x:c>
      <x:c r="K126" s="19" t="n">
        <x:f>I126/1000</x:f>
        <x:v>0.84</x:v>
      </x:c>
      <x:c r="L126" s="19" t="n">
        <x:f>SUM(E126:G126)/1000</x:f>
        <x:v>0.696</x:v>
      </x:c>
      <x:c r="M126" s="20" t="n">
        <x:f>IF(I126=0,"n.a.",H126/I126)</x:f>
        <x:v>0.17142857142857143</x:v>
      </x:c>
      <x:c r="N126" s="18" t="n">
        <x:f>IF(J126=0,"n.a.",I126*1000/J126)</x:f>
        <x:v>371.5170278637771</x:v>
      </x:c>
      <x:c r="O126" s="18" t="n">
        <x:f>SUM(E126:H126)-I126</x:f>
        <x:v>0</x:v>
      </x:c>
      <x:c r="P126" s="18" t="n">
        <x:f>RANK(I126,$I$7:$I$212,0)+COUNTIF($I$7:I126,I126)-1</x:f>
        <x:v>120</x:v>
      </x:c>
      <x:c r="Q126" s="10" t="str">
        <x:v>Northampton</x:v>
      </x:c>
    </x:row>
    <x:row r="127" ht="46" customHeight="1">
      <x:c r="A127" s="10" t="str">
        <x:v>10007852</x:v>
      </x:c>
      <x:c r="B127" s="11" t="str">
        <x:v>The University of Dundee</x:v>
      </x:c>
      <x:c r="C127" s="10" t="str">
        <x:v>Additional UK sample</x:v>
      </x:c>
      <x:c r="D127" s="10" t="str">
        <x:v>2024/25</x:v>
      </x:c>
      <x:c r="E127" s="18" t="n">
        <x:v>90</x:v>
      </x:c>
      <x:c r="F127" s="18" t="n">
        <x:v>75</x:v>
      </x:c>
      <x:c r="G127" s="18" t="n">
        <x:v>221</x:v>
      </x:c>
      <x:c r="H127" s="18" t="n">
        <x:v>422</x:v>
      </x:c>
      <x:c r="I127" s="18" t="n">
        <x:v>808</x:v>
      </x:c>
      <x:c r="J127" s="18" t="n">
        <x:v>2301</x:v>
      </x:c>
      <x:c r="K127" s="19" t="n">
        <x:f>I127/1000</x:f>
        <x:v>0.808</x:v>
      </x:c>
      <x:c r="L127" s="19" t="n">
        <x:f>SUM(E127:G127)/1000</x:f>
        <x:v>0.386</x:v>
      </x:c>
      <x:c r="M127" s="20" t="n">
        <x:f>IF(I127=0,"n.a.",H127/I127)</x:f>
        <x:v>0.5222772277227723</x:v>
      </x:c>
      <x:c r="N127" s="18" t="n">
        <x:f>IF(J127=0,"n.a.",I127*1000/J127)</x:f>
        <x:v>351.1516731855715</x:v>
      </x:c>
      <x:c r="O127" s="18" t="n">
        <x:f>SUM(E127:H127)-I127</x:f>
        <x:v>0</x:v>
      </x:c>
      <x:c r="P127" s="18" t="n">
        <x:f>RANK(I127,$I$7:$I$212,0)+COUNTIF($I$7:I127,I127)-1</x:f>
        <x:v>121</x:v>
      </x:c>
      <x:c r="Q127" s="10" t="str">
        <x:v>Dundee</x:v>
      </x:c>
    </x:row>
    <x:row r="128" ht="46" customHeight="1">
      <x:c r="A128" s="10" t="str">
        <x:v>10000163</x:v>
      </x:c>
      <x:c r="B128" s="11" t="str">
        <x:v>Health Sciences University</x:v>
      </x:c>
      <x:c r="C128" s="10" t="str">
        <x:v>Other HE provider</x:v>
      </x:c>
      <x:c r="D128" s="10" t="str">
        <x:v>2024/25</x:v>
      </x:c>
      <x:c r="E128" s="18" t="n">
        <x:v>23</x:v>
      </x:c>
      <x:c r="F128" s="18" t="n">
        <x:v>1</x:v>
      </x:c>
      <x:c r="G128" s="18" t="n">
        <x:v>407</x:v>
      </x:c>
      <x:c r="H128" s="18" t="n">
        <x:v>339</x:v>
      </x:c>
      <x:c r="I128" s="18" t="n">
        <x:v>770</x:v>
      </x:c>
      <x:c r="J128" s="18" t="n">
        <x:v>2568</x:v>
      </x:c>
      <x:c r="K128" s="19" t="n">
        <x:f>I128/1000</x:f>
        <x:v>0.77</x:v>
      </x:c>
      <x:c r="L128" s="19" t="n">
        <x:f>SUM(E128:G128)/1000</x:f>
        <x:v>0.431</x:v>
      </x:c>
      <x:c r="M128" s="20" t="n">
        <x:f>IF(I128=0,"n.a.",H128/I128)</x:f>
        <x:v>0.44025974025974024</x:v>
      </x:c>
      <x:c r="N128" s="18" t="n">
        <x:f>IF(J128=0,"n.a.",I128*1000/J128)</x:f>
        <x:v>299.8442367601246</x:v>
      </x:c>
      <x:c r="O128" s="18" t="n">
        <x:f>SUM(E128:H128)-I128</x:f>
        <x:v>0</x:v>
      </x:c>
      <x:c r="P128" s="18" t="n">
        <x:f>RANK(I128,$I$7:$I$212,0)+COUNTIF($I$7:I128,I128)-1</x:f>
        <x:v>122</x:v>
      </x:c>
      <x:c r="Q128" s="10" t="str">
        <x:v>Health Sciences</x:v>
      </x:c>
    </x:row>
    <x:row r="129" ht="46" customHeight="1">
      <x:c r="A129" s="10" t="str">
        <x:v>10000975</x:v>
      </x:c>
      <x:c r="B129" s="11" t="str">
        <x:v>Buckinghamshire New University</x:v>
      </x:c>
      <x:c r="C129" s="10" t="str">
        <x:v>Other HE provider</x:v>
      </x:c>
      <x:c r="D129" s="10" t="str">
        <x:v>2024/25</x:v>
      </x:c>
      <x:c r="E129" s="18" t="n">
        <x:v>253</x:v>
      </x:c>
      <x:c r="F129" s="18" t="n">
        <x:v>0</x:v>
      </x:c>
      <x:c r="G129" s="18" t="n">
        <x:v>170</x:v>
      </x:c>
      <x:c r="H129" s="18" t="n">
        <x:v>275</x:v>
      </x:c>
      <x:c r="I129" s="18" t="n">
        <x:v>698</x:v>
      </x:c>
      <x:c r="J129" s="18" t="n">
        <x:v>3633</x:v>
      </x:c>
      <x:c r="K129" s="19" t="n">
        <x:f>I129/1000</x:f>
        <x:v>0.698</x:v>
      </x:c>
      <x:c r="L129" s="19" t="n">
        <x:f>SUM(E129:G129)/1000</x:f>
        <x:v>0.423</x:v>
      </x:c>
      <x:c r="M129" s="20" t="n">
        <x:f>IF(I129=0,"n.a.",H129/I129)</x:f>
        <x:v>0.3939828080229226</x:v>
      </x:c>
      <x:c r="N129" s="18" t="n">
        <x:f>IF(J129=0,"n.a.",I129*1000/J129)</x:f>
        <x:v>192.12771813927884</x:v>
      </x:c>
      <x:c r="O129" s="18" t="n">
        <x:f>SUM(E129:H129)-I129</x:f>
        <x:v>0</x:v>
      </x:c>
      <x:c r="P129" s="18" t="n">
        <x:f>RANK(I129,$I$7:$I$212,0)+COUNTIF($I$7:I129,I129)-1</x:f>
        <x:v>123</x:v>
      </x:c>
      <x:c r="Q129" s="10" t="str">
        <x:v>Buckinghamshire New</x:v>
      </x:c>
    </x:row>
    <x:row r="130" ht="46" customHeight="1">
      <x:c r="A130" s="10" t="str">
        <x:v>10007825</x:v>
      </x:c>
      <x:c r="B130" s="11" t="str">
        <x:v>Guildhall School of Music and Drama</x:v>
      </x:c>
      <x:c r="C130" s="10" t="str">
        <x:v>Other HE provider</x:v>
      </x:c>
      <x:c r="D130" s="10" t="str">
        <x:v>2024/25</x:v>
      </x:c>
      <x:c r="E130" s="18" t="n">
        <x:v>0</x:v>
      </x:c>
      <x:c r="F130" s="18" t="n">
        <x:v>0</x:v>
      </x:c>
      <x:c r="G130" s="18" t="n">
        <x:v>0</x:v>
      </x:c>
      <x:c r="H130" s="18" t="n">
        <x:v>688</x:v>
      </x:c>
      <x:c r="I130" s="18" t="n">
        <x:v>688</x:v>
      </x:c>
      <x:c r="J130" s="18" t="n">
        <x:v>3539</x:v>
      </x:c>
      <x:c r="K130" s="19" t="n">
        <x:f>I130/1000</x:f>
        <x:v>0.688</x:v>
      </x:c>
      <x:c r="L130" s="19" t="n">
        <x:f>SUM(E130:G130)/1000</x:f>
        <x:v>0</x:v>
      </x:c>
      <x:c r="M130" s="20" t="n">
        <x:f>IF(I130=0,"n.a.",H130/I130)</x:f>
        <x:v>1</x:v>
      </x:c>
      <x:c r="N130" s="18" t="n">
        <x:f>IF(J130=0,"n.a.",I130*1000/J130)</x:f>
        <x:v>194.40519920881604</x:v>
      </x:c>
      <x:c r="O130" s="18" t="n">
        <x:f>SUM(E130:H130)-I130</x:f>
        <x:v>0</x:v>
      </x:c>
      <x:c r="P130" s="18" t="n">
        <x:f>RANK(I130,$I$7:$I$212,0)+COUNTIF($I$7:I130,I130)-1</x:f>
        <x:v>124</x:v>
      </x:c>
      <x:c r="Q130" s="10" t="str">
        <x:v>Guildhall School of Music and Drama</x:v>
      </x:c>
    </x:row>
    <x:row r="131" ht="46" customHeight="1">
      <x:c r="A131" s="10" t="str">
        <x:v>10004775</x:v>
      </x:c>
      <x:c r="B131" s="11" t="str">
        <x:v>Norwich University of the Arts</x:v>
      </x:c>
      <x:c r="C131" s="10" t="str">
        <x:v>Other HE provider</x:v>
      </x:c>
      <x:c r="D131" s="10" t="str">
        <x:v>2024/25</x:v>
      </x:c>
      <x:c r="E131" s="18" t="n">
        <x:v>0</x:v>
      </x:c>
      <x:c r="F131" s="18" t="n">
        <x:v>0</x:v>
      </x:c>
      <x:c r="G131" s="18" t="n">
        <x:v>0</x:v>
      </x:c>
      <x:c r="H131" s="18" t="n">
        <x:v>672</x:v>
      </x:c>
      <x:c r="I131" s="18" t="n">
        <x:v>672</x:v>
      </x:c>
      <x:c r="J131" s="18" t="n">
        <x:v>1620</x:v>
      </x:c>
      <x:c r="K131" s="19" t="n">
        <x:f>I131/1000</x:f>
        <x:v>0.672</x:v>
      </x:c>
      <x:c r="L131" s="19" t="n">
        <x:f>SUM(E131:G131)/1000</x:f>
        <x:v>0</x:v>
      </x:c>
      <x:c r="M131" s="20" t="n">
        <x:f>IF(I131=0,"n.a.",H131/I131)</x:f>
        <x:v>1</x:v>
      </x:c>
      <x:c r="N131" s="18" t="n">
        <x:f>IF(J131=0,"n.a.",I131*1000/J131)</x:f>
        <x:v>414.81481481481484</x:v>
      </x:c>
      <x:c r="O131" s="18" t="n">
        <x:f>SUM(E131:H131)-I131</x:f>
        <x:v>0</x:v>
      </x:c>
      <x:c r="P131" s="18" t="n">
        <x:f>RANK(I131,$I$7:$I$212,0)+COUNTIF($I$7:I131,I131)-1</x:f>
        <x:v>125</x:v>
      </x:c>
      <x:c r="Q131" s="10" t="str">
        <x:v>Norwich University of the Arts</x:v>
      </x:c>
    </x:row>
    <x:row r="132" ht="46" customHeight="1">
      <x:c r="A132" s="10" t="str">
        <x:v>10006840</x:v>
      </x:c>
      <x:c r="B132" s="11" t="str">
        <x:v>The University of Birmingham</x:v>
      </x:c>
      <x:c r="C132" s="10" t="str">
        <x:v>Russell Group</x:v>
      </x:c>
      <x:c r="D132" s="10" t="str">
        <x:v>2024/25</x:v>
      </x:c>
      <x:c r="E132" s="18" t="n">
        <x:v>1</x:v>
      </x:c>
      <x:c r="F132" s="18" t="n">
        <x:v>1</x:v>
      </x:c>
      <x:c r="G132" s="18" t="n">
        <x:v>328</x:v>
      </x:c>
      <x:c r="H132" s="18" t="n">
        <x:v>342</x:v>
      </x:c>
      <x:c r="I132" s="18" t="n">
        <x:v>672</x:v>
      </x:c>
      <x:c r="J132" s="18" t="n">
        <x:v>4938</x:v>
      </x:c>
      <x:c r="K132" s="19" t="n">
        <x:f>I132/1000</x:f>
        <x:v>0.672</x:v>
      </x:c>
      <x:c r="L132" s="19" t="n">
        <x:f>SUM(E132:G132)/1000</x:f>
        <x:v>0.33</x:v>
      </x:c>
      <x:c r="M132" s="20" t="n">
        <x:f>IF(I132=0,"n.a.",H132/I132)</x:f>
        <x:v>0.5089285714285714</x:v>
      </x:c>
      <x:c r="N132" s="18" t="n">
        <x:f>IF(J132=0,"n.a.",I132*1000/J132)</x:f>
        <x:v>136.08748481166464</x:v>
      </x:c>
      <x:c r="O132" s="18" t="n">
        <x:f>SUM(E132:H132)-I132</x:f>
        <x:v>0</x:v>
      </x:c>
      <x:c r="P132" s="18" t="n">
        <x:f>RANK(I132,$I$7:$I$212,0)+COUNTIF($I$7:I132,I132)-1</x:f>
        <x:v>126</x:v>
      </x:c>
      <x:c r="Q132" s="10" t="str">
        <x:v>Birmingham</x:v>
      </x:c>
    </x:row>
    <x:row r="133" ht="46" customHeight="1">
      <x:c r="A133" s="10" t="str">
        <x:v>10007797</x:v>
      </x:c>
      <x:c r="B133" s="11" t="str">
        <x:v>University of London (Institutes and activities)</x:v>
      </x:c>
      <x:c r="C133" s="10" t="str">
        <x:v>Other HE provider</x:v>
      </x:c>
      <x:c r="D133" s="10" t="str">
        <x:v>2024/25</x:v>
      </x:c>
      <x:c r="E133" s="18" t="n">
        <x:v>0</x:v>
      </x:c>
      <x:c r="F133" s="18" t="n">
        <x:v>145</x:v>
      </x:c>
      <x:c r="G133" s="18" t="n">
        <x:v>0</x:v>
      </x:c>
      <x:c r="H133" s="18" t="n">
        <x:v>506</x:v>
      </x:c>
      <x:c r="I133" s="18" t="n">
        <x:v>651</x:v>
      </x:c>
      <x:c r="J133" s="18" t="n">
        <x:v>1629</x:v>
      </x:c>
      <x:c r="K133" s="19" t="n">
        <x:f>I133/1000</x:f>
        <x:v>0.651</x:v>
      </x:c>
      <x:c r="L133" s="19" t="n">
        <x:f>SUM(E133:G133)/1000</x:f>
        <x:v>0.145</x:v>
      </x:c>
      <x:c r="M133" s="20" t="n">
        <x:f>IF(I133=0,"n.a.",H133/I133)</x:f>
        <x:v>0.7772657450076805</x:v>
      </x:c>
      <x:c r="N133" s="18" t="n">
        <x:f>IF(J133=0,"n.a.",I133*1000/J133)</x:f>
        <x:v>399.63167587476977</x:v>
      </x:c>
      <x:c r="O133" s="18" t="n">
        <x:f>SUM(E133:H133)-I133</x:f>
        <x:v>0</x:v>
      </x:c>
      <x:c r="P133" s="18" t="n">
        <x:f>RANK(I133,$I$7:$I$212,0)+COUNTIF($I$7:I133,I133)-1</x:f>
        <x:v>127</x:v>
      </x:c>
      <x:c r="Q133" s="10" t="str">
        <x:v>London (Institutes and activities)</x:v>
      </x:c>
    </x:row>
    <x:row r="134" ht="46" customHeight="1">
      <x:c r="A134" s="10" t="str">
        <x:v>10005553</x:v>
      </x:c>
      <x:c r="B134" s="11" t="str">
        <x:v>Royal Holloway and Bedford New College</x:v>
      </x:c>
      <x:c r="C134" s="10" t="str">
        <x:v>Additional UK sample</x:v>
      </x:c>
      <x:c r="D134" s="10" t="str">
        <x:v>2024/25</x:v>
      </x:c>
      <x:c r="E134" s="18" t="n">
        <x:v>0</x:v>
      </x:c>
      <x:c r="F134" s="18" t="n">
        <x:v>0</x:v>
      </x:c>
      <x:c r="G134" s="18" t="n">
        <x:v>439</x:v>
      </x:c>
      <x:c r="H134" s="18" t="n">
        <x:v>206</x:v>
      </x:c>
      <x:c r="I134" s="18" t="n">
        <x:v>645</x:v>
      </x:c>
      <x:c r="J134" s="18" t="n">
        <x:v>1600</x:v>
      </x:c>
      <x:c r="K134" s="19" t="n">
        <x:f>I134/1000</x:f>
        <x:v>0.645</x:v>
      </x:c>
      <x:c r="L134" s="19" t="n">
        <x:f>SUM(E134:G134)/1000</x:f>
        <x:v>0.439</x:v>
      </x:c>
      <x:c r="M134" s="20" t="n">
        <x:f>IF(I134=0,"n.a.",H134/I134)</x:f>
        <x:v>0.31937984496124033</x:v>
      </x:c>
      <x:c r="N134" s="18" t="n">
        <x:f>IF(J134=0,"n.a.",I134*1000/J134)</x:f>
        <x:v>403.125</x:v>
      </x:c>
      <x:c r="O134" s="18" t="n">
        <x:f>SUM(E134:H134)-I134</x:f>
        <x:v>0</x:v>
      </x:c>
      <x:c r="P134" s="18" t="n">
        <x:f>RANK(I134,$I$7:$I$212,0)+COUNTIF($I$7:I134,I134)-1</x:f>
        <x:v>128</x:v>
      </x:c>
      <x:c r="Q134" s="10" t="str">
        <x:v>Royal Holloway</x:v>
      </x:c>
    </x:row>
    <x:row r="135" ht="46" customHeight="1">
      <x:c r="A135" s="10" t="str">
        <x:v>10007816</x:v>
      </x:c>
      <x:c r="B135" s="11" t="str">
        <x:v>The Royal Central School of Speech and Drama</x:v>
      </x:c>
      <x:c r="C135" s="10" t="str">
        <x:v>Other HE provider</x:v>
      </x:c>
      <x:c r="D135" s="10" t="str">
        <x:v>2024/25</x:v>
      </x:c>
      <x:c r="E135" s="18" t="n">
        <x:v>0</x:v>
      </x:c>
      <x:c r="F135" s="18" t="n">
        <x:v>30</x:v>
      </x:c>
      <x:c r="G135" s="18" t="n">
        <x:v>34</x:v>
      </x:c>
      <x:c r="H135" s="18" t="n">
        <x:v>551</x:v>
      </x:c>
      <x:c r="I135" s="18" t="n">
        <x:v>615</x:v>
      </x:c>
      <x:c r="J135" s="18" t="n">
        <x:v>4072</x:v>
      </x:c>
      <x:c r="K135" s="19" t="n">
        <x:f>I135/1000</x:f>
        <x:v>0.615</x:v>
      </x:c>
      <x:c r="L135" s="19" t="n">
        <x:f>SUM(E135:G135)/1000</x:f>
        <x:v>0.064</x:v>
      </x:c>
      <x:c r="M135" s="20" t="n">
        <x:f>IF(I135=0,"n.a.",H135/I135)</x:f>
        <x:v>0.8959349593495934</x:v>
      </x:c>
      <x:c r="N135" s="18" t="n">
        <x:f>IF(J135=0,"n.a.",I135*1000/J135)</x:f>
        <x:v>151.03143418467585</x:v>
      </x:c>
      <x:c r="O135" s="18" t="n">
        <x:f>SUM(E135:H135)-I135</x:f>
        <x:v>0</x:v>
      </x:c>
      <x:c r="P135" s="18" t="n">
        <x:f>RANK(I135,$I$7:$I$212,0)+COUNTIF($I$7:I135,I135)-1</x:f>
        <x:v>129</x:v>
      </x:c>
      <x:c r="Q135" s="10" t="str">
        <x:v>The Royal Central School of Speech and Drama</x:v>
      </x:c>
    </x:row>
    <x:row r="136" ht="46" customHeight="1">
      <x:c r="A136" s="10" t="str">
        <x:v>10003956</x:v>
      </x:c>
      <x:c r="B136" s="11" t="str">
        <x:v>Liverpool Hope University</x:v>
      </x:c>
      <x:c r="C136" s="10" t="str">
        <x:v>Other HE provider</x:v>
      </x:c>
      <x:c r="D136" s="10" t="str">
        <x:v>2024/25</x:v>
      </x:c>
      <x:c r="E136" s="18" t="n">
        <x:v>0</x:v>
      </x:c>
      <x:c r="F136" s="18" t="n">
        <x:v>0</x:v>
      </x:c>
      <x:c r="G136" s="18" t="n">
        <x:v>523</x:v>
      </x:c>
      <x:c r="H136" s="18" t="n">
        <x:v>87</x:v>
      </x:c>
      <x:c r="I136" s="18" t="n">
        <x:v>610</x:v>
      </x:c>
      <x:c r="J136" s="18" t="n">
        <x:v>2312</x:v>
      </x:c>
      <x:c r="K136" s="19" t="n">
        <x:f>I136/1000</x:f>
        <x:v>0.61</x:v>
      </x:c>
      <x:c r="L136" s="19" t="n">
        <x:f>SUM(E136:G136)/1000</x:f>
        <x:v>0.523</x:v>
      </x:c>
      <x:c r="M136" s="20" t="n">
        <x:f>IF(I136=0,"n.a.",H136/I136)</x:f>
        <x:v>0.14262295081967213</x:v>
      </x:c>
      <x:c r="N136" s="18" t="n">
        <x:f>IF(J136=0,"n.a.",I136*1000/J136)</x:f>
        <x:v>263.84083044982697</x:v>
      </x:c>
      <x:c r="O136" s="18" t="n">
        <x:f>SUM(E136:H136)-I136</x:f>
        <x:v>0</x:v>
      </x:c>
      <x:c r="P136" s="18" t="n">
        <x:f>RANK(I136,$I$7:$I$212,0)+COUNTIF($I$7:I136,I136)-1</x:f>
        <x:v>130</x:v>
      </x:c>
      <x:c r="Q136" s="10" t="str">
        <x:v>Liverpool Hope</x:v>
      </x:c>
    </x:row>
    <x:row r="137" ht="46" customHeight="1">
      <x:c r="A137" s="10" t="str">
        <x:v>10042570</x:v>
      </x:c>
      <x:c r="B137" s="11" t="str">
        <x:v>Escape Studios</x:v>
      </x:c>
      <x:c r="C137" s="10" t="str">
        <x:v>Other HE provider</x:v>
      </x:c>
      <x:c r="D137" s="10" t="str">
        <x:v>2024/25</x:v>
      </x:c>
      <x:c r="E137" s="18" t="n">
        <x:v>0</x:v>
      </x:c>
      <x:c r="F137" s="18" t="n">
        <x:v>7</x:v>
      </x:c>
      <x:c r="G137" s="18" t="n">
        <x:v>29</x:v>
      </x:c>
      <x:c r="H137" s="18" t="n">
        <x:v>542</x:v>
      </x:c>
      <x:c r="I137" s="18" t="n">
        <x:v>578</x:v>
      </x:c>
      <x:c r="J137" s="18" t="n">
        <x:v>3592</x:v>
      </x:c>
      <x:c r="K137" s="19" t="n">
        <x:f>I137/1000</x:f>
        <x:v>0.578</x:v>
      </x:c>
      <x:c r="L137" s="19" t="n">
        <x:f>SUM(E137:G137)/1000</x:f>
        <x:v>0.036</x:v>
      </x:c>
      <x:c r="M137" s="20" t="n">
        <x:f>IF(I137=0,"n.a.",H137/I137)</x:f>
        <x:v>0.9377162629757786</x:v>
      </x:c>
      <x:c r="N137" s="18" t="n">
        <x:f>IF(J137=0,"n.a.",I137*1000/J137)</x:f>
        <x:v>160.913140311804</x:v>
      </x:c>
      <x:c r="O137" s="18" t="n">
        <x:f>SUM(E137:H137)-I137</x:f>
        <x:v>0</x:v>
      </x:c>
      <x:c r="P137" s="18" t="n">
        <x:f>RANK(I137,$I$7:$I$212,0)+COUNTIF($I$7:I137,I137)-1</x:f>
        <x:v>131</x:v>
      </x:c>
      <x:c r="Q137" s="10" t="str">
        <x:v>Escape Studios</x:v>
      </x:c>
    </x:row>
    <x:row r="138" ht="46" customHeight="1">
      <x:c r="A138" s="10" t="str">
        <x:v>10035638</x:v>
      </x:c>
      <x:c r="B138" s="11" t="str">
        <x:v>Institute of Contemporary Music Performance</x:v>
      </x:c>
      <x:c r="C138" s="10" t="str">
        <x:v>Other HE provider</x:v>
      </x:c>
      <x:c r="D138" s="10" t="str">
        <x:v>2024/25</x:v>
      </x:c>
      <x:c r="E138" s="18" t="n">
        <x:v>0</x:v>
      </x:c>
      <x:c r="F138" s="18" t="n">
        <x:v>0</x:v>
      </x:c>
      <x:c r="G138" s="18" t="n">
        <x:v>0</x:v>
      </x:c>
      <x:c r="H138" s="18" t="n">
        <x:v>574</x:v>
      </x:c>
      <x:c r="I138" s="18" t="n">
        <x:v>574</x:v>
      </x:c>
      <x:c r="J138" s="18" t="n">
        <x:v>450</x:v>
      </x:c>
      <x:c r="K138" s="19" t="n">
        <x:f>I138/1000</x:f>
        <x:v>0.574</x:v>
      </x:c>
      <x:c r="L138" s="19" t="n">
        <x:f>SUM(E138:G138)/1000</x:f>
        <x:v>0</x:v>
      </x:c>
      <x:c r="M138" s="20" t="n">
        <x:f>IF(I138=0,"n.a.",H138/I138)</x:f>
        <x:v>1</x:v>
      </x:c>
      <x:c r="N138" s="18" t="n">
        <x:f>IF(J138=0,"n.a.",I138*1000/J138)</x:f>
        <x:v>1275.5555555555557</x:v>
      </x:c>
      <x:c r="O138" s="18" t="n">
        <x:f>SUM(E138:H138)-I138</x:f>
        <x:v>0</x:v>
      </x:c>
      <x:c r="P138" s="18" t="n">
        <x:f>RANK(I138,$I$7:$I$212,0)+COUNTIF($I$7:I138,I138)-1</x:f>
        <x:v>132</x:v>
      </x:c>
      <x:c r="Q138" s="10" t="str">
        <x:v>Institute of Contemporary Music Performance</x:v>
      </x:c>
    </x:row>
    <x:row r="139" ht="46" customHeight="1">
      <x:c r="A139" s="10" t="str">
        <x:v>10003614</x:v>
      </x:c>
      <x:c r="B139" s="11" t="str">
        <x:v>The University of Winchester</x:v>
      </x:c>
      <x:c r="C139" s="10" t="str">
        <x:v>Other HE provider</x:v>
      </x:c>
      <x:c r="D139" s="10" t="str">
        <x:v>2024/25</x:v>
      </x:c>
      <x:c r="E139" s="18" t="n">
        <x:v>0</x:v>
      </x:c>
      <x:c r="F139" s="18" t="n">
        <x:v>19</x:v>
      </x:c>
      <x:c r="G139" s="18" t="n">
        <x:v>469</x:v>
      </x:c>
      <x:c r="H139" s="18" t="n">
        <x:v>73</x:v>
      </x:c>
      <x:c r="I139" s="18" t="n">
        <x:v>561</x:v>
      </x:c>
      <x:c r="J139" s="18" t="n">
        <x:v>3224</x:v>
      </x:c>
      <x:c r="K139" s="19" t="n">
        <x:f>I139/1000</x:f>
        <x:v>0.561</x:v>
      </x:c>
      <x:c r="L139" s="19" t="n">
        <x:f>SUM(E139:G139)/1000</x:f>
        <x:v>0.488</x:v>
      </x:c>
      <x:c r="M139" s="20" t="n">
        <x:f>IF(I139=0,"n.a.",H139/I139)</x:f>
        <x:v>0.13012477718360071</x:v>
      </x:c>
      <x:c r="N139" s="18" t="n">
        <x:f>IF(J139=0,"n.a.",I139*1000/J139)</x:f>
        <x:v>174.00744416873448</x:v>
      </x:c>
      <x:c r="O139" s="18" t="n">
        <x:f>SUM(E139:H139)-I139</x:f>
        <x:v>0</x:v>
      </x:c>
      <x:c r="P139" s="18" t="n">
        <x:f>RANK(I139,$I$7:$I$212,0)+COUNTIF($I$7:I139,I139)-1</x:f>
        <x:v>133</x:v>
      </x:c>
      <x:c r="Q139" s="10" t="str">
        <x:v>Winchester</x:v>
      </x:c>
    </x:row>
    <x:row r="140" ht="46" customHeight="1">
      <x:c r="A140" s="10" t="str">
        <x:v>10014001</x:v>
      </x:c>
      <x:c r="B140" s="11" t="str">
        <x:v>University of Suffolk</x:v>
      </x:c>
      <x:c r="C140" s="10" t="str">
        <x:v>Other HE provider</x:v>
      </x:c>
      <x:c r="D140" s="10" t="str">
        <x:v>2024/25</x:v>
      </x:c>
      <x:c r="E140" s="18" t="n">
        <x:v>0</x:v>
      </x:c>
      <x:c r="F140" s="18" t="n">
        <x:v>0</x:v>
      </x:c>
      <x:c r="G140" s="18" t="n">
        <x:v>527</x:v>
      </x:c>
      <x:c r="H140" s="18" t="n">
        <x:v>26</x:v>
      </x:c>
      <x:c r="I140" s="18" t="n">
        <x:v>553</x:v>
      </x:c>
      <x:c r="J140" s="18" t="n">
        <x:v>1252</x:v>
      </x:c>
      <x:c r="K140" s="19" t="n">
        <x:f>I140/1000</x:f>
        <x:v>0.553</x:v>
      </x:c>
      <x:c r="L140" s="19" t="n">
        <x:f>SUM(E140:G140)/1000</x:f>
        <x:v>0.527</x:v>
      </x:c>
      <x:c r="M140" s="20" t="n">
        <x:f>IF(I140=0,"n.a.",H140/I140)</x:f>
        <x:v>0.04701627486437613</x:v>
      </x:c>
      <x:c r="N140" s="18" t="n">
        <x:f>IF(J140=0,"n.a.",I140*1000/J140)</x:f>
        <x:v>441.6932907348243</x:v>
      </x:c>
      <x:c r="O140" s="18" t="n">
        <x:f>SUM(E140:H140)-I140</x:f>
        <x:v>0</x:v>
      </x:c>
      <x:c r="P140" s="18" t="n">
        <x:f>RANK(I140,$I$7:$I$212,0)+COUNTIF($I$7:I140,I140)-1</x:f>
        <x:v>134</x:v>
      </x:c>
      <x:c r="Q140" s="10" t="str">
        <x:v>Suffolk</x:v>
      </x:c>
    </x:row>
    <x:row r="141" ht="46" customHeight="1">
      <x:c r="A141" s="10" t="str">
        <x:v>10005561</x:v>
      </x:c>
      <x:c r="B141" s="11" t="str">
        <x:v>Royal Conservatoire of Scotland</x:v>
      </x:c>
      <x:c r="C141" s="10" t="str">
        <x:v>Other HE provider</x:v>
      </x:c>
      <x:c r="D141" s="10" t="str">
        <x:v>2024/25</x:v>
      </x:c>
      <x:c r="E141" s="18" t="n">
        <x:v>0</x:v>
      </x:c>
      <x:c r="F141" s="18" t="n">
        <x:v>0</x:v>
      </x:c>
      <x:c r="G141" s="18" t="n">
        <x:v>0</x:v>
      </x:c>
      <x:c r="H141" s="18" t="n">
        <x:v>547</x:v>
      </x:c>
      <x:c r="I141" s="18" t="n">
        <x:v>547</x:v>
      </x:c>
      <x:c r="J141" s="18" t="n">
        <x:v>4450</x:v>
      </x:c>
      <x:c r="K141" s="19" t="n">
        <x:f>I141/1000</x:f>
        <x:v>0.547</x:v>
      </x:c>
      <x:c r="L141" s="19" t="n">
        <x:f>SUM(E141:G141)/1000</x:f>
        <x:v>0</x:v>
      </x:c>
      <x:c r="M141" s="20" t="n">
        <x:f>IF(I141=0,"n.a.",H141/I141)</x:f>
        <x:v>1</x:v>
      </x:c>
      <x:c r="N141" s="18" t="n">
        <x:f>IF(J141=0,"n.a.",I141*1000/J141)</x:f>
        <x:v>122.92134831460675</x:v>
      </x:c>
      <x:c r="O141" s="18" t="n">
        <x:f>SUM(E141:H141)-I141</x:f>
        <x:v>0</x:v>
      </x:c>
      <x:c r="P141" s="18" t="n">
        <x:f>RANK(I141,$I$7:$I$212,0)+COUNTIF($I$7:I141,I141)-1</x:f>
        <x:v>135</x:v>
      </x:c>
      <x:c r="Q141" s="10" t="str">
        <x:v>Royal Conservatoire of Scotland</x:v>
      </x:c>
    </x:row>
    <x:row r="142" ht="46" customHeight="1">
      <x:c r="A142" s="10" t="str">
        <x:v>10007137</x:v>
      </x:c>
      <x:c r="B142" s="11" t="str">
        <x:v>The University of Chichester</x:v>
      </x:c>
      <x:c r="C142" s="10" t="str">
        <x:v>Other HE provider</x:v>
      </x:c>
      <x:c r="D142" s="10" t="str">
        <x:v>2024/25</x:v>
      </x:c>
      <x:c r="E142" s="18" t="n">
        <x:v>0</x:v>
      </x:c>
      <x:c r="F142" s="18" t="n">
        <x:v>1</x:v>
      </x:c>
      <x:c r="G142" s="18" t="n">
        <x:v>445</x:v>
      </x:c>
      <x:c r="H142" s="18" t="n">
        <x:v>72</x:v>
      </x:c>
      <x:c r="I142" s="18" t="n">
        <x:v>518</x:v>
      </x:c>
      <x:c r="J142" s="18" t="n">
        <x:v>1264</x:v>
      </x:c>
      <x:c r="K142" s="19" t="n">
        <x:f>I142/1000</x:f>
        <x:v>0.518</x:v>
      </x:c>
      <x:c r="L142" s="19" t="n">
        <x:f>SUM(E142:G142)/1000</x:f>
        <x:v>0.446</x:v>
      </x:c>
      <x:c r="M142" s="20" t="n">
        <x:f>IF(I142=0,"n.a.",H142/I142)</x:f>
        <x:v>0.138996138996139</x:v>
      </x:c>
      <x:c r="N142" s="18" t="n">
        <x:f>IF(J142=0,"n.a.",I142*1000/J142)</x:f>
        <x:v>409.8101265822785</x:v>
      </x:c>
      <x:c r="O142" s="18" t="n">
        <x:f>SUM(E142:H142)-I142</x:f>
        <x:v>0</x:v>
      </x:c>
      <x:c r="P142" s="18" t="n">
        <x:f>RANK(I142,$I$7:$I$212,0)+COUNTIF($I$7:I142,I142)-1</x:f>
        <x:v>136</x:v>
      </x:c>
      <x:c r="Q142" s="10" t="str">
        <x:v>Chichester</x:v>
      </x:c>
    </x:row>
    <x:row r="143" ht="46" customHeight="1">
      <x:c r="A143" s="10" t="str">
        <x:v>10007800</x:v>
      </x:c>
      <x:c r="B143" s="11" t="str">
        <x:v>The University of the West of Scotland</x:v>
      </x:c>
      <x:c r="C143" s="10" t="str">
        <x:v>Other HE provider</x:v>
      </x:c>
      <x:c r="D143" s="10" t="str">
        <x:v>2024/25</x:v>
      </x:c>
      <x:c r="E143" s="18" t="n">
        <x:v>11</x:v>
      </x:c>
      <x:c r="F143" s="18" t="n">
        <x:v>10</x:v>
      </x:c>
      <x:c r="G143" s="18" t="n">
        <x:v>445</x:v>
      </x:c>
      <x:c r="H143" s="18" t="n">
        <x:v>36</x:v>
      </x:c>
      <x:c r="I143" s="18" t="n">
        <x:v>502</x:v>
      </x:c>
      <x:c r="J143" s="18" t="n">
        <x:v>1390</x:v>
      </x:c>
      <x:c r="K143" s="19" t="n">
        <x:f>I143/1000</x:f>
        <x:v>0.502</x:v>
      </x:c>
      <x:c r="L143" s="19" t="n">
        <x:f>SUM(E143:G143)/1000</x:f>
        <x:v>0.466</x:v>
      </x:c>
      <x:c r="M143" s="20" t="n">
        <x:f>IF(I143=0,"n.a.",H143/I143)</x:f>
        <x:v>0.07171314741035857</x:v>
      </x:c>
      <x:c r="N143" s="18" t="n">
        <x:f>IF(J143=0,"n.a.",I143*1000/J143)</x:f>
        <x:v>361.15107913669067</x:v>
      </x:c>
      <x:c r="O143" s="18" t="n">
        <x:f>SUM(E143:H143)-I143</x:f>
        <x:v>0</x:v>
      </x:c>
      <x:c r="P143" s="18" t="n">
        <x:f>RANK(I143,$I$7:$I$212,0)+COUNTIF($I$7:I143,I143)-1</x:f>
        <x:v>137</x:v>
      </x:c>
      <x:c r="Q143" s="10" t="str">
        <x:v>the West of Scotland</x:v>
      </x:c>
    </x:row>
    <x:row r="144" ht="46" customHeight="1">
      <x:c r="A144" s="10" t="str">
        <x:v>10040812</x:v>
      </x:c>
      <x:c r="B144" s="11" t="str">
        <x:v>Harper Adams University</x:v>
      </x:c>
      <x:c r="C144" s="10" t="str">
        <x:v>Other HE provider</x:v>
      </x:c>
      <x:c r="D144" s="10" t="str">
        <x:v>2024/25</x:v>
      </x:c>
      <x:c r="E144" s="18" t="n">
        <x:v>118</x:v>
      </x:c>
      <x:c r="F144" s="18" t="n">
        <x:v>120</x:v>
      </x:c>
      <x:c r="G144" s="18" t="n">
        <x:v>160</x:v>
      </x:c>
      <x:c r="H144" s="18" t="n">
        <x:v>84</x:v>
      </x:c>
      <x:c r="I144" s="18" t="n">
        <x:v>482</x:v>
      </x:c>
      <x:c r="J144" s="18" t="n">
        <x:v>5708</x:v>
      </x:c>
      <x:c r="K144" s="19" t="n">
        <x:f>I144/1000</x:f>
        <x:v>0.482</x:v>
      </x:c>
      <x:c r="L144" s="19" t="n">
        <x:f>SUM(E144:G144)/1000</x:f>
        <x:v>0.398</x:v>
      </x:c>
      <x:c r="M144" s="20" t="n">
        <x:f>IF(I144=0,"n.a.",H144/I144)</x:f>
        <x:v>0.17427385892116182</x:v>
      </x:c>
      <x:c r="N144" s="18" t="n">
        <x:f>IF(J144=0,"n.a.",I144*1000/J144)</x:f>
        <x:v>84.44288717589349</x:v>
      </x:c>
      <x:c r="O144" s="18" t="n">
        <x:f>SUM(E144:H144)-I144</x:f>
        <x:v>0</x:v>
      </x:c>
      <x:c r="P144" s="18" t="n">
        <x:f>RANK(I144,$I$7:$I$212,0)+COUNTIF($I$7:I144,I144)-1</x:f>
        <x:v>138</x:v>
      </x:c>
      <x:c r="Q144" s="10" t="str">
        <x:v>Harper Adams</x:v>
      </x:c>
    </x:row>
    <x:row r="145" ht="46" customHeight="1">
      <x:c r="A145" s="10" t="str">
        <x:v>10007761</x:v>
      </x:c>
      <x:c r="B145" s="11" t="str">
        <x:v>Courtauld Institute of Art</x:v>
      </x:c>
      <x:c r="C145" s="10" t="str">
        <x:v>Other HE provider</x:v>
      </x:c>
      <x:c r="D145" s="10" t="str">
        <x:v>2024/25</x:v>
      </x:c>
      <x:c r="E145" s="18" t="n">
        <x:v>0</x:v>
      </x:c>
      <x:c r="F145" s="18" t="n">
        <x:v>0</x:v>
      </x:c>
      <x:c r="G145" s="18" t="n">
        <x:v>0</x:v>
      </x:c>
      <x:c r="H145" s="18" t="n">
        <x:v>473</x:v>
      </x:c>
      <x:c r="I145" s="18" t="n">
        <x:v>473</x:v>
      </x:c>
      <x:c r="J145" s="18" t="n">
        <x:v>3422</x:v>
      </x:c>
      <x:c r="K145" s="19" t="n">
        <x:f>I145/1000</x:f>
        <x:v>0.473</x:v>
      </x:c>
      <x:c r="L145" s="19" t="n">
        <x:f>SUM(E145:G145)/1000</x:f>
        <x:v>0</x:v>
      </x:c>
      <x:c r="M145" s="20" t="n">
        <x:f>IF(I145=0,"n.a.",H145/I145)</x:f>
        <x:v>1</x:v>
      </x:c>
      <x:c r="N145" s="18" t="n">
        <x:f>IF(J145=0,"n.a.",I145*1000/J145)</x:f>
        <x:v>138.22326125073056</x:v>
      </x:c>
      <x:c r="O145" s="18" t="n">
        <x:f>SUM(E145:H145)-I145</x:f>
        <x:v>0</x:v>
      </x:c>
      <x:c r="P145" s="18" t="n">
        <x:f>RANK(I145,$I$7:$I$212,0)+COUNTIF($I$7:I145,I145)-1</x:f>
        <x:v>139</x:v>
      </x:c>
      <x:c r="Q145" s="10" t="str">
        <x:v>Courtauld Institute of Art</x:v>
      </x:c>
    </x:row>
    <x:row r="146" ht="46" customHeight="1">
      <x:c r="A146" s="10" t="str">
        <x:v>10080811</x:v>
      </x:c>
      <x:c r="B146" s="11" t="str">
        <x:v>Hartpury University</x:v>
      </x:c>
      <x:c r="C146" s="10" t="str">
        <x:v>Other HE provider</x:v>
      </x:c>
      <x:c r="D146" s="10" t="str">
        <x:v>2024/25</x:v>
      </x:c>
      <x:c r="E146" s="18" t="n">
        <x:v>41</x:v>
      </x:c>
      <x:c r="F146" s="18" t="n">
        <x:v>4</x:v>
      </x:c>
      <x:c r="G146" s="18" t="n">
        <x:v>5</x:v>
      </x:c>
      <x:c r="H146" s="18" t="n">
        <x:v>408</x:v>
      </x:c>
      <x:c r="I146" s="18" t="n">
        <x:v>458</x:v>
      </x:c>
      <x:c r="J146" s="18" t="n">
        <x:v>2113</x:v>
      </x:c>
      <x:c r="K146" s="19" t="n">
        <x:f>I146/1000</x:f>
        <x:v>0.458</x:v>
      </x:c>
      <x:c r="L146" s="19" t="n">
        <x:f>SUM(E146:G146)/1000</x:f>
        <x:v>0.05</x:v>
      </x:c>
      <x:c r="M146" s="20" t="n">
        <x:f>IF(I146=0,"n.a.",H146/I146)</x:f>
        <x:v>0.8908296943231441</x:v>
      </x:c>
      <x:c r="N146" s="18" t="n">
        <x:f>IF(J146=0,"n.a.",I146*1000/J146)</x:f>
        <x:v>216.75343114055846</x:v>
      </x:c>
      <x:c r="O146" s="18" t="n">
        <x:f>SUM(E146:H146)-I146</x:f>
        <x:v>0</x:v>
      </x:c>
      <x:c r="P146" s="18" t="n">
        <x:f>RANK(I146,$I$7:$I$212,0)+COUNTIF($I$7:I146,I146)-1</x:f>
        <x:v>140</x:v>
      </x:c>
      <x:c r="Q146" s="10" t="str">
        <x:v>Hartpury</x:v>
      </x:c>
    </x:row>
    <x:row r="147" ht="46" customHeight="1">
      <x:c r="A147" s="10" t="str">
        <x:v>10037449</x:v>
      </x:c>
      <x:c r="B147" s="11" t="str">
        <x:v>University of St Mark and St John</x:v>
      </x:c>
      <x:c r="C147" s="10" t="str">
        <x:v>Other HE provider</x:v>
      </x:c>
      <x:c r="D147" s="10" t="str">
        <x:v>2024/25</x:v>
      </x:c>
      <x:c r="E147" s="18" t="n">
        <x:v>2</x:v>
      </x:c>
      <x:c r="F147" s="18" t="n">
        <x:v>0</x:v>
      </x:c>
      <x:c r="G147" s="18" t="n">
        <x:v>383</x:v>
      </x:c>
      <x:c r="H147" s="18" t="n">
        <x:v>64</x:v>
      </x:c>
      <x:c r="I147" s="18" t="n">
        <x:v>449</x:v>
      </x:c>
      <x:c r="J147" s="18" t="n">
        <x:v>1857</x:v>
      </x:c>
      <x:c r="K147" s="19" t="n">
        <x:f>I147/1000</x:f>
        <x:v>0.449</x:v>
      </x:c>
      <x:c r="L147" s="19" t="n">
        <x:f>SUM(E147:G147)/1000</x:f>
        <x:v>0.385</x:v>
      </x:c>
      <x:c r="M147" s="20" t="n">
        <x:f>IF(I147=0,"n.a.",H147/I147)</x:f>
        <x:v>0.14253897550111358</x:v>
      </x:c>
      <x:c r="N147" s="18" t="n">
        <x:f>IF(J147=0,"n.a.",I147*1000/J147)</x:f>
        <x:v>241.78782983306408</x:v>
      </x:c>
      <x:c r="O147" s="18" t="n">
        <x:f>SUM(E147:H147)-I147</x:f>
        <x:v>0</x:v>
      </x:c>
      <x:c r="P147" s="18" t="n">
        <x:f>RANK(I147,$I$7:$I$212,0)+COUNTIF($I$7:I147,I147)-1</x:f>
        <x:v>141</x:v>
      </x:c>
      <x:c r="Q147" s="10" t="str">
        <x:v>St Mark and St John</x:v>
      </x:c>
    </x:row>
    <x:row r="148" ht="46" customHeight="1">
      <x:c r="A148" s="10" t="str">
        <x:v>10004048</x:v>
      </x:c>
      <x:c r="B148" s="11" t="str">
        <x:v>London Metropolitan University</x:v>
      </x:c>
      <x:c r="C148" s="10" t="str">
        <x:v>Other HE provider</x:v>
      </x:c>
      <x:c r="D148" s="10" t="str">
        <x:v>2024/25</x:v>
      </x:c>
      <x:c r="E148" s="18" t="n">
        <x:v>75</x:v>
      </x:c>
      <x:c r="F148" s="18" t="n">
        <x:v>0</x:v>
      </x:c>
      <x:c r="G148" s="18" t="n">
        <x:v>109</x:v>
      </x:c>
      <x:c r="H148" s="18" t="n">
        <x:v>220</x:v>
      </x:c>
      <x:c r="I148" s="18" t="n">
        <x:v>404</x:v>
      </x:c>
      <x:c r="J148" s="18" t="n">
        <x:v>3350</x:v>
      </x:c>
      <x:c r="K148" s="19" t="n">
        <x:f>I148/1000</x:f>
        <x:v>0.404</x:v>
      </x:c>
      <x:c r="L148" s="19" t="n">
        <x:f>SUM(E148:G148)/1000</x:f>
        <x:v>0.184</x:v>
      </x:c>
      <x:c r="M148" s="20" t="n">
        <x:f>IF(I148=0,"n.a.",H148/I148)</x:f>
        <x:v>0.5445544554455446</x:v>
      </x:c>
      <x:c r="N148" s="18" t="n">
        <x:f>IF(J148=0,"n.a.",I148*1000/J148)</x:f>
        <x:v>120.59701492537313</x:v>
      </x:c>
      <x:c r="O148" s="18" t="n">
        <x:f>SUM(E148:H148)-I148</x:f>
        <x:v>0</x:v>
      </x:c>
      <x:c r="P148" s="18" t="n">
        <x:f>RANK(I148,$I$7:$I$212,0)+COUNTIF($I$7:I148,I148)-1</x:f>
        <x:v>142</x:v>
      </x:c>
      <x:c r="Q148" s="10" t="str">
        <x:v>London Metropolitan</x:v>
      </x:c>
    </x:row>
    <x:row r="149" ht="46" customHeight="1">
      <x:c r="A149" s="10" t="str">
        <x:v>10001444</x:v>
      </x:c>
      <x:c r="B149" s="11" t="str">
        <x:v>National Centre for Circus Arts</x:v>
      </x:c>
      <x:c r="C149" s="10" t="str">
        <x:v>Other HE provider</x:v>
      </x:c>
      <x:c r="D149" s="10" t="str">
        <x:v>2024/25</x:v>
      </x:c>
      <x:c r="E149" s="18" t="n">
        <x:v>5</x:v>
      </x:c>
      <x:c r="F149" s="18" t="n">
        <x:v>0</x:v>
      </x:c>
      <x:c r="G149" s="18" t="n">
        <x:v>0</x:v>
      </x:c>
      <x:c r="H149" s="18" t="n">
        <x:v>394</x:v>
      </x:c>
      <x:c r="I149" s="18" t="n">
        <x:v>399</x:v>
      </x:c>
      <x:c r="J149" s="18" t="n">
        <x:v>92</x:v>
      </x:c>
      <x:c r="K149" s="19" t="n">
        <x:f>I149/1000</x:f>
        <x:v>0.399</x:v>
      </x:c>
      <x:c r="L149" s="19" t="n">
        <x:f>SUM(E149:G149)/1000</x:f>
        <x:v>0.005</x:v>
      </x:c>
      <x:c r="M149" s="20" t="n">
        <x:f>IF(I149=0,"n.a.",H149/I149)</x:f>
        <x:v>0.9874686716791979</x:v>
      </x:c>
      <x:c r="N149" s="18" t="n">
        <x:f>IF(J149=0,"n.a.",I149*1000/J149)</x:f>
        <x:v>4336.95652173913</x:v>
      </x:c>
      <x:c r="O149" s="18" t="n">
        <x:f>SUM(E149:H149)-I149</x:f>
        <x:v>0</x:v>
      </x:c>
      <x:c r="P149" s="18" t="n">
        <x:f>RANK(I149,$I$7:$I$212,0)+COUNTIF($I$7:I149,I149)-1</x:f>
        <x:v>143</x:v>
      </x:c>
      <x:c r="Q149" s="10" t="str">
        <x:v>National Centre for Circus Arts</x:v>
      </x:c>
    </x:row>
    <x:row r="150" ht="46" customHeight="1">
      <x:c r="A150" s="10" t="str">
        <x:v>10067623</x:v>
      </x:c>
      <x:c r="B150" s="11" t="str">
        <x:v>The London Interdisciplinary School Ltd</x:v>
      </x:c>
      <x:c r="C150" s="10" t="str">
        <x:v>Other HE provider</x:v>
      </x:c>
      <x:c r="D150" s="10" t="str">
        <x:v>2024/25</x:v>
      </x:c>
      <x:c r="E150" s="18" t="n">
        <x:v>0</x:v>
      </x:c>
      <x:c r="F150" s="18" t="n">
        <x:v>187</x:v>
      </x:c>
      <x:c r="G150" s="18" t="n">
        <x:v>95</x:v>
      </x:c>
      <x:c r="H150" s="18" t="n">
        <x:v>114</x:v>
      </x:c>
      <x:c r="I150" s="18" t="n">
        <x:v>396</x:v>
      </x:c>
      <x:c r="J150" s="18" t="n">
        <x:v>0</x:v>
      </x:c>
      <x:c r="K150" s="19" t="n">
        <x:f>I150/1000</x:f>
        <x:v>0.396</x:v>
      </x:c>
      <x:c r="L150" s="19" t="n">
        <x:f>SUM(E150:G150)/1000</x:f>
        <x:v>0.282</x:v>
      </x:c>
      <x:c r="M150" s="20" t="n">
        <x:f>IF(I150=0,"n.a.",H150/I150)</x:f>
        <x:v>0.2878787878787879</x:v>
      </x:c>
      <x:c r="N150" s="18" t="str">
        <x:f>IF(J150=0,"n.a.",I150*1000/J150)</x:f>
        <x:v>n.a.</x:v>
      </x:c>
      <x:c r="O150" s="18" t="n">
        <x:f>SUM(E150:H150)-I150</x:f>
        <x:v>0</x:v>
      </x:c>
      <x:c r="P150" s="18" t="n">
        <x:f>RANK(I150,$I$7:$I$212,0)+COUNTIF($I$7:I150,I150)-1</x:f>
        <x:v>144</x:v>
      </x:c>
      <x:c r="Q150" s="10" t="str">
        <x:v>The London Interdisciplinary School Ltd</x:v>
      </x:c>
    </x:row>
    <x:row r="151" ht="46" customHeight="1">
      <x:c r="A151" s="10" t="str">
        <x:v>10003758</x:v>
      </x:c>
      <x:c r="B151" s="11" t="str">
        <x:v>LAMDA Limited</x:v>
      </x:c>
      <x:c r="C151" s="10" t="str">
        <x:v>Other HE provider</x:v>
      </x:c>
      <x:c r="D151" s="10" t="str">
        <x:v>2024/25</x:v>
      </x:c>
      <x:c r="E151" s="18" t="n">
        <x:v>0</x:v>
      </x:c>
      <x:c r="F151" s="18" t="n">
        <x:v>8</x:v>
      </x:c>
      <x:c r="G151" s="18" t="n">
        <x:v>0</x:v>
      </x:c>
      <x:c r="H151" s="18" t="n">
        <x:v>387</x:v>
      </x:c>
      <x:c r="I151" s="18" t="n">
        <x:v>395</x:v>
      </x:c>
      <x:c r="J151" s="18" t="n">
        <x:v>2609</x:v>
      </x:c>
      <x:c r="K151" s="19" t="n">
        <x:f>I151/1000</x:f>
        <x:v>0.395</x:v>
      </x:c>
      <x:c r="L151" s="19" t="n">
        <x:f>SUM(E151:G151)/1000</x:f>
        <x:v>0.008</x:v>
      </x:c>
      <x:c r="M151" s="20" t="n">
        <x:f>IF(I151=0,"n.a.",H151/I151)</x:f>
        <x:v>0.979746835443038</x:v>
      </x:c>
      <x:c r="N151" s="18" t="n">
        <x:f>IF(J151=0,"n.a.",I151*1000/J151)</x:f>
        <x:v>151.39900344959756</x:v>
      </x:c>
      <x:c r="O151" s="18" t="n">
        <x:f>SUM(E151:H151)-I151</x:f>
        <x:v>0</x:v>
      </x:c>
      <x:c r="P151" s="18" t="n">
        <x:f>RANK(I151,$I$7:$I$212,0)+COUNTIF($I$7:I151,I151)-1</x:f>
        <x:v>145</x:v>
      </x:c>
      <x:c r="Q151" s="10" t="str">
        <x:v>LAMDA Limited</x:v>
      </x:c>
    </x:row>
    <x:row r="152" ht="46" customHeight="1">
      <x:c r="A152" s="10" t="str">
        <x:v>10007843</x:v>
      </x:c>
      <x:c r="B152" s="11" t="str">
        <x:v>St Mary's University, Twickenham</x:v>
      </x:c>
      <x:c r="C152" s="10" t="str">
        <x:v>Other HE provider</x:v>
      </x:c>
      <x:c r="D152" s="10" t="str">
        <x:v>2024/25</x:v>
      </x:c>
      <x:c r="E152" s="18" t="n">
        <x:v>0</x:v>
      </x:c>
      <x:c r="F152" s="18" t="n">
        <x:v>0</x:v>
      </x:c>
      <x:c r="G152" s="18" t="n">
        <x:v>0</x:v>
      </x:c>
      <x:c r="H152" s="18" t="n">
        <x:v>390</x:v>
      </x:c>
      <x:c r="I152" s="18" t="n">
        <x:v>390</x:v>
      </x:c>
      <x:c r="J152" s="18" t="n">
        <x:v>5236</x:v>
      </x:c>
      <x:c r="K152" s="19" t="n">
        <x:f>I152/1000</x:f>
        <x:v>0.39</x:v>
      </x:c>
      <x:c r="L152" s="19" t="n">
        <x:f>SUM(E152:G152)/1000</x:f>
        <x:v>0</x:v>
      </x:c>
      <x:c r="M152" s="20" t="n">
        <x:f>IF(I152=0,"n.a.",H152/I152)</x:f>
        <x:v>1</x:v>
      </x:c>
      <x:c r="N152" s="18" t="n">
        <x:f>IF(J152=0,"n.a.",I152*1000/J152)</x:f>
        <x:v>74.48433919022155</x:v>
      </x:c>
      <x:c r="O152" s="18" t="n">
        <x:f>SUM(E152:H152)-I152</x:f>
        <x:v>0</x:v>
      </x:c>
      <x:c r="P152" s="18" t="n">
        <x:f>RANK(I152,$I$7:$I$212,0)+COUNTIF($I$7:I152,I152)-1</x:f>
        <x:v>146</x:v>
      </x:c>
      <x:c r="Q152" s="10" t="str">
        <x:v>St Mary's University, Twickenham</x:v>
      </x:c>
    </x:row>
    <x:row r="153" ht="46" customHeight="1">
      <x:c r="A153" s="10" t="str">
        <x:v>10036456</x:v>
      </x:c>
      <x:c r="B153" s="11" t="str">
        <x:v>Academy of Live Technology Ltd</x:v>
      </x:c>
      <x:c r="C153" s="10" t="str">
        <x:v>Other HE provider</x:v>
      </x:c>
      <x:c r="D153" s="10" t="str">
        <x:v>2024/25</x:v>
      </x:c>
      <x:c r="E153" s="18" t="n">
        <x:v>306</x:v>
      </x:c>
      <x:c r="F153" s="18" t="n">
        <x:v>63</x:v>
      </x:c>
      <x:c r="G153" s="18" t="n">
        <x:v>0</x:v>
      </x:c>
      <x:c r="H153" s="18" t="n">
        <x:v>0</x:v>
      </x:c>
      <x:c r="I153" s="18" t="n">
        <x:v>369</x:v>
      </x:c>
      <x:c r="J153" s="18" t="n">
        <x:v>54</x:v>
      </x:c>
      <x:c r="K153" s="19" t="n">
        <x:f>I153/1000</x:f>
        <x:v>0.369</x:v>
      </x:c>
      <x:c r="L153" s="19" t="n">
        <x:f>SUM(E153:G153)/1000</x:f>
        <x:v>0.369</x:v>
      </x:c>
      <x:c r="M153" s="20" t="n">
        <x:f>IF(I153=0,"n.a.",H153/I153)</x:f>
        <x:v>0</x:v>
      </x:c>
      <x:c r="N153" s="18" t="n">
        <x:f>IF(J153=0,"n.a.",I153*1000/J153)</x:f>
        <x:v>6833.333333333333</x:v>
      </x:c>
      <x:c r="O153" s="18" t="n">
        <x:f>SUM(E153:H153)-I153</x:f>
        <x:v>0</x:v>
      </x:c>
      <x:c r="P153" s="18" t="n">
        <x:f>RANK(I153,$I$7:$I$212,0)+COUNTIF($I$7:I153,I153)-1</x:f>
        <x:v>147</x:v>
      </x:c>
      <x:c r="Q153" s="10" t="str">
        <x:v>Academy of Live Technology Ltd</x:v>
      </x:c>
    </x:row>
    <x:row r="154" ht="46" customHeight="1">
      <x:c r="A154" s="10" t="str">
        <x:v>10082828</x:v>
      </x:c>
      <x:c r="B154" s="11" t="str">
        <x:v>College of Legal Practice Limited</x:v>
      </x:c>
      <x:c r="C154" s="10" t="str">
        <x:v>Other HE provider</x:v>
      </x:c>
      <x:c r="D154" s="10" t="str">
        <x:v>2024/25</x:v>
      </x:c>
      <x:c r="E154" s="18" t="n">
        <x:v>67</x:v>
      </x:c>
      <x:c r="F154" s="18" t="n">
        <x:v>211</x:v>
      </x:c>
      <x:c r="G154" s="18" t="n">
        <x:v>6</x:v>
      </x:c>
      <x:c r="H154" s="18" t="n">
        <x:v>3</x:v>
      </x:c>
      <x:c r="I154" s="18" t="n">
        <x:v>287</x:v>
      </x:c>
      <x:c r="J154" s="18" t="n">
        <x:v>563</x:v>
      </x:c>
      <x:c r="K154" s="19" t="n">
        <x:f>I154/1000</x:f>
        <x:v>0.287</x:v>
      </x:c>
      <x:c r="L154" s="19" t="n">
        <x:f>SUM(E154:G154)/1000</x:f>
        <x:v>0.284</x:v>
      </x:c>
      <x:c r="M154" s="20" t="n">
        <x:f>IF(I154=0,"n.a.",H154/I154)</x:f>
        <x:v>0.010452961672473868</x:v>
      </x:c>
      <x:c r="N154" s="18" t="n">
        <x:f>IF(J154=0,"n.a.",I154*1000/J154)</x:f>
        <x:v>509.7690941385435</x:v>
      </x:c>
      <x:c r="O154" s="18" t="n">
        <x:f>SUM(E154:H154)-I154</x:f>
        <x:v>0</x:v>
      </x:c>
      <x:c r="P154" s="18" t="n">
        <x:f>RANK(I154,$I$7:$I$212,0)+COUNTIF($I$7:I154,I154)-1</x:f>
        <x:v>148</x:v>
      </x:c>
      <x:c r="Q154" s="10" t="str">
        <x:v>College of Legal Practice Limited</x:v>
      </x:c>
    </x:row>
    <x:row r="155" ht="46" customHeight="1">
      <x:c r="A155" s="10" t="str">
        <x:v>10005378</x:v>
      </x:c>
      <x:c r="B155" s="11" t="str">
        <x:v>Rambert School</x:v>
      </x:c>
      <x:c r="C155" s="10" t="str">
        <x:v>Other HE provider</x:v>
      </x:c>
      <x:c r="D155" s="10" t="str">
        <x:v>2024/25</x:v>
      </x:c>
      <x:c r="E155" s="18" t="n">
        <x:v>33</x:v>
      </x:c>
      <x:c r="F155" s="18" t="n">
        <x:v>0</x:v>
      </x:c>
      <x:c r="G155" s="18" t="n">
        <x:v>0</x:v>
      </x:c>
      <x:c r="H155" s="18" t="n">
        <x:v>247</x:v>
      </x:c>
      <x:c r="I155" s="18" t="n">
        <x:v>280</x:v>
      </x:c>
      <x:c r="J155" s="18" t="n">
        <x:v>0</x:v>
      </x:c>
      <x:c r="K155" s="19" t="n">
        <x:f>I155/1000</x:f>
        <x:v>0.28</x:v>
      </x:c>
      <x:c r="L155" s="19" t="n">
        <x:f>SUM(E155:G155)/1000</x:f>
        <x:v>0.033</x:v>
      </x:c>
      <x:c r="M155" s="20" t="n">
        <x:f>IF(I155=0,"n.a.",H155/I155)</x:f>
        <x:v>0.8821428571428571</x:v>
      </x:c>
      <x:c r="N155" s="18" t="str">
        <x:f>IF(J155=0,"n.a.",I155*1000/J155)</x:f>
        <x:v>n.a.</x:v>
      </x:c>
      <x:c r="O155" s="18" t="n">
        <x:f>SUM(E155:H155)-I155</x:f>
        <x:v>0</x:v>
      </x:c>
      <x:c r="P155" s="18" t="n">
        <x:f>RANK(I155,$I$7:$I$212,0)+COUNTIF($I$7:I155,I155)-1</x:f>
        <x:v>149</x:v>
      </x:c>
      <x:c r="Q155" s="10" t="str">
        <x:v>Rambert School</x:v>
      </x:c>
    </x:row>
    <x:row r="156" ht="46" customHeight="1">
      <x:c r="A156" s="10" t="str">
        <x:v>10005700</x:v>
      </x:c>
      <x:c r="B156" s="11" t="str">
        <x:v>SRUC</x:v>
      </x:c>
      <x:c r="C156" s="10" t="str">
        <x:v>Other HE provider</x:v>
      </x:c>
      <x:c r="D156" s="10" t="str">
        <x:v>2024/25</x:v>
      </x:c>
      <x:c r="E156" s="18" t="n">
        <x:v>8</x:v>
      </x:c>
      <x:c r="F156" s="18" t="n">
        <x:v>1</x:v>
      </x:c>
      <x:c r="G156" s="18" t="n">
        <x:v>0</x:v>
      </x:c>
      <x:c r="H156" s="18" t="n">
        <x:v>268</x:v>
      </x:c>
      <x:c r="I156" s="18" t="n">
        <x:v>277</x:v>
      </x:c>
      <x:c r="J156" s="18" t="n">
        <x:v>0</x:v>
      </x:c>
      <x:c r="K156" s="19" t="n">
        <x:f>I156/1000</x:f>
        <x:v>0.277</x:v>
      </x:c>
      <x:c r="L156" s="19" t="n">
        <x:f>SUM(E156:G156)/1000</x:f>
        <x:v>0.009</x:v>
      </x:c>
      <x:c r="M156" s="20" t="n">
        <x:f>IF(I156=0,"n.a.",H156/I156)</x:f>
        <x:v>0.9675090252707581</x:v>
      </x:c>
      <x:c r="N156" s="18" t="str">
        <x:f>IF(J156=0,"n.a.",I156*1000/J156)</x:f>
        <x:v>n.a.</x:v>
      </x:c>
      <x:c r="O156" s="18" t="n">
        <x:f>SUM(E156:H156)-I156</x:f>
        <x:v>0</x:v>
      </x:c>
      <x:c r="P156" s="18" t="n">
        <x:f>RANK(I156,$I$7:$I$212,0)+COUNTIF($I$7:I156,I156)-1</x:f>
        <x:v>150</x:v>
      </x:c>
      <x:c r="Q156" s="10" t="str">
        <x:v>SRUC</x:v>
      </x:c>
    </x:row>
    <x:row r="157" ht="46" customHeight="1">
      <x:c r="A157" s="10" t="str">
        <x:v>10000571</x:v>
      </x:c>
      <x:c r="B157" s="11" t="str">
        <x:v>Bath Spa University</x:v>
      </x:c>
      <x:c r="C157" s="10" t="str">
        <x:v>Other HE provider</x:v>
      </x:c>
      <x:c r="D157" s="10" t="str">
        <x:v>2024/25</x:v>
      </x:c>
      <x:c r="E157" s="18" t="n">
        <x:v>182</x:v>
      </x:c>
      <x:c r="F157" s="18" t="n">
        <x:v>0</x:v>
      </x:c>
      <x:c r="G157" s="18" t="n">
        <x:v>0</x:v>
      </x:c>
      <x:c r="H157" s="18" t="n">
        <x:v>87</x:v>
      </x:c>
      <x:c r="I157" s="18" t="n">
        <x:v>269</x:v>
      </x:c>
      <x:c r="J157" s="18" t="n">
        <x:v>36651</x:v>
      </x:c>
      <x:c r="K157" s="19" t="n">
        <x:f>I157/1000</x:f>
        <x:v>0.269</x:v>
      </x:c>
      <x:c r="L157" s="19" t="n">
        <x:f>SUM(E157:G157)/1000</x:f>
        <x:v>0.182</x:v>
      </x:c>
      <x:c r="M157" s="20" t="n">
        <x:f>IF(I157=0,"n.a.",H157/I157)</x:f>
        <x:v>0.32342007434944237</x:v>
      </x:c>
      <x:c r="N157" s="18" t="n">
        <x:f>IF(J157=0,"n.a.",I157*1000/J157)</x:f>
        <x:v>7.339499604376416</x:v>
      </x:c>
      <x:c r="O157" s="18" t="n">
        <x:f>SUM(E157:H157)-I157</x:f>
        <x:v>0</x:v>
      </x:c>
      <x:c r="P157" s="18" t="n">
        <x:f>RANK(I157,$I$7:$I$212,0)+COUNTIF($I$7:I157,I157)-1</x:f>
        <x:v>151</x:v>
      </x:c>
      <x:c r="Q157" s="10" t="str">
        <x:v>Bath Spa</x:v>
      </x:c>
    </x:row>
    <x:row r="158" ht="46" customHeight="1">
      <x:c r="A158" s="10" t="str">
        <x:v>10008017</x:v>
      </x:c>
      <x:c r="B158" s="11" t="str">
        <x:v>Trinity Laban Conservatoire of Music and Dance</x:v>
      </x:c>
      <x:c r="C158" s="10" t="str">
        <x:v>Other HE provider</x:v>
      </x:c>
      <x:c r="D158" s="10" t="str">
        <x:v>2024/25</x:v>
      </x:c>
      <x:c r="E158" s="18" t="n">
        <x:v>0</x:v>
      </x:c>
      <x:c r="F158" s="18" t="n">
        <x:v>0</x:v>
      </x:c>
      <x:c r="G158" s="18" t="n">
        <x:v>0</x:v>
      </x:c>
      <x:c r="H158" s="18" t="n">
        <x:v>251</x:v>
      </x:c>
      <x:c r="I158" s="18" t="n">
        <x:v>251</x:v>
      </x:c>
      <x:c r="J158" s="18" t="n">
        <x:v>11880</x:v>
      </x:c>
      <x:c r="K158" s="19" t="n">
        <x:f>I158/1000</x:f>
        <x:v>0.251</x:v>
      </x:c>
      <x:c r="L158" s="19" t="n">
        <x:f>SUM(E158:G158)/1000</x:f>
        <x:v>0</x:v>
      </x:c>
      <x:c r="M158" s="20" t="n">
        <x:f>IF(I158=0,"n.a.",H158/I158)</x:f>
        <x:v>1</x:v>
      </x:c>
      <x:c r="N158" s="18" t="n">
        <x:f>IF(J158=0,"n.a.",I158*1000/J158)</x:f>
        <x:v>21.127946127946128</x:v>
      </x:c>
      <x:c r="O158" s="18" t="n">
        <x:f>SUM(E158:H158)-I158</x:f>
        <x:v>0</x:v>
      </x:c>
      <x:c r="P158" s="18" t="n">
        <x:f>RANK(I158,$I$7:$I$212,0)+COUNTIF($I$7:I158,I158)-1</x:f>
        <x:v>152</x:v>
      </x:c>
      <x:c r="Q158" s="10" t="str">
        <x:v>Trinity Laban Conservatoire of Music and Dance</x:v>
      </x:c>
    </x:row>
    <x:row r="159" ht="46" customHeight="1">
      <x:c r="A159" s="10" t="str">
        <x:v>10007713</x:v>
      </x:c>
      <x:c r="B159" s="11" t="str">
        <x:v>York St John University</x:v>
      </x:c>
      <x:c r="C159" s="10" t="str">
        <x:v>Other HE provider</x:v>
      </x:c>
      <x:c r="D159" s="10" t="str">
        <x:v>2024/25</x:v>
      </x:c>
      <x:c r="E159" s="18" t="n">
        <x:v>0</x:v>
      </x:c>
      <x:c r="F159" s="18" t="n">
        <x:v>0</x:v>
      </x:c>
      <x:c r="G159" s="18" t="n">
        <x:v>159</x:v>
      </x:c>
      <x:c r="H159" s="18" t="n">
        <x:v>61</x:v>
      </x:c>
      <x:c r="I159" s="18" t="n">
        <x:v>220</x:v>
      </x:c>
      <x:c r="J159" s="18" t="n">
        <x:v>1369</x:v>
      </x:c>
      <x:c r="K159" s="19" t="n">
        <x:f>I159/1000</x:f>
        <x:v>0.22</x:v>
      </x:c>
      <x:c r="L159" s="19" t="n">
        <x:f>SUM(E159:G159)/1000</x:f>
        <x:v>0.159</x:v>
      </x:c>
      <x:c r="M159" s="20" t="n">
        <x:f>IF(I159=0,"n.a.",H159/I159)</x:f>
        <x:v>0.2772727272727273</x:v>
      </x:c>
      <x:c r="N159" s="18" t="n">
        <x:f>IF(J159=0,"n.a.",I159*1000/J159)</x:f>
        <x:v>160.70124178232285</x:v>
      </x:c>
      <x:c r="O159" s="18" t="n">
        <x:f>SUM(E159:H159)-I159</x:f>
        <x:v>0</x:v>
      </x:c>
      <x:c r="P159" s="18" t="n">
        <x:f>RANK(I159,$I$7:$I$212,0)+COUNTIF($I$7:I159,I159)-1</x:f>
        <x:v>153</x:v>
      </x:c>
      <x:c r="Q159" s="10" t="str">
        <x:v>York St John</x:v>
      </x:c>
    </x:row>
    <x:row r="160" ht="46" customHeight="1">
      <x:c r="A160" s="10" t="str">
        <x:v>10004036</x:v>
      </x:c>
      <x:c r="B160" s="11" t="str">
        <x:v>London Film School Limited</x:v>
      </x:c>
      <x:c r="C160" s="10" t="str">
        <x:v>Other HE provider</x:v>
      </x:c>
      <x:c r="D160" s="10" t="str">
        <x:v>2024/25</x:v>
      </x:c>
      <x:c r="E160" s="18" t="n">
        <x:v>0</x:v>
      </x:c>
      <x:c r="F160" s="18" t="n">
        <x:v>0</x:v>
      </x:c>
      <x:c r="G160" s="18" t="n">
        <x:v>0</x:v>
      </x:c>
      <x:c r="H160" s="18" t="n">
        <x:v>217</x:v>
      </x:c>
      <x:c r="I160" s="18" t="n">
        <x:v>217</x:v>
      </x:c>
      <x:c r="J160" s="18" t="n">
        <x:v>1057</x:v>
      </x:c>
      <x:c r="K160" s="19" t="n">
        <x:f>I160/1000</x:f>
        <x:v>0.217</x:v>
      </x:c>
      <x:c r="L160" s="19" t="n">
        <x:f>SUM(E160:G160)/1000</x:f>
        <x:v>0</x:v>
      </x:c>
      <x:c r="M160" s="20" t="n">
        <x:f>IF(I160=0,"n.a.",H160/I160)</x:f>
        <x:v>1</x:v>
      </x:c>
      <x:c r="N160" s="18" t="n">
        <x:f>IF(J160=0,"n.a.",I160*1000/J160)</x:f>
        <x:v>205.2980132450331</x:v>
      </x:c>
      <x:c r="O160" s="18" t="n">
        <x:f>SUM(E160:H160)-I160</x:f>
        <x:v>0</x:v>
      </x:c>
      <x:c r="P160" s="18" t="n">
        <x:f>RANK(I160,$I$7:$I$212,0)+COUNTIF($I$7:I160,I160)-1</x:f>
        <x:v>154</x:v>
      </x:c>
      <x:c r="Q160" s="10" t="str">
        <x:v>London Film School Limited</x:v>
      </x:c>
    </x:row>
    <x:row r="161" ht="46" customHeight="1">
      <x:c r="A161" s="10" t="str">
        <x:v>10002681</x:v>
      </x:c>
      <x:c r="B161" s="11" t="str">
        <x:v>Glasgow School of Art</x:v>
      </x:c>
      <x:c r="C161" s="10" t="str">
        <x:v>Other HE provider</x:v>
      </x:c>
      <x:c r="D161" s="10" t="str">
        <x:v>2024/25</x:v>
      </x:c>
      <x:c r="E161" s="18" t="n">
        <x:v>0</x:v>
      </x:c>
      <x:c r="F161" s="18" t="n">
        <x:v>0</x:v>
      </x:c>
      <x:c r="G161" s="18" t="n">
        <x:v>0</x:v>
      </x:c>
      <x:c r="H161" s="18" t="n">
        <x:v>215</x:v>
      </x:c>
      <x:c r="I161" s="18" t="n">
        <x:v>215</x:v>
      </x:c>
      <x:c r="J161" s="18" t="n">
        <x:v>2423</x:v>
      </x:c>
      <x:c r="K161" s="19" t="n">
        <x:f>I161/1000</x:f>
        <x:v>0.215</x:v>
      </x:c>
      <x:c r="L161" s="19" t="n">
        <x:f>SUM(E161:G161)/1000</x:f>
        <x:v>0</x:v>
      </x:c>
      <x:c r="M161" s="20" t="n">
        <x:f>IF(I161=0,"n.a.",H161/I161)</x:f>
        <x:v>1</x:v>
      </x:c>
      <x:c r="N161" s="18" t="n">
        <x:f>IF(J161=0,"n.a.",I161*1000/J161)</x:f>
        <x:v>88.73297565002063</x:v>
      </x:c>
      <x:c r="O161" s="18" t="n">
        <x:f>SUM(E161:H161)-I161</x:f>
        <x:v>0</x:v>
      </x:c>
      <x:c r="P161" s="18" t="n">
        <x:f>RANK(I161,$I$7:$I$212,0)+COUNTIF($I$7:I161,I161)-1</x:f>
        <x:v>155</x:v>
      </x:c>
      <x:c r="Q161" s="10" t="str">
        <x:v>Glasgow School of Art</x:v>
      </x:c>
    </x:row>
    <x:row r="162" ht="46" customHeight="1">
      <x:c r="A162" s="10" t="str">
        <x:v>10003863</x:v>
      </x:c>
      <x:c r="B162" s="11" t="str">
        <x:v>Leeds Trinity University</x:v>
      </x:c>
      <x:c r="C162" s="10" t="str">
        <x:v>Other HE provider</x:v>
      </x:c>
      <x:c r="D162" s="10" t="str">
        <x:v>2024/25</x:v>
      </x:c>
      <x:c r="E162" s="18" t="n">
        <x:v>2</x:v>
      </x:c>
      <x:c r="F162" s="18" t="n">
        <x:v>0</x:v>
      </x:c>
      <x:c r="G162" s="18" t="n">
        <x:v>131</x:v>
      </x:c>
      <x:c r="H162" s="18" t="n">
        <x:v>61</x:v>
      </x:c>
      <x:c r="I162" s="18" t="n">
        <x:v>194</x:v>
      </x:c>
      <x:c r="J162" s="18" t="n">
        <x:v>2492</x:v>
      </x:c>
      <x:c r="K162" s="19" t="n">
        <x:f>I162/1000</x:f>
        <x:v>0.194</x:v>
      </x:c>
      <x:c r="L162" s="19" t="n">
        <x:f>SUM(E162:G162)/1000</x:f>
        <x:v>0.133</x:v>
      </x:c>
      <x:c r="M162" s="20" t="n">
        <x:f>IF(I162=0,"n.a.",H162/I162)</x:f>
        <x:v>0.31443298969072164</x:v>
      </x:c>
      <x:c r="N162" s="18" t="n">
        <x:f>IF(J162=0,"n.a.",I162*1000/J162)</x:f>
        <x:v>77.84911717495987</x:v>
      </x:c>
      <x:c r="O162" s="18" t="n">
        <x:f>SUM(E162:H162)-I162</x:f>
        <x:v>0</x:v>
      </x:c>
      <x:c r="P162" s="18" t="n">
        <x:f>RANK(I162,$I$7:$I$212,0)+COUNTIF($I$7:I162,I162)-1</x:f>
        <x:v>156</x:v>
      </x:c>
      <x:c r="Q162" s="10" t="str">
        <x:v>Leeds Trinity</x:v>
      </x:c>
    </x:row>
    <x:row r="163" ht="46" customHeight="1">
      <x:c r="A163" s="10" t="str">
        <x:v>10007150</x:v>
      </x:c>
      <x:c r="B163" s="11" t="str">
        <x:v>The University of Kent</x:v>
      </x:c>
      <x:c r="C163" s="10" t="str">
        <x:v>Additional UK sample</x:v>
      </x:c>
      <x:c r="D163" s="10" t="str">
        <x:v>2024/25</x:v>
      </x:c>
      <x:c r="E163" s="18" t="n">
        <x:v>10</x:v>
      </x:c>
      <x:c r="F163" s="18" t="n">
        <x:v>1</x:v>
      </x:c>
      <x:c r="G163" s="18" t="n">
        <x:v>34</x:v>
      </x:c>
      <x:c r="H163" s="18" t="n">
        <x:v>143</x:v>
      </x:c>
      <x:c r="I163" s="18" t="n">
        <x:v>188</x:v>
      </x:c>
      <x:c r="J163" s="18" t="n">
        <x:v>2950</x:v>
      </x:c>
      <x:c r="K163" s="19" t="n">
        <x:f>I163/1000</x:f>
        <x:v>0.188</x:v>
      </x:c>
      <x:c r="L163" s="19" t="n">
        <x:f>SUM(E163:G163)/1000</x:f>
        <x:v>0.045</x:v>
      </x:c>
      <x:c r="M163" s="20" t="n">
        <x:f>IF(I163=0,"n.a.",H163/I163)</x:f>
        <x:v>0.7606382978723404</x:v>
      </x:c>
      <x:c r="N163" s="18" t="n">
        <x:f>IF(J163=0,"n.a.",I163*1000/J163)</x:f>
        <x:v>63.728813559322035</x:v>
      </x:c>
      <x:c r="O163" s="18" t="n">
        <x:f>SUM(E163:H163)-I163</x:f>
        <x:v>0</x:v>
      </x:c>
      <x:c r="P163" s="18" t="n">
        <x:f>RANK(I163,$I$7:$I$212,0)+COUNTIF($I$7:I163,I163)-1</x:f>
        <x:v>157</x:v>
      </x:c>
      <x:c r="Q163" s="10" t="str">
        <x:v>Kent</x:v>
      </x:c>
    </x:row>
    <x:row r="164" ht="46" customHeight="1">
      <x:c r="A164" s="10" t="str">
        <x:v>10067406</x:v>
      </x:c>
      <x:c r="B164" s="11" t="str">
        <x:v>New Model Institute for Technology and Engineering (NMITE)</x:v>
      </x:c>
      <x:c r="C164" s="10" t="str">
        <x:v>Other HE provider</x:v>
      </x:c>
      <x:c r="D164" s="10" t="str">
        <x:v>2024/25</x:v>
      </x:c>
      <x:c r="E164" s="18" t="n">
        <x:v>123</x:v>
      </x:c>
      <x:c r="F164" s="18" t="n">
        <x:v>1</x:v>
      </x:c>
      <x:c r="G164" s="18" t="n">
        <x:v>50</x:v>
      </x:c>
      <x:c r="H164" s="18" t="n">
        <x:v>0</x:v>
      </x:c>
      <x:c r="I164" s="18" t="n">
        <x:v>174</x:v>
      </x:c>
      <x:c r="J164" s="18" t="n">
        <x:v>1190</x:v>
      </x:c>
      <x:c r="K164" s="19" t="n">
        <x:f>I164/1000</x:f>
        <x:v>0.174</x:v>
      </x:c>
      <x:c r="L164" s="19" t="n">
        <x:f>SUM(E164:G164)/1000</x:f>
        <x:v>0.174</x:v>
      </x:c>
      <x:c r="M164" s="20" t="n">
        <x:f>IF(I164=0,"n.a.",H164/I164)</x:f>
        <x:v>0</x:v>
      </x:c>
      <x:c r="N164" s="18" t="n">
        <x:f>IF(J164=0,"n.a.",I164*1000/J164)</x:f>
        <x:v>146.21848739495798</x:v>
      </x:c>
      <x:c r="O164" s="18" t="n">
        <x:f>SUM(E164:H164)-I164</x:f>
        <x:v>0</x:v>
      </x:c>
      <x:c r="P164" s="18" t="n">
        <x:f>RANK(I164,$I$7:$I$212,0)+COUNTIF($I$7:I164,I164)-1</x:f>
        <x:v>158</x:v>
      </x:c>
      <x:c r="Q164" s="10" t="str">
        <x:v>New Model Institute for Technology and Engineering (NMITE)</x:v>
      </x:c>
    </x:row>
    <x:row r="165" ht="46" customHeight="1">
      <x:c r="A165" s="10" t="str">
        <x:v>10001264</x:v>
      </x:c>
      <x:c r="B165" s="11" t="str">
        <x:v>Central School of Ballet</x:v>
      </x:c>
      <x:c r="C165" s="10" t="str">
        <x:v>Other HE provider</x:v>
      </x:c>
      <x:c r="D165" s="10" t="str">
        <x:v>2024/25</x:v>
      </x:c>
      <x:c r="E165" s="18" t="n">
        <x:v>0</x:v>
      </x:c>
      <x:c r="F165" s="18" t="n">
        <x:v>0</x:v>
      </x:c>
      <x:c r="G165" s="18" t="n">
        <x:v>0</x:v>
      </x:c>
      <x:c r="H165" s="18" t="n">
        <x:v>169</x:v>
      </x:c>
      <x:c r="I165" s="18" t="n">
        <x:v>169</x:v>
      </x:c>
      <x:c r="J165" s="18" t="n">
        <x:v>2834</x:v>
      </x:c>
      <x:c r="K165" s="19" t="n">
        <x:f>I165/1000</x:f>
        <x:v>0.169</x:v>
      </x:c>
      <x:c r="L165" s="19" t="n">
        <x:f>SUM(E165:G165)/1000</x:f>
        <x:v>0</x:v>
      </x:c>
      <x:c r="M165" s="20" t="n">
        <x:f>IF(I165=0,"n.a.",H165/I165)</x:f>
        <x:v>1</x:v>
      </x:c>
      <x:c r="N165" s="18" t="n">
        <x:f>IF(J165=0,"n.a.",I165*1000/J165)</x:f>
        <x:v>59.63302752293578</x:v>
      </x:c>
      <x:c r="O165" s="18" t="n">
        <x:f>SUM(E165:H165)-I165</x:f>
        <x:v>0</x:v>
      </x:c>
      <x:c r="P165" s="18" t="n">
        <x:f>RANK(I165,$I$7:$I$212,0)+COUNTIF($I$7:I165,I165)-1</x:f>
        <x:v>159</x:v>
      </x:c>
      <x:c r="Q165" s="10" t="str">
        <x:v>Central School of Ballet</x:v>
      </x:c>
    </x:row>
    <x:row r="166" ht="46" customHeight="1">
      <x:c r="A166" s="10" t="str">
        <x:v>10003958</x:v>
      </x:c>
      <x:c r="B166" s="11" t="str">
        <x:v>Liverpool School of Tropical Medicine</x:v>
      </x:c>
      <x:c r="C166" s="10" t="str">
        <x:v>Other HE provider</x:v>
      </x:c>
      <x:c r="D166" s="10" t="str">
        <x:v>2024/25</x:v>
      </x:c>
      <x:c r="E166" s="18" t="n">
        <x:v>2</x:v>
      </x:c>
      <x:c r="F166" s="18" t="n">
        <x:v>0</x:v>
      </x:c>
      <x:c r="G166" s="18" t="n">
        <x:v>97</x:v>
      </x:c>
      <x:c r="H166" s="18" t="n">
        <x:v>55</x:v>
      </x:c>
      <x:c r="I166" s="18" t="n">
        <x:v>154</x:v>
      </x:c>
      <x:c r="J166" s="18" t="n">
        <x:v>5638</x:v>
      </x:c>
      <x:c r="K166" s="19" t="n">
        <x:f>I166/1000</x:f>
        <x:v>0.154</x:v>
      </x:c>
      <x:c r="L166" s="19" t="n">
        <x:f>SUM(E166:G166)/1000</x:f>
        <x:v>0.099</x:v>
      </x:c>
      <x:c r="M166" s="20" t="n">
        <x:f>IF(I166=0,"n.a.",H166/I166)</x:f>
        <x:v>0.35714285714285715</x:v>
      </x:c>
      <x:c r="N166" s="18" t="n">
        <x:f>IF(J166=0,"n.a.",I166*1000/J166)</x:f>
        <x:v>27.31465058531394</x:v>
      </x:c>
      <x:c r="O166" s="18" t="n">
        <x:f>SUM(E166:H166)-I166</x:f>
        <x:v>0</x:v>
      </x:c>
      <x:c r="P166" s="18" t="n">
        <x:f>RANK(I166,$I$7:$I$212,0)+COUNTIF($I$7:I166,I166)-1</x:f>
        <x:v>160</x:v>
      </x:c>
      <x:c r="Q166" s="10" t="str">
        <x:v>Liverpool School of Tropical Medicine</x:v>
      </x:c>
    </x:row>
    <x:row r="167" ht="46" customHeight="1">
      <x:c r="A167" s="10" t="str">
        <x:v>10008173</x:v>
      </x:c>
      <x:c r="B167" s="11" t="str">
        <x:v>University of the Built Environment</x:v>
      </x:c>
      <x:c r="C167" s="10" t="str">
        <x:v>Other HE provider</x:v>
      </x:c>
      <x:c r="D167" s="10" t="str">
        <x:v>2024/25</x:v>
      </x:c>
      <x:c r="E167" s="18" t="n">
        <x:v>34</x:v>
      </x:c>
      <x:c r="F167" s="18" t="n">
        <x:v>57</x:v>
      </x:c>
      <x:c r="G167" s="18" t="n">
        <x:v>31</x:v>
      </x:c>
      <x:c r="H167" s="18" t="n">
        <x:v>10</x:v>
      </x:c>
      <x:c r="I167" s="18" t="n">
        <x:v>132</x:v>
      </x:c>
      <x:c r="J167" s="18" t="n">
        <x:v>1063</x:v>
      </x:c>
      <x:c r="K167" s="19" t="n">
        <x:f>I167/1000</x:f>
        <x:v>0.132</x:v>
      </x:c>
      <x:c r="L167" s="19" t="n">
        <x:f>SUM(E167:G167)/1000</x:f>
        <x:v>0.122</x:v>
      </x:c>
      <x:c r="M167" s="20" t="n">
        <x:f>IF(I167=0,"n.a.",H167/I167)</x:f>
        <x:v>0.07575757575757576</x:v>
      </x:c>
      <x:c r="N167" s="18" t="n">
        <x:f>IF(J167=0,"n.a.",I167*1000/J167)</x:f>
        <x:v>124.17685794920038</x:v>
      </x:c>
      <x:c r="O167" s="18" t="n">
        <x:f>SUM(E167:H167)-I167</x:f>
        <x:v>0</x:v>
      </x:c>
      <x:c r="P167" s="18" t="n">
        <x:f>RANK(I167,$I$7:$I$212,0)+COUNTIF($I$7:I167,I167)-1</x:f>
        <x:v>161</x:v>
      </x:c>
      <x:c r="Q167" s="10" t="str">
        <x:v>the Built Environment</x:v>
      </x:c>
    </x:row>
    <x:row r="168" ht="46" customHeight="1">
      <x:c r="A168" s="10" t="str">
        <x:v>10021682</x:v>
      </x:c>
      <x:c r="B168" s="11" t="str">
        <x:v>Kaplan Open Learning (Essex) Limited</x:v>
      </x:c>
      <x:c r="C168" s="10" t="str">
        <x:v>Other HE provider</x:v>
      </x:c>
      <x:c r="D168" s="10" t="str">
        <x:v>2024/25</x:v>
      </x:c>
      <x:c r="E168" s="18" t="n">
        <x:v>0</x:v>
      </x:c>
      <x:c r="F168" s="18" t="n">
        <x:v>0</x:v>
      </x:c>
      <x:c r="G168" s="18" t="n">
        <x:v>0</x:v>
      </x:c>
      <x:c r="H168" s="18" t="n">
        <x:v>127</x:v>
      </x:c>
      <x:c r="I168" s="18" t="n">
        <x:v>127</x:v>
      </x:c>
      <x:c r="J168" s="18" t="n">
        <x:v>1281</x:v>
      </x:c>
      <x:c r="K168" s="19" t="n">
        <x:f>I168/1000</x:f>
        <x:v>0.127</x:v>
      </x:c>
      <x:c r="L168" s="19" t="n">
        <x:f>SUM(E168:G168)/1000</x:f>
        <x:v>0</x:v>
      </x:c>
      <x:c r="M168" s="20" t="n">
        <x:f>IF(I168=0,"n.a.",H168/I168)</x:f>
        <x:v>1</x:v>
      </x:c>
      <x:c r="N168" s="18" t="n">
        <x:f>IF(J168=0,"n.a.",I168*1000/J168)</x:f>
        <x:v>99.14129586260734</x:v>
      </x:c>
      <x:c r="O168" s="18" t="n">
        <x:f>SUM(E168:H168)-I168</x:f>
        <x:v>0</x:v>
      </x:c>
      <x:c r="P168" s="18" t="n">
        <x:f>RANK(I168,$I$7:$I$212,0)+COUNTIF($I$7:I168,I168)-1</x:f>
        <x:v>162</x:v>
      </x:c>
      <x:c r="Q168" s="10" t="str">
        <x:v>Kaplan Open Learning (Essex) Limited</x:v>
      </x:c>
    </x:row>
    <x:row r="169" ht="46" customHeight="1">
      <x:c r="A169" s="10" t="str">
        <x:v>10008010</x:v>
      </x:c>
      <x:c r="B169" s="11" t="str">
        <x:v>Stranmillis University College</x:v>
      </x:c>
      <x:c r="C169" s="10" t="str">
        <x:v>Other HE provider</x:v>
      </x:c>
      <x:c r="D169" s="10" t="str">
        <x:v>2024/25</x:v>
      </x:c>
      <x:c r="E169" s="18" t="n">
        <x:v>0</x:v>
      </x:c>
      <x:c r="F169" s="18" t="n">
        <x:v>0</x:v>
      </x:c>
      <x:c r="G169" s="18" t="n">
        <x:v>90</x:v>
      </x:c>
      <x:c r="H169" s="18" t="n">
        <x:v>34</x:v>
      </x:c>
      <x:c r="I169" s="18" t="n">
        <x:v>124</x:v>
      </x:c>
      <x:c r="J169" s="18" t="n">
        <x:v>0</x:v>
      </x:c>
      <x:c r="K169" s="19" t="n">
        <x:f>I169/1000</x:f>
        <x:v>0.124</x:v>
      </x:c>
      <x:c r="L169" s="19" t="n">
        <x:f>SUM(E169:G169)/1000</x:f>
        <x:v>0.09</x:v>
      </x:c>
      <x:c r="M169" s="20" t="n">
        <x:f>IF(I169=0,"n.a.",H169/I169)</x:f>
        <x:v>0.27419354838709675</x:v>
      </x:c>
      <x:c r="N169" s="18" t="str">
        <x:f>IF(J169=0,"n.a.",I169*1000/J169)</x:f>
        <x:v>n.a.</x:v>
      </x:c>
      <x:c r="O169" s="18" t="n">
        <x:f>SUM(E169:H169)-I169</x:f>
        <x:v>0</x:v>
      </x:c>
      <x:c r="P169" s="18" t="n">
        <x:f>RANK(I169,$I$7:$I$212,0)+COUNTIF($I$7:I169,I169)-1</x:f>
        <x:v>163</x:v>
      </x:c>
      <x:c r="Q169" s="10" t="str">
        <x:v>Stranmillis University College</x:v>
      </x:c>
    </x:row>
    <x:row r="170" ht="46" customHeight="1">
      <x:c r="A170" s="10" t="str">
        <x:v>10003324</x:v>
      </x:c>
      <x:c r="B170" s="11" t="str">
        <x:v>The Institute of Cancer Research</x:v>
      </x:c>
      <x:c r="C170" s="10" t="str">
        <x:v>Other HE provider</x:v>
      </x:c>
      <x:c r="D170" s="10" t="str">
        <x:v>2024/25</x:v>
      </x:c>
      <x:c r="E170" s="18" t="n">
        <x:v>5</x:v>
      </x:c>
      <x:c r="F170" s="18" t="n">
        <x:v>6</x:v>
      </x:c>
      <x:c r="G170" s="18" t="n">
        <x:v>64</x:v>
      </x:c>
      <x:c r="H170" s="18" t="n">
        <x:v>49</x:v>
      </x:c>
      <x:c r="I170" s="18" t="n">
        <x:v>124</x:v>
      </x:c>
      <x:c r="J170" s="18" t="n">
        <x:v>1509</x:v>
      </x:c>
      <x:c r="K170" s="19" t="n">
        <x:f>I170/1000</x:f>
        <x:v>0.124</x:v>
      </x:c>
      <x:c r="L170" s="19" t="n">
        <x:f>SUM(E170:G170)/1000</x:f>
        <x:v>0.075</x:v>
      </x:c>
      <x:c r="M170" s="20" t="n">
        <x:f>IF(I170=0,"n.a.",H170/I170)</x:f>
        <x:v>0.3951612903225806</x:v>
      </x:c>
      <x:c r="N170" s="18" t="n">
        <x:f>IF(J170=0,"n.a.",I170*1000/J170)</x:f>
        <x:v>82.17362491716368</x:v>
      </x:c>
      <x:c r="O170" s="18" t="n">
        <x:f>SUM(E170:H170)-I170</x:f>
        <x:v>0</x:v>
      </x:c>
      <x:c r="P170" s="18" t="n">
        <x:f>RANK(I170,$I$7:$I$212,0)+COUNTIF($I$7:I170,I170)-1</x:f>
        <x:v>164</x:v>
      </x:c>
      <x:c r="Q170" s="10" t="str">
        <x:v>The Institute of Cancer Research</x:v>
      </x:c>
    </x:row>
    <x:row r="171" ht="46" customHeight="1">
      <x:c r="A171" s="10" t="str">
        <x:v>10005545</x:v>
      </x:c>
      <x:c r="B171" s="11" t="str">
        <x:v>Royal Agricultural University</x:v>
      </x:c>
      <x:c r="C171" s="10" t="str">
        <x:v>Other HE provider</x:v>
      </x:c>
      <x:c r="D171" s="10" t="str">
        <x:v>2024/25</x:v>
      </x:c>
      <x:c r="E171" s="18" t="n">
        <x:v>5</x:v>
      </x:c>
      <x:c r="F171" s="18" t="n">
        <x:v>64</x:v>
      </x:c>
      <x:c r="G171" s="18" t="n">
        <x:v>22</x:v>
      </x:c>
      <x:c r="H171" s="18" t="n">
        <x:v>3</x:v>
      </x:c>
      <x:c r="I171" s="18" t="n">
        <x:v>94</x:v>
      </x:c>
      <x:c r="J171" s="18" t="n">
        <x:v>445</x:v>
      </x:c>
      <x:c r="K171" s="19" t="n">
        <x:f>I171/1000</x:f>
        <x:v>0.094</x:v>
      </x:c>
      <x:c r="L171" s="19" t="n">
        <x:f>SUM(E171:G171)/1000</x:f>
        <x:v>0.091</x:v>
      </x:c>
      <x:c r="M171" s="20" t="n">
        <x:f>IF(I171=0,"n.a.",H171/I171)</x:f>
        <x:v>0.031914893617021274</x:v>
      </x:c>
      <x:c r="N171" s="18" t="n">
        <x:f>IF(J171=0,"n.a.",I171*1000/J171)</x:f>
        <x:v>211.23595505617976</x:v>
      </x:c>
      <x:c r="O171" s="18" t="n">
        <x:f>SUM(E171:H171)-I171</x:f>
        <x:v>0</x:v>
      </x:c>
      <x:c r="P171" s="18" t="n">
        <x:f>RANK(I171,$I$7:$I$212,0)+COUNTIF($I$7:I171,I171)-1</x:f>
        <x:v>165</x:v>
      </x:c>
      <x:c r="Q171" s="10" t="str">
        <x:v>Royal Agricultural</x:v>
      </x:c>
    </x:row>
    <x:row r="172" ht="46" customHeight="1">
      <x:c r="A172" s="10" t="str">
        <x:v>10032295</x:v>
      </x:c>
      <x:c r="B172" s="11" t="str">
        <x:v>Emmanuel Theological College</x:v>
      </x:c>
      <x:c r="C172" s="10" t="str">
        <x:v>Other HE provider</x:v>
      </x:c>
      <x:c r="D172" s="10" t="str">
        <x:v>2024/25</x:v>
      </x:c>
      <x:c r="E172" s="18" t="n">
        <x:v>0</x:v>
      </x:c>
      <x:c r="F172" s="18" t="n">
        <x:v>0</x:v>
      </x:c>
      <x:c r="G172" s="18" t="n">
        <x:v>84</x:v>
      </x:c>
      <x:c r="H172" s="18" t="n">
        <x:v>0</x:v>
      </x:c>
      <x:c r="I172" s="18" t="n">
        <x:v>84</x:v>
      </x:c>
      <x:c r="J172" s="18" t="n">
        <x:v>232</x:v>
      </x:c>
      <x:c r="K172" s="19" t="n">
        <x:f>I172/1000</x:f>
        <x:v>0.084</x:v>
      </x:c>
      <x:c r="L172" s="19" t="n">
        <x:f>SUM(E172:G172)/1000</x:f>
        <x:v>0.084</x:v>
      </x:c>
      <x:c r="M172" s="20" t="n">
        <x:f>IF(I172=0,"n.a.",H172/I172)</x:f>
        <x:v>0</x:v>
      </x:c>
      <x:c r="N172" s="18" t="n">
        <x:f>IF(J172=0,"n.a.",I172*1000/J172)</x:f>
        <x:v>362.0689655172414</x:v>
      </x:c>
      <x:c r="O172" s="18" t="n">
        <x:f>SUM(E172:H172)-I172</x:f>
        <x:v>0</x:v>
      </x:c>
      <x:c r="P172" s="18" t="n">
        <x:f>RANK(I172,$I$7:$I$212,0)+COUNTIF($I$7:I172,I172)-1</x:f>
        <x:v>166</x:v>
      </x:c>
      <x:c r="Q172" s="10" t="str">
        <x:v>Emmanuel Theological College</x:v>
      </x:c>
    </x:row>
    <x:row r="173" ht="46" customHeight="1">
      <x:c r="A173" s="10" t="str">
        <x:v>10062810</x:v>
      </x:c>
      <x:c r="B173" s="11" t="str">
        <x:v>The London School of Architecture</x:v>
      </x:c>
      <x:c r="C173" s="10" t="str">
        <x:v>Other HE provider</x:v>
      </x:c>
      <x:c r="D173" s="10" t="str">
        <x:v>2024/25</x:v>
      </x:c>
      <x:c r="E173" s="18" t="n">
        <x:v>37</x:v>
      </x:c>
      <x:c r="F173" s="18" t="n">
        <x:v>17</x:v>
      </x:c>
      <x:c r="G173" s="18" t="n">
        <x:v>3</x:v>
      </x:c>
      <x:c r="H173" s="18" t="n">
        <x:v>2</x:v>
      </x:c>
      <x:c r="I173" s="18" t="n">
        <x:v>59</x:v>
      </x:c>
      <x:c r="J173" s="18" t="n">
        <x:v>188</x:v>
      </x:c>
      <x:c r="K173" s="19" t="n">
        <x:f>I173/1000</x:f>
        <x:v>0.059</x:v>
      </x:c>
      <x:c r="L173" s="19" t="n">
        <x:f>SUM(E173:G173)/1000</x:f>
        <x:v>0.057</x:v>
      </x:c>
      <x:c r="M173" s="20" t="n">
        <x:f>IF(I173=0,"n.a.",H173/I173)</x:f>
        <x:v>0.03389830508474576</x:v>
      </x:c>
      <x:c r="N173" s="18" t="n">
        <x:f>IF(J173=0,"n.a.",I173*1000/J173)</x:f>
        <x:v>313.82978723404256</x:v>
      </x:c>
      <x:c r="O173" s="18" t="n">
        <x:f>SUM(E173:H173)-I173</x:f>
        <x:v>0</x:v>
      </x:c>
      <x:c r="P173" s="18" t="n">
        <x:f>RANK(I173,$I$7:$I$212,0)+COUNTIF($I$7:I173,I173)-1</x:f>
        <x:v>167</x:v>
      </x:c>
      <x:c r="Q173" s="10" t="str">
        <x:v>The London School of Architecture</x:v>
      </x:c>
    </x:row>
    <x:row r="174" ht="46" customHeight="1">
      <x:c r="A174" s="10" t="str">
        <x:v>10007912</x:v>
      </x:c>
      <x:c r="B174" s="11" t="str">
        <x:v>Cliff College</x:v>
      </x:c>
      <x:c r="C174" s="10" t="str">
        <x:v>Other HE provider</x:v>
      </x:c>
      <x:c r="D174" s="10" t="str">
        <x:v>2024/25</x:v>
      </x:c>
      <x:c r="E174" s="18" t="n">
        <x:v>0</x:v>
      </x:c>
      <x:c r="F174" s="18" t="n">
        <x:v>0</x:v>
      </x:c>
      <x:c r="G174" s="18" t="n">
        <x:v>0</x:v>
      </x:c>
      <x:c r="H174" s="18" t="n">
        <x:v>58</x:v>
      </x:c>
      <x:c r="I174" s="18" t="n">
        <x:v>58</x:v>
      </x:c>
      <x:c r="J174" s="18" t="n">
        <x:v>242</x:v>
      </x:c>
      <x:c r="K174" s="19" t="n">
        <x:f>I174/1000</x:f>
        <x:v>0.058</x:v>
      </x:c>
      <x:c r="L174" s="19" t="n">
        <x:f>SUM(E174:G174)/1000</x:f>
        <x:v>0</x:v>
      </x:c>
      <x:c r="M174" s="20" t="n">
        <x:f>IF(I174=0,"n.a.",H174/I174)</x:f>
        <x:v>1</x:v>
      </x:c>
      <x:c r="N174" s="18" t="n">
        <x:f>IF(J174=0,"n.a.",I174*1000/J174)</x:f>
        <x:v>239.6694214876033</x:v>
      </x:c>
      <x:c r="O174" s="18" t="n">
        <x:f>SUM(E174:H174)-I174</x:f>
        <x:v>0</x:v>
      </x:c>
      <x:c r="P174" s="18" t="n">
        <x:f>RANK(I174,$I$7:$I$212,0)+COUNTIF($I$7:I174,I174)-1</x:f>
        <x:v>168</x:v>
      </x:c>
      <x:c r="Q174" s="10" t="str">
        <x:v>Cliff College</x:v>
      </x:c>
    </x:row>
    <x:row r="175" ht="46" customHeight="1">
      <x:c r="A175" s="10" t="str">
        <x:v>10008640</x:v>
      </x:c>
      <x:c r="B175" s="11" t="str">
        <x:v>Falmouth University</x:v>
      </x:c>
      <x:c r="C175" s="10" t="str">
        <x:v>Other HE provider</x:v>
      </x:c>
      <x:c r="D175" s="10" t="str">
        <x:v>2024/25</x:v>
      </x:c>
      <x:c r="E175" s="18" t="n">
        <x:v>1</x:v>
      </x:c>
      <x:c r="F175" s="18" t="n">
        <x:v>0</x:v>
      </x:c>
      <x:c r="G175" s="18" t="n">
        <x:v>0</x:v>
      </x:c>
      <x:c r="H175" s="18" t="n">
        <x:v>53</x:v>
      </x:c>
      <x:c r="I175" s="18" t="n">
        <x:v>54</x:v>
      </x:c>
      <x:c r="J175" s="18" t="n">
        <x:v>1205</x:v>
      </x:c>
      <x:c r="K175" s="19" t="n">
        <x:f>I175/1000</x:f>
        <x:v>0.054</x:v>
      </x:c>
      <x:c r="L175" s="19" t="n">
        <x:f>SUM(E175:G175)/1000</x:f>
        <x:v>0.001</x:v>
      </x:c>
      <x:c r="M175" s="20" t="n">
        <x:f>IF(I175=0,"n.a.",H175/I175)</x:f>
        <x:v>0.9814814814814815</x:v>
      </x:c>
      <x:c r="N175" s="18" t="n">
        <x:f>IF(J175=0,"n.a.",I175*1000/J175)</x:f>
        <x:v>44.81327800829875</x:v>
      </x:c>
      <x:c r="O175" s="18" t="n">
        <x:f>SUM(E175:H175)-I175</x:f>
        <x:v>0</x:v>
      </x:c>
      <x:c r="P175" s="18" t="n">
        <x:f>RANK(I175,$I$7:$I$212,0)+COUNTIF($I$7:I175,I175)-1</x:f>
        <x:v>169</x:v>
      </x:c>
      <x:c r="Q175" s="10" t="str">
        <x:v>Falmouth</x:v>
      </x:c>
    </x:row>
    <x:row r="176" ht="46" customHeight="1">
      <x:c r="A176" s="10" t="str">
        <x:v>10037544</x:v>
      </x:c>
      <x:c r="B176" s="11" t="str">
        <x:v>BIMM University</x:v>
      </x:c>
      <x:c r="C176" s="10" t="str">
        <x:v>Other HE provider</x:v>
      </x:c>
      <x:c r="D176" s="10" t="str">
        <x:v>2024/25</x:v>
      </x:c>
      <x:c r="E176" s="18" t="n">
        <x:v>0</x:v>
      </x:c>
      <x:c r="F176" s="18" t="n">
        <x:v>0</x:v>
      </x:c>
      <x:c r="G176" s="18" t="n">
        <x:v>0</x:v>
      </x:c>
      <x:c r="H176" s="18" t="n">
        <x:v>52</x:v>
      </x:c>
      <x:c r="I176" s="18" t="n">
        <x:v>52</x:v>
      </x:c>
      <x:c r="J176" s="18" t="n">
        <x:v>523</x:v>
      </x:c>
      <x:c r="K176" s="19" t="n">
        <x:f>I176/1000</x:f>
        <x:v>0.052</x:v>
      </x:c>
      <x:c r="L176" s="19" t="n">
        <x:f>SUM(E176:G176)/1000</x:f>
        <x:v>0</x:v>
      </x:c>
      <x:c r="M176" s="20" t="n">
        <x:f>IF(I176=0,"n.a.",H176/I176)</x:f>
        <x:v>1</x:v>
      </x:c>
      <x:c r="N176" s="18" t="n">
        <x:f>IF(J176=0,"n.a.",I176*1000/J176)</x:f>
        <x:v>99.4263862332696</x:v>
      </x:c>
      <x:c r="O176" s="18" t="n">
        <x:f>SUM(E176:H176)-I176</x:f>
        <x:v>0</x:v>
      </x:c>
      <x:c r="P176" s="18" t="n">
        <x:f>RANK(I176,$I$7:$I$212,0)+COUNTIF($I$7:I176,I176)-1</x:f>
        <x:v>170</x:v>
      </x:c>
      <x:c r="Q176" s="10" t="str">
        <x:v>BIMM</x:v>
      </x:c>
    </x:row>
    <x:row r="177" ht="46" customHeight="1">
      <x:c r="A177" s="10" t="str">
        <x:v>10007835</x:v>
      </x:c>
      <x:c r="B177" s="11" t="str">
        <x:v>Royal Academy of Music</x:v>
      </x:c>
      <x:c r="C177" s="10" t="str">
        <x:v>Other HE provider</x:v>
      </x:c>
      <x:c r="D177" s="10" t="str">
        <x:v>2024/25</x:v>
      </x:c>
      <x:c r="E177" s="18" t="n">
        <x:v>0</x:v>
      </x:c>
      <x:c r="F177" s="18" t="n">
        <x:v>0</x:v>
      </x:c>
      <x:c r="G177" s="18" t="n">
        <x:v>0</x:v>
      </x:c>
      <x:c r="H177" s="18" t="n">
        <x:v>48</x:v>
      </x:c>
      <x:c r="I177" s="18" t="n">
        <x:v>48</x:v>
      </x:c>
      <x:c r="J177" s="18" t="n">
        <x:v>115</x:v>
      </x:c>
      <x:c r="K177" s="19" t="n">
        <x:f>I177/1000</x:f>
        <x:v>0.048</x:v>
      </x:c>
      <x:c r="L177" s="19" t="n">
        <x:f>SUM(E177:G177)/1000</x:f>
        <x:v>0</x:v>
      </x:c>
      <x:c r="M177" s="20" t="n">
        <x:f>IF(I177=0,"n.a.",H177/I177)</x:f>
        <x:v>1</x:v>
      </x:c>
      <x:c r="N177" s="18" t="n">
        <x:f>IF(J177=0,"n.a.",I177*1000/J177)</x:f>
        <x:v>417.39130434782606</x:v>
      </x:c>
      <x:c r="O177" s="18" t="n">
        <x:f>SUM(E177:H177)-I177</x:f>
        <x:v>0</x:v>
      </x:c>
      <x:c r="P177" s="18" t="n">
        <x:f>RANK(I177,$I$7:$I$212,0)+COUNTIF($I$7:I177,I177)-1</x:f>
        <x:v>171</x:v>
      </x:c>
      <x:c r="Q177" s="10" t="str">
        <x:v>Royal Academy of Music</x:v>
      </x:c>
    </x:row>
    <x:row r="178" ht="46" customHeight="1">
      <x:c r="A178" s="10" t="str">
        <x:v>10009612</x:v>
      </x:c>
      <x:c r="B178" s="11" t="str">
        <x:v>Luther King House Educational Trust</x:v>
      </x:c>
      <x:c r="C178" s="10" t="str">
        <x:v>Other HE provider</x:v>
      </x:c>
      <x:c r="D178" s="10" t="str">
        <x:v>2024/25</x:v>
      </x:c>
      <x:c r="E178" s="18" t="n">
        <x:v>0</x:v>
      </x:c>
      <x:c r="F178" s="18" t="n">
        <x:v>0</x:v>
      </x:c>
      <x:c r="G178" s="18" t="n">
        <x:v>17</x:v>
      </x:c>
      <x:c r="H178" s="18" t="n">
        <x:v>18</x:v>
      </x:c>
      <x:c r="I178" s="18" t="n">
        <x:v>35</x:v>
      </x:c>
      <x:c r="J178" s="18" t="n">
        <x:v>232</x:v>
      </x:c>
      <x:c r="K178" s="19" t="n">
        <x:f>I178/1000</x:f>
        <x:v>0.035</x:v>
      </x:c>
      <x:c r="L178" s="19" t="n">
        <x:f>SUM(E178:G178)/1000</x:f>
        <x:v>0.017</x:v>
      </x:c>
      <x:c r="M178" s="20" t="n">
        <x:f>IF(I178=0,"n.a.",H178/I178)</x:f>
        <x:v>0.5142857142857142</x:v>
      </x:c>
      <x:c r="N178" s="18" t="n">
        <x:f>IF(J178=0,"n.a.",I178*1000/J178)</x:f>
        <x:v>150.86206896551724</x:v>
      </x:c>
      <x:c r="O178" s="18" t="n">
        <x:f>SUM(E178:H178)-I178</x:f>
        <x:v>0</x:v>
      </x:c>
      <x:c r="P178" s="18" t="n">
        <x:f>RANK(I178,$I$7:$I$212,0)+COUNTIF($I$7:I178,I178)-1</x:f>
        <x:v>172</x:v>
      </x:c>
      <x:c r="Q178" s="10" t="str">
        <x:v>Luther King House Educational Trust</x:v>
      </x:c>
    </x:row>
    <x:row r="179" ht="46" customHeight="1">
      <x:c r="A179" s="10" t="str">
        <x:v>10007849</x:v>
      </x:c>
      <x:c r="B179" s="11" t="str">
        <x:v>Abertay University</x:v>
      </x:c>
      <x:c r="C179" s="10" t="str">
        <x:v>Other HE provider</x:v>
      </x:c>
      <x:c r="D179" s="10" t="str">
        <x:v>2024/25</x:v>
      </x:c>
      <x:c r="E179" s="18" t="n">
        <x:v>0</x:v>
      </x:c>
      <x:c r="F179" s="18" t="n">
        <x:v>0</x:v>
      </x:c>
      <x:c r="G179" s="18" t="n">
        <x:v>0</x:v>
      </x:c>
      <x:c r="H179" s="18" t="n">
        <x:v>27</x:v>
      </x:c>
      <x:c r="I179" s="18" t="n">
        <x:v>27</x:v>
      </x:c>
      <x:c r="J179" s="18" t="n">
        <x:v>0</x:v>
      </x:c>
      <x:c r="K179" s="19" t="n">
        <x:f>I179/1000</x:f>
        <x:v>0.027</x:v>
      </x:c>
      <x:c r="L179" s="19" t="n">
        <x:f>SUM(E179:G179)/1000</x:f>
        <x:v>0</x:v>
      </x:c>
      <x:c r="M179" s="20" t="n">
        <x:f>IF(I179=0,"n.a.",H179/I179)</x:f>
        <x:v>1</x:v>
      </x:c>
      <x:c r="N179" s="18" t="str">
        <x:f>IF(J179=0,"n.a.",I179*1000/J179)</x:f>
        <x:v>n.a.</x:v>
      </x:c>
      <x:c r="O179" s="18" t="n">
        <x:f>SUM(E179:H179)-I179</x:f>
        <x:v>0</x:v>
      </x:c>
      <x:c r="P179" s="18" t="n">
        <x:f>RANK(I179,$I$7:$I$212,0)+COUNTIF($I$7:I179,I179)-1</x:f>
        <x:v>173</x:v>
      </x:c>
      <x:c r="Q179" s="10" t="str">
        <x:v>Abertay</x:v>
      </x:c>
    </x:row>
    <x:row r="180" ht="46" customHeight="1">
      <x:c r="A180" s="10" t="str">
        <x:v>10004028</x:v>
      </x:c>
      <x:c r="B180" s="11" t="str">
        <x:v>The Place, London Contemporary Dance School (LCDS)</x:v>
      </x:c>
      <x:c r="C180" s="10" t="str">
        <x:v>Other HE provider</x:v>
      </x:c>
      <x:c r="D180" s="10" t="str">
        <x:v>2024/25</x:v>
      </x:c>
      <x:c r="E180" s="18" t="n">
        <x:v>0</x:v>
      </x:c>
      <x:c r="F180" s="18" t="n">
        <x:v>0</x:v>
      </x:c>
      <x:c r="G180" s="18" t="n">
        <x:v>0</x:v>
      </x:c>
      <x:c r="H180" s="18" t="n">
        <x:v>20</x:v>
      </x:c>
      <x:c r="I180" s="18" t="n">
        <x:v>20</x:v>
      </x:c>
      <x:c r="J180" s="18" t="n">
        <x:v>472</x:v>
      </x:c>
      <x:c r="K180" s="19" t="n">
        <x:f>I180/1000</x:f>
        <x:v>0.02</x:v>
      </x:c>
      <x:c r="L180" s="19" t="n">
        <x:f>SUM(E180:G180)/1000</x:f>
        <x:v>0</x:v>
      </x:c>
      <x:c r="M180" s="20" t="n">
        <x:f>IF(I180=0,"n.a.",H180/I180)</x:f>
        <x:v>1</x:v>
      </x:c>
      <x:c r="N180" s="18" t="n">
        <x:f>IF(J180=0,"n.a.",I180*1000/J180)</x:f>
        <x:v>42.3728813559322</x:v>
      </x:c>
      <x:c r="O180" s="18" t="n">
        <x:f>SUM(E180:H180)-I180</x:f>
        <x:v>0</x:v>
      </x:c>
      <x:c r="P180" s="18" t="n">
        <x:f>RANK(I180,$I$7:$I$212,0)+COUNTIF($I$7:I180,I180)-1</x:f>
        <x:v>174</x:v>
      </x:c>
      <x:c r="Q180" s="10" t="str">
        <x:v>The Place, London Contemporary Dance School (LCDS)</x:v>
      </x:c>
    </x:row>
    <x:row r="181" ht="46" customHeight="1">
      <x:c r="A181" s="10" t="str">
        <x:v>10000712</x:v>
      </x:c>
      <x:c r="B181" s="11" t="str">
        <x:v>University College Birmingham</x:v>
      </x:c>
      <x:c r="C181" s="10" t="str">
        <x:v>Other HE provider</x:v>
      </x:c>
      <x:c r="D181" s="10" t="str">
        <x:v>2024/25</x:v>
      </x:c>
      <x:c r="E181" s="18" t="n">
        <x:v>0</x:v>
      </x:c>
      <x:c r="F181" s="18" t="n">
        <x:v>0</x:v>
      </x:c>
      <x:c r="G181" s="18" t="n">
        <x:v>0</x:v>
      </x:c>
      <x:c r="H181" s="18" t="n">
        <x:v>17</x:v>
      </x:c>
      <x:c r="I181" s="18" t="n">
        <x:v>17</x:v>
      </x:c>
      <x:c r="J181" s="18" t="n">
        <x:v>219</x:v>
      </x:c>
      <x:c r="K181" s="19" t="n">
        <x:f>I181/1000</x:f>
        <x:v>0.017</x:v>
      </x:c>
      <x:c r="L181" s="19" t="n">
        <x:f>SUM(E181:G181)/1000</x:f>
        <x:v>0</x:v>
      </x:c>
      <x:c r="M181" s="20" t="n">
        <x:f>IF(I181=0,"n.a.",H181/I181)</x:f>
        <x:v>1</x:v>
      </x:c>
      <x:c r="N181" s="18" t="n">
        <x:f>IF(J181=0,"n.a.",I181*1000/J181)</x:f>
        <x:v>77.62557077625571</x:v>
      </x:c>
      <x:c r="O181" s="18" t="n">
        <x:f>SUM(E181:H181)-I181</x:f>
        <x:v>0</x:v>
      </x:c>
      <x:c r="P181" s="18" t="n">
        <x:f>RANK(I181,$I$7:$I$212,0)+COUNTIF($I$7:I181,I181)-1</x:f>
        <x:v>175</x:v>
      </x:c>
      <x:c r="Q181" s="10" t="str">
        <x:v>University College Birmingham</x:v>
      </x:c>
    </x:row>
    <x:row r="182" ht="46" customHeight="1">
      <x:c r="A182" s="10" t="str">
        <x:v>10032282</x:v>
      </x:c>
      <x:c r="B182" s="11" t="str">
        <x:v>The Queen's Foundation for Ecumenical Theological Education</x:v>
      </x:c>
      <x:c r="C182" s="10" t="str">
        <x:v>Other HE provider</x:v>
      </x:c>
      <x:c r="D182" s="10" t="str">
        <x:v>2024/25</x:v>
      </x:c>
      <x:c r="E182" s="18" t="n">
        <x:v>0</x:v>
      </x:c>
      <x:c r="F182" s="18" t="n">
        <x:v>0</x:v>
      </x:c>
      <x:c r="G182" s="18" t="n">
        <x:v>0</x:v>
      </x:c>
      <x:c r="H182" s="18" t="n">
        <x:v>15</x:v>
      </x:c>
      <x:c r="I182" s="18" t="n">
        <x:v>15</x:v>
      </x:c>
      <x:c r="J182" s="18" t="n">
        <x:v>318</x:v>
      </x:c>
      <x:c r="K182" s="19" t="n">
        <x:f>I182/1000</x:f>
        <x:v>0.015</x:v>
      </x:c>
      <x:c r="L182" s="19" t="n">
        <x:f>SUM(E182:G182)/1000</x:f>
        <x:v>0</x:v>
      </x:c>
      <x:c r="M182" s="20" t="n">
        <x:f>IF(I182=0,"n.a.",H182/I182)</x:f>
        <x:v>1</x:v>
      </x:c>
      <x:c r="N182" s="18" t="n">
        <x:f>IF(J182=0,"n.a.",I182*1000/J182)</x:f>
        <x:v>47.16981132075472</x:v>
      </x:c>
      <x:c r="O182" s="18" t="n">
        <x:f>SUM(E182:H182)-I182</x:f>
        <x:v>0</x:v>
      </x:c>
      <x:c r="P182" s="18" t="n">
        <x:f>RANK(I182,$I$7:$I$212,0)+COUNTIF($I$7:I182,I182)-1</x:f>
        <x:v>176</x:v>
      </x:c>
      <x:c r="Q182" s="10" t="str">
        <x:v>The Queen's Foundation for Ecumenical Theological Education</x:v>
      </x:c>
    </x:row>
    <x:row r="183" ht="46" customHeight="1">
      <x:c r="A183" s="10" t="str">
        <x:v>10066502</x:v>
      </x:c>
      <x:c r="B183" s="11" t="str">
        <x:v>The College of Health Ltd</x:v>
      </x:c>
      <x:c r="C183" s="10" t="str">
        <x:v>Other HE provider</x:v>
      </x:c>
      <x:c r="D183" s="10" t="str">
        <x:v>2024/25</x:v>
      </x:c>
      <x:c r="E183" s="18" t="n">
        <x:v>0</x:v>
      </x:c>
      <x:c r="F183" s="18" t="n">
        <x:v>0</x:v>
      </x:c>
      <x:c r="G183" s="18" t="n">
        <x:v>0</x:v>
      </x:c>
      <x:c r="H183" s="18" t="n">
        <x:v>14</x:v>
      </x:c>
      <x:c r="I183" s="18" t="n">
        <x:v>14</x:v>
      </x:c>
      <x:c r="J183" s="18" t="n">
        <x:v>14</x:v>
      </x:c>
      <x:c r="K183" s="19" t="n">
        <x:f>I183/1000</x:f>
        <x:v>0.014</x:v>
      </x:c>
      <x:c r="L183" s="19" t="n">
        <x:f>SUM(E183:G183)/1000</x:f>
        <x:v>0</x:v>
      </x:c>
      <x:c r="M183" s="20" t="n">
        <x:f>IF(I183=0,"n.a.",H183/I183)</x:f>
        <x:v>1</x:v>
      </x:c>
      <x:c r="N183" s="18" t="n">
        <x:f>IF(J183=0,"n.a.",I183*1000/J183)</x:f>
        <x:v>1000</x:v>
      </x:c>
      <x:c r="O183" s="18" t="n">
        <x:f>SUM(E183:H183)-I183</x:f>
        <x:v>0</x:v>
      </x:c>
      <x:c r="P183" s="18" t="n">
        <x:f>RANK(I183,$I$7:$I$212,0)+COUNTIF($I$7:I183,I183)-1</x:f>
        <x:v>177</x:v>
      </x:c>
      <x:c r="Q183" s="10" t="str">
        <x:v>The College of Health Ltd</x:v>
      </x:c>
    </x:row>
    <x:row r="184" ht="46" customHeight="1">
      <x:c r="A184" s="10" t="str">
        <x:v>10067648</x:v>
      </x:c>
      <x:c r="B184" s="11" t="str">
        <x:v>University Academy 92 Limited</x:v>
      </x:c>
      <x:c r="C184" s="10" t="str">
        <x:v>Other HE provider</x:v>
      </x:c>
      <x:c r="D184" s="10" t="str">
        <x:v>2024/25</x:v>
      </x:c>
      <x:c r="E184" s="18" t="n">
        <x:v>7</x:v>
      </x:c>
      <x:c r="F184" s="18" t="n">
        <x:v>5</x:v>
      </x:c>
      <x:c r="G184" s="18" t="n">
        <x:v>0</x:v>
      </x:c>
      <x:c r="H184" s="18" t="n">
        <x:v>0</x:v>
      </x:c>
      <x:c r="I184" s="18" t="n">
        <x:v>12</x:v>
      </x:c>
      <x:c r="J184" s="18" t="n">
        <x:v>101</x:v>
      </x:c>
      <x:c r="K184" s="19" t="n">
        <x:f>I184/1000</x:f>
        <x:v>0.012</x:v>
      </x:c>
      <x:c r="L184" s="19" t="n">
        <x:f>SUM(E184:G184)/1000</x:f>
        <x:v>0.012</x:v>
      </x:c>
      <x:c r="M184" s="20" t="n">
        <x:f>IF(I184=0,"n.a.",H184/I184)</x:f>
        <x:v>0</x:v>
      </x:c>
      <x:c r="N184" s="18" t="n">
        <x:f>IF(J184=0,"n.a.",I184*1000/J184)</x:f>
        <x:v>118.81188118811882</x:v>
      </x:c>
      <x:c r="O184" s="18" t="n">
        <x:f>SUM(E184:H184)-I184</x:f>
        <x:v>0</x:v>
      </x:c>
      <x:c r="P184" s="18" t="n">
        <x:f>RANK(I184,$I$7:$I$212,0)+COUNTIF($I$7:I184,I184)-1</x:f>
        <x:v>178</x:v>
      </x:c>
      <x:c r="Q184" s="10" t="str">
        <x:v>University Academy 92 Limited</x:v>
      </x:c>
    </x:row>
    <x:row r="185" ht="46" customHeight="1">
      <x:c r="A185" s="10" t="str">
        <x:v>10001386</x:v>
      </x:c>
      <x:c r="B185" s="11" t="str">
        <x:v>Chicken Shed Theatre Company</x:v>
      </x:c>
      <x:c r="C185" s="10" t="str">
        <x:v>Other HE provider</x:v>
      </x:c>
      <x:c r="D185" s="10" t="str">
        <x:v>2024/25</x:v>
      </x:c>
      <x:c r="E185" s="18" t="n">
        <x:v>7</x:v>
      </x:c>
      <x:c r="F185" s="18" t="n">
        <x:v>0</x:v>
      </x:c>
      <x:c r="G185" s="18" t="n">
        <x:v>0</x:v>
      </x:c>
      <x:c r="H185" s="18" t="n">
        <x:v>0</x:v>
      </x:c>
      <x:c r="I185" s="18" t="n">
        <x:v>7</x:v>
      </x:c>
      <x:c r="J185" s="18" t="n">
        <x:v>37</x:v>
      </x:c>
      <x:c r="K185" s="19" t="n">
        <x:f>I185/1000</x:f>
        <x:v>0.007</x:v>
      </x:c>
      <x:c r="L185" s="19" t="n">
        <x:f>SUM(E185:G185)/1000</x:f>
        <x:v>0.007</x:v>
      </x:c>
      <x:c r="M185" s="20" t="n">
        <x:f>IF(I185=0,"n.a.",H185/I185)</x:f>
        <x:v>0</x:v>
      </x:c>
      <x:c r="N185" s="18" t="n">
        <x:f>IF(J185=0,"n.a.",I185*1000/J185)</x:f>
        <x:v>189.1891891891892</x:v>
      </x:c>
      <x:c r="O185" s="18" t="n">
        <x:f>SUM(E185:H185)-I185</x:f>
        <x:v>0</x:v>
      </x:c>
      <x:c r="P185" s="18" t="n">
        <x:f>RANK(I185,$I$7:$I$212,0)+COUNTIF($I$7:I185,I185)-1</x:f>
        <x:v>179</x:v>
      </x:c>
      <x:c r="Q185" s="10" t="str">
        <x:v>Chicken Shed Theatre Company</x:v>
      </x:c>
    </x:row>
    <x:row r="186" ht="46" customHeight="1">
      <x:c r="A186" s="10" t="str">
        <x:v>10007361</x:v>
      </x:c>
      <x:c r="B186" s="11" t="str">
        <x:v>Waverley Abbey College</x:v>
      </x:c>
      <x:c r="C186" s="10" t="str">
        <x:v>Other HE provider</x:v>
      </x:c>
      <x:c r="D186" s="10" t="str">
        <x:v>2024/25</x:v>
      </x:c>
      <x:c r="E186" s="18" t="n">
        <x:v>0</x:v>
      </x:c>
      <x:c r="F186" s="18" t="n">
        <x:v>0</x:v>
      </x:c>
      <x:c r="G186" s="18" t="n">
        <x:v>0</x:v>
      </x:c>
      <x:c r="H186" s="18" t="n">
        <x:v>7</x:v>
      </x:c>
      <x:c r="I186" s="18" t="n">
        <x:v>7</x:v>
      </x:c>
      <x:c r="J186" s="18" t="n">
        <x:v>57</x:v>
      </x:c>
      <x:c r="K186" s="19" t="n">
        <x:f>I186/1000</x:f>
        <x:v>0.007</x:v>
      </x:c>
      <x:c r="L186" s="19" t="n">
        <x:f>SUM(E186:G186)/1000</x:f>
        <x:v>0</x:v>
      </x:c>
      <x:c r="M186" s="20" t="n">
        <x:f>IF(I186=0,"n.a.",H186/I186)</x:f>
        <x:v>1</x:v>
      </x:c>
      <x:c r="N186" s="18" t="n">
        <x:f>IF(J186=0,"n.a.",I186*1000/J186)</x:f>
        <x:v>122.80701754385964</x:v>
      </x:c>
      <x:c r="O186" s="18" t="n">
        <x:f>SUM(E186:H186)-I186</x:f>
        <x:v>0</x:v>
      </x:c>
      <x:c r="P186" s="18" t="n">
        <x:f>RANK(I186,$I$7:$I$212,0)+COUNTIF($I$7:I186,I186)-1</x:f>
        <x:v>180</x:v>
      </x:c>
      <x:c r="Q186" s="10" t="str">
        <x:v>Waverley Abbey College</x:v>
      </x:c>
    </x:row>
    <x:row r="187" ht="46" customHeight="1">
      <x:c r="A187" s="10" t="str">
        <x:v>10005127</x:v>
      </x:c>
      <x:c r="B187" s="11" t="str">
        <x:v>Arts University Plymouth</x:v>
      </x:c>
      <x:c r="C187" s="10" t="str">
        <x:v>Other HE provider</x:v>
      </x:c>
      <x:c r="D187" s="10" t="str">
        <x:v>2024/25</x:v>
      </x:c>
      <x:c r="E187" s="18" t="n">
        <x:v>4</x:v>
      </x:c>
      <x:c r="F187" s="18" t="n">
        <x:v>1</x:v>
      </x:c>
      <x:c r="G187" s="18" t="n">
        <x:v>0</x:v>
      </x:c>
      <x:c r="H187" s="18" t="n">
        <x:v>0</x:v>
      </x:c>
      <x:c r="I187" s="18" t="n">
        <x:v>5</x:v>
      </x:c>
      <x:c r="J187" s="18" t="n">
        <x:v>24</x:v>
      </x:c>
      <x:c r="K187" s="19" t="n">
        <x:f>I187/1000</x:f>
        <x:v>0.005</x:v>
      </x:c>
      <x:c r="L187" s="19" t="n">
        <x:f>SUM(E187:G187)/1000</x:f>
        <x:v>0.005</x:v>
      </x:c>
      <x:c r="M187" s="20" t="n">
        <x:f>IF(I187=0,"n.a.",H187/I187)</x:f>
        <x:v>0</x:v>
      </x:c>
      <x:c r="N187" s="18" t="n">
        <x:f>IF(J187=0,"n.a.",I187*1000/J187)</x:f>
        <x:v>208.33333333333334</x:v>
      </x:c>
      <x:c r="O187" s="18" t="n">
        <x:f>SUM(E187:H187)-I187</x:f>
        <x:v>0</x:v>
      </x:c>
      <x:c r="P187" s="18" t="n">
        <x:f>RANK(I187,$I$7:$I$212,0)+COUNTIF($I$7:I187,I187)-1</x:f>
        <x:v>181</x:v>
      </x:c>
      <x:c r="Q187" s="10" t="str">
        <x:v>Arts University Plymouth</x:v>
      </x:c>
    </x:row>
    <x:row r="188" ht="46" customHeight="1">
      <x:c r="A188" s="10" t="str">
        <x:v>10004320</x:v>
      </x:c>
      <x:c r="B188" s="11" t="str">
        <x:v>The Metanoia Institute</x:v>
      </x:c>
      <x:c r="C188" s="10" t="str">
        <x:v>Other HE provider</x:v>
      </x:c>
      <x:c r="D188" s="10" t="str">
        <x:v>2024/25</x:v>
      </x:c>
      <x:c r="E188" s="18" t="n">
        <x:v>0</x:v>
      </x:c>
      <x:c r="F188" s="18" t="n">
        <x:v>0</x:v>
      </x:c>
      <x:c r="G188" s="18" t="n">
        <x:v>0</x:v>
      </x:c>
      <x:c r="H188" s="18" t="n">
        <x:v>5</x:v>
      </x:c>
      <x:c r="I188" s="18" t="n">
        <x:v>5</x:v>
      </x:c>
      <x:c r="J188" s="18" t="n">
        <x:v>7</x:v>
      </x:c>
      <x:c r="K188" s="19" t="n">
        <x:f>I188/1000</x:f>
        <x:v>0.005</x:v>
      </x:c>
      <x:c r="L188" s="19" t="n">
        <x:f>SUM(E188:G188)/1000</x:f>
        <x:v>0</x:v>
      </x:c>
      <x:c r="M188" s="20" t="n">
        <x:f>IF(I188=0,"n.a.",H188/I188)</x:f>
        <x:v>1</x:v>
      </x:c>
      <x:c r="N188" s="18" t="n">
        <x:f>IF(J188=0,"n.a.",I188*1000/J188)</x:f>
        <x:v>714.2857142857143</x:v>
      </x:c>
      <x:c r="O188" s="18" t="n">
        <x:f>SUM(E188:H188)-I188</x:f>
        <x:v>0</x:v>
      </x:c>
      <x:c r="P188" s="18" t="n">
        <x:f>RANK(I188,$I$7:$I$212,0)+COUNTIF($I$7:I188,I188)-1</x:f>
        <x:v>182</x:v>
      </x:c>
      <x:c r="Q188" s="10" t="str">
        <x:v>The Metanoia Institute</x:v>
      </x:c>
    </x:row>
    <x:row r="189" ht="46" customHeight="1">
      <x:c r="A189" s="10" t="str">
        <x:v>10003945</x:v>
      </x:c>
      <x:c r="B189" s="11" t="str">
        <x:v>The Liverpool Institute for Performing Arts</x:v>
      </x:c>
      <x:c r="C189" s="10" t="str">
        <x:v>Other HE provider</x:v>
      </x:c>
      <x:c r="D189" s="10" t="str">
        <x:v>2024/25</x:v>
      </x:c>
      <x:c r="E189" s="18" t="n">
        <x:v>0</x:v>
      </x:c>
      <x:c r="F189" s="18" t="n">
        <x:v>0</x:v>
      </x:c>
      <x:c r="G189" s="18" t="n">
        <x:v>4</x:v>
      </x:c>
      <x:c r="H189" s="18" t="n">
        <x:v>0</x:v>
      </x:c>
      <x:c r="I189" s="18" t="n">
        <x:v>4</x:v>
      </x:c>
      <x:c r="J189" s="18" t="n">
        <x:v>0</x:v>
      </x:c>
      <x:c r="K189" s="19" t="n">
        <x:f>I189/1000</x:f>
        <x:v>0.004</x:v>
      </x:c>
      <x:c r="L189" s="19" t="n">
        <x:f>SUM(E189:G189)/1000</x:f>
        <x:v>0.004</x:v>
      </x:c>
      <x:c r="M189" s="20" t="n">
        <x:f>IF(I189=0,"n.a.",H189/I189)</x:f>
        <x:v>0</x:v>
      </x:c>
      <x:c r="N189" s="18" t="str">
        <x:f>IF(J189=0,"n.a.",I189*1000/J189)</x:f>
        <x:v>n.a.</x:v>
      </x:c>
      <x:c r="O189" s="18" t="n">
        <x:f>SUM(E189:H189)-I189</x:f>
        <x:v>0</x:v>
      </x:c>
      <x:c r="P189" s="18" t="n">
        <x:f>RANK(I189,$I$7:$I$212,0)+COUNTIF($I$7:I189,I189)-1</x:f>
        <x:v>183</x:v>
      </x:c>
      <x:c r="Q189" s="10" t="str">
        <x:v>The Liverpool Institute for Performing Arts</x:v>
      </x:c>
    </x:row>
    <x:row r="190" ht="46" customHeight="1">
      <x:c r="A190" s="10" t="str">
        <x:v>10067853</x:v>
      </x:c>
      <x:c r="B190" s="11" t="str">
        <x:v>ACM Guildford Limited</x:v>
      </x:c>
      <x:c r="C190" s="10" t="str">
        <x:v>Other HE provider</x:v>
      </x:c>
      <x:c r="D190" s="10" t="str">
        <x:v>2024/25</x:v>
      </x:c>
      <x:c r="E190" s="18" t="n">
        <x:v>0</x:v>
      </x:c>
      <x:c r="F190" s="18" t="n">
        <x:v>0</x:v>
      </x:c>
      <x:c r="G190" s="18" t="n">
        <x:v>0</x:v>
      </x:c>
      <x:c r="H190" s="18" t="n">
        <x:v>2</x:v>
      </x:c>
      <x:c r="I190" s="18" t="n">
        <x:v>2</x:v>
      </x:c>
      <x:c r="J190" s="18" t="n">
        <x:v>10</x:v>
      </x:c>
      <x:c r="K190" s="19" t="n">
        <x:f>I190/1000</x:f>
        <x:v>0.002</x:v>
      </x:c>
      <x:c r="L190" s="19" t="n">
        <x:f>SUM(E190:G190)/1000</x:f>
        <x:v>0</x:v>
      </x:c>
      <x:c r="M190" s="20" t="n">
        <x:f>IF(I190=0,"n.a.",H190/I190)</x:f>
        <x:v>1</x:v>
      </x:c>
      <x:c r="N190" s="18" t="n">
        <x:f>IF(J190=0,"n.a.",I190*1000/J190)</x:f>
        <x:v>200</x:v>
      </x:c>
      <x:c r="O190" s="18" t="n">
        <x:f>SUM(E190:H190)-I190</x:f>
        <x:v>0</x:v>
      </x:c>
      <x:c r="P190" s="18" t="n">
        <x:f>RANK(I190,$I$7:$I$212,0)+COUNTIF($I$7:I190,I190)-1</x:f>
        <x:v>184</x:v>
      </x:c>
      <x:c r="Q190" s="10" t="str">
        <x:v>ACM Guildford Limited</x:v>
      </x:c>
    </x:row>
    <x:row r="191" ht="46" customHeight="1">
      <x:c r="A191" s="10" t="str">
        <x:v>10004538</x:v>
      </x:c>
      <x:c r="B191" s="11" t="str">
        <x:v>Nazarene Theological College</x:v>
      </x:c>
      <x:c r="C191" s="10" t="str">
        <x:v>Other HE provider</x:v>
      </x:c>
      <x:c r="D191" s="10" t="str">
        <x:v>2024/25</x:v>
      </x:c>
      <x:c r="E191" s="18" t="n">
        <x:v>0</x:v>
      </x:c>
      <x:c r="F191" s="18" t="n">
        <x:v>0</x:v>
      </x:c>
      <x:c r="G191" s="18" t="n">
        <x:v>1</x:v>
      </x:c>
      <x:c r="H191" s="18" t="n">
        <x:v>1</x:v>
      </x:c>
      <x:c r="I191" s="18" t="n">
        <x:v>2</x:v>
      </x:c>
      <x:c r="J191" s="18" t="n">
        <x:v>15</x:v>
      </x:c>
      <x:c r="K191" s="19" t="n">
        <x:f>I191/1000</x:f>
        <x:v>0.002</x:v>
      </x:c>
      <x:c r="L191" s="19" t="n">
        <x:f>SUM(E191:G191)/1000</x:f>
        <x:v>0.001</x:v>
      </x:c>
      <x:c r="M191" s="20" t="n">
        <x:f>IF(I191=0,"n.a.",H191/I191)</x:f>
        <x:v>0.5</x:v>
      </x:c>
      <x:c r="N191" s="18" t="n">
        <x:f>IF(J191=0,"n.a.",I191*1000/J191)</x:f>
        <x:v>133.33333333333334</x:v>
      </x:c>
      <x:c r="O191" s="18" t="n">
        <x:f>SUM(E191:H191)-I191</x:f>
        <x:v>0</x:v>
      </x:c>
      <x:c r="P191" s="18" t="n">
        <x:f>RANK(I191,$I$7:$I$212,0)+COUNTIF($I$7:I191,I191)-1</x:f>
        <x:v>185</x:v>
      </x:c>
      <x:c r="Q191" s="10" t="str">
        <x:v>Nazarene Theological College</x:v>
      </x:c>
    </x:row>
    <x:row r="192" ht="46" customHeight="1">
      <x:c r="A192" s="10" t="str">
        <x:v>10032036</x:v>
      </x:c>
      <x:c r="B192" s="11" t="str">
        <x:v>Amity University [IN] London</x:v>
      </x:c>
      <x:c r="C192" s="10" t="str">
        <x:v>Other HE provider</x:v>
      </x:c>
      <x:c r="D192" s="10" t="str">
        <x:v>2024/25</x:v>
      </x:c>
      <x:c r="E192" s="18" t="n">
        <x:v>0</x:v>
      </x:c>
      <x:c r="F192" s="18" t="n">
        <x:v>0</x:v>
      </x:c>
      <x:c r="G192" s="18" t="n">
        <x:v>0</x:v>
      </x:c>
      <x:c r="H192" s="18" t="n">
        <x:v>0</x:v>
      </x:c>
      <x:c r="I192" s="18" t="n">
        <x:v>0</x:v>
      </x:c>
      <x:c r="J192" s="18" t="n">
        <x:v>0</x:v>
      </x:c>
      <x:c r="K192" s="19" t="n">
        <x:f>I192/1000</x:f>
        <x:v>0</x:v>
      </x:c>
      <x:c r="L192" s="19" t="n">
        <x:f>SUM(E192:G192)/1000</x:f>
        <x:v>0</x:v>
      </x:c>
      <x:c r="M192" s="20" t="str">
        <x:f>IF(I192=0,"n.a.",H192/I192)</x:f>
        <x:v>n.a.</x:v>
      </x:c>
      <x:c r="N192" s="18" t="str">
        <x:f>IF(J192=0,"n.a.",I192*1000/J192)</x:f>
        <x:v>n.a.</x:v>
      </x:c>
      <x:c r="O192" s="18" t="n">
        <x:f>SUM(E192:H192)-I192</x:f>
        <x:v>0</x:v>
      </x:c>
      <x:c r="P192" s="18" t="n">
        <x:f>RANK(I192,$I$7:$I$212,0)+COUNTIF($I$7:I192,I192)-1</x:f>
        <x:v>186</x:v>
      </x:c>
      <x:c r="Q192" s="10" t="str">
        <x:v>Amity University [IN] London</x:v>
      </x:c>
    </x:row>
    <x:row r="193" ht="46" customHeight="1">
      <x:c r="A193" s="10" t="str">
        <x:v>10004061</x:v>
      </x:c>
      <x:c r="B193" s="11" t="str">
        <x:v>Bloomsbury Institute</x:v>
      </x:c>
      <x:c r="C193" s="10" t="str">
        <x:v>Other HE provider</x:v>
      </x:c>
      <x:c r="D193" s="10" t="str">
        <x:v>2024/25</x:v>
      </x:c>
      <x:c r="E193" s="18" t="n">
        <x:v>0</x:v>
      </x:c>
      <x:c r="F193" s="18" t="n">
        <x:v>0</x:v>
      </x:c>
      <x:c r="G193" s="18" t="n">
        <x:v>0</x:v>
      </x:c>
      <x:c r="H193" s="18" t="n">
        <x:v>0</x:v>
      </x:c>
      <x:c r="I193" s="18" t="n">
        <x:v>0</x:v>
      </x:c>
      <x:c r="J193" s="18" t="n">
        <x:v>0</x:v>
      </x:c>
      <x:c r="K193" s="19" t="n">
        <x:f>I193/1000</x:f>
        <x:v>0</x:v>
      </x:c>
      <x:c r="L193" s="19" t="n">
        <x:f>SUM(E193:G193)/1000</x:f>
        <x:v>0</x:v>
      </x:c>
      <x:c r="M193" s="20" t="str">
        <x:f>IF(I193=0,"n.a.",H193/I193)</x:f>
        <x:v>n.a.</x:v>
      </x:c>
      <x:c r="N193" s="18" t="str">
        <x:f>IF(J193=0,"n.a.",I193*1000/J193)</x:f>
        <x:v>n.a.</x:v>
      </x:c>
      <x:c r="O193" s="18" t="n">
        <x:f>SUM(E193:H193)-I193</x:f>
        <x:v>0</x:v>
      </x:c>
      <x:c r="P193" s="18" t="n">
        <x:f>RANK(I193,$I$7:$I$212,0)+COUNTIF($I$7:I193,I193)-1</x:f>
        <x:v>187</x:v>
      </x:c>
      <x:c r="Q193" s="10" t="str">
        <x:v>Bloomsbury Institute</x:v>
      </x:c>
    </x:row>
    <x:row r="194" ht="46" customHeight="1">
      <x:c r="A194" s="10" t="str">
        <x:v>10038772</x:v>
      </x:c>
      <x:c r="B194" s="11" t="str">
        <x:v>British Academy of Jewellery Limited</x:v>
      </x:c>
      <x:c r="C194" s="10" t="str">
        <x:v>Other HE provider</x:v>
      </x:c>
      <x:c r="D194" s="10" t="str">
        <x:v>2024/25</x:v>
      </x:c>
      <x:c r="E194" s="18" t="n">
        <x:v>0</x:v>
      </x:c>
      <x:c r="F194" s="18" t="n">
        <x:v>0</x:v>
      </x:c>
      <x:c r="G194" s="18" t="n">
        <x:v>0</x:v>
      </x:c>
      <x:c r="H194" s="18" t="n">
        <x:v>0</x:v>
      </x:c>
      <x:c r="I194" s="18" t="n">
        <x:v>0</x:v>
      </x:c>
      <x:c r="J194" s="18" t="n">
        <x:v>0</x:v>
      </x:c>
      <x:c r="K194" s="19" t="n">
        <x:f>I194/1000</x:f>
        <x:v>0</x:v>
      </x:c>
      <x:c r="L194" s="19" t="n">
        <x:f>SUM(E194:G194)/1000</x:f>
        <x:v>0</x:v>
      </x:c>
      <x:c r="M194" s="20" t="str">
        <x:f>IF(I194=0,"n.a.",H194/I194)</x:f>
        <x:v>n.a.</x:v>
      </x:c>
      <x:c r="N194" s="18" t="str">
        <x:f>IF(J194=0,"n.a.",I194*1000/J194)</x:f>
        <x:v>n.a.</x:v>
      </x:c>
      <x:c r="O194" s="18" t="n">
        <x:f>SUM(E194:H194)-I194</x:f>
        <x:v>0</x:v>
      </x:c>
      <x:c r="P194" s="18" t="n">
        <x:f>RANK(I194,$I$7:$I$212,0)+COUNTIF($I$7:I194,I194)-1</x:f>
        <x:v>188</x:v>
      </x:c>
      <x:c r="Q194" s="10" t="str">
        <x:v>British Academy of Jewellery Limited</x:v>
      </x:c>
    </x:row>
    <x:row r="195" ht="46" customHeight="1">
      <x:c r="A195" s="10" t="str">
        <x:v>10024024</x:v>
      </x:c>
      <x:c r="B195" s="11" t="str">
        <x:v>Central Film School</x:v>
      </x:c>
      <x:c r="C195" s="10" t="str">
        <x:v>Other HE provider</x:v>
      </x:c>
      <x:c r="D195" s="10" t="str">
        <x:v>2024/25</x:v>
      </x:c>
      <x:c r="E195" s="18" t="n">
        <x:v>0</x:v>
      </x:c>
      <x:c r="F195" s="18" t="n">
        <x:v>0</x:v>
      </x:c>
      <x:c r="G195" s="18" t="n">
        <x:v>0</x:v>
      </x:c>
      <x:c r="H195" s="18" t="n">
        <x:v>0</x:v>
      </x:c>
      <x:c r="I195" s="18" t="n">
        <x:v>0</x:v>
      </x:c>
      <x:c r="J195" s="18" t="n">
        <x:v>0</x:v>
      </x:c>
      <x:c r="K195" s="19" t="n">
        <x:f>I195/1000</x:f>
        <x:v>0</x:v>
      </x:c>
      <x:c r="L195" s="19" t="n">
        <x:f>SUM(E195:G195)/1000</x:f>
        <x:v>0</x:v>
      </x:c>
      <x:c r="M195" s="20" t="str">
        <x:f>IF(I195=0,"n.a.",H195/I195)</x:f>
        <x:v>n.a.</x:v>
      </x:c>
      <x:c r="N195" s="18" t="str">
        <x:f>IF(J195=0,"n.a.",I195*1000/J195)</x:f>
        <x:v>n.a.</x:v>
      </x:c>
      <x:c r="O195" s="18" t="n">
        <x:f>SUM(E195:H195)-I195</x:f>
        <x:v>0</x:v>
      </x:c>
      <x:c r="P195" s="18" t="n">
        <x:f>RANK(I195,$I$7:$I$212,0)+COUNTIF($I$7:I195,I195)-1</x:f>
        <x:v>189</x:v>
      </x:c>
      <x:c r="Q195" s="10" t="str">
        <x:v>Central Film School</x:v>
      </x:c>
    </x:row>
    <x:row r="196" ht="46" customHeight="1">
      <x:c r="A196" s="10" t="str">
        <x:v>10091065</x:v>
      </x:c>
      <x:c r="B196" s="11" t="str">
        <x:v>Collective Acting Studio</x:v>
      </x:c>
      <x:c r="C196" s="10" t="str">
        <x:v>Other HE provider</x:v>
      </x:c>
      <x:c r="D196" s="10" t="str">
        <x:v>2024/25</x:v>
      </x:c>
      <x:c r="E196" s="18" t="n">
        <x:v>0</x:v>
      </x:c>
      <x:c r="F196" s="18" t="n">
        <x:v>0</x:v>
      </x:c>
      <x:c r="G196" s="18" t="n">
        <x:v>0</x:v>
      </x:c>
      <x:c r="H196" s="18" t="n">
        <x:v>0</x:v>
      </x:c>
      <x:c r="I196" s="18" t="n">
        <x:v>0</x:v>
      </x:c>
      <x:c r="J196" s="18" t="n">
        <x:v>0</x:v>
      </x:c>
      <x:c r="K196" s="19" t="n">
        <x:f>I196/1000</x:f>
        <x:v>0</x:v>
      </x:c>
      <x:c r="L196" s="19" t="n">
        <x:f>SUM(E196:G196)/1000</x:f>
        <x:v>0</x:v>
      </x:c>
      <x:c r="M196" s="20" t="str">
        <x:f>IF(I196=0,"n.a.",H196/I196)</x:f>
        <x:v>n.a.</x:v>
      </x:c>
      <x:c r="N196" s="18" t="str">
        <x:f>IF(J196=0,"n.a.",I196*1000/J196)</x:f>
        <x:v>n.a.</x:v>
      </x:c>
      <x:c r="O196" s="18" t="n">
        <x:f>SUM(E196:H196)-I196</x:f>
        <x:v>0</x:v>
      </x:c>
      <x:c r="P196" s="18" t="n">
        <x:f>RANK(I196,$I$7:$I$212,0)+COUNTIF($I$7:I196,I196)-1</x:f>
        <x:v>190</x:v>
      </x:c>
      <x:c r="Q196" s="10" t="str">
        <x:v>Collective Acting Studio</x:v>
      </x:c>
    </x:row>
    <x:row r="197" ht="46" customHeight="1">
      <x:c r="A197" s="10" t="str">
        <x:v>10034324</x:v>
      </x:c>
      <x:c r="B197" s="11" t="str">
        <x:v>Court Theatre Training Company Ltd</x:v>
      </x:c>
      <x:c r="C197" s="10" t="str">
        <x:v>Other HE provider</x:v>
      </x:c>
      <x:c r="D197" s="10" t="str">
        <x:v>2024/25</x:v>
      </x:c>
      <x:c r="E197" s="18" t="n">
        <x:v>0</x:v>
      </x:c>
      <x:c r="F197" s="18" t="n">
        <x:v>0</x:v>
      </x:c>
      <x:c r="G197" s="18" t="n">
        <x:v>0</x:v>
      </x:c>
      <x:c r="H197" s="18" t="n">
        <x:v>0</x:v>
      </x:c>
      <x:c r="I197" s="18" t="n">
        <x:v>0</x:v>
      </x:c>
      <x:c r="J197" s="18" t="n">
        <x:v>0</x:v>
      </x:c>
      <x:c r="K197" s="19" t="n">
        <x:f>I197/1000</x:f>
        <x:v>0</x:v>
      </x:c>
      <x:c r="L197" s="19" t="n">
        <x:f>SUM(E197:G197)/1000</x:f>
        <x:v>0</x:v>
      </x:c>
      <x:c r="M197" s="20" t="str">
        <x:f>IF(I197=0,"n.a.",H197/I197)</x:f>
        <x:v>n.a.</x:v>
      </x:c>
      <x:c r="N197" s="18" t="str">
        <x:f>IF(J197=0,"n.a.",I197*1000/J197)</x:f>
        <x:v>n.a.</x:v>
      </x:c>
      <x:c r="O197" s="18" t="n">
        <x:f>SUM(E197:H197)-I197</x:f>
        <x:v>0</x:v>
      </x:c>
      <x:c r="P197" s="18" t="n">
        <x:f>RANK(I197,$I$7:$I$212,0)+COUNTIF($I$7:I197,I197)-1</x:f>
        <x:v>191</x:v>
      </x:c>
      <x:c r="Q197" s="10" t="str">
        <x:v>Court Theatre Training Company Ltd</x:v>
      </x:c>
    </x:row>
    <x:row r="198" ht="46" customHeight="1">
      <x:c r="A198" s="10" t="str">
        <x:v>10015688</x:v>
      </x:c>
      <x:c r="B198" s="11" t="str">
        <x:v>David Game College Ltd</x:v>
      </x:c>
      <x:c r="C198" s="10" t="str">
        <x:v>Other HE provider</x:v>
      </x:c>
      <x:c r="D198" s="10" t="str">
        <x:v>2024/25</x:v>
      </x:c>
      <x:c r="E198" s="18" t="n">
        <x:v>0</x:v>
      </x:c>
      <x:c r="F198" s="18" t="n">
        <x:v>0</x:v>
      </x:c>
      <x:c r="G198" s="18" t="n">
        <x:v>0</x:v>
      </x:c>
      <x:c r="H198" s="18" t="n">
        <x:v>0</x:v>
      </x:c>
      <x:c r="I198" s="18" t="n">
        <x:v>0</x:v>
      </x:c>
      <x:c r="J198" s="18" t="n">
        <x:v>0</x:v>
      </x:c>
      <x:c r="K198" s="19" t="n">
        <x:f>I198/1000</x:f>
        <x:v>0</x:v>
      </x:c>
      <x:c r="L198" s="19" t="n">
        <x:f>SUM(E198:G198)/1000</x:f>
        <x:v>0</x:v>
      </x:c>
      <x:c r="M198" s="20" t="str">
        <x:f>IF(I198=0,"n.a.",H198/I198)</x:f>
        <x:v>n.a.</x:v>
      </x:c>
      <x:c r="N198" s="18" t="str">
        <x:f>IF(J198=0,"n.a.",I198*1000/J198)</x:f>
        <x:v>n.a.</x:v>
      </x:c>
      <x:c r="O198" s="18" t="n">
        <x:f>SUM(E198:H198)-I198</x:f>
        <x:v>0</x:v>
      </x:c>
      <x:c r="P198" s="18" t="n">
        <x:f>RANK(I198,$I$7:$I$212,0)+COUNTIF($I$7:I198,I198)-1</x:f>
        <x:v>192</x:v>
      </x:c>
      <x:c r="Q198" s="10" t="str">
        <x:v>David Game College Ltd</x:v>
      </x:c>
    </x:row>
    <x:row r="199" ht="46" customHeight="1">
      <x:c r="A199" s="10" t="str">
        <x:v>10089771</x:v>
      </x:c>
      <x:c r="B199" s="11" t="str">
        <x:v>Engineering College of Technology Limited</x:v>
      </x:c>
      <x:c r="C199" s="10" t="str">
        <x:v>Other HE provider</x:v>
      </x:c>
      <x:c r="D199" s="10" t="str">
        <x:v>2024/25</x:v>
      </x:c>
      <x:c r="E199" s="18" t="n">
        <x:v>0</x:v>
      </x:c>
      <x:c r="F199" s="18" t="n">
        <x:v>0</x:v>
      </x:c>
      <x:c r="G199" s="18" t="n">
        <x:v>0</x:v>
      </x:c>
      <x:c r="H199" s="18" t="n">
        <x:v>0</x:v>
      </x:c>
      <x:c r="I199" s="18" t="n">
        <x:v>0</x:v>
      </x:c>
      <x:c r="J199" s="18" t="n">
        <x:v>0</x:v>
      </x:c>
      <x:c r="K199" s="19" t="n">
        <x:f>I199/1000</x:f>
        <x:v>0</x:v>
      </x:c>
      <x:c r="L199" s="19" t="n">
        <x:f>SUM(E199:G199)/1000</x:f>
        <x:v>0</x:v>
      </x:c>
      <x:c r="M199" s="20" t="str">
        <x:f>IF(I199=0,"n.a.",H199/I199)</x:f>
        <x:v>n.a.</x:v>
      </x:c>
      <x:c r="N199" s="18" t="str">
        <x:f>IF(J199=0,"n.a.",I199*1000/J199)</x:f>
        <x:v>n.a.</x:v>
      </x:c>
      <x:c r="O199" s="18" t="n">
        <x:f>SUM(E199:H199)-I199</x:f>
        <x:v>0</x:v>
      </x:c>
      <x:c r="P199" s="18" t="n">
        <x:f>RANK(I199,$I$7:$I$212,0)+COUNTIF($I$7:I199,I199)-1</x:f>
        <x:v>193</x:v>
      </x:c>
      <x:c r="Q199" s="10" t="str">
        <x:v>Engineering College of Technology Limited</x:v>
      </x:c>
    </x:row>
    <x:row r="200" ht="46" customHeight="1">
      <x:c r="A200" s="10" t="str">
        <x:v>10022087</x:v>
      </x:c>
      <x:c r="B200" s="11" t="str">
        <x:v>Futureworks</x:v>
      </x:c>
      <x:c r="C200" s="10" t="str">
        <x:v>Other HE provider</x:v>
      </x:c>
      <x:c r="D200" s="10" t="str">
        <x:v>2024/25</x:v>
      </x:c>
      <x:c r="E200" s="18" t="n">
        <x:v>0</x:v>
      </x:c>
      <x:c r="F200" s="18" t="n">
        <x:v>0</x:v>
      </x:c>
      <x:c r="G200" s="18" t="n">
        <x:v>0</x:v>
      </x:c>
      <x:c r="H200" s="18" t="n">
        <x:v>0</x:v>
      </x:c>
      <x:c r="I200" s="18" t="n">
        <x:v>0</x:v>
      </x:c>
      <x:c r="J200" s="18" t="n">
        <x:v>0</x:v>
      </x:c>
      <x:c r="K200" s="19" t="n">
        <x:f>I200/1000</x:f>
        <x:v>0</x:v>
      </x:c>
      <x:c r="L200" s="19" t="n">
        <x:f>SUM(E200:G200)/1000</x:f>
        <x:v>0</x:v>
      </x:c>
      <x:c r="M200" s="20" t="str">
        <x:f>IF(I200=0,"n.a.",H200/I200)</x:f>
        <x:v>n.a.</x:v>
      </x:c>
      <x:c r="N200" s="18" t="str">
        <x:f>IF(J200=0,"n.a.",I200*1000/J200)</x:f>
        <x:v>n.a.</x:v>
      </x:c>
      <x:c r="O200" s="18" t="n">
        <x:f>SUM(E200:H200)-I200</x:f>
        <x:v>0</x:v>
      </x:c>
      <x:c r="P200" s="18" t="n">
        <x:f>RANK(I200,$I$7:$I$212,0)+COUNTIF($I$7:I200,I200)-1</x:f>
        <x:v>194</x:v>
      </x:c>
      <x:c r="Q200" s="10" t="str">
        <x:v>Futureworks</x:v>
      </x:c>
    </x:row>
    <x:row r="201" ht="46" customHeight="1">
      <x:c r="A201" s="10" t="str">
        <x:v>10003854</x:v>
      </x:c>
      <x:c r="B201" s="11" t="str">
        <x:v>Leeds Arts University</x:v>
      </x:c>
      <x:c r="C201" s="10" t="str">
        <x:v>Other HE provider</x:v>
      </x:c>
      <x:c r="D201" s="10" t="str">
        <x:v>2024/25</x:v>
      </x:c>
      <x:c r="E201" s="18" t="n">
        <x:v>0</x:v>
      </x:c>
      <x:c r="F201" s="18" t="n">
        <x:v>0</x:v>
      </x:c>
      <x:c r="G201" s="18" t="n">
        <x:v>0</x:v>
      </x:c>
      <x:c r="H201" s="18" t="n">
        <x:v>0</x:v>
      </x:c>
      <x:c r="I201" s="18" t="n">
        <x:v>0</x:v>
      </x:c>
      <x:c r="J201" s="18" t="n">
        <x:v>0</x:v>
      </x:c>
      <x:c r="K201" s="19" t="n">
        <x:f>I201/1000</x:f>
        <x:v>0</x:v>
      </x:c>
      <x:c r="L201" s="19" t="n">
        <x:f>SUM(E201:G201)/1000</x:f>
        <x:v>0</x:v>
      </x:c>
      <x:c r="M201" s="20" t="str">
        <x:f>IF(I201=0,"n.a.",H201/I201)</x:f>
        <x:v>n.a.</x:v>
      </x:c>
      <x:c r="N201" s="18" t="str">
        <x:f>IF(J201=0,"n.a.",I201*1000/J201)</x:f>
        <x:v>n.a.</x:v>
      </x:c>
      <x:c r="O201" s="18" t="n">
        <x:f>SUM(E201:H201)-I201</x:f>
        <x:v>0</x:v>
      </x:c>
      <x:c r="P201" s="18" t="n">
        <x:f>RANK(I201,$I$7:$I$212,0)+COUNTIF($I$7:I201,I201)-1</x:f>
        <x:v>195</x:v>
      </x:c>
      <x:c r="Q201" s="10" t="str">
        <x:v>Leeds Arts</x:v>
      </x:c>
    </x:row>
    <x:row r="202" ht="46" customHeight="1">
      <x:c r="A202" s="10" t="str">
        <x:v>10034449</x:v>
      </x:c>
      <x:c r="B202" s="11" t="str">
        <x:v>Leeds Conservatoire</x:v>
      </x:c>
      <x:c r="C202" s="10" t="str">
        <x:v>Other HE provider</x:v>
      </x:c>
      <x:c r="D202" s="10" t="str">
        <x:v>2024/25</x:v>
      </x:c>
      <x:c r="E202" s="18" t="n">
        <x:v>0</x:v>
      </x:c>
      <x:c r="F202" s="18" t="n">
        <x:v>0</x:v>
      </x:c>
      <x:c r="G202" s="18" t="n">
        <x:v>0</x:v>
      </x:c>
      <x:c r="H202" s="18" t="n">
        <x:v>0</x:v>
      </x:c>
      <x:c r="I202" s="18" t="n">
        <x:v>0</x:v>
      </x:c>
      <x:c r="J202" s="18" t="n">
        <x:v>0</x:v>
      </x:c>
      <x:c r="K202" s="19" t="n">
        <x:f>I202/1000</x:f>
        <x:v>0</x:v>
      </x:c>
      <x:c r="L202" s="19" t="n">
        <x:f>SUM(E202:G202)/1000</x:f>
        <x:v>0</x:v>
      </x:c>
      <x:c r="M202" s="20" t="str">
        <x:f>IF(I202=0,"n.a.",H202/I202)</x:f>
        <x:v>n.a.</x:v>
      </x:c>
      <x:c r="N202" s="18" t="str">
        <x:f>IF(J202=0,"n.a.",I202*1000/J202)</x:f>
        <x:v>n.a.</x:v>
      </x:c>
      <x:c r="O202" s="18" t="n">
        <x:f>SUM(E202:H202)-I202</x:f>
        <x:v>0</x:v>
      </x:c>
      <x:c r="P202" s="18" t="n">
        <x:f>RANK(I202,$I$7:$I$212,0)+COUNTIF($I$7:I202,I202)-1</x:f>
        <x:v>196</x:v>
      </x:c>
      <x:c r="Q202" s="10" t="str">
        <x:v>Leeds Conservatoire</x:v>
      </x:c>
    </x:row>
    <x:row r="203" ht="46" customHeight="1">
      <x:c r="A203" s="10" t="str">
        <x:v>10007811</x:v>
      </x:c>
      <x:c r="B203" s="11" t="str">
        <x:v>Lincoln Bishop University</x:v>
      </x:c>
      <x:c r="C203" s="10" t="str">
        <x:v>Other HE provider</x:v>
      </x:c>
      <x:c r="D203" s="10" t="str">
        <x:v>2024/25</x:v>
      </x:c>
      <x:c r="E203" s="18" t="n">
        <x:v>0</x:v>
      </x:c>
      <x:c r="F203" s="18" t="n">
        <x:v>0</x:v>
      </x:c>
      <x:c r="G203" s="18" t="n">
        <x:v>0</x:v>
      </x:c>
      <x:c r="H203" s="18" t="n">
        <x:v>0</x:v>
      </x:c>
      <x:c r="I203" s="18" t="n">
        <x:v>0</x:v>
      </x:c>
      <x:c r="J203" s="18" t="n">
        <x:v>0</x:v>
      </x:c>
      <x:c r="K203" s="19" t="n">
        <x:f>I203/1000</x:f>
        <x:v>0</x:v>
      </x:c>
      <x:c r="L203" s="19" t="n">
        <x:f>SUM(E203:G203)/1000</x:f>
        <x:v>0</x:v>
      </x:c>
      <x:c r="M203" s="20" t="str">
        <x:f>IF(I203=0,"n.a.",H203/I203)</x:f>
        <x:v>n.a.</x:v>
      </x:c>
      <x:c r="N203" s="18" t="str">
        <x:f>IF(J203=0,"n.a.",I203*1000/J203)</x:f>
        <x:v>n.a.</x:v>
      </x:c>
      <x:c r="O203" s="18" t="n">
        <x:f>SUM(E203:H203)-I203</x:f>
        <x:v>0</x:v>
      </x:c>
      <x:c r="P203" s="18" t="n">
        <x:f>RANK(I203,$I$7:$I$212,0)+COUNTIF($I$7:I203,I203)-1</x:f>
        <x:v>197</x:v>
      </x:c>
      <x:c r="Q203" s="10" t="str">
        <x:v>Lincoln Bishop</x:v>
      </x:c>
    </x:row>
    <x:row r="204" ht="46" customHeight="1">
      <x:c r="A204" s="10" t="str">
        <x:v>10004075</x:v>
      </x:c>
      <x:c r="B204" s="11" t="str">
        <x:v>London School of Theology</x:v>
      </x:c>
      <x:c r="C204" s="10" t="str">
        <x:v>Other HE provider</x:v>
      </x:c>
      <x:c r="D204" s="10" t="str">
        <x:v>2024/25</x:v>
      </x:c>
      <x:c r="E204" s="18" t="n">
        <x:v>0</x:v>
      </x:c>
      <x:c r="F204" s="18" t="n">
        <x:v>0</x:v>
      </x:c>
      <x:c r="G204" s="18" t="n">
        <x:v>0</x:v>
      </x:c>
      <x:c r="H204" s="18" t="n">
        <x:v>0</x:v>
      </x:c>
      <x:c r="I204" s="18" t="n">
        <x:v>0</x:v>
      </x:c>
      <x:c r="J204" s="18" t="n">
        <x:v>0</x:v>
      </x:c>
      <x:c r="K204" s="19" t="n">
        <x:f>I204/1000</x:f>
        <x:v>0</x:v>
      </x:c>
      <x:c r="L204" s="19" t="n">
        <x:f>SUM(E204:G204)/1000</x:f>
        <x:v>0</x:v>
      </x:c>
      <x:c r="M204" s="20" t="str">
        <x:f>IF(I204=0,"n.a.",H204/I204)</x:f>
        <x:v>n.a.</x:v>
      </x:c>
      <x:c r="N204" s="18" t="str">
        <x:f>IF(J204=0,"n.a.",I204*1000/J204)</x:f>
        <x:v>n.a.</x:v>
      </x:c>
      <x:c r="O204" s="18" t="n">
        <x:f>SUM(E204:H204)-I204</x:f>
        <x:v>0</x:v>
      </x:c>
      <x:c r="P204" s="18" t="n">
        <x:f>RANK(I204,$I$7:$I$212,0)+COUNTIF($I$7:I204,I204)-1</x:f>
        <x:v>198</x:v>
      </x:c>
      <x:c r="Q204" s="10" t="str">
        <x:v>London School of Theology</x:v>
      </x:c>
    </x:row>
    <x:row r="205" ht="46" customHeight="1">
      <x:c r="A205" s="10" t="str">
        <x:v>10023777</x:v>
      </x:c>
      <x:c r="B205" s="11" t="str">
        <x:v>Mont Rose College of Management and Sciences Limited</x:v>
      </x:c>
      <x:c r="C205" s="10" t="str">
        <x:v>Other HE provider</x:v>
      </x:c>
      <x:c r="D205" s="10" t="str">
        <x:v>2024/25</x:v>
      </x:c>
      <x:c r="E205" s="18" t="n">
        <x:v>0</x:v>
      </x:c>
      <x:c r="F205" s="18" t="n">
        <x:v>0</x:v>
      </x:c>
      <x:c r="G205" s="18" t="n">
        <x:v>0</x:v>
      </x:c>
      <x:c r="H205" s="18" t="n">
        <x:v>0</x:v>
      </x:c>
      <x:c r="I205" s="18" t="n">
        <x:v>0</x:v>
      </x:c>
      <x:c r="J205" s="18" t="n">
        <x:v>0</x:v>
      </x:c>
      <x:c r="K205" s="19" t="n">
        <x:f>I205/1000</x:f>
        <x:v>0</x:v>
      </x:c>
      <x:c r="L205" s="19" t="n">
        <x:f>SUM(E205:G205)/1000</x:f>
        <x:v>0</x:v>
      </x:c>
      <x:c r="M205" s="20" t="str">
        <x:f>IF(I205=0,"n.a.",H205/I205)</x:f>
        <x:v>n.a.</x:v>
      </x:c>
      <x:c r="N205" s="18" t="str">
        <x:f>IF(J205=0,"n.a.",I205*1000/J205)</x:f>
        <x:v>n.a.</x:v>
      </x:c>
      <x:c r="O205" s="18" t="n">
        <x:f>SUM(E205:H205)-I205</x:f>
        <x:v>0</x:v>
      </x:c>
      <x:c r="P205" s="18" t="n">
        <x:f>RANK(I205,$I$7:$I$212,0)+COUNTIF($I$7:I205,I205)-1</x:f>
        <x:v>199</x:v>
      </x:c>
      <x:c r="Q205" s="10" t="str">
        <x:v>Mont Rose College of Management and Sciences Limited</x:v>
      </x:c>
    </x:row>
    <x:row r="206" ht="46" customHeight="1">
      <x:c r="A206" s="10" t="str">
        <x:v>10048199</x:v>
      </x:c>
      <x:c r="B206" s="11" t="str">
        <x:v>Northeastern University London</x:v>
      </x:c>
      <x:c r="C206" s="10" t="str">
        <x:v>Other HE provider</x:v>
      </x:c>
      <x:c r="D206" s="10" t="str">
        <x:v>2024/25</x:v>
      </x:c>
      <x:c r="E206" s="18" t="n">
        <x:v>0</x:v>
      </x:c>
      <x:c r="F206" s="18" t="n">
        <x:v>0</x:v>
      </x:c>
      <x:c r="G206" s="18" t="n">
        <x:v>0</x:v>
      </x:c>
      <x:c r="H206" s="18" t="n">
        <x:v>0</x:v>
      </x:c>
      <x:c r="I206" s="18" t="n">
        <x:v>0</x:v>
      </x:c>
      <x:c r="J206" s="18" t="n">
        <x:v>0</x:v>
      </x:c>
      <x:c r="K206" s="19" t="n">
        <x:f>I206/1000</x:f>
        <x:v>0</x:v>
      </x:c>
      <x:c r="L206" s="19" t="n">
        <x:f>SUM(E206:G206)/1000</x:f>
        <x:v>0</x:v>
      </x:c>
      <x:c r="M206" s="20" t="str">
        <x:f>IF(I206=0,"n.a.",H206/I206)</x:f>
        <x:v>n.a.</x:v>
      </x:c>
      <x:c r="N206" s="18" t="str">
        <x:f>IF(J206=0,"n.a.",I206*1000/J206)</x:f>
        <x:v>n.a.</x:v>
      </x:c>
      <x:c r="O206" s="18" t="n">
        <x:f>SUM(E206:H206)-I206</x:f>
        <x:v>0</x:v>
      </x:c>
      <x:c r="P206" s="18" t="n">
        <x:f>RANK(I206,$I$7:$I$212,0)+COUNTIF($I$7:I206,I206)-1</x:f>
        <x:v>200</x:v>
      </x:c>
      <x:c r="Q206" s="10" t="str">
        <x:v>Northeastern University London</x:v>
      </x:c>
    </x:row>
    <x:row r="207" ht="46" customHeight="1">
      <x:c r="A207" s="10" t="str">
        <x:v>10005389</x:v>
      </x:c>
      <x:c r="B207" s="11" t="str">
        <x:v>Ravensbourne University London</x:v>
      </x:c>
      <x:c r="C207" s="10" t="str">
        <x:v>Other HE provider</x:v>
      </x:c>
      <x:c r="D207" s="10" t="str">
        <x:v>2024/25</x:v>
      </x:c>
      <x:c r="E207" s="18" t="n">
        <x:v>0</x:v>
      </x:c>
      <x:c r="F207" s="18" t="n">
        <x:v>0</x:v>
      </x:c>
      <x:c r="G207" s="18" t="n">
        <x:v>0</x:v>
      </x:c>
      <x:c r="H207" s="18" t="n">
        <x:v>0</x:v>
      </x:c>
      <x:c r="I207" s="18" t="n">
        <x:v>0</x:v>
      </x:c>
      <x:c r="J207" s="18" t="n">
        <x:v>0</x:v>
      </x:c>
      <x:c r="K207" s="19" t="n">
        <x:f>I207/1000</x:f>
        <x:v>0</x:v>
      </x:c>
      <x:c r="L207" s="19" t="n">
        <x:f>SUM(E207:G207)/1000</x:f>
        <x:v>0</x:v>
      </x:c>
      <x:c r="M207" s="20" t="str">
        <x:f>IF(I207=0,"n.a.",H207/I207)</x:f>
        <x:v>n.a.</x:v>
      </x:c>
      <x:c r="N207" s="18" t="str">
        <x:f>IF(J207=0,"n.a.",I207*1000/J207)</x:f>
        <x:v>n.a.</x:v>
      </x:c>
      <x:c r="O207" s="18" t="n">
        <x:f>SUM(E207:H207)-I207</x:f>
        <x:v>0</x:v>
      </x:c>
      <x:c r="P207" s="18" t="n">
        <x:f>RANK(I207,$I$7:$I$212,0)+COUNTIF($I$7:I207,I207)-1</x:f>
        <x:v>201</x:v>
      </x:c>
      <x:c r="Q207" s="10" t="str">
        <x:v>Ravensbourne University London</x:v>
      </x:c>
    </x:row>
    <x:row r="208" ht="46" customHeight="1">
      <x:c r="A208" s="10" t="str">
        <x:v>10005523</x:v>
      </x:c>
      <x:c r="B208" s="11" t="str">
        <x:v>Rose Bruford College of Theatre and Performance</x:v>
      </x:c>
      <x:c r="C208" s="10" t="str">
        <x:v>Other HE provider</x:v>
      </x:c>
      <x:c r="D208" s="10" t="str">
        <x:v>2024/25</x:v>
      </x:c>
      <x:c r="E208" s="18" t="n">
        <x:v>0</x:v>
      </x:c>
      <x:c r="F208" s="18" t="n">
        <x:v>0</x:v>
      </x:c>
      <x:c r="G208" s="18" t="n">
        <x:v>0</x:v>
      </x:c>
      <x:c r="H208" s="18" t="n">
        <x:v>0</x:v>
      </x:c>
      <x:c r="I208" s="18" t="n">
        <x:v>0</x:v>
      </x:c>
      <x:c r="J208" s="18" t="n">
        <x:v>0</x:v>
      </x:c>
      <x:c r="K208" s="19" t="n">
        <x:f>I208/1000</x:f>
        <x:v>0</x:v>
      </x:c>
      <x:c r="L208" s="19" t="n">
        <x:f>SUM(E208:G208)/1000</x:f>
        <x:v>0</x:v>
      </x:c>
      <x:c r="M208" s="20" t="str">
        <x:f>IF(I208=0,"n.a.",H208/I208)</x:f>
        <x:v>n.a.</x:v>
      </x:c>
      <x:c r="N208" s="18" t="str">
        <x:f>IF(J208=0,"n.a.",I208*1000/J208)</x:f>
        <x:v>n.a.</x:v>
      </x:c>
      <x:c r="O208" s="18" t="n">
        <x:f>SUM(E208:H208)-I208</x:f>
        <x:v>0</x:v>
      </x:c>
      <x:c r="P208" s="18" t="n">
        <x:f>RANK(I208,$I$7:$I$212,0)+COUNTIF($I$7:I208,I208)-1</x:f>
        <x:v>202</x:v>
      </x:c>
      <x:c r="Q208" s="10" t="str">
        <x:v>Rose Bruford College of Theatre and Performance</x:v>
      </x:c>
    </x:row>
    <x:row r="209" ht="46" customHeight="1">
      <x:c r="A209" s="10" t="str">
        <x:v>10008026</x:v>
      </x:c>
      <x:c r="B209" s="11" t="str">
        <x:v>St Mary's University College</x:v>
      </x:c>
      <x:c r="C209" s="10" t="str">
        <x:v>Other HE provider</x:v>
      </x:c>
      <x:c r="D209" s="10" t="str">
        <x:v>2024/25</x:v>
      </x:c>
      <x:c r="E209" s="18" t="n">
        <x:v>0</x:v>
      </x:c>
      <x:c r="F209" s="18" t="n">
        <x:v>0</x:v>
      </x:c>
      <x:c r="G209" s="18" t="n">
        <x:v>0</x:v>
      </x:c>
      <x:c r="H209" s="18" t="n">
        <x:v>0</x:v>
      </x:c>
      <x:c r="I209" s="18" t="n">
        <x:v>0</x:v>
      </x:c>
      <x:c r="J209" s="18" t="n">
        <x:v>0</x:v>
      </x:c>
      <x:c r="K209" s="19" t="n">
        <x:f>I209/1000</x:f>
        <x:v>0</x:v>
      </x:c>
      <x:c r="L209" s="19" t="n">
        <x:f>SUM(E209:G209)/1000</x:f>
        <x:v>0</x:v>
      </x:c>
      <x:c r="M209" s="20" t="str">
        <x:f>IF(I209=0,"n.a.",H209/I209)</x:f>
        <x:v>n.a.</x:v>
      </x:c>
      <x:c r="N209" s="18" t="str">
        <x:f>IF(J209=0,"n.a.",I209*1000/J209)</x:f>
        <x:v>n.a.</x:v>
      </x:c>
      <x:c r="O209" s="18" t="n">
        <x:f>SUM(E209:H209)-I209</x:f>
        <x:v>0</x:v>
      </x:c>
      <x:c r="P209" s="18" t="n">
        <x:f>RANK(I209,$I$7:$I$212,0)+COUNTIF($I$7:I209,I209)-1</x:f>
        <x:v>203</x:v>
      </x:c>
      <x:c r="Q209" s="10" t="str">
        <x:v>St Mary's University College</x:v>
      </x:c>
    </x:row>
    <x:row r="210" ht="46" customHeight="1">
      <x:c r="A210" s="10" t="str">
        <x:v>10030776</x:v>
      </x:c>
      <x:c r="B210" s="11" t="str">
        <x:v>St Mellitus College</x:v>
      </x:c>
      <x:c r="C210" s="10" t="str">
        <x:v>Other HE provider</x:v>
      </x:c>
      <x:c r="D210" s="10" t="str">
        <x:v>2024/25</x:v>
      </x:c>
      <x:c r="E210" s="18" t="n">
        <x:v>0</x:v>
      </x:c>
      <x:c r="F210" s="18" t="n">
        <x:v>0</x:v>
      </x:c>
      <x:c r="G210" s="18" t="n">
        <x:v>0</x:v>
      </x:c>
      <x:c r="H210" s="18" t="n">
        <x:v>0</x:v>
      </x:c>
      <x:c r="I210" s="18" t="n">
        <x:v>0</x:v>
      </x:c>
      <x:c r="J210" s="18" t="n">
        <x:v>0</x:v>
      </x:c>
      <x:c r="K210" s="19" t="n">
        <x:f>I210/1000</x:f>
        <x:v>0</x:v>
      </x:c>
      <x:c r="L210" s="19" t="n">
        <x:f>SUM(E210:G210)/1000</x:f>
        <x:v>0</x:v>
      </x:c>
      <x:c r="M210" s="20" t="str">
        <x:f>IF(I210=0,"n.a.",H210/I210)</x:f>
        <x:v>n.a.</x:v>
      </x:c>
      <x:c r="N210" s="18" t="str">
        <x:f>IF(J210=0,"n.a.",I210*1000/J210)</x:f>
        <x:v>n.a.</x:v>
      </x:c>
      <x:c r="O210" s="18" t="n">
        <x:f>SUM(E210:H210)-I210</x:f>
        <x:v>0</x:v>
      </x:c>
      <x:c r="P210" s="18" t="n">
        <x:f>RANK(I210,$I$7:$I$212,0)+COUNTIF($I$7:I210,I210)-1</x:f>
        <x:v>204</x:v>
      </x:c>
      <x:c r="Q210" s="10" t="str">
        <x:v>St Mellitus College</x:v>
      </x:c>
    </x:row>
    <x:row r="211" ht="46" customHeight="1">
      <x:c r="A211" s="10" t="str">
        <x:v>10082743</x:v>
      </x:c>
      <x:c r="B211" s="11" t="str">
        <x:v>ThinkSpace Education Limited</x:v>
      </x:c>
      <x:c r="C211" s="10" t="str">
        <x:v>Other HE provider</x:v>
      </x:c>
      <x:c r="D211" s="10" t="str">
        <x:v>2024/25</x:v>
      </x:c>
      <x:c r="E211" s="18" t="n">
        <x:v>0</x:v>
      </x:c>
      <x:c r="F211" s="18" t="n">
        <x:v>0</x:v>
      </x:c>
      <x:c r="G211" s="18" t="n">
        <x:v>0</x:v>
      </x:c>
      <x:c r="H211" s="18" t="n">
        <x:v>0</x:v>
      </x:c>
      <x:c r="I211" s="18" t="n">
        <x:v>0</x:v>
      </x:c>
      <x:c r="J211" s="18" t="n">
        <x:v>0</x:v>
      </x:c>
      <x:c r="K211" s="19" t="n">
        <x:f>I211/1000</x:f>
        <x:v>0</x:v>
      </x:c>
      <x:c r="L211" s="19" t="n">
        <x:f>SUM(E211:G211)/1000</x:f>
        <x:v>0</x:v>
      </x:c>
      <x:c r="M211" s="20" t="str">
        <x:f>IF(I211=0,"n.a.",H211/I211)</x:f>
        <x:v>n.a.</x:v>
      </x:c>
      <x:c r="N211" s="18" t="str">
        <x:f>IF(J211=0,"n.a.",I211*1000/J211)</x:f>
        <x:v>n.a.</x:v>
      </x:c>
      <x:c r="O211" s="18" t="n">
        <x:f>SUM(E211:H211)-I211</x:f>
        <x:v>0</x:v>
      </x:c>
      <x:c r="P211" s="18" t="n">
        <x:f>RANK(I211,$I$7:$I$212,0)+COUNTIF($I$7:I211,I211)-1</x:f>
        <x:v>205</x:v>
      </x:c>
      <x:c r="Q211" s="10" t="str">
        <x:v>ThinkSpace Education Limited</x:v>
      </x:c>
    </x:row>
    <x:row r="212" ht="46" customHeight="1">
      <x:c r="A212" s="10" t="str">
        <x:v>10089591</x:v>
      </x:c>
      <x:c r="B212" s="11" t="str">
        <x:v>Walbrook Institute London Limited</x:v>
      </x:c>
      <x:c r="C212" s="10" t="str">
        <x:v>Other HE provider</x:v>
      </x:c>
      <x:c r="D212" s="10" t="str">
        <x:v>2024/25</x:v>
      </x:c>
      <x:c r="E212" s="18" t="n">
        <x:v>0</x:v>
      </x:c>
      <x:c r="F212" s="18" t="n">
        <x:v>0</x:v>
      </x:c>
      <x:c r="G212" s="18" t="n">
        <x:v>0</x:v>
      </x:c>
      <x:c r="H212" s="18" t="n">
        <x:v>0</x:v>
      </x:c>
      <x:c r="I212" s="18" t="n">
        <x:v>0</x:v>
      </x:c>
      <x:c r="J212" s="18" t="n">
        <x:v>0</x:v>
      </x:c>
      <x:c r="K212" s="19" t="n">
        <x:f>I212/1000</x:f>
        <x:v>0</x:v>
      </x:c>
      <x:c r="L212" s="19" t="n">
        <x:f>SUM(E212:G212)/1000</x:f>
        <x:v>0</x:v>
      </x:c>
      <x:c r="M212" s="20" t="str">
        <x:f>IF(I212=0,"n.a.",H212/I212)</x:f>
        <x:v>n.a.</x:v>
      </x:c>
      <x:c r="N212" s="18" t="str">
        <x:f>IF(J212=0,"n.a.",I212*1000/J212)</x:f>
        <x:v>n.a.</x:v>
      </x:c>
      <x:c r="O212" s="18" t="n">
        <x:f>SUM(E212:H212)-I212</x:f>
        <x:v>0</x:v>
      </x:c>
      <x:c r="P212" s="18" t="n">
        <x:f>RANK(I212,$I$7:$I$212,0)+COUNTIF($I$7:I212,I212)-1</x:f>
        <x:v>206</x:v>
      </x:c>
      <x:c r="Q212" s="10" t="str">
        <x:v>Walbrook Institute London Limited</x:v>
      </x:c>
    </x:row>
    <x:row r="213">
      <x:c r="E213" s="21"/>
      <x:c r="F213" s="21"/>
      <x:c r="G213" s="21"/>
      <x:c r="H213" s="21"/>
      <x:c r="I213" s="21"/>
      <x:c r="J213" s="21"/>
      <x:c r="K213" s="22"/>
      <x:c r="L213" s="22"/>
      <x:c r="M213" s="23"/>
      <x:c r="N213" s="23"/>
      <x:c r="O213" s="23"/>
      <x:c r="P213" s="23"/>
    </x:row>
    <x:row r="214" ht="32" customHeight="1">
      <x:c r="B214" s="24" t="str">
        <x:v>Published HESA total</x:v>
      </x:c>
      <x:c r="C214" s="24" t="str">
        <x:v>Control (excluded)</x:v>
      </x:c>
      <x:c r="D214" s="24" t="str">
        <x:v>2024/25</x:v>
      </x:c>
      <x:c r="E214" s="25" t="n">
        <x:v>30066</x:v>
      </x:c>
      <x:c r="F214" s="25" t="n">
        <x:v>146741</x:v>
      </x:c>
      <x:c r="G214" s="25" t="n">
        <x:v>293718</x:v>
      </x:c>
      <x:c r="H214" s="25" t="n">
        <x:v>353653</x:v>
      </x:c>
      <x:c r="I214" s="25" t="n">
        <x:v>824178</x:v>
      </x:c>
      <x:c r="J214" s="25" t="n">
        <x:v>4510435</x:v>
      </x:c>
      <x:c r="K214" s="26" t="n">
        <x:f>I214/1000</x:f>
        <x:v>824.178</x:v>
      </x:c>
      <x:c r="L214" s="26" t="n">
        <x:f>SUM(E214:G214)/1000</x:f>
        <x:v>470.525</x:v>
      </x:c>
      <x:c r="M214" s="27"/>
      <x:c r="N214" s="27"/>
      <x:c r="O214" s="27"/>
      <x:c r="P214" s="27"/>
      <x:c r="Q214" s="24"/>
    </x:row>
    <x:row r="215" ht="32" customHeight="1">
      <x:c r="B215" s="24" t="str">
        <x:v>Calculated provider sum</x:v>
      </x:c>
      <x:c r="C215" s="24" t="str">
        <x:v>All 206 rows</x:v>
      </x:c>
      <x:c r="D215" s="24" t="str">
        <x:v>2024/25</x:v>
      </x:c>
      <x:c r="E215" s="25" t="n">
        <x:f>SUM(E7:E212)</x:f>
        <x:v>30066</x:v>
      </x:c>
      <x:c r="F215" s="25" t="n">
        <x:f>SUM(F7:F212)</x:f>
        <x:v>146741</x:v>
      </x:c>
      <x:c r="G215" s="25" t="n">
        <x:f>SUM(G7:G212)</x:f>
        <x:v>293718</x:v>
      </x:c>
      <x:c r="H215" s="25" t="n">
        <x:f>SUM(H7:H212)</x:f>
        <x:v>353653</x:v>
      </x:c>
      <x:c r="I215" s="25" t="n">
        <x:f>SUM(I7:I212)</x:f>
        <x:v>824178</x:v>
      </x:c>
      <x:c r="J215" s="25" t="n">
        <x:f>SUM(J7:J212)</x:f>
        <x:v>4510435</x:v>
      </x:c>
      <x:c r="K215" s="26" t="n">
        <x:f>I215/1000</x:f>
        <x:v>824.178</x:v>
      </x:c>
      <x:c r="L215" s="26" t="n">
        <x:f>SUM(E215:G215)/1000</x:f>
        <x:v>470.525</x:v>
      </x:c>
      <x:c r="M215" s="27"/>
      <x:c r="N215" s="27"/>
      <x:c r="O215" s="27"/>
      <x:c r="P215" s="27"/>
      <x:c r="Q215" s="24"/>
    </x:row>
    <x:row r="216" ht="32" customHeight="1">
      <x:c r="B216" s="24" t="str">
        <x:v>Difference to published total</x:v>
      </x:c>
      <x:c r="C216" s="24" t="str">
        <x:v>Should equal zero</x:v>
      </x:c>
      <x:c r="D216" s="24" t="str">
        <x:v>2024/25</x:v>
      </x:c>
      <x:c r="E216" s="25" t="n">
        <x:f>E215-E214</x:f>
        <x:v>0</x:v>
      </x:c>
      <x:c r="F216" s="25" t="n">
        <x:f>F215-F214</x:f>
        <x:v>0</x:v>
      </x:c>
      <x:c r="G216" s="25" t="n">
        <x:f>G215-G214</x:f>
        <x:v>0</x:v>
      </x:c>
      <x:c r="H216" s="25" t="n">
        <x:f>H215-H214</x:f>
        <x:v>0</x:v>
      </x:c>
      <x:c r="I216" s="25" t="n">
        <x:f>I215-I214</x:f>
        <x:v>0</x:v>
      </x:c>
      <x:c r="J216" s="25" t="n">
        <x:f>J215-J214</x:f>
        <x:v>0</x:v>
      </x:c>
      <x:c r="K216" s="26"/>
      <x:c r="L216" s="26"/>
      <x:c r="M216" s="27"/>
      <x:c r="N216" s="27"/>
      <x:c r="O216" s="27"/>
      <x:c r="P216" s="27"/>
      <x:c r="Q216" s="24"/>
    </x:row>
  </x:sheetData>
  <x:mergeCells>
    <x:mergeCell ref="A2:F2"/>
    <x:mergeCell ref="A3:F3"/>
    <x:mergeCell ref="A4:F4"/>
  </x:mergeCells>
  <x:conditionalFormatting sqref="O7:O212">
    <x:cfRule type="cellIs" dxfId="2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7c6ceebf92463e"/>
  </x:tableParts>
</x:worksheet>
</file>

<file path=xl/worksheets/sheet3.xml><?xml version="1.0" encoding="utf-8"?>
<x:worksheet xmlns:x="http://schemas.openxmlformats.org/spreadsheetml/2006/main">
  <x:sheetPr>
    <x:tabColor rgb="FF203B6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22" hidden="0" customWidth="1"/>
    <x:col min="4" max="4" width="28" hidden="0" customWidth="1"/>
    <x:col min="5" max="5" width="42" hidden="0" customWidth="1"/>
    <x:col min="6" max="6" width="33" hidden="0" customWidth="1"/>
    <x:col min="7" max="7" width="21" hidden="0" customWidth="1"/>
    <x:col min="8" max="8" width="57" hidden="0" customWidth="1"/>
    <x:col min="9" max="9" width="77" hidden="0" customWidth="1"/>
    <x:col min="10" max="10" width="75" hidden="0" customWidth="1"/>
    <x:col min="11" max="11" width="45" hidden="0" customWidth="1"/>
    <x:col min="12" max="12" width="25" hidden="0" customWidth="1"/>
    <x:col min="13" max="13" width="80" hidden="0" customWidth="1"/>
    <x:col min="14" max="14" width="28" hidden="0" customWidth="1"/>
    <x:col min="15" max="15" width="27" hidden="0" customWidth="1"/>
    <x:col min="16" max="16" width="17" hidden="0" customWidth="1"/>
  </x:cols>
  <x:sheetData>
    <x:row r="2" ht="28" customHeight="1">
      <x:c r="A2" s="4" t="str">
        <x:v>Experiential learning: scheme reach and delivery</x:v>
      </x:c>
      <x:c r="B2" s="4" t="str">
        <x:v>Experiential learning: scheme reach and delivery</x:v>
      </x:c>
      <x:c r="C2" s="4" t="str">
        <x:v>Experiential learning: scheme reach and delivery</x:v>
      </x:c>
      <x:c r="D2" s="4" t="str">
        <x:v>Experiential learning: scheme reach and delivery</x:v>
      </x:c>
      <x:c r="E2" s="4" t="str">
        <x:v>Experiential learning: scheme reach and delivery</x:v>
      </x:c>
      <x:c r="F2" s="4" t="str">
        <x:v>Experiential learning: scheme reach and delivery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36" customHeight="1">
      <x:c r="A3" s="6" t="str">
        <x:v>124 institutions reviewed; 152 scheme/framework examples. Original 24 Russell Group + 10 Australian, plus 30 additional UK + 30 US + 30 EU institutions.</x:v>
      </x:c>
      <x:c r="B3" s="6" t="str">
        <x:v>124 institutions reviewed; 152 scheme/framework examples. Original 24 Russell Group + 10 Australian, plus 30 additional UK + 30 US + 30 EU institutions.</x:v>
      </x:c>
      <x:c r="C3" s="6" t="str">
        <x:v>124 institutions reviewed; 152 scheme/framework examples. Original 24 Russell Group + 10 Australian, plus 30 additional UK + 30 US + 30 EU institutions.</x:v>
      </x:c>
      <x:c r="D3" s="6" t="str">
        <x:v>124 institutions reviewed; 152 scheme/framework examples. Original 24 Russell Group + 10 Australian, plus 30 additional UK + 30 US + 30 EU institutions.</x:v>
      </x:c>
      <x:c r="E3" s="6" t="str">
        <x:v>124 institutions reviewed; 152 scheme/framework examples. Original 24 Russell Group + 10 Australian, plus 30 additional UK + 30 US + 30 EU institutions.</x:v>
      </x:c>
      <x:c r="F3" s="6" t="str">
        <x:v>124 institutions reviewed; 152 scheme/framework examples. Original 24 Russell Group + 10 Australian, plus 30 additional UK + 30 US + 30 EU institutions.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36" customHeight="1">
      <x:c r="A4" s="6" t="str">
        <x:v>Column C = academic reach. Faculty hosting does not imply restricted eligibility. University-wide frameworks can have degree exclusions. This is a comparative scheme sample, not an exhaustive course inventory.</x:v>
      </x:c>
      <x:c r="B4" s="6" t="str">
        <x:v>Column C = academic reach. Faculty hosting does not imply restricted eligibility. University-wide frameworks can have degree exclusions. This is a comparative scheme sample, not an exhaustive course inventory.</x:v>
      </x:c>
      <x:c r="C4" s="6" t="str">
        <x:v>Column C = academic reach. Faculty hosting does not imply restricted eligibility. University-wide frameworks can have degree exclusions. This is a comparative scheme sample, not an exhaustive course inventory.</x:v>
      </x:c>
      <x:c r="D4" s="6" t="str">
        <x:v>Column C = academic reach. Faculty hosting does not imply restricted eligibility. University-wide frameworks can have degree exclusions. This is a comparative scheme sample, not an exhaustive course inventory.</x:v>
      </x:c>
      <x:c r="E4" s="6" t="str">
        <x:v>Column C = academic reach. Faculty hosting does not imply restricted eligibility. University-wide frameworks can have degree exclusions. This is a comparative scheme sample, not an exhaustive course inventory.</x:v>
      </x:c>
      <x:c r="F4" s="6" t="str">
        <x:v>Column C = academic reach. Faculty hosting does not imply restricted eligibility. University-wide frameworks can have degree exclusions. This is a comparative scheme sample, not an exhaustive course inventory.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0" customHeight="1">
      <x:c r="A6" s="9" t="str">
        <x:v>Country</x:v>
      </x:c>
      <x:c r="B6" s="9" t="str">
        <x:v>University</x:v>
      </x:c>
      <x:c r="C6" s="9" t="str">
        <x:v>Academic reach</x:v>
      </x:c>
      <x:c r="D6" s="9" t="str">
        <x:v>Learning model</x:v>
      </x:c>
      <x:c r="E6" s="9" t="str">
        <x:v>Scheme / framework</x:v>
      </x:c>
      <x:c r="F6" s="9" t="str">
        <x:v>Administrative home</x:v>
      </x:c>
      <x:c r="G6" s="9" t="str">
        <x:v>Participation</x:v>
      </x:c>
      <x:c r="H6" s="9" t="str">
        <x:v>Eligibility / restrictions</x:v>
      </x:c>
      <x:c r="I6" s="9" t="str">
        <x:v>Delivery / credit / practical activity</x:v>
      </x:c>
      <x:c r="J6" s="9" t="str">
        <x:v>Basis for reach classification</x:v>
      </x:c>
      <x:c r="K6" s="9" t="str">
        <x:v>Latest dated / current evidence</x:v>
      </x:c>
      <x:c r="L6" s="9" t="str">
        <x:v>Cohort</x:v>
      </x:c>
      <x:c r="M6" s="9" t="str">
        <x:v>Primary sources</x:v>
      </x:c>
      <x:c r="N6" s="9" t="str">
        <x:v>Scope evidence basis</x:v>
      </x:c>
      <x:c r="O6" s="9" t="str">
        <x:v>Evidence currency</x:v>
      </x:c>
      <x:c r="P6" s="9" t="str">
        <x:v>Research date</x:v>
      </x:c>
    </x:row>
    <x:row r="7" ht="116" customHeight="1">
      <x:c r="A7" s="10" t="str">
        <x:v>UK</x:v>
      </x:c>
      <x:c r="B7" s="11" t="str">
        <x:v>Birmingham</x:v>
      </x:c>
      <x:c r="C7" s="10" t="str">
        <x:v>University-wide</x:v>
      </x:c>
      <x:c r="D7" s="10" t="str">
        <x:v>Live/research project</x:v>
      </x:c>
      <x:c r="E7" s="10" t="str">
        <x:v>Birmingham Project</x:v>
      </x:c>
      <x:c r="F7" s="10" t="str">
        <x:v>Careers / Birmingham Project</x:v>
      </x:c>
      <x:c r="G7" s="10" t="str">
        <x:v>Co-curricular</x:v>
      </x:c>
      <x:c r="H7" s="10" t="str">
        <x:v>First-year students across disciplines</x:v>
      </x:c>
      <x:c r="I7" s="10" t="str">
        <x:v>One-week interdisciplinary teams address employer and academic challenges.</x:v>
      </x:c>
      <x:c r="J7" s="10" t="str">
        <x:v>Central interdisciplinary student programme; application-based.</x:v>
      </x:c>
      <x:c r="K7" s="10" t="str">
        <x:v>Official page; intake unverified</x:v>
      </x:c>
      <x:c r="L7" s="10" t="str">
        <x:v>Russell Group</x:v>
      </x:c>
      <x:c r="M7" s="10" t="str">
        <x:v>https://intranet.birmingham.ac.uk/student/careers/skills-development/birmingham-project/index.aspx</x:v>
      </x:c>
      <x:c r="N7" s="10" t="str">
        <x:v>Direct eligibility</x:v>
      </x:c>
      <x:c r="O7" s="10" t="str">
        <x:v>Undated page</x:v>
      </x:c>
      <x:c r="P7" s="12" t="d">
        <x:v>2026-10-08T00:00:00.000Z</x:v>
      </x:c>
    </x:row>
    <x:row r="8" ht="116" customHeight="1">
      <x:c r="A8" s="10" t="str">
        <x:v>UK</x:v>
      </x:c>
      <x:c r="B8" s="11" t="str">
        <x:v>Bristol</x:v>
      </x:c>
      <x:c r="C8" s="10" t="str">
        <x:v>University-wide</x:v>
      </x:c>
      <x:c r="D8" s="10" t="str">
        <x:v>Interdisciplinary curriculum</x:v>
      </x:c>
      <x:c r="E8" s="10" t="str">
        <x:v>Bristol Futures Open Units</x:v>
      </x:c>
      <x:c r="F8" s="10" t="str">
        <x:v>Bristol Futures</x:v>
      </x:c>
      <x:c r="G8" s="10" t="str">
        <x:v>Elective credit</x:v>
      </x:c>
      <x:c r="H8" s="10" t="str">
        <x:v>Undergraduates where degree rules allow</x:v>
      </x:c>
      <x:c r="I8" s="10" t="str">
        <x:v>Cross-disciplinary units beyond the home subject. External client work depends on the unit.</x:v>
      </x:c>
      <x:c r="J8" s="10" t="str">
        <x:v>University breadth-unit framework; practical learning differs by unit.</x:v>
      </x:c>
      <x:c r="K8" s="10" t="str">
        <x:v>Official page; intake unverified</x:v>
      </x:c>
      <x:c r="L8" s="10" t="str">
        <x:v>Russell Group</x:v>
      </x:c>
      <x:c r="M8" s="10" t="str">
        <x:v>https://www.bristol.ac.uk/bristol-futures/open-units/</x:v>
      </x:c>
      <x:c r="N8" s="10" t="str">
        <x:v>Institutional framework</x:v>
      </x:c>
      <x:c r="O8" s="10" t="str">
        <x:v>Undated page</x:v>
      </x:c>
      <x:c r="P8" s="12" t="d">
        <x:v>2026-10-08T00:00:00.000Z</x:v>
      </x:c>
    </x:row>
    <x:row r="9" ht="116" customHeight="1">
      <x:c r="A9" s="10" t="str">
        <x:v>UK</x:v>
      </x:c>
      <x:c r="B9" s="11" t="str">
        <x:v>Cambridge</x:v>
      </x:c>
      <x:c r="C9" s="10" t="str">
        <x:v>Programme/course</x:v>
      </x:c>
      <x:c r="D9" s="10" t="str">
        <x:v>Live/research project</x:v>
      </x:c>
      <x:c r="E9" s="10" t="str">
        <x:v>Cambridge Venture Project / Global Consulting Project</x:v>
      </x:c>
      <x:c r="F9" s="10" t="str">
        <x:v>Cambridge Judge Business School</x:v>
      </x:c>
      <x:c r="G9" s="10" t="str">
        <x:v>Compulsory</x:v>
      </x:c>
      <x:c r="H9" s="10" t="str">
        <x:v>Judge MBA students</x:v>
      </x:c>
      <x:c r="I9" s="10" t="str">
        <x:v>Student teams work on organisational projects. This is an MBA example, not a university-wide core.</x:v>
      </x:c>
      <x:c r="J9" s="10" t="str">
        <x:v>Specific MBA project curriculum; not institution-wide.</x:v>
      </x:c>
      <x:c r="K9" s="10" t="str">
        <x:v>Official page; intake unverified</x:v>
      </x:c>
      <x:c r="L9" s="10" t="str">
        <x:v>Russell Group</x:v>
      </x:c>
      <x:c r="M9" s="10" t="str">
        <x:v>https://www.jbs.cam.ac.uk/recruiters-organisations/student-projects/
https://www.jbs.cam.ac.uk/recruiters-organisations/student-projects/mba-global-consulting-project/</x:v>
      </x:c>
      <x:c r="N9" s="10" t="str">
        <x:v>Direct eligibility</x:v>
      </x:c>
      <x:c r="O9" s="10" t="str">
        <x:v>Undated page</x:v>
      </x:c>
      <x:c r="P9" s="12" t="d">
        <x:v>2026-10-08T00:00:00.000Z</x:v>
      </x:c>
    </x:row>
    <x:row r="10" ht="116" customHeight="1">
      <x:c r="A10" s="10" t="str">
        <x:v>UK</x:v>
      </x:c>
      <x:c r="B10" s="11" t="str">
        <x:v>Cardiff</x:v>
      </x:c>
      <x:c r="C10" s="10" t="str">
        <x:v>Not confirmed</x:v>
      </x:c>
      <x:c r="D10" s="10" t="str">
        <x:v>International collaboration</x:v>
      </x:c>
      <x:c r="E10" s="10" t="str">
        <x:v>Bremen–Cardiff Sustainability Programme</x:v>
      </x:c>
      <x:c r="F10" s="10" t="str">
        <x:v>Careers / Enterprise</x:v>
      </x:c>
      <x:c r="G10" s="10" t="str">
        <x:v>Co-curricular</x:v>
      </x:c>
      <x:c r="H10" s="10" t="str">
        <x:v>Eligible Cardiff students; admissions apply</x:v>
      </x:c>
      <x:c r="I10" s="10" t="str">
        <x:v>Students from both universities collaborate on sustainability problems.</x:v>
      </x:c>
      <x:c r="J10" s="10" t="str">
        <x:v>Central enterprise opportunity with international partners; reach inferred from remit. Academic reach remains Not confirmed until eligibility or institution-wide framework reach is established.</x:v>
      </x:c>
      <x:c r="K10" s="10" t="str">
        <x:v>Official page; intake unverified</x:v>
      </x:c>
      <x:c r="L10" s="10" t="str">
        <x:v>Russell Group</x:v>
      </x:c>
      <x:c r="M10" s="10" t="str">
        <x:v>https://www.cardiff.ac.uk/study/student-life/student-support/careers-and-employability/enterprise</x:v>
      </x:c>
      <x:c r="N10" s="10" t="str">
        <x:v>Unconfirmed reach</x:v>
      </x:c>
      <x:c r="O10" s="10" t="str">
        <x:v>Undated page</x:v>
      </x:c>
      <x:c r="P10" s="12" t="d">
        <x:v>2026-10-08T00:00:00.000Z</x:v>
      </x:c>
    </x:row>
    <x:row r="11" ht="116" customHeight="1">
      <x:c r="A11" s="10" t="str">
        <x:v>UK</x:v>
      </x:c>
      <x:c r="B11" s="11" t="str">
        <x:v>Durham</x:v>
      </x:c>
      <x:c r="C11" s="10" t="str">
        <x:v>University-wide</x:v>
      </x:c>
      <x:c r="D11" s="10" t="str">
        <x:v>Live/research project</x:v>
      </x:c>
      <x:c r="E11" s="10" t="str">
        <x:v>Mini Consultancy Competition</x:v>
      </x:c>
      <x:c r="F11" s="10" t="str">
        <x:v>Careers and Enterprise</x:v>
      </x:c>
      <x:c r="G11" s="10" t="str">
        <x:v>Co-curricular</x:v>
      </x:c>
      <x:c r="H11" s="10" t="str">
        <x:v>Students across disciplines; competition selection</x:v>
      </x:c>
      <x:c r="I11" s="10" t="str">
        <x:v>Teams work on organisational challenges through central work-based learning. Employer offer also includes mentoring and insight programmes; the Mini Consultancy Competition is the live-project example.</x:v>
      </x:c>
      <x:c r="J11" s="10" t="str">
        <x:v>Central Mini Consultancy Competition explicitly serves mixed disciplines.</x:v>
      </x:c>
      <x:c r="K11" s="10" t="str">
        <x:v>2026 employer programme page</x:v>
      </x:c>
      <x:c r="L11" s="10" t="str">
        <x:v>Russell Group</x:v>
      </x:c>
      <x:c r="M11" s="10" t="str">
        <x:v>https://dur.ac.uk/study/careers-employability-enterprise/information-for-employers/work-based-learning-programmes-for-employers/</x:v>
      </x:c>
      <x:c r="N11" s="10" t="str">
        <x:v>Direct eligibility</x:v>
      </x:c>
      <x:c r="O11" s="10" t="str">
        <x:v>Dated 2026/27</x:v>
      </x:c>
      <x:c r="P11" s="12" t="d">
        <x:v>2026-10-08T00:00:00.000Z</x:v>
      </x:c>
    </x:row>
    <x:row r="12" ht="116" customHeight="1">
      <x:c r="A12" s="10" t="str">
        <x:v>UK</x:v>
      </x:c>
      <x:c r="B12" s="11" t="str">
        <x:v>Edinburgh</x:v>
      </x:c>
      <x:c r="C12" s="10" t="str">
        <x:v>University-wide</x:v>
      </x:c>
      <x:c r="D12" s="10" t="str">
        <x:v>Live/research project</x:v>
      </x:c>
      <x:c r="E12" s="10" t="str">
        <x:v>Students as Change Agents (SACHA) elective</x:v>
      </x:c>
      <x:c r="F12" s="10" t="str">
        <x:v>Edinburgh Futures Institute</x:v>
      </x:c>
      <x:c r="G12" s="10" t="str">
        <x:v>Elective credit</x:v>
      </x:c>
      <x:c r="H12" s="10" t="str">
        <x:v>First- and second-year students in eligible programmes</x:v>
      </x:c>
      <x:c r="I12" s="10" t="str">
        <x:v>EFI elective remains available. Careers co-curricular programme is paused for the foreseeable future due to funding constraints.</x:v>
      </x:c>
      <x:c r="J12" s="10" t="str">
        <x:v>Cross-disciplinary institutional elective; separate co-curricular route is paused.</x:v>
      </x:c>
      <x:c r="K12" s="10" t="str">
        <x:v>Official page; intake unverified</x:v>
      </x:c>
      <x:c r="L12" s="10" t="str">
        <x:v>Russell Group</x:v>
      </x:c>
      <x:c r="M12" s="10" t="str">
        <x:v>https://careers.ed.ac.uk/build-experience/students-as-change-agents</x:v>
      </x:c>
      <x:c r="N12" s="10" t="str">
        <x:v>Direct eligibility</x:v>
      </x:c>
      <x:c r="O12" s="10" t="str">
        <x:v>Undated page</x:v>
      </x:c>
      <x:c r="P12" s="12" t="d">
        <x:v>2026-10-08T00:00:00.000Z</x:v>
      </x:c>
    </x:row>
    <x:row r="13" ht="116" customHeight="1">
      <x:c r="A13" s="10" t="str">
        <x:v>UK</x:v>
      </x:c>
      <x:c r="B13" s="11" t="str">
        <x:v>Exeter</x:v>
      </x:c>
      <x:c r="C13" s="10" t="str">
        <x:v>University-wide</x:v>
      </x:c>
      <x:c r="D13" s="10" t="str">
        <x:v>Live/research project</x:v>
      </x:c>
      <x:c r="E13" s="10" t="str">
        <x:v>Grand Challenges</x:v>
      </x:c>
      <x:c r="F13" s="10" t="str">
        <x:v>Grand Challenges</x:v>
      </x:c>
      <x:c r="G13" s="10" t="str">
        <x:v>Co-curricular</x:v>
      </x:c>
      <x:c r="H13" s="10" t="str">
        <x:v>Exeter students; annual participation/eligibility applies</x:v>
      </x:c>
      <x:c r="I13" s="10" t="str">
        <x:v>Optional interdisciplinary challenge programme. Student teams develop responses to sustainability questions; Future17 is recorded separately.</x:v>
      </x:c>
      <x:c r="J13" s="10" t="str">
        <x:v>University interdisciplinary challenge programme; not compulsory.</x:v>
      </x:c>
      <x:c r="K13" s="10" t="str">
        <x:v>Official page; intake unverified</x:v>
      </x:c>
      <x:c r="L13" s="10" t="str">
        <x:v>Russell Group</x:v>
      </x:c>
      <x:c r="M13" s="10" t="str">
        <x:v>https://www.exeter.ac.uk/students/grandchallenges/</x:v>
      </x:c>
      <x:c r="N13" s="10" t="str">
        <x:v>Direct eligibility</x:v>
      </x:c>
      <x:c r="O13" s="10" t="str">
        <x:v>Undated page</x:v>
      </x:c>
      <x:c r="P13" s="12" t="d">
        <x:v>2026-10-08T00:00:00.000Z</x:v>
      </x:c>
    </x:row>
    <x:row r="14" ht="116" customHeight="1">
      <x:c r="A14" s="10" t="str">
        <x:v>UK</x:v>
      </x:c>
      <x:c r="B14" s="11" t="str">
        <x:v>Glasgow</x:v>
      </x:c>
      <x:c r="C14" s="10" t="str">
        <x:v>University-wide</x:v>
      </x:c>
      <x:c r="D14" s="10" t="str">
        <x:v>International collaboration</x:v>
      </x:c>
      <x:c r="E14" s="10" t="str">
        <x:v>Collaborative Online International Learning (COIL)</x:v>
      </x:c>
      <x:c r="F14" s="10" t="str">
        <x:v>University internationalisation / academic courses</x:v>
      </x:c>
      <x:c r="G14" s="10" t="str">
        <x:v>Mixed/varies</x:v>
      </x:c>
      <x:c r="H14" s="10" t="str">
        <x:v>Students in participating courses</x:v>
      </x:c>
      <x:c r="I14" s="10" t="str">
        <x:v>Students collaborate virtually with international partners. Credit and assessment depend on the course.</x:v>
      </x:c>
      <x:c r="J14" s="10" t="str">
        <x:v>Institutional COIL support framework; actual access and credit depend on the course.</x:v>
      </x:c>
      <x:c r="K14" s="10" t="str">
        <x:v>Official page; intake unverified</x:v>
      </x:c>
      <x:c r="L14" s="10" t="str">
        <x:v>Russell Group</x:v>
      </x:c>
      <x:c r="M14" s="10" t="str">
        <x:v>https://www.gla.ac.uk/explore/internationalisation/coil/</x:v>
      </x:c>
      <x:c r="N14" s="10" t="str">
        <x:v>Institutional framework</x:v>
      </x:c>
      <x:c r="O14" s="10" t="str">
        <x:v>Undated page</x:v>
      </x:c>
      <x:c r="P14" s="12" t="d">
        <x:v>2026-10-08T00:00:00.000Z</x:v>
      </x:c>
    </x:row>
    <x:row r="15" ht="116" customHeight="1">
      <x:c r="A15" s="10" t="str">
        <x:v>UK</x:v>
      </x:c>
      <x:c r="B15" s="11" t="str">
        <x:v>Imperial College London</x:v>
      </x:c>
      <x:c r="C15" s="10" t="str">
        <x:v>University-wide</x:v>
      </x:c>
      <x:c r="D15" s="10" t="str">
        <x:v>Interdisciplinary curriculum</x:v>
      </x:c>
      <x:c r="E15" s="10" t="str">
        <x:v>I-Explore</x:v>
      </x:c>
      <x:c r="F15" s="10" t="str">
        <x:v>Centre for Languages, Culture and Communication</x:v>
      </x:c>
      <x:c r="G15" s="10" t="str">
        <x:v>Compulsory</x:v>
      </x:c>
      <x:c r="H15" s="10" t="str">
        <x:v>Undergraduates on participating programmes</x:v>
      </x:c>
      <x:c r="I15" s="10" t="str">
        <x:v>Second- or third-year study outside the main discipline. Options include interdisciplinary and practical work.</x:v>
      </x:c>
      <x:c r="J15" s="10" t="str">
        <x:v>University undergraduate breadth requirement; degree-specific rules apply.</x:v>
      </x:c>
      <x:c r="K15" s="10" t="str">
        <x:v>Official page; intake unverified</x:v>
      </x:c>
      <x:c r="L15" s="10" t="str">
        <x:v>Russell Group</x:v>
      </x:c>
      <x:c r="M15" s="10" t="str">
        <x:v>https://www.imperial.ac.uk/centre-for-languages-culture-and-communication/i-explore/</x:v>
      </x:c>
      <x:c r="N15" s="10" t="str">
        <x:v>Direct eligibility</x:v>
      </x:c>
      <x:c r="O15" s="10" t="str">
        <x:v>Undated page</x:v>
      </x:c>
      <x:c r="P15" s="12" t="d">
        <x:v>2026-10-08T00:00:00.000Z</x:v>
      </x:c>
    </x:row>
    <x:row r="16" ht="116" customHeight="1">
      <x:c r="A16" s="10" t="str">
        <x:v>UK</x:v>
      </x:c>
      <x:c r="B16" s="11" t="str">
        <x:v>King’s College London</x:v>
      </x:c>
      <x:c r="C16" s="10" t="str">
        <x:v>Programme/course</x:v>
      </x:c>
      <x:c r="D16" s="10" t="str">
        <x:v>Live/research project</x:v>
      </x:c>
      <x:c r="E16" s="10" t="str">
        <x:v>Business Experience Project</x:v>
      </x:c>
      <x:c r="F16" s="10" t="str">
        <x:v>King’s Business School</x:v>
      </x:c>
      <x:c r="G16" s="10" t="str">
        <x:v>Mixed/varies</x:v>
      </x:c>
      <x:c r="H16" s="10" t="str">
        <x:v>International Management MSc students</x:v>
      </x:c>
      <x:c r="I16" s="10" t="str">
        <x:v>A business-school example of experiential study. Not a compulsory university-wide scheme.</x:v>
      </x:c>
      <x:c r="J16" s="10" t="str">
        <x:v>Specific taught master’s route; project/internship structure follows programme requirements.</x:v>
      </x:c>
      <x:c r="K16" s="10" t="str">
        <x:v>Official page; intake unverified</x:v>
      </x:c>
      <x:c r="L16" s="10" t="str">
        <x:v>Russell Group</x:v>
      </x:c>
      <x:c r="M16" s="10" t="str">
        <x:v>https://www.kcl.ac.uk/study/postgraduate-taught/courses/international-management-msc/teaching</x:v>
      </x:c>
      <x:c r="N16" s="10" t="str">
        <x:v>Direct eligibility</x:v>
      </x:c>
      <x:c r="O16" s="10" t="str">
        <x:v>Undated page</x:v>
      </x:c>
      <x:c r="P16" s="12" t="d">
        <x:v>2026-10-08T00:00:00.000Z</x:v>
      </x:c>
    </x:row>
    <x:row r="17" ht="116" customHeight="1">
      <x:c r="A17" s="10" t="str">
        <x:v>UK</x:v>
      </x:c>
      <x:c r="B17" s="11" t="str">
        <x:v>Leeds</x:v>
      </x:c>
      <x:c r="C17" s="10" t="str">
        <x:v>University-wide</x:v>
      </x:c>
      <x:c r="D17" s="10" t="str">
        <x:v>Interdisciplinary curriculum</x:v>
      </x:c>
      <x:c r="E17" s="10" t="str">
        <x:v>Discovery Modules</x:v>
      </x:c>
      <x:c r="F17" s="10" t="str">
        <x:v>Central Discovery Modules</x:v>
      </x:c>
      <x:c r="G17" s="10" t="str">
        <x:v>Elective credit</x:v>
      </x:c>
      <x:c r="H17" s="10" t="str">
        <x:v>Undergraduates where programme rules permit</x:v>
      </x:c>
      <x:c r="I17" s="10" t="str">
        <x:v>Students study beyond their main discipline. Experiential content depends on the module selected.</x:v>
      </x:c>
      <x:c r="J17" s="10" t="str">
        <x:v>University breadth-module framework; experiential content varies by module.</x:v>
      </x:c>
      <x:c r="K17" s="10" t="str">
        <x:v>Official page; intake unverified</x:v>
      </x:c>
      <x:c r="L17" s="10" t="str">
        <x:v>Russell Group</x:v>
      </x:c>
      <x:c r="M17" s="10" t="str">
        <x:v>https://students.leeds.ac.uk/discovery</x:v>
      </x:c>
      <x:c r="N17" s="10" t="str">
        <x:v>Institutional framework</x:v>
      </x:c>
      <x:c r="O17" s="10" t="str">
        <x:v>Undated page</x:v>
      </x:c>
      <x:c r="P17" s="12" t="d">
        <x:v>2026-10-08T00:00:00.000Z</x:v>
      </x:c>
    </x:row>
    <x:row r="18" ht="116" customHeight="1">
      <x:c r="A18" s="10" t="str">
        <x:v>UK</x:v>
      </x:c>
      <x:c r="B18" s="11" t="str">
        <x:v>Liverpool</x:v>
      </x:c>
      <x:c r="C18" s="10" t="str">
        <x:v>University-wide</x:v>
      </x:c>
      <x:c r="D18" s="10" t="str">
        <x:v>Live/research project</x:v>
      </x:c>
      <x:c r="E18" s="10" t="str">
        <x:v>Grand Challenges</x:v>
      </x:c>
      <x:c r="F18" s="10" t="str">
        <x:v>Careers and Employability</x:v>
      </x:c>
      <x:c r="G18" s="10" t="str">
        <x:v>Co-curricular</x:v>
      </x:c>
      <x:c r="H18" s="10" t="str">
        <x:v>Eligible students across campus</x:v>
      </x:c>
      <x:c r="I18" s="10" t="str">
        <x:v>Student teams address real challenges through employer engagement.</x:v>
      </x:c>
      <x:c r="J18" s="10" t="str">
        <x:v>Official employer page describes campus-wide initiative.</x:v>
      </x:c>
      <x:c r="K18" s="10" t="str">
        <x:v>Official page; intake unverified</x:v>
      </x:c>
      <x:c r="L18" s="10" t="str">
        <x:v>Russell Group</x:v>
      </x:c>
      <x:c r="M18" s="10" t="str">
        <x:v>https://www.liverpool.ac.uk/careers/employers/campus-wide-initiatives/grand-challenges/</x:v>
      </x:c>
      <x:c r="N18" s="10" t="str">
        <x:v>Direct eligibility</x:v>
      </x:c>
      <x:c r="O18" s="10" t="str">
        <x:v>Undated page</x:v>
      </x:c>
      <x:c r="P18" s="12" t="d">
        <x:v>2026-10-08T00:00:00.000Z</x:v>
      </x:c>
    </x:row>
    <x:row r="19" ht="116" customHeight="1">
      <x:c r="A19" s="10" t="str">
        <x:v>UK</x:v>
      </x:c>
      <x:c r="B19" s="11" t="str">
        <x:v>London School of Economics</x:v>
      </x:c>
      <x:c r="C19" s="10" t="str">
        <x:v>University-wide</x:v>
      </x:c>
      <x:c r="D19" s="10" t="str">
        <x:v>Interdisciplinary curriculum</x:v>
      </x:c>
      <x:c r="E19" s="10" t="str">
        <x:v>LSE100</x:v>
      </x:c>
      <x:c r="F19" s="10" t="str">
        <x:v>LSE100</x:v>
      </x:c>
      <x:c r="G19" s="10" t="str">
        <x:v>Compulsory</x:v>
      </x:c>
      <x:c r="H19" s="10" t="str">
        <x:v>All first-year undergraduates</x:v>
      </x:c>
      <x:c r="I19" s="10" t="str">
        <x:v>Compulsory first-year interdisciplinary inquiry and collaborative research. Separate optional Future17 projects are recorded on their own row.</x:v>
      </x:c>
      <x:c r="J19" s="10" t="str">
        <x:v>Explicit compulsory institution-wide first-year curriculum.</x:v>
      </x:c>
      <x:c r="K19" s="10" t="str">
        <x:v>Official page; intake unverified</x:v>
      </x:c>
      <x:c r="L19" s="10" t="str">
        <x:v>Russell Group</x:v>
      </x:c>
      <x:c r="M19" s="10" t="str">
        <x:v>https://info.lse.ac.uk/current-students/lse100/about-lse-100</x:v>
      </x:c>
      <x:c r="N19" s="10" t="str">
        <x:v>Direct eligibility</x:v>
      </x:c>
      <x:c r="O19" s="10" t="str">
        <x:v>Undated page</x:v>
      </x:c>
      <x:c r="P19" s="12" t="d">
        <x:v>2026-10-08T00:00:00.000Z</x:v>
      </x:c>
    </x:row>
    <x:row r="20" ht="116" customHeight="1">
      <x:c r="A20" s="10" t="str">
        <x:v>UK</x:v>
      </x:c>
      <x:c r="B20" s="11" t="str">
        <x:v>Manchester</x:v>
      </x:c>
      <x:c r="C20" s="10" t="str">
        <x:v>University-wide</x:v>
      </x:c>
      <x:c r="D20" s="10" t="str">
        <x:v>Interdisciplinary curriculum</x:v>
      </x:c>
      <x:c r="E20" s="10" t="str">
        <x:v>University College for Interdisciplinary Learning (UCIL)</x:v>
      </x:c>
      <x:c r="F20" s="10" t="str">
        <x:v>University College for Interdisciplinary Learning</x:v>
      </x:c>
      <x:c r="G20" s="10" t="str">
        <x:v>Elective credit</x:v>
      </x:c>
      <x:c r="H20" s="10" t="str">
        <x:v>Undergraduates with available optional credit</x:v>
      </x:c>
      <x:c r="I20" s="10" t="str">
        <x:v>Cross-disciplinary units, including enterprise and community-oriented learning. 2035 strategy commits to expanding partner-based learning for credit.</x:v>
      </x:c>
      <x:c r="J20" s="10" t="str">
        <x:v>University-level interdisciplinary unit framework; future expansion plans are not current provision.</x:v>
      </x:c>
      <x:c r="K20" s="10" t="str">
        <x:v>Official page; intake unverified</x:v>
      </x:c>
      <x:c r="L20" s="10" t="str">
        <x:v>Russell Group</x:v>
      </x:c>
      <x:c r="M20" s="10" t="str">
        <x:v>https://www.ucil.manchester.ac.uk/info-for-students/
https://www.manchester.ac.uk/about/manchester-2035/full-strategy/</x:v>
      </x:c>
      <x:c r="N20" s="10" t="str">
        <x:v>Institutional framework</x:v>
      </x:c>
      <x:c r="O20" s="10" t="str">
        <x:v>Undated page</x:v>
      </x:c>
      <x:c r="P20" s="12" t="d">
        <x:v>2026-10-08T00:00:00.000Z</x:v>
      </x:c>
    </x:row>
    <x:row r="21" ht="116" customHeight="1">
      <x:c r="A21" s="10" t="str">
        <x:v>UK</x:v>
      </x:c>
      <x:c r="B21" s="11" t="str">
        <x:v>Newcastle</x:v>
      </x:c>
      <x:c r="C21" s="10" t="str">
        <x:v>Cross-faculty</x:v>
      </x:c>
      <x:c r="D21" s="10" t="str">
        <x:v>Enterprise programme</x:v>
      </x:c>
      <x:c r="E21" s="10" t="str">
        <x:v>NCL2100 Developing Enterprise, Entrepreneurship and Employability</x:v>
      </x:c>
      <x:c r="F21" s="10" t="str">
        <x:v>Careers / participating academic programmes</x:v>
      </x:c>
      <x:c r="G21" s="10" t="str">
        <x:v>Elective credit</x:v>
      </x:c>
      <x:c r="H21" s="10" t="str">
        <x:v>Students on degrees allowing NCL2100</x:v>
      </x:c>
      <x:c r="I21" s="10" t="str">
        <x:v>Cross-faculty enterprise module. Current staff profile confirms module leadership. Detailed current module availability needs checking by degree.</x:v>
      </x:c>
      <x:c r="J21" s="10" t="str">
        <x:v>Cross-faculty module; precise current degree eligibility not verified.</x:v>
      </x:c>
      <x:c r="K21" s="10" t="str">
        <x:v>Official page; intake unverified</x:v>
      </x:c>
      <x:c r="L21" s="10" t="str">
        <x:v>Russell Group</x:v>
      </x:c>
      <x:c r="M21" s="10" t="str">
        <x:v>https://www.ncl.ac.uk/computing/people/profile/charlottehope.html</x:v>
      </x:c>
      <x:c r="N21" s="10" t="str">
        <x:v>Direct eligibility</x:v>
      </x:c>
      <x:c r="O21" s="10" t="str">
        <x:v>Undated page</x:v>
      </x:c>
      <x:c r="P21" s="12" t="d">
        <x:v>2026-10-08T00:00:00.000Z</x:v>
      </x:c>
    </x:row>
    <x:row r="22" ht="116" customHeight="1">
      <x:c r="A22" s="10" t="str">
        <x:v>UK</x:v>
      </x:c>
      <x:c r="B22" s="11" t="str">
        <x:v>Nottingham</x:v>
      </x:c>
      <x:c r="C22" s="10" t="str">
        <x:v>University-wide</x:v>
      </x:c>
      <x:c r="D22" s="10" t="str">
        <x:v>Co-curricular award</x:v>
      </x:c>
      <x:c r="E22" s="10" t="str">
        <x:v>Nottingham Advantage Award</x:v>
      </x:c>
      <x:c r="F22" s="10" t="str">
        <x:v>Careers / Nottingham Advantage Award</x:v>
      </x:c>
      <x:c r="G22" s="10" t="str">
        <x:v>Co-curricular</x:v>
      </x:c>
      <x:c r="H22" s="10" t="str">
        <x:v>Eligible students undertaking extracurricular modules</x:v>
      </x:c>
      <x:c r="I22" s="10" t="str">
        <x:v>Formal recognition of work-related skills and extracurricular learning. Not equivalent to a compulsory degree course.</x:v>
      </x:c>
      <x:c r="J22" s="10" t="str">
        <x:v>Central award; academic-credit equivalence not claimed.</x:v>
      </x:c>
      <x:c r="K22" s="10" t="str">
        <x:v>Official page; intake unverified</x:v>
      </x:c>
      <x:c r="L22" s="10" t="str">
        <x:v>Russell Group</x:v>
      </x:c>
      <x:c r="M22" s="10" t="str">
        <x:v>https://blogs.nottingham.ac.uk/careers/2024/07/25/advantage-award/</x:v>
      </x:c>
      <x:c r="N22" s="10" t="str">
        <x:v>Direct eligibility</x:v>
      </x:c>
      <x:c r="O22" s="10" t="str">
        <x:v>Undated page</x:v>
      </x:c>
      <x:c r="P22" s="12" t="d">
        <x:v>2026-10-08T00:00:00.000Z</x:v>
      </x:c>
    </x:row>
    <x:row r="23" ht="116" customHeight="1">
      <x:c r="A23" s="10" t="str">
        <x:v>UK</x:v>
      </x:c>
      <x:c r="B23" s="11" t="str">
        <x:v>Oxford</x:v>
      </x:c>
      <x:c r="C23" s="10" t="str">
        <x:v>University-wide</x:v>
      </x:c>
      <x:c r="D23" s="10" t="str">
        <x:v>Placement/WIL</x:v>
      </x:c>
      <x:c r="E23" s="10" t="str">
        <x:v>Micro-Internship Programme</x:v>
      </x:c>
      <x:c r="F23" s="10" t="str">
        <x:v>Careers Service</x:v>
      </x:c>
      <x:c r="G23" s="10" t="str">
        <x:v>Co-curricular</x:v>
      </x:c>
      <x:c r="H23" s="10" t="str">
        <x:v>Undergraduate and postgraduate students; selection applies</x:v>
      </x:c>
      <x:c r="I23" s="10" t="str">
        <x:v>Two- to five-day learning placements involving project assistance and work shadowing.</x:v>
      </x:c>
      <x:c r="J23" s="10" t="str">
        <x:v>Explicit both-level central micro-internship provision.</x:v>
      </x:c>
      <x:c r="K23" s="10" t="str">
        <x:v>Official page; intake unverified</x:v>
      </x:c>
      <x:c r="L23" s="10" t="str">
        <x:v>Russell Group</x:v>
      </x:c>
      <x:c r="M23" s="10" t="str">
        <x:v>https://www.ox.ac.uk/careers/internships/the-micro-internship-programme</x:v>
      </x:c>
      <x:c r="N23" s="10" t="str">
        <x:v>Direct eligibility</x:v>
      </x:c>
      <x:c r="O23" s="10" t="str">
        <x:v>Undated page</x:v>
      </x:c>
      <x:c r="P23" s="12" t="d">
        <x:v>2026-10-08T00:00:00.000Z</x:v>
      </x:c>
    </x:row>
    <x:row r="24" ht="116" customHeight="1">
      <x:c r="A24" s="10" t="str">
        <x:v>UK</x:v>
      </x:c>
      <x:c r="B24" s="11" t="str">
        <x:v>Queen Mary University of London</x:v>
      </x:c>
      <x:c r="C24" s="10" t="str">
        <x:v>Faculty/school</x:v>
      </x:c>
      <x:c r="D24" s="10" t="str">
        <x:v>Live/research project</x:v>
      </x:c>
      <x:c r="E24" s="10" t="str">
        <x:v>SBM Consult</x:v>
      </x:c>
      <x:c r="F24" s="10" t="str">
        <x:v>School of Business and Management</x:v>
      </x:c>
      <x:c r="G24" s="10" t="str">
        <x:v>Co-curricular</x:v>
      </x:c>
      <x:c r="H24" s="10" t="str">
        <x:v>SBM students; project selection applies</x:v>
      </x:c>
      <x:c r="I24" s="10" t="str">
        <x:v>Teams of five undertake real university client projects over ten weeks. Programme page describes paid project work.</x:v>
      </x:c>
      <x:c r="J24" s="10" t="str">
        <x:v>Official scheme restricts eligibility to a named school.</x:v>
      </x:c>
      <x:c r="K24" s="10" t="str">
        <x:v>Official page; intake unverified</x:v>
      </x:c>
      <x:c r="L24" s="10" t="str">
        <x:v>Russell Group</x:v>
      </x:c>
      <x:c r="M24" s="10" t="str">
        <x:v>https://www.qmul.ac.uk/careers/find-opportunities/current-opportunities/sbm-consult/</x:v>
      </x:c>
      <x:c r="N24" s="10" t="str">
        <x:v>Direct eligibility</x:v>
      </x:c>
      <x:c r="O24" s="10" t="str">
        <x:v>Undated page</x:v>
      </x:c>
      <x:c r="P24" s="12" t="d">
        <x:v>2026-10-08T00:00:00.000Z</x:v>
      </x:c>
    </x:row>
    <x:row r="25" ht="116" customHeight="1">
      <x:c r="A25" s="10" t="str">
        <x:v>UK</x:v>
      </x:c>
      <x:c r="B25" s="11" t="str">
        <x:v>Queen’s University Belfast</x:v>
      </x:c>
      <x:c r="C25" s="10" t="str">
        <x:v>University-wide</x:v>
      </x:c>
      <x:c r="D25" s="10" t="str">
        <x:v>Co-curricular award</x:v>
      </x:c>
      <x:c r="E25" s="10" t="str">
        <x:v>Future-Ready Award</x:v>
      </x:c>
      <x:c r="F25" s="10" t="str">
        <x:v>Central Future-Ready Award</x:v>
      </x:c>
      <x:c r="G25" s="10" t="str">
        <x:v>Co-curricular</x:v>
      </x:c>
      <x:c r="H25" s="10" t="str">
        <x:v>Undergraduate and postgraduate students</x:v>
      </x:c>
      <x:c r="I25" s="10" t="str">
        <x:v>Recognises work experience, volunteering and other activities. Official page reports 1,000+ awards per year and 100+ accredited activities.</x:v>
      </x:c>
      <x:c r="J25" s="10" t="str">
        <x:v>Central university recognition with both-level eligibility.</x:v>
      </x:c>
      <x:c r="K25" s="10" t="str">
        <x:v>Official page; intake unverified</x:v>
      </x:c>
      <x:c r="L25" s="10" t="str">
        <x:v>Russell Group</x:v>
      </x:c>
      <x:c r="M25" s="10" t="str">
        <x:v>https://www.qub.ac.uk/directorates/future-ready-award/</x:v>
      </x:c>
      <x:c r="N25" s="10" t="str">
        <x:v>Direct eligibility</x:v>
      </x:c>
      <x:c r="O25" s="10" t="str">
        <x:v>Undated page</x:v>
      </x:c>
      <x:c r="P25" s="12" t="d">
        <x:v>2026-10-08T00:00:00.000Z</x:v>
      </x:c>
    </x:row>
    <x:row r="26" ht="116" customHeight="1">
      <x:c r="A26" s="10" t="str">
        <x:v>UK</x:v>
      </x:c>
      <x:c r="B26" s="11" t="str">
        <x:v>Sheffield</x:v>
      </x:c>
      <x:c r="C26" s="10" t="str">
        <x:v>Faculty/school</x:v>
      </x:c>
      <x:c r="D26" s="10" t="str">
        <x:v>Live/research project</x:v>
      </x:c>
      <x:c r="E26" s="10" t="str">
        <x:v>Global Engineering Challenge / Engineering: You’re Hired!</x:v>
      </x:c>
      <x:c r="F26" s="10" t="str">
        <x:v>Faculty of Engineering</x:v>
      </x:c>
      <x:c r="G26" s="10" t="str">
        <x:v>Compulsory</x:v>
      </x:c>
      <x:c r="H26" s="10" t="str">
        <x:v>First- and second-year Engineering students</x:v>
      </x:c>
      <x:c r="I26" s="10" t="str">
        <x:v>First- and second-year multidisciplinary project weeks. In 2026, GEC involved 1,547 first-year students in 258 teams.</x:v>
      </x:c>
      <x:c r="J26" s="10" t="str">
        <x:v>Faculty curriculum: GEC and Engineering: You’re Hired! have the same faculty reach.</x:v>
      </x:c>
      <x:c r="K26" s="10" t="str">
        <x:v>2026 project weeks confirmed</x:v>
      </x:c>
      <x:c r="L26" s="10" t="str">
        <x:v>Russell Group</x:v>
      </x:c>
      <x:c r="M26" s="10" t="str">
        <x:v>https://sheffield.ac.uk/engineering/diamond-engineering/engineering-project-weeks-2026-learning-through-real-life-challenges</x:v>
      </x:c>
      <x:c r="N26" s="10" t="str">
        <x:v>Direct eligibility</x:v>
      </x:c>
      <x:c r="O26" s="10" t="str">
        <x:v>Dated 2026/27</x:v>
      </x:c>
      <x:c r="P26" s="12" t="d">
        <x:v>2026-10-08T00:00:00.000Z</x:v>
      </x:c>
    </x:row>
    <x:row r="27" ht="116" customHeight="1">
      <x:c r="A27" s="10" t="str">
        <x:v>UK</x:v>
      </x:c>
      <x:c r="B27" s="11" t="str">
        <x:v>Southampton</x:v>
      </x:c>
      <x:c r="C27" s="10" t="str">
        <x:v>Programme/course</x:v>
      </x:c>
      <x:c r="D27" s="10" t="str">
        <x:v>Live/research project</x:v>
      </x:c>
      <x:c r="E27" s="10" t="str">
        <x:v>Industry Consultancy Projects</x:v>
      </x:c>
      <x:c r="F27" s="10" t="str">
        <x:v>Centre for Risk Research</x:v>
      </x:c>
      <x:c r="G27" s="10" t="str">
        <x:v>Mixed/varies</x:v>
      </x:c>
      <x:c r="H27" s="10" t="str">
        <x:v>Relevant Risk Research master’s programmes</x:v>
      </x:c>
      <x:c r="I27" s="10" t="str">
        <x:v>Students work on industry consultancy projects. This is a specialist example rather than a university-wide common course.</x:v>
      </x:c>
      <x:c r="J27" s="10" t="str">
        <x:v>Specialist programme project evidence; not university-wide.</x:v>
      </x:c>
      <x:c r="K27" s="10" t="str">
        <x:v>Official page; intake unverified</x:v>
      </x:c>
      <x:c r="L27" s="10" t="str">
        <x:v>Russell Group</x:v>
      </x:c>
      <x:c r="M27" s="10" t="str">
        <x:v>https://www.southampton.ac.uk/research/institutes-centres/centre-for-risk-research-crr/industry-consultancy-projects</x:v>
      </x:c>
      <x:c r="N27" s="10" t="str">
        <x:v>Direct eligibility</x:v>
      </x:c>
      <x:c r="O27" s="10" t="str">
        <x:v>Undated page</x:v>
      </x:c>
      <x:c r="P27" s="12" t="d">
        <x:v>2026-10-08T00:00:00.000Z</x:v>
      </x:c>
    </x:row>
    <x:row r="28" ht="116" customHeight="1">
      <x:c r="A28" s="10" t="str">
        <x:v>UK</x:v>
      </x:c>
      <x:c r="B28" s="11" t="str">
        <x:v>UCL</x:v>
      </x:c>
      <x:c r="C28" s="10" t="str">
        <x:v>University-wide</x:v>
      </x:c>
      <x:c r="D28" s="10" t="str">
        <x:v>Live/research project</x:v>
      </x:c>
      <x:c r="E28" s="10" t="str">
        <x:v>Grand Challenges × ChangeMakers</x:v>
      </x:c>
      <x:c r="F28" s="10" t="str">
        <x:v>UCL Grand Challenges / ChangeMakers</x:v>
      </x:c>
      <x:c r="G28" s="10" t="str">
        <x:v>Co-curricular</x:v>
      </x:c>
      <x:c r="H28" s="10" t="str">
        <x:v>Eligible student–staff project teams</x:v>
      </x:c>
      <x:c r="I28" s="10" t="str">
        <x:v>Student–staff projects address Grand Challenges. September 2026 call confirms current activity.</x:v>
      </x:c>
      <x:c r="J28" s="10" t="str">
        <x:v>University-level grant initiative; competitive application and project eligibility apply.</x:v>
      </x:c>
      <x:c r="K28" s="10" t="str">
        <x:v>September 2026 application call confirmed</x:v>
      </x:c>
      <x:c r="L28" s="10" t="str">
        <x:v>Russell Group</x:v>
      </x:c>
      <x:c r="M28" s="10" t="str">
        <x:v>https://www.ucl.ac.uk/research-innovation/news/2026/sep/grand-challenges-x-changemakers-applications-now-open</x:v>
      </x:c>
      <x:c r="N28" s="10" t="str">
        <x:v>Direct eligibility</x:v>
      </x:c>
      <x:c r="O28" s="10" t="str">
        <x:v>Dated 2026/27</x:v>
      </x:c>
      <x:c r="P28" s="12" t="d">
        <x:v>2026-10-08T00:00:00.000Z</x:v>
      </x:c>
    </x:row>
    <x:row r="29" ht="116" customHeight="1">
      <x:c r="A29" s="10" t="str">
        <x:v>UK</x:v>
      </x:c>
      <x:c r="B29" s="11" t="str">
        <x:v>Warwick</x:v>
      </x:c>
      <x:c r="C29" s="10" t="str">
        <x:v>University-wide</x:v>
      </x:c>
      <x:c r="D29" s="10" t="str">
        <x:v>Interdisciplinary curriculum</x:v>
      </x:c>
      <x:c r="E29" s="10" t="str">
        <x:v>IATL undergraduate modules</x:v>
      </x:c>
      <x:c r="F29" s="10" t="str">
        <x:v>Institute for Advanced Teaching and Learning</x:v>
      </x:c>
      <x:c r="G29" s="10" t="str">
        <x:v>Elective credit</x:v>
      </x:c>
      <x:c r="H29" s="10" t="str">
        <x:v>Undergraduates with approval / available optional credits</x:v>
      </x:c>
      <x:c r="I29" s="10" t="str">
        <x:v>Interdisciplinary and transdisciplinary modules support collaborative learning. Live partner involvement varies.</x:v>
      </x:c>
      <x:c r="J29" s="10" t="str">
        <x:v>Cross-faculty institute provides a university-level elective framework.</x:v>
      </x:c>
      <x:c r="K29" s="10" t="str">
        <x:v>Official page; intake unverified</x:v>
      </x:c>
      <x:c r="L29" s="10" t="str">
        <x:v>Russell Group</x:v>
      </x:c>
      <x:c r="M29" s="10" t="str">
        <x:v>https://warwick.ac.uk/fac/cross_fac/iatl/study/iatlugmodules/</x:v>
      </x:c>
      <x:c r="N29" s="10" t="str">
        <x:v>Institutional framework</x:v>
      </x:c>
      <x:c r="O29" s="10" t="str">
        <x:v>Undated page</x:v>
      </x:c>
      <x:c r="P29" s="12" t="d">
        <x:v>2026-10-08T00:00:00.000Z</x:v>
      </x:c>
    </x:row>
    <x:row r="30" ht="116" customHeight="1">
      <x:c r="A30" s="10" t="str">
        <x:v>UK</x:v>
      </x:c>
      <x:c r="B30" s="11" t="str">
        <x:v>York</x:v>
      </x:c>
      <x:c r="C30" s="10" t="str">
        <x:v>University-wide</x:v>
      </x:c>
      <x:c r="D30" s="10" t="str">
        <x:v>Interdisciplinary curriculum</x:v>
      </x:c>
      <x:c r="E30" s="10" t="str">
        <x:v>York Interdisciplinary Modules</x:v>
      </x:c>
      <x:c r="F30" s="10" t="str">
        <x:v>York Interdisciplinary Modules</x:v>
      </x:c>
      <x:c r="G30" s="10" t="str">
        <x:v>Elective credit</x:v>
      </x:c>
      <x:c r="H30" s="10" t="str">
        <x:v>Students on eligible programmes</x:v>
      </x:c>
      <x:c r="I30" s="10" t="str">
        <x:v>Optional modules connect disciplines beyond the main degree. Practical or external-partner content depends on the module; Sustainability Clinic is recorded separately.</x:v>
      </x:c>
      <x:c r="J30" s="10" t="str">
        <x:v>University breadth framework; exact availability varies by degree.</x:v>
      </x:c>
      <x:c r="K30" s="10" t="str">
        <x:v>Official page; intake unverified</x:v>
      </x:c>
      <x:c r="L30" s="10" t="str">
        <x:v>Russell Group</x:v>
      </x:c>
      <x:c r="M30" s="10" t="str">
        <x:v>https://features.york.ac.uk/york-interdisciplinary-modules/</x:v>
      </x:c>
      <x:c r="N30" s="10" t="str">
        <x:v>Institutional framework</x:v>
      </x:c>
      <x:c r="O30" s="10" t="str">
        <x:v>Undated page</x:v>
      </x:c>
      <x:c r="P30" s="12" t="d">
        <x:v>2026-10-08T00:00:00.000Z</x:v>
      </x:c>
    </x:row>
    <x:row r="31" ht="116" customHeight="1">
      <x:c r="A31" s="10" t="str">
        <x:v>Australia</x:v>
      </x:c>
      <x:c r="B31" s="11" t="str">
        <x:v>UNSW Sydney</x:v>
      </x:c>
      <x:c r="C31" s="10" t="str">
        <x:v>Faculty/school</x:v>
      </x:c>
      <x:c r="D31" s="10" t="str">
        <x:v>Live/research project</x:v>
      </x:c>
      <x:c r="E31" s="10" t="str">
        <x:v>COMM1120 Collaboration and Innovation in Business</x:v>
      </x:c>
      <x:c r="F31" s="10" t="str">
        <x:v>UNSW Business School</x:v>
      </x:c>
      <x:c r="G31" s="10" t="str">
        <x:v>Compulsory</x:v>
      </x:c>
      <x:c r="H31" s="10" t="str">
        <x:v>Business students taking COMM1120 under degree rules</x:v>
      </x:c>
      <x:c r="I31" s="10" t="str">
        <x:v>Collaborative problem-solving and innovation course. Not a university-wide common core.</x:v>
      </x:c>
      <x:c r="J31" s="10" t="str">
        <x:v>Business-school course; not evidence of a common university core.</x:v>
      </x:c>
      <x:c r="K31" s="10" t="str">
        <x:v>Official page; intake unverified</x:v>
      </x:c>
      <x:c r="L31" s="10" t="str">
        <x:v>Australia top 10</x:v>
      </x:c>
      <x:c r="M31" s="10" t="str">
        <x:v>https://timetable.unsw.edu.au/2026/COMM1120.html</x:v>
      </x:c>
      <x:c r="N31" s="10" t="str">
        <x:v>Direct eligibility</x:v>
      </x:c>
      <x:c r="O31" s="10" t="str">
        <x:v>Undated page</x:v>
      </x:c>
      <x:c r="P31" s="12" t="d">
        <x:v>2026-10-08T00:00:00.000Z</x:v>
      </x:c>
    </x:row>
    <x:row r="32" ht="116" customHeight="1">
      <x:c r="A32" s="10" t="str">
        <x:v>Australia</x:v>
      </x:c>
      <x:c r="B32" s="11" t="str">
        <x:v>Melbourne</x:v>
      </x:c>
      <x:c r="C32" s="10" t="str">
        <x:v>University-wide</x:v>
      </x:c>
      <x:c r="D32" s="10" t="str">
        <x:v>Interdisciplinary curriculum</x:v>
      </x:c>
      <x:c r="E32" s="10" t="str">
        <x:v>Breadth subjects / Melbourne curriculum</x:v>
      </x:c>
      <x:c r="F32" s="10" t="str">
        <x:v>Melbourne curriculum / academic faculties</x:v>
      </x:c>
      <x:c r="G32" s="10" t="str">
        <x:v>Compulsory</x:v>
      </x:c>
      <x:c r="H32" s="10" t="str">
        <x:v>Students on undergraduate degrees with breadth requirements</x:v>
      </x:c>
      <x:c r="I32" s="10" t="str">
        <x:v>Study outside the main discipline. Experiential components depend on subject choice.</x:v>
      </x:c>
      <x:c r="J32" s="10" t="str">
        <x:v>University curriculum framework with degree exclusions and subject-specific experiential content.</x:v>
      </x:c>
      <x:c r="K32" s="10" t="str">
        <x:v>Official page; intake unverified</x:v>
      </x:c>
      <x:c r="L32" s="10" t="str">
        <x:v>Australia top 10</x:v>
      </x:c>
      <x:c r="M32" s="10" t="str">
        <x:v>https://students.unimelb.edu.au/course-admin/planning-your-course-and-subjects/breadth-subjects</x:v>
      </x:c>
      <x:c r="N32" s="10" t="str">
        <x:v>Institutional framework</x:v>
      </x:c>
      <x:c r="O32" s="10" t="str">
        <x:v>Undated page</x:v>
      </x:c>
      <x:c r="P32" s="12" t="d">
        <x:v>2026-10-08T00:00:00.000Z</x:v>
      </x:c>
    </x:row>
    <x:row r="33" ht="116" customHeight="1">
      <x:c r="A33" s="10" t="str">
        <x:v>Australia</x:v>
      </x:c>
      <x:c r="B33" s="11" t="str">
        <x:v>Sydney</x:v>
      </x:c>
      <x:c r="C33" s="10" t="str">
        <x:v>University-wide</x:v>
      </x:c>
      <x:c r="D33" s="10" t="str">
        <x:v>Live/research project</x:v>
      </x:c>
      <x:c r="E33" s="10" t="str">
        <x:v>Industry and Community Project Units</x:v>
      </x:c>
      <x:c r="F33" s="10" t="str">
        <x:v>Central Industry and Community Project Units</x:v>
      </x:c>
      <x:c r="G33" s="10" t="str">
        <x:v>Elective credit</x:v>
      </x:c>
      <x:c r="H33" s="10" t="str">
        <x:v>Students in eligible programmes; unit rules apply</x:v>
      </x:c>
      <x:c r="I33" s="10" t="str">
        <x:v>Interdisciplinary teams address authentic briefs from industry and community organisations.</x:v>
      </x:c>
      <x:c r="J33" s="10" t="str">
        <x:v>Institutional project-unit framework across disciplines, not every degree.</x:v>
      </x:c>
      <x:c r="K33" s="10" t="str">
        <x:v>Official page; intake unverified</x:v>
      </x:c>
      <x:c r="L33" s="10" t="str">
        <x:v>Australia top 10</x:v>
      </x:c>
      <x:c r="M33" s="10" t="str">
        <x:v>https://www.sydney.edu.au/students/industry-and-community-projects.html</x:v>
      </x:c>
      <x:c r="N33" s="10" t="str">
        <x:v>Institutional framework</x:v>
      </x:c>
      <x:c r="O33" s="10" t="str">
        <x:v>Undated page</x:v>
      </x:c>
      <x:c r="P33" s="12" t="d">
        <x:v>2026-10-08T00:00:00.000Z</x:v>
      </x:c>
    </x:row>
    <x:row r="34" ht="116" customHeight="1">
      <x:c r="A34" s="10" t="str">
        <x:v>Australia</x:v>
      </x:c>
      <x:c r="B34" s="11" t="str">
        <x:v>Australian National University</x:v>
      </x:c>
      <x:c r="C34" s="10" t="str">
        <x:v>University-wide</x:v>
      </x:c>
      <x:c r="D34" s="10" t="str">
        <x:v>Interdisciplinary curriculum</x:v>
      </x:c>
      <x:c r="E34" s="10" t="str">
        <x:v>SoCIETIE courses</x:v>
      </x:c>
      <x:c r="F34" s="10" t="str">
        <x:v>ANU SoCIETIE programme</x:v>
      </x:c>
      <x:c r="G34" s="10" t="str">
        <x:v>Elective credit</x:v>
      </x:c>
      <x:c r="H34" s="10" t="str">
        <x:v>Students satisfying course prerequisites and degree rules</x:v>
      </x:c>
      <x:c r="I34" s="10" t="str">
        <x:v>Cross-disciplinary courses connect study with societal challenges. Replaced Vice-Chancellor courses from 2025.</x:v>
      </x:c>
      <x:c r="J34" s="10" t="str">
        <x:v>University interdisciplinary elective framework.</x:v>
      </x:c>
      <x:c r="K34" s="10" t="str">
        <x:v>Official page; intake unverified</x:v>
      </x:c>
      <x:c r="L34" s="10" t="str">
        <x:v>Australia top 10</x:v>
      </x:c>
      <x:c r="M34" s="10" t="str">
        <x:v>https://vc-courses.anu.edu.au/societie/courses/</x:v>
      </x:c>
      <x:c r="N34" s="10" t="str">
        <x:v>Institutional framework</x:v>
      </x:c>
      <x:c r="O34" s="10" t="str">
        <x:v>Undated page</x:v>
      </x:c>
      <x:c r="P34" s="12" t="d">
        <x:v>2026-10-08T00:00:00.000Z</x:v>
      </x:c>
    </x:row>
    <x:row r="35" ht="116" customHeight="1">
      <x:c r="A35" s="10" t="str">
        <x:v>Australia</x:v>
      </x:c>
      <x:c r="B35" s="11" t="str">
        <x:v>Monash</x:v>
      </x:c>
      <x:c r="C35" s="10" t="str">
        <x:v>University-wide</x:v>
      </x:c>
      <x:c r="D35" s="10" t="str">
        <x:v>Live/research project</x:v>
      </x:c>
      <x:c r="E35" s="10" t="str">
        <x:v>Monash Innovation Guarantee (MIG), MON2750</x:v>
      </x:c>
      <x:c r="F35" s="10" t="str">
        <x:v>Monash flagship rich experiences</x:v>
      </x:c>
      <x:c r="G35" s="10" t="str">
        <x:v>Elective credit</x:v>
      </x:c>
      <x:c r="H35" s="10" t="str">
        <x:v>Eligible undergraduates; study-stage conditions apply</x:v>
      </x:c>
      <x:c r="I35" s="10" t="str">
        <x:v>Student teams address real industry problems in a flagship experience.</x:v>
      </x:c>
      <x:c r="J35" s="10" t="str">
        <x:v>University-level flagship opportunity, not a compulsory all-student scheme.</x:v>
      </x:c>
      <x:c r="K35" s="10" t="str">
        <x:v>Official page; intake unverified</x:v>
      </x:c>
      <x:c r="L35" s="10" t="str">
        <x:v>Australia top 10</x:v>
      </x:c>
      <x:c r="M35" s="10" t="str">
        <x:v>https://www.monash.edu/flagship-rich-experiences/mig</x:v>
      </x:c>
      <x:c r="N35" s="10" t="str">
        <x:v>Direct eligibility</x:v>
      </x:c>
      <x:c r="O35" s="10" t="str">
        <x:v>Undated page</x:v>
      </x:c>
      <x:c r="P35" s="12" t="d">
        <x:v>2026-10-08T00:00:00.000Z</x:v>
      </x:c>
    </x:row>
    <x:row r="36" ht="116" customHeight="1">
      <x:c r="A36" s="10" t="str">
        <x:v>Australia</x:v>
      </x:c>
      <x:c r="B36" s="11" t="str">
        <x:v>Queensland</x:v>
      </x:c>
      <x:c r="C36" s="10" t="str">
        <x:v>University-wide</x:v>
      </x:c>
      <x:c r="D36" s="10" t="str">
        <x:v>Enterprise programme</x:v>
      </x:c>
      <x:c r="E36" s="10" t="str">
        <x:v>UQ Ventures challenges</x:v>
      </x:c>
      <x:c r="F36" s="10" t="str">
        <x:v>UQ Ventures</x:v>
      </x:c>
      <x:c r="G36" s="10" t="str">
        <x:v>Co-curricular</x:v>
      </x:c>
      <x:c r="H36" s="10" t="str">
        <x:v>Eligible students across disciplines</x:v>
      </x:c>
      <x:c r="I36" s="10" t="str">
        <x:v>Interdisciplinary teams work with industry on challenge-based innovation.</x:v>
      </x:c>
      <x:c r="J36" s="10" t="str">
        <x:v>Central university enterprise/challenge framework; event requirements vary.</x:v>
      </x:c>
      <x:c r="K36" s="10" t="str">
        <x:v>Official page; intake unverified</x:v>
      </x:c>
      <x:c r="L36" s="10" t="str">
        <x:v>Australia top 10</x:v>
      </x:c>
      <x:c r="M36" s="10" t="str">
        <x:v>https://ventures.uq.edu.au/industry</x:v>
      </x:c>
      <x:c r="N36" s="10" t="str">
        <x:v>Institutional framework</x:v>
      </x:c>
      <x:c r="O36" s="10" t="str">
        <x:v>Undated page</x:v>
      </x:c>
      <x:c r="P36" s="12" t="d">
        <x:v>2026-10-08T00:00:00.000Z</x:v>
      </x:c>
    </x:row>
    <x:row r="37" ht="116" customHeight="1">
      <x:c r="A37" s="10" t="str">
        <x:v>Australia</x:v>
      </x:c>
      <x:c r="B37" s="11" t="str">
        <x:v>Western Australia</x:v>
      </x:c>
      <x:c r="C37" s="10" t="str">
        <x:v>University-wide</x:v>
      </x:c>
      <x:c r="D37" s="10" t="str">
        <x:v>Placement/WIL</x:v>
      </x:c>
      <x:c r="E37" s="10" t="str">
        <x:v>McCusker Centre for Citizenship internship, SVLG3003</x:v>
      </x:c>
      <x:c r="F37" s="10" t="str">
        <x:v>McCusker Centre for Citizenship</x:v>
      </x:c>
      <x:c r="G37" s="10" t="str">
        <x:v>Elective credit</x:v>
      </x:c>
      <x:c r="H37" s="10" t="str">
        <x:v>Eligible students under SVLG3003 rules</x:v>
      </x:c>
      <x:c r="I37" s="10" t="str">
        <x:v>Internships connect students with community organisations. Unit handbook confirms academic structure.</x:v>
      </x:c>
      <x:c r="J37" s="10" t="str">
        <x:v>Institution-level citizenship internship unit; admission and prerequisites apply.</x:v>
      </x:c>
      <x:c r="K37" s="10" t="str">
        <x:v>Official page; intake unverified</x:v>
      </x:c>
      <x:c r="L37" s="10" t="str">
        <x:v>Australia top 10</x:v>
      </x:c>
      <x:c r="M37" s="10" t="str">
        <x:v>https://www.handbooks.uwa.edu.au/unitdetails?code=SVLG3003</x:v>
      </x:c>
      <x:c r="N37" s="10" t="str">
        <x:v>Direct eligibility</x:v>
      </x:c>
      <x:c r="O37" s="10" t="str">
        <x:v>Undated page</x:v>
      </x:c>
      <x:c r="P37" s="12" t="d">
        <x:v>2026-10-08T00:00:00.000Z</x:v>
      </x:c>
    </x:row>
    <x:row r="38" ht="116" customHeight="1">
      <x:c r="A38" s="10" t="str">
        <x:v>Australia</x:v>
      </x:c>
      <x:c r="B38" s="11" t="str">
        <x:v>Adelaide University</x:v>
      </x:c>
      <x:c r="C38" s="10" t="str">
        <x:v>University-wide</x:v>
      </x:c>
      <x:c r="D38" s="10" t="str">
        <x:v>Placement/WIL</x:v>
      </x:c>
      <x:c r="E38" s="10" t="str">
        <x:v>Work-Integrated Learning</x:v>
      </x:c>
      <x:c r="F38" s="10" t="str">
        <x:v>University WIL framework / academic programmes</x:v>
      </x:c>
      <x:c r="G38" s="10" t="str">
        <x:v>Mixed/varies</x:v>
      </x:c>
      <x:c r="H38" s="10" t="str">
        <x:v>Students on programmes with WIL components</x:v>
      </x:c>
      <x:c r="I38" s="10" t="str">
        <x:v>Placements, projects and other work-related learning. Teaching began in 2026 following the merger.</x:v>
      </x:c>
      <x:c r="J38" s="10" t="str">
        <x:v>University-wide teaching framework; placement/project requirements vary by degree.</x:v>
      </x:c>
      <x:c r="K38" s="10" t="str">
        <x:v>Official page; intake unverified</x:v>
      </x:c>
      <x:c r="L38" s="10" t="str">
        <x:v>Australia top 10</x:v>
      </x:c>
      <x:c r="M38" s="10" t="str">
        <x:v>https://adelaide.edu.au/students/manage-study/work-integrated-learning/</x:v>
      </x:c>
      <x:c r="N38" s="10" t="str">
        <x:v>Institutional framework</x:v>
      </x:c>
      <x:c r="O38" s="10" t="str">
        <x:v>Undated page</x:v>
      </x:c>
      <x:c r="P38" s="12" t="d">
        <x:v>2026-10-08T00:00:00.000Z</x:v>
      </x:c>
    </x:row>
    <x:row r="39" ht="116" customHeight="1">
      <x:c r="A39" s="10" t="str">
        <x:v>Australia</x:v>
      </x:c>
      <x:c r="B39" s="11" t="str">
        <x:v>University of Technology Sydney</x:v>
      </x:c>
      <x:c r="C39" s="10" t="str">
        <x:v>University-wide</x:v>
      </x:c>
      <x:c r="D39" s="10" t="str">
        <x:v>Interdisciplinary curriculum</x:v>
      </x:c>
      <x:c r="E39" s="10" t="str">
        <x:v>Transdisciplinary electives</x:v>
      </x:c>
      <x:c r="F39" s="10" t="str">
        <x:v>UTS Transdisciplinary School</x:v>
      </x:c>
      <x:c r="G39" s="10" t="str">
        <x:v>Elective credit</x:v>
      </x:c>
      <x:c r="H39" s="10" t="str">
        <x:v>Eligible students with elective space / course approval</x:v>
      </x:c>
      <x:c r="I39" s="10" t="str">
        <x:v>TD School offers cross-disciplinary electives and partner project experiences.</x:v>
      </x:c>
      <x:c r="J39" s="10" t="str">
        <x:v>University-level elective framework; school host does not imply TD-only eligibility.</x:v>
      </x:c>
      <x:c r="K39" s="10" t="str">
        <x:v>Official page; intake unverified</x:v>
      </x:c>
      <x:c r="L39" s="10" t="str">
        <x:v>Australia top 10</x:v>
      </x:c>
      <x:c r="M39" s="10" t="str">
        <x:v>https://www.uts.edu.au/for-students/transdisciplinary-innovation/transdisciplinary-electives</x:v>
      </x:c>
      <x:c r="N39" s="10" t="str">
        <x:v>Institutional framework</x:v>
      </x:c>
      <x:c r="O39" s="10" t="str">
        <x:v>Undated page</x:v>
      </x:c>
      <x:c r="P39" s="12" t="d">
        <x:v>2026-10-08T00:00:00.000Z</x:v>
      </x:c>
    </x:row>
    <x:row r="40" ht="116" customHeight="1">
      <x:c r="A40" s="10" t="str">
        <x:v>Australia</x:v>
      </x:c>
      <x:c r="B40" s="11" t="str">
        <x:v>RMIT</x:v>
      </x:c>
      <x:c r="C40" s="10" t="str">
        <x:v>University-wide</x:v>
      </x:c>
      <x:c r="D40" s="10" t="str">
        <x:v>Placement/WIL</x:v>
      </x:c>
      <x:c r="E40" s="10" t="str">
        <x:v>Work-Integrated Learning</x:v>
      </x:c>
      <x:c r="F40" s="10" t="str">
        <x:v>University WIL framework / academic programmes</x:v>
      </x:c>
      <x:c r="G40" s="10" t="str">
        <x:v>Mixed/varies</x:v>
      </x:c>
      <x:c r="H40" s="10" t="str">
        <x:v>Students in participating programmes</x:v>
      </x:c>
      <x:c r="I40" s="10" t="str">
        <x:v>Industry and community projects and placements. Requirements depend on the programme.</x:v>
      </x:c>
      <x:c r="J40" s="10" t="str">
        <x:v>Institution-wide WIL approach; requirement and format vary by programme.</x:v>
      </x:c>
      <x:c r="K40" s="10" t="str">
        <x:v>Official page; intake unverified</x:v>
      </x:c>
      <x:c r="L40" s="10" t="str">
        <x:v>Australia top 10</x:v>
      </x:c>
      <x:c r="M40" s="10" t="str">
        <x:v>https://www.rmit.edu.au/study-with-us/study-options/what-is-wil</x:v>
      </x:c>
      <x:c r="N40" s="10" t="str">
        <x:v>Direct eligibility</x:v>
      </x:c>
      <x:c r="O40" s="10" t="str">
        <x:v>Undated page</x:v>
      </x:c>
      <x:c r="P40" s="12" t="d">
        <x:v>2026-10-08T00:00:00.000Z</x:v>
      </x:c>
    </x:row>
    <x:row r="41" ht="116" customHeight="1">
      <x:c r="A41" s="10" t="str">
        <x:v>UK</x:v>
      </x:c>
      <x:c r="B41" s="11" t="str">
        <x:v>Cambridge</x:v>
      </x:c>
      <x:c r="C41" s="10" t="str">
        <x:v>University-wide</x:v>
      </x:c>
      <x:c r="D41" s="10" t="str">
        <x:v>Enterprise programme</x:v>
      </x:c>
      <x:c r="E41" s="10" t="str">
        <x:v>Innovation / Climate i-Teams</x:v>
      </x:c>
      <x:c r="F41" s="10" t="str">
        <x:v>Innovation / i-Teams programme</x:v>
      </x:c>
      <x:c r="G41" s="10" t="str">
        <x:v>Co-curricular</x:v>
      </x:c>
      <x:c r="H41" s="10" t="str">
        <x:v>Postgraduates, researchers and staff from any department; Development i-Teams also includes undergraduates</x:v>
      </x:c>
      <x:c r="I41" s="10" t="str">
        <x:v>Multidisciplinary teams assess the commercial potential of real university inventions, using industry interviews, mentoring and workshops. Climate i-Teams launched in October 2026.</x:v>
      </x:c>
      <x:c r="J41" s="10" t="str">
        <x:v>University innovation guide explicitly all-department access; postgraduate focus does not make this a faculty-only scheme.</x:v>
      </x:c>
      <x:c r="K41" s="10" t="str">
        <x:v>September 2026 launch evidence</x:v>
      </x:c>
      <x:c r="L41" s="10" t="str">
        <x:v>Russell Group</x:v>
      </x:c>
      <x:c r="M41" s="10" t="str">
        <x:v>https://www.cam.ac.uk/stories/climate-iteams-innovation
https://ie.cam.ac.uk/wp-content/uploads/2024/09/IE-Cam-Support-Guide-A5-v4_Web.pdf</x:v>
      </x:c>
      <x:c r="N41" s="10" t="str">
        <x:v>Direct eligibility</x:v>
      </x:c>
      <x:c r="O41" s="10" t="str">
        <x:v>Dated 2026/27</x:v>
      </x:c>
      <x:c r="P41" s="12" t="d">
        <x:v>2026-10-08T00:00:00.000Z</x:v>
      </x:c>
    </x:row>
    <x:row r="42" ht="116" customHeight="1">
      <x:c r="A42" s="10" t="str">
        <x:v>UK</x:v>
      </x:c>
      <x:c r="B42" s="11" t="str">
        <x:v>King’s College London</x:v>
      </x:c>
      <x:c r="C42" s="10" t="str">
        <x:v>University-wide</x:v>
      </x:c>
      <x:c r="D42" s="10" t="str">
        <x:v>Co-curricular award</x:v>
      </x:c>
      <x:c r="E42" s="10" t="str">
        <x:v>King’s Enterprise Award</x:v>
      </x:c>
      <x:c r="F42" s="10" t="str">
        <x:v>Entrepreneurship Institute / King’s Experience</x:v>
      </x:c>
      <x:c r="G42" s="10" t="str">
        <x:v>Co-curricular</x:v>
      </x:c>
      <x:c r="H42" s="10" t="str">
        <x:v>All undergraduate and postgraduate students and staff, any faculty</x:v>
      </x:c>
      <x:c r="I42" s="10" t="str">
        <x:v>November–April extracurricular skills development and reflection, with optional Enterprise in Action progression. HEAR recognition; no academic-credit value.</x:v>
      </x:c>
      <x:c r="J42" s="10" t="str">
        <x:v>Explicit all-faculty/all-student-level eligibility.</x:v>
      </x:c>
      <x:c r="K42" s="10" t="str">
        <x:v>2026/27 applications confirmed</x:v>
      </x:c>
      <x:c r="L42" s="10" t="str">
        <x:v>Russell Group</x:v>
      </x:c>
      <x:c r="M42" s="10" t="str">
        <x:v>https://www.kcl.ac.uk/entrepreneurship/learn-entrepreneurial-skills/kings-enterprise-award</x:v>
      </x:c>
      <x:c r="N42" s="10" t="str">
        <x:v>Direct eligibility</x:v>
      </x:c>
      <x:c r="O42" s="10" t="str">
        <x:v>Dated 2026/27</x:v>
      </x:c>
      <x:c r="P42" s="12" t="d">
        <x:v>2026-10-08T00:00:00.000Z</x:v>
      </x:c>
    </x:row>
    <x:row r="43" ht="116" customHeight="1">
      <x:c r="A43" s="10" t="str">
        <x:v>UK</x:v>
      </x:c>
      <x:c r="B43" s="11" t="str">
        <x:v>Southampton</x:v>
      </x:c>
      <x:c r="C43" s="10" t="str">
        <x:v>University-wide</x:v>
      </x:c>
      <x:c r="D43" s="10" t="str">
        <x:v>Live/research project</x:v>
      </x:c>
      <x:c r="E43" s="10" t="str">
        <x:v>Student Innovation Projects and Challenges</x:v>
      </x:c>
      <x:c r="F43" s="10" t="str">
        <x:v>Careers, Employability and Student Enterprise</x:v>
      </x:c>
      <x:c r="G43" s="10" t="str">
        <x:v>Co-curricular</x:v>
      </x:c>
      <x:c r="H43" s="10" t="str">
        <x:v>Eligible Southampton students across disciplines</x:v>
      </x:c>
      <x:c r="I43" s="10" t="str">
        <x:v>Teams of three to five tackle live client problems for businesses or nonprofits. Project route will end after Semester 1 of 2026/27; Innovation Challenge is also described.</x:v>
      </x:c>
      <x:c r="J43" s="10" t="str">
        <x:v>Central cross-disciplinary opportunity; admissions apply. Scheduled ending must not be mistaken for ongoing indefinite provision.</x:v>
      </x:c>
      <x:c r="K43" s="10" t="str">
        <x:v>Final project rounds Semester 1 2026/27</x:v>
      </x:c>
      <x:c r="L43" s="10" t="str">
        <x:v>Russell Group</x:v>
      </x:c>
      <x:c r="M43" s="10" t="str">
        <x:v>https://www.southampton.ac.uk/careers/students/work-experience/student-innovation-projects.page</x:v>
      </x:c>
      <x:c r="N43" s="10" t="str">
        <x:v>Direct eligibility</x:v>
      </x:c>
      <x:c r="O43" s="10" t="str">
        <x:v>Ending</x:v>
      </x:c>
      <x:c r="P43" s="12" t="d">
        <x:v>2026-10-08T00:00:00.000Z</x:v>
      </x:c>
    </x:row>
    <x:row r="44" ht="116" customHeight="1">
      <x:c r="A44" s="10" t="str">
        <x:v>UK</x:v>
      </x:c>
      <x:c r="B44" s="11" t="str">
        <x:v>Queen Mary University of London</x:v>
      </x:c>
      <x:c r="C44" s="10" t="str">
        <x:v>Not confirmed</x:v>
      </x:c>
      <x:c r="D44" s="10" t="str">
        <x:v>Placement/WIL</x:v>
      </x:c>
      <x:c r="E44" s="10" t="str">
        <x:v>QInterns</x:v>
      </x:c>
      <x:c r="F44" s="10" t="str">
        <x:v>Careers and Employability</x:v>
      </x:c>
      <x:c r="G44" s="10" t="str">
        <x:v>Co-curricular</x:v>
      </x:c>
      <x:c r="H44" s="10" t="str">
        <x:v>Eligible Queen Mary students and recent graduates</x:v>
      </x:c>
      <x:c r="I44" s="10" t="str">
        <x:v>Internships provide applied workplace experience. Individual roles, selection, funding and eligibility determine availability.</x:v>
      </x:c>
      <x:c r="J44" s="10" t="str">
        <x:v>Central student/graduate internship scheme; university reach inferred from central remit, not all-student guarantee. Academic reach remains Not confirmed until eligibility or institution-wide framework reach is established.</x:v>
      </x:c>
      <x:c r="K44" s="10" t="str">
        <x:v>Official opportunities page; intake unverified</x:v>
      </x:c>
      <x:c r="L44" s="10" t="str">
        <x:v>Russell Group</x:v>
      </x:c>
      <x:c r="M44" s="10" t="str">
        <x:v>https://www.qmul.ac.uk/careers/find-opportunities/current-opportunities/</x:v>
      </x:c>
      <x:c r="N44" s="10" t="str">
        <x:v>Unconfirmed reach</x:v>
      </x:c>
      <x:c r="O44" s="10" t="str">
        <x:v>Undated page</x:v>
      </x:c>
      <x:c r="P44" s="12" t="d">
        <x:v>2026-10-08T00:00:00.000Z</x:v>
      </x:c>
    </x:row>
    <x:row r="45" ht="116" customHeight="1">
      <x:c r="A45" s="10" t="str">
        <x:v>UK</x:v>
      </x:c>
      <x:c r="B45" s="11" t="str">
        <x:v>Exeter</x:v>
      </x:c>
      <x:c r="C45" s="10" t="str">
        <x:v>University-wide</x:v>
      </x:c>
      <x:c r="D45" s="10" t="str">
        <x:v>International collaboration</x:v>
      </x:c>
      <x:c r="E45" s="10" t="str">
        <x:v>Future17</x:v>
      </x:c>
      <x:c r="F45" s="10" t="str">
        <x:v>Global Classrooms / QS partner consortium</x:v>
      </x:c>
      <x:c r="G45" s="10" t="str">
        <x:v>Mixed/varies</x:v>
      </x:c>
      <x:c r="H45" s="10" t="str">
        <x:v>Undergraduates except first years and postgraduate taught students, all campuses</x:v>
      </x:c>
      <x:c r="I45" s="10" t="str">
        <x:v>Online interdisciplinary international teams tackle partner sustainability briefs. Optional 15-credit route subject to programme rules; non-credit certificate route also available.</x:v>
      </x:c>
      <x:c r="J45" s="10" t="str">
        <x:v>Explicit all-campus eligibility; different credit routes make participation mixed.</x:v>
      </x:c>
      <x:c r="K45" s="10" t="str">
        <x:v>Official eligibility page; current intake unverified</x:v>
      </x:c>
      <x:c r="L45" s="10" t="str">
        <x:v>Russell Group</x:v>
      </x:c>
      <x:c r="M45" s="10" t="str">
        <x:v>https://www.exeter.ac.uk/study/future17/students/</x:v>
      </x:c>
      <x:c r="N45" s="10" t="str">
        <x:v>Direct eligibility</x:v>
      </x:c>
      <x:c r="O45" s="10" t="str">
        <x:v>Undated page</x:v>
      </x:c>
      <x:c r="P45" s="12" t="d">
        <x:v>2026-10-08T00:00:00.000Z</x:v>
      </x:c>
    </x:row>
    <x:row r="46" ht="116" customHeight="1">
      <x:c r="A46" s="10" t="str">
        <x:v>UK</x:v>
      </x:c>
      <x:c r="B46" s="11" t="str">
        <x:v>London School of Economics</x:v>
      </x:c>
      <x:c r="C46" s="10" t="str">
        <x:v>Not confirmed</x:v>
      </x:c>
      <x:c r="D46" s="10" t="str">
        <x:v>International collaboration</x:v>
      </x:c>
      <x:c r="E46" s="10" t="str">
        <x:v>Future17</x:v>
      </x:c>
      <x:c r="F46" s="10" t="str">
        <x:v>LSE100 / QS partner consortium</x:v>
      </x:c>
      <x:c r="G46" s="10" t="str">
        <x:v>Not confirmed</x:v>
      </x:c>
      <x:c r="H46" s="10" t="str">
        <x:v>LSE students; detailed year, programme and credit eligibility unverified</x:v>
      </x:c>
      <x:c r="I46" s="10" t="str">
        <x:v>Twelve-week international interdisciplinary teams address live sustainability challenges with organisational partners. Separate from compulsory LSE100.</x:v>
      </x:c>
      <x:c r="J46" s="10" t="str">
        <x:v>University-level student call; reach inferred from central remit. Credit and precise cohort restrictions were not verified. Academic reach remains Not confirmed until eligibility or institution-wide framework reach is established.</x:v>
      </x:c>
      <x:c r="K46" s="10" t="str">
        <x:v>September 2026 application deadline confirmed</x:v>
      </x:c>
      <x:c r="L46" s="10" t="str">
        <x:v>Russell Group</x:v>
      </x:c>
      <x:c r="M46" s="10" t="str">
        <x:v>https://info.lse.ac.uk/current-students/lse100/Future17-Join-a-global-team-solving-real-sustainability-challenges</x:v>
      </x:c>
      <x:c r="N46" s="10" t="str">
        <x:v>Unconfirmed reach</x:v>
      </x:c>
      <x:c r="O46" s="10" t="str">
        <x:v>Dated 2026/27</x:v>
      </x:c>
      <x:c r="P46" s="12" t="d">
        <x:v>2026-10-08T00:00:00.000Z</x:v>
      </x:c>
    </x:row>
    <x:row r="47" ht="116" customHeight="1">
      <x:c r="A47" s="10" t="str">
        <x:v>UK</x:v>
      </x:c>
      <x:c r="B47" s="11" t="str">
        <x:v>York</x:v>
      </x:c>
      <x:c r="C47" s="10" t="str">
        <x:v>Cross-faculty</x:v>
      </x:c>
      <x:c r="D47" s="10" t="str">
        <x:v>Live/research project</x:v>
      </x:c>
      <x:c r="E47" s="10" t="str">
        <x:v>Sustainability Clinic</x:v>
      </x:c>
      <x:c r="F47" s="10" t="str">
        <x:v>Environment and Geography / participating courses</x:v>
      </x:c>
      <x:c r="G47" s="10" t="str">
        <x:v>Elective credit</x:v>
      </x:c>
      <x:c r="H47" s="10" t="str">
        <x:v>Students from participating degree programmes</x:v>
      </x:c>
      <x:c r="I47" s="10" t="str">
        <x:v>20-credit live-client sustainability module combines disciplines to consider social, legal, economic, cultural and environmental aspects of problems.</x:v>
      </x:c>
      <x:c r="J47" s="10" t="str">
        <x:v>Current module describes multidisciplinary teams from a range of courses; unrestricted every-degree eligibility not established.</x:v>
      </x:c>
      <x:c r="K47" s="10" t="str">
        <x:v>2026/27 module confirmed</x:v>
      </x:c>
      <x:c r="L47" s="10" t="str">
        <x:v>Russell Group</x:v>
      </x:c>
      <x:c r="M47" s="10" t="str">
        <x:v>https://www.york.ac.uk/students/studying/manage/programmes/module-catalogue/module/ENV00054H/latest</x:v>
      </x:c>
      <x:c r="N47" s="10" t="str">
        <x:v>Direct eligibility</x:v>
      </x:c>
      <x:c r="O47" s="10" t="str">
        <x:v>Dated 2026/27</x:v>
      </x:c>
      <x:c r="P47" s="12" t="d">
        <x:v>2026-10-08T00:00:00.000Z</x:v>
      </x:c>
    </x:row>
    <x:row r="48" ht="116" customHeight="1">
      <x:c r="A48" s="10" t="str">
        <x:v>Australia</x:v>
      </x:c>
      <x:c r="B48" s="11" t="str">
        <x:v>UNSW Sydney</x:v>
      </x:c>
      <x:c r="C48" s="10" t="str">
        <x:v>University-wide</x:v>
      </x:c>
      <x:c r="D48" s="10" t="str">
        <x:v>Co-curricular award</x:v>
      </x:c>
      <x:c r="E48" s="10" t="str">
        <x:v>AHEGS Advantage</x:v>
      </x:c>
      <x:c r="F48" s="10" t="str">
        <x:v>Central student opportunities / AHEGS</x:v>
      </x:c>
      <x:c r="G48" s="10" t="str">
        <x:v>Co-curricular</x:v>
      </x:c>
      <x:c r="H48" s="10" t="str">
        <x:v>Students on recognised activities; activity-specific eligibility applies</x:v>
      </x:c>
      <x:c r="I48" s="10" t="str">
        <x:v>Recognises clubs, volunteering, mentoring, competitions and enterprise experiences across UNSW on the Australian Higher Education Graduation Statement.</x:v>
      </x:c>
      <x:c r="J48" s="10" t="str">
        <x:v>Institution-wide recognition framework includes faculty initiatives; individual activities may be restricted.</x:v>
      </x:c>
      <x:c r="K48" s="10" t="str">
        <x:v>Official page; intake unverified</x:v>
      </x:c>
      <x:c r="L48" s="10" t="str">
        <x:v>Australia top 10</x:v>
      </x:c>
      <x:c r="M48" s="10" t="str">
        <x:v>https://www.unsw.edu.au/student/opportunities/advantage</x:v>
      </x:c>
      <x:c r="N48" s="10" t="str">
        <x:v>Institutional framework</x:v>
      </x:c>
      <x:c r="O48" s="10" t="str">
        <x:v>Undated page</x:v>
      </x:c>
      <x:c r="P48" s="12" t="d">
        <x:v>2026-10-08T00:00:00.000Z</x:v>
      </x:c>
    </x:row>
    <x:row r="49" ht="116" customHeight="1">
      <x:c r="A49" s="10" t="str">
        <x:v>UK</x:v>
      </x:c>
      <x:c r="B49" s="11" t="str">
        <x:v>Edinburgh</x:v>
      </x:c>
      <x:c r="C49" s="10" t="str">
        <x:v>University-wide</x:v>
      </x:c>
      <x:c r="D49" s="10" t="str">
        <x:v>Live/research project</x:v>
      </x:c>
      <x:c r="E49" s="10" t="str">
        <x:v>Students as Change Agents: careers co-curricular route</x:v>
      </x:c>
      <x:c r="F49" s="10" t="str">
        <x:v>Careers Service</x:v>
      </x:c>
      <x:c r="G49" s="10" t="str">
        <x:v>Co-curricular</x:v>
      </x:c>
      <x:c r="H49" s="10" t="str">
        <x:v>Former optional co-curricular participants</x:v>
      </x:c>
      <x:c r="I49" s="10" t="str">
        <x:v>Interdisciplinary societal challenges. Careers co-curricular delivery is paused for the foreseeable future because of funding; EFI elective is a separate continuing route.</x:v>
      </x:c>
      <x:c r="J49" s="10" t="str">
        <x:v>University programme reach; paused status prevents treating this route as currently open.</x:v>
      </x:c>
      <x:c r="K49" s="10" t="str">
        <x:v>Paused: university page confirms</x:v>
      </x:c>
      <x:c r="L49" s="10" t="str">
        <x:v>Russell Group</x:v>
      </x:c>
      <x:c r="M49" s="10" t="str">
        <x:v>https://careers.ed.ac.uk/build-experience/students-as-change-agents</x:v>
      </x:c>
      <x:c r="N49" s="10" t="str">
        <x:v>Direct eligibility</x:v>
      </x:c>
      <x:c r="O49" s="10" t="str">
        <x:v>Paused</x:v>
      </x:c>
      <x:c r="P49" s="12" t="d">
        <x:v>2026-10-08T00:00:00.000Z</x:v>
      </x:c>
    </x:row>
    <x:row r="50" ht="116" customHeight="1">
      <x:c r="A50" s="10" t="str">
        <x:v>UK</x:v>
      </x:c>
      <x:c r="B50" s="11" t="str">
        <x:v>Sheffield</x:v>
      </x:c>
      <x:c r="C50" s="10" t="str">
        <x:v>University-wide</x:v>
      </x:c>
      <x:c r="D50" s="10" t="str">
        <x:v>Enterprise programme</x:v>
      </x:c>
      <x:c r="E50" s="10" t="str">
        <x:v>Emerge: Be enterprising</x:v>
      </x:c>
      <x:c r="F50" s="10" t="str">
        <x:v>Central Entrepreneurship team / Start-up Studio</x:v>
      </x:c>
      <x:c r="G50" s="10" t="str">
        <x:v>Co-curricular</x:v>
      </x:c>
      <x:c r="H50" s="10" t="str">
        <x:v>Students, staff and graduates; pathway and competition selection applies</x:v>
      </x:c>
      <x:c r="I50" s="10" t="str">
        <x:v>Hands-on Idea Bootcamp, Apprentice Challenge, founder pathways, workshops, mentoring and Business Awards Showcase support venture development. The competition is explicitly university-wide.</x:v>
      </x:c>
      <x:c r="J50" s="10" t="str">
        <x:v>August 2026 university account confirms delivery across all areas of the university community and a university-wide competition; Engineering project weeks remain a separate faculty example.</x:v>
      </x:c>
      <x:c r="K50" s="10" t="str">
        <x:v>August 2026 programme activity confirmed</x:v>
      </x:c>
      <x:c r="L50" s="10" t="str">
        <x:v>Russell Group</x:v>
      </x:c>
      <x:c r="M50" s="10" t="str">
        <x:v>https://sheffield.ac.uk/entrepreneurship/about-us
https://sheffield.ac.uk/entrepreneurship/news/emerge-be-enterprising-marks-3-year-milestone-ps14m-investment-and-national-enterprise-award</x:v>
      </x:c>
      <x:c r="N50" s="10" t="str">
        <x:v>Direct eligibility</x:v>
      </x:c>
      <x:c r="O50" s="10" t="str">
        <x:v>Dated 2026/27</x:v>
      </x:c>
      <x:c r="P50" s="12" t="d">
        <x:v>2026-10-08T00:00:00.000Z</x:v>
      </x:c>
    </x:row>
    <x:row r="51" ht="116" customHeight="1">
      <x:c r="A51" s="10" t="str">
        <x:v>UK</x:v>
      </x:c>
      <x:c r="B51" s="11" t="str">
        <x:v>Newcastle</x:v>
      </x:c>
      <x:c r="C51" s="10" t="str">
        <x:v>University-wide</x:v>
      </x:c>
      <x:c r="D51" s="10" t="str">
        <x:v>Enterprise programme</x:v>
      </x:c>
      <x:c r="E51" s="10" t="str">
        <x:v>START UP / Summer Launchpad</x:v>
      </x:c>
      <x:c r="F51" s="10" t="str">
        <x:v>Careers Service: START UP</x:v>
      </x:c>
      <x:c r="G51" s="10" t="str">
        <x:v>Co-curricular</x:v>
      </x:c>
      <x:c r="H51" s="10" t="str">
        <x:v>All students and recent graduates; individual programme/visa requirements apply</x:v>
      </x:c>
      <x:c r="I51" s="10" t="str">
        <x:v>Enterprise workshops, coaching, funding and founder community. June 2026 three-day Summer Launchpad included practical sales training, a mini hackathon, business advice and visits to regional startup hubs.</x:v>
      </x:c>
      <x:c r="J51" s="10" t="str">
        <x:v>Published START UP eligibility explicitly includes all students, any background; broad enterprise support is separate from the degree-dependent NCL2100 module.</x:v>
      </x:c>
      <x:c r="K51" s="10" t="str">
        <x:v>June 2026 Launchpad delivery confirmed</x:v>
      </x:c>
      <x:c r="L51" s="10" t="str">
        <x:v>Russell Group</x:v>
      </x:c>
      <x:c r="M51" s="10" t="str">
        <x:v>https://www.ncl.ac.uk/careers/startup/advice/
https://www.ncl.ac.uk/careers/startup/start-up-stories/news/news-items/start-up-summer-launchpad-success/</x:v>
      </x:c>
      <x:c r="N51" s="10" t="str">
        <x:v>Direct eligibility</x:v>
      </x:c>
      <x:c r="O51" s="10" t="str">
        <x:v>Dated 2026/27</x:v>
      </x:c>
      <x:c r="P51" s="12" t="d">
        <x:v>2026-10-08T00:00:00.000Z</x:v>
      </x:c>
    </x:row>
    <x:row r="52" ht="116" customHeight="1">
      <x:c r="A52" s="10" t="str">
        <x:v>UK</x:v>
      </x:c>
      <x:c r="B52" s="11" t="str">
        <x:v>Cardiff</x:v>
      </x:c>
      <x:c r="C52" s="10" t="str">
        <x:v>University-wide</x:v>
      </x:c>
      <x:c r="D52" s="10" t="str">
        <x:v>Co-curricular award</x:v>
      </x:c>
      <x:c r="E52" s="10" t="str">
        <x:v>Cardiff Award</x:v>
      </x:c>
      <x:c r="F52" s="10" t="str">
        <x:v>Student Futures</x:v>
      </x:c>
      <x:c r="G52" s="10" t="str">
        <x:v>Co-curricular</x:v>
      </x:c>
      <x:c r="H52" s="10" t="str">
        <x:v>All Cardiff students</x:v>
      </x:c>
      <x:c r="I52" s="10" t="str">
        <x:v>Optional career-development programme completed within an academic year; structured employability activities and reflection complement curricular learning.</x:v>
      </x:c>
      <x:c r="J52" s="10" t="str">
        <x:v>University Student Futures framework explicitly states available to all students. This does not establish specific eligibility for the separate Bremen–Cardiff programme.</x:v>
      </x:c>
      <x:c r="K52" s="10" t="str">
        <x:v>Official framework page; current intake unverified</x:v>
      </x:c>
      <x:c r="L52" s="10" t="str">
        <x:v>Russell Group</x:v>
      </x:c>
      <x:c r="M52" s="10" t="str">
        <x:v>https://sites.cardiff.ac.uk/student-futures-framework/student-futures-framework/activities-supported-by-student-futures/</x:v>
      </x:c>
      <x:c r="N52" s="10" t="str">
        <x:v>Institutional framework</x:v>
      </x:c>
      <x:c r="O52" s="10" t="str">
        <x:v>Undated page</x:v>
      </x:c>
      <x:c r="P52" s="12" t="d">
        <x:v>2026-10-08T00:00:00.000Z</x:v>
      </x:c>
    </x:row>
    <x:row r="53" ht="116" customHeight="1">
      <x:c r="A53" s="10" t="str">
        <x:v>UK</x:v>
      </x:c>
      <x:c r="B53" s="11" t="str">
        <x:v>Bath</x:v>
      </x:c>
      <x:c r="C53" s="10" t="str">
        <x:v>University-wide</x:v>
      </x:c>
      <x:c r="D53" s="10" t="str">
        <x:v>Live/research project</x:v>
      </x:c>
      <x:c r="E53" s="10" t="str">
        <x:v>Vertically Integrated Projects (VIP)</x:v>
      </x:c>
      <x:c r="F53" s="10" t="str">
        <x:v>University VIP network</x:v>
      </x:c>
      <x:c r="G53" s="10" t="str">
        <x:v>Mixed/varies</x:v>
      </x:c>
      <x:c r="H53" s="10" t="str">
        <x:v>Undergraduate and postgraduate students across disciplines</x:v>
      </x:c>
      <x:c r="I53" s="10" t="str">
        <x:v>Multiyear interdisciplinary research teams address sustainability; 11 teams and 250 students in 2025/26. Mostly extracurricular; some departmental credit.</x:v>
      </x:c>
      <x:c r="J53" s="10" t="str">
        <x:v>University programme spans disciplines; credit availability differs by department.</x:v>
      </x:c>
      <x:c r="K53" s="10" t="str">
        <x:v>2025/26 cohort confirmed</x:v>
      </x:c>
      <x:c r="L53" s="10" t="str">
        <x:v>Additional UK sample</x:v>
      </x:c>
      <x:c r="M53" s="10" t="str">
        <x:v>https://www.bath.ac.uk/guides/vertically-integrated-projects/</x:v>
      </x:c>
      <x:c r="N53" s="10" t="str">
        <x:v>Direct eligibility</x:v>
      </x:c>
      <x:c r="O53" s="10" t="str">
        <x:v>Dated earlier / mixed</x:v>
      </x:c>
      <x:c r="P53" s="12" t="d">
        <x:v>2026-10-08T00:00:00.000Z</x:v>
      </x:c>
    </x:row>
    <x:row r="54" ht="116" customHeight="1">
      <x:c r="A54" s="10" t="str">
        <x:v>UK</x:v>
      </x:c>
      <x:c r="B54" s="11" t="str">
        <x:v>St Andrews</x:v>
      </x:c>
      <x:c r="C54" s="10" t="str">
        <x:v>University-wide</x:v>
      </x:c>
      <x:c r="D54" s="10" t="str">
        <x:v>Live/research project</x:v>
      </x:c>
      <x:c r="E54" s="10" t="str">
        <x:v>Vertically Integrated Projects (VIP)</x:v>
      </x:c>
      <x:c r="F54" s="10" t="str">
        <x:v>Central education / VIP teams</x:v>
      </x:c>
      <x:c r="G54" s="10" t="str">
        <x:v>Elective credit</x:v>
      </x:c>
      <x:c r="H54" s="10" t="str">
        <x:v>Students from Arts and Science; different study levels</x:v>
      </x:c>
      <x:c r="I54" s="10" t="str">
        <x:v>Long-running research teams combine students across years and disciplines. Credit options include 5, 10 and 20 credits, subject to regulations.</x:v>
      </x:c>
      <x:c r="J54" s="10" t="str">
        <x:v>Explicit Arts and Science eligibility; elective rather than universal requirement.</x:v>
      </x:c>
      <x:c r="K54" s="10" t="str">
        <x:v>2026/27 applications confirmed</x:v>
      </x:c>
      <x:c r="L54" s="10" t="str">
        <x:v>Additional UK sample</x:v>
      </x:c>
      <x:c r="M54" s="10" t="str">
        <x:v>https://www.st-andrews.ac.uk/education/vip/
https://www.st-andrews.ac.uk/education/vip/credits/</x:v>
      </x:c>
      <x:c r="N54" s="10" t="str">
        <x:v>Direct eligibility</x:v>
      </x:c>
      <x:c r="O54" s="10" t="str">
        <x:v>Dated 2026/27</x:v>
      </x:c>
      <x:c r="P54" s="12" t="d">
        <x:v>2026-10-08T00:00:00.000Z</x:v>
      </x:c>
    </x:row>
    <x:row r="55" ht="116" customHeight="1">
      <x:c r="A55" s="10" t="str">
        <x:v>UK</x:v>
      </x:c>
      <x:c r="B55" s="11" t="str">
        <x:v>Lancaster</x:v>
      </x:c>
      <x:c r="C55" s="10" t="str">
        <x:v>Not confirmed</x:v>
      </x:c>
      <x:c r="D55" s="10" t="str">
        <x:v>Co-curricular award</x:v>
      </x:c>
      <x:c r="E55" s="10" t="str">
        <x:v>Lancaster Award</x:v>
      </x:c>
      <x:c r="F55" s="10" t="str">
        <x:v>Careers</x:v>
      </x:c>
      <x:c r="G55" s="10" t="str">
        <x:v>Co-curricular</x:v>
      </x:c>
      <x:c r="H55" s="10" t="str">
        <x:v>Students completing activities alongside their degree</x:v>
      </x:c>
      <x:c r="I55" s="10" t="str">
        <x:v>Recognises work experience, community engagement, skills workshops and reflective evidence. December 2025 graduation information records more than 900 registrations and 200 completions in the preceding year.</x:v>
      </x:c>
      <x:c r="J55" s="10" t="str">
        <x:v>Central student award; university reach inferred from careers provision, exact degree-level eligibility not stated in retrieved source. Academic reach remains Not confirmed until eligibility or institution-wide framework reach is established.</x:v>
      </x:c>
      <x:c r="K55" s="10" t="str">
        <x:v>2025 evidence; next intake unverified</x:v>
      </x:c>
      <x:c r="L55" s="10" t="str">
        <x:v>Additional UK sample</x:v>
      </x:c>
      <x:c r="M55" s="10" t="str">
        <x:v>https://www.lancaster.ac.uk/graduation-programme/</x:v>
      </x:c>
      <x:c r="N55" s="10" t="str">
        <x:v>Unconfirmed reach</x:v>
      </x:c>
      <x:c r="O55" s="10" t="str">
        <x:v>Dated earlier / mixed</x:v>
      </x:c>
      <x:c r="P55" s="12" t="d">
        <x:v>2026-10-08T00:00:00.000Z</x:v>
      </x:c>
    </x:row>
    <x:row r="56" ht="116" customHeight="1">
      <x:c r="A56" s="10" t="str">
        <x:v>UK</x:v>
      </x:c>
      <x:c r="B56" s="11" t="str">
        <x:v>Loughborough</x:v>
      </x:c>
      <x:c r="C56" s="10" t="str">
        <x:v>University-wide</x:v>
      </x:c>
      <x:c r="D56" s="10" t="str">
        <x:v>Co-curricular award</x:v>
      </x:c>
      <x:c r="E56" s="10" t="str">
        <x:v>Personal Best</x:v>
      </x:c>
      <x:c r="F56" s="10" t="str">
        <x:v>Student development / careers</x:v>
      </x:c>
      <x:c r="G56" s="10" t="str">
        <x:v>Co-curricular</x:v>
      </x:c>
      <x:c r="H56" s="10" t="str">
        <x:v>Undergraduates, postgraduates and researchers; optional award activities</x:v>
      </x:c>
      <x:c r="I56" s="10" t="str">
        <x:v>Personal, academic and professional development activities lead to an award recorded on the transcript. Optional development beyond the degree.</x:v>
      </x:c>
      <x:c r="J56" s="10" t="str">
        <x:v>Published framework serves undergraduate and postgraduate students and researchers across the institution.</x:v>
      </x:c>
      <x:c r="K56" s="10" t="str">
        <x:v>Official page; intake unverified</x:v>
      </x:c>
      <x:c r="L56" s="10" t="str">
        <x:v>Additional UK sample</x:v>
      </x:c>
      <x:c r="M56" s="10" t="str">
        <x:v>https://www.lboro.ac.uk/study/employability/personal-best/
https://www.lboro.ac.uk/students/personal-best/about/</x:v>
      </x:c>
      <x:c r="N56" s="10" t="str">
        <x:v>Institutional framework</x:v>
      </x:c>
      <x:c r="O56" s="10" t="str">
        <x:v>Undated page</x:v>
      </x:c>
      <x:c r="P56" s="12" t="d">
        <x:v>2026-10-08T00:00:00.000Z</x:v>
      </x:c>
    </x:row>
    <x:row r="57" ht="116" customHeight="1">
      <x:c r="A57" s="10" t="str">
        <x:v>UK</x:v>
      </x:c>
      <x:c r="B57" s="11" t="str">
        <x:v>Aberdeen</x:v>
      </x:c>
      <x:c r="C57" s="10" t="str">
        <x:v>University-wide</x:v>
      </x:c>
      <x:c r="D57" s="10" t="str">
        <x:v>Placement/WIL</x:v>
      </x:c>
      <x:c r="E57" s="10" t="str">
        <x:v>ABDN Internships</x:v>
      </x:c>
      <x:c r="F57" s="10" t="str">
        <x:v>Careers and Employability</x:v>
      </x:c>
      <x:c r="G57" s="10" t="str">
        <x:v>Co-curricular</x:v>
      </x:c>
      <x:c r="H57" s="10" t="str">
        <x:v>All current full-degree undergraduate and postgraduate students, any subject/year; visa and prior-internship exclusions</x:v>
      </x:c>
      <x:c r="I57" s="10" t="str">
        <x:v>Paid part-time internships in university departments and external employers. 2026/27 includes seven-week employer projects and 24-week university roles, normally ten hours weekly. Competitive recruitment; registration required throughout.</x:v>
      </x:c>
      <x:c r="J57" s="10" t="str">
        <x:v>Published eligibility explicitly covers all subjects and years, at both undergraduate and postgraduate levels.</x:v>
      </x:c>
      <x:c r="K57" s="10" t="str">
        <x:v>2026/27 opportunities confirmed; Term 1 applications closed 7 October 2026</x:v>
      </x:c>
      <x:c r="L57" s="10" t="str">
        <x:v>Additional UK sample</x:v>
      </x:c>
      <x:c r="M57" s="10" t="str">
        <x:v>https://www.abdn.ac.uk/careers/experience/abdn-internships/</x:v>
      </x:c>
      <x:c r="N57" s="10" t="str">
        <x:v>Direct eligibility</x:v>
      </x:c>
      <x:c r="O57" s="10" t="str">
        <x:v>Dated 2026/27</x:v>
      </x:c>
      <x:c r="P57" s="12" t="d">
        <x:v>2026-10-08T00:00:00.000Z</x:v>
      </x:c>
    </x:row>
    <x:row r="58" ht="116" customHeight="1">
      <x:c r="A58" s="10" t="str">
        <x:v>UK</x:v>
      </x:c>
      <x:c r="B58" s="11" t="str">
        <x:v>Reading</x:v>
      </x:c>
      <x:c r="C58" s="10" t="str">
        <x:v>University-wide</x:v>
      </x:c>
      <x:c r="D58" s="10" t="str">
        <x:v>Co-curricular award</x:v>
      </x:c>
      <x:c r="E58" s="10" t="str">
        <x:v>RED Awards</x:v>
      </x:c>
      <x:c r="F58" s="10" t="str">
        <x:v>Careers</x:v>
      </x:c>
      <x:c r="G58" s="10" t="str">
        <x:v>Co-curricular</x:v>
      </x:c>
      <x:c r="H58" s="10" t="str">
        <x:v>All Reading students, any year</x:v>
      </x:c>
      <x:c r="I58" s="10" t="str">
        <x:v>Professional Development, Global Engagement and Sustainable Action awards recognise extracurricular activity. Certificates and diploma-supplement recognition; degree placements cannot be counted.</x:v>
      </x:c>
      <x:c r="J58" s="10" t="str">
        <x:v>Explicit availability to all students; no academic credit.</x:v>
      </x:c>
      <x:c r="K58" s="10" t="str">
        <x:v>Official page; intake unverified</x:v>
      </x:c>
      <x:c r="L58" s="10" t="str">
        <x:v>Additional UK sample</x:v>
      </x:c>
      <x:c r="M58" s="10" t="str">
        <x:v>https://www.reading.ac.uk/essentials/Careers/Gaining-experience/RED-Awards
https://www.reading.ac.uk/essentials/Careers/Gaining-experience/RED/Red-awards-FAQ</x:v>
      </x:c>
      <x:c r="N58" s="10" t="str">
        <x:v>Direct eligibility</x:v>
      </x:c>
      <x:c r="O58" s="10" t="str">
        <x:v>Undated page</x:v>
      </x:c>
      <x:c r="P58" s="12" t="d">
        <x:v>2026-10-08T00:00:00.000Z</x:v>
      </x:c>
    </x:row>
    <x:row r="59" ht="116" customHeight="1">
      <x:c r="A59" s="10" t="str">
        <x:v>UK</x:v>
      </x:c>
      <x:c r="B59" s="11" t="str">
        <x:v>Surrey</x:v>
      </x:c>
      <x:c r="C59" s="10" t="str">
        <x:v>University-wide</x:v>
      </x:c>
      <x:c r="D59" s="10" t="str">
        <x:v>Placement/WIL</x:v>
      </x:c>
      <x:c r="E59" s="10" t="str">
        <x:v>Professional Training placements</x:v>
      </x:c>
      <x:c r="F59" s="10" t="str">
        <x:v>Central placements / academic departments</x:v>
      </x:c>
      <x:c r="G59" s="10" t="str">
        <x:v>Mixed/varies</x:v>
      </x:c>
      <x:c r="H59" s="10" t="str">
        <x:v>Undergraduates on eligible degrees; almost every course has an option</x:v>
      </x:c>
      <x:c r="I59" s="10" t="str">
        <x:v>Up to one year of work experience with UK or overseas organisations. University network includes more than 2,000 partner organisations; degree assessment and availability vary.</x:v>
      </x:c>
      <x:c r="J59" s="10" t="str">
        <x:v>Institutional framework across almost every course; not compulsory for all students.</x:v>
      </x:c>
      <x:c r="K59" s="10" t="str">
        <x:v>Official page; intake unverified</x:v>
      </x:c>
      <x:c r="L59" s="10" t="str">
        <x:v>Additional UK sample</x:v>
      </x:c>
      <x:c r="M59" s="10" t="str">
        <x:v>https://www.surrey.ac.uk/professional-training-placements/ug-courses-placements</x:v>
      </x:c>
      <x:c r="N59" s="10" t="str">
        <x:v>Institutional framework</x:v>
      </x:c>
      <x:c r="O59" s="10" t="str">
        <x:v>Undated page</x:v>
      </x:c>
      <x:c r="P59" s="12" t="d">
        <x:v>2026-10-08T00:00:00.000Z</x:v>
      </x:c>
    </x:row>
    <x:row r="60" ht="116" customHeight="1">
      <x:c r="A60" s="10" t="str">
        <x:v>UK</x:v>
      </x:c>
      <x:c r="B60" s="11" t="str">
        <x:v>Sussex</x:v>
      </x:c>
      <x:c r="C60" s="10" t="str">
        <x:v>University-wide</x:v>
      </x:c>
      <x:c r="D60" s="10" t="str">
        <x:v>Live/research project</x:v>
      </x:c>
      <x:c r="E60" s="10" t="str">
        <x:v>Connector Programme</x:v>
      </x:c>
      <x:c r="F60" s="10" t="str">
        <x:v>Student experience / central university projects</x:v>
      </x:c>
      <x:c r="G60" s="10" t="str">
        <x:v>Co-curricular</x:v>
      </x:c>
      <x:c r="H60" s="10" t="str">
        <x:v>All students can join the Connector Community; individual paid projects prioritise relevant groups</x:v>
      </x:c>
      <x:c r="I60" s="10" t="str">
        <x:v>Paid student–staff partnerships improve university provision, from modules and technology to student support. Projects range from weeks to an academic year, around study commitments.</x:v>
      </x:c>
      <x:c r="J60" s="10" t="str">
        <x:v>Official recruitment says all Sussex, IDS and BSMS students can join; access to a particular paid role remains selective.</x:v>
      </x:c>
      <x:c r="K60" s="10" t="str">
        <x:v>2025 welcome evidence; current intake unverified</x:v>
      </x:c>
      <x:c r="L60" s="10" t="str">
        <x:v>Additional UK sample</x:v>
      </x:c>
      <x:c r="M60" s="10" t="str">
        <x:v>https://www.sussex.ac.uk/study/student-life/activities
https://staff.sussex.ac.uk/guides/join-the-connector-programme
https://www.sussex.ac.uk/broadcast/read/63995</x:v>
      </x:c>
      <x:c r="N60" s="10" t="str">
        <x:v>Direct eligibility</x:v>
      </x:c>
      <x:c r="O60" s="10" t="str">
        <x:v>Dated earlier / mixed</x:v>
      </x:c>
      <x:c r="P60" s="12" t="d">
        <x:v>2026-10-08T00:00:00.000Z</x:v>
      </x:c>
    </x:row>
    <x:row r="61" ht="116" customHeight="1">
      <x:c r="A61" s="10" t="str">
        <x:v>UK</x:v>
      </x:c>
      <x:c r="B61" s="11" t="str">
        <x:v>Leicester</x:v>
      </x:c>
      <x:c r="C61" s="10" t="str">
        <x:v>University-wide</x:v>
      </x:c>
      <x:c r="D61" s="10" t="str">
        <x:v>Co-curricular award</x:v>
      </x:c>
      <x:c r="E61" s="10" t="str">
        <x:v>Leicester Award / Leicester Award Gold</x:v>
      </x:c>
      <x:c r="F61" s="10" t="str">
        <x:v>Careers / academic schools</x:v>
      </x:c>
      <x:c r="G61" s="10" t="str">
        <x:v>Mixed/varies</x:v>
      </x:c>
      <x:c r="H61" s="10" t="str">
        <x:v>Undergraduate students; school embedding varies</x:v>
      </x:c>
      <x:c r="I61" s="10" t="str">
        <x:v>Employability learning, reflective skills development and preparation for work experience. The new 100-hour curriculum guarantee is recorded separately.</x:v>
      </x:c>
      <x:c r="J61" s="10" t="str">
        <x:v>Institutional undergraduate framework; award completion and Gold pathway should not be assumed universal.</x:v>
      </x:c>
      <x:c r="K61" s="10" t="str">
        <x:v>2023 embedding evidence; latest award intake unverified</x:v>
      </x:c>
      <x:c r="L61" s="10" t="str">
        <x:v>Additional UK sample</x:v>
      </x:c>
      <x:c r="M61" s="10" t="str">
        <x:v>https://le.ac.uk/news/2023/december/leicester-award</x:v>
      </x:c>
      <x:c r="N61" s="10" t="str">
        <x:v>Institutional framework</x:v>
      </x:c>
      <x:c r="O61" s="10" t="str">
        <x:v>Dated earlier / mixed</x:v>
      </x:c>
      <x:c r="P61" s="12" t="d">
        <x:v>2026-10-08T00:00:00.000Z</x:v>
      </x:c>
    </x:row>
    <x:row r="62" ht="116" customHeight="1">
      <x:c r="A62" s="10" t="str">
        <x:v>UK</x:v>
      </x:c>
      <x:c r="B62" s="11" t="str">
        <x:v>Leicester</x:v>
      </x:c>
      <x:c r="C62" s="10" t="str">
        <x:v>University-wide</x:v>
      </x:c>
      <x:c r="D62" s="10" t="str">
        <x:v>Live/research project</x:v>
      </x:c>
      <x:c r="E62" s="10" t="str">
        <x:v>100 hours work-related learning guarantee</x:v>
      </x:c>
      <x:c r="F62" s="10" t="str">
        <x:v>Undergraduate curriculum / academic schools</x:v>
      </x:c>
      <x:c r="G62" s="10" t="str">
        <x:v>Compulsory</x:v>
      </x:c>
      <x:c r="H62" s="10" t="str">
        <x:v>All campus-based undergraduates completing their whole programme at Leicester from 2026/27</x:v>
      </x:c>
      <x:c r="I62" s="10" t="str">
        <x:v>Every undergraduate degree provides 100 hours of work-related learning. Employer-informed projects, simulations and virtual internships apply learning to real challenges; the guarantee does not imply 100 hours of employment or a placement.</x:v>
      </x:c>
      <x:c r="J62" s="10" t="str">
        <x:v>Explicit guarantee for all qualifying campus-based undergraduate degrees, across disciplines.</x:v>
      </x:c>
      <x:c r="K62" s="10" t="str">
        <x:v>Introduced from 2026/27 onwards</x:v>
      </x:c>
      <x:c r="L62" s="10" t="str">
        <x:v>Additional UK sample</x:v>
      </x:c>
      <x:c r="M62" s="10" t="str">
        <x:v>https://le.ac.uk/study/undergraduates/careers/100-hours</x:v>
      </x:c>
      <x:c r="N62" s="10" t="str">
        <x:v>Direct eligibility</x:v>
      </x:c>
      <x:c r="O62" s="10" t="str">
        <x:v>Dated 2026/27</x:v>
      </x:c>
      <x:c r="P62" s="12" t="d">
        <x:v>2026-10-08T00:00:00.000Z</x:v>
      </x:c>
    </x:row>
    <x:row r="63" ht="116" customHeight="1">
      <x:c r="A63" s="10" t="str">
        <x:v>UK</x:v>
      </x:c>
      <x:c r="B63" s="11" t="str">
        <x:v>Strathclyde</x:v>
      </x:c>
      <x:c r="C63" s="10" t="str">
        <x:v>University-wide</x:v>
      </x:c>
      <x:c r="D63" s="10" t="str">
        <x:v>Live/research project</x:v>
      </x:c>
      <x:c r="E63" s="10" t="str">
        <x:v>Vertically Integrated Projects for Sustainable Development</x:v>
      </x:c>
      <x:c r="F63" s="10" t="str">
        <x:v>University VIP4SD programme</x:v>
      </x:c>
      <x:c r="G63" s="10" t="str">
        <x:v>Mixed/varies</x:v>
      </x:c>
      <x:c r="H63" s="10" t="str">
        <x:v>Students in participating degrees and project teams</x:v>
      </x:c>
      <x:c r="I63" s="10" t="str">
        <x:v>Multidisciplinary, multiyear student research addresses UN Sustainable Development Goals; teams integrate different study levels. Curricular credit depends on the degree.</x:v>
      </x:c>
      <x:c r="J63" s="10" t="str">
        <x:v>University framework with course-specific eligibility; do not infer every degree participates.</x:v>
      </x:c>
      <x:c r="K63" s="10" t="str">
        <x:v>Official page; intake unverified</x:v>
      </x:c>
      <x:c r="L63" s="10" t="str">
        <x:v>Additional UK sample</x:v>
      </x:c>
      <x:c r="M63" s="10" t="str">
        <x:v>https://www.strath.ac.uk/studywithus/verticallyintegratedprojectsforsustainabledevelopment/abouttheprogramme/
https://www.strath.ac.uk/studywithus/verticallyintegratedprojectsforsustainabledevelopment/ourprojects/</x:v>
      </x:c>
      <x:c r="N63" s="10" t="str">
        <x:v>Institutional framework</x:v>
      </x:c>
      <x:c r="O63" s="10" t="str">
        <x:v>Undated page</x:v>
      </x:c>
      <x:c r="P63" s="12" t="d">
        <x:v>2026-10-08T00:00:00.000Z</x:v>
      </x:c>
    </x:row>
    <x:row r="64" ht="116" customHeight="1">
      <x:c r="A64" s="10" t="str">
        <x:v>UK</x:v>
      </x:c>
      <x:c r="B64" s="11" t="str">
        <x:v>Heriot-Watt</x:v>
      </x:c>
      <x:c r="C64" s="10" t="str">
        <x:v>University-wide</x:v>
      </x:c>
      <x:c r="D64" s="10" t="str">
        <x:v>Enterprise programme</x:v>
      </x:c>
      <x:c r="E64" s="10" t="str">
        <x:v>Global Innovation Challenge</x:v>
      </x:c>
      <x:c r="F64" s="10" t="str">
        <x:v>Global Research, Innovation and Discovery (GRID)</x:v>
      </x:c>
      <x:c r="G64" s="10" t="str">
        <x:v>Co-curricular</x:v>
      </x:c>
      <x:c r="H64" s="10" t="str">
        <x:v>Students, academics and alumni across Heriot-Watt campuses</x:v>
      </x:c>
      <x:c r="I64" s="10" t="str">
        <x:v>Nine-week practical entrepreneurial workshop programme develops business ideas through mentoring, founder/industry connections and a competition for up to £5,000.</x:v>
      </x:c>
      <x:c r="J64" s="10" t="str">
        <x:v>Official page explicitly invites participants from across the university’s global community.</x:v>
      </x:c>
      <x:c r="K64" s="10" t="str">
        <x:v>2026 challenge confirmed</x:v>
      </x:c>
      <x:c r="L64" s="10" t="str">
        <x:v>Additional UK sample</x:v>
      </x:c>
      <x:c r="M64" s="10" t="str">
        <x:v>https://www.hw.ac.uk/research-enterprise/innovation/global-innovation-challenge</x:v>
      </x:c>
      <x:c r="N64" s="10" t="str">
        <x:v>Direct eligibility</x:v>
      </x:c>
      <x:c r="O64" s="10" t="str">
        <x:v>Dated 2026/27</x:v>
      </x:c>
      <x:c r="P64" s="12" t="d">
        <x:v>2026-10-08T00:00:00.000Z</x:v>
      </x:c>
    </x:row>
    <x:row r="65" ht="116" customHeight="1">
      <x:c r="A65" s="10" t="str">
        <x:v>UK</x:v>
      </x:c>
      <x:c r="B65" s="11" t="str">
        <x:v>East Anglia</x:v>
      </x:c>
      <x:c r="C65" s="10" t="str">
        <x:v>Not confirmed</x:v>
      </x:c>
      <x:c r="D65" s="10" t="str">
        <x:v>Co-curricular award</x:v>
      </x:c>
      <x:c r="E65" s="10" t="str">
        <x:v>UEA Award</x:v>
      </x:c>
      <x:c r="F65" s="10" t="str">
        <x:v>CareerCentral</x:v>
      </x:c>
      <x:c r="G65" s="10" t="str">
        <x:v>Co-curricular</x:v>
      </x:c>
      <x:c r="H65" s="10" t="str">
        <x:v>UEA students; exact eligibility should be checked in award terms</x:v>
      </x:c>
      <x:c r="I65" s="10" t="str">
        <x:v>Skills-development and employability award complements study and recognises wider experience. 2025–29 access plan continues to promote participation across courses.</x:v>
      </x:c>
      <x:c r="J65" s="10" t="str">
        <x:v>Central careers award with cross-course promotion; university reach inferred, not compulsory. Academic reach remains Not confirmed until eligibility or institution-wide framework reach is established.</x:v>
      </x:c>
      <x:c r="K65" s="10" t="str">
        <x:v>2025–29 policy and 2026 careers-role evidence</x:v>
      </x:c>
      <x:c r="L65" s="10" t="str">
        <x:v>Additional UK sample</x:v>
      </x:c>
      <x:c r="M65" s="10" t="str">
        <x:v>https://mycareercentral.uea.ac.uk/Uploads/Attachments/UEA%20Award/TandCs-UEA-Award-final.pdf
https://assets.uea.ac.uk/f/185167/x/a9b8a9ffc6/university-of-east-anglia-access-and-participation-plan-2025-26-2028-29.pdf</x:v>
      </x:c>
      <x:c r="N65" s="10" t="str">
        <x:v>Unconfirmed reach</x:v>
      </x:c>
      <x:c r="O65" s="10" t="str">
        <x:v>Dated 2026/27</x:v>
      </x:c>
      <x:c r="P65" s="12" t="d">
        <x:v>2026-10-08T00:00:00.000Z</x:v>
      </x:c>
    </x:row>
    <x:row r="66" ht="116" customHeight="1">
      <x:c r="A66" s="10" t="str">
        <x:v>UK</x:v>
      </x:c>
      <x:c r="B66" s="11" t="str">
        <x:v>Dundee</x:v>
      </x:c>
      <x:c r="C66" s="10" t="str">
        <x:v>University-wide</x:v>
      </x:c>
      <x:c r="D66" s="10" t="str">
        <x:v>Enterprise programme</x:v>
      </x:c>
      <x:c r="E66" s="10" t="str">
        <x:v>Enterprise Challenge / Venture Competition</x:v>
      </x:c>
      <x:c r="F66" s="10" t="str">
        <x:v>Centre for Entrepreneurship</x:v>
      </x:c>
      <x:c r="G66" s="10" t="str">
        <x:v>Co-curricular</x:v>
      </x:c>
      <x:c r="H66" s="10" t="str">
        <x:v>Students, staff and recent graduates; selection applies</x:v>
      </x:c>
      <x:c r="I66" s="10" t="str">
        <x:v>Business-idea development and pitching. Enterprise Challenge feeds into the three-stage Venture Competition; 2026 competition terms confirm the pathway.</x:v>
      </x:c>
      <x:c r="J66" s="10" t="str">
        <x:v>Venture explicitly open to all university students; voluntary enterprise pathway.</x:v>
      </x:c>
      <x:c r="K66" s="10" t="str">
        <x:v>2026 competition confirmed</x:v>
      </x:c>
      <x:c r="L66" s="10" t="str">
        <x:v>Additional UK sample</x:v>
      </x:c>
      <x:c r="M66" s="10" t="str">
        <x:v>https://www.dundee.ac.uk/entrepreneurship/venture
https://www.dundee.ac.uk/corporate-information/venture-competition-terms-and-conditions</x:v>
      </x:c>
      <x:c r="N66" s="10" t="str">
        <x:v>Direct eligibility</x:v>
      </x:c>
      <x:c r="O66" s="10" t="str">
        <x:v>Dated 2026/27</x:v>
      </x:c>
      <x:c r="P66" s="12" t="d">
        <x:v>2026-10-08T00:00:00.000Z</x:v>
      </x:c>
    </x:row>
    <x:row r="67" ht="116" customHeight="1">
      <x:c r="A67" s="10" t="str">
        <x:v>UK</x:v>
      </x:c>
      <x:c r="B67" s="11" t="str">
        <x:v>Swansea</x:v>
      </x:c>
      <x:c r="C67" s="10" t="str">
        <x:v>University-wide</x:v>
      </x:c>
      <x:c r="D67" s="10" t="str">
        <x:v>Co-curricular award</x:v>
      </x:c>
      <x:c r="E67" s="10" t="str">
        <x:v>Employability Awards</x:v>
      </x:c>
      <x:c r="F67" s="10" t="str">
        <x:v>Swansea Employability Academy</x:v>
      </x:c>
      <x:c r="G67" s="10" t="str">
        <x:v>Co-curricular</x:v>
      </x:c>
      <x:c r="H67" s="10" t="str">
        <x:v>Any Swansea student</x:v>
      </x:c>
      <x:c r="I67" s="10" t="str">
        <x:v>Eight awards recognise activities such as volunteering, discovery projects and career-development units. Completion leads to digital badges and/or HEAR recognition.</x:v>
      </x:c>
      <x:c r="J67" s="10" t="str">
        <x:v>Official page states any student can work towards an award.</x:v>
      </x:c>
      <x:c r="K67" s="10" t="str">
        <x:v>Official page; intake unverified</x:v>
      </x:c>
      <x:c r="L67" s="10" t="str">
        <x:v>Additional UK sample</x:v>
      </x:c>
      <x:c r="M67" s="10" t="str">
        <x:v>https://hwb.swansea.ac.uk/employability-enterprise/employability-awards/</x:v>
      </x:c>
      <x:c r="N67" s="10" t="str">
        <x:v>Direct eligibility</x:v>
      </x:c>
      <x:c r="O67" s="10" t="str">
        <x:v>Undated page</x:v>
      </x:c>
      <x:c r="P67" s="12" t="d">
        <x:v>2026-10-08T00:00:00.000Z</x:v>
      </x:c>
    </x:row>
    <x:row r="68" ht="116" customHeight="1">
      <x:c r="A68" s="10" t="str">
        <x:v>UK</x:v>
      </x:c>
      <x:c r="B68" s="11" t="str">
        <x:v>Essex</x:v>
      </x:c>
      <x:c r="C68" s="10" t="str">
        <x:v>University-wide</x:v>
      </x:c>
      <x:c r="D68" s="10" t="str">
        <x:v>Co-curricular award</x:v>
      </x:c>
      <x:c r="E68" s="10" t="str">
        <x:v>Big Essex Award</x:v>
      </x:c>
      <x:c r="F68" s="10" t="str">
        <x:v>Careers / HEAR</x:v>
      </x:c>
      <x:c r="G68" s="10" t="str">
        <x:v>Co-curricular</x:v>
      </x:c>
      <x:c r="H68" s="10" t="str">
        <x:v>Eligible Essex students; research-only HEAR exclusions apply</x:v>
      </x:c>
      <x:c r="I68" s="10" t="str">
        <x:v>Reflective recognition of extracurricular skills and experience, with Bronze/Silver/Gold levels. Award achievements are recorded through HEAR rather than degree credit.</x:v>
      </x:c>
      <x:c r="J68" s="10" t="str">
        <x:v>Central award across student activities; exact level-specific rules should be checked.</x:v>
      </x:c>
      <x:c r="K68" s="10" t="str">
        <x:v>Official page; intake unverified</x:v>
      </x:c>
      <x:c r="L68" s="10" t="str">
        <x:v>Additional UK sample</x:v>
      </x:c>
      <x:c r="M68" s="10" t="str">
        <x:v>https://www.essex.ac.uk/student/awards-and-achievements/hear
https://www.essex.ac.uk/careers/documents/HEARfaqs.pdf</x:v>
      </x:c>
      <x:c r="N68" s="10" t="str">
        <x:v>Direct eligibility</x:v>
      </x:c>
      <x:c r="O68" s="10" t="str">
        <x:v>Undated page</x:v>
      </x:c>
      <x:c r="P68" s="12" t="d">
        <x:v>2026-10-08T00:00:00.000Z</x:v>
      </x:c>
    </x:row>
    <x:row r="69" ht="116" customHeight="1">
      <x:c r="A69" s="10" t="str">
        <x:v>UK</x:v>
      </x:c>
      <x:c r="B69" s="11" t="str">
        <x:v>Kent</x:v>
      </x:c>
      <x:c r="C69" s="10" t="str">
        <x:v>University-wide</x:v>
      </x:c>
      <x:c r="D69" s="10" t="str">
        <x:v>Co-curricular award</x:v>
      </x:c>
      <x:c r="E69" s="10" t="str">
        <x:v>Employability Points</x:v>
      </x:c>
      <x:c r="F69" s="10" t="str">
        <x:v>Careers and Employability</x:v>
      </x:c>
      <x:c r="G69" s="10" t="str">
        <x:v>Co-curricular</x:v>
      </x:c>
      <x:c r="H69" s="10" t="str">
        <x:v>All registered Kent students</x:v>
      </x:c>
      <x:c r="I69" s="10" t="str">
        <x:v>Students earn points for extracurricular activities and redeem them for employer-supported rewards, including work-experience opportunities.</x:v>
      </x:c>
      <x:c r="J69" s="10" t="str">
        <x:v>Explicit all-registered-student availability; points are not degree credits.</x:v>
      </x:c>
      <x:c r="K69" s="10" t="str">
        <x:v>Official page; intake unverified</x:v>
      </x:c>
      <x:c r="L69" s="10" t="str">
        <x:v>Additional UK sample</x:v>
      </x:c>
      <x:c r="M69" s="10" t="str">
        <x:v>https://student.kent.ac.uk/careers/employability-points/ep-points-how-it-works</x:v>
      </x:c>
      <x:c r="N69" s="10" t="str">
        <x:v>Direct eligibility</x:v>
      </x:c>
      <x:c r="O69" s="10" t="str">
        <x:v>Undated page</x:v>
      </x:c>
      <x:c r="P69" s="12" t="d">
        <x:v>2026-10-08T00:00:00.000Z</x:v>
      </x:c>
    </x:row>
    <x:row r="70" ht="116" customHeight="1">
      <x:c r="A70" s="10" t="str">
        <x:v>UK</x:v>
      </x:c>
      <x:c r="B70" s="11" t="str">
        <x:v>Brunel</x:v>
      </x:c>
      <x:c r="C70" s="10" t="str">
        <x:v>University-wide</x:v>
      </x:c>
      <x:c r="D70" s="10" t="str">
        <x:v>Placement/WIL</x:v>
      </x:c>
      <x:c r="E70" s="10" t="str">
        <x:v>Professional work placements</x:v>
      </x:c>
      <x:c r="F70" s="10" t="str">
        <x:v>Student Professional Development / departments</x:v>
      </x:c>
      <x:c r="G70" s="10" t="str">
        <x:v>Mixed/varies</x:v>
      </x:c>
      <x:c r="H70" s="10" t="str">
        <x:v>Eligible degree programmes; availability and assessment vary</x:v>
      </x:c>
      <x:c r="I70" s="10" t="str">
        <x:v>University placement support enables students to apply learning with employers. Programme requirements determine timing, duration and credit.</x:v>
      </x:c>
      <x:c r="J70" s="10" t="str">
        <x:v>Central placement framework across departments; no claim all degrees or students participate.</x:v>
      </x:c>
      <x:c r="K70" s="10" t="str">
        <x:v>Official page; intake unverified</x:v>
      </x:c>
      <x:c r="L70" s="10" t="str">
        <x:v>Additional UK sample</x:v>
      </x:c>
      <x:c r="M70" s="10" t="str">
        <x:v>https://www.brunel.ac.uk/student-professional-development/work-placements</x:v>
      </x:c>
      <x:c r="N70" s="10" t="str">
        <x:v>Institutional framework</x:v>
      </x:c>
      <x:c r="O70" s="10" t="str">
        <x:v>Undated page</x:v>
      </x:c>
      <x:c r="P70" s="12" t="d">
        <x:v>2026-10-08T00:00:00.000Z</x:v>
      </x:c>
    </x:row>
    <x:row r="71" ht="116" customHeight="1">
      <x:c r="A71" s="10" t="str">
        <x:v>UK</x:v>
      </x:c>
      <x:c r="B71" s="11" t="str">
        <x:v>Aston</x:v>
      </x:c>
      <x:c r="C71" s="10" t="str">
        <x:v>University-wide</x:v>
      </x:c>
      <x:c r="D71" s="10" t="str">
        <x:v>Live/research project</x:v>
      </x:c>
      <x:c r="E71" s="10" t="str">
        <x:v>Aston Global Advantage</x:v>
      </x:c>
      <x:c r="F71" s="10" t="str">
        <x:v>Postgraduate taught curriculum</x:v>
      </x:c>
      <x:c r="G71" s="10" t="str">
        <x:v>Compulsory</x:v>
      </x:c>
      <x:c r="H71" s="10" t="str">
        <x:v>Every postgraduate taught programme, according to university page</x:v>
      </x:c>
      <x:c r="I71" s="10" t="str">
        <x:v>Structured professional development combines teamwork, practical projects and employer engagement with postgraduate study. Delivery varies by programme/campus.</x:v>
      </x:c>
      <x:c r="J71" s="10" t="str">
        <x:v>Official page describes a distinctive component of every postgraduate taught programme.</x:v>
      </x:c>
      <x:c r="K71" s="10" t="str">
        <x:v>Official page; intake unverified</x:v>
      </x:c>
      <x:c r="L71" s="10" t="str">
        <x:v>Additional UK sample</x:v>
      </x:c>
      <x:c r="M71" s="10" t="str">
        <x:v>https://www.aston.ac.uk/postgraduate/aston-global-advantage</x:v>
      </x:c>
      <x:c r="N71" s="10" t="str">
        <x:v>Direct eligibility</x:v>
      </x:c>
      <x:c r="O71" s="10" t="str">
        <x:v>Undated page</x:v>
      </x:c>
      <x:c r="P71" s="12" t="d">
        <x:v>2026-10-08T00:00:00.000Z</x:v>
      </x:c>
    </x:row>
    <x:row r="72" ht="116" customHeight="1">
      <x:c r="A72" s="10" t="str">
        <x:v>UK</x:v>
      </x:c>
      <x:c r="B72" s="11" t="str">
        <x:v>Stirling</x:v>
      </x:c>
      <x:c r="C72" s="10" t="str">
        <x:v>University-wide</x:v>
      </x:c>
      <x:c r="D72" s="10" t="str">
        <x:v>Co-curricular award</x:v>
      </x:c>
      <x:c r="E72" s="10" t="str">
        <x:v>My Stirling Award</x:v>
      </x:c>
      <x:c r="F72" s="10" t="str">
        <x:v>Careers</x:v>
      </x:c>
      <x:c r="G72" s="10" t="str">
        <x:v>Co-curricular</x:v>
      </x:c>
      <x:c r="H72" s="10" t="str">
        <x:v>All undergraduate and postgraduate students</x:v>
      </x:c>
      <x:c r="I72" s="10" t="str">
        <x:v>Recognises employment, volunteering, projects and wider activities. Undergraduate Bronze/Silver/Gold require 50/100/200 hours; postgraduate award requires 30 hours. Includes reflection and career preparation; transcript recognition.</x:v>
      </x:c>
      <x:c r="J72" s="10" t="str">
        <x:v>Official eligibility explicitly includes all undergraduate and postgraduate students.</x:v>
      </x:c>
      <x:c r="K72" s="10" t="str">
        <x:v>Official page says all levels open to enrol; intake year unlabelled</x:v>
      </x:c>
      <x:c r="L72" s="10" t="str">
        <x:v>Additional UK sample</x:v>
      </x:c>
      <x:c r="M72" s="10" t="str">
        <x:v>https://www.stir.ac.uk/student-life/careers/get-career-experience/my-stirling-award/</x:v>
      </x:c>
      <x:c r="N72" s="10" t="str">
        <x:v>Direct eligibility</x:v>
      </x:c>
      <x:c r="O72" s="10" t="str">
        <x:v>Undated page</x:v>
      </x:c>
      <x:c r="P72" s="12" t="d">
        <x:v>2026-10-08T00:00:00.000Z</x:v>
      </x:c>
    </x:row>
    <x:row r="73" ht="116" customHeight="1">
      <x:c r="A73" s="10" t="str">
        <x:v>UK</x:v>
      </x:c>
      <x:c r="B73" s="11" t="str">
        <x:v>SOAS</x:v>
      </x:c>
      <x:c r="C73" s="10" t="str">
        <x:v>University-wide</x:v>
      </x:c>
      <x:c r="D73" s="10" t="str">
        <x:v>Live/research project</x:v>
      </x:c>
      <x:c r="E73" s="10" t="str">
        <x:v>SOAS Virtual Industry Project</x:v>
      </x:c>
      <x:c r="F73" s="10" t="str">
        <x:v>Careers / Practera</x:v>
      </x:c>
      <x:c r="G73" s="10" t="str">
        <x:v>Co-curricular</x:v>
      </x:c>
      <x:c r="H73" s="10" t="str">
        <x:v>Second- and final-year undergraduates; limited places</x:v>
      </x:c>
      <x:c r="I73" s="10" t="str">
        <x:v>Two-week virtual consultancy in interdisciplinary teams responding to a live employer brief, with a final report. Scheme page describes 100 places annually.</x:v>
      </x:c>
      <x:c r="J73" s="10" t="str">
        <x:v>Eligibility stated by year rather than faculty; open across undergraduate disciplines.</x:v>
      </x:c>
      <x:c r="K73" s="10" t="str">
        <x:v>2025 participant evidence; current intake unverified</x:v>
      </x:c>
      <x:c r="L73" s="10" t="str">
        <x:v>Additional UK sample</x:v>
      </x:c>
      <x:c r="M73" s="10" t="str">
        <x:v>https://www.soas.ac.uk/soas-virtual-industry-project</x:v>
      </x:c>
      <x:c r="N73" s="10" t="str">
        <x:v>Direct eligibility</x:v>
      </x:c>
      <x:c r="O73" s="10" t="str">
        <x:v>Dated earlier / mixed</x:v>
      </x:c>
      <x:c r="P73" s="12" t="d">
        <x:v>2026-10-08T00:00:00.000Z</x:v>
      </x:c>
    </x:row>
    <x:row r="74" ht="116" customHeight="1">
      <x:c r="A74" s="10" t="str">
        <x:v>UK</x:v>
      </x:c>
      <x:c r="B74" s="11" t="str">
        <x:v>Birkbeck</x:v>
      </x:c>
      <x:c r="C74" s="10" t="str">
        <x:v>Cross-faculty</x:v>
      </x:c>
      <x:c r="D74" s="10" t="str">
        <x:v>Placement/WIL</x:v>
      </x:c>
      <x:c r="E74" s="10" t="str">
        <x:v>Micro-placement, CASC002H5</x:v>
      </x:c>
      <x:c r="F74" s="10" t="str">
        <x:v>Academic programmes / placements</x:v>
      </x:c>
      <x:c r="G74" s="10" t="str">
        <x:v>Mixed/varies</x:v>
      </x:c>
      <x:c r="H74" s="10" t="str">
        <x:v>Participating degrees including Computing and Health and Social Care</x:v>
      </x:c>
      <x:c r="I74" s="10" t="str">
        <x:v>Short placement or professional project, preparation workshops and reflective assessment. 15 credits: optional in Data Science and Computing; compulsory in the named Health and Social Care route.</x:v>
      </x:c>
      <x:c r="J74" s="10" t="str">
        <x:v>Two programme specifications establish cross-faculty use, not availability on every degree.</x:v>
      </x:c>
      <x:c r="K74" s="10" t="str">
        <x:v>2024/25 and 2025/26 specifications</x:v>
      </x:c>
      <x:c r="L74" s="10" t="str">
        <x:v>Additional UK sample</x:v>
      </x:c>
      <x:c r="M74" s="10" t="str">
        <x:v>https://www.bbk.ac.uk/courses/module/CASC002H5
https://www.bbk.ac.uk/documents/programme-specification-2025-26-bsc-health-and-social-care-incl-with-foundation-year.pdf</x:v>
      </x:c>
      <x:c r="N74" s="10" t="str">
        <x:v>Direct eligibility</x:v>
      </x:c>
      <x:c r="O74" s="10" t="str">
        <x:v>Dated earlier / mixed</x:v>
      </x:c>
      <x:c r="P74" s="12" t="d">
        <x:v>2026-10-08T00:00:00.000Z</x:v>
      </x:c>
    </x:row>
    <x:row r="75" ht="116" customHeight="1">
      <x:c r="A75" s="10" t="str">
        <x:v>UK</x:v>
      </x:c>
      <x:c r="B75" s="11" t="str">
        <x:v>Birkbeck</x:v>
      </x:c>
      <x:c r="C75" s="10" t="str">
        <x:v>University-wide</x:v>
      </x:c>
      <x:c r="D75" s="10" t="str">
        <x:v>Enterprise programme</x:v>
      </x:c>
      <x:c r="E75" s="10" t="str">
        <x:v>Pioneer Programme</x:v>
      </x:c>
      <x:c r="F75" s="10" t="str">
        <x:v>Careers and Enterprise</x:v>
      </x:c>
      <x:c r="G75" s="10" t="str">
        <x:v>Co-curricular</x:v>
      </x:c>
      <x:c r="H75" s="10" t="str">
        <x:v>Birkbeck students and graduates interested in enterprise</x:v>
      </x:c>
      <x:c r="I75" s="10" t="str">
        <x:v>Extracurricular workshops, founder guidance and business development alongside study. Current programme page sets an October 2026 selection timetable.</x:v>
      </x:c>
      <x:c r="J75" s="10" t="str">
        <x:v>Central programme; earlier official description explicitly includes any Birkbeck student.</x:v>
      </x:c>
      <x:c r="K75" s="10" t="str">
        <x:v>2026 intake confirmed</x:v>
      </x:c>
      <x:c r="L75" s="10" t="str">
        <x:v>Additional UK sample</x:v>
      </x:c>
      <x:c r="M75" s="10" t="str">
        <x:v>https://www.bbk.ac.uk/student-services/careers-and-enterprise/start-a-business
https://www.bbk.ac.uk/news/birkbeck-and-santander-universities-celebrate-creating-accessible-pathways-to-entrepreneurship-2</x:v>
      </x:c>
      <x:c r="N75" s="10" t="str">
        <x:v>Direct eligibility</x:v>
      </x:c>
      <x:c r="O75" s="10" t="str">
        <x:v>Dated 2026/27</x:v>
      </x:c>
      <x:c r="P75" s="12" t="d">
        <x:v>2026-10-08T00:00:00.000Z</x:v>
      </x:c>
    </x:row>
    <x:row r="76" ht="116" customHeight="1">
      <x:c r="A76" s="10" t="str">
        <x:v>UK</x:v>
      </x:c>
      <x:c r="B76" s="11" t="str">
        <x:v>Royal Holloway</x:v>
      </x:c>
      <x:c r="C76" s="10" t="str">
        <x:v>University-wide</x:v>
      </x:c>
      <x:c r="D76" s="10" t="str">
        <x:v>Co-curricular award</x:v>
      </x:c>
      <x:c r="E76" s="10" t="str">
        <x:v>Royal Holloway Volunteer Awards</x:v>
      </x:c>
      <x:c r="F76" s="10" t="str">
        <x:v>Volunteering / central student experience</x:v>
      </x:c>
      <x:c r="G76" s="10" t="str">
        <x:v>Co-curricular</x:v>
      </x:c>
      <x:c r="H76" s="10" t="str">
        <x:v>Students undertaking community volunteering</x:v>
      </x:c>
      <x:c r="I76" s="10" t="str">
        <x:v>Community placements with more than 100 partners; 2026 awards recognise 30, 50 and 100 hours of volunteering.</x:v>
      </x:c>
      <x:c r="J76" s="10" t="str">
        <x:v>Central volunteering recognition rather than a faculty curriculum.</x:v>
      </x:c>
      <x:c r="K76" s="10" t="str">
        <x:v>2025/26 awards confirmed</x:v>
      </x:c>
      <x:c r="L76" s="10" t="str">
        <x:v>Additional UK sample</x:v>
      </x:c>
      <x:c r="M76" s="10" t="str">
        <x:v>https://intranet.royalholloway.ac.uk/students/campus-life/volunteering/the-royal-holloway-volunteer-awards-2026.aspx
https://www.royalholloway.ac.uk/student-life/being-a-student/volunteering-at-royal-holloway/</x:v>
      </x:c>
      <x:c r="N76" s="10" t="str">
        <x:v>Direct eligibility</x:v>
      </x:c>
      <x:c r="O76" s="10" t="str">
        <x:v>Dated earlier / mixed</x:v>
      </x:c>
      <x:c r="P76" s="12" t="d">
        <x:v>2026-10-08T00:00:00.000Z</x:v>
      </x:c>
    </x:row>
    <x:row r="77" ht="116" customHeight="1">
      <x:c r="A77" s="10" t="str">
        <x:v>UK</x:v>
      </x:c>
      <x:c r="B77" s="11" t="str">
        <x:v>City St George’s</x:v>
      </x:c>
      <x:c r="C77" s="10" t="str">
        <x:v>Not confirmed</x:v>
      </x:c>
      <x:c r="D77" s="10" t="str">
        <x:v>Enterprise programme</x:v>
      </x:c>
      <x:c r="E77" s="10" t="str">
        <x:v>CitySpark</x:v>
      </x:c>
      <x:c r="F77" s="10" t="str">
        <x:v>CityVentures</x:v>
      </x:c>
      <x:c r="G77" s="10" t="str">
        <x:v>Co-curricular</x:v>
      </x:c>
      <x:c r="H77" s="10" t="str">
        <x:v>All legacy City students and recent alumni; merger-wide eligibility unverified</x:v>
      </x:c>
      <x:c r="I77" s="10" t="str">
        <x:v>Business-idea competition with customer discovery, enterprise workshops, mentoring and pitching. £3,000 funding offered in the 2024 competition.</x:v>
      </x:c>
      <x:c r="J77" s="10" t="str">
        <x:v>Explicit all-City eligibility; do not extend this to every legacy St George’s course after merger.</x:v>
      </x:c>
      <x:c r="K77" s="10" t="str">
        <x:v>2024 evidence; current/merged intake unverified</x:v>
      </x:c>
      <x:c r="L77" s="10" t="str">
        <x:v>Additional UK sample</x:v>
      </x:c>
      <x:c r="M77" s="10" t="str">
        <x:v>https://studenthub.citystgeorges.ac.uk/news-and-events/news/2024/february/cityspark-2024</x:v>
      </x:c>
      <x:c r="N77" s="10" t="str">
        <x:v>Unconfirmed reach</x:v>
      </x:c>
      <x:c r="O77" s="10" t="str">
        <x:v>Dated earlier / mixed</x:v>
      </x:c>
      <x:c r="P77" s="12" t="d">
        <x:v>2026-10-08T00:00:00.000Z</x:v>
      </x:c>
    </x:row>
    <x:row r="78" ht="116" customHeight="1">
      <x:c r="A78" s="10" t="str">
        <x:v>UK</x:v>
      </x:c>
      <x:c r="B78" s="11" t="str">
        <x:v>Oxford Brookes</x:v>
      </x:c>
      <x:c r="C78" s="10" t="str">
        <x:v>University-wide</x:v>
      </x:c>
      <x:c r="D78" s="10" t="str">
        <x:v>Enterprise programme</x:v>
      </x:c>
      <x:c r="E78" s="10" t="str">
        <x:v>Spark</x:v>
      </x:c>
      <x:c r="F78" s="10" t="str">
        <x:v>Brookes Enterprise</x:v>
      </x:c>
      <x:c r="G78" s="10" t="str">
        <x:v>Co-curricular</x:v>
      </x:c>
      <x:c r="H78" s="10" t="str">
        <x:v>Students from any discipline; staff and eligible alumni</x:v>
      </x:c>
      <x:c r="I78" s="10" t="str">
        <x:v>Six-week startup-development programme, business-model refinement, mentor meeting and pitch deck; participants can compete for £500 funding.</x:v>
      </x:c>
      <x:c r="J78" s="10" t="str">
        <x:v>Explicit any-discipline eligibility.</x:v>
      </x:c>
      <x:c r="K78" s="10" t="str">
        <x:v>Autumn 2026 applications confirmed</x:v>
      </x:c>
      <x:c r="L78" s="10" t="str">
        <x:v>Additional UK sample</x:v>
      </x:c>
      <x:c r="M78" s="10" t="str">
        <x:v>https://www.brookes.ac.uk/enterprise/start-up-support/spark</x:v>
      </x:c>
      <x:c r="N78" s="10" t="str">
        <x:v>Direct eligibility</x:v>
      </x:c>
      <x:c r="O78" s="10" t="str">
        <x:v>Dated 2026/27</x:v>
      </x:c>
      <x:c r="P78" s="12" t="d">
        <x:v>2026-10-08T00:00:00.000Z</x:v>
      </x:c>
    </x:row>
    <x:row r="79" ht="116" customHeight="1">
      <x:c r="A79" s="10" t="str">
        <x:v>UK</x:v>
      </x:c>
      <x:c r="B79" s="11" t="str">
        <x:v>Oxford Brookes</x:v>
      </x:c>
      <x:c r="C79" s="10" t="str">
        <x:v>Faculty/school</x:v>
      </x:c>
      <x:c r="D79" s="10" t="str">
        <x:v>Live/research project</x:v>
      </x:c>
      <x:c r="E79" s="10" t="str">
        <x:v>Business Challenge Week</x:v>
      </x:c>
      <x:c r="F79" s="10" t="str">
        <x:v>Oxford Brookes Business School</x:v>
      </x:c>
      <x:c r="G79" s="10" t="str">
        <x:v>Not confirmed</x:v>
      </x:c>
      <x:c r="H79" s="10" t="str">
        <x:v>Postgraduate Business School students</x:v>
      </x:c>
      <x:c r="I79" s="10" t="str">
        <x:v>Intensive week tackling real problems from local, national and international organisations; part of the School’s real-world learning provision.</x:v>
      </x:c>
      <x:c r="J79" s="10" t="str">
        <x:v>Page explicitly identifies Business School postgraduate participants; credit/compulsion unverified.</x:v>
      </x:c>
      <x:c r="K79" s="10" t="str">
        <x:v>Official page; intake unverified</x:v>
      </x:c>
      <x:c r="L79" s="10" t="str">
        <x:v>Additional UK sample</x:v>
      </x:c>
      <x:c r="M79" s="10" t="str">
        <x:v>https://www.brookes.ac.uk/about-brookes/structure-and-governance/faculties-and-schools/business/real-world-learning</x:v>
      </x:c>
      <x:c r="N79" s="10" t="str">
        <x:v>Direct eligibility</x:v>
      </x:c>
      <x:c r="O79" s="10" t="str">
        <x:v>Undated page</x:v>
      </x:c>
      <x:c r="P79" s="12" t="d">
        <x:v>2026-10-08T00:00:00.000Z</x:v>
      </x:c>
    </x:row>
    <x:row r="80" ht="116" customHeight="1">
      <x:c r="A80" s="10" t="str">
        <x:v>UK</x:v>
      </x:c>
      <x:c r="B80" s="11" t="str">
        <x:v>Northumbria</x:v>
      </x:c>
      <x:c r="C80" s="10" t="str">
        <x:v>Faculty/school</x:v>
      </x:c>
      <x:c r="D80" s="10" t="str">
        <x:v>Live/research project</x:v>
      </x:c>
      <x:c r="E80" s="10" t="str">
        <x:v>Business Clinic</x:v>
      </x:c>
      <x:c r="F80" s="10" t="str">
        <x:v>Newcastle Business School</x:v>
      </x:c>
      <x:c r="G80" s="10" t="str">
        <x:v>Mixed/varies</x:v>
      </x:c>
      <x:c r="H80" s="10" t="str">
        <x:v>Business School undergraduate and postgraduate students</x:v>
      </x:c>
      <x:c r="I80" s="10" t="str">
        <x:v>Student consultancy teams advise organisations on live problems. Clients include SMEs, charities and larger businesses; module/degree requirements vary.</x:v>
      </x:c>
      <x:c r="J80" s="10" t="str">
        <x:v>Official evidence specifies Business School students, not a university-wide core.</x:v>
      </x:c>
      <x:c r="K80" s="10" t="str">
        <x:v>2024 award evidence / official course page</x:v>
      </x:c>
      <x:c r="L80" s="10" t="str">
        <x:v>Additional UK sample</x:v>
      </x:c>
      <x:c r="M80" s="10" t="str">
        <x:v>https://www.northumbria.ac.uk/about-us/news-events/news/prestigious-award-for-business-clinic/
https://www.northumbria.ac.uk/about-us/news-events/news/business-clinic-hits-key-milestones/</x:v>
      </x:c>
      <x:c r="N80" s="10" t="str">
        <x:v>Direct eligibility</x:v>
      </x:c>
      <x:c r="O80" s="10" t="str">
        <x:v>Dated earlier / mixed</x:v>
      </x:c>
      <x:c r="P80" s="12" t="d">
        <x:v>2026-10-08T00:00:00.000Z</x:v>
      </x:c>
    </x:row>
    <x:row r="81" ht="116" customHeight="1">
      <x:c r="A81" s="10" t="str">
        <x:v>UK</x:v>
      </x:c>
      <x:c r="B81" s="11" t="str">
        <x:v>Northumbria</x:v>
      </x:c>
      <x:c r="C81" s="10" t="str">
        <x:v>University-wide</x:v>
      </x:c>
      <x:c r="D81" s="10" t="str">
        <x:v>Enterprise programme</x:v>
      </x:c>
      <x:c r="E81" s="10" t="str">
        <x:v>Student and Graduate Enterprise / Innovation Northumbria Incubator</x:v>
      </x:c>
      <x:c r="F81" s="10" t="str">
        <x:v>Central enterprise team</x:v>
      </x:c>
      <x:c r="G81" s="10" t="str">
        <x:v>Co-curricular</x:v>
      </x:c>
      <x:c r="H81" s="10" t="str">
        <x:v>Current students and graduates up to five years after graduation</x:v>
      </x:c>
      <x:c r="I81" s="10" t="str">
        <x:v>Workshops, interactive events, specialist advisers and incubator workspace support testing and developing business ideas.</x:v>
      </x:c>
      <x:c r="J81" s="10" t="str">
        <x:v>Central service explicitly available to current students and eligible graduates; no school restriction stated.</x:v>
      </x:c>
      <x:c r="K81" s="10" t="str">
        <x:v>Official page; intake unverified</x:v>
      </x:c>
      <x:c r="L81" s="10" t="str">
        <x:v>Additional UK sample</x:v>
      </x:c>
      <x:c r="M81" s="10" t="str">
        <x:v>https://www.northumbria.ac.uk/study-at-northumbria/student-graduate-enterprise/</x:v>
      </x:c>
      <x:c r="N81" s="10" t="str">
        <x:v>Direct eligibility</x:v>
      </x:c>
      <x:c r="O81" s="10" t="str">
        <x:v>Undated page</x:v>
      </x:c>
      <x:c r="P81" s="12" t="d">
        <x:v>2026-10-08T00:00:00.000Z</x:v>
      </x:c>
    </x:row>
    <x:row r="82" ht="116" customHeight="1">
      <x:c r="A82" s="10" t="str">
        <x:v>UK</x:v>
      </x:c>
      <x:c r="B82" s="11" t="str">
        <x:v>Portsmouth</x:v>
      </x:c>
      <x:c r="C82" s="10" t="str">
        <x:v>Faculty/school</x:v>
      </x:c>
      <x:c r="D82" s="10" t="str">
        <x:v>Live/research project</x:v>
      </x:c>
      <x:c r="E82" s="10" t="str">
        <x:v>Business Consultancy Projects</x:v>
      </x:c>
      <x:c r="F82" s="10" t="str">
        <x:v>Business and Law / business consultancy</x:v>
      </x:c>
      <x:c r="G82" s="10" t="str">
        <x:v>Mixed/varies</x:v>
      </x:c>
      <x:c r="H82" s="10" t="str">
        <x:v>Final-year business undergraduates; separate MBA route</x:v>
      </x:c>
      <x:c r="I82" s="10" t="str">
        <x:v>Teams work for approximately ten weeks on an organisational challenge, supported by academic advisers and weekly consultancy seminars, then present recommendations.</x:v>
      </x:c>
      <x:c r="J82" s="10" t="str">
        <x:v>Business-specific student teams; MBA route is separately programme-specific.</x:v>
      </x:c>
      <x:c r="K82" s="10" t="str">
        <x:v>Official page; intake unverified</x:v>
      </x:c>
      <x:c r="L82" s="10" t="str">
        <x:v>Additional UK sample</x:v>
      </x:c>
      <x:c r="M82" s="10" t="str">
        <x:v>https://www.port.ac.uk/business-consultancy-projects-bcp</x:v>
      </x:c>
      <x:c r="N82" s="10" t="str">
        <x:v>Direct eligibility</x:v>
      </x:c>
      <x:c r="O82" s="10" t="str">
        <x:v>Undated page</x:v>
      </x:c>
      <x:c r="P82" s="12" t="d">
        <x:v>2026-10-08T00:00:00.000Z</x:v>
      </x:c>
    </x:row>
    <x:row r="83" ht="116" customHeight="1">
      <x:c r="A83" s="10" t="str">
        <x:v>UK</x:v>
      </x:c>
      <x:c r="B83" s="11" t="str">
        <x:v>Portsmouth</x:v>
      </x:c>
      <x:c r="C83" s="10" t="str">
        <x:v>University-wide</x:v>
      </x:c>
      <x:c r="D83" s="10" t="str">
        <x:v>Enterprise programme</x:v>
      </x:c>
      <x:c r="E83" s="10" t="str">
        <x:v>Student Startup / Entrepreneurial Collective</x:v>
      </x:c>
      <x:c r="F83" s="10" t="str">
        <x:v>Careers and Employability</x:v>
      </x:c>
      <x:c r="G83" s="10" t="str">
        <x:v>Co-curricular</x:v>
      </x:c>
      <x:c r="H83" s="10" t="str">
        <x:v>All Portsmouth students and graduates</x:v>
      </x:c>
      <x:c r="I83" s="10" t="str">
        <x:v>Enterprise programmes, mentoring, founder community and support for testing business ideas, freelancing and startups.</x:v>
      </x:c>
      <x:c r="J83" s="10" t="str">
        <x:v>Official student page explicitly describes a community for all students and graduates.</x:v>
      </x:c>
      <x:c r="K83" s="10" t="str">
        <x:v>Official page; intake unverified</x:v>
      </x:c>
      <x:c r="L83" s="10" t="str">
        <x:v>Additional UK sample</x:v>
      </x:c>
      <x:c r="M83" s="10" t="str">
        <x:v>https://myport.port.ac.uk/my-course/careers-support/student-startup-support</x:v>
      </x:c>
      <x:c r="N83" s="10" t="str">
        <x:v>Direct eligibility</x:v>
      </x:c>
      <x:c r="O83" s="10" t="str">
        <x:v>Undated page</x:v>
      </x:c>
      <x:c r="P83" s="12" t="d">
        <x:v>2026-10-08T00:00:00.000Z</x:v>
      </x:c>
    </x:row>
    <x:row r="84" ht="116" customHeight="1">
      <x:c r="A84" s="10" t="str">
        <x:v>UK</x:v>
      </x:c>
      <x:c r="B84" s="11" t="str">
        <x:v>Coventry</x:v>
      </x:c>
      <x:c r="C84" s="10" t="str">
        <x:v>University-wide</x:v>
      </x:c>
      <x:c r="D84" s="10" t="str">
        <x:v>Placement/WIL</x:v>
      </x:c>
      <x:c r="E84" s="10" t="str">
        <x:v>Global Opportunities: work and short international experiences</x:v>
      </x:c>
      <x:c r="F84" s="10" t="str">
        <x:v>Central Global Opportunities</x:v>
      </x:c>
      <x:c r="G84" s="10" t="str">
        <x:v>Co-curricular</x:v>
      </x:c>
      <x:c r="H84" s="10" t="str">
        <x:v>All registered students and recent graduates; full/part time, any year</x:v>
      </x:c>
      <x:c r="I84" s="10" t="str">
        <x:v>Work, study and short overseas experiences provide applied international learning. Programme selection and funding eligibility vary.</x:v>
      </x:c>
      <x:c r="J84" s="10" t="str">
        <x:v>Official page explicitly states all registered students, with no year restriction.</x:v>
      </x:c>
      <x:c r="K84" s="10" t="str">
        <x:v>Official page; intake unverified</x:v>
      </x:c>
      <x:c r="L84" s="10" t="str">
        <x:v>Additional UK sample</x:v>
      </x:c>
      <x:c r="M84" s="10" t="str">
        <x:v>https://www.coventry.ac.uk/study-at-coventry/student-support/enhance-your-employability/global-opportunities/go-abroad/</x:v>
      </x:c>
      <x:c r="N84" s="10" t="str">
        <x:v>Direct eligibility</x:v>
      </x:c>
      <x:c r="O84" s="10" t="str">
        <x:v>Undated page</x:v>
      </x:c>
      <x:c r="P84" s="12" t="d">
        <x:v>2026-10-08T00:00:00.000Z</x:v>
      </x:c>
    </x:row>
    <x:row r="85" ht="116" customHeight="1">
      <x:c r="A85" s="10" t="str">
        <x:v>UK</x:v>
      </x:c>
      <x:c r="B85" s="11" t="str">
        <x:v>Coventry</x:v>
      </x:c>
      <x:c r="C85" s="10" t="str">
        <x:v>Not confirmed</x:v>
      </x:c>
      <x:c r="D85" s="10" t="str">
        <x:v>Co-curricular award</x:v>
      </x:c>
      <x:c r="E85" s="10" t="str">
        <x:v>Global Leaders Programme</x:v>
      </x:c>
      <x:c r="F85" s="10" t="str">
        <x:v>Global leadership / student development</x:v>
      </x:c>
      <x:c r="G85" s="10" t="str">
        <x:v>Co-curricular</x:v>
      </x:c>
      <x:c r="H85" s="10" t="str">
        <x:v>Coventry students; detailed current eligibility unverified</x:v>
      </x:c>
      <x:c r="I85" s="10" t="str">
        <x:v>Extracurricular global-leadership and international-experience programme evidenced by an official student account. Historical example retained separately from current Global Opportunities.</x:v>
      </x:c>
      <x:c r="J85" s="10" t="str">
        <x:v>Central programme reach inferred; no current institution-wide eligibility statement located. Academic reach remains Not confirmed until eligibility or institution-wide framework reach is established.</x:v>
      </x:c>
      <x:c r="K85" s="10" t="str">
        <x:v>2021 evidence; current intake unverified</x:v>
      </x:c>
      <x:c r="L85" s="10" t="str">
        <x:v>Additional UK sample</x:v>
      </x:c>
      <x:c r="M85" s="10" t="str">
        <x:v>https://www.coventry.ac.uk/blog/five-ways-i-got-more-than-a-degree-from-coventry-university/</x:v>
      </x:c>
      <x:c r="N85" s="10" t="str">
        <x:v>Unconfirmed reach</x:v>
      </x:c>
      <x:c r="O85" s="10" t="str">
        <x:v>Dated earlier / mixed</x:v>
      </x:c>
      <x:c r="P85" s="12" t="d">
        <x:v>2026-10-08T00:00:00.000Z</x:v>
      </x:c>
    </x:row>
    <x:row r="86" ht="116" customHeight="1">
      <x:c r="A86" s="10" t="str">
        <x:v>UK</x:v>
      </x:c>
      <x:c r="B86" s="11" t="str">
        <x:v>Nottingham Trent</x:v>
      </x:c>
      <x:c r="C86" s="10" t="str">
        <x:v>University-wide</x:v>
      </x:c>
      <x:c r="D86" s="10" t="str">
        <x:v>Live/research project</x:v>
      </x:c>
      <x:c r="E86" s="10" t="str">
        <x:v>Grads4Nottm</x:v>
      </x:c>
      <x:c r="F86" s="10" t="str">
        <x:v>Employability / employer engagement</x:v>
      </x:c>
      <x:c r="G86" s="10" t="str">
        <x:v>Co-curricular</x:v>
      </x:c>
      <x:c r="H86" s="10" t="str">
        <x:v>NTU students and graduates across disciplines</x:v>
      </x:c>
      <x:c r="I86" s="10" t="str">
        <x:v>Two-week work-experience challenge matches multidisciplinary student talent to local employer briefs. 2024 evidence marks ten years of delivery.</x:v>
      </x:c>
      <x:c r="J86" s="10" t="str">
        <x:v>Psychology and Graphic Design examples establish cross-school participation; central NTU-only programme.</x:v>
      </x:c>
      <x:c r="K86" s="10" t="str">
        <x:v>2024 evidence; current intake unverified</x:v>
      </x:c>
      <x:c r="L86" s="10" t="str">
        <x:v>Additional UK sample</x:v>
      </x:c>
      <x:c r="M86" s="10" t="str">
        <x:v>https://www.ntu.ac.uk/about-us/news/news-articles/2024/01/grads4nottm-is-back%2C-celebrating-10-years-of-student-and-graduate-talent-supporting-businesses-in-the-city</x:v>
      </x:c>
      <x:c r="N86" s="10" t="str">
        <x:v>Direct eligibility</x:v>
      </x:c>
      <x:c r="O86" s="10" t="str">
        <x:v>Dated earlier / mixed</x:v>
      </x:c>
      <x:c r="P86" s="12" t="d">
        <x:v>2026-10-08T00:00:00.000Z</x:v>
      </x:c>
    </x:row>
    <x:row r="87" ht="116" customHeight="1">
      <x:c r="A87" s="10" t="str">
        <x:v>UK</x:v>
      </x:c>
      <x:c r="B87" s="11" t="str">
        <x:v>Manchester Metropolitan</x:v>
      </x:c>
      <x:c r="C87" s="10" t="str">
        <x:v>University-wide</x:v>
      </x:c>
      <x:c r="D87" s="10" t="str">
        <x:v>Co-curricular award</x:v>
      </x:c>
      <x:c r="E87" s="10" t="str">
        <x:v>Rise</x:v>
      </x:c>
      <x:c r="F87" s="10" t="str">
        <x:v>Central co-curricular programme</x:v>
      </x:c>
      <x:c r="G87" s="10" t="str">
        <x:v>Mixed/varies</x:v>
      </x:c>
      <x:c r="H87" s="10" t="str">
        <x:v>Every Manchester Met student</x:v>
      </x:c>
      <x:c r="I87" s="10" t="str">
        <x:v>Students build a portfolio through bespoke experiences beyond the degree. Recognition uses Rise points; optional assessment can yield additional co-curricular practice credit.</x:v>
      </x:c>
      <x:c r="J87" s="10" t="str">
        <x:v>Official university page states opportunity for every student.</x:v>
      </x:c>
      <x:c r="K87" s="10" t="str">
        <x:v>Official page; intake unverified</x:v>
      </x:c>
      <x:c r="L87" s="10" t="str">
        <x:v>Additional UK sample</x:v>
      </x:c>
      <x:c r="M87" s="10" t="str">
        <x:v>https://rise.mmu.ac.uk/
https://www.mmu.ac.uk/study/why-manchester-met/study-experience</x:v>
      </x:c>
      <x:c r="N87" s="10" t="str">
        <x:v>Direct eligibility</x:v>
      </x:c>
      <x:c r="O87" s="10" t="str">
        <x:v>Undated page</x:v>
      </x:c>
      <x:c r="P87" s="12" t="d">
        <x:v>2026-10-08T00:00:00.000Z</x:v>
      </x:c>
    </x:row>
    <x:row r="88" ht="116" customHeight="1">
      <x:c r="A88" s="10" t="str">
        <x:v>UK</x:v>
      </x:c>
      <x:c r="B88" s="11" t="str">
        <x:v>Plymouth</x:v>
      </x:c>
      <x:c r="C88" s="10" t="str">
        <x:v>Faculty/school</x:v>
      </x:c>
      <x:c r="D88" s="10" t="str">
        <x:v>Live/research project</x:v>
      </x:c>
      <x:c r="E88" s="10" t="str">
        <x:v>Inspiring Futures</x:v>
      </x:c>
      <x:c r="F88" s="10" t="str">
        <x:v>Faculty of Arts, Humanities and Business</x:v>
      </x:c>
      <x:c r="G88" s="10" t="str">
        <x:v>Mixed/varies</x:v>
      </x:c>
      <x:c r="H88" s="10" t="str">
        <x:v>Faculty students on participating programmes</x:v>
      </x:c>
      <x:c r="I88" s="10" t="str">
        <x:v>Curricular knowledge exchange and consultancy with businesses and charities apply subject knowledge to real organisational challenges.</x:v>
      </x:c>
      <x:c r="J88" s="10" t="str">
        <x:v>Official scheme explicitly names one faculty; not evidence of a compulsory university-wide programme.</x:v>
      </x:c>
      <x:c r="K88" s="10" t="str">
        <x:v>Official page; intake unverified</x:v>
      </x:c>
      <x:c r="L88" s="10" t="str">
        <x:v>Additional UK sample</x:v>
      </x:c>
      <x:c r="M88" s="10" t="str">
        <x:v>https://www.plymouth.ac.uk/schools/plymouth-business-school/inspiring-futures</x:v>
      </x:c>
      <x:c r="N88" s="10" t="str">
        <x:v>Direct eligibility</x:v>
      </x:c>
      <x:c r="O88" s="10" t="str">
        <x:v>Undated page</x:v>
      </x:c>
      <x:c r="P88" s="12" t="d">
        <x:v>2026-10-08T00:00:00.000Z</x:v>
      </x:c>
    </x:row>
    <x:row r="89" ht="116" customHeight="1">
      <x:c r="A89" s="10" t="str">
        <x:v>UK</x:v>
      </x:c>
      <x:c r="B89" s="11" t="str">
        <x:v>Plymouth</x:v>
      </x:c>
      <x:c r="C89" s="10" t="str">
        <x:v>Not confirmed</x:v>
      </x:c>
      <x:c r="D89" s="10" t="str">
        <x:v>Enterprise programme</x:v>
      </x:c>
      <x:c r="E89" s="10" t="str">
        <x:v>The Cube: student enterprise support</x:v>
      </x:c>
      <x:c r="F89" s="10" t="str">
        <x:v>Student Enterprise / Research and Innovation</x:v>
      </x:c>
      <x:c r="G89" s="10" t="str">
        <x:v>Co-curricular</x:v>
      </x:c>
      <x:c r="H89" s="10" t="str">
        <x:v>Students and graduates; detailed programme eligibility varies</x:v>
      </x:c>
      <x:c r="I89" s="10" t="str">
        <x:v>Advice, funding and founder support help develop ideas, business models and ventures. Staff service Cube² is separate.</x:v>
      </x:c>
      <x:c r="J89" s="10" t="str">
        <x:v>Central student-enterprise service; university reach inferred, individual programme admissions not verified. Academic reach remains Not confirmed until eligibility or institution-wide framework reach is established.</x:v>
      </x:c>
      <x:c r="K89" s="10" t="str">
        <x:v>Official page; intake unverified</x:v>
      </x:c>
      <x:c r="L89" s="10" t="str">
        <x:v>Additional UK sample</x:v>
      </x:c>
      <x:c r="M89" s="10" t="str">
        <x:v>https://www.plymouth.ac.uk/about-us/university-structure/service-areas/research-and-innovation/the-cube</x:v>
      </x:c>
      <x:c r="N89" s="10" t="str">
        <x:v>Unconfirmed reach</x:v>
      </x:c>
      <x:c r="O89" s="10" t="str">
        <x:v>Undated page</x:v>
      </x:c>
      <x:c r="P89" s="12" t="d">
        <x:v>2026-10-08T00:00:00.000Z</x:v>
      </x:c>
    </x:row>
    <x:row r="90" ht="116" customHeight="1">
      <x:c r="A90" s="10" t="str">
        <x:v>US</x:v>
      </x:c>
      <x:c r="B90" s="11" t="str">
        <x:v>Massachusetts Institute of Technology</x:v>
      </x:c>
      <x:c r="C90" s="10" t="str">
        <x:v>University-wide</x:v>
      </x:c>
      <x:c r="D90" s="10" t="str">
        <x:v>Live/research project</x:v>
      </x:c>
      <x:c r="E90" s="10" t="str">
        <x:v>Undergraduate Research Opportunities Program (UROP)</x:v>
      </x:c>
      <x:c r="F90" s="10" t="str">
        <x:v>Division of Graduate and Undergraduate Education</x:v>
      </x:c>
      <x:c r="G90" s="10" t="str">
        <x:v>Mixed/varies</x:v>
      </x:c>
      <x:c r="H90" s="10" t="str">
        <x:v>MIT undergraduates; project and funding selection applies</x:v>
      </x:c>
      <x:c r="I90" s="10" t="str">
        <x:v>Faculty-supervised original research across the Institute; paid, academic-credit and volunteer routes.</x:v>
      </x:c>
      <x:c r="J90" s="10" t="str">
        <x:v>Institute-wide central research programme; department/project prerequisites apply.</x:v>
      </x:c>
      <x:c r="K90" s="10" t="str">
        <x:v>2026/27 deadlines confirmed</x:v>
      </x:c>
      <x:c r="L90" s="10" t="str">
        <x:v>US sample</x:v>
      </x:c>
      <x:c r="M90" s="10" t="str">
        <x:v>https://urop.mit.edu/
https://urop.mit.edu/students/</x:v>
      </x:c>
      <x:c r="N90" s="10" t="str">
        <x:v>Direct eligibility</x:v>
      </x:c>
      <x:c r="O90" s="10" t="str">
        <x:v>Dated 2026/27</x:v>
      </x:c>
      <x:c r="P90" s="12" t="d">
        <x:v>2026-10-08T00:00:00.000Z</x:v>
      </x:c>
    </x:row>
    <x:row r="91" ht="116" customHeight="1">
      <x:c r="A91" s="10" t="str">
        <x:v>US</x:v>
      </x:c>
      <x:c r="B91" s="11" t="str">
        <x:v>Harvard</x:v>
      </x:c>
      <x:c r="C91" s="10" t="str">
        <x:v>University-wide</x:v>
      </x:c>
      <x:c r="D91" s="10" t="str">
        <x:v>Live/research project</x:v>
      </x:c>
      <x:c r="E91" s="10" t="str">
        <x:v>Mindich Program in Engaged Scholarship</x:v>
      </x:c>
      <x:c r="F91" s="10" t="str">
        <x:v>Harvard College / Faculty of Arts and Sciences</x:v>
      </x:c>
      <x:c r="G91" s="10" t="str">
        <x:v>Elective credit</x:v>
      </x:c>
      <x:c r="H91" s="10" t="str">
        <x:v>Harvard College undergraduates, across academic divisions</x:v>
      </x:c>
      <x:c r="I91" s="10" t="str">
        <x:v>Community-engaged academic courses connect disciplinary study to partner priorities. Around 60 courses annually across all College academic divisions.</x:v>
      </x:c>
      <x:c r="J91" s="10" t="str">
        <x:v>University-wide undergraduate reach across academic divisions; not all professional/graduate schools and not compulsory.</x:v>
      </x:c>
      <x:c r="K91" s="10" t="str">
        <x:v>2026/27 advisory recruitment confirmed</x:v>
      </x:c>
      <x:c r="L91" s="10" t="str">
        <x:v>US sample</x:v>
      </x:c>
      <x:c r="M91" s="10" t="str">
        <x:v>https://engagedscholarship.fas.harvard.edu/
https://engagedscholarship.fas.harvard.edu/about/</x:v>
      </x:c>
      <x:c r="N91" s="10" t="str">
        <x:v>Direct eligibility</x:v>
      </x:c>
      <x:c r="O91" s="10" t="str">
        <x:v>Dated 2026/27</x:v>
      </x:c>
      <x:c r="P91" s="12" t="d">
        <x:v>2026-10-08T00:00:00.000Z</x:v>
      </x:c>
    </x:row>
    <x:row r="92" ht="116" customHeight="1">
      <x:c r="A92" s="10" t="str">
        <x:v>US</x:v>
      </x:c>
      <x:c r="B92" s="11" t="str">
        <x:v>Stanford</x:v>
      </x:c>
      <x:c r="C92" s="10" t="str">
        <x:v>University-wide</x:v>
      </x:c>
      <x:c r="D92" s="10" t="str">
        <x:v>Live/research project</x:v>
      </x:c>
      <x:c r="E92" s="10" t="str">
        <x:v>Design for Extreme Affordability</x:v>
      </x:c>
      <x:c r="F92" s="10" t="str">
        <x:v>d.school; Engineering and Graduate School of Business</x:v>
      </x:c>
      <x:c r="G92" s="10" t="str">
        <x:v>Elective credit</x:v>
      </x:c>
      <x:c r="H92" s="10" t="str">
        <x:v>Graduate students across all Stanford schools; application required</x:v>
      </x:c>
      <x:c r="I92" s="10" t="str">
        <x:v>Two-quarter interdisciplinary course co-designs products/services with low-resource communities and social-impact partners.</x:v>
      </x:c>
      <x:c r="J92" s="10" t="str">
        <x:v>Explicit all-school graduate eligibility; hosts do not restrict academic reach.</x:v>
      </x:c>
      <x:c r="K92" s="10" t="str">
        <x:v>2026 application cycle confirmed</x:v>
      </x:c>
      <x:c r="L92" s="10" t="str">
        <x:v>US sample</x:v>
      </x:c>
      <x:c r="M92" s="10" t="str">
        <x:v>https://extreme.stanford.edu/event/extreme-2026-application-cycle-open/
https://dschool.stanford.edu/study/elective-courses/design-for-extreme-affordability-2</x:v>
      </x:c>
      <x:c r="N92" s="10" t="str">
        <x:v>Direct eligibility</x:v>
      </x:c>
      <x:c r="O92" s="10" t="str">
        <x:v>Dated 2026/27</x:v>
      </x:c>
      <x:c r="P92" s="12" t="d">
        <x:v>2026-10-08T00:00:00.000Z</x:v>
      </x:c>
    </x:row>
    <x:row r="93" ht="116" customHeight="1">
      <x:c r="A93" s="10" t="str">
        <x:v>US</x:v>
      </x:c>
      <x:c r="B93" s="11" t="str">
        <x:v>California Institute of Technology</x:v>
      </x:c>
      <x:c r="C93" s="10" t="str">
        <x:v>University-wide</x:v>
      </x:c>
      <x:c r="D93" s="10" t="str">
        <x:v>Live/research project</x:v>
      </x:c>
      <x:c r="E93" s="10" t="str">
        <x:v>Summer Undergraduate Research Fellowships (SURF)</x:v>
      </x:c>
      <x:c r="F93" s="10" t="str">
        <x:v>Student–Faculty Programs</x:v>
      </x:c>
      <x:c r="G93" s="10" t="str">
        <x:v>Co-curricular</x:v>
      </x:c>
      <x:c r="H93" s="10" t="str">
        <x:v>Continuing undergraduates; GPA and registration requirements; visiting students also eligible</x:v>
      </x:c>
      <x:c r="I93" s="10" t="str">
        <x:v>Mentored summer research; students develop a research proposal and undertake an original project. Selective funded fellowship, not a compulsory degree element.</x:v>
      </x:c>
      <x:c r="J93" s="10" t="str">
        <x:v>Central undergraduate programme with no faculty restriction in published eligibility.</x:v>
      </x:c>
      <x:c r="K93" s="10" t="str">
        <x:v>Official eligibility page; intake unverified</x:v>
      </x:c>
      <x:c r="L93" s="10" t="str">
        <x:v>US sample</x:v>
      </x:c>
      <x:c r="M93" s="10" t="str">
        <x:v>https://sfp.caltech.edu/undergraduate-research/programs/surf/eligibility_requirements
https://www.admissions.caltech.edu/why-caltech/research</x:v>
      </x:c>
      <x:c r="N93" s="10" t="str">
        <x:v>Direct eligibility</x:v>
      </x:c>
      <x:c r="O93" s="10" t="str">
        <x:v>Undated page</x:v>
      </x:c>
      <x:c r="P93" s="12" t="d">
        <x:v>2026-10-08T00:00:00.000Z</x:v>
      </x:c>
    </x:row>
    <x:row r="94" ht="116" customHeight="1">
      <x:c r="A94" s="10" t="str">
        <x:v>US</x:v>
      </x:c>
      <x:c r="B94" s="11" t="str">
        <x:v>California Berkeley</x:v>
      </x:c>
      <x:c r="C94" s="10" t="str">
        <x:v>University-wide</x:v>
      </x:c>
      <x:c r="D94" s="10" t="str">
        <x:v>Live/research project</x:v>
      </x:c>
      <x:c r="E94" s="10" t="str">
        <x:v>Berkeley Discovery</x:v>
      </x:c>
      <x:c r="F94" s="10" t="str">
        <x:v>Central undergraduate Discovery initiative</x:v>
      </x:c>
      <x:c r="G94" s="10" t="str">
        <x:v>Mixed/varies</x:v>
      </x:c>
      <x:c r="H94" s="10" t="str">
        <x:v>Undergraduates across campus; course/project conditions vary</x:v>
      </x:c>
      <x:c r="I94" s="10" t="str">
        <x:v>Institutional framework supports student-led research, industry projects, entrepreneurship and immersive experiences through hubs, courses and an opportunities platform.</x:v>
      </x:c>
      <x:c r="J94" s="10" t="str">
        <x:v>University priority scales access across campus; framework does not establish compulsory participation.</x:v>
      </x:c>
      <x:c r="K94" s="10" t="str">
        <x:v>September 2026 activity confirmed</x:v>
      </x:c>
      <x:c r="L94" s="10" t="str">
        <x:v>US sample</x:v>
      </x:c>
      <x:c r="M94" s="10" t="str">
        <x:v>https://discovery.berkeley.edu/
https://discovery.berkeley.edu/students/overview</x:v>
      </x:c>
      <x:c r="N94" s="10" t="str">
        <x:v>Institutional framework</x:v>
      </x:c>
      <x:c r="O94" s="10" t="str">
        <x:v>Dated 2026/27</x:v>
      </x:c>
      <x:c r="P94" s="12" t="d">
        <x:v>2026-10-08T00:00:00.000Z</x:v>
      </x:c>
    </x:row>
    <x:row r="95" ht="116" customHeight="1">
      <x:c r="A95" s="10" t="str">
        <x:v>US</x:v>
      </x:c>
      <x:c r="B95" s="11" t="str">
        <x:v>Chicago</x:v>
      </x:c>
      <x:c r="C95" s="10" t="str">
        <x:v>University-wide</x:v>
      </x:c>
      <x:c r="D95" s="10" t="str">
        <x:v>Placement/WIL</x:v>
      </x:c>
      <x:c r="E95" s="10" t="str">
        <x:v>Jeff Metcalf Internship Program / Metcalf Sprints</x:v>
      </x:c>
      <x:c r="F95" s="10" t="str">
        <x:v>Career Advancement</x:v>
      </x:c>
      <x:c r="G95" s="10" t="str">
        <x:v>Co-curricular</x:v>
      </x:c>
      <x:c r="H95" s="10" t="str">
        <x:v>College undergraduates across majors</x:v>
      </x:c>
      <x:c r="I95" s="10" t="str">
        <x:v>Paid substantive internships across industries and countries. Project-based Sprints involve undergraduate teams producing deliverables for employer partners.</x:v>
      </x:c>
      <x:c r="J95" s="10" t="str">
        <x:v>Central undergraduate career scheme across majors; excludes a claim of graduate-wide eligibility.</x:v>
      </x:c>
      <x:c r="K95" s="10" t="str">
        <x:v>2026/27 internship label confirmed</x:v>
      </x:c>
      <x:c r="L95" s="10" t="str">
        <x:v>US sample</x:v>
      </x:c>
      <x:c r="M95" s="10" t="str">
        <x:v>https://careeradvancement.uchicago.edu/student-opportunities/internships/internship-programs/</x:v>
      </x:c>
      <x:c r="N95" s="10" t="str">
        <x:v>Direct eligibility</x:v>
      </x:c>
      <x:c r="O95" s="10" t="str">
        <x:v>Dated 2026/27</x:v>
      </x:c>
      <x:c r="P95" s="12" t="d">
        <x:v>2026-10-08T00:00:00.000Z</x:v>
      </x:c>
    </x:row>
    <x:row r="96" ht="116" customHeight="1">
      <x:c r="A96" s="10" t="str">
        <x:v>US</x:v>
      </x:c>
      <x:c r="B96" s="11" t="str">
        <x:v>Pennsylvania</x:v>
      </x:c>
      <x:c r="C96" s="10" t="str">
        <x:v>University-wide</x:v>
      </x:c>
      <x:c r="D96" s="10" t="str">
        <x:v>Live/research project</x:v>
      </x:c>
      <x:c r="E96" s="10" t="str">
        <x:v>Academically Based Community Service (ABCS)</x:v>
      </x:c>
      <x:c r="F96" s="10" t="str">
        <x:v>Netter Center for Community Partnerships</x:v>
      </x:c>
      <x:c r="G96" s="10" t="str">
        <x:v>Elective credit</x:v>
      </x:c>
      <x:c r="H96" s="10" t="str">
        <x:v>Students in eligible undergraduate and graduate courses</x:v>
      </x:c>
      <x:c r="I96" s="10" t="str">
        <x:v>For-credit research, teaching and problem solving with community partners; more than 80 courses offered annually across the curriculum.</x:v>
      </x:c>
      <x:c r="J96" s="10" t="str">
        <x:v>Central cross-university course network; individual courses have level/prerequisite restrictions.</x:v>
      </x:c>
      <x:c r="K96" s="10" t="str">
        <x:v>Spring 2026 catalogue confirmed</x:v>
      </x:c>
      <x:c r="L96" s="10" t="str">
        <x:v>US sample</x:v>
      </x:c>
      <x:c r="M96" s="10" t="str">
        <x:v>https://admissions.upenn.edu/student-life/exploring-community/community-engagement/netter-center
https://www.nettercenter.upenn.edu/what-we-do/abcs-courses/spring-2026-abcs-courses</x:v>
      </x:c>
      <x:c r="N96" s="10" t="str">
        <x:v>Institutional framework</x:v>
      </x:c>
      <x:c r="O96" s="10" t="str">
        <x:v>Dated 2026/27</x:v>
      </x:c>
      <x:c r="P96" s="12" t="d">
        <x:v>2026-10-08T00:00:00.000Z</x:v>
      </x:c>
    </x:row>
    <x:row r="97" ht="116" customHeight="1">
      <x:c r="A97" s="10" t="str">
        <x:v>US</x:v>
      </x:c>
      <x:c r="B97" s="11" t="str">
        <x:v>Cornell</x:v>
      </x:c>
      <x:c r="C97" s="10" t="str">
        <x:v>University-wide</x:v>
      </x:c>
      <x:c r="D97" s="10" t="str">
        <x:v>Live/research project</x:v>
      </x:c>
      <x:c r="E97" s="10" t="str">
        <x:v>Student Project Teams</x:v>
      </x:c>
      <x:c r="F97" s="10" t="str">
        <x:v>Cornell Engineering</x:v>
      </x:c>
      <x:c r="G97" s="10" t="str">
        <x:v>Elective credit</x:v>
      </x:c>
      <x:c r="H97" s="10" t="str">
        <x:v>Undergraduates across colleges; team selection applies</x:v>
      </x:c>
      <x:c r="I97" s="10" t="str">
        <x:v>Student-run design, technology and social-impact teams earn academic credit. Official page records nine colleges/schools and more than 30 majors represented.</x:v>
      </x:c>
      <x:c r="J97" s="10" t="str">
        <x:v>Explicit cross-college recruitment; Engineering hosts the programme but does not restrict participation to Engineering.</x:v>
      </x:c>
      <x:c r="K97" s="10" t="str">
        <x:v>Official academic framework; intake unverified</x:v>
      </x:c>
      <x:c r="L97" s="10" t="str">
        <x:v>US sample</x:v>
      </x:c>
      <x:c r="M97" s="10" t="str">
        <x:v>https://www.engineering.cornell.edu/students/undergraduate-students/special-programs/project-teams
https://www.engineering.cornell.edu/student-project-teams/student-project-teams-academic-framework/</x:v>
      </x:c>
      <x:c r="N97" s="10" t="str">
        <x:v>Direct eligibility</x:v>
      </x:c>
      <x:c r="O97" s="10" t="str">
        <x:v>Undated page</x:v>
      </x:c>
      <x:c r="P97" s="12" t="d">
        <x:v>2026-10-08T00:00:00.000Z</x:v>
      </x:c>
    </x:row>
    <x:row r="98" ht="116" customHeight="1">
      <x:c r="A98" s="10" t="str">
        <x:v>US</x:v>
      </x:c>
      <x:c r="B98" s="11" t="str">
        <x:v>Yale</x:v>
      </x:c>
      <x:c r="C98" s="10" t="str">
        <x:v>University-wide</x:v>
      </x:c>
      <x:c r="D98" s="10" t="str">
        <x:v>Enterprise programme</x:v>
      </x:c>
      <x:c r="E98" s="10" t="str">
        <x:v>Tsai CITY Accelerator</x:v>
      </x:c>
      <x:c r="F98" s="10" t="str">
        <x:v>Tsai Center for Innovative Thinking</x:v>
      </x:c>
      <x:c r="G98" s="10" t="str">
        <x:v>Co-curricular</x:v>
      </x:c>
      <x:c r="H98" s="10" t="str">
        <x:v>Yale student-led teams; venture-stage selection applies</x:v>
      </x:c>
      <x:c r="I98" s="10" t="str">
        <x:v>Semester-long venture development with workshops, mentors, experts and funding; supports commercial, civic, arts and nonprofit projects.</x:v>
      </x:c>
      <x:c r="J98" s="10" t="str">
        <x:v>Central programme supports students across Yale; not a curricular requirement.</x:v>
      </x:c>
      <x:c r="K98" s="10" t="str">
        <x:v>Official programme page; intake unverified</x:v>
      </x:c>
      <x:c r="L98" s="10" t="str">
        <x:v>US sample</x:v>
      </x:c>
      <x:c r="M98" s="10" t="str">
        <x:v>https://city.yale.edu/programs/vdp_accelerator
https://city.yale.edu/student-projects</x:v>
      </x:c>
      <x:c r="N98" s="10" t="str">
        <x:v>Direct eligibility</x:v>
      </x:c>
      <x:c r="O98" s="10" t="str">
        <x:v>Undated page</x:v>
      </x:c>
      <x:c r="P98" s="12" t="d">
        <x:v>2026-10-08T00:00:00.000Z</x:v>
      </x:c>
    </x:row>
    <x:row r="99" ht="116" customHeight="1">
      <x:c r="A99" s="10" t="str">
        <x:v>US</x:v>
      </x:c>
      <x:c r="B99" s="11" t="str">
        <x:v>Princeton</x:v>
      </x:c>
      <x:c r="C99" s="10" t="str">
        <x:v>University-wide</x:v>
      </x:c>
      <x:c r="D99" s="10" t="str">
        <x:v>Live/research project</x:v>
      </x:c>
      <x:c r="E99" s="10" t="str">
        <x:v>Program for Community-Engaged Scholarship (ProCES)</x:v>
      </x:c>
      <x:c r="F99" s="10" t="str">
        <x:v>Central ProCES programme</x:v>
      </x:c>
      <x:c r="G99" s="10" t="str">
        <x:v>Mixed/varies</x:v>
      </x:c>
      <x:c r="H99" s="10" t="str">
        <x:v>Students in participating courses/research collaborations</x:v>
      </x:c>
      <x:c r="I99" s="10" t="str">
        <x:v>Academic inquiry and research engage community knowledge and priorities, with nonprofit, public-sector and grassroots partners. Formerly Community-Based Learning Initiative.</x:v>
      </x:c>
      <x:c r="J99" s="10" t="str">
        <x:v>Institutional course/research support; individual course eligibility applies.</x:v>
      </x:c>
      <x:c r="K99" s="10" t="str">
        <x:v>Official page; intake unverified</x:v>
      </x:c>
      <x:c r="L99" s="10" t="str">
        <x:v>US sample</x:v>
      </x:c>
      <x:c r="M99" s="10" t="str">
        <x:v>https://proces.princeton.edu/
https://proces.princeton.edu/about</x:v>
      </x:c>
      <x:c r="N99" s="10" t="str">
        <x:v>Institutional framework</x:v>
      </x:c>
      <x:c r="O99" s="10" t="str">
        <x:v>Undated page</x:v>
      </x:c>
      <x:c r="P99" s="12" t="d">
        <x:v>2026-10-08T00:00:00.000Z</x:v>
      </x:c>
    </x:row>
    <x:row r="100" ht="116" customHeight="1">
      <x:c r="A100" s="10" t="str">
        <x:v>US</x:v>
      </x:c>
      <x:c r="B100" s="11" t="str">
        <x:v>Columbia</x:v>
      </x:c>
      <x:c r="C100" s="10" t="str">
        <x:v>Faculty/school</x:v>
      </x:c>
      <x:c r="D100" s="10" t="str">
        <x:v>Live/research project</x:v>
      </x:c>
      <x:c r="E100" s="10" t="str">
        <x:v>The Art of Engineering</x:v>
      </x:c>
      <x:c r="F100" s="10" t="str">
        <x:v>School of Engineering and Applied Science</x:v>
      </x:c>
      <x:c r="G100" s="10" t="str">
        <x:v>Compulsory</x:v>
      </x:c>
      <x:c r="H100" s="10" t="str">
        <x:v>First-year Engineering students</x:v>
      </x:c>
      <x:c r="I100" s="10" t="str">
        <x:v>Engineering core introduces design, technical concepts, ethics and project management through applied work.</x:v>
      </x:c>
      <x:c r="J100" s="10" t="str">
        <x:v>2025/26 bulletin identifies requirement for first-year Engineering, not every Columbia student.</x:v>
      </x:c>
      <x:c r="K100" s="10" t="str">
        <x:v>2025/26 bulletin confirmed</x:v>
      </x:c>
      <x:c r="L100" s="10" t="str">
        <x:v>US sample</x:v>
      </x:c>
      <x:c r="M100" s="10" t="str">
        <x:v>https://bulletin.columbia.edu/columbia-engineering/bulletin-pdf/Bulletin_2025-2026_PDF_with_cover_page_.pdf</x:v>
      </x:c>
      <x:c r="N100" s="10" t="str">
        <x:v>Direct eligibility</x:v>
      </x:c>
      <x:c r="O100" s="10" t="str">
        <x:v>Dated earlier / mixed</x:v>
      </x:c>
      <x:c r="P100" s="12" t="d">
        <x:v>2026-10-08T00:00:00.000Z</x:v>
      </x:c>
    </x:row>
    <x:row r="101" ht="116" customHeight="1">
      <x:c r="A101" s="10" t="str">
        <x:v>US</x:v>
      </x:c>
      <x:c r="B101" s="11" t="str">
        <x:v>Columbia</x:v>
      </x:c>
      <x:c r="C101" s="10" t="str">
        <x:v>Cross-faculty</x:v>
      </x:c>
      <x:c r="D101" s="10" t="str">
        <x:v>Enterprise programme</x:v>
      </x:c>
      <x:c r="E101" s="10" t="str">
        <x:v>Columbia Startup Lab Morningside</x:v>
      </x:c>
      <x:c r="F101" s="10" t="str">
        <x:v>Columbia Entrepreneurship</x:v>
      </x:c>
      <x:c r="G101" s="10" t="str">
        <x:v>Co-curricular</x:v>
      </x:c>
      <x:c r="H101" s="10" t="str">
        <x:v>Enrolled students at participating schools listed on scheme page</x:v>
      </x:c>
      <x:c r="I101" s="10" t="str">
        <x:v>Founder community, networking and venture-building support. Graduate and undergraduate students from numerous named schools can join.</x:v>
      </x:c>
      <x:c r="J101" s="10" t="str">
        <x:v>Published agreements cover many named schools but do not establish every-school eligibility; classified cross-faculty.</x:v>
      </x:c>
      <x:c r="K101" s="10" t="str">
        <x:v>Official page; intake unverified</x:v>
      </x:c>
      <x:c r="L101" s="10" t="str">
        <x:v>US sample</x:v>
      </x:c>
      <x:c r="M101" s="10" t="str">
        <x:v>https://entrepreneurship.columbia.edu/resources/columbia-startup-lab-csl-uptown-2/</x:v>
      </x:c>
      <x:c r="N101" s="10" t="str">
        <x:v>Direct eligibility</x:v>
      </x:c>
      <x:c r="O101" s="10" t="str">
        <x:v>Undated page</x:v>
      </x:c>
      <x:c r="P101" s="12" t="d">
        <x:v>2026-10-08T00:00:00.000Z</x:v>
      </x:c>
    </x:row>
    <x:row r="102" ht="116" customHeight="1">
      <x:c r="A102" s="10" t="str">
        <x:v>US</x:v>
      </x:c>
      <x:c r="B102" s="11" t="str">
        <x:v>Johns Hopkins</x:v>
      </x:c>
      <x:c r="C102" s="10" t="str">
        <x:v>Programme/course</x:v>
      </x:c>
      <x:c r="D102" s="10" t="str">
        <x:v>Live/research project</x:v>
      </x:c>
      <x:c r="E102" s="10" t="str">
        <x:v>BME Undergraduate Design Team</x:v>
      </x:c>
      <x:c r="F102" s="10" t="str">
        <x:v>Biomedical Engineering</x:v>
      </x:c>
      <x:c r="G102" s="10" t="str">
        <x:v>Elective credit</x:v>
      </x:c>
      <x:c r="H102" s="10" t="str">
        <x:v>Biomedical Engineering undergraduates</x:v>
      </x:c>
      <x:c r="I102" s="10" t="str">
        <x:v>Longitudinal teams identify clinical needs, prototype and test devices with clinical and industry mentors; published curriculum describes an 18-month process.</x:v>
      </x:c>
      <x:c r="J102" s="10" t="str">
        <x:v>Specific BME degree cohort; no evidence of open access across all university programmes.</x:v>
      </x:c>
      <x:c r="K102" s="10" t="str">
        <x:v>Official curriculum page; intake unverified</x:v>
      </x:c>
      <x:c r="L102" s="10" t="str">
        <x:v>US sample</x:v>
      </x:c>
      <x:c r="M102" s="10" t="str">
        <x:v>https://www.bme.jhu.edu/academics/bme-design/undergraduate-design-team/</x:v>
      </x:c>
      <x:c r="N102" s="10" t="str">
        <x:v>Direct eligibility</x:v>
      </x:c>
      <x:c r="O102" s="10" t="str">
        <x:v>Undated page</x:v>
      </x:c>
      <x:c r="P102" s="12" t="d">
        <x:v>2026-10-08T00:00:00.000Z</x:v>
      </x:c>
    </x:row>
    <x:row r="103" ht="116" customHeight="1">
      <x:c r="A103" s="10" t="str">
        <x:v>US</x:v>
      </x:c>
      <x:c r="B103" s="11" t="str">
        <x:v>Michigan Ann Arbor</x:v>
      </x:c>
      <x:c r="C103" s="10" t="str">
        <x:v>University-wide</x:v>
      </x:c>
      <x:c r="D103" s="10" t="str">
        <x:v>Live/research project</x:v>
      </x:c>
      <x:c r="E103" s="10" t="str">
        <x:v>Multidisciplinary Design Program (MDP)</x:v>
      </x:c>
      <x:c r="F103" s="10" t="str">
        <x:v>College of Engineering</x:v>
      </x:c>
      <x:c r="G103" s="10" t="str">
        <x:v>Elective credit</x:v>
      </x:c>
      <x:c r="H103" s="10" t="str">
        <x:v>All undergraduate and master’s students across the university</x:v>
      </x:c>
      <x:c r="I103" s="10" t="str">
        <x:v>Credit-bearing faculty research, year-long industry-sponsored projects and student design teams; optional multidisciplinary design minor.</x:v>
      </x:c>
      <x:c r="J103" s="10" t="str">
        <x:v>Explicit university-wide eligibility despite Engineering administrative home.</x:v>
      </x:c>
      <x:c r="K103" s="10" t="str">
        <x:v>Official eligibility page; intake unverified</x:v>
      </x:c>
      <x:c r="L103" s="10" t="str">
        <x:v>US sample</x:v>
      </x:c>
      <x:c r="M103" s="10" t="str">
        <x:v>https://mdp.engin.umich.edu/about-mdp/
https://mdp.engin.umich.edu/start-here/</x:v>
      </x:c>
      <x:c r="N103" s="10" t="str">
        <x:v>Direct eligibility</x:v>
      </x:c>
      <x:c r="O103" s="10" t="str">
        <x:v>Undated page</x:v>
      </x:c>
      <x:c r="P103" s="12" t="d">
        <x:v>2026-10-08T00:00:00.000Z</x:v>
      </x:c>
    </x:row>
    <x:row r="104" ht="116" customHeight="1">
      <x:c r="A104" s="10" t="str">
        <x:v>US</x:v>
      </x:c>
      <x:c r="B104" s="11" t="str">
        <x:v>California Los Angeles</x:v>
      </x:c>
      <x:c r="C104" s="10" t="str">
        <x:v>University-wide</x:v>
      </x:c>
      <x:c r="D104" s="10" t="str">
        <x:v>Live/research project</x:v>
      </x:c>
      <x:c r="E104" s="10" t="str">
        <x:v>Community Engagement and Social Change minor</x:v>
      </x:c>
      <x:c r="F104" s="10" t="str">
        <x:v>Center for Community Engagement</x:v>
      </x:c>
      <x:c r="G104" s="10" t="str">
        <x:v>Elective credit</x:v>
      </x:c>
      <x:c r="H104" s="10" t="str">
        <x:v>Undergraduates in any major; GPA and declaration criteria</x:v>
      </x:c>
      <x:c r="I104" s="10" t="str">
        <x:v>Interdisciplinary study integrates sustained community engagement with reflection on social change; optional minor complements any major.</x:v>
      </x:c>
      <x:c r="J104" s="10" t="str">
        <x:v>Explicit any-major eligibility; compulsory activities only after choosing the minor.</x:v>
      </x:c>
      <x:c r="K104" s="10" t="str">
        <x:v>August 2026 information sessions confirmed</x:v>
      </x:c>
      <x:c r="L104" s="10" t="str">
        <x:v>US sample</x:v>
      </x:c>
      <x:c r="M104" s="10" t="str">
        <x:v>https://communityengagement.ucla.edu/programs/community-engagement-and-social-change-minor/1000/</x:v>
      </x:c>
      <x:c r="N104" s="10" t="str">
        <x:v>Direct eligibility</x:v>
      </x:c>
      <x:c r="O104" s="10" t="str">
        <x:v>Dated 2026/27</x:v>
      </x:c>
      <x:c r="P104" s="12" t="d">
        <x:v>2026-10-08T00:00:00.000Z</x:v>
      </x:c>
    </x:row>
    <x:row r="105" ht="116" customHeight="1">
      <x:c r="A105" s="10" t="str">
        <x:v>US</x:v>
      </x:c>
      <x:c r="B105" s="11" t="str">
        <x:v>Duke</x:v>
      </x:c>
      <x:c r="C105" s="10" t="str">
        <x:v>University-wide</x:v>
      </x:c>
      <x:c r="D105" s="10" t="str">
        <x:v>Live/research project</x:v>
      </x:c>
      <x:c r="E105" s="10" t="str">
        <x:v>Bass Connections</x:v>
      </x:c>
      <x:c r="F105" s="10" t="str">
        <x:v>University-wide interdisciplinary initiative</x:v>
      </x:c>
      <x:c r="G105" s="10" t="str">
        <x:v>Elective credit</x:v>
      </x:c>
      <x:c r="H105" s="10" t="str">
        <x:v>Undergraduate and graduate/professional students; project selection</x:v>
      </x:c>
      <x:c r="I105" s="10" t="str">
        <x:v>Faculty-led teams investigate societal challenges, often over an academic year with external partners. Credit and workload depend on team/course.</x:v>
      </x:c>
      <x:c r="J105" s="10" t="str">
        <x:v>Official programme engages faculty and students across Duke and study levels.</x:v>
      </x:c>
      <x:c r="K105" s="10" t="str">
        <x:v>2027/28 project call and 2025/26 report confirmed</x:v>
      </x:c>
      <x:c r="L105" s="10" t="str">
        <x:v>US sample</x:v>
      </x:c>
      <x:c r="M105" s="10" t="str">
        <x:v>https://bassconnections.duke.edu/</x:v>
      </x:c>
      <x:c r="N105" s="10" t="str">
        <x:v>Direct eligibility</x:v>
      </x:c>
      <x:c r="O105" s="10" t="str">
        <x:v>Dated 2026/27</x:v>
      </x:c>
      <x:c r="P105" s="12" t="d">
        <x:v>2026-10-08T00:00:00.000Z</x:v>
      </x:c>
    </x:row>
    <x:row r="106" ht="116" customHeight="1">
      <x:c r="A106" s="10" t="str">
        <x:v>US</x:v>
      </x:c>
      <x:c r="B106" s="11" t="str">
        <x:v>New York University</x:v>
      </x:c>
      <x:c r="C106" s="10" t="str">
        <x:v>Faculty/school</x:v>
      </x:c>
      <x:c r="D106" s="10" t="str">
        <x:v>Live/research project</x:v>
      </x:c>
      <x:c r="E106" s="10" t="str">
        <x:v>Stern Solutions</x:v>
      </x:c>
      <x:c r="F106" s="10" t="str">
        <x:v>Stern School of Business</x:v>
      </x:c>
      <x:c r="G106" s="10" t="str">
        <x:v>Elective credit</x:v>
      </x:c>
      <x:c r="H106" s="10" t="str">
        <x:v>Stern graduate students; course/programme eligibility varies</x:v>
      </x:c>
      <x:c r="I106" s="10" t="str">
        <x:v>Faculty-advised teams tackle organisational challenges over a semester or year in for-credit projects.</x:v>
      </x:c>
      <x:c r="J106" s="10" t="str">
        <x:v>Official programme describes Stern graduate teams; some individual projects involve other schools, but umbrella eligibility is not all NYU.</x:v>
      </x:c>
      <x:c r="K106" s="10" t="str">
        <x:v>Official programme page; intake unverified</x:v>
      </x:c>
      <x:c r="L106" s="10" t="str">
        <x:v>US sample</x:v>
      </x:c>
      <x:c r="M106" s="10" t="str">
        <x:v>https://www.stern.nyu.edu/business-partnerships/solve-business-challenge</x:v>
      </x:c>
      <x:c r="N106" s="10" t="str">
        <x:v>Direct eligibility</x:v>
      </x:c>
      <x:c r="O106" s="10" t="str">
        <x:v>Undated page</x:v>
      </x:c>
      <x:c r="P106" s="12" t="d">
        <x:v>2026-10-08T00:00:00.000Z</x:v>
      </x:c>
    </x:row>
    <x:row r="107" ht="116" customHeight="1">
      <x:c r="A107" s="10" t="str">
        <x:v>US</x:v>
      </x:c>
      <x:c r="B107" s="11" t="str">
        <x:v>New York University</x:v>
      </x:c>
      <x:c r="C107" s="10" t="str">
        <x:v>University-wide</x:v>
      </x:c>
      <x:c r="D107" s="10" t="str">
        <x:v>Enterprise programme</x:v>
      </x:c>
      <x:c r="E107" s="10" t="str">
        <x:v>Summer Launchpad</x:v>
      </x:c>
      <x:c r="F107" s="10" t="str">
        <x:v>NYU Entrepreneurship</x:v>
      </x:c>
      <x:c r="G107" s="10" t="str">
        <x:v>Co-curricular</x:v>
      </x:c>
      <x:c r="H107" s="10" t="str">
        <x:v>Eligible NYU student and recent-graduate founder teams</x:v>
      </x:c>
      <x:c r="I107" s="10" t="str">
        <x:v>Selective nine-week accelerator refines products, business models and customer acquisition; full-time founder commitment required.</x:v>
      </x:c>
      <x:c r="J107" s="10" t="str">
        <x:v>Central university entrepreneurship pathway complements faculty-specific Stern example.</x:v>
      </x:c>
      <x:c r="K107" s="10" t="str">
        <x:v>2026 cohort confirmed</x:v>
      </x:c>
      <x:c r="L107" s="10" t="str">
        <x:v>US sample</x:v>
      </x:c>
      <x:c r="M107" s="10" t="str">
        <x:v>https://entrepreneur.nyu.edu/blog/2026/06/03/meet-the-2026-nyu-summer-launchpad-cohort/
https://entrepreneur.nyu.edu/for-students/</x:v>
      </x:c>
      <x:c r="N107" s="10" t="str">
        <x:v>Direct eligibility</x:v>
      </x:c>
      <x:c r="O107" s="10" t="str">
        <x:v>Dated 2026/27</x:v>
      </x:c>
      <x:c r="P107" s="12" t="d">
        <x:v>2026-10-08T00:00:00.000Z</x:v>
      </x:c>
    </x:row>
    <x:row r="108" ht="116" customHeight="1">
      <x:c r="A108" s="10" t="str">
        <x:v>US</x:v>
      </x:c>
      <x:c r="B108" s="11" t="str">
        <x:v>Northwestern</x:v>
      </x:c>
      <x:c r="C108" s="10" t="str">
        <x:v>University-wide</x:v>
      </x:c>
      <x:c r="D108" s="10" t="str">
        <x:v>Live/research project</x:v>
      </x:c>
      <x:c r="E108" s="10" t="str">
        <x:v>Design Thinking and Communication (DTC)</x:v>
      </x:c>
      <x:c r="F108" s="10" t="str">
        <x:v>McCormick Engineering / Cook Family Writing Program</x:v>
      </x:c>
      <x:c r="G108" s="10" t="str">
        <x:v>Mixed/varies</x:v>
      </x:c>
      <x:c r="H108" s="10" t="str">
        <x:v>Required for first-year McCormick students; also open to any Northwestern undergraduate</x:v>
      </x:c>
      <x:c r="I108" s="10" t="str">
        <x:v>Two-quarter design-and-communication course tackles problems submitted by community and industry partners.</x:v>
      </x:c>
      <x:c r="J108" s="10" t="str">
        <x:v>Any-undergraduate availability gives university-wide reach; compulsory status is restricted to Engineering.</x:v>
      </x:c>
      <x:c r="K108" s="10" t="str">
        <x:v>2026/27 course catalogue confirmed</x:v>
      </x:c>
      <x:c r="L108" s="10" t="str">
        <x:v>US sample</x:v>
      </x:c>
      <x:c r="M108" s="10" t="str">
        <x:v>https://writingprogram.northwestern.edu/courses/2026-2027/course-descriptions/</x:v>
      </x:c>
      <x:c r="N108" s="10" t="str">
        <x:v>Direct eligibility</x:v>
      </x:c>
      <x:c r="O108" s="10" t="str">
        <x:v>Dated 2026/27</x:v>
      </x:c>
      <x:c r="P108" s="12" t="d">
        <x:v>2026-10-08T00:00:00.000Z</x:v>
      </x:c>
    </x:row>
    <x:row r="109" ht="116" customHeight="1">
      <x:c r="A109" s="10" t="str">
        <x:v>US</x:v>
      </x:c>
      <x:c r="B109" s="11" t="str">
        <x:v>Carnegie Mellon</x:v>
      </x:c>
      <x:c r="C109" s="10" t="str">
        <x:v>University-wide</x:v>
      </x:c>
      <x:c r="D109" s="10" t="str">
        <x:v>Interdisciplinary curriculum</x:v>
      </x:c>
      <x:c r="E109" s="10" t="str">
        <x:v>Integrative Design, Arts, and Technology (IDeATe)</x:v>
      </x:c>
      <x:c r="F109" s="10" t="str">
        <x:v>Intercollege IDeATe network</x:v>
      </x:c>
      <x:c r="G109" s="10" t="str">
        <x:v>Elective credit</x:v>
      </x:c>
      <x:c r="H109" s="10" t="str">
        <x:v>Undergraduates from any major</x:v>
      </x:c>
      <x:c r="I109" s="10" t="str">
        <x:v>Project-based arts/technology courses and minors use collaborative labs and making, in areas from game design to physical computing and design for learning.</x:v>
      </x:c>
      <x:c r="J109" s="10" t="str">
        <x:v>Explicit all-major eligibility.</x:v>
      </x:c>
      <x:c r="K109" s="10" t="str">
        <x:v>2026 project activity / official eligibility</x:v>
      </x:c>
      <x:c r="L109" s="10" t="str">
        <x:v>US sample</x:v>
      </x:c>
      <x:c r="M109" s="10" t="str">
        <x:v>https://ideate.cmu.edu/
https://ideate.cmu.edu/about/how-to-enroll-in-ideate.html</x:v>
      </x:c>
      <x:c r="N109" s="10" t="str">
        <x:v>Direct eligibility</x:v>
      </x:c>
      <x:c r="O109" s="10" t="str">
        <x:v>Dated 2026/27</x:v>
      </x:c>
      <x:c r="P109" s="12" t="d">
        <x:v>2026-10-08T00:00:00.000Z</x:v>
      </x:c>
    </x:row>
    <x:row r="110" ht="116" customHeight="1">
      <x:c r="A110" s="10" t="str">
        <x:v>US</x:v>
      </x:c>
      <x:c r="B110" s="11" t="str">
        <x:v>Southern California</x:v>
      </x:c>
      <x:c r="C110" s="10" t="str">
        <x:v>Cross-faculty</x:v>
      </x:c>
      <x:c r="D110" s="10" t="str">
        <x:v>Live/research project</x:v>
      </x:c>
      <x:c r="E110" s="10" t="str">
        <x:v>Joint Educational Project (JEP)</x:v>
      </x:c>
      <x:c r="F110" s="10" t="str">
        <x:v>Dornsife College of Letters, Arts and Sciences</x:v>
      </x:c>
      <x:c r="G110" s="10" t="str">
        <x:v>Mixed/varies</x:v>
      </x:c>
      <x:c r="H110" s="10" t="str">
        <x:v>Students in linked courses and volunteer routes; other schools represented</x:v>
      </x:c>
      <x:c r="I110" s="10" t="str">
        <x:v>Community service-learning placements with local schools, clinics and nonprofits connect course learning to reflection and action.</x:v>
      </x:c>
      <x:c r="J110" s="10" t="str">
        <x:v>Hosted in Dornsife; university accreditation evidence records participation from multiple schools, but unrestricted all-school access not established.</x:v>
      </x:c>
      <x:c r="K110" s="10" t="str">
        <x:v>Fall 2026 registration confirmed</x:v>
      </x:c>
      <x:c r="L110" s="10" t="str">
        <x:v>US sample</x:v>
      </x:c>
      <x:c r="M110" s="10" t="str">
        <x:v>https://dornsife.usc.edu/joint-educational-project/student-sign-up/
https://accreditation.usc.edu/wp-content/uploads/sites/3/2021/01/Appendix-8.13-JEP.pdf</x:v>
      </x:c>
      <x:c r="N110" s="10" t="str">
        <x:v>Direct eligibility</x:v>
      </x:c>
      <x:c r="O110" s="10" t="str">
        <x:v>Dated 2026/27</x:v>
      </x:c>
      <x:c r="P110" s="12" t="d">
        <x:v>2026-10-08T00:00:00.000Z</x:v>
      </x:c>
    </x:row>
    <x:row r="111" ht="116" customHeight="1">
      <x:c r="A111" s="10" t="str">
        <x:v>US</x:v>
      </x:c>
      <x:c r="B111" s="11" t="str">
        <x:v>Texas Austin</x:v>
      </x:c>
      <x:c r="C111" s="10" t="str">
        <x:v>Cross-faculty</x:v>
      </x:c>
      <x:c r="D111" s="10" t="str">
        <x:v>Live/research project</x:v>
      </x:c>
      <x:c r="E111" s="10" t="str">
        <x:v>Projects with Underserved Communities (PUC)</x:v>
      </x:c>
      <x:c r="F111" s="10" t="str">
        <x:v>Texas Global / Cockrell Engineering / Social Work</x:v>
      </x:c>
      <x:c r="G111" s="10" t="str">
        <x:v>Elective credit</x:v>
      </x:c>
      <x:c r="H111" s="10" t="str">
        <x:v>Engineering and Social Work undergraduates</x:v>
      </x:c>
      <x:c r="I111" s="10" t="str">
        <x:v>Year-long project sequence develops and implements community-prioritised solutions internationally; students plan, raise funds and work with partner communities.</x:v>
      </x:c>
      <x:c r="J111" s="10" t="str">
        <x:v>Explicit two-school eligibility; not university-wide.</x:v>
      </x:c>
      <x:c r="K111" s="10" t="str">
        <x:v>2026/27 applications confirmed</x:v>
      </x:c>
      <x:c r="L111" s="10" t="str">
        <x:v>US sample</x:v>
      </x:c>
      <x:c r="M111" s="10" t="str">
        <x:v>https://global.utexas.edu/abroad/programs/service-learning/projects-underserved-communities</x:v>
      </x:c>
      <x:c r="N111" s="10" t="str">
        <x:v>Direct eligibility</x:v>
      </x:c>
      <x:c r="O111" s="10" t="str">
        <x:v>Dated 2026/27</x:v>
      </x:c>
      <x:c r="P111" s="12" t="d">
        <x:v>2026-10-08T00:00:00.000Z</x:v>
      </x:c>
    </x:row>
    <x:row r="112" ht="116" customHeight="1">
      <x:c r="A112" s="10" t="str">
        <x:v>US</x:v>
      </x:c>
      <x:c r="B112" s="11" t="str">
        <x:v>Texas Austin</x:v>
      </x:c>
      <x:c r="C112" s="10" t="str">
        <x:v>University-wide</x:v>
      </x:c>
      <x:c r="D112" s="10" t="str">
        <x:v>Enterprise programme</x:v>
      </x:c>
      <x:c r="E112" s="10" t="str">
        <x:v>Harkey Institute venture-creation programmes</x:v>
      </x:c>
      <x:c r="F112" s="10" t="str">
        <x:v>McCombs School of Business</x:v>
      </x:c>
      <x:c r="G112" s="10" t="str">
        <x:v>Mixed/varies</x:v>
      </x:c>
      <x:c r="H112" s="10" t="str">
        <x:v>All majors and stages; individual programme requirements apply</x:v>
      </x:c>
      <x:c r="I112" s="10" t="str">
        <x:v>Hands-on enterprise experiences, mentoring and connections to the Austin startup ecosystem. Includes an eight-week summer entrepreneurship programme.</x:v>
      </x:c>
      <x:c r="J112" s="10" t="str">
        <x:v>Institute page explicitly welcomes all majors; credit depends on the selected offering.</x:v>
      </x:c>
      <x:c r="K112" s="10" t="str">
        <x:v>Official page; intake unverified</x:v>
      </x:c>
      <x:c r="L112" s="10" t="str">
        <x:v>US sample</x:v>
      </x:c>
      <x:c r="M112" s="10" t="str">
        <x:v>https://www.mccombs.utexas.edu/centers-initiatives/harkey-institute-for-entrepreneurial-studies/</x:v>
      </x:c>
      <x:c r="N112" s="10" t="str">
        <x:v>Direct eligibility</x:v>
      </x:c>
      <x:c r="O112" s="10" t="str">
        <x:v>Undated page</x:v>
      </x:c>
      <x:c r="P112" s="12" t="d">
        <x:v>2026-10-08T00:00:00.000Z</x:v>
      </x:c>
    </x:row>
    <x:row r="113" ht="116" customHeight="1">
      <x:c r="A113" s="10" t="str">
        <x:v>US</x:v>
      </x:c>
      <x:c r="B113" s="11" t="str">
        <x:v>California San Diego</x:v>
      </x:c>
      <x:c r="C113" s="10" t="str">
        <x:v>University-wide</x:v>
      </x:c>
      <x:c r="D113" s="10" t="str">
        <x:v>Live/research project</x:v>
      </x:c>
      <x:c r="E113" s="10" t="str">
        <x:v>Global TIES</x:v>
      </x:c>
      <x:c r="F113" s="10" t="str">
        <x:v>Jacobs School of Engineering / Global Sustainable Development</x:v>
      </x:c>
      <x:c r="G113" s="10" t="str">
        <x:v>Elective credit</x:v>
      </x:c>
      <x:c r="H113" s="10" t="str">
        <x:v>Students across major disciplines; project prerequisites apply</x:v>
      </x:c>
      <x:c r="I113" s="10" t="str">
        <x:v>Interdisciplinary teams co-create engineering and technology solutions with nonprofits and NGOs locally and internationally.</x:v>
      </x:c>
      <x:c r="J113" s="10" t="str">
        <x:v>Official college guidance says students from any major discipline can use Global TIES for breadth requirements.</x:v>
      </x:c>
      <x:c r="K113" s="10" t="str">
        <x:v>Official page; intake unverified</x:v>
      </x:c>
      <x:c r="L113" s="10" t="str">
        <x:v>US sample</x:v>
      </x:c>
      <x:c r="M113" s="10" t="str">
        <x:v>https://cgsd.ucsd.edu/
https://hh-marshall.ucsd.edu/academics/academic-opportunities/index.html</x:v>
      </x:c>
      <x:c r="N113" s="10" t="str">
        <x:v>Direct eligibility</x:v>
      </x:c>
      <x:c r="O113" s="10" t="str">
        <x:v>Undated page</x:v>
      </x:c>
      <x:c r="P113" s="12" t="d">
        <x:v>2026-10-08T00:00:00.000Z</x:v>
      </x:c>
    </x:row>
    <x:row r="114" ht="116" customHeight="1">
      <x:c r="A114" s="10" t="str">
        <x:v>US</x:v>
      </x:c>
      <x:c r="B114" s="11" t="str">
        <x:v>Brown</x:v>
      </x:c>
      <x:c r="C114" s="10" t="str">
        <x:v>University-wide</x:v>
      </x:c>
      <x:c r="D114" s="10" t="str">
        <x:v>Live/research project</x:v>
      </x:c>
      <x:c r="E114" s="10" t="str">
        <x:v>Community-Based Learning and Research (CBLR)</x:v>
      </x:c>
      <x:c r="F114" s="10" t="str">
        <x:v>The College / community-engaged course network</x:v>
      </x:c>
      <x:c r="G114" s="10" t="str">
        <x:v>Elective credit</x:v>
      </x:c>
      <x:c r="H114" s="10" t="str">
        <x:v>Undergraduates on eligible courses</x:v>
      </x:c>
      <x:c r="I114" s="10" t="str">
        <x:v>Courses combine community partnerships, field experience, reflection and outputs shared with partners. Fall 2026 list spans numerous departments.</x:v>
      </x:c>
      <x:c r="J114" s="10" t="str">
        <x:v>Central curricular designation across disciplines; course prerequisites may limit access.</x:v>
      </x:c>
      <x:c r="K114" s="10" t="str">
        <x:v>Fall 2026 catalogue confirmed</x:v>
      </x:c>
      <x:c r="L114" s="10" t="str">
        <x:v>US sample</x:v>
      </x:c>
      <x:c r="M114" s="10" t="str">
        <x:v>https://bulletin.brown.edu/the-college/curricular-programs/
https://college.brown.edu/design-your-education/explore-open-curriculum/course-selection/course-options/cblr</x:v>
      </x:c>
      <x:c r="N114" s="10" t="str">
        <x:v>Direct eligibility</x:v>
      </x:c>
      <x:c r="O114" s="10" t="str">
        <x:v>Dated 2026/27</x:v>
      </x:c>
      <x:c r="P114" s="12" t="d">
        <x:v>2026-10-08T00:00:00.000Z</x:v>
      </x:c>
    </x:row>
    <x:row r="115" ht="116" customHeight="1">
      <x:c r="A115" s="10" t="str">
        <x:v>US</x:v>
      </x:c>
      <x:c r="B115" s="11" t="str">
        <x:v>Illinois Urbana-Champaign</x:v>
      </x:c>
      <x:c r="C115" s="10" t="str">
        <x:v>University-wide</x:v>
      </x:c>
      <x:c r="D115" s="10" t="str">
        <x:v>Enterprise programme</x:v>
      </x:c>
      <x:c r="E115" s="10" t="str">
        <x:v>iVenture Accelerator</x:v>
      </x:c>
      <x:c r="F115" s="10" t="str">
        <x:v>Gies College of Business</x:v>
      </x:c>
      <x:c r="G115" s="10" t="str">
        <x:v>Co-curricular</x:v>
      </x:c>
      <x:c r="H115" s="10" t="str">
        <x:v>Founders from any area of study; majority student ownership and full-time summer commitment</x:v>
      </x:c>
      <x:c r="I115" s="10" t="str">
        <x:v>Ten-week summer venture sprint followed by academic-year support, workshops, advisers and stipends. Teams develop commercial, social, cultural and technology ventures.</x:v>
      </x:c>
      <x:c r="J115" s="10" t="str">
        <x:v>Explicit any-area-of-study eligibility; Business School host does not restrict reach.</x:v>
      </x:c>
      <x:c r="K115" s="10" t="str">
        <x:v>2026 applications and cohort confirmed</x:v>
      </x:c>
      <x:c r="L115" s="10" t="str">
        <x:v>US sample</x:v>
      </x:c>
      <x:c r="M115" s="10" t="str">
        <x:v>https://iventure.illinois.edu/apply
https://giesbusiness.illinois.edu/news/2026/06/24/iventure-cohort-12-building-the-future-with-artificial-intelligence</x:v>
      </x:c>
      <x:c r="N115" s="10" t="str">
        <x:v>Direct eligibility</x:v>
      </x:c>
      <x:c r="O115" s="10" t="str">
        <x:v>Dated 2026/27</x:v>
      </x:c>
      <x:c r="P115" s="12" t="d">
        <x:v>2026-10-08T00:00:00.000Z</x:v>
      </x:c>
    </x:row>
    <x:row r="116" ht="116" customHeight="1">
      <x:c r="A116" s="10" t="str">
        <x:v>US</x:v>
      </x:c>
      <x:c r="B116" s="11" t="str">
        <x:v>Georgia Institute of Technology</x:v>
      </x:c>
      <x:c r="C116" s="10" t="str">
        <x:v>University-wide</x:v>
      </x:c>
      <x:c r="D116" s="10" t="str">
        <x:v>Live/research project</x:v>
      </x:c>
      <x:c r="E116" s="10" t="str">
        <x:v>Vertically Integrated Projects (VIP)</x:v>
      </x:c>
      <x:c r="F116" s="10" t="str">
        <x:v>Central VIP / academic project teams</x:v>
      </x:c>
      <x:c r="G116" s="10" t="str">
        <x:v>Elective credit</x:v>
      </x:c>
      <x:c r="H116" s="10" t="str">
        <x:v>Undergraduate and graduate students across majors; team fit applies</x:v>
      </x:c>
      <x:c r="I116" s="10" t="str">
        <x:v>Multisemester research and development teams combine disciplines and study levels; students contribute to continuing projects.</x:v>
      </x:c>
      <x:c r="J116" s="10" t="str">
        <x:v>Current team recruitment covers all six academic colleges and explicitly welcomes all majors for relevant teams.</x:v>
      </x:c>
      <x:c r="K116" s="10" t="str">
        <x:v>Fall 2026 team recruitment confirmed</x:v>
      </x:c>
      <x:c r="L116" s="10" t="str">
        <x:v>US sample</x:v>
      </x:c>
      <x:c r="M116" s="10" t="str">
        <x:v>https://sites.gatech.edu/ecocar/recruitment-info/
https://vip.gatech.edu/teams-all-in-one/entry/1294/</x:v>
      </x:c>
      <x:c r="N116" s="10" t="str">
        <x:v>Direct eligibility</x:v>
      </x:c>
      <x:c r="O116" s="10" t="str">
        <x:v>Dated 2026/27</x:v>
      </x:c>
      <x:c r="P116" s="12" t="d">
        <x:v>2026-10-08T00:00:00.000Z</x:v>
      </x:c>
    </x:row>
    <x:row r="117" ht="116" customHeight="1">
      <x:c r="A117" s="10" t="str">
        <x:v>US</x:v>
      </x:c>
      <x:c r="B117" s="11" t="str">
        <x:v>Purdue</x:v>
      </x:c>
      <x:c r="C117" s="10" t="str">
        <x:v>University-wide</x:v>
      </x:c>
      <x:c r="D117" s="10" t="str">
        <x:v>Live/research project</x:v>
      </x:c>
      <x:c r="E117" s="10" t="str">
        <x:v>Engineering Projects in Community Service (EPICS)</x:v>
      </x:c>
      <x:c r="F117" s="10" t="str">
        <x:v>Engineering EPICS</x:v>
      </x:c>
      <x:c r="G117" s="10" t="str">
        <x:v>Elective credit</x:v>
      </x:c>
      <x:c r="H117" s="10" t="str">
        <x:v>All undergraduates; senior-design route requires approval</x:v>
      </x:c>
      <x:c r="I117" s="10" t="str">
        <x:v>Long-term teams design, build, deploy and support systems for community partners in education, environment, accessibility and human services.</x:v>
      </x:c>
      <x:c r="J117" s="10" t="str">
        <x:v>Registration explicitly open to all undergraduates.</x:v>
      </x:c>
      <x:c r="K117" s="10" t="str">
        <x:v>Spring 2027 registration confirmed</x:v>
      </x:c>
      <x:c r="L117" s="10" t="str">
        <x:v>US sample</x:v>
      </x:c>
      <x:c r="M117" s="10" t="str">
        <x:v>https://engineering.purdue.edu/EPICS
https://engineering.purdue.edu/EPICS/purdue/future-students/register</x:v>
      </x:c>
      <x:c r="N117" s="10" t="str">
        <x:v>Direct eligibility</x:v>
      </x:c>
      <x:c r="O117" s="10" t="str">
        <x:v>Dated 2026/27</x:v>
      </x:c>
      <x:c r="P117" s="12" t="d">
        <x:v>2026-10-08T00:00:00.000Z</x:v>
      </x:c>
    </x:row>
    <x:row r="118" ht="116" customHeight="1">
      <x:c r="A118" s="10" t="str">
        <x:v>US</x:v>
      </x:c>
      <x:c r="B118" s="11" t="str">
        <x:v>Wisconsin Madison</x:v>
      </x:c>
      <x:c r="C118" s="10" t="str">
        <x:v>Not confirmed</x:v>
      </x:c>
      <x:c r="D118" s="10" t="str">
        <x:v>Live/research project</x:v>
      </x:c>
      <x:c r="E118" s="10" t="str">
        <x:v>UniverCity Year</x:v>
      </x:c>
      <x:c r="F118" s="10" t="str">
        <x:v>UniverCity Alliance</x:v>
      </x:c>
      <x:c r="G118" s="10" t="str">
        <x:v>Mixed/varies</x:v>
      </x:c>
      <x:c r="H118" s="10" t="str">
        <x:v>Students on participating courses; departmental eligibility varies</x:v>
      </x:c>
      <x:c r="I118" s="10" t="str">
        <x:v>Courses and research help local governments address self-defined challenges. Three-year community partnerships bring different disciplines to practical problems.</x:v>
      </x:c>
      <x:c r="J118" s="10" t="str">
        <x:v>Institutional partnership framework spans departments; university-wide remit inferred, not universal student participation. Academic reach remains Not confirmed until eligibility or institution-wide framework reach is established.</x:v>
      </x:c>
      <x:c r="K118" s="10" t="str">
        <x:v>Official programme evidence; current cohort unverified</x:v>
      </x:c>
      <x:c r="L118" s="10" t="str">
        <x:v>US sample</x:v>
      </x:c>
      <x:c r="M118" s="10" t="str">
        <x:v>https://univercity.wisc.edu/2023/02/09/chancellor-jennifer-mnookin-highlights-univercity-year-in-board-of-regents-speech/</x:v>
      </x:c>
      <x:c r="N118" s="10" t="str">
        <x:v>Unconfirmed reach</x:v>
      </x:c>
      <x:c r="O118" s="10" t="str">
        <x:v>Undated page</x:v>
      </x:c>
      <x:c r="P118" s="12" t="d">
        <x:v>2026-10-08T00:00:00.000Z</x:v>
      </x:c>
    </x:row>
    <x:row r="119" ht="116" customHeight="1">
      <x:c r="A119" s="10" t="str">
        <x:v>US</x:v>
      </x:c>
      <x:c r="B119" s="11" t="str">
        <x:v>Washington</x:v>
      </x:c>
      <x:c r="C119" s="10" t="str">
        <x:v>Not confirmed</x:v>
      </x:c>
      <x:c r="D119" s="10" t="str">
        <x:v>Placement/WIL</x:v>
      </x:c>
      <x:c r="E119" s="10" t="str">
        <x:v>Undergraduate Community-Based Internship Program</x:v>
      </x:c>
      <x:c r="F119" s="10" t="str">
        <x:v>Community Engagement and Leadership Education (CELE)</x:v>
      </x:c>
      <x:c r="G119" s="10" t="str">
        <x:v>Co-curricular</x:v>
      </x:c>
      <x:c r="H119" s="10" t="str">
        <x:v>Eligible undergraduates; competitive selection</x:v>
      </x:c>
      <x:c r="I119" s="10" t="str">
        <x:v>Paid internships with nonprofits and public-sector organisations, customised learning plans and structured support for public-service career exploration.</x:v>
      </x:c>
      <x:c r="J119" s="10" t="str">
        <x:v>Central undergraduate community-engagement provision; university reach inferred, specific eligibility should be checked. Academic reach remains Not confirmed until eligibility or institution-wide framework reach is established.</x:v>
      </x:c>
      <x:c r="K119" s="10" t="str">
        <x:v>2025 evidence; current intake unverified</x:v>
      </x:c>
      <x:c r="L119" s="10" t="str">
        <x:v>US sample</x:v>
      </x:c>
      <x:c r="M119" s="10" t="str">
        <x:v>https://www.washington.edu/uaa/2025/02/18/funding-opportunities/
https://www.washington.edu/uaa/scholarships-and-funding/</x:v>
      </x:c>
      <x:c r="N119" s="10" t="str">
        <x:v>Unconfirmed reach</x:v>
      </x:c>
      <x:c r="O119" s="10" t="str">
        <x:v>Dated earlier / mixed</x:v>
      </x:c>
      <x:c r="P119" s="12" t="d">
        <x:v>2026-10-08T00:00:00.000Z</x:v>
      </x:c>
    </x:row>
    <x:row r="120" ht="116" customHeight="1">
      <x:c r="A120" s="10" t="str">
        <x:v>US</x:v>
      </x:c>
      <x:c r="B120" s="11" t="str">
        <x:v>Boston University</x:v>
      </x:c>
      <x:c r="C120" s="10" t="str">
        <x:v>University-wide</x:v>
      </x:c>
      <x:c r="D120" s="10" t="str">
        <x:v>Live/research project</x:v>
      </x:c>
      <x:c r="E120" s="10" t="str">
        <x:v>Cross-College Challenge (XCC)</x:v>
      </x:c>
      <x:c r="F120" s="10" t="str">
        <x:v>BU Hub</x:v>
      </x:c>
      <x:c r="G120" s="10" t="str">
        <x:v>Elective credit</x:v>
      </x:c>
      <x:c r="H120" s="10" t="str">
        <x:v>Juniors and seniors from all undergraduate schools and colleges</x:v>
      </x:c>
      <x:c r="I120" s="10" t="str">
        <x:v>Four-credit, team-based elective co-taught across disciplines addresses a real challenge with a community partner and fulfils Hub requirements.</x:v>
      </x:c>
      <x:c r="J120" s="10" t="str">
        <x:v>Explicit all-undergraduate-school eligibility; year and capacity restrictions apply.</x:v>
      </x:c>
      <x:c r="K120" s="10" t="str">
        <x:v>2026 Hub activity confirmed</x:v>
      </x:c>
      <x:c r="L120" s="10" t="str">
        <x:v>US sample</x:v>
      </x:c>
      <x:c r="M120" s="10" t="str">
        <x:v>https://www.bu.edu/xcc/?p=31
https://www.bu.edu/hub/announcements/</x:v>
      </x:c>
      <x:c r="N120" s="10" t="str">
        <x:v>Direct eligibility</x:v>
      </x:c>
      <x:c r="O120" s="10" t="str">
        <x:v>Dated 2026/27</x:v>
      </x:c>
      <x:c r="P120" s="12" t="d">
        <x:v>2026-10-08T00:00:00.000Z</x:v>
      </x:c>
    </x:row>
    <x:row r="121" ht="116" customHeight="1">
      <x:c r="A121" s="10" t="str">
        <x:v>US</x:v>
      </x:c>
      <x:c r="B121" s="11" t="str">
        <x:v>Pennsylvania State</x:v>
      </x:c>
      <x:c r="C121" s="10" t="str">
        <x:v>Faculty/school</x:v>
      </x:c>
      <x:c r="D121" s="10" t="str">
        <x:v>Live/research project</x:v>
      </x:c>
      <x:c r="E121" s="10" t="str">
        <x:v>Learning Factory Capstone Design</x:v>
      </x:c>
      <x:c r="F121" s="10" t="str">
        <x:v>College of Engineering</x:v>
      </x:c>
      <x:c r="G121" s="10" t="str">
        <x:v>Mixed/varies</x:v>
      </x:c>
      <x:c r="H121" s="10" t="str">
        <x:v>Engineering capstone students; departmental requirements vary</x:v>
      </x:c>
      <x:c r="I121" s="10" t="str">
        <x:v>Client-sponsored design teams undertake problem definition, prototyping, testing and final showcase, using the Learning Factory makerspace.</x:v>
      </x:c>
      <x:c r="J121" s="10" t="str">
        <x:v>Programme page explicitly describes College of Engineering and engineering student teams; compulsory status follows the individual degree.</x:v>
      </x:c>
      <x:c r="K121" s="10" t="str">
        <x:v>Official capstone page; intake unverified</x:v>
      </x:c>
      <x:c r="L121" s="10" t="str">
        <x:v>US sample</x:v>
      </x:c>
      <x:c r="M121" s="10" t="str">
        <x:v>https://lf.psu.edu/students/lf-capstone/
https://lf.psu.edu/students/lf-capstone/capstone4/</x:v>
      </x:c>
      <x:c r="N121" s="10" t="str">
        <x:v>Direct eligibility</x:v>
      </x:c>
      <x:c r="O121" s="10" t="str">
        <x:v>Undated page</x:v>
      </x:c>
      <x:c r="P121" s="12" t="d">
        <x:v>2026-10-08T00:00:00.000Z</x:v>
      </x:c>
    </x:row>
    <x:row r="122" ht="116" customHeight="1">
      <x:c r="A122" s="10" t="str">
        <x:v>US</x:v>
      </x:c>
      <x:c r="B122" s="11" t="str">
        <x:v>Ohio State</x:v>
      </x:c>
      <x:c r="C122" s="10" t="str">
        <x:v>Not confirmed</x:v>
      </x:c>
      <x:c r="D122" s="10" t="str">
        <x:v>Live/research project</x:v>
      </x:c>
      <x:c r="E122" s="10" t="str">
        <x:v>Second-year Transformational Experience Program (STEP)</x:v>
      </x:c>
      <x:c r="F122" s="10" t="str">
        <x:v>Office of Student Life / faculty mentors</x:v>
      </x:c>
      <x:c r="G122" s="10" t="str">
        <x:v>Co-curricular</x:v>
      </x:c>
      <x:c r="H122" s="10" t="str">
        <x:v>Eligible second-year students; campus and funding rules apply</x:v>
      </x:c>
      <x:c r="I122" s="10" t="str">
        <x:v>Mentored cohorts develop a Signature Project in research, internship, service, leadership, creativity or study abroad; eligible experiences can receive up to $2,000.</x:v>
      </x:c>
      <x:c r="J122" s="10" t="str">
        <x:v>Central second-year programme; university reach inferred, not a requirement for all second-years. Academic reach remains Not confirmed until eligibility or institution-wide framework reach is established.</x:v>
      </x:c>
      <x:c r="K122" s="10" t="str">
        <x:v>August 2026 programme activity confirmed</x:v>
      </x:c>
      <x:c r="L122" s="10" t="str">
        <x:v>US sample</x:v>
      </x:c>
      <x:c r="M122" s="10" t="str">
        <x:v>https://step.osu.edu/about
https://step.osu.edu/prospective-students</x:v>
      </x:c>
      <x:c r="N122" s="10" t="str">
        <x:v>Unconfirmed reach</x:v>
      </x:c>
      <x:c r="O122" s="10" t="str">
        <x:v>Dated 2026/27</x:v>
      </x:c>
      <x:c r="P122" s="12" t="d">
        <x:v>2026-10-08T00:00:00.000Z</x:v>
      </x:c>
    </x:row>
    <x:row r="123" ht="116" customHeight="1">
      <x:c r="A123" s="10" t="str">
        <x:v>US</x:v>
      </x:c>
      <x:c r="B123" s="11" t="str">
        <x:v>Johns Hopkins</x:v>
      </x:c>
      <x:c r="C123" s="10" t="str">
        <x:v>University-wide</x:v>
      </x:c>
      <x:c r="D123" s="10" t="str">
        <x:v>Enterprise programme</x:v>
      </x:c>
      <x:c r="E123" s="10" t="str">
        <x:v>Pava Center: Spark / Fuel accelerators</x:v>
      </x:c>
      <x:c r="F123" s="10" t="str">
        <x:v>Pava Marie LaPere Center for Entrepreneurship</x:v>
      </x:c>
      <x:c r="G123" s="10" t="str">
        <x:v>Co-curricular</x:v>
      </x:c>
      <x:c r="H123" s="10" t="str">
        <x:v>Student venture teams with at least one eligible current JHU student co-founder</x:v>
      </x:c>
      <x:c r="I123" s="10" t="str">
        <x:v>Structured venture development, mentoring and Demo Day; Fuel requires at least ten hours weekly. Completion can lead to grant stipends and competition funding.</x:v>
      </x:c>
      <x:c r="J123" s="10" t="str">
        <x:v>Central student entrepreneurship eligibility is not restricted to BME; individual stage/ownership criteria apply.</x:v>
      </x:c>
      <x:c r="K123" s="10" t="str">
        <x:v>December 2026 next application cycle confirmed</x:v>
      </x:c>
      <x:c r="L123" s="10" t="str">
        <x:v>US sample</x:v>
      </x:c>
      <x:c r="M123" s="10" t="str">
        <x:v>https://pavacenter.jhu.edu/programs/student-programs/fuel/</x:v>
      </x:c>
      <x:c r="N123" s="10" t="str">
        <x:v>Direct eligibility</x:v>
      </x:c>
      <x:c r="O123" s="10" t="str">
        <x:v>Dated 2026/27</x:v>
      </x:c>
      <x:c r="P123" s="12" t="d">
        <x:v>2026-10-08T00:00:00.000Z</x:v>
      </x:c>
    </x:row>
    <x:row r="124" ht="116" customHeight="1">
      <x:c r="A124" s="10" t="str">
        <x:v>US</x:v>
      </x:c>
      <x:c r="B124" s="11" t="str">
        <x:v>Pennsylvania State</x:v>
      </x:c>
      <x:c r="C124" s="10" t="str">
        <x:v>University-wide</x:v>
      </x:c>
      <x:c r="D124" s="10" t="str">
        <x:v>Enterprise programme</x:v>
      </x:c>
      <x:c r="E124" s="10" t="str">
        <x:v>Invent Penn State / Summer Founders</x:v>
      </x:c>
      <x:c r="F124" s="10" t="str">
        <x:v>Office of Entrepreneurship and Commercialization</x:v>
      </x:c>
      <x:c r="G124" s="10" t="str">
        <x:v>Co-curricular</x:v>
      </x:c>
      <x:c r="H124" s="10" t="str">
        <x:v>Eligible student founder teams; programme selection applies</x:v>
      </x:c>
      <x:c r="I124" s="10" t="str">
        <x:v>University-wide entrepreneurship framework supports venture development across campuses and colleges. Summer Founders combines a grant, accelerator activity, advisers and a final showcase.</x:v>
      </x:c>
      <x:c r="J124" s="10" t="str">
        <x:v>Official framework spans all academic colleges and 24 campuses; Summer Founders cohort included multiple colleges and graduate students.</x:v>
      </x:c>
      <x:c r="K124" s="10" t="str">
        <x:v>Official framework; latest programme intake unverified</x:v>
      </x:c>
      <x:c r="L124" s="10" t="str">
        <x:v>US sample</x:v>
      </x:c>
      <x:c r="M124" s="10" t="str">
        <x:v>https://invent.psu.edu/about-ips/
https://invent.psu.edu/stories/student-founders-grow-their-startups-through-summer-founders-program/</x:v>
      </x:c>
      <x:c r="N124" s="10" t="str">
        <x:v>Institutional framework</x:v>
      </x:c>
      <x:c r="O124" s="10" t="str">
        <x:v>Undated page</x:v>
      </x:c>
      <x:c r="P124" s="12" t="d">
        <x:v>2026-10-08T00:00:00.000Z</x:v>
      </x:c>
    </x:row>
    <x:row r="125" ht="116" customHeight="1">
      <x:c r="A125" s="10" t="str">
        <x:v>France</x:v>
      </x:c>
      <x:c r="B125" s="11" t="str">
        <x:v>PSL</x:v>
      </x:c>
      <x:c r="C125" s="10" t="str">
        <x:v>Cross-faculty</x:v>
      </x:c>
      <x:c r="D125" s="10" t="str">
        <x:v>Interdisciplinary curriculum</x:v>
      </x:c>
      <x:c r="E125" s="10" t="str">
        <x:v>PSL Weeks</x:v>
      </x:c>
      <x:c r="F125" s="10" t="str">
        <x:v>PSL constituent schools</x:v>
      </x:c>
      <x:c r="G125" s="10" t="str">
        <x:v>Mixed/varies</x:v>
      </x:c>
      <x:c r="H125" s="10" t="str">
        <x:v>Students in participating schools and degree years</x:v>
      </x:c>
      <x:c r="I125" s="10" t="str">
        <x:v>Interdisciplinary immersion weeks expose students to new disciplines and collaborative projects. Some engineering weeks specify ESPCI, Chimie Paris, MINES and CPES year groups.</x:v>
      </x:c>
      <x:c r="J125" s="10" t="str">
        <x:v>Published examples involve named constituent schools; no proof every PSL school/student can access every week.</x:v>
      </x:c>
      <x:c r="K125" s="10" t="str">
        <x:v>Official programme page; intake unverified</x:v>
      </x:c>
      <x:c r="L125" s="10" t="str">
        <x:v>EU sample</x:v>
      </x:c>
      <x:c r="M125" s="10" t="str">
        <x:v>https://psl.eu/en/education/keys-academic-success/student-mobility
https://psl.eu/en/education/enamoma-psl-life-masters-program</x:v>
      </x:c>
      <x:c r="N125" s="10" t="str">
        <x:v>Direct eligibility</x:v>
      </x:c>
      <x:c r="O125" s="10" t="str">
        <x:v>Undated page</x:v>
      </x:c>
      <x:c r="P125" s="12" t="d">
        <x:v>2026-10-08T00:00:00.000Z</x:v>
      </x:c>
    </x:row>
    <x:row r="126" ht="116" customHeight="1">
      <x:c r="A126" s="10" t="str">
        <x:v>France</x:v>
      </x:c>
      <x:c r="B126" s="11" t="str">
        <x:v>PSL</x:v>
      </x:c>
      <x:c r="C126" s="10" t="str">
        <x:v>Programme/course</x:v>
      </x:c>
      <x:c r="D126" s="10" t="str">
        <x:v>Live/research project</x:v>
      </x:c>
      <x:c r="E126" s="10" t="str">
        <x:v>ENAMOMA-PSL partner projects</x:v>
      </x:c>
      <x:c r="F126" s="10" t="str">
        <x:v>ENAMOMA master’s programme</x:v>
      </x:c>
      <x:c r="G126" s="10" t="str">
        <x:v>Compulsory</x:v>
      </x:c>
      <x:c r="H126" s="10" t="str">
        <x:v>Students enrolled in the ENAMOMA master’s</x:v>
      </x:c>
      <x:c r="I126" s="10" t="str">
        <x:v>Ten-week interdisciplinary design/engineering/management teams develop professional-level outputs for external partners with tutors and progress reviews.</x:v>
      </x:c>
      <x:c r="J126" s="10" t="str">
        <x:v>Specific master’s curriculum, not the whole PSL university.</x:v>
      </x:c>
      <x:c r="K126" s="10" t="str">
        <x:v>Official project page; intake unverified</x:v>
      </x:c>
      <x:c r="L126" s="10" t="str">
        <x:v>EU sample</x:v>
      </x:c>
      <x:c r="M126" s="10" t="str">
        <x:v>https://psl.eu/en/education/enamoma-psl-students-projects</x:v>
      </x:c>
      <x:c r="N126" s="10" t="str">
        <x:v>Direct eligibility</x:v>
      </x:c>
      <x:c r="O126" s="10" t="str">
        <x:v>Undated page</x:v>
      </x:c>
      <x:c r="P126" s="12" t="d">
        <x:v>2026-10-08T00:00:00.000Z</x:v>
      </x:c>
    </x:row>
    <x:row r="127" ht="116" customHeight="1">
      <x:c r="A127" s="10" t="str">
        <x:v>France</x:v>
      </x:c>
      <x:c r="B127" s="11" t="str">
        <x:v>Paris-Saclay</x:v>
      </x:c>
      <x:c r="C127" s="10" t="str">
        <x:v>Not confirmed</x:v>
      </x:c>
      <x:c r="D127" s="10" t="str">
        <x:v>Enterprise programme</x:v>
      </x:c>
      <x:c r="E127" s="10" t="str">
        <x:v>Starthèse Start’up Pitch-iD</x:v>
      </x:c>
      <x:c r="F127" s="10" t="str">
        <x:v>Central entrepreneurship / doctoral ecosystem</x:v>
      </x:c>
      <x:c r="G127" s="10" t="str">
        <x:v>Co-curricular</x:v>
      </x:c>
      <x:c r="H127" s="10" t="str">
        <x:v>Eligible doctoral researchers; competitive selection</x:v>
      </x:c>
      <x:c r="I127" s="10" t="str">
        <x:v>Entrepreneurial challenge develops research-based venture ideas, coaching and pitching. Published 2026 regulations and partner announcement confirm the third edition.</x:v>
      </x:c>
      <x:c r="J127" s="10" t="str">
        <x:v>Central doctoral competition; university reach inferred across disciplines, admission conditions apply. Academic reach remains Not confirmed until eligibility or institution-wide framework reach is established.</x:v>
      </x:c>
      <x:c r="K127" s="10" t="str">
        <x:v>2026 competition confirmed</x:v>
      </x:c>
      <x:c r="L127" s="10" t="str">
        <x:v>EU sample</x:v>
      </x:c>
      <x:c r="M127" s="10" t="str">
        <x:v>https://www.universite-paris-saclay.fr/actualites/starthese-startup-pitch-id-troisieme-edition-du-concours-entrepreneurial-pour-doctorantes
https://www.uvsq.fr/3%E1%B5%89-edition-du-challenge-de-pitch-starthese-startup-pitch-id</x:v>
      </x:c>
      <x:c r="N127" s="10" t="str">
        <x:v>Unconfirmed reach</x:v>
      </x:c>
      <x:c r="O127" s="10" t="str">
        <x:v>Dated 2026/27</x:v>
      </x:c>
      <x:c r="P127" s="12" t="d">
        <x:v>2026-10-08T00:00:00.000Z</x:v>
      </x:c>
    </x:row>
    <x:row r="128" ht="116" customHeight="1">
      <x:c r="A128" s="10" t="str">
        <x:v>France</x:v>
      </x:c>
      <x:c r="B128" s="11" t="str">
        <x:v>Sorbonne University</x:v>
      </x:c>
      <x:c r="C128" s="10" t="str">
        <x:v>University-wide</x:v>
      </x:c>
      <x:c r="D128" s="10" t="str">
        <x:v>Enterprise programme</x:v>
      </x:c>
      <x:c r="E128" s="10" t="str">
        <x:v>Pépite Sorbonne Université: student entrepreneurship / SNEE</x:v>
      </x:c>
      <x:c r="F128" s="10" t="str">
        <x:v>Pépite university enterprise network</x:v>
      </x:c>
      <x:c r="G128" s="10" t="str">
        <x:v>Mixed/varies</x:v>
      </x:c>
      <x:c r="H128" s="10" t="str">
        <x:v>Higher-education students from bachelor to doctorate; eligible graduates</x:v>
      </x:c>
      <x:c r="I128" s="10" t="str">
        <x:v>Project coaching and practical venture development. Optional D2E diploma structures business-model, market, pitch and leadership learning.</x:v>
      </x:c>
      <x:c r="J128" s="10" t="str">
        <x:v>Explicit study-level-wide eligibility with no disciplinary prerequisite; diploma is a separate optional route.</x:v>
      </x:c>
      <x:c r="K128" s="10" t="str">
        <x:v>2026 pages and eligibility confirmed</x:v>
      </x:c>
      <x:c r="L128" s="10" t="str">
        <x:v>EU sample</x:v>
      </x:c>
      <x:c r="M128" s="10" t="str">
        <x:v>https://pepite.sorbonne-universite.fr/etre-accompagnee/devenir-etudiante-entrepreneure-snee
https://pepite.sorbonne-universite.fr/etre-accompagnee/entreprendre-pendant-ses-etudes</x:v>
      </x:c>
      <x:c r="N128" s="10" t="str">
        <x:v>Direct eligibility</x:v>
      </x:c>
      <x:c r="O128" s="10" t="str">
        <x:v>Dated 2026/27</x:v>
      </x:c>
      <x:c r="P128" s="12" t="d">
        <x:v>2026-10-08T00:00:00.000Z</x:v>
      </x:c>
    </x:row>
    <x:row r="129" ht="116" customHeight="1">
      <x:c r="A129" s="10" t="str">
        <x:v>France</x:v>
      </x:c>
      <x:c r="B129" s="11" t="str">
        <x:v>Institut Polytechnique de Paris</x:v>
      </x:c>
      <x:c r="C129" s="10" t="str">
        <x:v>Programme/course</x:v>
      </x:c>
      <x:c r="D129" s="10" t="str">
        <x:v>Live/research project</x:v>
      </x:c>
      <x:c r="E129" s="10" t="str">
        <x:v>Projet Scientifique Collectif (PSC)</x:v>
      </x:c>
      <x:c r="F129" s="10" t="str">
        <x:v>École polytechnique; Ingénieur Polytechnicien programme</x:v>
      </x:c>
      <x:c r="G129" s="10" t="str">
        <x:v>Compulsory</x:v>
      </x:c>
      <x:c r="H129" s="10" t="str">
        <x:v>Second-year students on the Ingénieur Polytechnicien degree</x:v>
      </x:c>
      <x:c r="I129" s="10" t="str">
        <x:v>Teams of four or five work half a day weekly through second year to investigate a scientific problem or build a technological demonstrator with laboratories, firms or public partners.</x:v>
      </x:c>
      <x:c r="J129" s="10" t="str">
        <x:v>One degree at one IP Paris member school; not university-wide across IP Paris.</x:v>
      </x:c>
      <x:c r="K129" s="10" t="str">
        <x:v>X25 cohort / June 2026 documents confirmed</x:v>
      </x:c>
      <x:c r="L129" s="10" t="str">
        <x:v>EU sample</x:v>
      </x:c>
      <x:c r="M129" s="10" t="str">
        <x:v>https://www.polytechnique.edu/x25-psc-projet-scientifique-collectif
https://programmes.polytechnique.edu/cycle-ingenieur-polytechnicien/details-du-programme/deuxieme-annee-du-cycle-ingenieur</x:v>
      </x:c>
      <x:c r="N129" s="10" t="str">
        <x:v>Direct eligibility</x:v>
      </x:c>
      <x:c r="O129" s="10" t="str">
        <x:v>Dated 2026/27</x:v>
      </x:c>
      <x:c r="P129" s="12" t="d">
        <x:v>2026-10-08T00:00:00.000Z</x:v>
      </x:c>
    </x:row>
    <x:row r="130" ht="116" customHeight="1">
      <x:c r="A130" s="10" t="str">
        <x:v>France</x:v>
      </x:c>
      <x:c r="B130" s="11" t="str">
        <x:v>Sciences Po</x:v>
      </x:c>
      <x:c r="C130" s="10" t="str">
        <x:v>University-wide</x:v>
      </x:c>
      <x:c r="D130" s="10" t="str">
        <x:v>Live/research project</x:v>
      </x:c>
      <x:c r="E130" s="10" t="str">
        <x:v>Civic Learning Programme (Parcours Civique)</x:v>
      </x:c>
      <x:c r="F130" s="10" t="str">
        <x:v>Undergraduate College across campuses</x:v>
      </x:c>
      <x:c r="G130" s="10" t="str">
        <x:v>Compulsory</x:v>
      </x:c>
      <x:c r="H130" s="10" t="str">
        <x:v>BA undergraduates across the College’s campuses</x:v>
      </x:c>
      <x:c r="I130" s="10" t="str">
        <x:v>First-year 140-hour civic internship, second-year 50-hour civic project and reflective capstone link community work to academic learning; credits awarded.</x:v>
      </x:c>
      <x:c r="J130" s="10" t="str">
        <x:v>Compulsory undergraduate curriculum across campuses; university-wide undergraduate reach, not graduate-wide.</x:v>
      </x:c>
      <x:c r="K130" s="10" t="str">
        <x:v>Official curriculum page; intake unverified</x:v>
      </x:c>
      <x:c r="L130" s="10" t="str">
        <x:v>EU sample</x:v>
      </x:c>
      <x:c r="M130" s="10" t="str">
        <x:v>https://www.sciencespo.fr/college/en/academics/civic-learning-programme/</x:v>
      </x:c>
      <x:c r="N130" s="10" t="str">
        <x:v>Direct eligibility</x:v>
      </x:c>
      <x:c r="O130" s="10" t="str">
        <x:v>Undated page</x:v>
      </x:c>
      <x:c r="P130" s="12" t="d">
        <x:v>2026-10-08T00:00:00.000Z</x:v>
      </x:c>
    </x:row>
    <x:row r="131" ht="116" customHeight="1">
      <x:c r="A131" s="10" t="str">
        <x:v>Germany</x:v>
      </x:c>
      <x:c r="B131" s="11" t="str">
        <x:v>Technical University of Munich</x:v>
      </x:c>
      <x:c r="C131" s="10" t="str">
        <x:v>University-wide</x:v>
      </x:c>
      <x:c r="D131" s="10" t="str">
        <x:v>Live/research project</x:v>
      </x:c>
      <x:c r="E131" s="10" t="str">
        <x:v>TUM Project Weeks</x:v>
      </x:c>
      <x:c r="F131" s="10" t="str">
        <x:v>Central studies / schools</x:v>
      </x:c>
      <x:c r="G131" s="10" t="str">
        <x:v>Elective credit</x:v>
      </x:c>
      <x:c r="H131" s="10" t="str">
        <x:v>Bachelor’s and master’s students; individual projects have target groups</x:v>
      </x:c>
      <x:c r="I131" s="10" t="str">
        <x:v>Interdisciplinary intensive projects tackle sustainability, AI, entrepreneurship and social challenges. 2026/27 catalogue includes all-school options with ECTS.</x:v>
      </x:c>
      <x:c r="J131" s="10" t="str">
        <x:v>University framework plus explicit all-discipline/all-school course eligibility; not every listed project is unrestricted.</x:v>
      </x:c>
      <x:c r="K131" s="10" t="str">
        <x:v>January 2027 project week confirmed</x:v>
      </x:c>
      <x:c r="L131" s="10" t="str">
        <x:v>EU sample</x:v>
      </x:c>
      <x:c r="M131" s="10" t="str">
        <x:v>https://www.tum.de/en/studies/degree-programs/key-skill-programs/project-weeks</x:v>
      </x:c>
      <x:c r="N131" s="10" t="str">
        <x:v>Institutional framework</x:v>
      </x:c>
      <x:c r="O131" s="10" t="str">
        <x:v>Dated 2026/27</x:v>
      </x:c>
      <x:c r="P131" s="12" t="d">
        <x:v>2026-10-08T00:00:00.000Z</x:v>
      </x:c>
    </x:row>
    <x:row r="132" ht="116" customHeight="1">
      <x:c r="A132" s="10" t="str">
        <x:v>Germany</x:v>
      </x:c>
      <x:c r="B132" s="11" t="str">
        <x:v>LMU Munich</x:v>
      </x:c>
      <x:c r="C132" s="10" t="str">
        <x:v>Programme/course</x:v>
      </x:c>
      <x:c r="D132" s="10" t="str">
        <x:v>Live/research project</x:v>
      </x:c>
      <x:c r="E132" s="10" t="str">
        <x:v>el mundo: sustainability in teacher education</x:v>
      </x:c>
      <x:c r="F132" s="10" t="str">
        <x:v>Teacher-education certificate / Geography</x:v>
      </x:c>
      <x:c r="G132" s="10" t="str">
        <x:v>Elective credit</x:v>
      </x:c>
      <x:c r="H132" s="10" t="str">
        <x:v>Teacher-training students across school types and subject combinations</x:v>
      </x:c>
      <x:c r="I132" s="10" t="str">
        <x:v>45-ECTS certificate integrates sustainability, field trips, service learning and partnerships beyond university; programme complements teacher training.</x:v>
      </x:c>
      <x:c r="J132" s="10" t="str">
        <x:v>Specific teacher-education certificate cohort; broad subject combinations do not make it university-wide.</x:v>
      </x:c>
      <x:c r="K132" s="10" t="str">
        <x:v>Official certificate page; intake unverified</x:v>
      </x:c>
      <x:c r="L132" s="10" t="str">
        <x:v>EU sample</x:v>
      </x:c>
      <x:c r="M132" s="10" t="str">
        <x:v>https://www.geo.lmu.de/elmundo/en/infoboxen.html</x:v>
      </x:c>
      <x:c r="N132" s="10" t="str">
        <x:v>Direct eligibility</x:v>
      </x:c>
      <x:c r="O132" s="10" t="str">
        <x:v>Undated page</x:v>
      </x:c>
      <x:c r="P132" s="12" t="d">
        <x:v>2026-10-08T00:00:00.000Z</x:v>
      </x:c>
    </x:row>
    <x:row r="133" ht="116" customHeight="1">
      <x:c r="A133" s="10" t="str">
        <x:v>Germany</x:v>
      </x:c>
      <x:c r="B133" s="11" t="str">
        <x:v>LMU Munich</x:v>
      </x:c>
      <x:c r="C133" s="10" t="str">
        <x:v>University-wide</x:v>
      </x:c>
      <x:c r="D133" s="10" t="str">
        <x:v>Enterprise programme</x:v>
      </x:c>
      <x:c r="E133" s="10" t="str">
        <x:v>impACTup!: Innovation and Entrepreneurship for Better Futures</x:v>
      </x:c>
      <x:c r="F133" s="10" t="str">
        <x:v>LMU Innovation &amp; Entrepreneurship Center</x:v>
      </x:c>
      <x:c r="G133" s="10" t="str">
        <x:v>Elective credit</x:v>
      </x:c>
      <x:c r="H133" s="10" t="str">
        <x:v>All faculties, levels and study programmes</x:v>
      </x:c>
      <x:c r="I133" s="10" t="str">
        <x:v>Online applied innovation course develops impact-enterprise skills, with ECTS and/or certificate options; foundational syllabus describes 3 ECTS.</x:v>
      </x:c>
      <x:c r="J133" s="10" t="str">
        <x:v>Explicit all-faculty eligibility complements the restricted teacher-education example.</x:v>
      </x:c>
      <x:c r="K133" s="10" t="str">
        <x:v>Winter 2026/27 Moodle course confirmed</x:v>
      </x:c>
      <x:c r="L133" s="10" t="str">
        <x:v>EU sample</x:v>
      </x:c>
      <x:c r="M133" s="10" t="str">
        <x:v>https://moodle.lmu.de/course/index.php?categoryid=3592&amp;lang=en
https://cms-cdn.lmu.de/media/lmu/downloads/international/studium/ws25-26_syllabus_impactup_foundational_course_ss25_vhb_eugloh-students.pdf</x:v>
      </x:c>
      <x:c r="N133" s="10" t="str">
        <x:v>Direct eligibility</x:v>
      </x:c>
      <x:c r="O133" s="10" t="str">
        <x:v>Dated 2026/27</x:v>
      </x:c>
      <x:c r="P133" s="12" t="d">
        <x:v>2026-10-08T00:00:00.000Z</x:v>
      </x:c>
    </x:row>
    <x:row r="134" ht="116" customHeight="1">
      <x:c r="A134" s="10" t="str">
        <x:v>Germany</x:v>
      </x:c>
      <x:c r="B134" s="11" t="str">
        <x:v>Heidelberg</x:v>
      </x:c>
      <x:c r="C134" s="10" t="str">
        <x:v>University-wide</x:v>
      </x:c>
      <x:c r="D134" s="10" t="str">
        <x:v>Enterprise programme</x:v>
      </x:c>
      <x:c r="E134" s="10" t="str">
        <x:v>hei_INNOVATION Startup Lab</x:v>
      </x:c>
      <x:c r="F134" s="10" t="str">
        <x:v>hei_INNOVATION transfer / enterprise</x:v>
      </x:c>
      <x:c r="G134" s="10" t="str">
        <x:v>Co-curricular</x:v>
      </x:c>
      <x:c r="H134" s="10" t="str">
        <x:v>Eligible university students and alumni in Baden-Württemberg; selection applies</x:v>
      </x:c>
      <x:c r="I134" s="10" t="str">
        <x:v>Four-week venture-development programme combines workshops, team building, mentoring and coaching with a final pitch.</x:v>
      </x:c>
      <x:c r="J134" s="10" t="str">
        <x:v>Central cross-disciplinary founder programme; explicit student/alumni eligibility, not Heidelberg University in the US.</x:v>
      </x:c>
      <x:c r="K134" s="10" t="str">
        <x:v>March 2026 delivery confirmed</x:v>
      </x:c>
      <x:c r="L134" s="10" t="str">
        <x:v>EU sample</x:v>
      </x:c>
      <x:c r="M134" s="10" t="str">
        <x:v>https://www.uni-heidelberg.de/en/transfer/heiinnovation/startup-lab</x:v>
      </x:c>
      <x:c r="N134" s="10" t="str">
        <x:v>Direct eligibility</x:v>
      </x:c>
      <x:c r="O134" s="10" t="str">
        <x:v>Dated 2026/27</x:v>
      </x:c>
      <x:c r="P134" s="12" t="d">
        <x:v>2026-10-08T00:00:00.000Z</x:v>
      </x:c>
    </x:row>
    <x:row r="135" ht="116" customHeight="1">
      <x:c r="A135" s="10" t="str">
        <x:v>Germany</x:v>
      </x:c>
      <x:c r="B135" s="11" t="str">
        <x:v>RWTH Aachen</x:v>
      </x:c>
      <x:c r="C135" s="10" t="str">
        <x:v>University-wide</x:v>
      </x:c>
      <x:c r="D135" s="10" t="str">
        <x:v>Interdisciplinary curriculum</x:v>
      </x:c>
      <x:c r="E135" s="10" t="str">
        <x:v>Project Leonardo</x:v>
      </x:c>
      <x:c r="F135" s="10" t="str">
        <x:v>Central interdisciplinary teaching / partner departments</x:v>
      </x:c>
      <x:c r="G135" s="10" t="str">
        <x:v>Mixed/varies</x:v>
      </x:c>
      <x:c r="H135" s="10" t="str">
        <x:v>All RWTH students, any degree programme or semester</x:v>
      </x:c>
      <x:c r="I135" s="10" t="str">
        <x:v>Interdisciplinary courses address global challenges; experiential options include theatre, sustainability and clinical perspectives. Credit depends on course and degree approval.</x:v>
      </x:c>
      <x:c r="J135" s="10" t="str">
        <x:v>Explicit all-programme/all-semester eligibility; not every course is a live external-client project.</x:v>
      </x:c>
      <x:c r="K135" s="10" t="str">
        <x:v>Winter 2026/27 catalogue confirmed</x:v>
      </x:c>
      <x:c r="L135" s="10" t="str">
        <x:v>EU sample</x:v>
      </x:c>
      <x:c r="M135" s="10" t="str">
        <x:v>https://www.leonardo.rwth-aachen.de/en/homepage/
https://www.leonardo.rwth-aachen.de/en/the-project/leonardo-for-lecturers/</x:v>
      </x:c>
      <x:c r="N135" s="10" t="str">
        <x:v>Direct eligibility</x:v>
      </x:c>
      <x:c r="O135" s="10" t="str">
        <x:v>Dated 2026/27</x:v>
      </x:c>
      <x:c r="P135" s="12" t="d">
        <x:v>2026-10-08T00:00:00.000Z</x:v>
      </x:c>
    </x:row>
    <x:row r="136" ht="116" customHeight="1">
      <x:c r="A136" s="10" t="str">
        <x:v>Germany</x:v>
      </x:c>
      <x:c r="B136" s="11" t="str">
        <x:v>Karlsruhe Institute of Technology</x:v>
      </x:c>
      <x:c r="C136" s="10" t="str">
        <x:v>University-wide</x:v>
      </x:c>
      <x:c r="D136" s="10" t="str">
        <x:v>International collaboration</x:v>
      </x:c>
      <x:c r="E136" s="10" t="str">
        <x:v>EPICUR En route! cross-border service learning</x:v>
      </x:c>
      <x:c r="F136" s="10" t="str">
        <x:v>FORUM central scientific institution / EPICUR alliance</x:v>
      </x:c>
      <x:c r="G136" s="10" t="str">
        <x:v>Mixed/varies</x:v>
      </x:c>
      <x:c r="H136" s="10" t="str">
        <x:v>Students from EPICUR partner universities; individual admissions apply</x:v>
      </x:c>
      <x:c r="I136" s="10" t="str">
        <x:v>Online learning and reflection accompany civic engagement at partner locations; launched online in 2021, then incorporated in-person service.</x:v>
      </x:c>
      <x:c r="J136" s="10" t="str">
        <x:v>Explicit students from all partner universities; central alliance framework, not one faculty.</x:v>
      </x:c>
      <x:c r="K136" s="10" t="str">
        <x:v>Official page updated August 2026; latest intake unverified</x:v>
      </x:c>
      <x:c r="L136" s="10" t="str">
        <x:v>EU sample</x:v>
      </x:c>
      <x:c r="M136" s="10" t="str">
        <x:v>https://www.forum.kit.edu/english/EPICUR.php</x:v>
      </x:c>
      <x:c r="N136" s="10" t="str">
        <x:v>Institutional framework</x:v>
      </x:c>
      <x:c r="O136" s="10" t="str">
        <x:v>Dated earlier / mixed</x:v>
      </x:c>
      <x:c r="P136" s="12" t="d">
        <x:v>2026-10-08T00:00:00.000Z</x:v>
      </x:c>
    </x:row>
    <x:row r="137" ht="116" customHeight="1">
      <x:c r="A137" s="10" t="str">
        <x:v>Germany</x:v>
      </x:c>
      <x:c r="B137" s="11" t="str">
        <x:v>Humboldt Berlin</x:v>
      </x:c>
      <x:c r="C137" s="10" t="str">
        <x:v>University-wide</x:v>
      </x:c>
      <x:c r="D137" s="10" t="str">
        <x:v>Live/research project</x:v>
      </x:c>
      <x:c r="E137" s="10" t="str">
        <x:v>Q-Teams</x:v>
      </x:c>
      <x:c r="F137" s="10" t="str">
        <x:v>bologna.lab / Q-Programme</x:v>
      </x:c>
      <x:c r="G137" s="10" t="str">
        <x:v>Elective credit</x:v>
      </x:c>
      <x:c r="H137" s="10" t="str">
        <x:v>Bachelor’s and master’s students; team-specific subject preparation</x:v>
      </x:c>
      <x:c r="I137" s="10" t="str">
        <x:v>Small research teams supervised by doctoral/postdoctoral researchers develop questions, undertake research and present outputs over one or two semesters.</x:v>
      </x:c>
      <x:c r="J137" s="10" t="str">
        <x:v>Central university research-learning framework; individual Q-Teams may restrict disciplines.</x:v>
      </x:c>
      <x:c r="K137" s="10" t="str">
        <x:v>2026 course example; framework documents older</x:v>
      </x:c>
      <x:c r="L137" s="10" t="str">
        <x:v>EU sample</x:v>
      </x:c>
      <x:c r="M137" s="10" t="str">
        <x:v>https://bolognalab.hu-berlin.de/en/q-team/call-for-applications/call-for-applications-q-teams_wise22-23.pdf/@@download/file/Call%20for%20Applications%20Q-Teams_WiSe22-23.pdf
https://agnes.hu-berlin.de/lupo/rds?moduleCall=webInfo&amp;publishConfFile=webInfo&amp;publishSubDir=veranstaltung&amp;publishid=225583&amp;state=verpublish&amp;status=init&amp;vmfile=no</x:v>
      </x:c>
      <x:c r="N137" s="10" t="str">
        <x:v>Institutional framework</x:v>
      </x:c>
      <x:c r="O137" s="10" t="str">
        <x:v>Dated 2026/27</x:v>
      </x:c>
      <x:c r="P137" s="12" t="d">
        <x:v>2026-10-08T00:00:00.000Z</x:v>
      </x:c>
    </x:row>
    <x:row r="138" ht="116" customHeight="1">
      <x:c r="A138" s="10" t="str">
        <x:v>Netherlands</x:v>
      </x:c>
      <x:c r="B138" s="11" t="str">
        <x:v>Delft University of Technology</x:v>
      </x:c>
      <x:c r="C138" s="10" t="str">
        <x:v>University-wide</x:v>
      </x:c>
      <x:c r="D138" s="10" t="str">
        <x:v>Live/research project</x:v>
      </x:c>
      <x:c r="E138" s="10" t="str">
        <x:v>Joint Interdisciplinary Project (JIP)</x:v>
      </x:c>
      <x:c r="F138" s="10" t="str">
        <x:v>TU Delft / interdisciplinary master’s programme teams</x:v>
      </x:c>
      <x:c r="G138" s="10" t="str">
        <x:v>Elective credit</x:v>
      </x:c>
      <x:c r="H138" s="10" t="str">
        <x:v>Second-year master’s students; programme approval applies</x:v>
      </x:c>
      <x:c r="I138" s="10" t="str">
        <x:v>Ten-week, 15-ECTS elective brings different disciplines together to solve company research-and-development cases.</x:v>
      </x:c>
      <x:c r="J138" s="10" t="str">
        <x:v>University-hosted research paper describes access for all second-year master’s students; current rules need checking.</x:v>
      </x:c>
      <x:c r="K138" s="10" t="str">
        <x:v>2019–20 delivery evidence; current intake unverified</x:v>
      </x:c>
      <x:c r="L138" s="10" t="str">
        <x:v>EU sample</x:v>
      </x:c>
      <x:c r="M138" s="10" t="str">
        <x:v>https://delta.tudelft.nl/en/article/jip-prepares-students-agile-future
https://repository.tudelft.nl/file/File_4d7bc375-1c67-4fa9-8c76-73b81339b2fe</x:v>
      </x:c>
      <x:c r="N138" s="10" t="str">
        <x:v>Direct eligibility</x:v>
      </x:c>
      <x:c r="O138" s="10" t="str">
        <x:v>Dated earlier / mixed</x:v>
      </x:c>
      <x:c r="P138" s="12" t="d">
        <x:v>2026-10-08T00:00:00.000Z</x:v>
      </x:c>
    </x:row>
    <x:row r="139" ht="116" customHeight="1">
      <x:c r="A139" s="10" t="str">
        <x:v>Netherlands</x:v>
      </x:c>
      <x:c r="B139" s="11" t="str">
        <x:v>Amsterdam</x:v>
      </x:c>
      <x:c r="C139" s="10" t="str">
        <x:v>University-wide</x:v>
      </x:c>
      <x:c r="D139" s="10" t="str">
        <x:v>Interdisciplinary curriculum</x:v>
      </x:c>
      <x:c r="E139" s="10" t="str">
        <x:v>Institute for Interdisciplinary Studies (IIS) electives</x:v>
      </x:c>
      <x:c r="F139" s="10" t="str">
        <x:v>IIS</x:v>
      </x:c>
      <x:c r="G139" s="10" t="str">
        <x:v>Elective credit</x:v>
      </x:c>
      <x:c r="H139" s="10" t="str">
        <x:v>Students and staff from any UvA faculty; external/contract students also possible</x:v>
      </x:c>
      <x:c r="I139" s="10" t="str">
        <x:v>Interdisciplinary electives explore societal questions; practical inquiry and project content depend on the course. Separate research minors involve multidisciplinary projects.</x:v>
      </x:c>
      <x:c r="J139" s="10" t="str">
        <x:v>Explicit any-faculty eligibility; do not treat every elective as experiential client work.</x:v>
      </x:c>
      <x:c r="K139" s="10" t="str">
        <x:v>2026/27 course listing confirmed</x:v>
      </x:c>
      <x:c r="L139" s="10" t="str">
        <x:v>EU sample</x:v>
      </x:c>
      <x:c r="M139" s="10" t="str">
        <x:v>https://iis.uva.nl/en/degree-programmes-courses/iis-courses/iis-courses.html</x:v>
      </x:c>
      <x:c r="N139" s="10" t="str">
        <x:v>Direct eligibility</x:v>
      </x:c>
      <x:c r="O139" s="10" t="str">
        <x:v>Dated 2026/27</x:v>
      </x:c>
      <x:c r="P139" s="12" t="d">
        <x:v>2026-10-08T00:00:00.000Z</x:v>
      </x:c>
    </x:row>
    <x:row r="140" ht="116" customHeight="1">
      <x:c r="A140" s="10" t="str">
        <x:v>Netherlands</x:v>
      </x:c>
      <x:c r="B140" s="11" t="str">
        <x:v>Utrecht</x:v>
      </x:c>
      <x:c r="C140" s="10" t="str">
        <x:v>University-wide</x:v>
      </x:c>
      <x:c r="D140" s="10" t="str">
        <x:v>Live/research project</x:v>
      </x:c>
      <x:c r="E140" s="10" t="str">
        <x:v>Community Engaged Learning (CEL)</x:v>
      </x:c>
      <x:c r="F140" s="10" t="str">
        <x:v>Central CEL / Centre for Academic Teaching and Learning</x:v>
      </x:c>
      <x:c r="G140" s="10" t="str">
        <x:v>Mixed/varies</x:v>
      </x:c>
      <x:c r="H140" s="10" t="str">
        <x:v>Students in participating courses; individual eligibility varies</x:v>
      </x:c>
      <x:c r="I140" s="10" t="str">
        <x:v>Students, lecturers and external organisations work together on shared social issues. Grants and teacher development support curricular implementation.</x:v>
      </x:c>
      <x:c r="J140" s="10" t="str">
        <x:v>University-wide implementation framework and aspiration to embed in every degree; aspiration is not proof every degree already participates.</x:v>
      </x:c>
      <x:c r="K140" s="10" t="str">
        <x:v>2026 programme activity confirmed</x:v>
      </x:c>
      <x:c r="L140" s="10" t="str">
        <x:v>EU sample</x:v>
      </x:c>
      <x:c r="M140" s="10" t="str">
        <x:v>https://www.uu.nl/en/education/community-engaged-learning/about-community-engaged-learning</x:v>
      </x:c>
      <x:c r="N140" s="10" t="str">
        <x:v>Institutional framework</x:v>
      </x:c>
      <x:c r="O140" s="10" t="str">
        <x:v>Dated 2026/27</x:v>
      </x:c>
      <x:c r="P140" s="12" t="d">
        <x:v>2026-10-08T00:00:00.000Z</x:v>
      </x:c>
    </x:row>
    <x:row r="141" ht="116" customHeight="1">
      <x:c r="A141" s="10" t="str">
        <x:v>Netherlands</x:v>
      </x:c>
      <x:c r="B141" s="11" t="str">
        <x:v>Leiden</x:v>
      </x:c>
      <x:c r="C141" s="10" t="str">
        <x:v>University-wide</x:v>
      </x:c>
      <x:c r="D141" s="10" t="str">
        <x:v>Interdisciplinary curriculum</x:v>
      </x:c>
      <x:c r="E141" s="10" t="str">
        <x:v>Bachelor’s Honours Classes</x:v>
      </x:c>
      <x:c r="F141" s="10" t="str">
        <x:v>Honours Academy</x:v>
      </x:c>
      <x:c r="G141" s="10" t="str">
        <x:v>Mixed/varies</x:v>
      </x:c>
      <x:c r="H141" s="10" t="str">
        <x:v>Selected motivated bachelor’s students; year and admission criteria apply</x:v>
      </x:c>
      <x:c r="I141" s="10" t="str">
        <x:v>Five-EC extracurricular academic classes connect disciplines; content may include practical challenges. Courses complement the degree and honours pathways.</x:v>
      </x:c>
      <x:c r="J141" s="10" t="str">
        <x:v>University-wide honours partnership; all-discipline eligibility subject to selection. Extra EC should not be assumed regular degree credit.</x:v>
      </x:c>
      <x:c r="K141" s="10" t="str">
        <x:v>2025/26 catalogue confirmed</x:v>
      </x:c>
      <x:c r="L141" s="10" t="str">
        <x:v>EU sample</x:v>
      </x:c>
      <x:c r="M141" s="10" t="str">
        <x:v>https://studiegids-archief.leidenuniv.nl/studies/10896/bachelor-honours-classes
https://www.organisatiegids.universiteitleiden.nl/binaries/content/assets/honours-academy/reglementen/onderwijsreglement-honours-academy-per-1-sep-2024---english-version.pdf</x:v>
      </x:c>
      <x:c r="N141" s="10" t="str">
        <x:v>Direct eligibility</x:v>
      </x:c>
      <x:c r="O141" s="10" t="str">
        <x:v>Dated earlier / mixed</x:v>
      </x:c>
      <x:c r="P141" s="12" t="d">
        <x:v>2026-10-08T00:00:00.000Z</x:v>
      </x:c>
    </x:row>
    <x:row r="142" ht="116" customHeight="1">
      <x:c r="A142" s="10" t="str">
        <x:v>Netherlands</x:v>
      </x:c>
      <x:c r="B142" s="11" t="str">
        <x:v>Wageningen</x:v>
      </x:c>
      <x:c r="C142" s="10" t="str">
        <x:v>University-wide</x:v>
      </x:c>
      <x:c r="D142" s="10" t="str">
        <x:v>Live/research project</x:v>
      </x:c>
      <x:c r="E142" s="10" t="str">
        <x:v>Academic Consultancy Training (ACT)</x:v>
      </x:c>
      <x:c r="F142" s="10" t="str">
        <x:v>University master’s curriculum</x:v>
      </x:c>
      <x:c r="G142" s="10" t="str">
        <x:v>Mixed/varies</x:v>
      </x:c>
      <x:c r="H142" s="10" t="str">
        <x:v>Master’s students; compulsory in most master’s programmes</x:v>
      </x:c>
      <x:c r="I142" s="10" t="str">
        <x:v>Eight-week consultancy: multidisciplinary teams of five to eight address authentic external-client challenges with academic advisers and a process coach. Named curriculum example carries 9 ECTS.</x:v>
      </x:c>
      <x:c r="J142" s="10" t="str">
        <x:v>Official source says compulsory in most master’s programmes; university framework, not universal across all degrees.</x:v>
      </x:c>
      <x:c r="K142" s="10" t="str">
        <x:v>2026 ACT award and October 2026 case call confirmed</x:v>
      </x:c>
      <x:c r="L142" s="10" t="str">
        <x:v>EU sample</x:v>
      </x:c>
      <x:c r="M142" s="10" t="str">
        <x:v>https://www.wur.nl/en/partner-up-for-impact/collaborate-students/society-based-education/academic-consultancy-training</x:v>
      </x:c>
      <x:c r="N142" s="10" t="str">
        <x:v>Institutional framework</x:v>
      </x:c>
      <x:c r="O142" s="10" t="str">
        <x:v>Dated 2026/27</x:v>
      </x:c>
      <x:c r="P142" s="12" t="d">
        <x:v>2026-10-08T00:00:00.000Z</x:v>
      </x:c>
    </x:row>
    <x:row r="143" ht="116" customHeight="1">
      <x:c r="A143" s="10" t="str">
        <x:v>Belgium</x:v>
      </x:c>
      <x:c r="B143" s="11" t="str">
        <x:v>KU Leuven</x:v>
      </x:c>
      <x:c r="C143" s="10" t="str">
        <x:v>University-wide</x:v>
      </x:c>
      <x:c r="D143" s="10" t="str">
        <x:v>Live/research project</x:v>
      </x:c>
      <x:c r="E143" s="10" t="str">
        <x:v>Service-learning course network</x:v>
      </x:c>
      <x:c r="F143" s="10" t="str">
        <x:v>Central Service-learning team / faculties</x:v>
      </x:c>
      <x:c r="G143" s="10" t="str">
        <x:v>Mixed/varies</x:v>
      </x:c>
      <x:c r="H143" s="10" t="str">
        <x:v>Students in participating courses across academic groups</x:v>
      </x:c>
      <x:c r="I143" s="10" t="str">
        <x:v>Curricular community service, structured reflection and subject learning; list spans humanities, engineering and biomedical faculties. Requirements vary by course.</x:v>
      </x:c>
      <x:c r="J143" s="10" t="str">
        <x:v>Institution-wide support and course network across all three academic groups; not a common compulsory module.</x:v>
      </x:c>
      <x:c r="K143" s="10" t="str">
        <x:v>2026/27 course example; network list partly 2023/24</x:v>
      </x:c>
      <x:c r="L143" s="10" t="str">
        <x:v>EU sample</x:v>
      </x:c>
      <x:c r="M143" s="10" t="str">
        <x:v>https://www.kuleuven.be/english/education/sl/servicelearningatkuleuven/list-of-courses
https://www.kuleuven.be/english/apply/education/sl/whatisservicelearning</x:v>
      </x:c>
      <x:c r="N143" s="10" t="str">
        <x:v>Institutional framework</x:v>
      </x:c>
      <x:c r="O143" s="10" t="str">
        <x:v>Dated 2026/27</x:v>
      </x:c>
      <x:c r="P143" s="12" t="d">
        <x:v>2026-10-08T00:00:00.000Z</x:v>
      </x:c>
    </x:row>
    <x:row r="144" ht="116" customHeight="1">
      <x:c r="A144" s="10" t="str">
        <x:v>Belgium</x:v>
      </x:c>
      <x:c r="B144" s="11" t="str">
        <x:v>Ghent</x:v>
      </x:c>
      <x:c r="C144" s="10" t="str">
        <x:v>University-wide</x:v>
      </x:c>
      <x:c r="D144" s="10" t="str">
        <x:v>Live/research project</x:v>
      </x:c>
      <x:c r="E144" s="10" t="str">
        <x:v>Community Service Learning (CSL) framework</x:v>
      </x:c>
      <x:c r="F144" s="10" t="str">
        <x:v>Central teaching support / participating faculties</x:v>
      </x:c>
      <x:c r="G144" s="10" t="str">
        <x:v>Mixed/varies</x:v>
      </x:c>
      <x:c r="H144" s="10" t="str">
        <x:v>Students in participating courses; admissions differ</x:v>
      </x:c>
      <x:c r="I144" s="10" t="str">
        <x:v>Academic learning and civic engagement combine fieldwork in community organisations with reflection. Official guidance provides examples and curricular design support.</x:v>
      </x:c>
      <x:c r="J144" s="10" t="str">
        <x:v>Central teaching framework applicable across disciplines; specific course availability remains faculty/programme-based.</x:v>
      </x:c>
      <x:c r="K144" s="10" t="str">
        <x:v>Official teaching guidance; intake unverified</x:v>
      </x:c>
      <x:c r="L144" s="10" t="str">
        <x:v>EU sample</x:v>
      </x:c>
      <x:c r="M144" s="10" t="str">
        <x:v>https://www.onderwijstips.ugent.be/en/tips/community-service-learning-de-verbinding-tussen-st/</x:v>
      </x:c>
      <x:c r="N144" s="10" t="str">
        <x:v>Institutional framework</x:v>
      </x:c>
      <x:c r="O144" s="10" t="str">
        <x:v>Undated page</x:v>
      </x:c>
      <x:c r="P144" s="12" t="d">
        <x:v>2026-10-08T00:00:00.000Z</x:v>
      </x:c>
    </x:row>
    <x:row r="145" ht="116" customHeight="1">
      <x:c r="A145" s="10" t="str">
        <x:v>Belgium</x:v>
      </x:c>
      <x:c r="B145" s="11" t="str">
        <x:v>Ghent</x:v>
      </x:c>
      <x:c r="C145" s="10" t="str">
        <x:v>Programme/course</x:v>
      </x:c>
      <x:c r="D145" s="10" t="str">
        <x:v>Live/research project</x:v>
      </x:c>
      <x:c r="E145" s="10" t="str">
        <x:v>Seminar Political Sociology: Community Service Learning</x:v>
      </x:c>
      <x:c r="F145" s="10" t="str">
        <x:v>Department of Sociology</x:v>
      </x:c>
      <x:c r="G145" s="10" t="str">
        <x:v>Elective credit</x:v>
      </x:c>
      <x:c r="H145" s="10" t="str">
        <x:v>Students on the relevant Sociology master’s route</x:v>
      </x:c>
      <x:c r="I145" s="10" t="str">
        <x:v>Five-credit seminar brings community service learning into the political sociology curriculum.</x:v>
      </x:c>
      <x:c r="J145" s="10" t="str">
        <x:v>Named degree-route module; requirements and access follow programme rules.</x:v>
      </x:c>
      <x:c r="K145" s="10" t="str">
        <x:v>2025/26 programme catalogue confirmed</x:v>
      </x:c>
      <x:c r="L145" s="10" t="str">
        <x:v>EU sample</x:v>
      </x:c>
      <x:c r="M145" s="10" t="str">
        <x:v>https://studiekiezer.ugent.be/2025/programmapdf/en/KOMAATSO/6</x:v>
      </x:c>
      <x:c r="N145" s="10" t="str">
        <x:v>Direct eligibility</x:v>
      </x:c>
      <x:c r="O145" s="10" t="str">
        <x:v>Dated earlier / mixed</x:v>
      </x:c>
      <x:c r="P145" s="12" t="d">
        <x:v>2026-10-08T00:00:00.000Z</x:v>
      </x:c>
    </x:row>
    <x:row r="146" ht="116" customHeight="1">
      <x:c r="A146" s="10" t="str">
        <x:v>Ireland</x:v>
      </x:c>
      <x:c r="B146" s="11" t="str">
        <x:v>Trinity College Dublin</x:v>
      </x:c>
      <x:c r="C146" s="10" t="str">
        <x:v>University-wide</x:v>
      </x:c>
      <x:c r="D146" s="10" t="str">
        <x:v>Interdisciplinary curriculum</x:v>
      </x:c>
      <x:c r="E146" s="10" t="str">
        <x:v>Trinity Electives</x:v>
      </x:c>
      <x:c r="F146" s="10" t="str">
        <x:v>Central undergraduate curriculum</x:v>
      </x:c>
      <x:c r="G146" s="10" t="str">
        <x:v>Mixed/varies</x:v>
      </x:c>
      <x:c r="H146" s="10" t="str">
        <x:v>Most eligible undergraduates; many Health Sciences degrees excluded</x:v>
      </x:c>
      <x:c r="I146" s="10" t="str">
        <x:v>Five-ECTS standalone breadth modules address societal, cultural and interdisciplinary themes. Some degrees require electives; practical content varies by module.</x:v>
      </x:c>
      <x:c r="J146" s="10" t="str">
        <x:v>University framework with explicit degree exclusions; university-wide does not mean every programme/student.</x:v>
      </x:c>
      <x:c r="K146" s="10" t="str">
        <x:v>2026/27 timetable and August 2026 update</x:v>
      </x:c>
      <x:c r="L146" s="10" t="str">
        <x:v>EU sample</x:v>
      </x:c>
      <x:c r="M146" s="10" t="str">
        <x:v>https://www.tcd.ie/trinity-electives/information-for-students/</x:v>
      </x:c>
      <x:c r="N146" s="10" t="str">
        <x:v>Institutional framework</x:v>
      </x:c>
      <x:c r="O146" s="10" t="str">
        <x:v>Dated 2026/27</x:v>
      </x:c>
      <x:c r="P146" s="12" t="d">
        <x:v>2026-10-08T00:00:00.000Z</x:v>
      </x:c>
    </x:row>
    <x:row r="147" ht="116" customHeight="1">
      <x:c r="A147" s="10" t="str">
        <x:v>Ireland</x:v>
      </x:c>
      <x:c r="B147" s="11" t="str">
        <x:v>University College Dublin</x:v>
      </x:c>
      <x:c r="C147" s="10" t="str">
        <x:v>University-wide</x:v>
      </x:c>
      <x:c r="D147" s="10" t="str">
        <x:v>Live/research project</x:v>
      </x:c>
      <x:c r="E147" s="10" t="str">
        <x:v>Innovation Academy: Creativity &amp; Innovation, IA20010</x:v>
      </x:c>
      <x:c r="F147" s="10" t="str">
        <x:v>UCD Innovation Academy</x:v>
      </x:c>
      <x:c r="G147" s="10" t="str">
        <x:v>Elective credit</x:v>
      </x:c>
      <x:c r="H147" s="10" t="str">
        <x:v>Students from any discipline; class capacity applies</x:v>
      </x:c>
      <x:c r="I147" s="10" t="str">
        <x:v>Multidisciplinary teams apply design thinking to a real-world problem, with facilitated practice, presentations and reflective assessment.</x:v>
      </x:c>
      <x:c r="J147" s="10" t="str">
        <x:v>2026 module explicitly suitable for any discipline.</x:v>
      </x:c>
      <x:c r="K147" s="10" t="str">
        <x:v>2026 module catalogue confirmed</x:v>
      </x:c>
      <x:c r="L147" s="10" t="str">
        <x:v>EU sample</x:v>
      </x:c>
      <x:c r="M147" s="10" t="str">
        <x:v>https://hub.ucd.ie/usis/!W_HU_MENU.P_PUBLISH?ACYR=2026&amp;MODULE=IA20010&amp;TERMCODE=202600&amp;p_tag=MODULE</x:v>
      </x:c>
      <x:c r="N147" s="10" t="str">
        <x:v>Direct eligibility</x:v>
      </x:c>
      <x:c r="O147" s="10" t="str">
        <x:v>Dated 2026/27</x:v>
      </x:c>
      <x:c r="P147" s="12" t="d">
        <x:v>2026-10-08T00:00:00.000Z</x:v>
      </x:c>
    </x:row>
    <x:row r="148" ht="116" customHeight="1">
      <x:c r="A148" s="10" t="str">
        <x:v>Denmark</x:v>
      </x:c>
      <x:c r="B148" s="11" t="str">
        <x:v>Copenhagen</x:v>
      </x:c>
      <x:c r="C148" s="10" t="str">
        <x:v>University-wide</x:v>
      </x:c>
      <x:c r="D148" s="10" t="str">
        <x:v>Enterprise programme</x:v>
      </x:c>
      <x:c r="E148" s="10" t="str">
        <x:v>UCPH Lighthouse / Lighthouse Launch</x:v>
      </x:c>
      <x:c r="F148" s="10" t="str">
        <x:v>University innovation centre</x:v>
      </x:c>
      <x:c r="G148" s="10" t="str">
        <x:v>Mixed/varies</x:v>
      </x:c>
      <x:c r="H148" s="10" t="str">
        <x:v>All UCPH students, any subject or study stage; programme selection applies</x:v>
      </x:c>
      <x:c r="I148" s="10" t="str">
        <x:v>Practical innovation workshops, idea testing, mentoring, project support and three-month venture-development programme. ECTS innovation-project routes depend on degree approval.</x:v>
      </x:c>
      <x:c r="J148" s="10" t="str">
        <x:v>Official university page explicitly supports all students regardless of subject or progress.</x:v>
      </x:c>
      <x:c r="K148" s="10" t="str">
        <x:v>Official programme page; intake unverified</x:v>
      </x:c>
      <x:c r="L148" s="10" t="str">
        <x:v>EU sample</x:v>
      </x:c>
      <x:c r="M148" s="10" t="str">
        <x:v>https://innovation.ku.dk/english/for-students/
https://lighthouse.ku.dk/en/students/innovation-projects-with-ects/</x:v>
      </x:c>
      <x:c r="N148" s="10" t="str">
        <x:v>Direct eligibility</x:v>
      </x:c>
      <x:c r="O148" s="10" t="str">
        <x:v>Undated page</x:v>
      </x:c>
      <x:c r="P148" s="12" t="d">
        <x:v>2026-10-08T00:00:00.000Z</x:v>
      </x:c>
    </x:row>
    <x:row r="149" ht="116" customHeight="1">
      <x:c r="A149" s="10" t="str">
        <x:v>Denmark</x:v>
      </x:c>
      <x:c r="B149" s="11" t="str">
        <x:v>Aarhus</x:v>
      </x:c>
      <x:c r="C149" s="10" t="str">
        <x:v>University-wide</x:v>
      </x:c>
      <x:c r="D149" s="10" t="str">
        <x:v>Live/research project</x:v>
      </x:c>
      <x:c r="E149" s="10" t="str">
        <x:v>Aarhus Case Competition: Game of Consultancy</x:v>
      </x:c>
      <x:c r="F149" s="10" t="str">
        <x:v>Student-run ACC / university enterprise ecosystem</x:v>
      </x:c>
      <x:c r="G149" s="10" t="str">
        <x:v>Co-curricular</x:v>
      </x:c>
      <x:c r="H149" s="10" t="str">
        <x:v>All Aarhus students for Game of Consultancy; other tracks have separate eligibility</x:v>
      </x:c>
      <x:c r="I149" s="10" t="str">
        <x:v>Time-limited business case solving with consulting partners; workshops and pitching develop applied teamwork and problem solving.</x:v>
      </x:c>
      <x:c r="J149" s="10" t="str">
        <x:v>Organiser explicitly opens Game of Consultancy to all Aarhus students; do not generalise to every competition track.</x:v>
      </x:c>
      <x:c r="K149" s="10" t="str">
        <x:v>March 2026 event confirmed</x:v>
      </x:c>
      <x:c r="L149" s="10" t="str">
        <x:v>EU sample</x:v>
      </x:c>
      <x:c r="M149" s="10" t="str">
        <x:v>https://www.aarhuscasecompetition.com/game-of-consultancy
https://www.aarhuscasecompetition.com/about</x:v>
      </x:c>
      <x:c r="N149" s="10" t="str">
        <x:v>Direct eligibility</x:v>
      </x:c>
      <x:c r="O149" s="10" t="str">
        <x:v>Dated 2026/27</x:v>
      </x:c>
      <x:c r="P149" s="12" t="d">
        <x:v>2026-10-08T00:00:00.000Z</x:v>
      </x:c>
    </x:row>
    <x:row r="150" ht="116" customHeight="1">
      <x:c r="A150" s="10" t="str">
        <x:v>Sweden</x:v>
      </x:c>
      <x:c r="B150" s="11" t="str">
        <x:v>Lund</x:v>
      </x:c>
      <x:c r="C150" s="10" t="str">
        <x:v>University-wide</x:v>
      </x:c>
      <x:c r="D150" s="10" t="str">
        <x:v>Enterprise programme</x:v>
      </x:c>
      <x:c r="E150" s="10" t="str">
        <x:v>VentureLab</x:v>
      </x:c>
      <x:c r="F150" s="10" t="str">
        <x:v>LU Innovation; co-funded by faculties</x:v>
      </x:c>
      <x:c r="G150" s="10" t="str">
        <x:v>Co-curricular</x:v>
      </x:c>
      <x:c r="H150" s="10" t="str">
        <x:v>Students and recent graduates; innovation advice open to all students/researchers</x:v>
      </x:c>
      <x:c r="I150" s="10" t="str">
        <x:v>Idea counselling, venture-development programme, incubator workspace and founder community support testing and developing student ventures.</x:v>
      </x:c>
      <x:c r="J150" s="10" t="str">
        <x:v>Official university innovation page explicitly all-student reach; incubator selection applies.</x:v>
      </x:c>
      <x:c r="K150" s="10" t="str">
        <x:v>2026 events / August 2026 page update</x:v>
      </x:c>
      <x:c r="L150" s="10" t="str">
        <x:v>EU sample</x:v>
      </x:c>
      <x:c r="M150" s="10" t="str">
        <x:v>https://www.innovation.lu.se/en/node/902
https://www.innovation.lu.se/en/students</x:v>
      </x:c>
      <x:c r="N150" s="10" t="str">
        <x:v>Direct eligibility</x:v>
      </x:c>
      <x:c r="O150" s="10" t="str">
        <x:v>Dated 2026/27</x:v>
      </x:c>
      <x:c r="P150" s="12" t="d">
        <x:v>2026-10-08T00:00:00.000Z</x:v>
      </x:c>
    </x:row>
    <x:row r="151" ht="116" customHeight="1">
      <x:c r="A151" s="10" t="str">
        <x:v>Sweden</x:v>
      </x:c>
      <x:c r="B151" s="11" t="str">
        <x:v>KTH Royal Institute of Technology</x:v>
      </x:c>
      <x:c r="C151" s="10" t="str">
        <x:v>University-wide</x:v>
      </x:c>
      <x:c r="D151" s="10" t="str">
        <x:v>Live/research project</x:v>
      </x:c>
      <x:c r="E151" s="10" t="str">
        <x:v>Openlab: Innovations for the Emerging City, MF2065</x:v>
      </x:c>
      <x:c r="F151" s="10" t="str">
        <x:v>KTH / Openlab university partnership</x:v>
      </x:c>
      <x:c r="G151" s="10" t="str">
        <x:v>Elective credit</x:v>
      </x:c>
      <x:c r="H151" s="10" t="str">
        <x:v>Advanced-level master’s students at KTH; partner-university students in shared teams</x:v>
      </x:c>
      <x:c r="I151" s="10" t="str">
        <x:v>15-credit interdisciplinary course develops proposals for city and regional clients addressing growing and sustainable cities; half-time over a semester.</x:v>
      </x:c>
      <x:c r="J151" s="10" t="str">
        <x:v>KTH catalogue opens course to advanced-level master’s students; not restricted to a named school.</x:v>
      </x:c>
      <x:c r="K151" s="10" t="str">
        <x:v>Autumn 2026 offering confirmed</x:v>
      </x:c>
      <x:c r="L151" s="10" t="str">
        <x:v>EU sample</x:v>
      </x:c>
      <x:c r="M151" s="10" t="str">
        <x:v>https://www.kth.se/student/kurser/kurs/MF2065?l=en</x:v>
      </x:c>
      <x:c r="N151" s="10" t="str">
        <x:v>Direct eligibility</x:v>
      </x:c>
      <x:c r="O151" s="10" t="str">
        <x:v>Dated 2026/27</x:v>
      </x:c>
      <x:c r="P151" s="12" t="d">
        <x:v>2026-10-08T00:00:00.000Z</x:v>
      </x:c>
    </x:row>
    <x:row r="152" ht="116" customHeight="1">
      <x:c r="A152" s="10" t="str">
        <x:v>Sweden</x:v>
      </x:c>
      <x:c r="B152" s="11" t="str">
        <x:v>Uppsala</x:v>
      </x:c>
      <x:c r="C152" s="10" t="str">
        <x:v>Not confirmed</x:v>
      </x:c>
      <x:c r="D152" s="10" t="str">
        <x:v>Interdisciplinary curriculum</x:v>
      </x:c>
      <x:c r="E152" s="10" t="str">
        <x:v>CEMUS student-led sustainability courses</x:v>
      </x:c>
      <x:c r="F152" s="10" t="str">
        <x:v>CEMUS; Uppsala / SLU joint environment</x:v>
      </x:c>
      <x:c r="G152" s="10" t="str">
        <x:v>Elective credit</x:v>
      </x:c>
      <x:c r="H152" s="10" t="str">
        <x:v>Eligible students on courses and sustainability packages; admissions apply</x:v>
      </x:c>
      <x:c r="I152" s="10" t="str">
        <x:v>Transdisciplinary sustainability courses are co-created with student coordinators, researchers and societal actors. Applied packages and project content vary.</x:v>
      </x:c>
      <x:c r="J152" s="10" t="str">
        <x:v>Official source establishes transdisciplinary courses, but academic reach across faculties is not established. A joint institutional home alone cannot settle student access.</x:v>
      </x:c>
      <x:c r="K152" s="10" t="str">
        <x:v>Spring 2026 courses confirmed</x:v>
      </x:c>
      <x:c r="L152" s="10" t="str">
        <x:v>EU sample</x:v>
      </x:c>
      <x:c r="M152" s="10" t="str">
        <x:v>https://www.cemus.uu.se/education/</x:v>
      </x:c>
      <x:c r="N152" s="10" t="str">
        <x:v>Unconfirmed reach</x:v>
      </x:c>
      <x:c r="O152" s="10" t="str">
        <x:v>Dated 2026/27</x:v>
      </x:c>
      <x:c r="P152" s="12" t="d">
        <x:v>2026-10-08T00:00:00.000Z</x:v>
      </x:c>
    </x:row>
    <x:row r="153" ht="116" customHeight="1">
      <x:c r="A153" s="10" t="str">
        <x:v>Finland</x:v>
      </x:c>
      <x:c r="B153" s="11" t="str">
        <x:v>Aalto</x:v>
      </x:c>
      <x:c r="C153" s="10" t="str">
        <x:v>University-wide</x:v>
      </x:c>
      <x:c r="D153" s="10" t="str">
        <x:v>Live/research project</x:v>
      </x:c>
      <x:c r="E153" s="10" t="str">
        <x:v>Product Development Project (PdP)</x:v>
      </x:c>
      <x:c r="F153" s="10" t="str">
        <x:v>Aalto Design Factory</x:v>
      </x:c>
      <x:c r="G153" s="10" t="str">
        <x:v>Elective credit</x:v>
      </x:c>
      <x:c r="H153" s="10" t="str">
        <x:v>Master’s students from all backgrounds; selection applies</x:v>
      </x:c>
      <x:c r="I153" s="10" t="str">
        <x:v>Two-semester teams work from an industrial sponsor’s brief to a functioning prototype, culminating in a May gala.</x:v>
      </x:c>
      <x:c r="J153" s="10" t="str">
        <x:v>Explicit all-background master’s eligibility; Engineering/Design/Business are common backgrounds, not exclusive eligibility.</x:v>
      </x:c>
      <x:c r="K153" s="10" t="str">
        <x:v>October 2026 project launch confirmed</x:v>
      </x:c>
      <x:c r="L153" s="10" t="str">
        <x:v>EU sample</x:v>
      </x:c>
      <x:c r="M153" s="10" t="str">
        <x:v>https://www.aalto.fi/en/collaborative-and-industrial-design/product-development-project
https://www.aalto.fi/en/news/from-brief-to-prototype-in-six-hours-pd6-launches-pdp-projects</x:v>
      </x:c>
      <x:c r="N153" s="10" t="str">
        <x:v>Direct eligibility</x:v>
      </x:c>
      <x:c r="O153" s="10" t="str">
        <x:v>Dated 2026/27</x:v>
      </x:c>
      <x:c r="P153" s="12" t="d">
        <x:v>2026-10-08T00:00:00.000Z</x:v>
      </x:c>
    </x:row>
    <x:row r="154" ht="116" customHeight="1">
      <x:c r="A154" s="10" t="str">
        <x:v>Finland</x:v>
      </x:c>
      <x:c r="B154" s="11" t="str">
        <x:v>Helsinki</x:v>
      </x:c>
      <x:c r="C154" s="10" t="str">
        <x:v>University-wide</x:v>
      </x:c>
      <x:c r="D154" s="10" t="str">
        <x:v>Live/research project</x:v>
      </x:c>
      <x:c r="E154" s="10" t="str">
        <x:v>HELSUS Co-Creation Lab</x:v>
      </x:c>
      <x:c r="F154" s="10" t="str">
        <x:v>Helsinki Institute of Sustainability Science</x:v>
      </x:c>
      <x:c r="G154" s="10" t="str">
        <x:v>Elective credit</x:v>
      </x:c>
      <x:c r="H154" s="10" t="str">
        <x:v>Master’s students seeking a thesis topic; thematic relevance and selection apply</x:v>
      </x:c>
      <x:c r="I154" s="10" t="str">
        <x:v>Facilitated co-creation with sustainability partners informs a master’s thesis, with research, interpretation and final presentation stages. Adds to normal thesis seminars.</x:v>
      </x:c>
      <x:c r="J154" s="10" t="str">
        <x:v>Official eligibility addresses Helsinki master’s students generally; relevant field and methods determine admission.</x:v>
      </x:c>
      <x:c r="K154" s="10" t="str">
        <x:v>Latest run October 2024–March 2025; next unverified</x:v>
      </x:c>
      <x:c r="L154" s="10" t="str">
        <x:v>EU sample</x:v>
      </x:c>
      <x:c r="M154" s="10" t="str">
        <x:v>https://www.helsinki.fi/en/helsinki-institute-sustainability-science/helsus-co-creation-lab</x:v>
      </x:c>
      <x:c r="N154" s="10" t="str">
        <x:v>Direct eligibility</x:v>
      </x:c>
      <x:c r="O154" s="10" t="str">
        <x:v>Dated earlier / mixed</x:v>
      </x:c>
      <x:c r="P154" s="12" t="d">
        <x:v>2026-10-08T00:00:00.000Z</x:v>
      </x:c>
    </x:row>
    <x:row r="155" ht="116" customHeight="1">
      <x:c r="A155" s="10" t="str">
        <x:v>Spain</x:v>
      </x:c>
      <x:c r="B155" s="11" t="str">
        <x:v>Barcelona</x:v>
      </x:c>
      <x:c r="C155" s="10" t="str">
        <x:v>Faculty/school</x:v>
      </x:c>
      <x:c r="D155" s="10" t="str">
        <x:v>Live/research project</x:v>
      </x:c>
      <x:c r="E155" s="10" t="str">
        <x:v>Service-learning in Economics and Business</x:v>
      </x:c>
      <x:c r="F155" s="10" t="str">
        <x:v>Faculty of Economics and Business</x:v>
      </x:c>
      <x:c r="G155" s="10" t="str">
        <x:v>Mixed/varies</x:v>
      </x:c>
      <x:c r="H155" s="10" t="str">
        <x:v>Faculty students on participating modules, placements and final projects</x:v>
      </x:c>
      <x:c r="I155" s="10" t="str">
        <x:v>Community service with academic learning can be embedded in required/optional subjects, placements, final projects or recognition-credit programmes.</x:v>
      </x:c>
      <x:c r="J155" s="10" t="str">
        <x:v>Retrieved scheme evidence is faculty-specific; cross-disciplinary methods alone do not establish all-faculty access.</x:v>
      </x:c>
      <x:c r="K155" s="10" t="str">
        <x:v>Official faculty page; intake unverified</x:v>
      </x:c>
      <x:c r="L155" s="10" t="str">
        <x:v>EU sample</x:v>
      </x:c>
      <x:c r="M155" s="10" t="str">
        <x:v>https://web.ub.edu/en/web/facultat-economia-empresa/compromis-social-i-aprenentatge-servei</x:v>
      </x:c>
      <x:c r="N155" s="10" t="str">
        <x:v>Direct eligibility</x:v>
      </x:c>
      <x:c r="O155" s="10" t="str">
        <x:v>Undated page</x:v>
      </x:c>
      <x:c r="P155" s="12" t="d">
        <x:v>2026-10-08T00:00:00.000Z</x:v>
      </x:c>
    </x:row>
    <x:row r="156" ht="116" customHeight="1">
      <x:c r="A156" s="10" t="str">
        <x:v>Spain</x:v>
      </x:c>
      <x:c r="B156" s="11" t="str">
        <x:v>Pompeu Fabra</x:v>
      </x:c>
      <x:c r="C156" s="10" t="str">
        <x:v>Not confirmed</x:v>
      </x:c>
      <x:c r="D156" s="10" t="str">
        <x:v>Live/research project</x:v>
      </x:c>
      <x:c r="E156" s="10" t="str">
        <x:v>HackLab</x:v>
      </x:c>
      <x:c r="F156" s="10" t="str">
        <x:v>University HackLab across three campuses</x:v>
      </x:c>
      <x:c r="G156" s="10" t="str">
        <x:v>Co-curricular</x:v>
      </x:c>
      <x:c r="H156" s="10" t="str">
        <x:v>Students proposing collaborative projects; support/selection applies</x:v>
      </x:c>
      <x:c r="I156" s="10" t="str">
        <x:v>Co-creation, self-learning and peer collaboration in technology, communication and digital arts, with staff support and possible project funding.</x:v>
      </x:c>
      <x:c r="J156" s="10" t="str">
        <x:v>Cross-campus student workshop provision; university reach inferred, no faculty exclusion stated. Academic reach remains Not confirmed until eligibility or institution-wide framework reach is established.</x:v>
      </x:c>
      <x:c r="K156" s="10" t="str">
        <x:v>Official page; intake unverified</x:v>
      </x:c>
      <x:c r="L156" s="10" t="str">
        <x:v>EU sample</x:v>
      </x:c>
      <x:c r="M156" s="10" t="str">
        <x:v>https://www.upf.edu/web/hacklab
https://www.upf.edu/en/web/hacklab/inici/-/asset_publisher/tlv3IC9E5ycz/content/id/157845280</x:v>
      </x:c>
      <x:c r="N156" s="10" t="str">
        <x:v>Unconfirmed reach</x:v>
      </x:c>
      <x:c r="O156" s="10" t="str">
        <x:v>Undated page</x:v>
      </x:c>
      <x:c r="P156" s="12" t="d">
        <x:v>2026-10-08T00:00:00.000Z</x:v>
      </x:c>
    </x:row>
    <x:row r="157" ht="116" customHeight="1">
      <x:c r="A157" s="10" t="str">
        <x:v>Italy</x:v>
      </x:c>
      <x:c r="B157" s="11" t="str">
        <x:v>Politecnico di Milano</x:v>
      </x:c>
      <x:c r="C157" s="10" t="str">
        <x:v>University-wide</x:v>
      </x:c>
      <x:c r="D157" s="10" t="str">
        <x:v>Live/research project</x:v>
      </x:c>
      <x:c r="E157" s="10" t="str">
        <x:v>Alta Scuola Politecnica (ASP)</x:v>
      </x:c>
      <x:c r="F157" s="10" t="str">
        <x:v>Joint Politecnico di Milano / Torino honours programme</x:v>
      </x:c>
      <x:c r="G157" s="10" t="str">
        <x:v>Elective credit</x:v>
      </x:c>
      <x:c r="H157" s="10" t="str">
        <x:v>Selected master’s entrants in Engineering, Architecture and Design</x:v>
      </x:c>
      <x:c r="I157" s="10" t="str">
        <x:v>Two-year interdisciplinary honours programme adds 30 credits alongside the master’s and develops innovation through collaborative projects. Published selection: 90 Milano and 60 Torino students.</x:v>
      </x:c>
      <x:c r="J157" s="10" t="str">
        <x:v>Covers the institution’s three principal academic areas; selective university-level honours programme, not every student.</x:v>
      </x:c>
      <x:c r="K157" s="10" t="str">
        <x:v>Official programme page; intake unverified</x:v>
      </x:c>
      <x:c r="L157" s="10" t="str">
        <x:v>EU sample</x:v>
      </x:c>
      <x:c r="M157" s="10" t="str">
        <x:v>https://www.deib.polimi.it/eng/asp-programme</x:v>
      </x:c>
      <x:c r="N157" s="10" t="str">
        <x:v>Direct eligibility</x:v>
      </x:c>
      <x:c r="O157" s="10" t="str">
        <x:v>Undated page</x:v>
      </x:c>
      <x:c r="P157" s="12" t="d">
        <x:v>2026-10-08T00:00:00.000Z</x:v>
      </x:c>
    </x:row>
    <x:row r="158" ht="116" customHeight="1">
      <x:c r="A158" s="10" t="str">
        <x:v>Spain</x:v>
      </x:c>
      <x:c r="B158" s="11" t="str">
        <x:v>Barcelona</x:v>
      </x:c>
      <x:c r="C158" s="10" t="str">
        <x:v>Cross-faculty</x:v>
      </x:c>
      <x:c r="D158" s="10" t="str">
        <x:v>Live/research project</x:v>
      </x:c>
      <x:c r="E158" s="10" t="str">
        <x:v>UB Service-learning (ApS) coordination network</x:v>
      </x:c>
      <x:c r="F158" s="10" t="str">
        <x:v>Interfaculty ApS working group / faculty coordinators</x:v>
      </x:c>
      <x:c r="G158" s="10" t="str">
        <x:v>Mixed/varies</x:v>
      </x:c>
      <x:c r="H158" s="10" t="str">
        <x:v>Students in participating faculty projects and courses</x:v>
      </x:c>
      <x:c r="I158" s="10" t="str">
        <x:v>Cross-faculty coordination promotes community-based projects integrating service and academic learning; practical delivery remains through faculty modules, placements and final projects.</x:v>
      </x:c>
      <x:c r="J158" s="10" t="str">
        <x:v>University report documents a network of named faculties; this is evidence of cross-faculty coordination, not universal open student access.</x:v>
      </x:c>
      <x:c r="K158" s="10" t="str">
        <x:v>Official report / faculty implementation evidence; current intake unverified</x:v>
      </x:c>
      <x:c r="L158" s="10" t="str">
        <x:v>EU sample</x:v>
      </x:c>
      <x:c r="M158" s="10" t="str">
        <x:v>https://diposit.ub.edu/bitstreams/5b235082-dd8b-4fa7-a433-00c41c5c1a38/download
https://web.ub.edu/en/web/facultat-economia-empresa/compromis-social-i-aprenentatge-servei</x:v>
      </x:c>
      <x:c r="N158" s="10" t="str">
        <x:v>Institutional framework</x:v>
      </x:c>
      <x:c r="O158" s="10" t="str">
        <x:v>Undated page</x:v>
      </x:c>
      <x:c r="P158" s="12" t="d">
        <x:v>2026-10-08T00:00:00.000Z</x:v>
      </x:c>
    </x:row>
  </x:sheetData>
  <x:mergeCells>
    <x:mergeCell ref="A2:F2"/>
    <x:mergeCell ref="A3:F3"/>
    <x:mergeCell ref="A4:F4"/>
  </x:mergeCells>
  <x:conditionalFormatting sqref="C7:C158">
    <x:cfRule type="containsText" dxfId="0" priority="1" operator="containsText" text="Not confirmed"/>
  </x:conditionalFormatting>
  <x:conditionalFormatting sqref="O7:O158">
    <x:cfRule type="containsText" dxfId="1" priority="2" operator="containsText" text="Paused"/>
  </x:conditionalFormatting>
  <x:dataValidations count="3">
    <x:dataValidation type="list" sqref="C7:C158">
      <x:formula1>"University-wide,Cross-faculty,Faculty/school,Programme/course,Not confirmed"</x:formula1>
    </x:dataValidation>
    <x:dataValidation type="list" sqref="D7:D158">
      <x:formula1>"Interdisciplinary curriculum,Live/research project,Placement/WIL,Co-curricular award,Enterprise programme,International collaboration"</x:formula1>
    </x:dataValidation>
    <x:dataValidation type="list" sqref="G7:G158">
      <x:formula1>"Compulsory,Elective credit,Co-curricular,Mixed/varies,Not 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6b4aaa5a7d49a9"/>
  </x:tableParts>
</x:worksheet>
</file>

<file path=xl/worksheets/sheet4.xml><?xml version="1.0" encoding="utf-8"?>
<x:worksheet xmlns:x="http://schemas.openxmlformats.org/spreadsheetml/2006/main">
  <x:sheetPr>
    <x:tabColor rgb="FF203B6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31" hidden="0" customWidth="1"/>
    <x:col min="3" max="3" width="28" hidden="0" customWidth="1"/>
    <x:col min="4" max="4" width="48" hidden="0" customWidth="1"/>
    <x:col min="5" max="5" width="16" hidden="0" customWidth="1"/>
    <x:col min="6" max="6" width="19" hidden="0" customWidth="1"/>
    <x:col min="7" max="7" width="18" hidden="0" customWidth="1"/>
    <x:col min="8" max="8" width="19" hidden="0" customWidth="1"/>
    <x:col min="9" max="9" width="18" hidden="0" customWidth="1"/>
    <x:col min="10" max="10" width="17" hidden="0" customWidth="1"/>
    <x:col min="11" max="11" width="40" hidden="0" customWidth="1"/>
    <x:col min="12" max="12" width="85" hidden="0" customWidth="1"/>
    <x:col min="13" max="13" width="88" hidden="0" customWidth="1"/>
    <x:col min="14" max="14" width="18" hidden="0" customWidth="1"/>
  </x:cols>
  <x:sheetData>
    <x:row r="2" ht="28" customHeight="1">
      <x:c r="A2" s="4" t="str">
        <x:v>Lifelong learning: revenue, growth and other evidence</x:v>
      </x:c>
      <x:c r="B2" s="4" t="str">
        <x:v>Lifelong learning: revenue, growth and other evidence</x:v>
      </x:c>
      <x:c r="C2" s="4" t="str">
        <x:v>Lifelong learning: revenue, growth and other evidence</x:v>
      </x:c>
      <x:c r="D2" s="4" t="str">
        <x:v>Lifelong learning: revenue, growth and other evidence</x:v>
      </x:c>
      <x:c r="E2" s="4" t="str">
        <x:v>Lifelong learning: revenue, growth and other evidence</x:v>
      </x:c>
      <x:c r="F2" s="4" t="str">
        <x:v>Lifelong learning: revenue, growth and other evidence</x:v>
      </x:c>
      <x:c r="G2" s="2"/>
      <x:c r="H2" s="2"/>
      <x:c r="I2" s="2"/>
      <x:c r="J2" s="2"/>
      <x:c r="K2" s="2"/>
      <x:c r="L2" s="2"/>
      <x:c r="M2" s="2"/>
      <x:c r="N2" s="2"/>
    </x:row>
    <x:row r="3" ht="36" customHeight="1">
      <x:c r="A3" s="6" t="str">
        <x:v>Column C contains five evidence types. HESA gives comparable 2024/25 income for all 54 researched UK institutions; original accounts and Australian evidence retained.</x:v>
      </x:c>
      <x:c r="B3" s="6" t="str">
        <x:v>Column C contains five evidence types. HESA gives comparable 2024/25 income for all 54 researched UK institutions; original accounts and Australian evidence retained.</x:v>
      </x:c>
      <x:c r="C3" s="6" t="str">
        <x:v>Column C contains five evidence types. HESA gives comparable 2024/25 income for all 54 researched UK institutions; original accounts and Australian evidence retained.</x:v>
      </x:c>
      <x:c r="D3" s="6" t="str">
        <x:v>Column C contains five evidence types. HESA gives comparable 2024/25 income for all 54 researched UK institutions; original accounts and Australian evidence retained.</x:v>
      </x:c>
      <x:c r="E3" s="6" t="str">
        <x:v>Column C contains five evidence types. HESA gives comparable 2024/25 income for all 54 researched UK institutions; original accounts and Australian evidence retained.</x:v>
      </x:c>
      <x:c r="F3" s="6" t="str">
        <x:v>Column C contains five evidence types. HESA gives comparable 2024/25 income for all 54 researched UK institutions; original accounts and Australian evidence retained.</x:v>
      </x:c>
      <x:c r="G3" s="2"/>
      <x:c r="H3" s="2"/>
      <x:c r="I3" s="2"/>
      <x:c r="J3" s="2"/>
      <x:c r="K3" s="2"/>
      <x:c r="L3" s="2"/>
      <x:c r="M3" s="2"/>
      <x:c r="N3" s="2"/>
    </x:row>
    <x:row r="4" ht="36" customHeight="1">
      <x:c r="A4" s="6" t="str">
        <x:v>Growth is calculated only within matching categories and periods. Do not sum different definitions, reporting entities, periods or currencies. HESA figures link by UKPRN; no HESA growth is implied.</x:v>
      </x:c>
      <x:c r="B4" s="6" t="str">
        <x:v>Growth is calculated only within matching categories and periods. Do not sum different definitions, reporting entities, periods or currencies. HESA figures link by UKPRN; no HESA growth is implied.</x:v>
      </x:c>
      <x:c r="C4" s="6" t="str">
        <x:v>Growth is calculated only within matching categories and periods. Do not sum different definitions, reporting entities, periods or currencies. HESA figures link by UKPRN; no HESA growth is implied.</x:v>
      </x:c>
      <x:c r="D4" s="6" t="str">
        <x:v>Growth is calculated only within matching categories and periods. Do not sum different definitions, reporting entities, periods or currencies. HESA figures link by UKPRN; no HESA growth is implied.</x:v>
      </x:c>
      <x:c r="E4" s="6" t="str">
        <x:v>Growth is calculated only within matching categories and periods. Do not sum different definitions, reporting entities, periods or currencies. HESA figures link by UKPRN; no HESA growth is implied.</x:v>
      </x:c>
      <x:c r="F4" s="6" t="str">
        <x:v>Growth is calculated only within matching categories and periods. Do not sum different definitions, reporting entities, periods or currencies. HESA figures link by UKPRN; no HESA growth is implied.</x:v>
      </x:c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A6" s="9" t="str">
        <x:v>Country</x:v>
      </x:c>
      <x:c r="B6" s="9" t="str">
        <x:v>University</x:v>
      </x:c>
      <x:c r="C6" s="9" t="str">
        <x:v>Evidence type</x:v>
      </x:c>
      <x:c r="D6" s="9" t="str">
        <x:v>Reported metric</x:v>
      </x:c>
      <x:c r="E6" s="9" t="str">
        <x:v>Unit</x:v>
      </x:c>
      <x:c r="F6" s="9" t="str">
        <x:v>Prior period</x:v>
      </x:c>
      <x:c r="G6" s="9" t="str">
        <x:v>Prior value</x:v>
      </x:c>
      <x:c r="H6" s="9" t="str">
        <x:v>Current period</x:v>
      </x:c>
      <x:c r="I6" s="9" t="str">
        <x:v>Current value</x:v>
      </x:c>
      <x:c r="J6" s="9" t="str">
        <x:v>Growth</x:v>
      </x:c>
      <x:c r="K6" s="9" t="str">
        <x:v>Reporting coverage</x:v>
      </x:c>
      <x:c r="L6" s="9" t="str">
        <x:v>Interpretation / limitation</x:v>
      </x:c>
      <x:c r="M6" s="9" t="str">
        <x:v>Primary source</x:v>
      </x:c>
      <x:c r="N6" s="9" t="str">
        <x:v>HESA UKPRN</x:v>
      </x:c>
    </x:row>
    <x:row r="7" ht="110" customHeight="1">
      <x:c r="A7" s="10" t="str">
        <x:v>UK</x:v>
      </x:c>
      <x:c r="B7" s="11" t="str">
        <x:v>Birmingham</x:v>
      </x:c>
      <x:c r="C7" s="10" t="str">
        <x:v>Reported course revenue</x:v>
      </x:c>
      <x:c r="D7" s="10" t="str">
        <x:v>Other courses</x:v>
      </x:c>
      <x:c r="E7" s="10" t="str">
        <x:v>GBP m</x:v>
      </x:c>
      <x:c r="F7" s="10" t="str">
        <x:v>2023/24</x:v>
      </x:c>
      <x:c r="G7" s="19" t="n">
        <x:v>1.92</x:v>
      </x:c>
      <x:c r="H7" s="19" t="str">
        <x:v>2024/25</x:v>
      </x:c>
      <x:c r="I7" s="19" t="n">
        <x:v>6.199</x:v>
      </x:c>
      <x:c r="J7" s="20" t="n">
        <x:f>IF(G7=0,"n.a.",I7/G7-1)</x:f>
        <x:v>2.228645833333333</x:v>
      </x:c>
      <x:c r="K7" s="10" t="str">
        <x:v>Broader fee category</x:v>
      </x:c>
      <x:c r="L7" s="10" t="str">
        <x:v>Large increase in a broader course-fee category. Standalone lifelong-learning income is not separated.</x:v>
      </x:c>
      <x:c r="M7" s="10" t="str">
        <x:v>https://www.birmingham.ac.uk/documents/finance/uob-annual-report-and-accounts-2024-25.pdf</x:v>
      </x:c>
      <x:c r="N7" s="10" t="str">
        <x:v>10006840</x:v>
      </x:c>
    </x:row>
    <x:row r="8" ht="110" customHeight="1">
      <x:c r="A8" s="10" t="str">
        <x:v>UK</x:v>
      </x:c>
      <x:c r="B8" s="11" t="str">
        <x:v>Bristol</x:v>
      </x:c>
      <x:c r="C8" s="10" t="str">
        <x:v>Reported course revenue</x:v>
      </x:c>
      <x:c r="D8" s="10" t="str">
        <x:v>Short course fees</x:v>
      </x:c>
      <x:c r="E8" s="10" t="str">
        <x:v>GBP m</x:v>
      </x:c>
      <x:c r="F8" s="10" t="str">
        <x:v>2023/24</x:v>
      </x:c>
      <x:c r="G8" s="19" t="n">
        <x:v>6.5</x:v>
      </x:c>
      <x:c r="H8" s="19" t="str">
        <x:v>2024/25</x:v>
      </x:c>
      <x:c r="I8" s="19" t="n">
        <x:v>6.2</x:v>
      </x:c>
      <x:c r="J8" s="20" t="n">
        <x:f>IF(G8=0,"n.a.",I8/G8-1)</x:f>
        <x:v>-0.0461538461538461</x:v>
      </x:c>
      <x:c r="K8" s="10" t="str">
        <x:v>Consolidated</x:v>
      </x:c>
      <x:c r="L8" s="10" t="str">
        <x:v>Note 1. Excludes separately reported research training support. Not necessarily the whole lifelong-learning portfolio.</x:v>
      </x:c>
      <x:c r="M8" s="10" t="str">
        <x:v>https://www.bristol.ac.uk/media-library/sites/finance/documents/UoB_ARFS2025_WEB.pdf</x:v>
      </x:c>
      <x:c r="N8" s="10" t="str">
        <x:v>10007786</x:v>
      </x:c>
    </x:row>
    <x:row r="9" ht="110" customHeight="1">
      <x:c r="A9" s="10" t="str">
        <x:v>UK</x:v>
      </x:c>
      <x:c r="B9" s="11" t="str">
        <x:v>Cambridge</x:v>
      </x:c>
      <x:c r="C9" s="10" t="str">
        <x:v>Reported course revenue</x:v>
      </x:c>
      <x:c r="D9" s="10" t="str">
        <x:v>ICE academic fee income</x:v>
      </x:c>
      <x:c r="E9" s="10" t="str">
        <x:v>GBP m</x:v>
      </x:c>
      <x:c r="F9" s="10" t="str">
        <x:v>2022/23</x:v>
      </x:c>
      <x:c r="G9" s="19" t="n">
        <x:v>7.721</x:v>
      </x:c>
      <x:c r="H9" s="19" t="str">
        <x:v>2023/24</x:v>
      </x:c>
      <x:c r="I9" s="19" t="n">
        <x:v>8.946</x:v>
      </x:c>
      <x:c r="J9" s="20" t="n">
        <x:f>IF(G9=0,"n.a.",I9/G9-1)</x:f>
        <x:v>0.15865820489573879</x:v>
      </x:c>
      <x:c r="K9" s="10" t="str">
        <x:v>Institute for Continuing Education</x:v>
      </x:c>
      <x:c r="L9" s="10" t="str">
        <x:v>Institute only. Includes award and non-award study. 2023/24 evidence, not the latest university-wide total.</x:v>
      </x:c>
      <x:c r="M9" s="10" t="str">
        <x:v>https://www.pace.cam.ac.uk/sites/default/files/2026-07/ICE%20Annual%20Report%20202324.pdf</x:v>
      </x:c>
      <x:c r="N9" s="10" t="str">
        <x:v>10007788</x:v>
      </x:c>
    </x:row>
    <x:row r="10" ht="110" customHeight="1">
      <x:c r="A10" s="10" t="str">
        <x:v>UK</x:v>
      </x:c>
      <x:c r="B10" s="11" t="str">
        <x:v>Cardiff</x:v>
      </x:c>
      <x:c r="C10" s="10" t="str">
        <x:v>Reported course revenue</x:v>
      </x:c>
      <x:c r="D10" s="10" t="str">
        <x:v>External CPD income</x:v>
      </x:c>
      <x:c r="E10" s="10" t="str">
        <x:v>GBP m</x:v>
      </x:c>
      <x:c r="F10" s="10" t="str">
        <x:v>2021/22</x:v>
      </x:c>
      <x:c r="G10" s="19" t="n">
        <x:v>7.209159</x:v>
      </x:c>
      <x:c r="H10" s="19" t="str">
        <x:v>2022/23</x:v>
      </x:c>
      <x:c r="I10" s="19" t="n">
        <x:v>7.903582</x:v>
      </x:c>
      <x:c r="J10" s="20" t="n">
        <x:f>IF(G10=0,"n.a.",I10/G10-1)</x:f>
        <x:v>0.0963251053278198</x:v>
      </x:c>
      <x:c r="K10" s="10" t="str">
        <x:v>University HE-BCI CPD return</x:v>
      </x:c>
      <x:c r="L10" s="10" t="str">
        <x:v>CPD Unit Review 2023. Report rounds growth to 10%. Actual values imply 9.6%. Older evidence. Learner hours fell 5%.</x:v>
      </x:c>
      <x:c r="M10" s="10" t="str">
        <x:v>https://www.cardiff.ac.uk/__data/assets/pdf_file/0007/2806738/Annual-Review-English-2023.pdf</x:v>
      </x:c>
      <x:c r="N10" s="10" t="str">
        <x:v>10007814</x:v>
      </x:c>
    </x:row>
    <x:row r="11" ht="110" customHeight="1">
      <x:c r="A11" s="10" t="str">
        <x:v>UK</x:v>
      </x:c>
      <x:c r="B11" s="11" t="str">
        <x:v>Durham</x:v>
      </x:c>
      <x:c r="C11" s="10" t="str">
        <x:v>No numeric evidence</x:v>
      </x:c>
      <x:c r="D11" s="10" t="str">
        <x:v>Additional accounts category unverified</x:v>
      </x:c>
      <x:c r="E11" s="10" t="str">
        <x:v>GBP m</x:v>
      </x:c>
      <x:c r="F11" s="10" t="str">
        <x:v>n.a.</x:v>
      </x:c>
      <x:c r="G11" s="19" t="str">
        <x:v>n.a.</x:v>
      </x:c>
      <x:c r="H11" s="19" t="str">
        <x:v>n.a.</x:v>
      </x:c>
      <x:c r="I11" s="19" t="str">
        <x:v>n.a.</x:v>
      </x:c>
      <x:c r="J11" s="20" t="str">
        <x:v>n.a.</x:v>
      </x:c>
      <x:c r="K11" s="10" t="str">
        <x:v>Evidence gap</x:v>
      </x:c>
      <x:c r="L11" s="10" t="str">
        <x:v>Supplementary accounts evidence; comparable CPD/CE income is in the HESA row. Professional short courses and executive education exist. No separate revenue or growth figure confirmed in this scan.</x:v>
      </x:c>
      <x:c r="M11" s="10" t="str">
        <x:v>https://dur.ac.uk/departments/academic/psychology/short-courses/</x:v>
      </x:c>
      <x:c r="N11" s="10" t="str">
        <x:v>10007143</x:v>
      </x:c>
    </x:row>
    <x:row r="12" ht="110" customHeight="1">
      <x:c r="A12" s="10" t="str">
        <x:v>UK</x:v>
      </x:c>
      <x:c r="B12" s="11" t="str">
        <x:v>Edinburgh</x:v>
      </x:c>
      <x:c r="C12" s="10" t="str">
        <x:v>Reported course revenue</x:v>
      </x:c>
      <x:c r="D12" s="10" t="str">
        <x:v>Short course and other fees / support grants</x:v>
      </x:c>
      <x:c r="E12" s="10" t="str">
        <x:v>GBP m</x:v>
      </x:c>
      <x:c r="F12" s="10" t="str">
        <x:v>2023/24</x:v>
      </x:c>
      <x:c r="G12" s="19" t="n">
        <x:v>6.3</x:v>
      </x:c>
      <x:c r="H12" s="19" t="str">
        <x:v>2024/25</x:v>
      </x:c>
      <x:c r="I12" s="19" t="n">
        <x:v>7</x:v>
      </x:c>
      <x:c r="J12" s="20" t="n">
        <x:f>IF(G12=0,"n.a.",I12/G12-1)</x:f>
        <x:v>0.11111111111111116</x:v>
      </x:c>
      <x:c r="K12" s="10" t="str">
        <x:v>Consolidated and institution</x:v>
      </x:c>
      <x:c r="L12" s="10" t="str">
        <x:v>Non-credit-bearing category combines short courses with other fees and support grants. Broader than a pure CPD total.</x:v>
      </x:c>
      <x:c r="M12" s="10" t="str">
        <x:v>https://uoe-finance.ed.ac.uk/sites/default/files/2026-01/Annual%20Report%20and%20Accounts%20for%202024/25.pdf</x:v>
      </x:c>
      <x:c r="N12" s="10" t="str">
        <x:v>10007790</x:v>
      </x:c>
    </x:row>
    <x:row r="13" ht="110" customHeight="1">
      <x:c r="A13" s="10" t="str">
        <x:v>UK</x:v>
      </x:c>
      <x:c r="B13" s="11" t="str">
        <x:v>Exeter</x:v>
      </x:c>
      <x:c r="C13" s="10" t="str">
        <x:v>No numeric evidence</x:v>
      </x:c>
      <x:c r="D13" s="10" t="str">
        <x:v>Additional accounts category unverified</x:v>
      </x:c>
      <x:c r="E13" s="10" t="str">
        <x:v>GBP m</x:v>
      </x:c>
      <x:c r="F13" s="10" t="str">
        <x:v>n.a.</x:v>
      </x:c>
      <x:c r="G13" s="19" t="str">
        <x:v>n.a.</x:v>
      </x:c>
      <x:c r="H13" s="19" t="str">
        <x:v>n.a.</x:v>
      </x:c>
      <x:c r="I13" s="19" t="str">
        <x:v>n.a.</x:v>
      </x:c>
      <x:c r="J13" s="20" t="str">
        <x:v>n.a.</x:v>
      </x:c>
      <x:c r="K13" s="10" t="str">
        <x:v>Evidence gap</x:v>
      </x:c>
      <x:c r="L13" s="10" t="str">
        <x:v>Supplementary accounts evidence; comparable CPD/CE income is in the HESA row. Financial statements identified. A separate lifelong-learning revenue or growth figure was not confirmed.</x:v>
      </x:c>
      <x:c r="M13" s="10" t="str">
        <x:v>https://www.exeter.ac.uk/departments/finance/aboutus/financialstatements/</x:v>
      </x:c>
      <x:c r="N13" s="10" t="str">
        <x:v>10007792</x:v>
      </x:c>
    </x:row>
    <x:row r="14" ht="110" customHeight="1">
      <x:c r="A14" s="10" t="str">
        <x:v>UK</x:v>
      </x:c>
      <x:c r="B14" s="11" t="str">
        <x:v>Glasgow</x:v>
      </x:c>
      <x:c r="C14" s="10" t="str">
        <x:v>Reported course revenue</x:v>
      </x:c>
      <x:c r="D14" s="10" t="str">
        <x:v>Short courses</x:v>
      </x:c>
      <x:c r="E14" s="10" t="str">
        <x:v>GBP m</x:v>
      </x:c>
      <x:c r="F14" s="10" t="str">
        <x:v>2023/24</x:v>
      </x:c>
      <x:c r="G14" s="19" t="n">
        <x:v>5.6</x:v>
      </x:c>
      <x:c r="H14" s="19" t="str">
        <x:v>2024/25</x:v>
      </x:c>
      <x:c r="I14" s="19" t="n">
        <x:v>6.3</x:v>
      </x:c>
      <x:c r="J14" s="20" t="n">
        <x:f>IF(G14=0,"n.a.",I14/G14-1)</x:f>
        <x:v>0.125</x:v>
      </x:c>
      <x:c r="K14" s="10" t="str">
        <x:v>University financial statements</x:v>
      </x:c>
      <x:c r="L14" s="10" t="str">
        <x:v>Note 1. Revenue category, not profit or a student-participation measure.</x:v>
      </x:c>
      <x:c r="M14" s="10" t="str">
        <x:v>https://www.gla.ac.uk/media/Media_1230503_smxx.pdf</x:v>
      </x:c>
      <x:c r="N14" s="10" t="str">
        <x:v>10007794</x:v>
      </x:c>
    </x:row>
    <x:row r="15" ht="110" customHeight="1">
      <x:c r="A15" s="10" t="str">
        <x:v>UK</x:v>
      </x:c>
      <x:c r="B15" s="11" t="str">
        <x:v>Imperial College London</x:v>
      </x:c>
      <x:c r="C15" s="10" t="str">
        <x:v>Reported course revenue</x:v>
      </x:c>
      <x:c r="D15" s="10" t="str">
        <x:v>Short course fees</x:v>
      </x:c>
      <x:c r="E15" s="10" t="str">
        <x:v>GBP m</x:v>
      </x:c>
      <x:c r="F15" s="10" t="str">
        <x:v>2023/24</x:v>
      </x:c>
      <x:c r="G15" s="19" t="n">
        <x:v>17.3</x:v>
      </x:c>
      <x:c r="H15" s="19" t="str">
        <x:v>2024/25</x:v>
      </x:c>
      <x:c r="I15" s="19" t="n">
        <x:v>20.9</x:v>
      </x:c>
      <x:c r="J15" s="20" t="n">
        <x:f>IF(G15=0,"n.a.",I15/G15-1)</x:f>
        <x:v>0.20809248554913284</x:v>
      </x:c>
      <x:c r="K15" s="10" t="str">
        <x:v>Consolidated</x:v>
      </x:c>
      <x:c r="L15" s="10" t="str">
        <x:v>Note 1. University-only figure is £21.2m in 2025. Uses consolidated values consistently.</x:v>
      </x:c>
      <x:c r="M15" s="10" t="str">
        <x:v>https://www.imperial.ac.uk/media/imperial-college/administration-and-support-services/finance/public/Annual_Report_2024-25_web.pdf</x:v>
      </x:c>
      <x:c r="N15" s="10" t="str">
        <x:v>10003270</x:v>
      </x:c>
    </x:row>
    <x:row r="16" ht="110" customHeight="1">
      <x:c r="A16" s="10" t="str">
        <x:v>UK</x:v>
      </x:c>
      <x:c r="B16" s="11" t="str">
        <x:v>King’s College London</x:v>
      </x:c>
      <x:c r="C16" s="10" t="str">
        <x:v>Reported course revenue</x:v>
      </x:c>
      <x:c r="D16" s="10" t="str">
        <x:v>Special and short course fees</x:v>
      </x:c>
      <x:c r="E16" s="10" t="str">
        <x:v>GBP m</x:v>
      </x:c>
      <x:c r="F16" s="10" t="str">
        <x:v>2023/24</x:v>
      </x:c>
      <x:c r="G16" s="19" t="n">
        <x:v>42.444</x:v>
      </x:c>
      <x:c r="H16" s="19" t="str">
        <x:v>2024/25</x:v>
      </x:c>
      <x:c r="I16" s="19" t="n">
        <x:v>49.153</x:v>
      </x:c>
      <x:c r="J16" s="20" t="n">
        <x:f>IF(G16=0,"n.a.",I16/G16-1)</x:f>
        <x:v>0.15806710017905945</x:v>
      </x:c>
      <x:c r="K16" s="10" t="str">
        <x:v>Consolidated and university</x:v>
      </x:c>
      <x:c r="L16" s="10" t="str">
        <x:v>Note 1. Special and short courses are combined. Not a standalone lifelong-learning division total.</x:v>
      </x:c>
      <x:c r="M16" s="10" t="str">
        <x:v>https://www.kcl.ac.uk/assets/pdf24/financial-statements-2024-25.pdf</x:v>
      </x:c>
      <x:c r="N16" s="10" t="str">
        <x:v>10003645</x:v>
      </x:c>
    </x:row>
    <x:row r="17" ht="110" customHeight="1">
      <x:c r="A17" s="10" t="str">
        <x:v>UK</x:v>
      </x:c>
      <x:c r="B17" s="11" t="str">
        <x:v>Leeds</x:v>
      </x:c>
      <x:c r="C17" s="10" t="str">
        <x:v>Reported course revenue</x:v>
      </x:c>
      <x:c r="D17" s="10" t="str">
        <x:v>Short course fees</x:v>
      </x:c>
      <x:c r="E17" s="10" t="str">
        <x:v>GBP m</x:v>
      </x:c>
      <x:c r="F17" s="10" t="str">
        <x:v>2023/24</x:v>
      </x:c>
      <x:c r="G17" s="19" t="n">
        <x:v>19.054</x:v>
      </x:c>
      <x:c r="H17" s="19" t="str">
        <x:v>2024/25</x:v>
      </x:c>
      <x:c r="I17" s="19" t="n">
        <x:v>20.669</x:v>
      </x:c>
      <x:c r="J17" s="20" t="n">
        <x:f>IF(G17=0,"n.a.",I17/G17-1)</x:f>
        <x:v>0.08475910569959066</x:v>
      </x:c>
      <x:c r="K17" s="10" t="str">
        <x:v>Consolidated</x:v>
      </x:c>
      <x:c r="L17" s="10" t="str">
        <x:v>Note 1. Uses group values. Research training support and other fees are excluded.</x:v>
      </x:c>
      <x:c r="M17" s="10" t="str">
        <x:v>https://www.leeds.ac.uk/download/downloads/id/3533/annual-report-and-accounts-2024-25.pdf</x:v>
      </x:c>
      <x:c r="N17" s="10" t="str">
        <x:v>10007795</x:v>
      </x:c>
    </x:row>
    <x:row r="18" ht="110" customHeight="1">
      <x:c r="A18" s="10" t="str">
        <x:v>UK</x:v>
      </x:c>
      <x:c r="B18" s="11" t="str">
        <x:v>Liverpool</x:v>
      </x:c>
      <x:c r="C18" s="10" t="str">
        <x:v>Reported course revenue</x:v>
      </x:c>
      <x:c r="D18" s="10" t="str">
        <x:v>Special courses</x:v>
      </x:c>
      <x:c r="E18" s="10" t="str">
        <x:v>GBP m</x:v>
      </x:c>
      <x:c r="F18" s="10" t="str">
        <x:v>2023/24</x:v>
      </x:c>
      <x:c r="G18" s="19" t="n">
        <x:v>12.2</x:v>
      </x:c>
      <x:c r="H18" s="19" t="str">
        <x:v>2024/25</x:v>
      </x:c>
      <x:c r="I18" s="19" t="n">
        <x:v>12.1</x:v>
      </x:c>
      <x:c r="J18" s="20" t="n">
        <x:f>IF(G18=0,"n.a.",I18/G18-1)</x:f>
        <x:v>-0.008196721311475419</x:v>
      </x:c>
      <x:c r="K18" s="10" t="str">
        <x:v>Consolidated</x:v>
      </x:c>
      <x:c r="L18" s="10" t="str">
        <x:v>Note 2. Broader special-course category. Not verified as a pure CPD or continuing-education total.</x:v>
      </x:c>
      <x:c r="M18" s="10" t="str">
        <x:v>https://www.liverpool.ac.uk/media/livacuk/finance/financial-statements-2024-2025.pdf</x:v>
      </x:c>
      <x:c r="N18" s="10" t="str">
        <x:v>10006842</x:v>
      </x:c>
    </x:row>
    <x:row r="19" ht="110" customHeight="1">
      <x:c r="A19" s="10" t="str">
        <x:v>UK</x:v>
      </x:c>
      <x:c r="B19" s="11" t="str">
        <x:v>London School of Economics</x:v>
      </x:c>
      <x:c r="C19" s="10" t="str">
        <x:v>Reported course revenue</x:v>
      </x:c>
      <x:c r="D19" s="10" t="str">
        <x:v>Non-qualifying-course fees</x:v>
      </x:c>
      <x:c r="E19" s="10" t="str">
        <x:v>GBP m</x:v>
      </x:c>
      <x:c r="F19" s="10" t="str">
        <x:v>2023/24</x:v>
      </x:c>
      <x:c r="G19" s="19" t="n">
        <x:v>40.865</x:v>
      </x:c>
      <x:c r="H19" s="19" t="str">
        <x:v>2024/25</x:v>
      </x:c>
      <x:c r="I19" s="19" t="n">
        <x:v>42.373</x:v>
      </x:c>
      <x:c r="J19" s="20" t="n">
        <x:f>IF(G19=0,"n.a.",I19/G19-1)</x:f>
        <x:v>0.03690199437171171</x:v>
      </x:c>
      <x:c r="K19" s="10" t="str">
        <x:v>Group</x:v>
      </x:c>
      <x:c r="L19" s="10" t="str">
        <x:v>Accounts category is a proxy, not an isolated Lifelong Learning Division total. Summer School and other non-qualifying provision may be included.</x:v>
      </x:c>
      <x:c r="M19" s="10" t="str">
        <x:v>https://info.lse.ac.uk/staff/divisions/Finance-Division/assets/annual-accounts/PDF/LSE-Financial-Statements-FY-24-25-FINAL-Signatures-Redacted.pdf</x:v>
      </x:c>
      <x:c r="N19" s="10" t="str">
        <x:v>10004063</x:v>
      </x:c>
    </x:row>
    <x:row r="20" ht="110" customHeight="1">
      <x:c r="A20" s="10" t="str">
        <x:v>UK</x:v>
      </x:c>
      <x:c r="B20" s="11" t="str">
        <x:v>London School of Economics</x:v>
      </x:c>
      <x:c r="C20" s="10" t="str">
        <x:v>Participation</x:v>
      </x:c>
      <x:c r="D20" s="10" t="str">
        <x:v>Online student numbers</x:v>
      </x:c>
      <x:c r="E20" s="10" t="str">
        <x:v>Enrolments</x:v>
      </x:c>
      <x:c r="F20" s="10" t="str">
        <x:v>2023/24</x:v>
      </x:c>
      <x:c r="G20" s="18" t="n">
        <x:v>10213</x:v>
      </x:c>
      <x:c r="H20" s="18" t="str">
        <x:v>2024/25</x:v>
      </x:c>
      <x:c r="I20" s="18" t="n">
        <x:v>9230</x:v>
      </x:c>
      <x:c r="J20" s="20" t="n">
        <x:f>IF(G20=0,"n.a.",I20/G20-1)</x:f>
        <x:v>-0.09624987760697146</x:v>
      </x:c>
      <x:c r="K20" s="10" t="str">
        <x:v>Participation, not revenue</x:v>
      </x:c>
      <x:c r="L20" s="10" t="str">
        <x:v>Uses the 2024/25 report’s own 2023/24 comparative for a consistent series. This online student-number category is separate from revenue.</x:v>
      </x:c>
      <x:c r="M20" s="10" t="str">
        <x:v>https://info.lse.ac.uk/staff/divisions/Finance-Division/assets/annual-accounts/PDF/LSE-Financial-Statements-FY-24-25-FINAL-Signatures-Redacted.pdf</x:v>
      </x:c>
      <x:c r="N20" s="10" t="str">
        <x:v>10004063</x:v>
      </x:c>
    </x:row>
    <x:row r="21" ht="110" customHeight="1">
      <x:c r="A21" s="10" t="str">
        <x:v>UK</x:v>
      </x:c>
      <x:c r="B21" s="11" t="str">
        <x:v>Manchester</x:v>
      </x:c>
      <x:c r="C21" s="10" t="str">
        <x:v>Reported course revenue</x:v>
      </x:c>
      <x:c r="D21" s="10" t="str">
        <x:v>Short course fees</x:v>
      </x:c>
      <x:c r="E21" s="10" t="str">
        <x:v>GBP m</x:v>
      </x:c>
      <x:c r="F21" s="10" t="str">
        <x:v>2023/24</x:v>
      </x:c>
      <x:c r="G21" s="19" t="n">
        <x:v>27.334</x:v>
      </x:c>
      <x:c r="H21" s="19" t="str">
        <x:v>2024/25</x:v>
      </x:c>
      <x:c r="I21" s="19" t="n">
        <x:v>28.053</x:v>
      </x:c>
      <x:c r="J21" s="20" t="n">
        <x:f>IF(G21=0,"n.a.",I21/G21-1)</x:f>
        <x:v>0.02630423648203717</x:v>
      </x:c>
      <x:c r="K21" s="10" t="str">
        <x:v>Consolidated</x:v>
      </x:c>
      <x:c r="L21" s="10" t="str">
        <x:v>Note 1. Exact audited values rather than rounded infographic values.</x:v>
      </x:c>
      <x:c r="M21" s="10" t="str">
        <x:v>https://documents.manchester.ac.uk/display.aspx?DocID=78079</x:v>
      </x:c>
      <x:c r="N21" s="10" t="str">
        <x:v>10007798</x:v>
      </x:c>
    </x:row>
    <x:row r="22" ht="110" customHeight="1">
      <x:c r="A22" s="10" t="str">
        <x:v>UK</x:v>
      </x:c>
      <x:c r="B22" s="11" t="str">
        <x:v>Newcastle</x:v>
      </x:c>
      <x:c r="C22" s="10" t="str">
        <x:v>Reported course revenue</x:v>
      </x:c>
      <x:c r="D22" s="10" t="str">
        <x:v>Short courses</x:v>
      </x:c>
      <x:c r="E22" s="10" t="str">
        <x:v>GBP m</x:v>
      </x:c>
      <x:c r="F22" s="10" t="str">
        <x:v>2023/24</x:v>
      </x:c>
      <x:c r="G22" s="19" t="n">
        <x:v>3.9</x:v>
      </x:c>
      <x:c r="H22" s="19" t="str">
        <x:v>2024/25</x:v>
      </x:c>
      <x:c r="I22" s="19" t="n">
        <x:v>4</x:v>
      </x:c>
      <x:c r="J22" s="20" t="n">
        <x:f>IF(G22=0,"n.a.",I22/G22-1)</x:f>
        <x:v>0.025641025641025772</x:v>
      </x:c>
      <x:c r="K22" s="10" t="str">
        <x:v>Consolidated</x:v>
      </x:c>
      <x:c r="L22" s="10" t="str">
        <x:v>University-only 2024 value is £3.8m. Uses consistent group values for growth.</x:v>
      </x:c>
      <x:c r="M22" s="10" t="str">
        <x:v>https://www.ncl.ac.uk/mediav8/freedom-of-information/files/IAR-2425.pdf</x:v>
      </x:c>
      <x:c r="N22" s="10" t="str">
        <x:v>10007799</x:v>
      </x:c>
    </x:row>
    <x:row r="23" ht="110" customHeight="1">
      <x:c r="A23" s="10" t="str">
        <x:v>UK</x:v>
      </x:c>
      <x:c r="B23" s="11" t="str">
        <x:v>Nottingham</x:v>
      </x:c>
      <x:c r="C23" s="10" t="str">
        <x:v>Reported course revenue</x:v>
      </x:c>
      <x:c r="D23" s="10" t="str">
        <x:v>Non-qualifying-course fees</x:v>
      </x:c>
      <x:c r="E23" s="10" t="str">
        <x:v>GBP m</x:v>
      </x:c>
      <x:c r="F23" s="10" t="str">
        <x:v>2023/24</x:v>
      </x:c>
      <x:c r="G23" s="19" t="n">
        <x:v>5.7</x:v>
      </x:c>
      <x:c r="H23" s="19" t="str">
        <x:v>2024/25</x:v>
      </x:c>
      <x:c r="I23" s="19" t="n">
        <x:v>5.2</x:v>
      </x:c>
      <x:c r="J23" s="20" t="n">
        <x:f>IF(G23=0,"n.a.",I23/G23-1)</x:f>
        <x:v>-0.08771929824561409</x:v>
      </x:c>
      <x:c r="K23" s="10" t="str">
        <x:v>Broader fee category</x:v>
      </x:c>
      <x:c r="L23" s="10" t="str">
        <x:v>Note 4. Proxy only. Larger non-credit-bearing courses and other-fees line is £23.4m and is not substituted for lifelong-learning income.</x:v>
      </x:c>
      <x:c r="M23" s="10" t="str">
        <x:v>https://www.nottingham.ac.uk/fabs/finance/documents/financialstatements/2025-university-of-nottingham-report-accounts-signed.pdf</x:v>
      </x:c>
      <x:c r="N23" s="10" t="str">
        <x:v>10007154</x:v>
      </x:c>
    </x:row>
    <x:row r="24" ht="110" customHeight="1">
      <x:c r="A24" s="10" t="str">
        <x:v>UK</x:v>
      </x:c>
      <x:c r="B24" s="11" t="str">
        <x:v>Oxford</x:v>
      </x:c>
      <x:c r="C24" s="10" t="str">
        <x:v>Qualitative growth</x:v>
      </x:c>
      <x:c r="D24" s="10" t="str">
        <x:v>Executive-education growth noted</x:v>
      </x:c>
      <x:c r="E24" s="10" t="str">
        <x:v>GBP m</x:v>
      </x:c>
      <x:c r="F24" s="10" t="str">
        <x:v>2023/24</x:v>
      </x:c>
      <x:c r="G24" s="19" t="str">
        <x:v>n.a.</x:v>
      </x:c>
      <x:c r="H24" s="19" t="str">
        <x:v>2024/25</x:v>
      </x:c>
      <x:c r="I24" s="19" t="str">
        <x:v>n.a.</x:v>
      </x:c>
      <x:c r="J24" s="20" t="str">
        <x:v>n.a.</x:v>
      </x:c>
      <x:c r="K24" s="10" t="str">
        <x:v>Qualitative growth evidence</x:v>
      </x:c>
      <x:c r="L24" s="10" t="str">
        <x:v>2024/25 financial review identifies executive-education growth as one tuition-income driver. No isolated revenue or percentage verified.</x:v>
      </x:c>
      <x:c r="M24" s="10" t="str">
        <x:v>https://www.ox.ac.uk/sites/files/oxford/Oxford_University_Annual_Report_Accounts_2024-25.pdf</x:v>
      </x:c>
      <x:c r="N24" s="10" t="str">
        <x:v>10007774</x:v>
      </x:c>
    </x:row>
    <x:row r="25" ht="110" customHeight="1">
      <x:c r="A25" s="10" t="str">
        <x:v>UK</x:v>
      </x:c>
      <x:c r="B25" s="11" t="str">
        <x:v>Queen Mary University of London</x:v>
      </x:c>
      <x:c r="C25" s="10" t="str">
        <x:v>No numeric evidence</x:v>
      </x:c>
      <x:c r="D25" s="10" t="str">
        <x:v>Additional accounts category unverified</x:v>
      </x:c>
      <x:c r="E25" s="10" t="str">
        <x:v>GBP m</x:v>
      </x:c>
      <x:c r="F25" s="10" t="str">
        <x:v>n.a.</x:v>
      </x:c>
      <x:c r="G25" s="19" t="str">
        <x:v>n.a.</x:v>
      </x:c>
      <x:c r="H25" s="19" t="str">
        <x:v>2025</x:v>
      </x:c>
      <x:c r="I25" s="19" t="str">
        <x:v>n.a.</x:v>
      </x:c>
      <x:c r="J25" s="20" t="str">
        <x:v>n.a.</x:v>
      </x:c>
      <x:c r="K25" s="10" t="str">
        <x:v>Evidence gap</x:v>
      </x:c>
      <x:c r="L25" s="10" t="str">
        <x:v>Supplementary accounts evidence; comparable CPD/CE income is in the HESA row. Healthcare Leadership Foundations online short course launched in January 2025. Launch is evidence of portfolio expansion, not revenue growth.</x:v>
      </x:c>
      <x:c r="M25" s="10" t="str">
        <x:v>https://www.qmul.ac.uk/digital-education-studio/our-work/the-care-agenda/</x:v>
      </x:c>
      <x:c r="N25" s="10" t="str">
        <x:v>10007775</x:v>
      </x:c>
    </x:row>
    <x:row r="26" ht="110" customHeight="1">
      <x:c r="A26" s="10" t="str">
        <x:v>UK</x:v>
      </x:c>
      <x:c r="B26" s="11" t="str">
        <x:v>Queen’s University Belfast</x:v>
      </x:c>
      <x:c r="C26" s="10" t="str">
        <x:v>No numeric evidence</x:v>
      </x:c>
      <x:c r="D26" s="10" t="str">
        <x:v>Additional accounts category unverified</x:v>
      </x:c>
      <x:c r="E26" s="10" t="str">
        <x:v>GBP m</x:v>
      </x:c>
      <x:c r="F26" s="10" t="str">
        <x:v>n.a.</x:v>
      </x:c>
      <x:c r="G26" s="19" t="str">
        <x:v>n.a.</x:v>
      </x:c>
      <x:c r="H26" s="19" t="str">
        <x:v>n.a.</x:v>
      </x:c>
      <x:c r="I26" s="19" t="str">
        <x:v>n.a.</x:v>
      </x:c>
      <x:c r="J26" s="20" t="str">
        <x:v>n.a.</x:v>
      </x:c>
      <x:c r="K26" s="10" t="str">
        <x:v>Evidence gap</x:v>
      </x:c>
      <x:c r="L26" s="10" t="str">
        <x:v>Supplementary accounts evidence; comparable CPD/CE income is in the HESA row. Short-course / microcredential provision exists. A standalone revenue or growth figure was not confirmed.</x:v>
      </x:c>
      <x:c r="M26" s="10" t="str">
        <x:v>https://www.qub.ac.uk/directorates/FinanceDirectorate/visitors/financial-statements/</x:v>
      </x:c>
      <x:c r="N26" s="10" t="str">
        <x:v>10005343</x:v>
      </x:c>
    </x:row>
    <x:row r="27" ht="110" customHeight="1">
      <x:c r="A27" s="10" t="str">
        <x:v>UK</x:v>
      </x:c>
      <x:c r="B27" s="11" t="str">
        <x:v>Sheffield</x:v>
      </x:c>
      <x:c r="C27" s="10" t="str">
        <x:v>No numeric evidence</x:v>
      </x:c>
      <x:c r="D27" s="10" t="str">
        <x:v>Additional accounts category unverified</x:v>
      </x:c>
      <x:c r="E27" s="10" t="str">
        <x:v>GBP m</x:v>
      </x:c>
      <x:c r="F27" s="10" t="str">
        <x:v>2023/24</x:v>
      </x:c>
      <x:c r="G27" s="19" t="str">
        <x:v>n.a.</x:v>
      </x:c>
      <x:c r="H27" s="19" t="str">
        <x:v>2024/25</x:v>
      </x:c>
      <x:c r="I27" s="19" t="str">
        <x:v>n.a.</x:v>
      </x:c>
      <x:c r="J27" s="20" t="str">
        <x:v>n.a.</x:v>
      </x:c>
      <x:c r="K27" s="10" t="str">
        <x:v>Evidence gap</x:v>
      </x:c>
      <x:c r="L27" s="10" t="str">
        <x:v>Supplementary accounts evidence; comparable CPD/CE income is in the HESA row. 2024/25 accounts disclose £29.6m non-qualifying-course fees, but research training and other contracts are bundled. Not used as lifelong-learning income.</x:v>
      </x:c>
      <x:c r="M27" s="10" t="str">
        <x:v>https://sheffield.ac.uk/media/112641/download?attachment=</x:v>
      </x:c>
      <x:c r="N27" s="10" t="str">
        <x:v>10007157</x:v>
      </x:c>
    </x:row>
    <x:row r="28" ht="110" customHeight="1">
      <x:c r="A28" s="10" t="str">
        <x:v>UK</x:v>
      </x:c>
      <x:c r="B28" s="11" t="str">
        <x:v>Southampton</x:v>
      </x:c>
      <x:c r="C28" s="10" t="str">
        <x:v>Reported course revenue</x:v>
      </x:c>
      <x:c r="D28" s="10" t="str">
        <x:v>Special and short course fees</x:v>
      </x:c>
      <x:c r="E28" s="10" t="str">
        <x:v>GBP m</x:v>
      </x:c>
      <x:c r="F28" s="10" t="str">
        <x:v>2023/24</x:v>
      </x:c>
      <x:c r="G28" s="19" t="n">
        <x:v>9.315</x:v>
      </x:c>
      <x:c r="H28" s="19" t="str">
        <x:v>2024/25</x:v>
      </x:c>
      <x:c r="I28" s="19" t="n">
        <x:v>9.432</x:v>
      </x:c>
      <x:c r="J28" s="20" t="n">
        <x:f>IF(G28=0,"n.a.",I28/G28-1)</x:f>
        <x:v>0.012560386473430052</x:v>
      </x:c>
      <x:c r="K28" s="10" t="str">
        <x:v>Consolidated</x:v>
      </x:c>
      <x:c r="L28" s="10" t="str">
        <x:v>Note 2. Combined special and short-course fee category.</x:v>
      </x:c>
      <x:c r="M28" s="10" t="str">
        <x:v>https://www.southampton.ac.uk/~assets/doc/finance/financial-statements-2024-25.pdf</x:v>
      </x:c>
      <x:c r="N28" s="10" t="str">
        <x:v>10007158</x:v>
      </x:c>
    </x:row>
    <x:row r="29" ht="110" customHeight="1">
      <x:c r="A29" s="10" t="str">
        <x:v>UK</x:v>
      </x:c>
      <x:c r="B29" s="11" t="str">
        <x:v>UCL</x:v>
      </x:c>
      <x:c r="C29" s="10" t="str">
        <x:v>Reported course revenue</x:v>
      </x:c>
      <x:c r="D29" s="10" t="str">
        <x:v>Short course fees</x:v>
      </x:c>
      <x:c r="E29" s="10" t="str">
        <x:v>GBP m</x:v>
      </x:c>
      <x:c r="F29" s="10" t="str">
        <x:v>2023/24</x:v>
      </x:c>
      <x:c r="G29" s="19" t="n">
        <x:v>26.7</x:v>
      </x:c>
      <x:c r="H29" s="19" t="str">
        <x:v>2024/25</x:v>
      </x:c>
      <x:c r="I29" s="19" t="n">
        <x:v>30.3</x:v>
      </x:c>
      <x:c r="J29" s="20" t="n">
        <x:f>IF(G29=0,"n.a.",I29/G29-1)</x:f>
        <x:v>0.1348314606741574</x:v>
      </x:c>
      <x:c r="K29" s="10" t="str">
        <x:v>Group</x:v>
      </x:c>
      <x:c r="L29" s="10" t="str">
        <x:v>Note 1. Research training support and other fees are separately reported and excluded here.</x:v>
      </x:c>
      <x:c r="M29" s="10" t="str">
        <x:v>https://www.ucl.ac.uk/about/sites/about/files/2026-02/UCL-Annual-Report-And-Accounts-2025-18feb26.pdf</x:v>
      </x:c>
      <x:c r="N29" s="10" t="str">
        <x:v>10007784</x:v>
      </x:c>
    </x:row>
    <x:row r="30" ht="110" customHeight="1">
      <x:c r="A30" s="10" t="str">
        <x:v>UK</x:v>
      </x:c>
      <x:c r="B30" s="11" t="str">
        <x:v>Warwick</x:v>
      </x:c>
      <x:c r="C30" s="10" t="str">
        <x:v>Reported course revenue</x:v>
      </x:c>
      <x:c r="D30" s="10" t="str">
        <x:v>Non-accredited short course fees</x:v>
      </x:c>
      <x:c r="E30" s="10" t="str">
        <x:v>GBP m</x:v>
      </x:c>
      <x:c r="F30" s="10" t="str">
        <x:v>2023/24</x:v>
      </x:c>
      <x:c r="G30" s="19" t="n">
        <x:v>4.5</x:v>
      </x:c>
      <x:c r="H30" s="19" t="str">
        <x:v>2024/25</x:v>
      </x:c>
      <x:c r="I30" s="19" t="n">
        <x:v>5.7</x:v>
      </x:c>
      <x:c r="J30" s="20" t="n">
        <x:f>IF(G30=0,"n.a.",I30/G30-1)</x:f>
        <x:v>0.2666666666666666</x:v>
      </x:c>
      <x:c r="K30" s="10" t="str">
        <x:v>University financial statements</x:v>
      </x:c>
      <x:c r="L30" s="10" t="str">
        <x:v>Note 2. Narrower category excludes accredited provision.</x:v>
      </x:c>
      <x:c r="M30" s="10" t="str">
        <x:v>https://warwick.ac.uk/services/finance/resources/accounts/annual-report-24_25_v24singlepages.pdf</x:v>
      </x:c>
      <x:c r="N30" s="10" t="str">
        <x:v>10007163</x:v>
      </x:c>
    </x:row>
    <x:row r="31" ht="110" customHeight="1">
      <x:c r="A31" s="10" t="str">
        <x:v>UK</x:v>
      </x:c>
      <x:c r="B31" s="11" t="str">
        <x:v>York</x:v>
      </x:c>
      <x:c r="C31" s="10" t="str">
        <x:v>Reported course revenue</x:v>
      </x:c>
      <x:c r="D31" s="10" t="str">
        <x:v>Short courses and other fees</x:v>
      </x:c>
      <x:c r="E31" s="10" t="str">
        <x:v>GBP m</x:v>
      </x:c>
      <x:c r="F31" s="10" t="str">
        <x:v>2023/24</x:v>
      </x:c>
      <x:c r="G31" s="19" t="n">
        <x:v>4.076</x:v>
      </x:c>
      <x:c r="H31" s="19" t="str">
        <x:v>2024/25</x:v>
      </x:c>
      <x:c r="I31" s="19" t="n">
        <x:v>3.974</x:v>
      </x:c>
      <x:c r="J31" s="20" t="n">
        <x:f>IF(G31=0,"n.a.",I31/G31-1)</x:f>
        <x:v>-0.025024533856722098</x:v>
      </x:c>
      <x:c r="K31" s="10" t="str">
        <x:v>Consolidated</x:v>
      </x:c>
      <x:c r="L31" s="10" t="str">
        <x:v>Note 1. Includes other fees, so not a pure continuing-education total.</x:v>
      </x:c>
      <x:c r="M31" s="10" t="str">
        <x:v>https://www.york.ac.uk/media/staffhome/marketing/corporatepublications/2025-Annual-Report-and-Financial-Statements.pdf</x:v>
      </x:c>
      <x:c r="N31" s="10" t="str">
        <x:v>10007167</x:v>
      </x:c>
    </x:row>
    <x:row r="32" ht="110" customHeight="1">
      <x:c r="A32" s="10" t="str">
        <x:v>Australia</x:v>
      </x:c>
      <x:c r="B32" s="11" t="str">
        <x:v>UNSW Sydney</x:v>
      </x:c>
      <x:c r="C32" s="10" t="str">
        <x:v>Reported course revenue</x:v>
      </x:c>
      <x:c r="D32" s="10" t="str">
        <x:v>Continuing education</x:v>
      </x:c>
      <x:c r="E32" s="10" t="str">
        <x:v>AUD m</x:v>
      </x:c>
      <x:c r="F32" s="10" t="str">
        <x:v>2024</x:v>
      </x:c>
      <x:c r="G32" s="19" t="n">
        <x:v>39.196</x:v>
      </x:c>
      <x:c r="H32" s="19" t="str">
        <x:v>2025</x:v>
      </x:c>
      <x:c r="I32" s="19" t="n">
        <x:v>40.182</x:v>
      </x:c>
      <x:c r="J32" s="20" t="n">
        <x:f>IF(G32=0,"n.a.",I32/G32-1)</x:f>
        <x:v>0.02515562812531913</x:v>
      </x:c>
      <x:c r="K32" s="10" t="str">
        <x:v>Consolidated</x:v>
      </x:c>
      <x:c r="L32" s="10" t="str">
        <x:v>Note 2.4. Uses group values rather than parent-only values.</x:v>
      </x:c>
      <x:c r="M32" s="10" t="str">
        <x:v>https://www.unsw.edu.au/content/dam/pdfs/news/annual-reports/2026-05-unsw-annual-report-2025.pdf</x:v>
      </x:c>
      <x:c r="N32" s="10" t="str"/>
    </x:row>
    <x:row r="33" ht="110" customHeight="1">
      <x:c r="A33" s="10" t="str">
        <x:v>Australia</x:v>
      </x:c>
      <x:c r="B33" s="11" t="str">
        <x:v>Melbourne</x:v>
      </x:c>
      <x:c r="C33" s="10" t="str">
        <x:v>Reported course revenue</x:v>
      </x:c>
      <x:c r="D33" s="10" t="str">
        <x:v>MBS corporate programmes</x:v>
      </x:c>
      <x:c r="E33" s="10" t="str">
        <x:v>AUD m</x:v>
      </x:c>
      <x:c r="F33" s="10" t="str">
        <x:v>2024</x:v>
      </x:c>
      <x:c r="G33" s="19" t="n">
        <x:v>21.735</x:v>
      </x:c>
      <x:c r="H33" s="19" t="str">
        <x:v>2025</x:v>
      </x:c>
      <x:c r="I33" s="19" t="n">
        <x:v>26.98</x:v>
      </x:c>
      <x:c r="J33" s="20" t="n">
        <x:f>IF(G33=0,"n.a.",I33/G33-1)</x:f>
        <x:v>0.24131585001150224</x:v>
      </x:c>
      <x:c r="K33" s="10" t="str">
        <x:v>Melbourne Business School consolidated</x:v>
      </x:c>
      <x:c r="L33" s="10" t="str">
        <x:v>Business-school entity only, not total University of Melbourne lifelong learning. Corporate programmes are the reported category.</x:v>
      </x:c>
      <x:c r="M33" s="10" t="str">
        <x:v>https://mbs.edu/-/media/PDF/Annual-Financial-Reports/MBS-Consolidated-Statutory-Accounts-2025.aspx</x:v>
      </x:c>
      <x:c r="N33" s="10" t="str"/>
    </x:row>
    <x:row r="34" ht="110" customHeight="1">
      <x:c r="A34" s="10" t="str">
        <x:v>Australia</x:v>
      </x:c>
      <x:c r="B34" s="11" t="str">
        <x:v>Sydney</x:v>
      </x:c>
      <x:c r="C34" s="10" t="str">
        <x:v>Reported course revenue</x:v>
      </x:c>
      <x:c r="D34" s="10" t="str">
        <x:v>Continuing education</x:v>
      </x:c>
      <x:c r="E34" s="10" t="str">
        <x:v>AUD m</x:v>
      </x:c>
      <x:c r="F34" s="10" t="str">
        <x:v>2024</x:v>
      </x:c>
      <x:c r="G34" s="19" t="n">
        <x:v>14.726</x:v>
      </x:c>
      <x:c r="H34" s="19" t="str">
        <x:v>2025</x:v>
      </x:c>
      <x:c r="I34" s="19" t="n">
        <x:v>15.891</x:v>
      </x:c>
      <x:c r="J34" s="20" t="n">
        <x:f>IF(G34=0,"n.a.",I34/G34-1)</x:f>
        <x:v>0.07911177509167455</x:v>
      </x:c>
      <x:c r="K34" s="10" t="str">
        <x:v>Consolidated</x:v>
      </x:c>
      <x:c r="L34" s="10" t="str">
        <x:v>Note 5. Wider accounts category, not just the Centre for Continuing Education component.</x:v>
      </x:c>
      <x:c r="M34" s="10" t="str">
        <x:v>https://www.sydney.edu.au/content/dam/corporate/documents/about-us/values-and-visions/annual-report/annual-report-2025.pdf</x:v>
      </x:c>
      <x:c r="N34" s="10" t="str"/>
    </x:row>
    <x:row r="35" ht="110" customHeight="1">
      <x:c r="A35" s="10" t="str">
        <x:v>Australia</x:v>
      </x:c>
      <x:c r="B35" s="11" t="str">
        <x:v>Australian National University</x:v>
      </x:c>
      <x:c r="C35" s="10" t="str">
        <x:v>No numeric evidence</x:v>
      </x:c>
      <x:c r="D35" s="10" t="str">
        <x:v>Standalone revenue not verified</x:v>
      </x:c>
      <x:c r="E35" s="10" t="str">
        <x:v>AUD m</x:v>
      </x:c>
      <x:c r="F35" s="10" t="str">
        <x:v>n.a.</x:v>
      </x:c>
      <x:c r="G35" s="19" t="str">
        <x:v>n.a.</x:v>
      </x:c>
      <x:c r="H35" s="19" t="str">
        <x:v>n.a.</x:v>
      </x:c>
      <x:c r="I35" s="19" t="str">
        <x:v>n.a.</x:v>
      </x:c>
      <x:c r="J35" s="20" t="str">
        <x:v>n.a.</x:v>
      </x:c>
      <x:c r="K35" s="10" t="str">
        <x:v>Evidence gap</x:v>
      </x:c>
      <x:c r="L35" s="10" t="str">
        <x:v>Executive short courses are offered. The continuing-education line could not be reliably extracted from the current accounts.</x:v>
      </x:c>
      <x:c r="M35" s="10" t="str">
        <x:v>https://cce.anu.edu.au/executive-short-courses/</x:v>
      </x:c>
      <x:c r="N35" s="10" t="str"/>
    </x:row>
    <x:row r="36" ht="110" customHeight="1">
      <x:c r="A36" s="10" t="str">
        <x:v>Australia</x:v>
      </x:c>
      <x:c r="B36" s="11" t="str">
        <x:v>Monash</x:v>
      </x:c>
      <x:c r="C36" s="10" t="str">
        <x:v>No numeric evidence</x:v>
      </x:c>
      <x:c r="D36" s="10" t="str">
        <x:v>Standalone revenue not verified</x:v>
      </x:c>
      <x:c r="E36" s="10" t="str">
        <x:v>AUD m</x:v>
      </x:c>
      <x:c r="F36" s="10" t="str">
        <x:v>n.a.</x:v>
      </x:c>
      <x:c r="G36" s="19" t="str">
        <x:v>n.a.</x:v>
      </x:c>
      <x:c r="H36" s="19" t="str">
        <x:v>n.a.</x:v>
      </x:c>
      <x:c r="I36" s="19" t="str">
        <x:v>n.a.</x:v>
      </x:c>
      <x:c r="J36" s="20" t="str">
        <x:v>n.a.</x:v>
      </x:c>
      <x:c r="K36" s="10" t="str">
        <x:v>Evidence gap</x:v>
      </x:c>
      <x:c r="L36" s="10" t="str">
        <x:v>Professional-development short courses exist. A separate revenue or growth figure was not confirmed.</x:v>
      </x:c>
      <x:c r="M36" s="10" t="str">
        <x:v>https://shop.monash.edu/professional-development-events/short-courses.html</x:v>
      </x:c>
      <x:c r="N36" s="10" t="str"/>
    </x:row>
    <x:row r="37" ht="110" customHeight="1">
      <x:c r="A37" s="10" t="str">
        <x:v>Australia</x:v>
      </x:c>
      <x:c r="B37" s="11" t="str">
        <x:v>Queensland</x:v>
      </x:c>
      <x:c r="C37" s="10" t="str">
        <x:v>Reported course revenue</x:v>
      </x:c>
      <x:c r="D37" s="10" t="str">
        <x:v>Continuing education</x:v>
      </x:c>
      <x:c r="E37" s="10" t="str">
        <x:v>AUD m</x:v>
      </x:c>
      <x:c r="F37" s="10" t="str">
        <x:v>2024</x:v>
      </x:c>
      <x:c r="G37" s="19" t="n">
        <x:v>11.688</x:v>
      </x:c>
      <x:c r="H37" s="19" t="str">
        <x:v>2025</x:v>
      </x:c>
      <x:c r="I37" s="19" t="n">
        <x:v>12.711</x:v>
      </x:c>
      <x:c r="J37" s="20" t="n">
        <x:f>IF(G37=0,"n.a.",I37/G37-1)</x:f>
        <x:v>0.08752566735112932</x:v>
      </x:c>
      <x:c r="K37" s="10" t="str">
        <x:v>Consolidated</x:v>
      </x:c>
      <x:c r="L37" s="10" t="str">
        <x:v>Parent-only income fell from A$13.833m to A$13.066m. Group and parent growth differ. Uses group values consistently.</x:v>
      </x:c>
      <x:c r="M37" s="10" t="str">
        <x:v>https://about.uq.edu.au/sites/default/files/2026-03/2025-uq-annual-report.PDF</x:v>
      </x:c>
      <x:c r="N37" s="10" t="str"/>
    </x:row>
    <x:row r="38" ht="110" customHeight="1">
      <x:c r="A38" s="10" t="str">
        <x:v>Australia</x:v>
      </x:c>
      <x:c r="B38" s="11" t="str">
        <x:v>Western Australia</x:v>
      </x:c>
      <x:c r="C38" s="10" t="str">
        <x:v>Reported course revenue</x:v>
      </x:c>
      <x:c r="D38" s="10" t="str">
        <x:v>Continuing education and short courses</x:v>
      </x:c>
      <x:c r="E38" s="10" t="str">
        <x:v>AUD m</x:v>
      </x:c>
      <x:c r="F38" s="10" t="str">
        <x:v>2024</x:v>
      </x:c>
      <x:c r="G38" s="19" t="n">
        <x:v>13.813</x:v>
      </x:c>
      <x:c r="H38" s="19" t="str">
        <x:v>2025</x:v>
      </x:c>
      <x:c r="I38" s="19" t="n">
        <x:v>12.148</x:v>
      </x:c>
      <x:c r="J38" s="20" t="n">
        <x:f>IF(G38=0,"n.a.",I38/G38-1)</x:f>
        <x:v>-0.12053862303627028</x:v>
      </x:c>
      <x:c r="K38" s="10" t="str">
        <x:v>Consolidated</x:v>
      </x:c>
      <x:c r="L38" s="10" t="str">
        <x:v>2025 accounts. Revenue decreased; this does not by itself establish learner-volume decline.</x:v>
      </x:c>
      <x:c r="M38" s="10" t="str">
        <x:v>https://www.assethub.uwa.edu.au/api/public/content/66d06dcabdf84864b8e3bab2ab5e7a61?v=04406c3e</x:v>
      </x:c>
      <x:c r="N38" s="10" t="str"/>
    </x:row>
    <x:row r="39" ht="110" customHeight="1">
      <x:c r="A39" s="10" t="str">
        <x:v>Australia</x:v>
      </x:c>
      <x:c r="B39" s="11" t="str">
        <x:v>Adelaide University</x:v>
      </x:c>
      <x:c r="C39" s="10" t="str">
        <x:v>No numeric evidence</x:v>
      </x:c>
      <x:c r="D39" s="10" t="str">
        <x:v>No comparable teaching-year trend</x:v>
      </x:c>
      <x:c r="E39" s="10" t="str">
        <x:v>AUD m</x:v>
      </x:c>
      <x:c r="F39" s="10" t="str">
        <x:v>n.a.</x:v>
      </x:c>
      <x:c r="G39" s="19" t="str">
        <x:v>n.a.</x:v>
      </x:c>
      <x:c r="H39" s="19" t="str">
        <x:v>2026</x:v>
      </x:c>
      <x:c r="I39" s="19" t="str">
        <x:v>n.a.</x:v>
      </x:c>
      <x:c r="J39" s="20" t="str">
        <x:v>n.a.</x:v>
      </x:c>
      <x:c r="K39" s="10" t="str">
        <x:v>New merged institution</x:v>
      </x:c>
      <x:c r="L39" s="10" t="str">
        <x:v>New university began teaching in 2026. Predecessor revenues are not spliced into a growth series for the merged institution.</x:v>
      </x:c>
      <x:c r="M39" s="10" t="str">
        <x:v>https://adelaide.edu.au/about/news/2025/adelaide-university-releases-first-annual-report/</x:v>
      </x:c>
      <x:c r="N39" s="10" t="str"/>
    </x:row>
    <x:row r="40" ht="110" customHeight="1">
      <x:c r="A40" s="10" t="str">
        <x:v>Australia</x:v>
      </x:c>
      <x:c r="B40" s="11" t="str">
        <x:v>University of Technology Sydney</x:v>
      </x:c>
      <x:c r="C40" s="10" t="str">
        <x:v>Reported course revenue</x:v>
      </x:c>
      <x:c r="D40" s="10" t="str">
        <x:v>Continuing education</x:v>
      </x:c>
      <x:c r="E40" s="10" t="str">
        <x:v>AUD m</x:v>
      </x:c>
      <x:c r="F40" s="10" t="str">
        <x:v>2024</x:v>
      </x:c>
      <x:c r="G40" s="19" t="n">
        <x:v>11.73</x:v>
      </x:c>
      <x:c r="H40" s="19" t="str">
        <x:v>2025</x:v>
      </x:c>
      <x:c r="I40" s="19" t="n">
        <x:v>10.179</x:v>
      </x:c>
      <x:c r="J40" s="20" t="n">
        <x:f>IF(G40=0,"n.a.",I40/G40-1)</x:f>
        <x:v>-0.13222506393861888</x:v>
      </x:c>
      <x:c r="K40" s="10" t="str">
        <x:v>Consolidated</x:v>
      </x:c>
      <x:c r="L40" s="10" t="str">
        <x:v>2025 Volume 2, note 2.3. Revenue decreased.</x:v>
      </x:c>
      <x:c r="M40" s="10" t="str">
        <x:v>https://www.uts.edu.au/sites/default/files/2026-05/UTS%20Annual%20Report%202025%20volume%20two.pdf</x:v>
      </x:c>
      <x:c r="N40" s="10" t="str"/>
    </x:row>
    <x:row r="41" ht="110" customHeight="1">
      <x:c r="A41" s="10" t="str">
        <x:v>Australia</x:v>
      </x:c>
      <x:c r="B41" s="11" t="str">
        <x:v>RMIT</x:v>
      </x:c>
      <x:c r="C41" s="10" t="str">
        <x:v>Reported course revenue</x:v>
      </x:c>
      <x:c r="D41" s="10" t="str">
        <x:v>Continuing education</x:v>
      </x:c>
      <x:c r="E41" s="10" t="str">
        <x:v>AUD m</x:v>
      </x:c>
      <x:c r="F41" s="10" t="str">
        <x:v>2023</x:v>
      </x:c>
      <x:c r="G41" s="19" t="n">
        <x:v>6.676</x:v>
      </x:c>
      <x:c r="H41" s="19" t="str">
        <x:v>2024</x:v>
      </x:c>
      <x:c r="I41" s="19" t="n">
        <x:v>5.991</x:v>
      </x:c>
      <x:c r="J41" s="20" t="n">
        <x:f>IF(G41=0,"n.a.",I41/G41-1)</x:f>
        <x:v>-0.10260635110844829</x:v>
      </x:c>
      <x:c r="K41" s="10" t="str">
        <x:v>Consolidated</x:v>
      </x:c>
      <x:c r="L41" s="10" t="str">
        <x:v>2024 accounts, note 6. Older verified evidence; a 2025 category value was not confirmed. Does not measure the entire RMIT Online business.</x:v>
      </x:c>
      <x:c r="M41" s="10" t="str">
        <x:v>https://www.rmit.edu.au/content/dam/rmit/documents/about/annual-reports/rmit-university-annual-report-2024.pdf</x:v>
      </x:c>
      <x:c r="N41" s="10" t="str"/>
    </x:row>
    <x:row r="42" ht="110" customHeight="1">
      <x:c r="A42" s="10" t="str">
        <x:v>UK</x:v>
      </x:c>
      <x:c r="B42" s="11" t="str">
        <x:v>Birmingham</x:v>
      </x:c>
      <x:c r="C42" s="10" t="str">
        <x:v>HESA CPD/CE revenue</x:v>
      </x:c>
      <x:c r="D42" s="10" t="str">
        <x:v>CPD/CE courses for business and the community</x:v>
      </x:c>
      <x:c r="E42" s="10" t="str">
        <x:v>GBP m</x:v>
      </x:c>
      <x:c r="F42" s="10" t="str">
        <x:v>Not supplied</x:v>
      </x:c>
      <x:c r="G42" s="19" t="str">
        <x:v>n.a.</x:v>
      </x:c>
      <x:c r="H42" s="19" t="str">
        <x:v>2024/25</x:v>
      </x:c>
      <x:c r="I42" s="19" t="n">
        <x:f>INDEX('UK providers'!$K$7:$K$212,MATCH(N42,'UK providers'!$A$7:$A$212,0))</x:f>
        <x:v>0.672</x:v>
      </x:c>
      <x:c r="J42" s="20" t="str">
        <x:v>n.a.</x:v>
      </x:c>
      <x:c r="K42" s="10" t="str">
        <x:v>HESA provider return</x:v>
      </x:c>
      <x:c r="L42" s="10" t="str">
        <x:v>Comparable CPD/CE definition. One year supplied: no growth calculation. Do not add to overlapping annual-report categories.</x:v>
      </x:c>
      <x:c r="M42" s="10" t="str">
        <x:v>HESA HE-BCI Table 2b; user-supplied dt032-table-2b.csv. https://www.hesa.ac.uk/data-and-analysis/business-community</x:v>
      </x:c>
      <x:c r="N42" s="10" t="str">
        <x:v>10006840</x:v>
      </x:c>
    </x:row>
    <x:row r="43" ht="110" customHeight="1">
      <x:c r="A43" s="10" t="str">
        <x:v>UK</x:v>
      </x:c>
      <x:c r="B43" s="11" t="str">
        <x:v>Bristol</x:v>
      </x:c>
      <x:c r="C43" s="10" t="str">
        <x:v>HESA CPD/CE revenue</x:v>
      </x:c>
      <x:c r="D43" s="10" t="str">
        <x:v>CPD/CE courses for business and the community</x:v>
      </x:c>
      <x:c r="E43" s="10" t="str">
        <x:v>GBP m</x:v>
      </x:c>
      <x:c r="F43" s="10" t="str">
        <x:v>Not supplied</x:v>
      </x:c>
      <x:c r="G43" s="19" t="str">
        <x:v>n.a.</x:v>
      </x:c>
      <x:c r="H43" s="19" t="str">
        <x:v>2024/25</x:v>
      </x:c>
      <x:c r="I43" s="19" t="n">
        <x:f>INDEX('UK providers'!$K$7:$K$212,MATCH(N43,'UK providers'!$A$7:$A$212,0))</x:f>
        <x:v>1.558</x:v>
      </x:c>
      <x:c r="J43" s="20" t="str">
        <x:v>n.a.</x:v>
      </x:c>
      <x:c r="K43" s="10" t="str">
        <x:v>HESA provider return</x:v>
      </x:c>
      <x:c r="L43" s="10" t="str">
        <x:v>Comparable CPD/CE definition. One year supplied: no growth calculation. Do not add to overlapping annual-report categories.</x:v>
      </x:c>
      <x:c r="M43" s="10" t="str">
        <x:v>HESA HE-BCI Table 2b; user-supplied dt032-table-2b.csv. https://www.hesa.ac.uk/data-and-analysis/business-community</x:v>
      </x:c>
      <x:c r="N43" s="10" t="str">
        <x:v>10007786</x:v>
      </x:c>
    </x:row>
    <x:row r="44" ht="110" customHeight="1">
      <x:c r="A44" s="10" t="str">
        <x:v>UK</x:v>
      </x:c>
      <x:c r="B44" s="11" t="str">
        <x:v>Cambridge</x:v>
      </x:c>
      <x:c r="C44" s="10" t="str">
        <x:v>HESA CPD/CE revenue</x:v>
      </x:c>
      <x:c r="D44" s="10" t="str">
        <x:v>CPD/CE courses for business and the community</x:v>
      </x:c>
      <x:c r="E44" s="10" t="str">
        <x:v>GBP m</x:v>
      </x:c>
      <x:c r="F44" s="10" t="str">
        <x:v>Not supplied</x:v>
      </x:c>
      <x:c r="G44" s="19" t="str">
        <x:v>n.a.</x:v>
      </x:c>
      <x:c r="H44" s="19" t="str">
        <x:v>2024/25</x:v>
      </x:c>
      <x:c r="I44" s="19" t="n">
        <x:f>INDEX('UK providers'!$K$7:$K$212,MATCH(N44,'UK providers'!$A$7:$A$212,0))</x:f>
        <x:v>42.743</x:v>
      </x:c>
      <x:c r="J44" s="20" t="str">
        <x:v>n.a.</x:v>
      </x:c>
      <x:c r="K44" s="10" t="str">
        <x:v>HESA provider return</x:v>
      </x:c>
      <x:c r="L44" s="10" t="str">
        <x:v>Comparable CPD/CE definition. One year supplied: no growth calculation. Do not add to overlapping annual-report categories.</x:v>
      </x:c>
      <x:c r="M44" s="10" t="str">
        <x:v>HESA HE-BCI Table 2b; user-supplied dt032-table-2b.csv. https://www.hesa.ac.uk/data-and-analysis/business-community</x:v>
      </x:c>
      <x:c r="N44" s="10" t="str">
        <x:v>10007788</x:v>
      </x:c>
    </x:row>
    <x:row r="45" ht="110" customHeight="1">
      <x:c r="A45" s="10" t="str">
        <x:v>UK</x:v>
      </x:c>
      <x:c r="B45" s="11" t="str">
        <x:v>Cardiff</x:v>
      </x:c>
      <x:c r="C45" s="10" t="str">
        <x:v>HESA CPD/CE revenue</x:v>
      </x:c>
      <x:c r="D45" s="10" t="str">
        <x:v>CPD/CE courses for business and the community</x:v>
      </x:c>
      <x:c r="E45" s="10" t="str">
        <x:v>GBP m</x:v>
      </x:c>
      <x:c r="F45" s="10" t="str">
        <x:v>Not supplied</x:v>
      </x:c>
      <x:c r="G45" s="19" t="str">
        <x:v>n.a.</x:v>
      </x:c>
      <x:c r="H45" s="19" t="str">
        <x:v>2024/25</x:v>
      </x:c>
      <x:c r="I45" s="19" t="n">
        <x:f>INDEX('UK providers'!$K$7:$K$212,MATCH(N45,'UK providers'!$A$7:$A$212,0))</x:f>
        <x:v>10.986</x:v>
      </x:c>
      <x:c r="J45" s="20" t="str">
        <x:v>n.a.</x:v>
      </x:c>
      <x:c r="K45" s="10" t="str">
        <x:v>HESA provider return</x:v>
      </x:c>
      <x:c r="L45" s="10" t="str">
        <x:v>Comparable CPD/CE definition. One year supplied: no growth calculation. Do not add to overlapping annual-report categories.</x:v>
      </x:c>
      <x:c r="M45" s="10" t="str">
        <x:v>HESA HE-BCI Table 2b; user-supplied dt032-table-2b.csv. https://www.hesa.ac.uk/data-and-analysis/business-community</x:v>
      </x:c>
      <x:c r="N45" s="10" t="str">
        <x:v>10007814</x:v>
      </x:c>
    </x:row>
    <x:row r="46" ht="110" customHeight="1">
      <x:c r="A46" s="10" t="str">
        <x:v>UK</x:v>
      </x:c>
      <x:c r="B46" s="11" t="str">
        <x:v>Durham</x:v>
      </x:c>
      <x:c r="C46" s="10" t="str">
        <x:v>HESA CPD/CE revenue</x:v>
      </x:c>
      <x:c r="D46" s="10" t="str">
        <x:v>CPD/CE courses for business and the community</x:v>
      </x:c>
      <x:c r="E46" s="10" t="str">
        <x:v>GBP m</x:v>
      </x:c>
      <x:c r="F46" s="10" t="str">
        <x:v>Not supplied</x:v>
      </x:c>
      <x:c r="G46" s="19" t="str">
        <x:v>n.a.</x:v>
      </x:c>
      <x:c r="H46" s="19" t="str">
        <x:v>2024/25</x:v>
      </x:c>
      <x:c r="I46" s="19" t="n">
        <x:f>INDEX('UK providers'!$K$7:$K$212,MATCH(N46,'UK providers'!$A$7:$A$212,0))</x:f>
        <x:v>1.336</x:v>
      </x:c>
      <x:c r="J46" s="20" t="str">
        <x:v>n.a.</x:v>
      </x:c>
      <x:c r="K46" s="10" t="str">
        <x:v>HESA provider return</x:v>
      </x:c>
      <x:c r="L46" s="10" t="str">
        <x:v>Comparable CPD/CE definition. One year supplied: no growth calculation. Do not add to overlapping annual-report categories.</x:v>
      </x:c>
      <x:c r="M46" s="10" t="str">
        <x:v>HESA HE-BCI Table 2b; user-supplied dt032-table-2b.csv. https://www.hesa.ac.uk/data-and-analysis/business-community</x:v>
      </x:c>
      <x:c r="N46" s="10" t="str">
        <x:v>10007143</x:v>
      </x:c>
    </x:row>
    <x:row r="47" ht="110" customHeight="1">
      <x:c r="A47" s="10" t="str">
        <x:v>UK</x:v>
      </x:c>
      <x:c r="B47" s="11" t="str">
        <x:v>Edinburgh</x:v>
      </x:c>
      <x:c r="C47" s="10" t="str">
        <x:v>HESA CPD/CE revenue</x:v>
      </x:c>
      <x:c r="D47" s="10" t="str">
        <x:v>CPD/CE courses for business and the community</x:v>
      </x:c>
      <x:c r="E47" s="10" t="str">
        <x:v>GBP m</x:v>
      </x:c>
      <x:c r="F47" s="10" t="str">
        <x:v>Not supplied</x:v>
      </x:c>
      <x:c r="G47" s="19" t="str">
        <x:v>n.a.</x:v>
      </x:c>
      <x:c r="H47" s="19" t="str">
        <x:v>2024/25</x:v>
      </x:c>
      <x:c r="I47" s="19" t="n">
        <x:f>INDEX('UK providers'!$K$7:$K$212,MATCH(N47,'UK providers'!$A$7:$A$212,0))</x:f>
        <x:v>15.702</x:v>
      </x:c>
      <x:c r="J47" s="20" t="str">
        <x:v>n.a.</x:v>
      </x:c>
      <x:c r="K47" s="10" t="str">
        <x:v>HESA provider return</x:v>
      </x:c>
      <x:c r="L47" s="10" t="str">
        <x:v>Comparable CPD/CE definition. One year supplied: no growth calculation. Do not add to overlapping annual-report categories.</x:v>
      </x:c>
      <x:c r="M47" s="10" t="str">
        <x:v>HESA HE-BCI Table 2b; user-supplied dt032-table-2b.csv. https://www.hesa.ac.uk/data-and-analysis/business-community</x:v>
      </x:c>
      <x:c r="N47" s="10" t="str">
        <x:v>10007790</x:v>
      </x:c>
    </x:row>
    <x:row r="48" ht="110" customHeight="1">
      <x:c r="A48" s="10" t="str">
        <x:v>UK</x:v>
      </x:c>
      <x:c r="B48" s="11" t="str">
        <x:v>Exeter</x:v>
      </x:c>
      <x:c r="C48" s="10" t="str">
        <x:v>HESA CPD/CE revenue</x:v>
      </x:c>
      <x:c r="D48" s="10" t="str">
        <x:v>CPD/CE courses for business and the community</x:v>
      </x:c>
      <x:c r="E48" s="10" t="str">
        <x:v>GBP m</x:v>
      </x:c>
      <x:c r="F48" s="10" t="str">
        <x:v>Not supplied</x:v>
      </x:c>
      <x:c r="G48" s="19" t="str">
        <x:v>n.a.</x:v>
      </x:c>
      <x:c r="H48" s="19" t="str">
        <x:v>2024/25</x:v>
      </x:c>
      <x:c r="I48" s="19" t="n">
        <x:f>INDEX('UK providers'!$K$7:$K$212,MATCH(N48,'UK providers'!$A$7:$A$212,0))</x:f>
        <x:v>4.243</x:v>
      </x:c>
      <x:c r="J48" s="20" t="str">
        <x:v>n.a.</x:v>
      </x:c>
      <x:c r="K48" s="10" t="str">
        <x:v>HESA provider return</x:v>
      </x:c>
      <x:c r="L48" s="10" t="str">
        <x:v>Comparable CPD/CE definition. One year supplied: no growth calculation. Do not add to overlapping annual-report categories.</x:v>
      </x:c>
      <x:c r="M48" s="10" t="str">
        <x:v>HESA HE-BCI Table 2b; user-supplied dt032-table-2b.csv. https://www.hesa.ac.uk/data-and-analysis/business-community</x:v>
      </x:c>
      <x:c r="N48" s="10" t="str">
        <x:v>10007792</x:v>
      </x:c>
    </x:row>
    <x:row r="49" ht="110" customHeight="1">
      <x:c r="A49" s="10" t="str">
        <x:v>UK</x:v>
      </x:c>
      <x:c r="B49" s="11" t="str">
        <x:v>Glasgow</x:v>
      </x:c>
      <x:c r="C49" s="10" t="str">
        <x:v>HESA CPD/CE revenue</x:v>
      </x:c>
      <x:c r="D49" s="10" t="str">
        <x:v>CPD/CE courses for business and the community</x:v>
      </x:c>
      <x:c r="E49" s="10" t="str">
        <x:v>GBP m</x:v>
      </x:c>
      <x:c r="F49" s="10" t="str">
        <x:v>Not supplied</x:v>
      </x:c>
      <x:c r="G49" s="19" t="str">
        <x:v>n.a.</x:v>
      </x:c>
      <x:c r="H49" s="19" t="str">
        <x:v>2024/25</x:v>
      </x:c>
      <x:c r="I49" s="19" t="n">
        <x:f>INDEX('UK providers'!$K$7:$K$212,MATCH(N49,'UK providers'!$A$7:$A$212,0))</x:f>
        <x:v>8.873</x:v>
      </x:c>
      <x:c r="J49" s="20" t="str">
        <x:v>n.a.</x:v>
      </x:c>
      <x:c r="K49" s="10" t="str">
        <x:v>HESA provider return</x:v>
      </x:c>
      <x:c r="L49" s="10" t="str">
        <x:v>Comparable CPD/CE definition. One year supplied: no growth calculation. Do not add to overlapping annual-report categories.</x:v>
      </x:c>
      <x:c r="M49" s="10" t="str">
        <x:v>HESA HE-BCI Table 2b; user-supplied dt032-table-2b.csv. https://www.hesa.ac.uk/data-and-analysis/business-community</x:v>
      </x:c>
      <x:c r="N49" s="10" t="str">
        <x:v>10007794</x:v>
      </x:c>
    </x:row>
    <x:row r="50" ht="110" customHeight="1">
      <x:c r="A50" s="10" t="str">
        <x:v>UK</x:v>
      </x:c>
      <x:c r="B50" s="11" t="str">
        <x:v>Imperial College London</x:v>
      </x:c>
      <x:c r="C50" s="10" t="str">
        <x:v>HESA CPD/CE revenue</x:v>
      </x:c>
      <x:c r="D50" s="10" t="str">
        <x:v>CPD/CE courses for business and the community</x:v>
      </x:c>
      <x:c r="E50" s="10" t="str">
        <x:v>GBP m</x:v>
      </x:c>
      <x:c r="F50" s="10" t="str">
        <x:v>Not supplied</x:v>
      </x:c>
      <x:c r="G50" s="19" t="str">
        <x:v>n.a.</x:v>
      </x:c>
      <x:c r="H50" s="19" t="str">
        <x:v>2024/25</x:v>
      </x:c>
      <x:c r="I50" s="19" t="n">
        <x:f>INDEX('UK providers'!$K$7:$K$212,MATCH(N50,'UK providers'!$A$7:$A$212,0))</x:f>
        <x:v>15.55</x:v>
      </x:c>
      <x:c r="J50" s="20" t="str">
        <x:v>n.a.</x:v>
      </x:c>
      <x:c r="K50" s="10" t="str">
        <x:v>HESA provider return</x:v>
      </x:c>
      <x:c r="L50" s="10" t="str">
        <x:v>Comparable CPD/CE definition. One year supplied: no growth calculation. Do not add to overlapping annual-report categories.</x:v>
      </x:c>
      <x:c r="M50" s="10" t="str">
        <x:v>HESA HE-BCI Table 2b; user-supplied dt032-table-2b.csv. https://www.hesa.ac.uk/data-and-analysis/business-community</x:v>
      </x:c>
      <x:c r="N50" s="10" t="str">
        <x:v>10003270</x:v>
      </x:c>
    </x:row>
    <x:row r="51" ht="110" customHeight="1">
      <x:c r="A51" s="10" t="str">
        <x:v>UK</x:v>
      </x:c>
      <x:c r="B51" s="11" t="str">
        <x:v>King’s College London</x:v>
      </x:c>
      <x:c r="C51" s="10" t="str">
        <x:v>HESA CPD/CE revenue</x:v>
      </x:c>
      <x:c r="D51" s="10" t="str">
        <x:v>CPD/CE courses for business and the community</x:v>
      </x:c>
      <x:c r="E51" s="10" t="str">
        <x:v>GBP m</x:v>
      </x:c>
      <x:c r="F51" s="10" t="str">
        <x:v>Not supplied</x:v>
      </x:c>
      <x:c r="G51" s="19" t="str">
        <x:v>n.a.</x:v>
      </x:c>
      <x:c r="H51" s="19" t="str">
        <x:v>2024/25</x:v>
      </x:c>
      <x:c r="I51" s="19" t="n">
        <x:f>INDEX('UK providers'!$K$7:$K$212,MATCH(N51,'UK providers'!$A$7:$A$212,0))</x:f>
        <x:v>40.944</x:v>
      </x:c>
      <x:c r="J51" s="20" t="str">
        <x:v>n.a.</x:v>
      </x:c>
      <x:c r="K51" s="10" t="str">
        <x:v>HESA provider return</x:v>
      </x:c>
      <x:c r="L51" s="10" t="str">
        <x:v>Comparable CPD/CE definition. One year supplied: no growth calculation. Do not add to overlapping annual-report categories.</x:v>
      </x:c>
      <x:c r="M51" s="10" t="str">
        <x:v>HESA HE-BCI Table 2b; user-supplied dt032-table-2b.csv. https://www.hesa.ac.uk/data-and-analysis/business-community</x:v>
      </x:c>
      <x:c r="N51" s="10" t="str">
        <x:v>10003645</x:v>
      </x:c>
    </x:row>
    <x:row r="52" ht="110" customHeight="1">
      <x:c r="A52" s="10" t="str">
        <x:v>UK</x:v>
      </x:c>
      <x:c r="B52" s="11" t="str">
        <x:v>Leeds</x:v>
      </x:c>
      <x:c r="C52" s="10" t="str">
        <x:v>HESA CPD/CE revenue</x:v>
      </x:c>
      <x:c r="D52" s="10" t="str">
        <x:v>CPD/CE courses for business and the community</x:v>
      </x:c>
      <x:c r="E52" s="10" t="str">
        <x:v>GBP m</x:v>
      </x:c>
      <x:c r="F52" s="10" t="str">
        <x:v>Not supplied</x:v>
      </x:c>
      <x:c r="G52" s="19" t="str">
        <x:v>n.a.</x:v>
      </x:c>
      <x:c r="H52" s="19" t="str">
        <x:v>2024/25</x:v>
      </x:c>
      <x:c r="I52" s="19" t="n">
        <x:f>INDEX('UK providers'!$K$7:$K$212,MATCH(N52,'UK providers'!$A$7:$A$212,0))</x:f>
        <x:v>3.916</x:v>
      </x:c>
      <x:c r="J52" s="20" t="str">
        <x:v>n.a.</x:v>
      </x:c>
      <x:c r="K52" s="10" t="str">
        <x:v>HESA provider return</x:v>
      </x:c>
      <x:c r="L52" s="10" t="str">
        <x:v>Comparable CPD/CE definition. One year supplied: no growth calculation. Do not add to overlapping annual-report categories.</x:v>
      </x:c>
      <x:c r="M52" s="10" t="str">
        <x:v>HESA HE-BCI Table 2b; user-supplied dt032-table-2b.csv. https://www.hesa.ac.uk/data-and-analysis/business-community</x:v>
      </x:c>
      <x:c r="N52" s="10" t="str">
        <x:v>10007795</x:v>
      </x:c>
    </x:row>
    <x:row r="53" ht="110" customHeight="1">
      <x:c r="A53" s="10" t="str">
        <x:v>UK</x:v>
      </x:c>
      <x:c r="B53" s="11" t="str">
        <x:v>Liverpool</x:v>
      </x:c>
      <x:c r="C53" s="10" t="str">
        <x:v>HESA CPD/CE revenue</x:v>
      </x:c>
      <x:c r="D53" s="10" t="str">
        <x:v>CPD/CE courses for business and the community</x:v>
      </x:c>
      <x:c r="E53" s="10" t="str">
        <x:v>GBP m</x:v>
      </x:c>
      <x:c r="F53" s="10" t="str">
        <x:v>Not supplied</x:v>
      </x:c>
      <x:c r="G53" s="19" t="str">
        <x:v>n.a.</x:v>
      </x:c>
      <x:c r="H53" s="19" t="str">
        <x:v>2024/25</x:v>
      </x:c>
      <x:c r="I53" s="19" t="n">
        <x:f>INDEX('UK providers'!$K$7:$K$212,MATCH(N53,'UK providers'!$A$7:$A$212,0))</x:f>
        <x:v>8.062</x:v>
      </x:c>
      <x:c r="J53" s="20" t="str">
        <x:v>n.a.</x:v>
      </x:c>
      <x:c r="K53" s="10" t="str">
        <x:v>HESA provider return</x:v>
      </x:c>
      <x:c r="L53" s="10" t="str">
        <x:v>Comparable CPD/CE definition. One year supplied: no growth calculation. Do not add to overlapping annual-report categories.</x:v>
      </x:c>
      <x:c r="M53" s="10" t="str">
        <x:v>HESA HE-BCI Table 2b; user-supplied dt032-table-2b.csv. https://www.hesa.ac.uk/data-and-analysis/business-community</x:v>
      </x:c>
      <x:c r="N53" s="10" t="str">
        <x:v>10006842</x:v>
      </x:c>
    </x:row>
    <x:row r="54" ht="110" customHeight="1">
      <x:c r="A54" s="10" t="str">
        <x:v>UK</x:v>
      </x:c>
      <x:c r="B54" s="11" t="str">
        <x:v>London School of Economics</x:v>
      </x:c>
      <x:c r="C54" s="10" t="str">
        <x:v>HESA CPD/CE revenue</x:v>
      </x:c>
      <x:c r="D54" s="10" t="str">
        <x:v>CPD/CE courses for business and the community</x:v>
      </x:c>
      <x:c r="E54" s="10" t="str">
        <x:v>GBP m</x:v>
      </x:c>
      <x:c r="F54" s="10" t="str">
        <x:v>Not supplied</x:v>
      </x:c>
      <x:c r="G54" s="19" t="str">
        <x:v>n.a.</x:v>
      </x:c>
      <x:c r="H54" s="19" t="str">
        <x:v>2024/25</x:v>
      </x:c>
      <x:c r="I54" s="19" t="n">
        <x:f>INDEX('UK providers'!$K$7:$K$212,MATCH(N54,'UK providers'!$A$7:$A$212,0))</x:f>
        <x:v>33.776</x:v>
      </x:c>
      <x:c r="J54" s="20" t="str">
        <x:v>n.a.</x:v>
      </x:c>
      <x:c r="K54" s="10" t="str">
        <x:v>HESA provider return</x:v>
      </x:c>
      <x:c r="L54" s="10" t="str">
        <x:v>Comparable CPD/CE definition. One year supplied: no growth calculation. Do not add to overlapping annual-report categories.</x:v>
      </x:c>
      <x:c r="M54" s="10" t="str">
        <x:v>HESA HE-BCI Table 2b; user-supplied dt032-table-2b.csv. https://www.hesa.ac.uk/data-and-analysis/business-community</x:v>
      </x:c>
      <x:c r="N54" s="10" t="str">
        <x:v>10004063</x:v>
      </x:c>
    </x:row>
    <x:row r="55" ht="110" customHeight="1">
      <x:c r="A55" s="10" t="str">
        <x:v>UK</x:v>
      </x:c>
      <x:c r="B55" s="11" t="str">
        <x:v>Manchester</x:v>
      </x:c>
      <x:c r="C55" s="10" t="str">
        <x:v>HESA CPD/CE revenue</x:v>
      </x:c>
      <x:c r="D55" s="10" t="str">
        <x:v>CPD/CE courses for business and the community</x:v>
      </x:c>
      <x:c r="E55" s="10" t="str">
        <x:v>GBP m</x:v>
      </x:c>
      <x:c r="F55" s="10" t="str">
        <x:v>Not supplied</x:v>
      </x:c>
      <x:c r="G55" s="19" t="str">
        <x:v>n.a.</x:v>
      </x:c>
      <x:c r="H55" s="19" t="str">
        <x:v>2024/25</x:v>
      </x:c>
      <x:c r="I55" s="19" t="n">
        <x:f>INDEX('UK providers'!$K$7:$K$212,MATCH(N55,'UK providers'!$A$7:$A$212,0))</x:f>
        <x:v>22.88</x:v>
      </x:c>
      <x:c r="J55" s="20" t="str">
        <x:v>n.a.</x:v>
      </x:c>
      <x:c r="K55" s="10" t="str">
        <x:v>HESA provider return</x:v>
      </x:c>
      <x:c r="L55" s="10" t="str">
        <x:v>Comparable CPD/CE definition. One year supplied: no growth calculation. Do not add to overlapping annual-report categories.</x:v>
      </x:c>
      <x:c r="M55" s="10" t="str">
        <x:v>HESA HE-BCI Table 2b; user-supplied dt032-table-2b.csv. https://www.hesa.ac.uk/data-and-analysis/business-community</x:v>
      </x:c>
      <x:c r="N55" s="10" t="str">
        <x:v>10007798</x:v>
      </x:c>
    </x:row>
    <x:row r="56" ht="110" customHeight="1">
      <x:c r="A56" s="10" t="str">
        <x:v>UK</x:v>
      </x:c>
      <x:c r="B56" s="11" t="str">
        <x:v>Newcastle</x:v>
      </x:c>
      <x:c r="C56" s="10" t="str">
        <x:v>HESA CPD/CE revenue</x:v>
      </x:c>
      <x:c r="D56" s="10" t="str">
        <x:v>CPD/CE courses for business and the community</x:v>
      </x:c>
      <x:c r="E56" s="10" t="str">
        <x:v>GBP m</x:v>
      </x:c>
      <x:c r="F56" s="10" t="str">
        <x:v>Not supplied</x:v>
      </x:c>
      <x:c r="G56" s="19" t="str">
        <x:v>n.a.</x:v>
      </x:c>
      <x:c r="H56" s="19" t="str">
        <x:v>2024/25</x:v>
      </x:c>
      <x:c r="I56" s="19" t="n">
        <x:f>INDEX('UK providers'!$K$7:$K$212,MATCH(N56,'UK providers'!$A$7:$A$212,0))</x:f>
        <x:v>3.726</x:v>
      </x:c>
      <x:c r="J56" s="20" t="str">
        <x:v>n.a.</x:v>
      </x:c>
      <x:c r="K56" s="10" t="str">
        <x:v>HESA provider return</x:v>
      </x:c>
      <x:c r="L56" s="10" t="str">
        <x:v>Comparable CPD/CE definition. One year supplied: no growth calculation. Do not add to overlapping annual-report categories.</x:v>
      </x:c>
      <x:c r="M56" s="10" t="str">
        <x:v>HESA HE-BCI Table 2b; user-supplied dt032-table-2b.csv. https://www.hesa.ac.uk/data-and-analysis/business-community</x:v>
      </x:c>
      <x:c r="N56" s="10" t="str">
        <x:v>10007799</x:v>
      </x:c>
    </x:row>
    <x:row r="57" ht="110" customHeight="1">
      <x:c r="A57" s="10" t="str">
        <x:v>UK</x:v>
      </x:c>
      <x:c r="B57" s="11" t="str">
        <x:v>Nottingham</x:v>
      </x:c>
      <x:c r="C57" s="10" t="str">
        <x:v>HESA CPD/CE revenue</x:v>
      </x:c>
      <x:c r="D57" s="10" t="str">
        <x:v>CPD/CE courses for business and the community</x:v>
      </x:c>
      <x:c r="E57" s="10" t="str">
        <x:v>GBP m</x:v>
      </x:c>
      <x:c r="F57" s="10" t="str">
        <x:v>Not supplied</x:v>
      </x:c>
      <x:c r="G57" s="19" t="str">
        <x:v>n.a.</x:v>
      </x:c>
      <x:c r="H57" s="19" t="str">
        <x:v>2024/25</x:v>
      </x:c>
      <x:c r="I57" s="19" t="n">
        <x:f>INDEX('UK providers'!$K$7:$K$212,MATCH(N57,'UK providers'!$A$7:$A$212,0))</x:f>
        <x:v>3.1</x:v>
      </x:c>
      <x:c r="J57" s="20" t="str">
        <x:v>n.a.</x:v>
      </x:c>
      <x:c r="K57" s="10" t="str">
        <x:v>HESA provider return</x:v>
      </x:c>
      <x:c r="L57" s="10" t="str">
        <x:v>Comparable CPD/CE definition. One year supplied: no growth calculation. Do not add to overlapping annual-report categories.</x:v>
      </x:c>
      <x:c r="M57" s="10" t="str">
        <x:v>HESA HE-BCI Table 2b; user-supplied dt032-table-2b.csv. https://www.hesa.ac.uk/data-and-analysis/business-community</x:v>
      </x:c>
      <x:c r="N57" s="10" t="str">
        <x:v>10007154</x:v>
      </x:c>
    </x:row>
    <x:row r="58" ht="110" customHeight="1">
      <x:c r="A58" s="10" t="str">
        <x:v>UK</x:v>
      </x:c>
      <x:c r="B58" s="11" t="str">
        <x:v>Oxford</x:v>
      </x:c>
      <x:c r="C58" s="10" t="str">
        <x:v>HESA CPD/CE revenue</x:v>
      </x:c>
      <x:c r="D58" s="10" t="str">
        <x:v>CPD/CE courses for business and the community</x:v>
      </x:c>
      <x:c r="E58" s="10" t="str">
        <x:v>GBP m</x:v>
      </x:c>
      <x:c r="F58" s="10" t="str">
        <x:v>Not supplied</x:v>
      </x:c>
      <x:c r="G58" s="19" t="str">
        <x:v>n.a.</x:v>
      </x:c>
      <x:c r="H58" s="19" t="str">
        <x:v>2024/25</x:v>
      </x:c>
      <x:c r="I58" s="19" t="n">
        <x:f>INDEX('UK providers'!$K$7:$K$212,MATCH(N58,'UK providers'!$A$7:$A$212,0))</x:f>
        <x:v>44.732</x:v>
      </x:c>
      <x:c r="J58" s="20" t="str">
        <x:v>n.a.</x:v>
      </x:c>
      <x:c r="K58" s="10" t="str">
        <x:v>HESA provider return</x:v>
      </x:c>
      <x:c r="L58" s="10" t="str">
        <x:v>Comparable CPD/CE definition. One year supplied: no growth calculation. Do not add to overlapping annual-report categories.</x:v>
      </x:c>
      <x:c r="M58" s="10" t="str">
        <x:v>HESA HE-BCI Table 2b; user-supplied dt032-table-2b.csv. https://www.hesa.ac.uk/data-and-analysis/business-community</x:v>
      </x:c>
      <x:c r="N58" s="10" t="str">
        <x:v>10007774</x:v>
      </x:c>
    </x:row>
    <x:row r="59" ht="110" customHeight="1">
      <x:c r="A59" s="10" t="str">
        <x:v>UK</x:v>
      </x:c>
      <x:c r="B59" s="11" t="str">
        <x:v>Queen Mary University of London</x:v>
      </x:c>
      <x:c r="C59" s="10" t="str">
        <x:v>HESA CPD/CE revenue</x:v>
      </x:c>
      <x:c r="D59" s="10" t="str">
        <x:v>CPD/CE courses for business and the community</x:v>
      </x:c>
      <x:c r="E59" s="10" t="str">
        <x:v>GBP m</x:v>
      </x:c>
      <x:c r="F59" s="10" t="str">
        <x:v>Not supplied</x:v>
      </x:c>
      <x:c r="G59" s="19" t="str">
        <x:v>n.a.</x:v>
      </x:c>
      <x:c r="H59" s="19" t="str">
        <x:v>2024/25</x:v>
      </x:c>
      <x:c r="I59" s="19" t="n">
        <x:f>INDEX('UK providers'!$K$7:$K$212,MATCH(N59,'UK providers'!$A$7:$A$212,0))</x:f>
        <x:v>11.978</x:v>
      </x:c>
      <x:c r="J59" s="20" t="str">
        <x:v>n.a.</x:v>
      </x:c>
      <x:c r="K59" s="10" t="str">
        <x:v>HESA provider return</x:v>
      </x:c>
      <x:c r="L59" s="10" t="str">
        <x:v>Comparable CPD/CE definition. One year supplied: no growth calculation. Do not add to overlapping annual-report categories.</x:v>
      </x:c>
      <x:c r="M59" s="10" t="str">
        <x:v>HESA HE-BCI Table 2b; user-supplied dt032-table-2b.csv. https://www.hesa.ac.uk/data-and-analysis/business-community</x:v>
      </x:c>
      <x:c r="N59" s="10" t="str">
        <x:v>10007775</x:v>
      </x:c>
    </x:row>
    <x:row r="60" ht="110" customHeight="1">
      <x:c r="A60" s="10" t="str">
        <x:v>UK</x:v>
      </x:c>
      <x:c r="B60" s="11" t="str">
        <x:v>Queen’s University Belfast</x:v>
      </x:c>
      <x:c r="C60" s="10" t="str">
        <x:v>HESA CPD/CE revenue</x:v>
      </x:c>
      <x:c r="D60" s="10" t="str">
        <x:v>CPD/CE courses for business and the community</x:v>
      </x:c>
      <x:c r="E60" s="10" t="str">
        <x:v>GBP m</x:v>
      </x:c>
      <x:c r="F60" s="10" t="str">
        <x:v>Not supplied</x:v>
      </x:c>
      <x:c r="G60" s="19" t="str">
        <x:v>n.a.</x:v>
      </x:c>
      <x:c r="H60" s="19" t="str">
        <x:v>2024/25</x:v>
      </x:c>
      <x:c r="I60" s="19" t="n">
        <x:f>INDEX('UK providers'!$K$7:$K$212,MATCH(N60,'UK providers'!$A$7:$A$212,0))</x:f>
        <x:v>5.565</x:v>
      </x:c>
      <x:c r="J60" s="20" t="str">
        <x:v>n.a.</x:v>
      </x:c>
      <x:c r="K60" s="10" t="str">
        <x:v>HESA provider return</x:v>
      </x:c>
      <x:c r="L60" s="10" t="str">
        <x:v>Comparable CPD/CE definition. One year supplied: no growth calculation. Do not add to overlapping annual-report categories.</x:v>
      </x:c>
      <x:c r="M60" s="10" t="str">
        <x:v>HESA HE-BCI Table 2b; user-supplied dt032-table-2b.csv. https://www.hesa.ac.uk/data-and-analysis/business-community</x:v>
      </x:c>
      <x:c r="N60" s="10" t="str">
        <x:v>10005343</x:v>
      </x:c>
    </x:row>
    <x:row r="61" ht="110" customHeight="1">
      <x:c r="A61" s="10" t="str">
        <x:v>UK</x:v>
      </x:c>
      <x:c r="B61" s="11" t="str">
        <x:v>Sheffield</x:v>
      </x:c>
      <x:c r="C61" s="10" t="str">
        <x:v>HESA CPD/CE revenue</x:v>
      </x:c>
      <x:c r="D61" s="10" t="str">
        <x:v>CPD/CE courses for business and the community</x:v>
      </x:c>
      <x:c r="E61" s="10" t="str">
        <x:v>GBP m</x:v>
      </x:c>
      <x:c r="F61" s="10" t="str">
        <x:v>Not supplied</x:v>
      </x:c>
      <x:c r="G61" s="19" t="str">
        <x:v>n.a.</x:v>
      </x:c>
      <x:c r="H61" s="19" t="str">
        <x:v>2024/25</x:v>
      </x:c>
      <x:c r="I61" s="19" t="n">
        <x:f>INDEX('UK providers'!$K$7:$K$212,MATCH(N61,'UK providers'!$A$7:$A$212,0))</x:f>
        <x:v>1.025</x:v>
      </x:c>
      <x:c r="J61" s="20" t="str">
        <x:v>n.a.</x:v>
      </x:c>
      <x:c r="K61" s="10" t="str">
        <x:v>HESA provider return</x:v>
      </x:c>
      <x:c r="L61" s="10" t="str">
        <x:v>Comparable CPD/CE definition. One year supplied: no growth calculation. Do not add to overlapping annual-report categories.</x:v>
      </x:c>
      <x:c r="M61" s="10" t="str">
        <x:v>HESA HE-BCI Table 2b; user-supplied dt032-table-2b.csv. https://www.hesa.ac.uk/data-and-analysis/business-community</x:v>
      </x:c>
      <x:c r="N61" s="10" t="str">
        <x:v>10007157</x:v>
      </x:c>
    </x:row>
    <x:row r="62" ht="110" customHeight="1">
      <x:c r="A62" s="10" t="str">
        <x:v>UK</x:v>
      </x:c>
      <x:c r="B62" s="11" t="str">
        <x:v>Southampton</x:v>
      </x:c>
      <x:c r="C62" s="10" t="str">
        <x:v>HESA CPD/CE revenue</x:v>
      </x:c>
      <x:c r="D62" s="10" t="str">
        <x:v>CPD/CE courses for business and the community</x:v>
      </x:c>
      <x:c r="E62" s="10" t="str">
        <x:v>GBP m</x:v>
      </x:c>
      <x:c r="F62" s="10" t="str">
        <x:v>Not supplied</x:v>
      </x:c>
      <x:c r="G62" s="19" t="str">
        <x:v>n.a.</x:v>
      </x:c>
      <x:c r="H62" s="19" t="str">
        <x:v>2024/25</x:v>
      </x:c>
      <x:c r="I62" s="19" t="n">
        <x:f>INDEX('UK providers'!$K$7:$K$212,MATCH(N62,'UK providers'!$A$7:$A$212,0))</x:f>
        <x:v>2.601</x:v>
      </x:c>
      <x:c r="J62" s="20" t="str">
        <x:v>n.a.</x:v>
      </x:c>
      <x:c r="K62" s="10" t="str">
        <x:v>HESA provider return</x:v>
      </x:c>
      <x:c r="L62" s="10" t="str">
        <x:v>Comparable CPD/CE definition. One year supplied: no growth calculation. Do not add to overlapping annual-report categories.</x:v>
      </x:c>
      <x:c r="M62" s="10" t="str">
        <x:v>HESA HE-BCI Table 2b; user-supplied dt032-table-2b.csv. https://www.hesa.ac.uk/data-and-analysis/business-community</x:v>
      </x:c>
      <x:c r="N62" s="10" t="str">
        <x:v>10007158</x:v>
      </x:c>
    </x:row>
    <x:row r="63" ht="110" customHeight="1">
      <x:c r="A63" s="10" t="str">
        <x:v>UK</x:v>
      </x:c>
      <x:c r="B63" s="11" t="str">
        <x:v>UCL</x:v>
      </x:c>
      <x:c r="C63" s="10" t="str">
        <x:v>HESA CPD/CE revenue</x:v>
      </x:c>
      <x:c r="D63" s="10" t="str">
        <x:v>CPD/CE courses for business and the community</x:v>
      </x:c>
      <x:c r="E63" s="10" t="str">
        <x:v>GBP m</x:v>
      </x:c>
      <x:c r="F63" s="10" t="str">
        <x:v>Not supplied</x:v>
      </x:c>
      <x:c r="G63" s="19" t="str">
        <x:v>n.a.</x:v>
      </x:c>
      <x:c r="H63" s="19" t="str">
        <x:v>2024/25</x:v>
      </x:c>
      <x:c r="I63" s="19" t="n">
        <x:f>INDEX('UK providers'!$K$7:$K$212,MATCH(N63,'UK providers'!$A$7:$A$212,0))</x:f>
        <x:v>16.737</x:v>
      </x:c>
      <x:c r="J63" s="20" t="str">
        <x:v>n.a.</x:v>
      </x:c>
      <x:c r="K63" s="10" t="str">
        <x:v>HESA provider return</x:v>
      </x:c>
      <x:c r="L63" s="10" t="str">
        <x:v>Comparable CPD/CE definition. One year supplied: no growth calculation. Do not add to overlapping annual-report categories.</x:v>
      </x:c>
      <x:c r="M63" s="10" t="str">
        <x:v>HESA HE-BCI Table 2b; user-supplied dt032-table-2b.csv. https://www.hesa.ac.uk/data-and-analysis/business-community</x:v>
      </x:c>
      <x:c r="N63" s="10" t="str">
        <x:v>10007784</x:v>
      </x:c>
    </x:row>
    <x:row r="64" ht="110" customHeight="1">
      <x:c r="A64" s="10" t="str">
        <x:v>UK</x:v>
      </x:c>
      <x:c r="B64" s="11" t="str">
        <x:v>Warwick</x:v>
      </x:c>
      <x:c r="C64" s="10" t="str">
        <x:v>HESA CPD/CE revenue</x:v>
      </x:c>
      <x:c r="D64" s="10" t="str">
        <x:v>CPD/CE courses for business and the community</x:v>
      </x:c>
      <x:c r="E64" s="10" t="str">
        <x:v>GBP m</x:v>
      </x:c>
      <x:c r="F64" s="10" t="str">
        <x:v>Not supplied</x:v>
      </x:c>
      <x:c r="G64" s="19" t="str">
        <x:v>n.a.</x:v>
      </x:c>
      <x:c r="H64" s="19" t="str">
        <x:v>2024/25</x:v>
      </x:c>
      <x:c r="I64" s="19" t="n">
        <x:f>INDEX('UK providers'!$K$7:$K$212,MATCH(N64,'UK providers'!$A$7:$A$212,0))</x:f>
        <x:v>8.504</x:v>
      </x:c>
      <x:c r="J64" s="20" t="str">
        <x:v>n.a.</x:v>
      </x:c>
      <x:c r="K64" s="10" t="str">
        <x:v>HESA provider return</x:v>
      </x:c>
      <x:c r="L64" s="10" t="str">
        <x:v>Comparable CPD/CE definition. One year supplied: no growth calculation. Do not add to overlapping annual-report categories.</x:v>
      </x:c>
      <x:c r="M64" s="10" t="str">
        <x:v>HESA HE-BCI Table 2b; user-supplied dt032-table-2b.csv. https://www.hesa.ac.uk/data-and-analysis/business-community</x:v>
      </x:c>
      <x:c r="N64" s="10" t="str">
        <x:v>10007163</x:v>
      </x:c>
    </x:row>
    <x:row r="65" ht="110" customHeight="1">
      <x:c r="A65" s="10" t="str">
        <x:v>UK</x:v>
      </x:c>
      <x:c r="B65" s="11" t="str">
        <x:v>York</x:v>
      </x:c>
      <x:c r="C65" s="10" t="str">
        <x:v>HESA CPD/CE revenue</x:v>
      </x:c>
      <x:c r="D65" s="10" t="str">
        <x:v>CPD/CE courses for business and the community</x:v>
      </x:c>
      <x:c r="E65" s="10" t="str">
        <x:v>GBP m</x:v>
      </x:c>
      <x:c r="F65" s="10" t="str">
        <x:v>Not supplied</x:v>
      </x:c>
      <x:c r="G65" s="19" t="str">
        <x:v>n.a.</x:v>
      </x:c>
      <x:c r="H65" s="19" t="str">
        <x:v>2024/25</x:v>
      </x:c>
      <x:c r="I65" s="19" t="n">
        <x:f>INDEX('UK providers'!$K$7:$K$212,MATCH(N65,'UK providers'!$A$7:$A$212,0))</x:f>
        <x:v>4.77</x:v>
      </x:c>
      <x:c r="J65" s="20" t="str">
        <x:v>n.a.</x:v>
      </x:c>
      <x:c r="K65" s="10" t="str">
        <x:v>HESA provider return</x:v>
      </x:c>
      <x:c r="L65" s="10" t="str">
        <x:v>Comparable CPD/CE definition. One year supplied: no growth calculation. Do not add to overlapping annual-report categories.</x:v>
      </x:c>
      <x:c r="M65" s="10" t="str">
        <x:v>HESA HE-BCI Table 2b; user-supplied dt032-table-2b.csv. https://www.hesa.ac.uk/data-and-analysis/business-community</x:v>
      </x:c>
      <x:c r="N65" s="10" t="str">
        <x:v>10007167</x:v>
      </x:c>
    </x:row>
    <x:row r="66" ht="110" customHeight="1">
      <x:c r="A66" s="10" t="str">
        <x:v>UK</x:v>
      </x:c>
      <x:c r="B66" s="11" t="str">
        <x:v>Bath</x:v>
      </x:c>
      <x:c r="C66" s="10" t="str">
        <x:v>HESA CPD/CE revenue</x:v>
      </x:c>
      <x:c r="D66" s="10" t="str">
        <x:v>CPD/CE courses for business and the community</x:v>
      </x:c>
      <x:c r="E66" s="10" t="str">
        <x:v>GBP m</x:v>
      </x:c>
      <x:c r="F66" s="10" t="str">
        <x:v>Not supplied</x:v>
      </x:c>
      <x:c r="G66" s="19" t="str">
        <x:v>n.a.</x:v>
      </x:c>
      <x:c r="H66" s="19" t="str">
        <x:v>2024/25</x:v>
      </x:c>
      <x:c r="I66" s="19" t="n">
        <x:f>INDEX('UK providers'!$K$7:$K$212,MATCH(N66,'UK providers'!$A$7:$A$212,0))</x:f>
        <x:v>6.747</x:v>
      </x:c>
      <x:c r="J66" s="20" t="str">
        <x:v>n.a.</x:v>
      </x:c>
      <x:c r="K66" s="10" t="str">
        <x:v>HESA provider return</x:v>
      </x:c>
      <x:c r="L66" s="10" t="str">
        <x:v>Comparable CPD/CE definition. One year supplied: no growth calculation. Do not add to overlapping annual-report categories.</x:v>
      </x:c>
      <x:c r="M66" s="10" t="str">
        <x:v>HESA HE-BCI Table 2b; user-supplied dt032-table-2b.csv. https://www.hesa.ac.uk/data-and-analysis/business-community</x:v>
      </x:c>
      <x:c r="N66" s="10" t="str">
        <x:v>10007850</x:v>
      </x:c>
    </x:row>
    <x:row r="67" ht="110" customHeight="1">
      <x:c r="A67" s="10" t="str">
        <x:v>UK</x:v>
      </x:c>
      <x:c r="B67" s="11" t="str">
        <x:v>St Andrews</x:v>
      </x:c>
      <x:c r="C67" s="10" t="str">
        <x:v>HESA CPD/CE revenue</x:v>
      </x:c>
      <x:c r="D67" s="10" t="str">
        <x:v>CPD/CE courses for business and the community</x:v>
      </x:c>
      <x:c r="E67" s="10" t="str">
        <x:v>GBP m</x:v>
      </x:c>
      <x:c r="F67" s="10" t="str">
        <x:v>Not supplied</x:v>
      </x:c>
      <x:c r="G67" s="19" t="str">
        <x:v>n.a.</x:v>
      </x:c>
      <x:c r="H67" s="19" t="str">
        <x:v>2024/25</x:v>
      </x:c>
      <x:c r="I67" s="19" t="n">
        <x:f>INDEX('UK providers'!$K$7:$K$212,MATCH(N67,'UK providers'!$A$7:$A$212,0))</x:f>
        <x:v>1.073</x:v>
      </x:c>
      <x:c r="J67" s="20" t="str">
        <x:v>n.a.</x:v>
      </x:c>
      <x:c r="K67" s="10" t="str">
        <x:v>HESA provider return</x:v>
      </x:c>
      <x:c r="L67" s="10" t="str">
        <x:v>Comparable CPD/CE definition. One year supplied: no growth calculation. Do not add to overlapping annual-report categories.</x:v>
      </x:c>
      <x:c r="M67" s="10" t="str">
        <x:v>HESA HE-BCI Table 2b; user-supplied dt032-table-2b.csv. https://www.hesa.ac.uk/data-and-analysis/business-community</x:v>
      </x:c>
      <x:c r="N67" s="10" t="str">
        <x:v>10007803</x:v>
      </x:c>
    </x:row>
    <x:row r="68" ht="110" customHeight="1">
      <x:c r="A68" s="10" t="str">
        <x:v>UK</x:v>
      </x:c>
      <x:c r="B68" s="11" t="str">
        <x:v>Lancaster</x:v>
      </x:c>
      <x:c r="C68" s="10" t="str">
        <x:v>HESA CPD/CE revenue</x:v>
      </x:c>
      <x:c r="D68" s="10" t="str">
        <x:v>CPD/CE courses for business and the community</x:v>
      </x:c>
      <x:c r="E68" s="10" t="str">
        <x:v>GBP m</x:v>
      </x:c>
      <x:c r="F68" s="10" t="str">
        <x:v>Not supplied</x:v>
      </x:c>
      <x:c r="G68" s="19" t="str">
        <x:v>n.a.</x:v>
      </x:c>
      <x:c r="H68" s="19" t="str">
        <x:v>2024/25</x:v>
      </x:c>
      <x:c r="I68" s="19" t="n">
        <x:f>INDEX('UK providers'!$K$7:$K$212,MATCH(N68,'UK providers'!$A$7:$A$212,0))</x:f>
        <x:v>1.289</x:v>
      </x:c>
      <x:c r="J68" s="20" t="str">
        <x:v>n.a.</x:v>
      </x:c>
      <x:c r="K68" s="10" t="str">
        <x:v>HESA provider return</x:v>
      </x:c>
      <x:c r="L68" s="10" t="str">
        <x:v>Comparable CPD/CE definition. One year supplied: no growth calculation. Do not add to overlapping annual-report categories.</x:v>
      </x:c>
      <x:c r="M68" s="10" t="str">
        <x:v>HESA HE-BCI Table 2b; user-supplied dt032-table-2b.csv. https://www.hesa.ac.uk/data-and-analysis/business-community</x:v>
      </x:c>
      <x:c r="N68" s="10" t="str">
        <x:v>10007768</x:v>
      </x:c>
    </x:row>
    <x:row r="69" ht="110" customHeight="1">
      <x:c r="A69" s="10" t="str">
        <x:v>UK</x:v>
      </x:c>
      <x:c r="B69" s="11" t="str">
        <x:v>Loughborough</x:v>
      </x:c>
      <x:c r="C69" s="10" t="str">
        <x:v>HESA CPD/CE revenue</x:v>
      </x:c>
      <x:c r="D69" s="10" t="str">
        <x:v>CPD/CE courses for business and the community</x:v>
      </x:c>
      <x:c r="E69" s="10" t="str">
        <x:v>GBP m</x:v>
      </x:c>
      <x:c r="F69" s="10" t="str">
        <x:v>Not supplied</x:v>
      </x:c>
      <x:c r="G69" s="19" t="str">
        <x:v>n.a.</x:v>
      </x:c>
      <x:c r="H69" s="19" t="str">
        <x:v>2024/25</x:v>
      </x:c>
      <x:c r="I69" s="19" t="n">
        <x:f>INDEX('UK providers'!$K$7:$K$212,MATCH(N69,'UK providers'!$A$7:$A$212,0))</x:f>
        <x:v>0.846</x:v>
      </x:c>
      <x:c r="J69" s="20" t="str">
        <x:v>n.a.</x:v>
      </x:c>
      <x:c r="K69" s="10" t="str">
        <x:v>HESA provider return</x:v>
      </x:c>
      <x:c r="L69" s="10" t="str">
        <x:v>Comparable CPD/CE definition. One year supplied: no growth calculation. Do not add to overlapping annual-report categories.</x:v>
      </x:c>
      <x:c r="M69" s="10" t="str">
        <x:v>HESA HE-BCI Table 2b; user-supplied dt032-table-2b.csv. https://www.hesa.ac.uk/data-and-analysis/business-community</x:v>
      </x:c>
      <x:c r="N69" s="10" t="str">
        <x:v>10004113</x:v>
      </x:c>
    </x:row>
    <x:row r="70" ht="110" customHeight="1">
      <x:c r="A70" s="10" t="str">
        <x:v>UK</x:v>
      </x:c>
      <x:c r="B70" s="11" t="str">
        <x:v>Aberdeen</x:v>
      </x:c>
      <x:c r="C70" s="10" t="str">
        <x:v>HESA CPD/CE revenue</x:v>
      </x:c>
      <x:c r="D70" s="10" t="str">
        <x:v>CPD/CE courses for business and the community</x:v>
      </x:c>
      <x:c r="E70" s="10" t="str">
        <x:v>GBP m</x:v>
      </x:c>
      <x:c r="F70" s="10" t="str">
        <x:v>Not supplied</x:v>
      </x:c>
      <x:c r="G70" s="19" t="str">
        <x:v>n.a.</x:v>
      </x:c>
      <x:c r="H70" s="19" t="str">
        <x:v>2024/25</x:v>
      </x:c>
      <x:c r="I70" s="19" t="n">
        <x:f>INDEX('UK providers'!$K$7:$K$212,MATCH(N70,'UK providers'!$A$7:$A$212,0))</x:f>
        <x:v>5.199</x:v>
      </x:c>
      <x:c r="J70" s="20" t="str">
        <x:v>n.a.</x:v>
      </x:c>
      <x:c r="K70" s="10" t="str">
        <x:v>HESA provider return</x:v>
      </x:c>
      <x:c r="L70" s="10" t="str">
        <x:v>Comparable CPD/CE definition. One year supplied: no growth calculation. Do not add to overlapping annual-report categories.</x:v>
      </x:c>
      <x:c r="M70" s="10" t="str">
        <x:v>HESA HE-BCI Table 2b; user-supplied dt032-table-2b.csv. https://www.hesa.ac.uk/data-and-analysis/business-community</x:v>
      </x:c>
      <x:c r="N70" s="10" t="str">
        <x:v>10007783</x:v>
      </x:c>
    </x:row>
    <x:row r="71" ht="110" customHeight="1">
      <x:c r="A71" s="10" t="str">
        <x:v>UK</x:v>
      </x:c>
      <x:c r="B71" s="11" t="str">
        <x:v>Reading</x:v>
      </x:c>
      <x:c r="C71" s="10" t="str">
        <x:v>HESA CPD/CE revenue</x:v>
      </x:c>
      <x:c r="D71" s="10" t="str">
        <x:v>CPD/CE courses for business and the community</x:v>
      </x:c>
      <x:c r="E71" s="10" t="str">
        <x:v>GBP m</x:v>
      </x:c>
      <x:c r="F71" s="10" t="str">
        <x:v>Not supplied</x:v>
      </x:c>
      <x:c r="G71" s="19" t="str">
        <x:v>n.a.</x:v>
      </x:c>
      <x:c r="H71" s="19" t="str">
        <x:v>2024/25</x:v>
      </x:c>
      <x:c r="I71" s="19" t="n">
        <x:f>INDEX('UK providers'!$K$7:$K$212,MATCH(N71,'UK providers'!$A$7:$A$212,0))</x:f>
        <x:v>11.968</x:v>
      </x:c>
      <x:c r="J71" s="20" t="str">
        <x:v>n.a.</x:v>
      </x:c>
      <x:c r="K71" s="10" t="str">
        <x:v>HESA provider return</x:v>
      </x:c>
      <x:c r="L71" s="10" t="str">
        <x:v>Comparable CPD/CE definition. One year supplied: no growth calculation. Do not add to overlapping annual-report categories.</x:v>
      </x:c>
      <x:c r="M71" s="10" t="str">
        <x:v>HESA HE-BCI Table 2b; user-supplied dt032-table-2b.csv. https://www.hesa.ac.uk/data-and-analysis/business-community</x:v>
      </x:c>
      <x:c r="N71" s="10" t="str">
        <x:v>10007802</x:v>
      </x:c>
    </x:row>
    <x:row r="72" ht="110" customHeight="1">
      <x:c r="A72" s="10" t="str">
        <x:v>UK</x:v>
      </x:c>
      <x:c r="B72" s="11" t="str">
        <x:v>Surrey</x:v>
      </x:c>
      <x:c r="C72" s="10" t="str">
        <x:v>HESA CPD/CE revenue</x:v>
      </x:c>
      <x:c r="D72" s="10" t="str">
        <x:v>CPD/CE courses for business and the community</x:v>
      </x:c>
      <x:c r="E72" s="10" t="str">
        <x:v>GBP m</x:v>
      </x:c>
      <x:c r="F72" s="10" t="str">
        <x:v>Not supplied</x:v>
      </x:c>
      <x:c r="G72" s="19" t="str">
        <x:v>n.a.</x:v>
      </x:c>
      <x:c r="H72" s="19" t="str">
        <x:v>2024/25</x:v>
      </x:c>
      <x:c r="I72" s="19" t="n">
        <x:f>INDEX('UK providers'!$K$7:$K$212,MATCH(N72,'UK providers'!$A$7:$A$212,0))</x:f>
        <x:v>1.443</x:v>
      </x:c>
      <x:c r="J72" s="20" t="str">
        <x:v>n.a.</x:v>
      </x:c>
      <x:c r="K72" s="10" t="str">
        <x:v>HESA provider return</x:v>
      </x:c>
      <x:c r="L72" s="10" t="str">
        <x:v>Comparable CPD/CE definition. One year supplied: no growth calculation. Do not add to overlapping annual-report categories.</x:v>
      </x:c>
      <x:c r="M72" s="10" t="str">
        <x:v>HESA HE-BCI Table 2b; user-supplied dt032-table-2b.csv. https://www.hesa.ac.uk/data-and-analysis/business-community</x:v>
      </x:c>
      <x:c r="N72" s="10" t="str">
        <x:v>10007160</x:v>
      </x:c>
    </x:row>
    <x:row r="73" ht="110" customHeight="1">
      <x:c r="A73" s="10" t="str">
        <x:v>UK</x:v>
      </x:c>
      <x:c r="B73" s="11" t="str">
        <x:v>Sussex</x:v>
      </x:c>
      <x:c r="C73" s="10" t="str">
        <x:v>HESA CPD/CE revenue</x:v>
      </x:c>
      <x:c r="D73" s="10" t="str">
        <x:v>CPD/CE courses for business and the community</x:v>
      </x:c>
      <x:c r="E73" s="10" t="str">
        <x:v>GBP m</x:v>
      </x:c>
      <x:c r="F73" s="10" t="str">
        <x:v>Not supplied</x:v>
      </x:c>
      <x:c r="G73" s="19" t="str">
        <x:v>n.a.</x:v>
      </x:c>
      <x:c r="H73" s="19" t="str">
        <x:v>2024/25</x:v>
      </x:c>
      <x:c r="I73" s="19" t="n">
        <x:f>INDEX('UK providers'!$K$7:$K$212,MATCH(N73,'UK providers'!$A$7:$A$212,0))</x:f>
        <x:v>0.93</x:v>
      </x:c>
      <x:c r="J73" s="20" t="str">
        <x:v>n.a.</x:v>
      </x:c>
      <x:c r="K73" s="10" t="str">
        <x:v>HESA provider return</x:v>
      </x:c>
      <x:c r="L73" s="10" t="str">
        <x:v>Comparable CPD/CE definition. One year supplied: no growth calculation. Do not add to overlapping annual-report categories.</x:v>
      </x:c>
      <x:c r="M73" s="10" t="str">
        <x:v>HESA HE-BCI Table 2b; user-supplied dt032-table-2b.csv. https://www.hesa.ac.uk/data-and-analysis/business-community</x:v>
      </x:c>
      <x:c r="N73" s="10" t="str">
        <x:v>10007806</x:v>
      </x:c>
    </x:row>
    <x:row r="74" ht="110" customHeight="1">
      <x:c r="A74" s="10" t="str">
        <x:v>UK</x:v>
      </x:c>
      <x:c r="B74" s="11" t="str">
        <x:v>Leicester</x:v>
      </x:c>
      <x:c r="C74" s="10" t="str">
        <x:v>HESA CPD/CE revenue</x:v>
      </x:c>
      <x:c r="D74" s="10" t="str">
        <x:v>CPD/CE courses for business and the community</x:v>
      </x:c>
      <x:c r="E74" s="10" t="str">
        <x:v>GBP m</x:v>
      </x:c>
      <x:c r="F74" s="10" t="str">
        <x:v>Not supplied</x:v>
      </x:c>
      <x:c r="G74" s="19" t="str">
        <x:v>n.a.</x:v>
      </x:c>
      <x:c r="H74" s="19" t="str">
        <x:v>2024/25</x:v>
      </x:c>
      <x:c r="I74" s="19" t="n">
        <x:f>INDEX('UK providers'!$K$7:$K$212,MATCH(N74,'UK providers'!$A$7:$A$212,0))</x:f>
        <x:v>3.541</x:v>
      </x:c>
      <x:c r="J74" s="20" t="str">
        <x:v>n.a.</x:v>
      </x:c>
      <x:c r="K74" s="10" t="str">
        <x:v>HESA provider return</x:v>
      </x:c>
      <x:c r="L74" s="10" t="str">
        <x:v>Comparable CPD/CE definition. One year supplied: no growth calculation. Do not add to overlapping annual-report categories.</x:v>
      </x:c>
      <x:c r="M74" s="10" t="str">
        <x:v>HESA HE-BCI Table 2b; user-supplied dt032-table-2b.csv. https://www.hesa.ac.uk/data-and-analysis/business-community</x:v>
      </x:c>
      <x:c r="N74" s="10" t="str">
        <x:v>10007796</x:v>
      </x:c>
    </x:row>
    <x:row r="75" ht="110" customHeight="1">
      <x:c r="A75" s="10" t="str">
        <x:v>UK</x:v>
      </x:c>
      <x:c r="B75" s="11" t="str">
        <x:v>Strathclyde</x:v>
      </x:c>
      <x:c r="C75" s="10" t="str">
        <x:v>HESA CPD/CE revenue</x:v>
      </x:c>
      <x:c r="D75" s="10" t="str">
        <x:v>CPD/CE courses for business and the community</x:v>
      </x:c>
      <x:c r="E75" s="10" t="str">
        <x:v>GBP m</x:v>
      </x:c>
      <x:c r="F75" s="10" t="str">
        <x:v>Not supplied</x:v>
      </x:c>
      <x:c r="G75" s="19" t="str">
        <x:v>n.a.</x:v>
      </x:c>
      <x:c r="H75" s="19" t="str">
        <x:v>2024/25</x:v>
      </x:c>
      <x:c r="I75" s="19" t="n">
        <x:f>INDEX('UK providers'!$K$7:$K$212,MATCH(N75,'UK providers'!$A$7:$A$212,0))</x:f>
        <x:v>17.128</x:v>
      </x:c>
      <x:c r="J75" s="20" t="str">
        <x:v>n.a.</x:v>
      </x:c>
      <x:c r="K75" s="10" t="str">
        <x:v>HESA provider return</x:v>
      </x:c>
      <x:c r="L75" s="10" t="str">
        <x:v>Comparable CPD/CE definition. One year supplied: no growth calculation. Do not add to overlapping annual-report categories.</x:v>
      </x:c>
      <x:c r="M75" s="10" t="str">
        <x:v>HESA HE-BCI Table 2b; user-supplied dt032-table-2b.csv. https://www.hesa.ac.uk/data-and-analysis/business-community</x:v>
      </x:c>
      <x:c r="N75" s="10" t="str">
        <x:v>10007805</x:v>
      </x:c>
    </x:row>
    <x:row r="76" ht="110" customHeight="1">
      <x:c r="A76" s="10" t="str">
        <x:v>UK</x:v>
      </x:c>
      <x:c r="B76" s="11" t="str">
        <x:v>Heriot-Watt</x:v>
      </x:c>
      <x:c r="C76" s="10" t="str">
        <x:v>HESA CPD/CE revenue</x:v>
      </x:c>
      <x:c r="D76" s="10" t="str">
        <x:v>CPD/CE courses for business and the community</x:v>
      </x:c>
      <x:c r="E76" s="10" t="str">
        <x:v>GBP m</x:v>
      </x:c>
      <x:c r="F76" s="10" t="str">
        <x:v>Not supplied</x:v>
      </x:c>
      <x:c r="G76" s="19" t="str">
        <x:v>n.a.</x:v>
      </x:c>
      <x:c r="H76" s="19" t="str">
        <x:v>2024/25</x:v>
      </x:c>
      <x:c r="I76" s="19" t="n">
        <x:f>INDEX('UK providers'!$K$7:$K$212,MATCH(N76,'UK providers'!$A$7:$A$212,0))</x:f>
        <x:v>3.176</x:v>
      </x:c>
      <x:c r="J76" s="20" t="str">
        <x:v>n.a.</x:v>
      </x:c>
      <x:c r="K76" s="10" t="str">
        <x:v>HESA provider return</x:v>
      </x:c>
      <x:c r="L76" s="10" t="str">
        <x:v>Comparable CPD/CE definition. One year supplied: no growth calculation. Do not add to overlapping annual-report categories.</x:v>
      </x:c>
      <x:c r="M76" s="10" t="str">
        <x:v>HESA HE-BCI Table 2b; user-supplied dt032-table-2b.csv. https://www.hesa.ac.uk/data-and-analysis/business-community</x:v>
      </x:c>
      <x:c r="N76" s="10" t="str">
        <x:v>10007764</x:v>
      </x:c>
    </x:row>
    <x:row r="77" ht="110" customHeight="1">
      <x:c r="A77" s="10" t="str">
        <x:v>UK</x:v>
      </x:c>
      <x:c r="B77" s="11" t="str">
        <x:v>East Anglia</x:v>
      </x:c>
      <x:c r="C77" s="10" t="str">
        <x:v>HESA CPD/CE revenue</x:v>
      </x:c>
      <x:c r="D77" s="10" t="str">
        <x:v>CPD/CE courses for business and the community</x:v>
      </x:c>
      <x:c r="E77" s="10" t="str">
        <x:v>GBP m</x:v>
      </x:c>
      <x:c r="F77" s="10" t="str">
        <x:v>Not supplied</x:v>
      </x:c>
      <x:c r="G77" s="19" t="str">
        <x:v>n.a.</x:v>
      </x:c>
      <x:c r="H77" s="19" t="str">
        <x:v>2024/25</x:v>
      </x:c>
      <x:c r="I77" s="19" t="n">
        <x:f>INDEX('UK providers'!$K$7:$K$212,MATCH(N77,'UK providers'!$A$7:$A$212,0))</x:f>
        <x:v>6.409</x:v>
      </x:c>
      <x:c r="J77" s="20" t="str">
        <x:v>n.a.</x:v>
      </x:c>
      <x:c r="K77" s="10" t="str">
        <x:v>HESA provider return</x:v>
      </x:c>
      <x:c r="L77" s="10" t="str">
        <x:v>Comparable CPD/CE definition. One year supplied: no growth calculation. Do not add to overlapping annual-report categories.</x:v>
      </x:c>
      <x:c r="M77" s="10" t="str">
        <x:v>HESA HE-BCI Table 2b; user-supplied dt032-table-2b.csv. https://www.hesa.ac.uk/data-and-analysis/business-community</x:v>
      </x:c>
      <x:c r="N77" s="10" t="str">
        <x:v>10007789</x:v>
      </x:c>
    </x:row>
    <x:row r="78" ht="110" customHeight="1">
      <x:c r="A78" s="10" t="str">
        <x:v>UK</x:v>
      </x:c>
      <x:c r="B78" s="11" t="str">
        <x:v>Dundee</x:v>
      </x:c>
      <x:c r="C78" s="10" t="str">
        <x:v>HESA CPD/CE revenue</x:v>
      </x:c>
      <x:c r="D78" s="10" t="str">
        <x:v>CPD/CE courses for business and the community</x:v>
      </x:c>
      <x:c r="E78" s="10" t="str">
        <x:v>GBP m</x:v>
      </x:c>
      <x:c r="F78" s="10" t="str">
        <x:v>Not supplied</x:v>
      </x:c>
      <x:c r="G78" s="19" t="str">
        <x:v>n.a.</x:v>
      </x:c>
      <x:c r="H78" s="19" t="str">
        <x:v>2024/25</x:v>
      </x:c>
      <x:c r="I78" s="19" t="n">
        <x:f>INDEX('UK providers'!$K$7:$K$212,MATCH(N78,'UK providers'!$A$7:$A$212,0))</x:f>
        <x:v>0.808</x:v>
      </x:c>
      <x:c r="J78" s="20" t="str">
        <x:v>n.a.</x:v>
      </x:c>
      <x:c r="K78" s="10" t="str">
        <x:v>HESA provider return</x:v>
      </x:c>
      <x:c r="L78" s="10" t="str">
        <x:v>Comparable CPD/CE definition. One year supplied: no growth calculation. Do not add to overlapping annual-report categories.</x:v>
      </x:c>
      <x:c r="M78" s="10" t="str">
        <x:v>HESA HE-BCI Table 2b; user-supplied dt032-table-2b.csv. https://www.hesa.ac.uk/data-and-analysis/business-community</x:v>
      </x:c>
      <x:c r="N78" s="10" t="str">
        <x:v>10007852</x:v>
      </x:c>
    </x:row>
    <x:row r="79" ht="110" customHeight="1">
      <x:c r="A79" s="10" t="str">
        <x:v>UK</x:v>
      </x:c>
      <x:c r="B79" s="11" t="str">
        <x:v>Swansea</x:v>
      </x:c>
      <x:c r="C79" s="10" t="str">
        <x:v>HESA CPD/CE revenue</x:v>
      </x:c>
      <x:c r="D79" s="10" t="str">
        <x:v>CPD/CE courses for business and the community</x:v>
      </x:c>
      <x:c r="E79" s="10" t="str">
        <x:v>GBP m</x:v>
      </x:c>
      <x:c r="F79" s="10" t="str">
        <x:v>Not supplied</x:v>
      </x:c>
      <x:c r="G79" s="19" t="str">
        <x:v>n.a.</x:v>
      </x:c>
      <x:c r="H79" s="19" t="str">
        <x:v>2024/25</x:v>
      </x:c>
      <x:c r="I79" s="19" t="n">
        <x:f>INDEX('UK providers'!$K$7:$K$212,MATCH(N79,'UK providers'!$A$7:$A$212,0))</x:f>
        <x:v>4.215</x:v>
      </x:c>
      <x:c r="J79" s="20" t="str">
        <x:v>n.a.</x:v>
      </x:c>
      <x:c r="K79" s="10" t="str">
        <x:v>HESA provider return</x:v>
      </x:c>
      <x:c r="L79" s="10" t="str">
        <x:v>Comparable CPD/CE definition. One year supplied: no growth calculation. Do not add to overlapping annual-report categories.</x:v>
      </x:c>
      <x:c r="M79" s="10" t="str">
        <x:v>HESA HE-BCI Table 2b; user-supplied dt032-table-2b.csv. https://www.hesa.ac.uk/data-and-analysis/business-community</x:v>
      </x:c>
      <x:c r="N79" s="10" t="str">
        <x:v>10007855</x:v>
      </x:c>
    </x:row>
    <x:row r="80" ht="110" customHeight="1">
      <x:c r="A80" s="10" t="str">
        <x:v>UK</x:v>
      </x:c>
      <x:c r="B80" s="11" t="str">
        <x:v>Essex</x:v>
      </x:c>
      <x:c r="C80" s="10" t="str">
        <x:v>HESA CPD/CE revenue</x:v>
      </x:c>
      <x:c r="D80" s="10" t="str">
        <x:v>CPD/CE courses for business and the community</x:v>
      </x:c>
      <x:c r="E80" s="10" t="str">
        <x:v>GBP m</x:v>
      </x:c>
      <x:c r="F80" s="10" t="str">
        <x:v>Not supplied</x:v>
      </x:c>
      <x:c r="G80" s="19" t="str">
        <x:v>n.a.</x:v>
      </x:c>
      <x:c r="H80" s="19" t="str">
        <x:v>2024/25</x:v>
      </x:c>
      <x:c r="I80" s="19" t="n">
        <x:f>INDEX('UK providers'!$K$7:$K$212,MATCH(N80,'UK providers'!$A$7:$A$212,0))</x:f>
        <x:v>3.276</x:v>
      </x:c>
      <x:c r="J80" s="20" t="str">
        <x:v>n.a.</x:v>
      </x:c>
      <x:c r="K80" s="10" t="str">
        <x:v>HESA provider return</x:v>
      </x:c>
      <x:c r="L80" s="10" t="str">
        <x:v>Comparable CPD/CE definition. One year supplied: no growth calculation. Do not add to overlapping annual-report categories.</x:v>
      </x:c>
      <x:c r="M80" s="10" t="str">
        <x:v>HESA HE-BCI Table 2b; user-supplied dt032-table-2b.csv. https://www.hesa.ac.uk/data-and-analysis/business-community</x:v>
      </x:c>
      <x:c r="N80" s="10" t="str">
        <x:v>10007791</x:v>
      </x:c>
    </x:row>
    <x:row r="81" ht="110" customHeight="1">
      <x:c r="A81" s="10" t="str">
        <x:v>UK</x:v>
      </x:c>
      <x:c r="B81" s="11" t="str">
        <x:v>Kent</x:v>
      </x:c>
      <x:c r="C81" s="10" t="str">
        <x:v>HESA CPD/CE revenue</x:v>
      </x:c>
      <x:c r="D81" s="10" t="str">
        <x:v>CPD/CE courses for business and the community</x:v>
      </x:c>
      <x:c r="E81" s="10" t="str">
        <x:v>GBP m</x:v>
      </x:c>
      <x:c r="F81" s="10" t="str">
        <x:v>Not supplied</x:v>
      </x:c>
      <x:c r="G81" s="19" t="str">
        <x:v>n.a.</x:v>
      </x:c>
      <x:c r="H81" s="19" t="str">
        <x:v>2024/25</x:v>
      </x:c>
      <x:c r="I81" s="19" t="n">
        <x:f>INDEX('UK providers'!$K$7:$K$212,MATCH(N81,'UK providers'!$A$7:$A$212,0))</x:f>
        <x:v>0.188</x:v>
      </x:c>
      <x:c r="J81" s="20" t="str">
        <x:v>n.a.</x:v>
      </x:c>
      <x:c r="K81" s="10" t="str">
        <x:v>HESA provider return</x:v>
      </x:c>
      <x:c r="L81" s="10" t="str">
        <x:v>Comparable CPD/CE definition. One year supplied: no growth calculation. Do not add to overlapping annual-report categories.</x:v>
      </x:c>
      <x:c r="M81" s="10" t="str">
        <x:v>HESA HE-BCI Table 2b; user-supplied dt032-table-2b.csv. https://www.hesa.ac.uk/data-and-analysis/business-community</x:v>
      </x:c>
      <x:c r="N81" s="10" t="str">
        <x:v>10007150</x:v>
      </x:c>
    </x:row>
    <x:row r="82" ht="110" customHeight="1">
      <x:c r="A82" s="10" t="str">
        <x:v>UK</x:v>
      </x:c>
      <x:c r="B82" s="11" t="str">
        <x:v>Brunel</x:v>
      </x:c>
      <x:c r="C82" s="10" t="str">
        <x:v>HESA CPD/CE revenue</x:v>
      </x:c>
      <x:c r="D82" s="10" t="str">
        <x:v>CPD/CE courses for business and the community</x:v>
      </x:c>
      <x:c r="E82" s="10" t="str">
        <x:v>GBP m</x:v>
      </x:c>
      <x:c r="F82" s="10" t="str">
        <x:v>Not supplied</x:v>
      </x:c>
      <x:c r="G82" s="19" t="str">
        <x:v>n.a.</x:v>
      </x:c>
      <x:c r="H82" s="19" t="str">
        <x:v>2024/25</x:v>
      </x:c>
      <x:c r="I82" s="19" t="n">
        <x:f>INDEX('UK providers'!$K$7:$K$212,MATCH(N82,'UK providers'!$A$7:$A$212,0))</x:f>
        <x:v>1.382</x:v>
      </x:c>
      <x:c r="J82" s="20" t="str">
        <x:v>n.a.</x:v>
      </x:c>
      <x:c r="K82" s="10" t="str">
        <x:v>HESA provider return</x:v>
      </x:c>
      <x:c r="L82" s="10" t="str">
        <x:v>Comparable CPD/CE definition. One year supplied: no growth calculation. Do not add to overlapping annual-report categories.</x:v>
      </x:c>
      <x:c r="M82" s="10" t="str">
        <x:v>HESA HE-BCI Table 2b; user-supplied dt032-table-2b.csv. https://www.hesa.ac.uk/data-and-analysis/business-community</x:v>
      </x:c>
      <x:c r="N82" s="10" t="str">
        <x:v>10000961</x:v>
      </x:c>
    </x:row>
    <x:row r="83" ht="110" customHeight="1">
      <x:c r="A83" s="10" t="str">
        <x:v>UK</x:v>
      </x:c>
      <x:c r="B83" s="11" t="str">
        <x:v>Aston</x:v>
      </x:c>
      <x:c r="C83" s="10" t="str">
        <x:v>HESA CPD/CE revenue</x:v>
      </x:c>
      <x:c r="D83" s="10" t="str">
        <x:v>CPD/CE courses for business and the community</x:v>
      </x:c>
      <x:c r="E83" s="10" t="str">
        <x:v>GBP m</x:v>
      </x:c>
      <x:c r="F83" s="10" t="str">
        <x:v>Not supplied</x:v>
      </x:c>
      <x:c r="G83" s="19" t="str">
        <x:v>n.a.</x:v>
      </x:c>
      <x:c r="H83" s="19" t="str">
        <x:v>2024/25</x:v>
      </x:c>
      <x:c r="I83" s="19" t="n">
        <x:f>INDEX('UK providers'!$K$7:$K$212,MATCH(N83,'UK providers'!$A$7:$A$212,0))</x:f>
        <x:v>0.919</x:v>
      </x:c>
      <x:c r="J83" s="20" t="str">
        <x:v>n.a.</x:v>
      </x:c>
      <x:c r="K83" s="10" t="str">
        <x:v>HESA provider return</x:v>
      </x:c>
      <x:c r="L83" s="10" t="str">
        <x:v>Comparable CPD/CE definition. One year supplied: no growth calculation. Do not add to overlapping annual-report categories.</x:v>
      </x:c>
      <x:c r="M83" s="10" t="str">
        <x:v>HESA HE-BCI Table 2b; user-supplied dt032-table-2b.csv. https://www.hesa.ac.uk/data-and-analysis/business-community</x:v>
      </x:c>
      <x:c r="N83" s="10" t="str">
        <x:v>10007759</x:v>
      </x:c>
    </x:row>
    <x:row r="84" ht="110" customHeight="1">
      <x:c r="A84" s="10" t="str">
        <x:v>UK</x:v>
      </x:c>
      <x:c r="B84" s="11" t="str">
        <x:v>Stirling</x:v>
      </x:c>
      <x:c r="C84" s="10" t="str">
        <x:v>HESA CPD/CE revenue</x:v>
      </x:c>
      <x:c r="D84" s="10" t="str">
        <x:v>CPD/CE courses for business and the community</x:v>
      </x:c>
      <x:c r="E84" s="10" t="str">
        <x:v>GBP m</x:v>
      </x:c>
      <x:c r="F84" s="10" t="str">
        <x:v>Not supplied</x:v>
      </x:c>
      <x:c r="G84" s="19" t="str">
        <x:v>n.a.</x:v>
      </x:c>
      <x:c r="H84" s="19" t="str">
        <x:v>2024/25</x:v>
      </x:c>
      <x:c r="I84" s="19" t="n">
        <x:f>INDEX('UK providers'!$K$7:$K$212,MATCH(N84,'UK providers'!$A$7:$A$212,0))</x:f>
        <x:v>1.997</x:v>
      </x:c>
      <x:c r="J84" s="20" t="str">
        <x:v>n.a.</x:v>
      </x:c>
      <x:c r="K84" s="10" t="str">
        <x:v>HESA provider return</x:v>
      </x:c>
      <x:c r="L84" s="10" t="str">
        <x:v>Comparable CPD/CE definition. One year supplied: no growth calculation. Do not add to overlapping annual-report categories.</x:v>
      </x:c>
      <x:c r="M84" s="10" t="str">
        <x:v>HESA HE-BCI Table 2b; user-supplied dt032-table-2b.csv. https://www.hesa.ac.uk/data-and-analysis/business-community</x:v>
      </x:c>
      <x:c r="N84" s="10" t="str">
        <x:v>10007804</x:v>
      </x:c>
    </x:row>
    <x:row r="85" ht="110" customHeight="1">
      <x:c r="A85" s="10" t="str">
        <x:v>UK</x:v>
      </x:c>
      <x:c r="B85" s="11" t="str">
        <x:v>SOAS</x:v>
      </x:c>
      <x:c r="C85" s="10" t="str">
        <x:v>HESA CPD/CE revenue</x:v>
      </x:c>
      <x:c r="D85" s="10" t="str">
        <x:v>CPD/CE courses for business and the community</x:v>
      </x:c>
      <x:c r="E85" s="10" t="str">
        <x:v>GBP m</x:v>
      </x:c>
      <x:c r="F85" s="10" t="str">
        <x:v>Not supplied</x:v>
      </x:c>
      <x:c r="G85" s="19" t="str">
        <x:v>n.a.</x:v>
      </x:c>
      <x:c r="H85" s="19" t="str">
        <x:v>2024/25</x:v>
      </x:c>
      <x:c r="I85" s="19" t="n">
        <x:f>INDEX('UK providers'!$K$7:$K$212,MATCH(N85,'UK providers'!$A$7:$A$212,0))</x:f>
        <x:v>8.228</x:v>
      </x:c>
      <x:c r="J85" s="20" t="str">
        <x:v>n.a.</x:v>
      </x:c>
      <x:c r="K85" s="10" t="str">
        <x:v>HESA provider return</x:v>
      </x:c>
      <x:c r="L85" s="10" t="str">
        <x:v>Comparable CPD/CE definition. One year supplied: no growth calculation. Do not add to overlapping annual-report categories.</x:v>
      </x:c>
      <x:c r="M85" s="10" t="str">
        <x:v>HESA HE-BCI Table 2b; user-supplied dt032-table-2b.csv. https://www.hesa.ac.uk/data-and-analysis/business-community</x:v>
      </x:c>
      <x:c r="N85" s="10" t="str">
        <x:v>10007780</x:v>
      </x:c>
    </x:row>
    <x:row r="86" ht="110" customHeight="1">
      <x:c r="A86" s="10" t="str">
        <x:v>UK</x:v>
      </x:c>
      <x:c r="B86" s="11" t="str">
        <x:v>Birkbeck</x:v>
      </x:c>
      <x:c r="C86" s="10" t="str">
        <x:v>HESA CPD/CE revenue</x:v>
      </x:c>
      <x:c r="D86" s="10" t="str">
        <x:v>CPD/CE courses for business and the community</x:v>
      </x:c>
      <x:c r="E86" s="10" t="str">
        <x:v>GBP m</x:v>
      </x:c>
      <x:c r="F86" s="10" t="str">
        <x:v>Not supplied</x:v>
      </x:c>
      <x:c r="G86" s="19" t="str">
        <x:v>n.a.</x:v>
      </x:c>
      <x:c r="H86" s="19" t="str">
        <x:v>2024/25</x:v>
      </x:c>
      <x:c r="I86" s="19" t="n">
        <x:f>INDEX('UK providers'!$K$7:$K$212,MATCH(N86,'UK providers'!$A$7:$A$212,0))</x:f>
        <x:v>3.159</x:v>
      </x:c>
      <x:c r="J86" s="20" t="str">
        <x:v>n.a.</x:v>
      </x:c>
      <x:c r="K86" s="10" t="str">
        <x:v>HESA provider return</x:v>
      </x:c>
      <x:c r="L86" s="10" t="str">
        <x:v>Comparable CPD/CE definition. One year supplied: no growth calculation. Do not add to overlapping annual-report categories.</x:v>
      </x:c>
      <x:c r="M86" s="10" t="str">
        <x:v>HESA HE-BCI Table 2b; user-supplied dt032-table-2b.csv. https://www.hesa.ac.uk/data-and-analysis/business-community</x:v>
      </x:c>
      <x:c r="N86" s="10" t="str">
        <x:v>10007760</x:v>
      </x:c>
    </x:row>
    <x:row r="87" ht="110" customHeight="1">
      <x:c r="A87" s="10" t="str">
        <x:v>UK</x:v>
      </x:c>
      <x:c r="B87" s="11" t="str">
        <x:v>Royal Holloway</x:v>
      </x:c>
      <x:c r="C87" s="10" t="str">
        <x:v>HESA CPD/CE revenue</x:v>
      </x:c>
      <x:c r="D87" s="10" t="str">
        <x:v>CPD/CE courses for business and the community</x:v>
      </x:c>
      <x:c r="E87" s="10" t="str">
        <x:v>GBP m</x:v>
      </x:c>
      <x:c r="F87" s="10" t="str">
        <x:v>Not supplied</x:v>
      </x:c>
      <x:c r="G87" s="19" t="str">
        <x:v>n.a.</x:v>
      </x:c>
      <x:c r="H87" s="19" t="str">
        <x:v>2024/25</x:v>
      </x:c>
      <x:c r="I87" s="19" t="n">
        <x:f>INDEX('UK providers'!$K$7:$K$212,MATCH(N87,'UK providers'!$A$7:$A$212,0))</x:f>
        <x:v>0.645</x:v>
      </x:c>
      <x:c r="J87" s="20" t="str">
        <x:v>n.a.</x:v>
      </x:c>
      <x:c r="K87" s="10" t="str">
        <x:v>HESA provider return</x:v>
      </x:c>
      <x:c r="L87" s="10" t="str">
        <x:v>Comparable CPD/CE definition. One year supplied: no growth calculation. Do not add to overlapping annual-report categories.</x:v>
      </x:c>
      <x:c r="M87" s="10" t="str">
        <x:v>HESA HE-BCI Table 2b; user-supplied dt032-table-2b.csv. https://www.hesa.ac.uk/data-and-analysis/business-community</x:v>
      </x:c>
      <x:c r="N87" s="10" t="str">
        <x:v>10005553</x:v>
      </x:c>
    </x:row>
    <x:row r="88" ht="110" customHeight="1">
      <x:c r="A88" s="10" t="str">
        <x:v>UK</x:v>
      </x:c>
      <x:c r="B88" s="11" t="str">
        <x:v>City St George’s</x:v>
      </x:c>
      <x:c r="C88" s="10" t="str">
        <x:v>HESA CPD/CE revenue</x:v>
      </x:c>
      <x:c r="D88" s="10" t="str">
        <x:v>CPD/CE courses for business and the community</x:v>
      </x:c>
      <x:c r="E88" s="10" t="str">
        <x:v>GBP m</x:v>
      </x:c>
      <x:c r="F88" s="10" t="str">
        <x:v>Not supplied</x:v>
      </x:c>
      <x:c r="G88" s="19" t="str">
        <x:v>n.a.</x:v>
      </x:c>
      <x:c r="H88" s="19" t="str">
        <x:v>2024/25</x:v>
      </x:c>
      <x:c r="I88" s="19" t="n">
        <x:f>INDEX('UK providers'!$K$7:$K$212,MATCH(N88,'UK providers'!$A$7:$A$212,0))</x:f>
        <x:v>5.997</x:v>
      </x:c>
      <x:c r="J88" s="20" t="str">
        <x:v>n.a.</x:v>
      </x:c>
      <x:c r="K88" s="10" t="str">
        <x:v>HESA provider return</x:v>
      </x:c>
      <x:c r="L88" s="10" t="str">
        <x:v>Comparable CPD/CE definition. One year supplied: no growth calculation. Do not add to overlapping annual-report categories.</x:v>
      </x:c>
      <x:c r="M88" s="10" t="str">
        <x:v>HESA HE-BCI Table 2b; user-supplied dt032-table-2b.csv. https://www.hesa.ac.uk/data-and-analysis/business-community</x:v>
      </x:c>
      <x:c r="N88" s="10" t="str">
        <x:v>10001478</x:v>
      </x:c>
    </x:row>
    <x:row r="89" ht="110" customHeight="1">
      <x:c r="A89" s="10" t="str">
        <x:v>UK</x:v>
      </x:c>
      <x:c r="B89" s="11" t="str">
        <x:v>Oxford Brookes</x:v>
      </x:c>
      <x:c r="C89" s="10" t="str">
        <x:v>HESA CPD/CE revenue</x:v>
      </x:c>
      <x:c r="D89" s="10" t="str">
        <x:v>CPD/CE courses for business and the community</x:v>
      </x:c>
      <x:c r="E89" s="10" t="str">
        <x:v>GBP m</x:v>
      </x:c>
      <x:c r="F89" s="10" t="str">
        <x:v>Not supplied</x:v>
      </x:c>
      <x:c r="G89" s="19" t="str">
        <x:v>n.a.</x:v>
      </x:c>
      <x:c r="H89" s="19" t="str">
        <x:v>2024/25</x:v>
      </x:c>
      <x:c r="I89" s="19" t="n">
        <x:f>INDEX('UK providers'!$K$7:$K$212,MATCH(N89,'UK providers'!$A$7:$A$212,0))</x:f>
        <x:v>1.485</x:v>
      </x:c>
      <x:c r="J89" s="20" t="str">
        <x:v>n.a.</x:v>
      </x:c>
      <x:c r="K89" s="10" t="str">
        <x:v>HESA provider return</x:v>
      </x:c>
      <x:c r="L89" s="10" t="str">
        <x:v>Comparable CPD/CE definition. One year supplied: no growth calculation. Do not add to overlapping annual-report categories.</x:v>
      </x:c>
      <x:c r="M89" s="10" t="str">
        <x:v>HESA HE-BCI Table 2b; user-supplied dt032-table-2b.csv. https://www.hesa.ac.uk/data-and-analysis/business-community</x:v>
      </x:c>
      <x:c r="N89" s="10" t="str">
        <x:v>10004930</x:v>
      </x:c>
    </x:row>
    <x:row r="90" ht="110" customHeight="1">
      <x:c r="A90" s="10" t="str">
        <x:v>UK</x:v>
      </x:c>
      <x:c r="B90" s="11" t="str">
        <x:v>Northumbria</x:v>
      </x:c>
      <x:c r="C90" s="10" t="str">
        <x:v>HESA CPD/CE revenue</x:v>
      </x:c>
      <x:c r="D90" s="10" t="str">
        <x:v>CPD/CE courses for business and the community</x:v>
      </x:c>
      <x:c r="E90" s="10" t="str">
        <x:v>GBP m</x:v>
      </x:c>
      <x:c r="F90" s="10" t="str">
        <x:v>Not supplied</x:v>
      </x:c>
      <x:c r="G90" s="19" t="str">
        <x:v>n.a.</x:v>
      </x:c>
      <x:c r="H90" s="19" t="str">
        <x:v>2024/25</x:v>
      </x:c>
      <x:c r="I90" s="19" t="n">
        <x:f>INDEX('UK providers'!$K$7:$K$212,MATCH(N90,'UK providers'!$A$7:$A$212,0))</x:f>
        <x:v>7.597</x:v>
      </x:c>
      <x:c r="J90" s="20" t="str">
        <x:v>n.a.</x:v>
      </x:c>
      <x:c r="K90" s="10" t="str">
        <x:v>HESA provider return</x:v>
      </x:c>
      <x:c r="L90" s="10" t="str">
        <x:v>Comparable CPD/CE definition. One year supplied: no growth calculation. Do not add to overlapping annual-report categories.</x:v>
      </x:c>
      <x:c r="M90" s="10" t="str">
        <x:v>HESA HE-BCI Table 2b; user-supplied dt032-table-2b.csv. https://www.hesa.ac.uk/data-and-analysis/business-community</x:v>
      </x:c>
      <x:c r="N90" s="10" t="str">
        <x:v>10001282</x:v>
      </x:c>
    </x:row>
    <x:row r="91" ht="110" customHeight="1">
      <x:c r="A91" s="10" t="str">
        <x:v>UK</x:v>
      </x:c>
      <x:c r="B91" s="11" t="str">
        <x:v>Portsmouth</x:v>
      </x:c>
      <x:c r="C91" s="10" t="str">
        <x:v>HESA CPD/CE revenue</x:v>
      </x:c>
      <x:c r="D91" s="10" t="str">
        <x:v>CPD/CE courses for business and the community</x:v>
      </x:c>
      <x:c r="E91" s="10" t="str">
        <x:v>GBP m</x:v>
      </x:c>
      <x:c r="F91" s="10" t="str">
        <x:v>Not supplied</x:v>
      </x:c>
      <x:c r="G91" s="19" t="str">
        <x:v>n.a.</x:v>
      </x:c>
      <x:c r="H91" s="19" t="str">
        <x:v>2024/25</x:v>
      </x:c>
      <x:c r="I91" s="19" t="n">
        <x:f>INDEX('UK providers'!$K$7:$K$212,MATCH(N91,'UK providers'!$A$7:$A$212,0))</x:f>
        <x:v>5.668</x:v>
      </x:c>
      <x:c r="J91" s="20" t="str">
        <x:v>n.a.</x:v>
      </x:c>
      <x:c r="K91" s="10" t="str">
        <x:v>HESA provider return</x:v>
      </x:c>
      <x:c r="L91" s="10" t="str">
        <x:v>Comparable CPD/CE definition. One year supplied: no growth calculation. Do not add to overlapping annual-report categories.</x:v>
      </x:c>
      <x:c r="M91" s="10" t="str">
        <x:v>HESA HE-BCI Table 2b; user-supplied dt032-table-2b.csv. https://www.hesa.ac.uk/data-and-analysis/business-community</x:v>
      </x:c>
      <x:c r="N91" s="10" t="str">
        <x:v>10007155</x:v>
      </x:c>
    </x:row>
    <x:row r="92" ht="110" customHeight="1">
      <x:c r="A92" s="10" t="str">
        <x:v>UK</x:v>
      </x:c>
      <x:c r="B92" s="11" t="str">
        <x:v>Coventry</x:v>
      </x:c>
      <x:c r="C92" s="10" t="str">
        <x:v>HESA CPD/CE revenue</x:v>
      </x:c>
      <x:c r="D92" s="10" t="str">
        <x:v>CPD/CE courses for business and the community</x:v>
      </x:c>
      <x:c r="E92" s="10" t="str">
        <x:v>GBP m</x:v>
      </x:c>
      <x:c r="F92" s="10" t="str">
        <x:v>Not supplied</x:v>
      </x:c>
      <x:c r="G92" s="19" t="str">
        <x:v>n.a.</x:v>
      </x:c>
      <x:c r="H92" s="19" t="str">
        <x:v>2024/25</x:v>
      </x:c>
      <x:c r="I92" s="19" t="n">
        <x:f>INDEX('UK providers'!$K$7:$K$212,MATCH(N92,'UK providers'!$A$7:$A$212,0))</x:f>
        <x:v>11.66</x:v>
      </x:c>
      <x:c r="J92" s="20" t="str">
        <x:v>n.a.</x:v>
      </x:c>
      <x:c r="K92" s="10" t="str">
        <x:v>HESA provider return</x:v>
      </x:c>
      <x:c r="L92" s="10" t="str">
        <x:v>Comparable CPD/CE definition. One year supplied: no growth calculation. Do not add to overlapping annual-report categories.</x:v>
      </x:c>
      <x:c r="M92" s="10" t="str">
        <x:v>HESA HE-BCI Table 2b; user-supplied dt032-table-2b.csv. https://www.hesa.ac.uk/data-and-analysis/business-community</x:v>
      </x:c>
      <x:c r="N92" s="10" t="str">
        <x:v>10001726</x:v>
      </x:c>
    </x:row>
    <x:row r="93" ht="110" customHeight="1">
      <x:c r="A93" s="10" t="str">
        <x:v>UK</x:v>
      </x:c>
      <x:c r="B93" s="11" t="str">
        <x:v>Nottingham Trent</x:v>
      </x:c>
      <x:c r="C93" s="10" t="str">
        <x:v>HESA CPD/CE revenue</x:v>
      </x:c>
      <x:c r="D93" s="10" t="str">
        <x:v>CPD/CE courses for business and the community</x:v>
      </x:c>
      <x:c r="E93" s="10" t="str">
        <x:v>GBP m</x:v>
      </x:c>
      <x:c r="F93" s="10" t="str">
        <x:v>Not supplied</x:v>
      </x:c>
      <x:c r="G93" s="19" t="str">
        <x:v>n.a.</x:v>
      </x:c>
      <x:c r="H93" s="19" t="str">
        <x:v>2024/25</x:v>
      </x:c>
      <x:c r="I93" s="19" t="n">
        <x:f>INDEX('UK providers'!$K$7:$K$212,MATCH(N93,'UK providers'!$A$7:$A$212,0))</x:f>
        <x:v>7.016</x:v>
      </x:c>
      <x:c r="J93" s="20" t="str">
        <x:v>n.a.</x:v>
      </x:c>
      <x:c r="K93" s="10" t="str">
        <x:v>HESA provider return</x:v>
      </x:c>
      <x:c r="L93" s="10" t="str">
        <x:v>Comparable CPD/CE definition. One year supplied: no growth calculation. Do not add to overlapping annual-report categories.</x:v>
      </x:c>
      <x:c r="M93" s="10" t="str">
        <x:v>HESA HE-BCI Table 2b; user-supplied dt032-table-2b.csv. https://www.hesa.ac.uk/data-and-analysis/business-community</x:v>
      </x:c>
      <x:c r="N93" s="10" t="str">
        <x:v>10004797</x:v>
      </x:c>
    </x:row>
    <x:row r="94" ht="110" customHeight="1">
      <x:c r="A94" s="10" t="str">
        <x:v>UK</x:v>
      </x:c>
      <x:c r="B94" s="11" t="str">
        <x:v>Manchester Metropolitan</x:v>
      </x:c>
      <x:c r="C94" s="10" t="str">
        <x:v>HESA CPD/CE revenue</x:v>
      </x:c>
      <x:c r="D94" s="10" t="str">
        <x:v>CPD/CE courses for business and the community</x:v>
      </x:c>
      <x:c r="E94" s="10" t="str">
        <x:v>GBP m</x:v>
      </x:c>
      <x:c r="F94" s="10" t="str">
        <x:v>Not supplied</x:v>
      </x:c>
      <x:c r="G94" s="19" t="str">
        <x:v>n.a.</x:v>
      </x:c>
      <x:c r="H94" s="19" t="str">
        <x:v>2024/25</x:v>
      </x:c>
      <x:c r="I94" s="19" t="n">
        <x:f>INDEX('UK providers'!$K$7:$K$212,MATCH(N94,'UK providers'!$A$7:$A$212,0))</x:f>
        <x:v>5.482</x:v>
      </x:c>
      <x:c r="J94" s="20" t="str">
        <x:v>n.a.</x:v>
      </x:c>
      <x:c r="K94" s="10" t="str">
        <x:v>HESA provider return</x:v>
      </x:c>
      <x:c r="L94" s="10" t="str">
        <x:v>Comparable CPD/CE definition. One year supplied: no growth calculation. Do not add to overlapping annual-report categories.</x:v>
      </x:c>
      <x:c r="M94" s="10" t="str">
        <x:v>HESA HE-BCI Table 2b; user-supplied dt032-table-2b.csv. https://www.hesa.ac.uk/data-and-analysis/business-community</x:v>
      </x:c>
      <x:c r="N94" s="10" t="str">
        <x:v>10004180</x:v>
      </x:c>
    </x:row>
    <x:row r="95" ht="110" customHeight="1">
      <x:c r="A95" s="10" t="str">
        <x:v>UK</x:v>
      </x:c>
      <x:c r="B95" s="11" t="str">
        <x:v>Plymouth</x:v>
      </x:c>
      <x:c r="C95" s="10" t="str">
        <x:v>HESA CPD/CE revenue</x:v>
      </x:c>
      <x:c r="D95" s="10" t="str">
        <x:v>CPD/CE courses for business and the community</x:v>
      </x:c>
      <x:c r="E95" s="10" t="str">
        <x:v>GBP m</x:v>
      </x:c>
      <x:c r="F95" s="10" t="str">
        <x:v>Not supplied</x:v>
      </x:c>
      <x:c r="G95" s="19" t="str">
        <x:v>n.a.</x:v>
      </x:c>
      <x:c r="H95" s="19" t="str">
        <x:v>2024/25</x:v>
      </x:c>
      <x:c r="I95" s="19" t="n">
        <x:f>INDEX('UK providers'!$K$7:$K$212,MATCH(N95,'UK providers'!$A$7:$A$212,0))</x:f>
        <x:v>1.965</x:v>
      </x:c>
      <x:c r="J95" s="20" t="str">
        <x:v>n.a.</x:v>
      </x:c>
      <x:c r="K95" s="10" t="str">
        <x:v>HESA provider return</x:v>
      </x:c>
      <x:c r="L95" s="10" t="str">
        <x:v>Comparable CPD/CE definition. One year supplied: no growth calculation. Do not add to overlapping annual-report categories.</x:v>
      </x:c>
      <x:c r="M95" s="10" t="str">
        <x:v>HESA HE-BCI Table 2b; user-supplied dt032-table-2b.csv. https://www.hesa.ac.uk/data-and-analysis/business-community</x:v>
      </x:c>
      <x:c r="N95" s="10" t="str">
        <x:v>10007801</x:v>
      </x:c>
    </x:row>
  </x:sheetData>
  <x:mergeCells>
    <x:mergeCell ref="A2:F2"/>
    <x:mergeCell ref="A3:F3"/>
    <x:mergeCell ref="A4:F4"/>
  </x:mergeCells>
  <x:conditionalFormatting sqref="J7:J95">
    <x:cfRule type="cellIs" dxfId="3" priority="1" operator="lessThan">
      <x:formula>0</x:formula>
    </x:cfRule>
  </x:conditionalFormatting>
  <x:dataValidations count="1">
    <x:dataValidation type="list" sqref="C7:C95">
      <x:formula1>"HESA CPD/CE revenue,Reported course revenue,Participation,Qualitative growth,No numeric 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e377e7473f4a76"/>
  </x:tableParts>
</x:worksheet>
</file>

<file path=xl/worksheets/sheet5.xml><?xml version="1.0" encoding="utf-8"?>
<x:worksheet xmlns:x="http://schemas.openxmlformats.org/spreadsheetml/2006/main">
  <x:sheetPr>
    <x:tabColor rgb="FF203B6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35" hidden="0" customWidth="1"/>
    <x:col min="3" max="3" width="29" hidden="0" customWidth="1"/>
    <x:col min="4" max="4" width="17" hidden="0" customWidth="1"/>
    <x:col min="5" max="5" width="17" hidden="0" customWidth="1"/>
    <x:col min="6" max="6" width="18" hidden="0" customWidth="1"/>
    <x:col min="7" max="7" width="77" hidden="0" customWidth="1"/>
    <x:col min="8" max="8" width="19" hidden="0" customWidth="1"/>
    <x:col min="9" max="9" width="22" hidden="0" customWidth="1"/>
    <x:col min="10" max="10" width="29" hidden="0" customWidth="1"/>
    <x:col min="11" max="11" width="24" hidden="0" customWidth="1"/>
    <x:col min="12" max="12" width="31" hidden="0" customWidth="1"/>
    <x:col min="13" max="13" width="51" hidden="0" customWidth="1"/>
  </x:cols>
  <x:sheetData>
    <x:row r="2" ht="28" customHeight="1">
      <x:c r="A2" s="4" t="str">
        <x:v>Institution coverage, QS eligibility and scheme reach</x:v>
      </x:c>
      <x:c r="B2" s="4" t="str">
        <x:v>Institution coverage, QS eligibility and scheme reach</x:v>
      </x:c>
      <x:c r="C2" s="4" t="str">
        <x:v>Institution coverage, QS eligibility and scheme reach</x:v>
      </x:c>
      <x:c r="D2" s="4" t="str">
        <x:v>Institution coverage, QS eligibility and scheme reach</x:v>
      </x:c>
      <x:c r="E2" s="4" t="str">
        <x:v>Institution coverage, QS eligibility and scheme reach</x:v>
      </x:c>
      <x:c r="F2" s="4" t="str">
        <x:v>Institution coverage, QS eligibility and scheme reach</x:v>
      </x:c>
      <x:c r="G2" s="2"/>
      <x:c r="H2" s="2"/>
      <x:c r="I2" s="2"/>
      <x:c r="J2" s="2"/>
      <x:c r="K2" s="2"/>
      <x:c r="L2" s="2"/>
      <x:c r="M2" s="2"/>
    </x:row>
    <x:row r="3" ht="36" customHeight="1">
      <x:c r="A3" s="6" t="str">
        <x:v>QS World University Rankings 2027. 30 additional UK institutions outside the Russell Group, 30 US and 30 EU institutions in 10 member states: all within top 1000.</x:v>
      </x:c>
      <x:c r="B3" s="6" t="str">
        <x:v>QS World University Rankings 2027. 30 additional UK institutions outside the Russell Group, 30 US and 30 EU institutions in 10 member states: all within top 1000.</x:v>
      </x:c>
      <x:c r="C3" s="6" t="str">
        <x:v>QS World University Rankings 2027. 30 additional UK institutions outside the Russell Group, 30 US and 30 EU institutions in 10 member states: all within top 1000.</x:v>
      </x:c>
      <x:c r="D3" s="6" t="str">
        <x:v>QS World University Rankings 2027. 30 additional UK institutions outside the Russell Group, 30 US and 30 EU institutions in 10 member states: all within top 1000.</x:v>
      </x:c>
      <x:c r="E3" s="6" t="str">
        <x:v>QS World University Rankings 2027. 30 additional UK institutions outside the Russell Group, 30 US and 30 EU institutions in 10 member states: all within top 1000.</x:v>
      </x:c>
      <x:c r="F3" s="6" t="str">
        <x:v>QS World University Rankings 2027. 30 additional UK institutions outside the Russell Group, 30 US and 30 EU institutions in 10 member states: all within top 1000.</x:v>
      </x:c>
      <x:c r="G3" s="2"/>
      <x:c r="H3" s="2"/>
      <x:c r="I3" s="2"/>
      <x:c r="J3" s="2"/>
      <x:c r="K3" s="2"/>
      <x:c r="L3" s="2"/>
      <x:c r="M3" s="2"/>
    </x:row>
    <x:row r="4" ht="36" customHeight="1">
      <x:c r="A4" s="6" t="str">
        <x:v>Purposive selection across places and disciplines, not a random prevalence sample. Scheme counts are documented examples; failure to verify a broader scheme does not mean none exists. Research date: 8 October 2026.</x:v>
      </x:c>
      <x:c r="B4" s="6" t="str">
        <x:v>Purposive selection across places and disciplines, not a random prevalence sample. Scheme counts are documented examples; failure to verify a broader scheme does not mean none exists. Research date: 8 October 2026.</x:v>
      </x:c>
      <x:c r="C4" s="6" t="str">
        <x:v>Purposive selection across places and disciplines, not a random prevalence sample. Scheme counts are documented examples; failure to verify a broader scheme does not mean none exists. Research date: 8 October 2026.</x:v>
      </x:c>
      <x:c r="D4" s="6" t="str">
        <x:v>Purposive selection across places and disciplines, not a random prevalence sample. Scheme counts are documented examples; failure to verify a broader scheme does not mean none exists. Research date: 8 October 2026.</x:v>
      </x:c>
      <x:c r="E4" s="6" t="str">
        <x:v>Purposive selection across places and disciplines, not a random prevalence sample. Scheme counts are documented examples; failure to verify a broader scheme does not mean none exists. Research date: 8 October 2026.</x:v>
      </x:c>
      <x:c r="F4" s="6" t="str">
        <x:v>Purposive selection across places and disciplines, not a random prevalence sample. Scheme counts are documented examples; failure to verify a broader scheme does not mean none exists. Research date: 8 October 2026.</x:v>
      </x:c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0" customHeight="1">
      <x:c r="A6" s="9" t="str">
        <x:v>Country</x:v>
      </x:c>
      <x:c r="B6" s="9" t="str">
        <x:v>University</x:v>
      </x:c>
      <x:c r="C6" s="9" t="str">
        <x:v>Cohort</x:v>
      </x:c>
      <x:c r="D6" s="9" t="str">
        <x:v>QS edition</x:v>
      </x:c>
      <x:c r="E6" s="9" t="str">
        <x:v>QS rank</x:v>
      </x:c>
      <x:c r="F6" s="9" t="str">
        <x:v>Tied rank?</x:v>
      </x:c>
      <x:c r="G6" s="9" t="str">
        <x:v>Official ranking source</x:v>
      </x:c>
      <x:c r="H6" s="9" t="str">
        <x:v>UKPRN</x:v>
      </x:c>
      <x:c r="I6" s="9" t="str">
        <x:v>Scheme examples</x:v>
      </x:c>
      <x:c r="J6" s="9" t="str">
        <x:v>University-wide examples</x:v>
      </x:c>
      <x:c r="K6" s="9" t="str">
        <x:v>Narrower examples</x:v>
      </x:c>
      <x:c r="L6" s="9" t="str">
        <x:v>Unconfirmed reach examples</x:v>
      </x:c>
      <x:c r="M6" s="9" t="str">
        <x:v>Broadest documented reach</x:v>
      </x:c>
    </x:row>
    <x:row r="7" ht="53" customHeight="1">
      <x:c r="A7" s="10" t="str">
        <x:v>UK</x:v>
      </x:c>
      <x:c r="B7" s="11" t="str">
        <x:v>Birmingham</x:v>
      </x:c>
      <x:c r="C7" s="10" t="str">
        <x:v>Russell Group</x:v>
      </x:c>
      <x:c r="D7" s="28" t="n">
        <x:v>2027</x:v>
      </x:c>
      <x:c r="E7" s="28" t="n">
        <x:v>68</x:v>
      </x:c>
      <x:c r="F7" s="10" t="str">
        <x:v>Yes</x:v>
      </x:c>
      <x:c r="G7" s="10" t="str">
        <x:v>https://www.topuniversities.com/qs-top-uni-wur</x:v>
      </x:c>
      <x:c r="H7" s="10" t="str">
        <x:v>10006840</x:v>
      </x:c>
      <x:c r="I7" s="28" t="n">
        <x:f>COUNTIF(Schemes!$B$7:$B$158,B7)</x:f>
        <x:v>1</x:v>
      </x:c>
      <x:c r="J7" s="28" t="n">
        <x:f>COUNTIFS(Schemes!$B$7:$B$158,B7,Schemes!$C$7:$C$158,"University-wide")</x:f>
        <x:v>1</x:v>
      </x:c>
      <x:c r="K7" s="28" t="n">
        <x:f>COUNTIFS(Schemes!$B$7:$B$158,B7,Schemes!$C$7:$C$158,"Cross-faculty")+COUNTIFS(Schemes!$B$7:$B$158,B7,Schemes!$C$7:$C$158,"Faculty/school")+COUNTIFS(Schemes!$B$7:$B$158,B7,Schemes!$C$7:$C$158,"Programme/course")</x:f>
        <x:v>0</x:v>
      </x:c>
      <x:c r="L7" s="28" t="n">
        <x:f>COUNTIFS(Schemes!$B$7:$B$158,B7,Schemes!$C$7:$C$158,"Not confirmed")</x:f>
        <x:v>0</x:v>
      </x:c>
      <x:c r="M7" s="10" t="str">
        <x:f>IF(J7&gt;0,"University-wide scheme/framework documented",IF(COUNTIFS(Schemes!$B$7:$B$158,B7,Schemes!$C$7:$C$158,"Cross-faculty")&gt;0,"Cross-faculty; broader reach unverified",IF(COUNTIFS(Schemes!$B$7:$B$158,B7,Schemes!$C$7:$C$158,"Faculty/school")&gt;0,"Faculty/school; broader reach unverified",IF(K7&gt;0,"Programme/course; broader reach unverified","Scheme documented; reach unconfirmed"))))</x:f>
        <x:v>University-wide scheme/framework documented</x:v>
      </x:c>
    </x:row>
    <x:row r="8" ht="53" customHeight="1">
      <x:c r="A8" s="10" t="str">
        <x:v>UK</x:v>
      </x:c>
      <x:c r="B8" s="11" t="str">
        <x:v>Bristol</x:v>
      </x:c>
      <x:c r="C8" s="10" t="str">
        <x:v>Russell Group</x:v>
      </x:c>
      <x:c r="D8" s="28" t="n">
        <x:v>2027</x:v>
      </x:c>
      <x:c r="E8" s="28" t="n">
        <x:v>57</x:v>
      </x:c>
      <x:c r="F8" s="10" t="str">
        <x:v>No</x:v>
      </x:c>
      <x:c r="G8" s="10" t="str">
        <x:v>https://www.topuniversities.com/qs-top-uni-wur</x:v>
      </x:c>
      <x:c r="H8" s="10" t="str">
        <x:v>10007786</x:v>
      </x:c>
      <x:c r="I8" s="28" t="n">
        <x:f>COUNTIF(Schemes!$B$7:$B$158,B8)</x:f>
        <x:v>1</x:v>
      </x:c>
      <x:c r="J8" s="28" t="n">
        <x:f>COUNTIFS(Schemes!$B$7:$B$158,B8,Schemes!$C$7:$C$158,"University-wide")</x:f>
        <x:v>1</x:v>
      </x:c>
      <x:c r="K8" s="28" t="n">
        <x:f>COUNTIFS(Schemes!$B$7:$B$158,B8,Schemes!$C$7:$C$158,"Cross-faculty")+COUNTIFS(Schemes!$B$7:$B$158,B8,Schemes!$C$7:$C$158,"Faculty/school")+COUNTIFS(Schemes!$B$7:$B$158,B8,Schemes!$C$7:$C$158,"Programme/course")</x:f>
        <x:v>0</x:v>
      </x:c>
      <x:c r="L8" s="28" t="n">
        <x:f>COUNTIFS(Schemes!$B$7:$B$158,B8,Schemes!$C$7:$C$158,"Not confirmed")</x:f>
        <x:v>0</x:v>
      </x:c>
      <x:c r="M8" s="10" t="str">
        <x:f>IF(J8&gt;0,"University-wide scheme/framework documented",IF(COUNTIFS(Schemes!$B$7:$B$158,B8,Schemes!$C$7:$C$158,"Cross-faculty")&gt;0,"Cross-faculty; broader reach unverified",IF(COUNTIFS(Schemes!$B$7:$B$158,B8,Schemes!$C$7:$C$158,"Faculty/school")&gt;0,"Faculty/school; broader reach unverified",IF(K8&gt;0,"Programme/course; broader reach unverified","Scheme documented; reach unconfirmed"))))</x:f>
        <x:v>University-wide scheme/framework documented</x:v>
      </x:c>
    </x:row>
    <x:row r="9" ht="53" customHeight="1">
      <x:c r="A9" s="10" t="str">
        <x:v>UK</x:v>
      </x:c>
      <x:c r="B9" s="11" t="str">
        <x:v>Cambridge</x:v>
      </x:c>
      <x:c r="C9" s="10" t="str">
        <x:v>Russell Group</x:v>
      </x:c>
      <x:c r="D9" s="28" t="n">
        <x:v>2027</x:v>
      </x:c>
      <x:c r="E9" s="28" t="n">
        <x:v>6</x:v>
      </x:c>
      <x:c r="F9" s="10" t="str">
        <x:v>No</x:v>
      </x:c>
      <x:c r="G9" s="10" t="str">
        <x:v>https://www.topuniversities.com/qs-top-uni-wur</x:v>
      </x:c>
      <x:c r="H9" s="10" t="str">
        <x:v>10007788</x:v>
      </x:c>
      <x:c r="I9" s="28" t="n">
        <x:f>COUNTIF(Schemes!$B$7:$B$158,B9)</x:f>
        <x:v>2</x:v>
      </x:c>
      <x:c r="J9" s="28" t="n">
        <x:f>COUNTIFS(Schemes!$B$7:$B$158,B9,Schemes!$C$7:$C$158,"University-wide")</x:f>
        <x:v>1</x:v>
      </x:c>
      <x:c r="K9" s="28" t="n">
        <x:f>COUNTIFS(Schemes!$B$7:$B$158,B9,Schemes!$C$7:$C$158,"Cross-faculty")+COUNTIFS(Schemes!$B$7:$B$158,B9,Schemes!$C$7:$C$158,"Faculty/school")+COUNTIFS(Schemes!$B$7:$B$158,B9,Schemes!$C$7:$C$158,"Programme/course")</x:f>
        <x:v>1</x:v>
      </x:c>
      <x:c r="L9" s="28" t="n">
        <x:f>COUNTIFS(Schemes!$B$7:$B$158,B9,Schemes!$C$7:$C$158,"Not confirmed")</x:f>
        <x:v>0</x:v>
      </x:c>
      <x:c r="M9" s="10" t="str">
        <x:f>IF(J9&gt;0,"University-wide scheme/framework documented",IF(COUNTIFS(Schemes!$B$7:$B$158,B9,Schemes!$C$7:$C$158,"Cross-faculty")&gt;0,"Cross-faculty; broader reach unverified",IF(COUNTIFS(Schemes!$B$7:$B$158,B9,Schemes!$C$7:$C$158,"Faculty/school")&gt;0,"Faculty/school; broader reach unverified",IF(K9&gt;0,"Programme/course; broader reach unverified","Scheme documented; reach unconfirmed"))))</x:f>
        <x:v>University-wide scheme/framework documented</x:v>
      </x:c>
    </x:row>
    <x:row r="10" ht="53" customHeight="1">
      <x:c r="A10" s="10" t="str">
        <x:v>UK</x:v>
      </x:c>
      <x:c r="B10" s="11" t="str">
        <x:v>Cardiff</x:v>
      </x:c>
      <x:c r="C10" s="10" t="str">
        <x:v>Russell Group</x:v>
      </x:c>
      <x:c r="D10" s="28" t="n">
        <x:v>2027</x:v>
      </x:c>
      <x:c r="E10" s="28" t="n">
        <x:v>179</x:v>
      </x:c>
      <x:c r="F10" s="10" t="str">
        <x:v>Yes</x:v>
      </x:c>
      <x:c r="G10" s="10" t="str">
        <x:v>https://www.topuniversities.com/qs-top-uni-wur</x:v>
      </x:c>
      <x:c r="H10" s="10" t="str">
        <x:v>10007814</x:v>
      </x:c>
      <x:c r="I10" s="28" t="n">
        <x:f>COUNTIF(Schemes!$B$7:$B$158,B10)</x:f>
        <x:v>2</x:v>
      </x:c>
      <x:c r="J10" s="28" t="n">
        <x:f>COUNTIFS(Schemes!$B$7:$B$158,B10,Schemes!$C$7:$C$158,"University-wide")</x:f>
        <x:v>1</x:v>
      </x:c>
      <x:c r="K10" s="28" t="n">
        <x:f>COUNTIFS(Schemes!$B$7:$B$158,B10,Schemes!$C$7:$C$158,"Cross-faculty")+COUNTIFS(Schemes!$B$7:$B$158,B10,Schemes!$C$7:$C$158,"Faculty/school")+COUNTIFS(Schemes!$B$7:$B$158,B10,Schemes!$C$7:$C$158,"Programme/course")</x:f>
        <x:v>0</x:v>
      </x:c>
      <x:c r="L10" s="28" t="n">
        <x:f>COUNTIFS(Schemes!$B$7:$B$158,B10,Schemes!$C$7:$C$158,"Not confirmed")</x:f>
        <x:v>1</x:v>
      </x:c>
      <x:c r="M10" s="10" t="str">
        <x:f>IF(J10&gt;0,"University-wide scheme/framework documented",IF(COUNTIFS(Schemes!$B$7:$B$158,B10,Schemes!$C$7:$C$158,"Cross-faculty")&gt;0,"Cross-faculty; broader reach unverified",IF(COUNTIFS(Schemes!$B$7:$B$158,B10,Schemes!$C$7:$C$158,"Faculty/school")&gt;0,"Faculty/school; broader reach unverified",IF(K10&gt;0,"Programme/course; broader reach unverified","Scheme documented; reach unconfirmed"))))</x:f>
        <x:v>University-wide scheme/framework documented</x:v>
      </x:c>
    </x:row>
    <x:row r="11" ht="53" customHeight="1">
      <x:c r="A11" s="10" t="str">
        <x:v>UK</x:v>
      </x:c>
      <x:c r="B11" s="11" t="str">
        <x:v>Durham</x:v>
      </x:c>
      <x:c r="C11" s="10" t="str">
        <x:v>Russell Group</x:v>
      </x:c>
      <x:c r="D11" s="28" t="n">
        <x:v>2027</x:v>
      </x:c>
      <x:c r="E11" s="28" t="n">
        <x:v>85</x:v>
      </x:c>
      <x:c r="F11" s="10" t="str">
        <x:v>No</x:v>
      </x:c>
      <x:c r="G11" s="10" t="str">
        <x:v>https://www.topuniversities.com/qs-top-uni-wur</x:v>
      </x:c>
      <x:c r="H11" s="10" t="str">
        <x:v>10007143</x:v>
      </x:c>
      <x:c r="I11" s="28" t="n">
        <x:f>COUNTIF(Schemes!$B$7:$B$158,B11)</x:f>
        <x:v>1</x:v>
      </x:c>
      <x:c r="J11" s="28" t="n">
        <x:f>COUNTIFS(Schemes!$B$7:$B$158,B11,Schemes!$C$7:$C$158,"University-wide")</x:f>
        <x:v>1</x:v>
      </x:c>
      <x:c r="K11" s="28" t="n">
        <x:f>COUNTIFS(Schemes!$B$7:$B$158,B11,Schemes!$C$7:$C$158,"Cross-faculty")+COUNTIFS(Schemes!$B$7:$B$158,B11,Schemes!$C$7:$C$158,"Faculty/school")+COUNTIFS(Schemes!$B$7:$B$158,B11,Schemes!$C$7:$C$158,"Programme/course")</x:f>
        <x:v>0</x:v>
      </x:c>
      <x:c r="L11" s="28" t="n">
        <x:f>COUNTIFS(Schemes!$B$7:$B$158,B11,Schemes!$C$7:$C$158,"Not confirmed")</x:f>
        <x:v>0</x:v>
      </x:c>
      <x:c r="M11" s="10" t="str">
        <x:f>IF(J11&gt;0,"University-wide scheme/framework documented",IF(COUNTIFS(Schemes!$B$7:$B$158,B11,Schemes!$C$7:$C$158,"Cross-faculty")&gt;0,"Cross-faculty; broader reach unverified",IF(COUNTIFS(Schemes!$B$7:$B$158,B11,Schemes!$C$7:$C$158,"Faculty/school")&gt;0,"Faculty/school; broader reach unverified",IF(K11&gt;0,"Programme/course; broader reach unverified","Scheme documented; reach unconfirmed"))))</x:f>
        <x:v>University-wide scheme/framework documented</x:v>
      </x:c>
    </x:row>
    <x:row r="12" ht="53" customHeight="1">
      <x:c r="A12" s="10" t="str">
        <x:v>UK</x:v>
      </x:c>
      <x:c r="B12" s="11" t="str">
        <x:v>Edinburgh</x:v>
      </x:c>
      <x:c r="C12" s="10" t="str">
        <x:v>Russell Group</x:v>
      </x:c>
      <x:c r="D12" s="28" t="n">
        <x:v>2027</x:v>
      </x:c>
      <x:c r="E12" s="28" t="n">
        <x:v>35</x:v>
      </x:c>
      <x:c r="F12" s="10" t="str">
        <x:v>No</x:v>
      </x:c>
      <x:c r="G12" s="10" t="str">
        <x:v>https://www.topuniversities.com/qs-top-uni-wur</x:v>
      </x:c>
      <x:c r="H12" s="10" t="str">
        <x:v>10007790</x:v>
      </x:c>
      <x:c r="I12" s="28" t="n">
        <x:f>COUNTIF(Schemes!$B$7:$B$158,B12)</x:f>
        <x:v>2</x:v>
      </x:c>
      <x:c r="J12" s="28" t="n">
        <x:f>COUNTIFS(Schemes!$B$7:$B$158,B12,Schemes!$C$7:$C$158,"University-wide")</x:f>
        <x:v>2</x:v>
      </x:c>
      <x:c r="K12" s="28" t="n">
        <x:f>COUNTIFS(Schemes!$B$7:$B$158,B12,Schemes!$C$7:$C$158,"Cross-faculty")+COUNTIFS(Schemes!$B$7:$B$158,B12,Schemes!$C$7:$C$158,"Faculty/school")+COUNTIFS(Schemes!$B$7:$B$158,B12,Schemes!$C$7:$C$158,"Programme/course")</x:f>
        <x:v>0</x:v>
      </x:c>
      <x:c r="L12" s="28" t="n">
        <x:f>COUNTIFS(Schemes!$B$7:$B$158,B12,Schemes!$C$7:$C$158,"Not confirmed")</x:f>
        <x:v>0</x:v>
      </x:c>
      <x:c r="M12" s="10" t="str">
        <x:f>IF(J12&gt;0,"University-wide scheme/framework documented",IF(COUNTIFS(Schemes!$B$7:$B$158,B12,Schemes!$C$7:$C$158,"Cross-faculty")&gt;0,"Cross-faculty; broader reach unverified",IF(COUNTIFS(Schemes!$B$7:$B$158,B12,Schemes!$C$7:$C$158,"Faculty/school")&gt;0,"Faculty/school; broader reach unverified",IF(K12&gt;0,"Programme/course; broader reach unverified","Scheme documented; reach unconfirmed"))))</x:f>
        <x:v>University-wide scheme/framework documented</x:v>
      </x:c>
    </x:row>
    <x:row r="13" ht="53" customHeight="1">
      <x:c r="A13" s="10" t="str">
        <x:v>UK</x:v>
      </x:c>
      <x:c r="B13" s="11" t="str">
        <x:v>Exeter</x:v>
      </x:c>
      <x:c r="C13" s="10" t="str">
        <x:v>Russell Group</x:v>
      </x:c>
      <x:c r="D13" s="28" t="n">
        <x:v>2027</x:v>
      </x:c>
      <x:c r="E13" s="28" t="n">
        <x:v>136</x:v>
      </x:c>
      <x:c r="F13" s="10" t="str">
        <x:v>No</x:v>
      </x:c>
      <x:c r="G13" s="10" t="str">
        <x:v>https://www.topuniversities.com/qs-top-uni-wur</x:v>
      </x:c>
      <x:c r="H13" s="10" t="str">
        <x:v>10007792</x:v>
      </x:c>
      <x:c r="I13" s="28" t="n">
        <x:f>COUNTIF(Schemes!$B$7:$B$158,B13)</x:f>
        <x:v>2</x:v>
      </x:c>
      <x:c r="J13" s="28" t="n">
        <x:f>COUNTIFS(Schemes!$B$7:$B$158,B13,Schemes!$C$7:$C$158,"University-wide")</x:f>
        <x:v>2</x:v>
      </x:c>
      <x:c r="K13" s="28" t="n">
        <x:f>COUNTIFS(Schemes!$B$7:$B$158,B13,Schemes!$C$7:$C$158,"Cross-faculty")+COUNTIFS(Schemes!$B$7:$B$158,B13,Schemes!$C$7:$C$158,"Faculty/school")+COUNTIFS(Schemes!$B$7:$B$158,B13,Schemes!$C$7:$C$158,"Programme/course")</x:f>
        <x:v>0</x:v>
      </x:c>
      <x:c r="L13" s="28" t="n">
        <x:f>COUNTIFS(Schemes!$B$7:$B$158,B13,Schemes!$C$7:$C$158,"Not confirmed")</x:f>
        <x:v>0</x:v>
      </x:c>
      <x:c r="M13" s="10" t="str">
        <x:f>IF(J13&gt;0,"University-wide scheme/framework documented",IF(COUNTIFS(Schemes!$B$7:$B$158,B13,Schemes!$C$7:$C$158,"Cross-faculty")&gt;0,"Cross-faculty; broader reach unverified",IF(COUNTIFS(Schemes!$B$7:$B$158,B13,Schemes!$C$7:$C$158,"Faculty/school")&gt;0,"Faculty/school; broader reach unverified",IF(K13&gt;0,"Programme/course; broader reach unverified","Scheme documented; reach unconfirmed"))))</x:f>
        <x:v>University-wide scheme/framework documented</x:v>
      </x:c>
    </x:row>
    <x:row r="14" ht="53" customHeight="1">
      <x:c r="A14" s="10" t="str">
        <x:v>UK</x:v>
      </x:c>
      <x:c r="B14" s="11" t="str">
        <x:v>Glasgow</x:v>
      </x:c>
      <x:c r="C14" s="10" t="str">
        <x:v>Russell Group</x:v>
      </x:c>
      <x:c r="D14" s="28" t="n">
        <x:v>2027</x:v>
      </x:c>
      <x:c r="E14" s="28" t="n">
        <x:v>80</x:v>
      </x:c>
      <x:c r="F14" s="10" t="str">
        <x:v>No</x:v>
      </x:c>
      <x:c r="G14" s="10" t="str">
        <x:v>https://www.topuniversities.com/qs-top-uni-wur</x:v>
      </x:c>
      <x:c r="H14" s="10" t="str">
        <x:v>10007794</x:v>
      </x:c>
      <x:c r="I14" s="28" t="n">
        <x:f>COUNTIF(Schemes!$B$7:$B$158,B14)</x:f>
        <x:v>1</x:v>
      </x:c>
      <x:c r="J14" s="28" t="n">
        <x:f>COUNTIFS(Schemes!$B$7:$B$158,B14,Schemes!$C$7:$C$158,"University-wide")</x:f>
        <x:v>1</x:v>
      </x:c>
      <x:c r="K14" s="28" t="n">
        <x:f>COUNTIFS(Schemes!$B$7:$B$158,B14,Schemes!$C$7:$C$158,"Cross-faculty")+COUNTIFS(Schemes!$B$7:$B$158,B14,Schemes!$C$7:$C$158,"Faculty/school")+COUNTIFS(Schemes!$B$7:$B$158,B14,Schemes!$C$7:$C$158,"Programme/course")</x:f>
        <x:v>0</x:v>
      </x:c>
      <x:c r="L14" s="28" t="n">
        <x:f>COUNTIFS(Schemes!$B$7:$B$158,B14,Schemes!$C$7:$C$158,"Not confirmed")</x:f>
        <x:v>0</x:v>
      </x:c>
      <x:c r="M14" s="10" t="str">
        <x:f>IF(J14&gt;0,"University-wide scheme/framework documented",IF(COUNTIFS(Schemes!$B$7:$B$158,B14,Schemes!$C$7:$C$158,"Cross-faculty")&gt;0,"Cross-faculty; broader reach unverified",IF(COUNTIFS(Schemes!$B$7:$B$158,B14,Schemes!$C$7:$C$158,"Faculty/school")&gt;0,"Faculty/school; broader reach unverified",IF(K14&gt;0,"Programme/course; broader reach unverified","Scheme documented; reach unconfirmed"))))</x:f>
        <x:v>University-wide scheme/framework documented</x:v>
      </x:c>
    </x:row>
    <x:row r="15" ht="53" customHeight="1">
      <x:c r="A15" s="10" t="str">
        <x:v>UK</x:v>
      </x:c>
      <x:c r="B15" s="11" t="str">
        <x:v>Imperial College London</x:v>
      </x:c>
      <x:c r="C15" s="10" t="str">
        <x:v>Russell Group</x:v>
      </x:c>
      <x:c r="D15" s="28" t="n">
        <x:v>2027</x:v>
      </x:c>
      <x:c r="E15" s="28" t="n">
        <x:v>2</x:v>
      </x:c>
      <x:c r="F15" s="10" t="str">
        <x:v>Yes</x:v>
      </x:c>
      <x:c r="G15" s="10" t="str">
        <x:v>https://www.topuniversities.com/qs-top-uni-wur</x:v>
      </x:c>
      <x:c r="H15" s="10" t="str">
        <x:v>10003270</x:v>
      </x:c>
      <x:c r="I15" s="28" t="n">
        <x:f>COUNTIF(Schemes!$B$7:$B$158,B15)</x:f>
        <x:v>1</x:v>
      </x:c>
      <x:c r="J15" s="28" t="n">
        <x:f>COUNTIFS(Schemes!$B$7:$B$158,B15,Schemes!$C$7:$C$158,"University-wide")</x:f>
        <x:v>1</x:v>
      </x:c>
      <x:c r="K15" s="28" t="n">
        <x:f>COUNTIFS(Schemes!$B$7:$B$158,B15,Schemes!$C$7:$C$158,"Cross-faculty")+COUNTIFS(Schemes!$B$7:$B$158,B15,Schemes!$C$7:$C$158,"Faculty/school")+COUNTIFS(Schemes!$B$7:$B$158,B15,Schemes!$C$7:$C$158,"Programme/course")</x:f>
        <x:v>0</x:v>
      </x:c>
      <x:c r="L15" s="28" t="n">
        <x:f>COUNTIFS(Schemes!$B$7:$B$158,B15,Schemes!$C$7:$C$158,"Not confirmed")</x:f>
        <x:v>0</x:v>
      </x:c>
      <x:c r="M15" s="10" t="str">
        <x:f>IF(J15&gt;0,"University-wide scheme/framework documented",IF(COUNTIFS(Schemes!$B$7:$B$158,B15,Schemes!$C$7:$C$158,"Cross-faculty")&gt;0,"Cross-faculty; broader reach unverified",IF(COUNTIFS(Schemes!$B$7:$B$158,B15,Schemes!$C$7:$C$158,"Faculty/school")&gt;0,"Faculty/school; broader reach unverified",IF(K15&gt;0,"Programme/course; broader reach unverified","Scheme documented; reach unconfirmed"))))</x:f>
        <x:v>University-wide scheme/framework documented</x:v>
      </x:c>
    </x:row>
    <x:row r="16" ht="53" customHeight="1">
      <x:c r="A16" s="10" t="str">
        <x:v>UK</x:v>
      </x:c>
      <x:c r="B16" s="11" t="str">
        <x:v>King’s College London</x:v>
      </x:c>
      <x:c r="C16" s="10" t="str">
        <x:v>Russell Group</x:v>
      </x:c>
      <x:c r="D16" s="28" t="n">
        <x:v>2027</x:v>
      </x:c>
      <x:c r="E16" s="28" t="n">
        <x:v>37</x:v>
      </x:c>
      <x:c r="F16" s="10" t="str">
        <x:v>No</x:v>
      </x:c>
      <x:c r="G16" s="10" t="str">
        <x:v>https://www.topuniversities.com/qs-top-uni-wur</x:v>
      </x:c>
      <x:c r="H16" s="10" t="str">
        <x:v>10003645</x:v>
      </x:c>
      <x:c r="I16" s="28" t="n">
        <x:f>COUNTIF(Schemes!$B$7:$B$158,B16)</x:f>
        <x:v>2</x:v>
      </x:c>
      <x:c r="J16" s="28" t="n">
        <x:f>COUNTIFS(Schemes!$B$7:$B$158,B16,Schemes!$C$7:$C$158,"University-wide")</x:f>
        <x:v>1</x:v>
      </x:c>
      <x:c r="K16" s="28" t="n">
        <x:f>COUNTIFS(Schemes!$B$7:$B$158,B16,Schemes!$C$7:$C$158,"Cross-faculty")+COUNTIFS(Schemes!$B$7:$B$158,B16,Schemes!$C$7:$C$158,"Faculty/school")+COUNTIFS(Schemes!$B$7:$B$158,B16,Schemes!$C$7:$C$158,"Programme/course")</x:f>
        <x:v>1</x:v>
      </x:c>
      <x:c r="L16" s="28" t="n">
        <x:f>COUNTIFS(Schemes!$B$7:$B$158,B16,Schemes!$C$7:$C$158,"Not confirmed")</x:f>
        <x:v>0</x:v>
      </x:c>
      <x:c r="M16" s="10" t="str">
        <x:f>IF(J16&gt;0,"University-wide scheme/framework documented",IF(COUNTIFS(Schemes!$B$7:$B$158,B16,Schemes!$C$7:$C$158,"Cross-faculty")&gt;0,"Cross-faculty; broader reach unverified",IF(COUNTIFS(Schemes!$B$7:$B$158,B16,Schemes!$C$7:$C$158,"Faculty/school")&gt;0,"Faculty/school; broader reach unverified",IF(K16&gt;0,"Programme/course; broader reach unverified","Scheme documented; reach unconfirmed"))))</x:f>
        <x:v>University-wide scheme/framework documented</x:v>
      </x:c>
    </x:row>
    <x:row r="17" ht="53" customHeight="1">
      <x:c r="A17" s="10" t="str">
        <x:v>UK</x:v>
      </x:c>
      <x:c r="B17" s="11" t="str">
        <x:v>Leeds</x:v>
      </x:c>
      <x:c r="C17" s="10" t="str">
        <x:v>Russell Group</x:v>
      </x:c>
      <x:c r="D17" s="28" t="n">
        <x:v>2027</x:v>
      </x:c>
      <x:c r="E17" s="28" t="n">
        <x:v>77</x:v>
      </x:c>
      <x:c r="F17" s="10" t="str">
        <x:v>Yes</x:v>
      </x:c>
      <x:c r="G17" s="10" t="str">
        <x:v>https://www.topuniversities.com/qs-top-uni-wur</x:v>
      </x:c>
      <x:c r="H17" s="10" t="str">
        <x:v>10007795</x:v>
      </x:c>
      <x:c r="I17" s="28" t="n">
        <x:f>COUNTIF(Schemes!$B$7:$B$158,B17)</x:f>
        <x:v>1</x:v>
      </x:c>
      <x:c r="J17" s="28" t="n">
        <x:f>COUNTIFS(Schemes!$B$7:$B$158,B17,Schemes!$C$7:$C$158,"University-wide")</x:f>
        <x:v>1</x:v>
      </x:c>
      <x:c r="K17" s="28" t="n">
        <x:f>COUNTIFS(Schemes!$B$7:$B$158,B17,Schemes!$C$7:$C$158,"Cross-faculty")+COUNTIFS(Schemes!$B$7:$B$158,B17,Schemes!$C$7:$C$158,"Faculty/school")+COUNTIFS(Schemes!$B$7:$B$158,B17,Schemes!$C$7:$C$158,"Programme/course")</x:f>
        <x:v>0</x:v>
      </x:c>
      <x:c r="L17" s="28" t="n">
        <x:f>COUNTIFS(Schemes!$B$7:$B$158,B17,Schemes!$C$7:$C$158,"Not confirmed")</x:f>
        <x:v>0</x:v>
      </x:c>
      <x:c r="M17" s="10" t="str">
        <x:f>IF(J17&gt;0,"University-wide scheme/framework documented",IF(COUNTIFS(Schemes!$B$7:$B$158,B17,Schemes!$C$7:$C$158,"Cross-faculty")&gt;0,"Cross-faculty; broader reach unverified",IF(COUNTIFS(Schemes!$B$7:$B$158,B17,Schemes!$C$7:$C$158,"Faculty/school")&gt;0,"Faculty/school; broader reach unverified",IF(K17&gt;0,"Programme/course; broader reach unverified","Scheme documented; reach unconfirmed"))))</x:f>
        <x:v>University-wide scheme/framework documented</x:v>
      </x:c>
    </x:row>
    <x:row r="18" ht="53" customHeight="1">
      <x:c r="A18" s="10" t="str">
        <x:v>UK</x:v>
      </x:c>
      <x:c r="B18" s="11" t="str">
        <x:v>Liverpool</x:v>
      </x:c>
      <x:c r="C18" s="10" t="str">
        <x:v>Russell Group</x:v>
      </x:c>
      <x:c r="D18" s="28" t="n">
        <x:v>2027</x:v>
      </x:c>
      <x:c r="E18" s="28" t="n">
        <x:v>139</x:v>
      </x:c>
      <x:c r="F18" s="10" t="str">
        <x:v>No</x:v>
      </x:c>
      <x:c r="G18" s="10" t="str">
        <x:v>https://www.topuniversities.com/qs-top-uni-wur</x:v>
      </x:c>
      <x:c r="H18" s="10" t="str">
        <x:v>10006842</x:v>
      </x:c>
      <x:c r="I18" s="28" t="n">
        <x:f>COUNTIF(Schemes!$B$7:$B$158,B18)</x:f>
        <x:v>1</x:v>
      </x:c>
      <x:c r="J18" s="28" t="n">
        <x:f>COUNTIFS(Schemes!$B$7:$B$158,B18,Schemes!$C$7:$C$158,"University-wide")</x:f>
        <x:v>1</x:v>
      </x:c>
      <x:c r="K18" s="28" t="n">
        <x:f>COUNTIFS(Schemes!$B$7:$B$158,B18,Schemes!$C$7:$C$158,"Cross-faculty")+COUNTIFS(Schemes!$B$7:$B$158,B18,Schemes!$C$7:$C$158,"Faculty/school")+COUNTIFS(Schemes!$B$7:$B$158,B18,Schemes!$C$7:$C$158,"Programme/course")</x:f>
        <x:v>0</x:v>
      </x:c>
      <x:c r="L18" s="28" t="n">
        <x:f>COUNTIFS(Schemes!$B$7:$B$158,B18,Schemes!$C$7:$C$158,"Not confirmed")</x:f>
        <x:v>0</x:v>
      </x:c>
      <x:c r="M18" s="10" t="str">
        <x:f>IF(J18&gt;0,"University-wide scheme/framework documented",IF(COUNTIFS(Schemes!$B$7:$B$158,B18,Schemes!$C$7:$C$158,"Cross-faculty")&gt;0,"Cross-faculty; broader reach unverified",IF(COUNTIFS(Schemes!$B$7:$B$158,B18,Schemes!$C$7:$C$158,"Faculty/school")&gt;0,"Faculty/school; broader reach unverified",IF(K18&gt;0,"Programme/course; broader reach unverified","Scheme documented; reach unconfirmed"))))</x:f>
        <x:v>University-wide scheme/framework documented</x:v>
      </x:c>
    </x:row>
    <x:row r="19" ht="53" customHeight="1">
      <x:c r="A19" s="10" t="str">
        <x:v>UK</x:v>
      </x:c>
      <x:c r="B19" s="11" t="str">
        <x:v>London School of Economics</x:v>
      </x:c>
      <x:c r="C19" s="10" t="str">
        <x:v>Russell Group</x:v>
      </x:c>
      <x:c r="D19" s="28" t="n">
        <x:v>2027</x:v>
      </x:c>
      <x:c r="E19" s="28" t="n">
        <x:v>62</x:v>
      </x:c>
      <x:c r="F19" s="10" t="str">
        <x:v>No</x:v>
      </x:c>
      <x:c r="G19" s="10" t="str">
        <x:v>https://www.topuniversities.com/qs-top-uni-wur</x:v>
      </x:c>
      <x:c r="H19" s="10" t="str">
        <x:v>10004063</x:v>
      </x:c>
      <x:c r="I19" s="28" t="n">
        <x:f>COUNTIF(Schemes!$B$7:$B$158,B19)</x:f>
        <x:v>2</x:v>
      </x:c>
      <x:c r="J19" s="28" t="n">
        <x:f>COUNTIFS(Schemes!$B$7:$B$158,B19,Schemes!$C$7:$C$158,"University-wide")</x:f>
        <x:v>1</x:v>
      </x:c>
      <x:c r="K19" s="28" t="n">
        <x:f>COUNTIFS(Schemes!$B$7:$B$158,B19,Schemes!$C$7:$C$158,"Cross-faculty")+COUNTIFS(Schemes!$B$7:$B$158,B19,Schemes!$C$7:$C$158,"Faculty/school")+COUNTIFS(Schemes!$B$7:$B$158,B19,Schemes!$C$7:$C$158,"Programme/course")</x:f>
        <x:v>0</x:v>
      </x:c>
      <x:c r="L19" s="28" t="n">
        <x:f>COUNTIFS(Schemes!$B$7:$B$158,B19,Schemes!$C$7:$C$158,"Not confirmed")</x:f>
        <x:v>1</x:v>
      </x:c>
      <x:c r="M19" s="10" t="str">
        <x:f>IF(J19&gt;0,"University-wide scheme/framework documented",IF(COUNTIFS(Schemes!$B$7:$B$158,B19,Schemes!$C$7:$C$158,"Cross-faculty")&gt;0,"Cross-faculty; broader reach unverified",IF(COUNTIFS(Schemes!$B$7:$B$158,B19,Schemes!$C$7:$C$158,"Faculty/school")&gt;0,"Faculty/school; broader reach unverified",IF(K19&gt;0,"Programme/course; broader reach unverified","Scheme documented; reach unconfirmed"))))</x:f>
        <x:v>University-wide scheme/framework documented</x:v>
      </x:c>
    </x:row>
    <x:row r="20" ht="53" customHeight="1">
      <x:c r="A20" s="10" t="str">
        <x:v>UK</x:v>
      </x:c>
      <x:c r="B20" s="11" t="str">
        <x:v>Manchester</x:v>
      </x:c>
      <x:c r="C20" s="10" t="str">
        <x:v>Russell Group</x:v>
      </x:c>
      <x:c r="D20" s="28" t="n">
        <x:v>2027</x:v>
      </x:c>
      <x:c r="E20" s="28" t="n">
        <x:v>40</x:v>
      </x:c>
      <x:c r="F20" s="10" t="str">
        <x:v>Yes</x:v>
      </x:c>
      <x:c r="G20" s="10" t="str">
        <x:v>https://www.topuniversities.com/qs-top-uni-wur</x:v>
      </x:c>
      <x:c r="H20" s="10" t="str">
        <x:v>10007798</x:v>
      </x:c>
      <x:c r="I20" s="28" t="n">
        <x:f>COUNTIF(Schemes!$B$7:$B$158,B20)</x:f>
        <x:v>1</x:v>
      </x:c>
      <x:c r="J20" s="28" t="n">
        <x:f>COUNTIFS(Schemes!$B$7:$B$158,B20,Schemes!$C$7:$C$158,"University-wide")</x:f>
        <x:v>1</x:v>
      </x:c>
      <x:c r="K20" s="28" t="n">
        <x:f>COUNTIFS(Schemes!$B$7:$B$158,B20,Schemes!$C$7:$C$158,"Cross-faculty")+COUNTIFS(Schemes!$B$7:$B$158,B20,Schemes!$C$7:$C$158,"Faculty/school")+COUNTIFS(Schemes!$B$7:$B$158,B20,Schemes!$C$7:$C$158,"Programme/course")</x:f>
        <x:v>0</x:v>
      </x:c>
      <x:c r="L20" s="28" t="n">
        <x:f>COUNTIFS(Schemes!$B$7:$B$158,B20,Schemes!$C$7:$C$158,"Not confirmed")</x:f>
        <x:v>0</x:v>
      </x:c>
      <x:c r="M20" s="10" t="str">
        <x:f>IF(J20&gt;0,"University-wide scheme/framework documented",IF(COUNTIFS(Schemes!$B$7:$B$158,B20,Schemes!$C$7:$C$158,"Cross-faculty")&gt;0,"Cross-faculty; broader reach unverified",IF(COUNTIFS(Schemes!$B$7:$B$158,B20,Schemes!$C$7:$C$158,"Faculty/school")&gt;0,"Faculty/school; broader reach unverified",IF(K20&gt;0,"Programme/course; broader reach unverified","Scheme documented; reach unconfirmed"))))</x:f>
        <x:v>University-wide scheme/framework documented</x:v>
      </x:c>
    </x:row>
    <x:row r="21" ht="53" customHeight="1">
      <x:c r="A21" s="10" t="str">
        <x:v>UK</x:v>
      </x:c>
      <x:c r="B21" s="11" t="str">
        <x:v>Newcastle</x:v>
      </x:c>
      <x:c r="C21" s="10" t="str">
        <x:v>Russell Group</x:v>
      </x:c>
      <x:c r="D21" s="28" t="n">
        <x:v>2027</x:v>
      </x:c>
      <x:c r="E21" s="28" t="n">
        <x:v>149</x:v>
      </x:c>
      <x:c r="F21" s="10" t="str">
        <x:v>No</x:v>
      </x:c>
      <x:c r="G21" s="10" t="str">
        <x:v>https://www.topuniversities.com/qs-top-uni-wur</x:v>
      </x:c>
      <x:c r="H21" s="10" t="str">
        <x:v>10007799</x:v>
      </x:c>
      <x:c r="I21" s="28" t="n">
        <x:f>COUNTIF(Schemes!$B$7:$B$158,B21)</x:f>
        <x:v>2</x:v>
      </x:c>
      <x:c r="J21" s="28" t="n">
        <x:f>COUNTIFS(Schemes!$B$7:$B$158,B21,Schemes!$C$7:$C$158,"University-wide")</x:f>
        <x:v>1</x:v>
      </x:c>
      <x:c r="K21" s="28" t="n">
        <x:f>COUNTIFS(Schemes!$B$7:$B$158,B21,Schemes!$C$7:$C$158,"Cross-faculty")+COUNTIFS(Schemes!$B$7:$B$158,B21,Schemes!$C$7:$C$158,"Faculty/school")+COUNTIFS(Schemes!$B$7:$B$158,B21,Schemes!$C$7:$C$158,"Programme/course")</x:f>
        <x:v>1</x:v>
      </x:c>
      <x:c r="L21" s="28" t="n">
        <x:f>COUNTIFS(Schemes!$B$7:$B$158,B21,Schemes!$C$7:$C$158,"Not confirmed")</x:f>
        <x:v>0</x:v>
      </x:c>
      <x:c r="M21" s="10" t="str">
        <x:f>IF(J21&gt;0,"University-wide scheme/framework documented",IF(COUNTIFS(Schemes!$B$7:$B$158,B21,Schemes!$C$7:$C$158,"Cross-faculty")&gt;0,"Cross-faculty; broader reach unverified",IF(COUNTIFS(Schemes!$B$7:$B$158,B21,Schemes!$C$7:$C$158,"Faculty/school")&gt;0,"Faculty/school; broader reach unverified",IF(K21&gt;0,"Programme/course; broader reach unverified","Scheme documented; reach unconfirmed"))))</x:f>
        <x:v>University-wide scheme/framework documented</x:v>
      </x:c>
    </x:row>
    <x:row r="22" ht="53" customHeight="1">
      <x:c r="A22" s="10" t="str">
        <x:v>UK</x:v>
      </x:c>
      <x:c r="B22" s="11" t="str">
        <x:v>Nottingham</x:v>
      </x:c>
      <x:c r="C22" s="10" t="str">
        <x:v>Russell Group</x:v>
      </x:c>
      <x:c r="D22" s="28" t="n">
        <x:v>2027</x:v>
      </x:c>
      <x:c r="E22" s="28" t="n">
        <x:v>97</x:v>
      </x:c>
      <x:c r="F22" s="10" t="str">
        <x:v>Yes</x:v>
      </x:c>
      <x:c r="G22" s="10" t="str">
        <x:v>https://www.topuniversities.com/qs-top-uni-wur</x:v>
      </x:c>
      <x:c r="H22" s="10" t="str">
        <x:v>10007154</x:v>
      </x:c>
      <x:c r="I22" s="28" t="n">
        <x:f>COUNTIF(Schemes!$B$7:$B$158,B22)</x:f>
        <x:v>1</x:v>
      </x:c>
      <x:c r="J22" s="28" t="n">
        <x:f>COUNTIFS(Schemes!$B$7:$B$158,B22,Schemes!$C$7:$C$158,"University-wide")</x:f>
        <x:v>1</x:v>
      </x:c>
      <x:c r="K22" s="28" t="n">
        <x:f>COUNTIFS(Schemes!$B$7:$B$158,B22,Schemes!$C$7:$C$158,"Cross-faculty")+COUNTIFS(Schemes!$B$7:$B$158,B22,Schemes!$C$7:$C$158,"Faculty/school")+COUNTIFS(Schemes!$B$7:$B$158,B22,Schemes!$C$7:$C$158,"Programme/course")</x:f>
        <x:v>0</x:v>
      </x:c>
      <x:c r="L22" s="28" t="n">
        <x:f>COUNTIFS(Schemes!$B$7:$B$158,B22,Schemes!$C$7:$C$158,"Not confirmed")</x:f>
        <x:v>0</x:v>
      </x:c>
      <x:c r="M22" s="10" t="str">
        <x:f>IF(J22&gt;0,"University-wide scheme/framework documented",IF(COUNTIFS(Schemes!$B$7:$B$158,B22,Schemes!$C$7:$C$158,"Cross-faculty")&gt;0,"Cross-faculty; broader reach unverified",IF(COUNTIFS(Schemes!$B$7:$B$158,B22,Schemes!$C$7:$C$158,"Faculty/school")&gt;0,"Faculty/school; broader reach unverified",IF(K22&gt;0,"Programme/course; broader reach unverified","Scheme documented; reach unconfirmed"))))</x:f>
        <x:v>University-wide scheme/framework documented</x:v>
      </x:c>
    </x:row>
    <x:row r="23" ht="53" customHeight="1">
      <x:c r="A23" s="10" t="str">
        <x:v>UK</x:v>
      </x:c>
      <x:c r="B23" s="11" t="str">
        <x:v>Oxford</x:v>
      </x:c>
      <x:c r="C23" s="10" t="str">
        <x:v>Russell Group</x:v>
      </x:c>
      <x:c r="D23" s="28" t="n">
        <x:v>2027</x:v>
      </x:c>
      <x:c r="E23" s="28" t="n">
        <x:v>4</x:v>
      </x:c>
      <x:c r="F23" s="10" t="str">
        <x:v>No</x:v>
      </x:c>
      <x:c r="G23" s="10" t="str">
        <x:v>https://www.topuniversities.com/qs-top-uni-wur</x:v>
      </x:c>
      <x:c r="H23" s="10" t="str">
        <x:v>10007774</x:v>
      </x:c>
      <x:c r="I23" s="28" t="n">
        <x:f>COUNTIF(Schemes!$B$7:$B$158,B23)</x:f>
        <x:v>1</x:v>
      </x:c>
      <x:c r="J23" s="28" t="n">
        <x:f>COUNTIFS(Schemes!$B$7:$B$158,B23,Schemes!$C$7:$C$158,"University-wide")</x:f>
        <x:v>1</x:v>
      </x:c>
      <x:c r="K23" s="28" t="n">
        <x:f>COUNTIFS(Schemes!$B$7:$B$158,B23,Schemes!$C$7:$C$158,"Cross-faculty")+COUNTIFS(Schemes!$B$7:$B$158,B23,Schemes!$C$7:$C$158,"Faculty/school")+COUNTIFS(Schemes!$B$7:$B$158,B23,Schemes!$C$7:$C$158,"Programme/course")</x:f>
        <x:v>0</x:v>
      </x:c>
      <x:c r="L23" s="28" t="n">
        <x:f>COUNTIFS(Schemes!$B$7:$B$158,B23,Schemes!$C$7:$C$158,"Not confirmed")</x:f>
        <x:v>0</x:v>
      </x:c>
      <x:c r="M23" s="10" t="str">
        <x:f>IF(J23&gt;0,"University-wide scheme/framework documented",IF(COUNTIFS(Schemes!$B$7:$B$158,B23,Schemes!$C$7:$C$158,"Cross-faculty")&gt;0,"Cross-faculty; broader reach unverified",IF(COUNTIFS(Schemes!$B$7:$B$158,B23,Schemes!$C$7:$C$158,"Faculty/school")&gt;0,"Faculty/school; broader reach unverified",IF(K23&gt;0,"Programme/course; broader reach unverified","Scheme documented; reach unconfirmed"))))</x:f>
        <x:v>University-wide scheme/framework documented</x:v>
      </x:c>
    </x:row>
    <x:row r="24" ht="53" customHeight="1">
      <x:c r="A24" s="10" t="str">
        <x:v>UK</x:v>
      </x:c>
      <x:c r="B24" s="11" t="str">
        <x:v>Queen Mary University of London</x:v>
      </x:c>
      <x:c r="C24" s="10" t="str">
        <x:v>Russell Group</x:v>
      </x:c>
      <x:c r="D24" s="28" t="n">
        <x:v>2027</x:v>
      </x:c>
      <x:c r="E24" s="28" t="n">
        <x:v>103</x:v>
      </x:c>
      <x:c r="F24" s="10" t="str">
        <x:v>No</x:v>
      </x:c>
      <x:c r="G24" s="10" t="str">
        <x:v>https://www.topuniversities.com/qs-top-uni-wur</x:v>
      </x:c>
      <x:c r="H24" s="10" t="str">
        <x:v>10007775</x:v>
      </x:c>
      <x:c r="I24" s="28" t="n">
        <x:f>COUNTIF(Schemes!$B$7:$B$158,B24)</x:f>
        <x:v>2</x:v>
      </x:c>
      <x:c r="J24" s="28" t="n">
        <x:f>COUNTIFS(Schemes!$B$7:$B$158,B24,Schemes!$C$7:$C$158,"University-wide")</x:f>
        <x:v>0</x:v>
      </x:c>
      <x:c r="K24" s="28" t="n">
        <x:f>COUNTIFS(Schemes!$B$7:$B$158,B24,Schemes!$C$7:$C$158,"Cross-faculty")+COUNTIFS(Schemes!$B$7:$B$158,B24,Schemes!$C$7:$C$158,"Faculty/school")+COUNTIFS(Schemes!$B$7:$B$158,B24,Schemes!$C$7:$C$158,"Programme/course")</x:f>
        <x:v>1</x:v>
      </x:c>
      <x:c r="L24" s="28" t="n">
        <x:f>COUNTIFS(Schemes!$B$7:$B$158,B24,Schemes!$C$7:$C$158,"Not confirmed")</x:f>
        <x:v>1</x:v>
      </x:c>
      <x:c r="M24" s="10" t="str">
        <x:f>IF(J24&gt;0,"University-wide scheme/framework documented",IF(COUNTIFS(Schemes!$B$7:$B$158,B24,Schemes!$C$7:$C$158,"Cross-faculty")&gt;0,"Cross-faculty; broader reach unverified",IF(COUNTIFS(Schemes!$B$7:$B$158,B24,Schemes!$C$7:$C$158,"Faculty/school")&gt;0,"Faculty/school; broader reach unverified",IF(K24&gt;0,"Programme/course; broader reach unverified","Scheme documented; reach unconfirmed"))))</x:f>
        <x:v>Faculty/school; broader reach unverified</x:v>
      </x:c>
    </x:row>
    <x:row r="25" ht="53" customHeight="1">
      <x:c r="A25" s="10" t="str">
        <x:v>UK</x:v>
      </x:c>
      <x:c r="B25" s="11" t="str">
        <x:v>Queen’s University Belfast</x:v>
      </x:c>
      <x:c r="C25" s="10" t="str">
        <x:v>Russell Group</x:v>
      </x:c>
      <x:c r="D25" s="28" t="n">
        <x:v>2027</x:v>
      </x:c>
      <x:c r="E25" s="28" t="n">
        <x:v>174</x:v>
      </x:c>
      <x:c r="F25" s="10" t="str">
        <x:v>Yes</x:v>
      </x:c>
      <x:c r="G25" s="10" t="str">
        <x:v>https://www.topuniversities.com/qs-top-uni-wur</x:v>
      </x:c>
      <x:c r="H25" s="10" t="str">
        <x:v>10005343</x:v>
      </x:c>
      <x:c r="I25" s="28" t="n">
        <x:f>COUNTIF(Schemes!$B$7:$B$158,B25)</x:f>
        <x:v>1</x:v>
      </x:c>
      <x:c r="J25" s="28" t="n">
        <x:f>COUNTIFS(Schemes!$B$7:$B$158,B25,Schemes!$C$7:$C$158,"University-wide")</x:f>
        <x:v>1</x:v>
      </x:c>
      <x:c r="K25" s="28" t="n">
        <x:f>COUNTIFS(Schemes!$B$7:$B$158,B25,Schemes!$C$7:$C$158,"Cross-faculty")+COUNTIFS(Schemes!$B$7:$B$158,B25,Schemes!$C$7:$C$158,"Faculty/school")+COUNTIFS(Schemes!$B$7:$B$158,B25,Schemes!$C$7:$C$158,"Programme/course")</x:f>
        <x:v>0</x:v>
      </x:c>
      <x:c r="L25" s="28" t="n">
        <x:f>COUNTIFS(Schemes!$B$7:$B$158,B25,Schemes!$C$7:$C$158,"Not confirmed")</x:f>
        <x:v>0</x:v>
      </x:c>
      <x:c r="M25" s="10" t="str">
        <x:f>IF(J25&gt;0,"University-wide scheme/framework documented",IF(COUNTIFS(Schemes!$B$7:$B$158,B25,Schemes!$C$7:$C$158,"Cross-faculty")&gt;0,"Cross-faculty; broader reach unverified",IF(COUNTIFS(Schemes!$B$7:$B$158,B25,Schemes!$C$7:$C$158,"Faculty/school")&gt;0,"Faculty/school; broader reach unverified",IF(K25&gt;0,"Programme/course; broader reach unverified","Scheme documented; reach unconfirmed"))))</x:f>
        <x:v>University-wide scheme/framework documented</x:v>
      </x:c>
    </x:row>
    <x:row r="26" ht="53" customHeight="1">
      <x:c r="A26" s="10" t="str">
        <x:v>UK</x:v>
      </x:c>
      <x:c r="B26" s="11" t="str">
        <x:v>Sheffield</x:v>
      </x:c>
      <x:c r="C26" s="10" t="str">
        <x:v>Russell Group</x:v>
      </x:c>
      <x:c r="D26" s="28" t="n">
        <x:v>2027</x:v>
      </x:c>
      <x:c r="E26" s="28" t="n">
        <x:v>82</x:v>
      </x:c>
      <x:c r="F26" s="10" t="str">
        <x:v>Yes</x:v>
      </x:c>
      <x:c r="G26" s="10" t="str">
        <x:v>https://www.topuniversities.com/qs-top-uni-wur</x:v>
      </x:c>
      <x:c r="H26" s="10" t="str">
        <x:v>10007157</x:v>
      </x:c>
      <x:c r="I26" s="28" t="n">
        <x:f>COUNTIF(Schemes!$B$7:$B$158,B26)</x:f>
        <x:v>2</x:v>
      </x:c>
      <x:c r="J26" s="28" t="n">
        <x:f>COUNTIFS(Schemes!$B$7:$B$158,B26,Schemes!$C$7:$C$158,"University-wide")</x:f>
        <x:v>1</x:v>
      </x:c>
      <x:c r="K26" s="28" t="n">
        <x:f>COUNTIFS(Schemes!$B$7:$B$158,B26,Schemes!$C$7:$C$158,"Cross-faculty")+COUNTIFS(Schemes!$B$7:$B$158,B26,Schemes!$C$7:$C$158,"Faculty/school")+COUNTIFS(Schemes!$B$7:$B$158,B26,Schemes!$C$7:$C$158,"Programme/course")</x:f>
        <x:v>1</x:v>
      </x:c>
      <x:c r="L26" s="28" t="n">
        <x:f>COUNTIFS(Schemes!$B$7:$B$158,B26,Schemes!$C$7:$C$158,"Not confirmed")</x:f>
        <x:v>0</x:v>
      </x:c>
      <x:c r="M26" s="10" t="str">
        <x:f>IF(J26&gt;0,"University-wide scheme/framework documented",IF(COUNTIFS(Schemes!$B$7:$B$158,B26,Schemes!$C$7:$C$158,"Cross-faculty")&gt;0,"Cross-faculty; broader reach unverified",IF(COUNTIFS(Schemes!$B$7:$B$158,B26,Schemes!$C$7:$C$158,"Faculty/school")&gt;0,"Faculty/school; broader reach unverified",IF(K26&gt;0,"Programme/course; broader reach unverified","Scheme documented; reach unconfirmed"))))</x:f>
        <x:v>University-wide scheme/framework documented</x:v>
      </x:c>
    </x:row>
    <x:row r="27" ht="53" customHeight="1">
      <x:c r="A27" s="10" t="str">
        <x:v>UK</x:v>
      </x:c>
      <x:c r="B27" s="11" t="str">
        <x:v>Southampton</x:v>
      </x:c>
      <x:c r="C27" s="10" t="str">
        <x:v>Russell Group</x:v>
      </x:c>
      <x:c r="D27" s="28" t="n">
        <x:v>2027</x:v>
      </x:c>
      <x:c r="E27" s="28" t="n">
        <x:v>111</x:v>
      </x:c>
      <x:c r="F27" s="10" t="str">
        <x:v>Yes</x:v>
      </x:c>
      <x:c r="G27" s="10" t="str">
        <x:v>https://www.topuniversities.com/qs-top-uni-wur</x:v>
      </x:c>
      <x:c r="H27" s="10" t="str">
        <x:v>10007158</x:v>
      </x:c>
      <x:c r="I27" s="28" t="n">
        <x:f>COUNTIF(Schemes!$B$7:$B$158,B27)</x:f>
        <x:v>2</x:v>
      </x:c>
      <x:c r="J27" s="28" t="n">
        <x:f>COUNTIFS(Schemes!$B$7:$B$158,B27,Schemes!$C$7:$C$158,"University-wide")</x:f>
        <x:v>1</x:v>
      </x:c>
      <x:c r="K27" s="28" t="n">
        <x:f>COUNTIFS(Schemes!$B$7:$B$158,B27,Schemes!$C$7:$C$158,"Cross-faculty")+COUNTIFS(Schemes!$B$7:$B$158,B27,Schemes!$C$7:$C$158,"Faculty/school")+COUNTIFS(Schemes!$B$7:$B$158,B27,Schemes!$C$7:$C$158,"Programme/course")</x:f>
        <x:v>1</x:v>
      </x:c>
      <x:c r="L27" s="28" t="n">
        <x:f>COUNTIFS(Schemes!$B$7:$B$158,B27,Schemes!$C$7:$C$158,"Not confirmed")</x:f>
        <x:v>0</x:v>
      </x:c>
      <x:c r="M27" s="10" t="str">
        <x:f>IF(J27&gt;0,"University-wide scheme/framework documented",IF(COUNTIFS(Schemes!$B$7:$B$158,B27,Schemes!$C$7:$C$158,"Cross-faculty")&gt;0,"Cross-faculty; broader reach unverified",IF(COUNTIFS(Schemes!$B$7:$B$158,B27,Schemes!$C$7:$C$158,"Faculty/school")&gt;0,"Faculty/school; broader reach unverified",IF(K27&gt;0,"Programme/course; broader reach unverified","Scheme documented; reach unconfirmed"))))</x:f>
        <x:v>University-wide scheme/framework documented</x:v>
      </x:c>
    </x:row>
    <x:row r="28" ht="53" customHeight="1">
      <x:c r="A28" s="10" t="str">
        <x:v>UK</x:v>
      </x:c>
      <x:c r="B28" s="11" t="str">
        <x:v>UCL</x:v>
      </x:c>
      <x:c r="C28" s="10" t="str">
        <x:v>Russell Group</x:v>
      </x:c>
      <x:c r="D28" s="28" t="n">
        <x:v>2027</x:v>
      </x:c>
      <x:c r="E28" s="28" t="n">
        <x:v>8</x:v>
      </x:c>
      <x:c r="F28" s="10" t="str">
        <x:v>Yes</x:v>
      </x:c>
      <x:c r="G28" s="10" t="str">
        <x:v>https://www.topuniversities.com/qs-top-uni-wur</x:v>
      </x:c>
      <x:c r="H28" s="10" t="str">
        <x:v>10007784</x:v>
      </x:c>
      <x:c r="I28" s="28" t="n">
        <x:f>COUNTIF(Schemes!$B$7:$B$158,B28)</x:f>
        <x:v>1</x:v>
      </x:c>
      <x:c r="J28" s="28" t="n">
        <x:f>COUNTIFS(Schemes!$B$7:$B$158,B28,Schemes!$C$7:$C$158,"University-wide")</x:f>
        <x:v>1</x:v>
      </x:c>
      <x:c r="K28" s="28" t="n">
        <x:f>COUNTIFS(Schemes!$B$7:$B$158,B28,Schemes!$C$7:$C$158,"Cross-faculty")+COUNTIFS(Schemes!$B$7:$B$158,B28,Schemes!$C$7:$C$158,"Faculty/school")+COUNTIFS(Schemes!$B$7:$B$158,B28,Schemes!$C$7:$C$158,"Programme/course")</x:f>
        <x:v>0</x:v>
      </x:c>
      <x:c r="L28" s="28" t="n">
        <x:f>COUNTIFS(Schemes!$B$7:$B$158,B28,Schemes!$C$7:$C$158,"Not confirmed")</x:f>
        <x:v>0</x:v>
      </x:c>
      <x:c r="M28" s="10" t="str">
        <x:f>IF(J28&gt;0,"University-wide scheme/framework documented",IF(COUNTIFS(Schemes!$B$7:$B$158,B28,Schemes!$C$7:$C$158,"Cross-faculty")&gt;0,"Cross-faculty; broader reach unverified",IF(COUNTIFS(Schemes!$B$7:$B$158,B28,Schemes!$C$7:$C$158,"Faculty/school")&gt;0,"Faculty/school; broader reach unverified",IF(K28&gt;0,"Programme/course; broader reach unverified","Scheme documented; reach unconfirmed"))))</x:f>
        <x:v>University-wide scheme/framework documented</x:v>
      </x:c>
    </x:row>
    <x:row r="29" ht="53" customHeight="1">
      <x:c r="A29" s="10" t="str">
        <x:v>UK</x:v>
      </x:c>
      <x:c r="B29" s="11" t="str">
        <x:v>Warwick</x:v>
      </x:c>
      <x:c r="C29" s="10" t="str">
        <x:v>Russell Group</x:v>
      </x:c>
      <x:c r="D29" s="28" t="n">
        <x:v>2027</x:v>
      </x:c>
      <x:c r="E29" s="28" t="n">
        <x:v>68</x:v>
      </x:c>
      <x:c r="F29" s="10" t="str">
        <x:v>Yes</x:v>
      </x:c>
      <x:c r="G29" s="10" t="str">
        <x:v>https://www.topuniversities.com/qs-top-uni-wur</x:v>
      </x:c>
      <x:c r="H29" s="10" t="str">
        <x:v>10007163</x:v>
      </x:c>
      <x:c r="I29" s="28" t="n">
        <x:f>COUNTIF(Schemes!$B$7:$B$158,B29)</x:f>
        <x:v>1</x:v>
      </x:c>
      <x:c r="J29" s="28" t="n">
        <x:f>COUNTIFS(Schemes!$B$7:$B$158,B29,Schemes!$C$7:$C$158,"University-wide")</x:f>
        <x:v>1</x:v>
      </x:c>
      <x:c r="K29" s="28" t="n">
        <x:f>COUNTIFS(Schemes!$B$7:$B$158,B29,Schemes!$C$7:$C$158,"Cross-faculty")+COUNTIFS(Schemes!$B$7:$B$158,B29,Schemes!$C$7:$C$158,"Faculty/school")+COUNTIFS(Schemes!$B$7:$B$158,B29,Schemes!$C$7:$C$158,"Programme/course")</x:f>
        <x:v>0</x:v>
      </x:c>
      <x:c r="L29" s="28" t="n">
        <x:f>COUNTIFS(Schemes!$B$7:$B$158,B29,Schemes!$C$7:$C$158,"Not confirmed")</x:f>
        <x:v>0</x:v>
      </x:c>
      <x:c r="M29" s="10" t="str">
        <x:f>IF(J29&gt;0,"University-wide scheme/framework documented",IF(COUNTIFS(Schemes!$B$7:$B$158,B29,Schemes!$C$7:$C$158,"Cross-faculty")&gt;0,"Cross-faculty; broader reach unverified",IF(COUNTIFS(Schemes!$B$7:$B$158,B29,Schemes!$C$7:$C$158,"Faculty/school")&gt;0,"Faculty/school; broader reach unverified",IF(K29&gt;0,"Programme/course; broader reach unverified","Scheme documented; reach unconfirmed"))))</x:f>
        <x:v>University-wide scheme/framework documented</x:v>
      </x:c>
    </x:row>
    <x:row r="30" ht="53" customHeight="1">
      <x:c r="A30" s="10" t="str">
        <x:v>UK</x:v>
      </x:c>
      <x:c r="B30" s="11" t="str">
        <x:v>York</x:v>
      </x:c>
      <x:c r="C30" s="10" t="str">
        <x:v>Russell Group</x:v>
      </x:c>
      <x:c r="D30" s="28" t="n">
        <x:v>2027</x:v>
      </x:c>
      <x:c r="E30" s="28" t="n">
        <x:v>158</x:v>
      </x:c>
      <x:c r="F30" s="10" t="str">
        <x:v>Yes</x:v>
      </x:c>
      <x:c r="G30" s="10" t="str">
        <x:v>https://www.topuniversities.com/qs-top-uni-wur</x:v>
      </x:c>
      <x:c r="H30" s="10" t="str">
        <x:v>10007167</x:v>
      </x:c>
      <x:c r="I30" s="28" t="n">
        <x:f>COUNTIF(Schemes!$B$7:$B$158,B30)</x:f>
        <x:v>2</x:v>
      </x:c>
      <x:c r="J30" s="28" t="n">
        <x:f>COUNTIFS(Schemes!$B$7:$B$158,B30,Schemes!$C$7:$C$158,"University-wide")</x:f>
        <x:v>1</x:v>
      </x:c>
      <x:c r="K30" s="28" t="n">
        <x:f>COUNTIFS(Schemes!$B$7:$B$158,B30,Schemes!$C$7:$C$158,"Cross-faculty")+COUNTIFS(Schemes!$B$7:$B$158,B30,Schemes!$C$7:$C$158,"Faculty/school")+COUNTIFS(Schemes!$B$7:$B$158,B30,Schemes!$C$7:$C$158,"Programme/course")</x:f>
        <x:v>1</x:v>
      </x:c>
      <x:c r="L30" s="28" t="n">
        <x:f>COUNTIFS(Schemes!$B$7:$B$158,B30,Schemes!$C$7:$C$158,"Not confirmed")</x:f>
        <x:v>0</x:v>
      </x:c>
      <x:c r="M30" s="10" t="str">
        <x:f>IF(J30&gt;0,"University-wide scheme/framework documented",IF(COUNTIFS(Schemes!$B$7:$B$158,B30,Schemes!$C$7:$C$158,"Cross-faculty")&gt;0,"Cross-faculty; broader reach unverified",IF(COUNTIFS(Schemes!$B$7:$B$158,B30,Schemes!$C$7:$C$158,"Faculty/school")&gt;0,"Faculty/school; broader reach unverified",IF(K30&gt;0,"Programme/course; broader reach unverified","Scheme documented; reach unconfirmed"))))</x:f>
        <x:v>University-wide scheme/framework documented</x:v>
      </x:c>
    </x:row>
    <x:row r="31" ht="53" customHeight="1">
      <x:c r="A31" s="10" t="str">
        <x:v>Australia</x:v>
      </x:c>
      <x:c r="B31" s="11" t="str">
        <x:v>UNSW Sydney</x:v>
      </x:c>
      <x:c r="C31" s="10" t="str">
        <x:v>Australia top 10</x:v>
      </x:c>
      <x:c r="D31" s="28" t="n">
        <x:v>2027</x:v>
      </x:c>
      <x:c r="E31" s="28" t="n">
        <x:v>19</x:v>
      </x:c>
      <x:c r="F31" s="10" t="str">
        <x:v>No</x:v>
      </x:c>
      <x:c r="G31" s="10" t="str">
        <x:v>https://www.topuniversities.com/qs-top-uni-wur</x:v>
      </x:c>
      <x:c r="H31" s="10" t="str">
        <x:v>n.a.</x:v>
      </x:c>
      <x:c r="I31" s="28" t="n">
        <x:f>COUNTIF(Schemes!$B$7:$B$158,B31)</x:f>
        <x:v>2</x:v>
      </x:c>
      <x:c r="J31" s="28" t="n">
        <x:f>COUNTIFS(Schemes!$B$7:$B$158,B31,Schemes!$C$7:$C$158,"University-wide")</x:f>
        <x:v>1</x:v>
      </x:c>
      <x:c r="K31" s="28" t="n">
        <x:f>COUNTIFS(Schemes!$B$7:$B$158,B31,Schemes!$C$7:$C$158,"Cross-faculty")+COUNTIFS(Schemes!$B$7:$B$158,B31,Schemes!$C$7:$C$158,"Faculty/school")+COUNTIFS(Schemes!$B$7:$B$158,B31,Schemes!$C$7:$C$158,"Programme/course")</x:f>
        <x:v>1</x:v>
      </x:c>
      <x:c r="L31" s="28" t="n">
        <x:f>COUNTIFS(Schemes!$B$7:$B$158,B31,Schemes!$C$7:$C$158,"Not confirmed")</x:f>
        <x:v>0</x:v>
      </x:c>
      <x:c r="M31" s="10" t="str">
        <x:f>IF(J31&gt;0,"University-wide scheme/framework documented",IF(COUNTIFS(Schemes!$B$7:$B$158,B31,Schemes!$C$7:$C$158,"Cross-faculty")&gt;0,"Cross-faculty; broader reach unverified",IF(COUNTIFS(Schemes!$B$7:$B$158,B31,Schemes!$C$7:$C$158,"Faculty/school")&gt;0,"Faculty/school; broader reach unverified",IF(K31&gt;0,"Programme/course; broader reach unverified","Scheme documented; reach unconfirmed"))))</x:f>
        <x:v>University-wide scheme/framework documented</x:v>
      </x:c>
    </x:row>
    <x:row r="32" ht="53" customHeight="1">
      <x:c r="A32" s="10" t="str">
        <x:v>Australia</x:v>
      </x:c>
      <x:c r="B32" s="11" t="str">
        <x:v>Melbourne</x:v>
      </x:c>
      <x:c r="C32" s="10" t="str">
        <x:v>Australia top 10</x:v>
      </x:c>
      <x:c r="D32" s="28" t="n">
        <x:v>2027</x:v>
      </x:c>
      <x:c r="E32" s="28" t="n">
        <x:v>22</x:v>
      </x:c>
      <x:c r="F32" s="10" t="str">
        <x:v>Yes</x:v>
      </x:c>
      <x:c r="G32" s="10" t="str">
        <x:v>https://www.topuniversities.com/qs-top-uni-wur</x:v>
      </x:c>
      <x:c r="H32" s="10" t="str">
        <x:v>n.a.</x:v>
      </x:c>
      <x:c r="I32" s="28" t="n">
        <x:f>COUNTIF(Schemes!$B$7:$B$158,B32)</x:f>
        <x:v>1</x:v>
      </x:c>
      <x:c r="J32" s="28" t="n">
        <x:f>COUNTIFS(Schemes!$B$7:$B$158,B32,Schemes!$C$7:$C$158,"University-wide")</x:f>
        <x:v>1</x:v>
      </x:c>
      <x:c r="K32" s="28" t="n">
        <x:f>COUNTIFS(Schemes!$B$7:$B$158,B32,Schemes!$C$7:$C$158,"Cross-faculty")+COUNTIFS(Schemes!$B$7:$B$158,B32,Schemes!$C$7:$C$158,"Faculty/school")+COUNTIFS(Schemes!$B$7:$B$158,B32,Schemes!$C$7:$C$158,"Programme/course")</x:f>
        <x:v>0</x:v>
      </x:c>
      <x:c r="L32" s="28" t="n">
        <x:f>COUNTIFS(Schemes!$B$7:$B$158,B32,Schemes!$C$7:$C$158,"Not confirmed")</x:f>
        <x:v>0</x:v>
      </x:c>
      <x:c r="M32" s="10" t="str">
        <x:f>IF(J32&gt;0,"University-wide scheme/framework documented",IF(COUNTIFS(Schemes!$B$7:$B$158,B32,Schemes!$C$7:$C$158,"Cross-faculty")&gt;0,"Cross-faculty; broader reach unverified",IF(COUNTIFS(Schemes!$B$7:$B$158,B32,Schemes!$C$7:$C$158,"Faculty/school")&gt;0,"Faculty/school; broader reach unverified",IF(K32&gt;0,"Programme/course; broader reach unverified","Scheme documented; reach unconfirmed"))))</x:f>
        <x:v>University-wide scheme/framework documented</x:v>
      </x:c>
    </x:row>
    <x:row r="33" ht="53" customHeight="1">
      <x:c r="A33" s="10" t="str">
        <x:v>Australia</x:v>
      </x:c>
      <x:c r="B33" s="11" t="str">
        <x:v>Sydney</x:v>
      </x:c>
      <x:c r="C33" s="10" t="str">
        <x:v>Australia top 10</x:v>
      </x:c>
      <x:c r="D33" s="28" t="n">
        <x:v>2027</x:v>
      </x:c>
      <x:c r="E33" s="28" t="n">
        <x:v>28</x:v>
      </x:c>
      <x:c r="F33" s="10" t="str">
        <x:v>No</x:v>
      </x:c>
      <x:c r="G33" s="10" t="str">
        <x:v>https://www.topuniversities.com/qs-top-uni-wur</x:v>
      </x:c>
      <x:c r="H33" s="10" t="str">
        <x:v>n.a.</x:v>
      </x:c>
      <x:c r="I33" s="28" t="n">
        <x:f>COUNTIF(Schemes!$B$7:$B$158,B33)</x:f>
        <x:v>1</x:v>
      </x:c>
      <x:c r="J33" s="28" t="n">
        <x:f>COUNTIFS(Schemes!$B$7:$B$158,B33,Schemes!$C$7:$C$158,"University-wide")</x:f>
        <x:v>1</x:v>
      </x:c>
      <x:c r="K33" s="28" t="n">
        <x:f>COUNTIFS(Schemes!$B$7:$B$158,B33,Schemes!$C$7:$C$158,"Cross-faculty")+COUNTIFS(Schemes!$B$7:$B$158,B33,Schemes!$C$7:$C$158,"Faculty/school")+COUNTIFS(Schemes!$B$7:$B$158,B33,Schemes!$C$7:$C$158,"Programme/course")</x:f>
        <x:v>0</x:v>
      </x:c>
      <x:c r="L33" s="28" t="n">
        <x:f>COUNTIFS(Schemes!$B$7:$B$158,B33,Schemes!$C$7:$C$158,"Not confirmed")</x:f>
        <x:v>0</x:v>
      </x:c>
      <x:c r="M33" s="10" t="str">
        <x:f>IF(J33&gt;0,"University-wide scheme/framework documented",IF(COUNTIFS(Schemes!$B$7:$B$158,B33,Schemes!$C$7:$C$158,"Cross-faculty")&gt;0,"Cross-faculty; broader reach unverified",IF(COUNTIFS(Schemes!$B$7:$B$158,B33,Schemes!$C$7:$C$158,"Faculty/school")&gt;0,"Faculty/school; broader reach unverified",IF(K33&gt;0,"Programme/course; broader reach unverified","Scheme documented; reach unconfirmed"))))</x:f>
        <x:v>University-wide scheme/framework documented</x:v>
      </x:c>
    </x:row>
    <x:row r="34" ht="53" customHeight="1">
      <x:c r="A34" s="10" t="str">
        <x:v>Australia</x:v>
      </x:c>
      <x:c r="B34" s="11" t="str">
        <x:v>Australian National University</x:v>
      </x:c>
      <x:c r="C34" s="10" t="str">
        <x:v>Australia top 10</x:v>
      </x:c>
      <x:c r="D34" s="28" t="n">
        <x:v>2027</x:v>
      </x:c>
      <x:c r="E34" s="28" t="n">
        <x:v>29</x:v>
      </x:c>
      <x:c r="F34" s="10" t="str">
        <x:v>No</x:v>
      </x:c>
      <x:c r="G34" s="10" t="str">
        <x:v>https://www.topuniversities.com/qs-top-uni-wur</x:v>
      </x:c>
      <x:c r="H34" s="10" t="str">
        <x:v>n.a.</x:v>
      </x:c>
      <x:c r="I34" s="28" t="n">
        <x:f>COUNTIF(Schemes!$B$7:$B$158,B34)</x:f>
        <x:v>1</x:v>
      </x:c>
      <x:c r="J34" s="28" t="n">
        <x:f>COUNTIFS(Schemes!$B$7:$B$158,B34,Schemes!$C$7:$C$158,"University-wide")</x:f>
        <x:v>1</x:v>
      </x:c>
      <x:c r="K34" s="28" t="n">
        <x:f>COUNTIFS(Schemes!$B$7:$B$158,B34,Schemes!$C$7:$C$158,"Cross-faculty")+COUNTIFS(Schemes!$B$7:$B$158,B34,Schemes!$C$7:$C$158,"Faculty/school")+COUNTIFS(Schemes!$B$7:$B$158,B34,Schemes!$C$7:$C$158,"Programme/course")</x:f>
        <x:v>0</x:v>
      </x:c>
      <x:c r="L34" s="28" t="n">
        <x:f>COUNTIFS(Schemes!$B$7:$B$158,B34,Schemes!$C$7:$C$158,"Not confirmed")</x:f>
        <x:v>0</x:v>
      </x:c>
      <x:c r="M34" s="10" t="str">
        <x:f>IF(J34&gt;0,"University-wide scheme/framework documented",IF(COUNTIFS(Schemes!$B$7:$B$158,B34,Schemes!$C$7:$C$158,"Cross-faculty")&gt;0,"Cross-faculty; broader reach unverified",IF(COUNTIFS(Schemes!$B$7:$B$158,B34,Schemes!$C$7:$C$158,"Faculty/school")&gt;0,"Faculty/school; broader reach unverified",IF(K34&gt;0,"Programme/course; broader reach unverified","Scheme documented; reach unconfirmed"))))</x:f>
        <x:v>University-wide scheme/framework documented</x:v>
      </x:c>
    </x:row>
    <x:row r="35" ht="53" customHeight="1">
      <x:c r="A35" s="10" t="str">
        <x:v>Australia</x:v>
      </x:c>
      <x:c r="B35" s="11" t="str">
        <x:v>Monash</x:v>
      </x:c>
      <x:c r="C35" s="10" t="str">
        <x:v>Australia top 10</x:v>
      </x:c>
      <x:c r="D35" s="28" t="n">
        <x:v>2027</x:v>
      </x:c>
      <x:c r="E35" s="28" t="n">
        <x:v>31</x:v>
      </x:c>
      <x:c r="F35" s="10" t="str">
        <x:v>No</x:v>
      </x:c>
      <x:c r="G35" s="10" t="str">
        <x:v>https://www.topuniversities.com/qs-top-uni-wur</x:v>
      </x:c>
      <x:c r="H35" s="10" t="str">
        <x:v>n.a.</x:v>
      </x:c>
      <x:c r="I35" s="28" t="n">
        <x:f>COUNTIF(Schemes!$B$7:$B$158,B35)</x:f>
        <x:v>1</x:v>
      </x:c>
      <x:c r="J35" s="28" t="n">
        <x:f>COUNTIFS(Schemes!$B$7:$B$158,B35,Schemes!$C$7:$C$158,"University-wide")</x:f>
        <x:v>1</x:v>
      </x:c>
      <x:c r="K35" s="28" t="n">
        <x:f>COUNTIFS(Schemes!$B$7:$B$158,B35,Schemes!$C$7:$C$158,"Cross-faculty")+COUNTIFS(Schemes!$B$7:$B$158,B35,Schemes!$C$7:$C$158,"Faculty/school")+COUNTIFS(Schemes!$B$7:$B$158,B35,Schemes!$C$7:$C$158,"Programme/course")</x:f>
        <x:v>0</x:v>
      </x:c>
      <x:c r="L35" s="28" t="n">
        <x:f>COUNTIFS(Schemes!$B$7:$B$158,B35,Schemes!$C$7:$C$158,"Not confirmed")</x:f>
        <x:v>0</x:v>
      </x:c>
      <x:c r="M35" s="10" t="str">
        <x:f>IF(J35&gt;0,"University-wide scheme/framework documented",IF(COUNTIFS(Schemes!$B$7:$B$158,B35,Schemes!$C$7:$C$158,"Cross-faculty")&gt;0,"Cross-faculty; broader reach unverified",IF(COUNTIFS(Schemes!$B$7:$B$158,B35,Schemes!$C$7:$C$158,"Faculty/school")&gt;0,"Faculty/school; broader reach unverified",IF(K35&gt;0,"Programme/course; broader reach unverified","Scheme documented; reach unconfirmed"))))</x:f>
        <x:v>University-wide scheme/framework documented</x:v>
      </x:c>
    </x:row>
    <x:row r="36" ht="53" customHeight="1">
      <x:c r="A36" s="10" t="str">
        <x:v>Australia</x:v>
      </x:c>
      <x:c r="B36" s="11" t="str">
        <x:v>Queensland</x:v>
      </x:c>
      <x:c r="C36" s="10" t="str">
        <x:v>Australia top 10</x:v>
      </x:c>
      <x:c r="D36" s="28" t="n">
        <x:v>2027</x:v>
      </x:c>
      <x:c r="E36" s="28" t="n">
        <x:v>40</x:v>
      </x:c>
      <x:c r="F36" s="10" t="str">
        <x:v>Yes</x:v>
      </x:c>
      <x:c r="G36" s="10" t="str">
        <x:v>https://www.topuniversities.com/qs-top-uni-wur</x:v>
      </x:c>
      <x:c r="H36" s="10" t="str">
        <x:v>n.a.</x:v>
      </x:c>
      <x:c r="I36" s="28" t="n">
        <x:f>COUNTIF(Schemes!$B$7:$B$158,B36)</x:f>
        <x:v>1</x:v>
      </x:c>
      <x:c r="J36" s="28" t="n">
        <x:f>COUNTIFS(Schemes!$B$7:$B$158,B36,Schemes!$C$7:$C$158,"University-wide")</x:f>
        <x:v>1</x:v>
      </x:c>
      <x:c r="K36" s="28" t="n">
        <x:f>COUNTIFS(Schemes!$B$7:$B$158,B36,Schemes!$C$7:$C$158,"Cross-faculty")+COUNTIFS(Schemes!$B$7:$B$158,B36,Schemes!$C$7:$C$158,"Faculty/school")+COUNTIFS(Schemes!$B$7:$B$158,B36,Schemes!$C$7:$C$158,"Programme/course")</x:f>
        <x:v>0</x:v>
      </x:c>
      <x:c r="L36" s="28" t="n">
        <x:f>COUNTIFS(Schemes!$B$7:$B$158,B36,Schemes!$C$7:$C$158,"Not confirmed")</x:f>
        <x:v>0</x:v>
      </x:c>
      <x:c r="M36" s="10" t="str">
        <x:f>IF(J36&gt;0,"University-wide scheme/framework documented",IF(COUNTIFS(Schemes!$B$7:$B$158,B36,Schemes!$C$7:$C$158,"Cross-faculty")&gt;0,"Cross-faculty; broader reach unverified",IF(COUNTIFS(Schemes!$B$7:$B$158,B36,Schemes!$C$7:$C$158,"Faculty/school")&gt;0,"Faculty/school; broader reach unverified",IF(K36&gt;0,"Programme/course; broader reach unverified","Scheme documented; reach unconfirmed"))))</x:f>
        <x:v>University-wide scheme/framework documented</x:v>
      </x:c>
    </x:row>
    <x:row r="37" ht="53" customHeight="1">
      <x:c r="A37" s="10" t="str">
        <x:v>Australia</x:v>
      </x:c>
      <x:c r="B37" s="11" t="str">
        <x:v>Western Australia</x:v>
      </x:c>
      <x:c r="C37" s="10" t="str">
        <x:v>Australia top 10</x:v>
      </x:c>
      <x:c r="D37" s="28" t="n">
        <x:v>2027</x:v>
      </x:c>
      <x:c r="E37" s="28" t="n">
        <x:v>77</x:v>
      </x:c>
      <x:c r="F37" s="10" t="str">
        <x:v>Yes</x:v>
      </x:c>
      <x:c r="G37" s="10" t="str">
        <x:v>https://www.topuniversities.com/qs-top-uni-wur</x:v>
      </x:c>
      <x:c r="H37" s="10" t="str">
        <x:v>n.a.</x:v>
      </x:c>
      <x:c r="I37" s="28" t="n">
        <x:f>COUNTIF(Schemes!$B$7:$B$158,B37)</x:f>
        <x:v>1</x:v>
      </x:c>
      <x:c r="J37" s="28" t="n">
        <x:f>COUNTIFS(Schemes!$B$7:$B$158,B37,Schemes!$C$7:$C$158,"University-wide")</x:f>
        <x:v>1</x:v>
      </x:c>
      <x:c r="K37" s="28" t="n">
        <x:f>COUNTIFS(Schemes!$B$7:$B$158,B37,Schemes!$C$7:$C$158,"Cross-faculty")+COUNTIFS(Schemes!$B$7:$B$158,B37,Schemes!$C$7:$C$158,"Faculty/school")+COUNTIFS(Schemes!$B$7:$B$158,B37,Schemes!$C$7:$C$158,"Programme/course")</x:f>
        <x:v>0</x:v>
      </x:c>
      <x:c r="L37" s="28" t="n">
        <x:f>COUNTIFS(Schemes!$B$7:$B$158,B37,Schemes!$C$7:$C$158,"Not confirmed")</x:f>
        <x:v>0</x:v>
      </x:c>
      <x:c r="M37" s="10" t="str">
        <x:f>IF(J37&gt;0,"University-wide scheme/framework documented",IF(COUNTIFS(Schemes!$B$7:$B$158,B37,Schemes!$C$7:$C$158,"Cross-faculty")&gt;0,"Cross-faculty; broader reach unverified",IF(COUNTIFS(Schemes!$B$7:$B$158,B37,Schemes!$C$7:$C$158,"Faculty/school")&gt;0,"Faculty/school; broader reach unverified",IF(K37&gt;0,"Programme/course; broader reach unverified","Scheme documented; reach unconfirmed"))))</x:f>
        <x:v>University-wide scheme/framework documented</x:v>
      </x:c>
    </x:row>
    <x:row r="38" ht="53" customHeight="1">
      <x:c r="A38" s="10" t="str">
        <x:v>Australia</x:v>
      </x:c>
      <x:c r="B38" s="11" t="str">
        <x:v>Adelaide University</x:v>
      </x:c>
      <x:c r="C38" s="10" t="str">
        <x:v>Australia top 10</x:v>
      </x:c>
      <x:c r="D38" s="28" t="n">
        <x:v>2027</x:v>
      </x:c>
      <x:c r="E38" s="28" t="n">
        <x:v>79</x:v>
      </x:c>
      <x:c r="F38" s="10" t="str">
        <x:v>No</x:v>
      </x:c>
      <x:c r="G38" s="10" t="str">
        <x:v>https://www.topuniversities.com/qs-top-uni-wur</x:v>
      </x:c>
      <x:c r="H38" s="10" t="str">
        <x:v>n.a.</x:v>
      </x:c>
      <x:c r="I38" s="28" t="n">
        <x:f>COUNTIF(Schemes!$B$7:$B$158,B38)</x:f>
        <x:v>1</x:v>
      </x:c>
      <x:c r="J38" s="28" t="n">
        <x:f>COUNTIFS(Schemes!$B$7:$B$158,B38,Schemes!$C$7:$C$158,"University-wide")</x:f>
        <x:v>1</x:v>
      </x:c>
      <x:c r="K38" s="28" t="n">
        <x:f>COUNTIFS(Schemes!$B$7:$B$158,B38,Schemes!$C$7:$C$158,"Cross-faculty")+COUNTIFS(Schemes!$B$7:$B$158,B38,Schemes!$C$7:$C$158,"Faculty/school")+COUNTIFS(Schemes!$B$7:$B$158,B38,Schemes!$C$7:$C$158,"Programme/course")</x:f>
        <x:v>0</x:v>
      </x:c>
      <x:c r="L38" s="28" t="n">
        <x:f>COUNTIFS(Schemes!$B$7:$B$158,B38,Schemes!$C$7:$C$158,"Not confirmed")</x:f>
        <x:v>0</x:v>
      </x:c>
      <x:c r="M38" s="10" t="str">
        <x:f>IF(J38&gt;0,"University-wide scheme/framework documented",IF(COUNTIFS(Schemes!$B$7:$B$158,B38,Schemes!$C$7:$C$158,"Cross-faculty")&gt;0,"Cross-faculty; broader reach unverified",IF(COUNTIFS(Schemes!$B$7:$B$158,B38,Schemes!$C$7:$C$158,"Faculty/school")&gt;0,"Faculty/school; broader reach unverified",IF(K38&gt;0,"Programme/course; broader reach unverified","Scheme documented; reach unconfirmed"))))</x:f>
        <x:v>University-wide scheme/framework documented</x:v>
      </x:c>
    </x:row>
    <x:row r="39" ht="53" customHeight="1">
      <x:c r="A39" s="10" t="str">
        <x:v>Australia</x:v>
      </x:c>
      <x:c r="B39" s="11" t="str">
        <x:v>University of Technology Sydney</x:v>
      </x:c>
      <x:c r="C39" s="10" t="str">
        <x:v>Australia top 10</x:v>
      </x:c>
      <x:c r="D39" s="28" t="n">
        <x:v>2027</x:v>
      </x:c>
      <x:c r="E39" s="28" t="n">
        <x:v>87</x:v>
      </x:c>
      <x:c r="F39" s="10" t="str">
        <x:v>Yes</x:v>
      </x:c>
      <x:c r="G39" s="10" t="str">
        <x:v>https://www.topuniversities.com/qs-top-uni-wur</x:v>
      </x:c>
      <x:c r="H39" s="10" t="str">
        <x:v>n.a.</x:v>
      </x:c>
      <x:c r="I39" s="28" t="n">
        <x:f>COUNTIF(Schemes!$B$7:$B$158,B39)</x:f>
        <x:v>1</x:v>
      </x:c>
      <x:c r="J39" s="28" t="n">
        <x:f>COUNTIFS(Schemes!$B$7:$B$158,B39,Schemes!$C$7:$C$158,"University-wide")</x:f>
        <x:v>1</x:v>
      </x:c>
      <x:c r="K39" s="28" t="n">
        <x:f>COUNTIFS(Schemes!$B$7:$B$158,B39,Schemes!$C$7:$C$158,"Cross-faculty")+COUNTIFS(Schemes!$B$7:$B$158,B39,Schemes!$C$7:$C$158,"Faculty/school")+COUNTIFS(Schemes!$B$7:$B$158,B39,Schemes!$C$7:$C$158,"Programme/course")</x:f>
        <x:v>0</x:v>
      </x:c>
      <x:c r="L39" s="28" t="n">
        <x:f>COUNTIFS(Schemes!$B$7:$B$158,B39,Schemes!$C$7:$C$158,"Not confirmed")</x:f>
        <x:v>0</x:v>
      </x:c>
      <x:c r="M39" s="10" t="str">
        <x:f>IF(J39&gt;0,"University-wide scheme/framework documented",IF(COUNTIFS(Schemes!$B$7:$B$158,B39,Schemes!$C$7:$C$158,"Cross-faculty")&gt;0,"Cross-faculty; broader reach unverified",IF(COUNTIFS(Schemes!$B$7:$B$158,B39,Schemes!$C$7:$C$158,"Faculty/school")&gt;0,"Faculty/school; broader reach unverified",IF(K39&gt;0,"Programme/course; broader reach unverified","Scheme documented; reach unconfirmed"))))</x:f>
        <x:v>University-wide scheme/framework documented</x:v>
      </x:c>
    </x:row>
    <x:row r="40" ht="53" customHeight="1">
      <x:c r="A40" s="10" t="str">
        <x:v>Australia</x:v>
      </x:c>
      <x:c r="B40" s="11" t="str">
        <x:v>RMIT</x:v>
      </x:c>
      <x:c r="C40" s="10" t="str">
        <x:v>Australia top 10</x:v>
      </x:c>
      <x:c r="D40" s="28" t="n">
        <x:v>2027</x:v>
      </x:c>
      <x:c r="E40" s="28" t="n">
        <x:v>119</x:v>
      </x:c>
      <x:c r="F40" s="10" t="str">
        <x:v>Yes</x:v>
      </x:c>
      <x:c r="G40" s="10" t="str">
        <x:v>https://www.topuniversities.com/qs-top-uni-wur</x:v>
      </x:c>
      <x:c r="H40" s="10" t="str">
        <x:v>n.a.</x:v>
      </x:c>
      <x:c r="I40" s="28" t="n">
        <x:f>COUNTIF(Schemes!$B$7:$B$158,B40)</x:f>
        <x:v>1</x:v>
      </x:c>
      <x:c r="J40" s="28" t="n">
        <x:f>COUNTIFS(Schemes!$B$7:$B$158,B40,Schemes!$C$7:$C$158,"University-wide")</x:f>
        <x:v>1</x:v>
      </x:c>
      <x:c r="K40" s="28" t="n">
        <x:f>COUNTIFS(Schemes!$B$7:$B$158,B40,Schemes!$C$7:$C$158,"Cross-faculty")+COUNTIFS(Schemes!$B$7:$B$158,B40,Schemes!$C$7:$C$158,"Faculty/school")+COUNTIFS(Schemes!$B$7:$B$158,B40,Schemes!$C$7:$C$158,"Programme/course")</x:f>
        <x:v>0</x:v>
      </x:c>
      <x:c r="L40" s="28" t="n">
        <x:f>COUNTIFS(Schemes!$B$7:$B$158,B40,Schemes!$C$7:$C$158,"Not confirmed")</x:f>
        <x:v>0</x:v>
      </x:c>
      <x:c r="M40" s="10" t="str">
        <x:f>IF(J40&gt;0,"University-wide scheme/framework documented",IF(COUNTIFS(Schemes!$B$7:$B$158,B40,Schemes!$C$7:$C$158,"Cross-faculty")&gt;0,"Cross-faculty; broader reach unverified",IF(COUNTIFS(Schemes!$B$7:$B$158,B40,Schemes!$C$7:$C$158,"Faculty/school")&gt;0,"Faculty/school; broader reach unverified",IF(K40&gt;0,"Programme/course; broader reach unverified","Scheme documented; reach unconfirmed"))))</x:f>
        <x:v>University-wide scheme/framework documented</x:v>
      </x:c>
    </x:row>
    <x:row r="41" ht="53" customHeight="1">
      <x:c r="A41" s="10" t="str">
        <x:v>UK</x:v>
      </x:c>
      <x:c r="B41" s="11" t="str">
        <x:v>Bath</x:v>
      </x:c>
      <x:c r="C41" s="10" t="str">
        <x:v>Additional UK sample</x:v>
      </x:c>
      <x:c r="D41" s="28" t="n">
        <x:v>2027</x:v>
      </x:c>
      <x:c r="E41" s="28" t="n">
        <x:v>125</x:v>
      </x:c>
      <x:c r="F41" s="10" t="str">
        <x:v>No</x:v>
      </x:c>
      <x:c r="G41" s="10" t="str">
        <x:v>https://www.topuniversities.com/qs-top-uni-wur</x:v>
      </x:c>
      <x:c r="H41" s="10" t="str">
        <x:v>10007850</x:v>
      </x:c>
      <x:c r="I41" s="28" t="n">
        <x:f>COUNTIF(Schemes!$B$7:$B$158,B41)</x:f>
        <x:v>1</x:v>
      </x:c>
      <x:c r="J41" s="28" t="n">
        <x:f>COUNTIFS(Schemes!$B$7:$B$158,B41,Schemes!$C$7:$C$158,"University-wide")</x:f>
        <x:v>1</x:v>
      </x:c>
      <x:c r="K41" s="28" t="n">
        <x:f>COUNTIFS(Schemes!$B$7:$B$158,B41,Schemes!$C$7:$C$158,"Cross-faculty")+COUNTIFS(Schemes!$B$7:$B$158,B41,Schemes!$C$7:$C$158,"Faculty/school")+COUNTIFS(Schemes!$B$7:$B$158,B41,Schemes!$C$7:$C$158,"Programme/course")</x:f>
        <x:v>0</x:v>
      </x:c>
      <x:c r="L41" s="28" t="n">
        <x:f>COUNTIFS(Schemes!$B$7:$B$158,B41,Schemes!$C$7:$C$158,"Not confirmed")</x:f>
        <x:v>0</x:v>
      </x:c>
      <x:c r="M41" s="10" t="str">
        <x:f>IF(J41&gt;0,"University-wide scheme/framework documented",IF(COUNTIFS(Schemes!$B$7:$B$158,B41,Schemes!$C$7:$C$158,"Cross-faculty")&gt;0,"Cross-faculty; broader reach unverified",IF(COUNTIFS(Schemes!$B$7:$B$158,B41,Schemes!$C$7:$C$158,"Faculty/school")&gt;0,"Faculty/school; broader reach unverified",IF(K41&gt;0,"Programme/course; broader reach unverified","Scheme documented; reach unconfirmed"))))</x:f>
        <x:v>University-wide scheme/framework documented</x:v>
      </x:c>
    </x:row>
    <x:row r="42" ht="53" customHeight="1">
      <x:c r="A42" s="10" t="str">
        <x:v>UK</x:v>
      </x:c>
      <x:c r="B42" s="11" t="str">
        <x:v>St Andrews</x:v>
      </x:c>
      <x:c r="C42" s="10" t="str">
        <x:v>Additional UK sample</x:v>
      </x:c>
      <x:c r="D42" s="28" t="n">
        <x:v>2027</x:v>
      </x:c>
      <x:c r="E42" s="28" t="n">
        <x:v>115</x:v>
      </x:c>
      <x:c r="F42" s="10" t="str">
        <x:v>Yes</x:v>
      </x:c>
      <x:c r="G42" s="10" t="str">
        <x:v>https://www.topuniversities.com/qs-top-uni-wur</x:v>
      </x:c>
      <x:c r="H42" s="10" t="str">
        <x:v>10007803</x:v>
      </x:c>
      <x:c r="I42" s="28" t="n">
        <x:f>COUNTIF(Schemes!$B$7:$B$158,B42)</x:f>
        <x:v>1</x:v>
      </x:c>
      <x:c r="J42" s="28" t="n">
        <x:f>COUNTIFS(Schemes!$B$7:$B$158,B42,Schemes!$C$7:$C$158,"University-wide")</x:f>
        <x:v>1</x:v>
      </x:c>
      <x:c r="K42" s="28" t="n">
        <x:f>COUNTIFS(Schemes!$B$7:$B$158,B42,Schemes!$C$7:$C$158,"Cross-faculty")+COUNTIFS(Schemes!$B$7:$B$158,B42,Schemes!$C$7:$C$158,"Faculty/school")+COUNTIFS(Schemes!$B$7:$B$158,B42,Schemes!$C$7:$C$158,"Programme/course")</x:f>
        <x:v>0</x:v>
      </x:c>
      <x:c r="L42" s="28" t="n">
        <x:f>COUNTIFS(Schemes!$B$7:$B$158,B42,Schemes!$C$7:$C$158,"Not confirmed")</x:f>
        <x:v>0</x:v>
      </x:c>
      <x:c r="M42" s="10" t="str">
        <x:f>IF(J42&gt;0,"University-wide scheme/framework documented",IF(COUNTIFS(Schemes!$B$7:$B$158,B42,Schemes!$C$7:$C$158,"Cross-faculty")&gt;0,"Cross-faculty; broader reach unverified",IF(COUNTIFS(Schemes!$B$7:$B$158,B42,Schemes!$C$7:$C$158,"Faculty/school")&gt;0,"Faculty/school; broader reach unverified",IF(K42&gt;0,"Programme/course; broader reach unverified","Scheme documented; reach unconfirmed"))))</x:f>
        <x:v>University-wide scheme/framework documented</x:v>
      </x:c>
    </x:row>
    <x:row r="43" ht="53" customHeight="1">
      <x:c r="A43" s="10" t="str">
        <x:v>UK</x:v>
      </x:c>
      <x:c r="B43" s="11" t="str">
        <x:v>Lancaster</x:v>
      </x:c>
      <x:c r="C43" s="10" t="str">
        <x:v>Additional UK sample</x:v>
      </x:c>
      <x:c r="D43" s="28" t="n">
        <x:v>2027</x:v>
      </x:c>
      <x:c r="E43" s="28" t="n">
        <x:v>164</x:v>
      </x:c>
      <x:c r="F43" s="10" t="str">
        <x:v>No</x:v>
      </x:c>
      <x:c r="G43" s="10" t="str">
        <x:v>https://www.topuniversities.com/qs-top-uni-wur</x:v>
      </x:c>
      <x:c r="H43" s="10" t="str">
        <x:v>10007768</x:v>
      </x:c>
      <x:c r="I43" s="28" t="n">
        <x:f>COUNTIF(Schemes!$B$7:$B$158,B43)</x:f>
        <x:v>1</x:v>
      </x:c>
      <x:c r="J43" s="28" t="n">
        <x:f>COUNTIFS(Schemes!$B$7:$B$158,B43,Schemes!$C$7:$C$158,"University-wide")</x:f>
        <x:v>0</x:v>
      </x:c>
      <x:c r="K43" s="28" t="n">
        <x:f>COUNTIFS(Schemes!$B$7:$B$158,B43,Schemes!$C$7:$C$158,"Cross-faculty")+COUNTIFS(Schemes!$B$7:$B$158,B43,Schemes!$C$7:$C$158,"Faculty/school")+COUNTIFS(Schemes!$B$7:$B$158,B43,Schemes!$C$7:$C$158,"Programme/course")</x:f>
        <x:v>0</x:v>
      </x:c>
      <x:c r="L43" s="28" t="n">
        <x:f>COUNTIFS(Schemes!$B$7:$B$158,B43,Schemes!$C$7:$C$158,"Not confirmed")</x:f>
        <x:v>1</x:v>
      </x:c>
      <x:c r="M43" s="10" t="str">
        <x:f>IF(J43&gt;0,"University-wide scheme/framework documented",IF(COUNTIFS(Schemes!$B$7:$B$158,B43,Schemes!$C$7:$C$158,"Cross-faculty")&gt;0,"Cross-faculty; broader reach unverified",IF(COUNTIFS(Schemes!$B$7:$B$158,B43,Schemes!$C$7:$C$158,"Faculty/school")&gt;0,"Faculty/school; broader reach unverified",IF(K43&gt;0,"Programme/course; broader reach unverified","Scheme documented; reach unconfirmed"))))</x:f>
        <x:v>Scheme documented; reach unconfirmed</x:v>
      </x:c>
    </x:row>
    <x:row r="44" ht="53" customHeight="1">
      <x:c r="A44" s="10" t="str">
        <x:v>UK</x:v>
      </x:c>
      <x:c r="B44" s="11" t="str">
        <x:v>Loughborough</x:v>
      </x:c>
      <x:c r="C44" s="10" t="str">
        <x:v>Additional UK sample</x:v>
      </x:c>
      <x:c r="D44" s="28" t="n">
        <x:v>2027</x:v>
      </x:c>
      <x:c r="E44" s="28" t="n">
        <x:v>203</x:v>
      </x:c>
      <x:c r="F44" s="10" t="str">
        <x:v>No</x:v>
      </x:c>
      <x:c r="G44" s="10" t="str">
        <x:v>https://www.topuniversities.com/universities/loughborough-university</x:v>
      </x:c>
      <x:c r="H44" s="10" t="str">
        <x:v>10004113</x:v>
      </x:c>
      <x:c r="I44" s="28" t="n">
        <x:f>COUNTIF(Schemes!$B$7:$B$158,B44)</x:f>
        <x:v>1</x:v>
      </x:c>
      <x:c r="J44" s="28" t="n">
        <x:f>COUNTIFS(Schemes!$B$7:$B$158,B44,Schemes!$C$7:$C$158,"University-wide")</x:f>
        <x:v>1</x:v>
      </x:c>
      <x:c r="K44" s="28" t="n">
        <x:f>COUNTIFS(Schemes!$B$7:$B$158,B44,Schemes!$C$7:$C$158,"Cross-faculty")+COUNTIFS(Schemes!$B$7:$B$158,B44,Schemes!$C$7:$C$158,"Faculty/school")+COUNTIFS(Schemes!$B$7:$B$158,B44,Schemes!$C$7:$C$158,"Programme/course")</x:f>
        <x:v>0</x:v>
      </x:c>
      <x:c r="L44" s="28" t="n">
        <x:f>COUNTIFS(Schemes!$B$7:$B$158,B44,Schemes!$C$7:$C$158,"Not confirmed")</x:f>
        <x:v>0</x:v>
      </x:c>
      <x:c r="M44" s="10" t="str">
        <x:f>IF(J44&gt;0,"University-wide scheme/framework documented",IF(COUNTIFS(Schemes!$B$7:$B$158,B44,Schemes!$C$7:$C$158,"Cross-faculty")&gt;0,"Cross-faculty; broader reach unverified",IF(COUNTIFS(Schemes!$B$7:$B$158,B44,Schemes!$C$7:$C$158,"Faculty/school")&gt;0,"Faculty/school; broader reach unverified",IF(K44&gt;0,"Programme/course; broader reach unverified","Scheme documented; reach unconfirmed"))))</x:f>
        <x:v>University-wide scheme/framework documented</x:v>
      </x:c>
    </x:row>
    <x:row r="45" ht="53" customHeight="1">
      <x:c r="A45" s="10" t="str">
        <x:v>UK</x:v>
      </x:c>
      <x:c r="B45" s="11" t="str">
        <x:v>Aberdeen</x:v>
      </x:c>
      <x:c r="C45" s="10" t="str">
        <x:v>Additional UK sample</x:v>
      </x:c>
      <x:c r="D45" s="28" t="n">
        <x:v>2027</x:v>
      </x:c>
      <x:c r="E45" s="28" t="n">
        <x:v>288</x:v>
      </x:c>
      <x:c r="F45" s="10" t="str">
        <x:v>No</x:v>
      </x:c>
      <x:c r="G45" s="10" t="str">
        <x:v>https://www.topuniversities.com/universities/university-aberdeen</x:v>
      </x:c>
      <x:c r="H45" s="10" t="str">
        <x:v>10007783</x:v>
      </x:c>
      <x:c r="I45" s="28" t="n">
        <x:f>COUNTIF(Schemes!$B$7:$B$158,B45)</x:f>
        <x:v>1</x:v>
      </x:c>
      <x:c r="J45" s="28" t="n">
        <x:f>COUNTIFS(Schemes!$B$7:$B$158,B45,Schemes!$C$7:$C$158,"University-wide")</x:f>
        <x:v>1</x:v>
      </x:c>
      <x:c r="K45" s="28" t="n">
        <x:f>COUNTIFS(Schemes!$B$7:$B$158,B45,Schemes!$C$7:$C$158,"Cross-faculty")+COUNTIFS(Schemes!$B$7:$B$158,B45,Schemes!$C$7:$C$158,"Faculty/school")+COUNTIFS(Schemes!$B$7:$B$158,B45,Schemes!$C$7:$C$158,"Programme/course")</x:f>
        <x:v>0</x:v>
      </x:c>
      <x:c r="L45" s="28" t="n">
        <x:f>COUNTIFS(Schemes!$B$7:$B$158,B45,Schemes!$C$7:$C$158,"Not confirmed")</x:f>
        <x:v>0</x:v>
      </x:c>
      <x:c r="M45" s="10" t="str">
        <x:f>IF(J45&gt;0,"University-wide scheme/framework documented",IF(COUNTIFS(Schemes!$B$7:$B$158,B45,Schemes!$C$7:$C$158,"Cross-faculty")&gt;0,"Cross-faculty; broader reach unverified",IF(COUNTIFS(Schemes!$B$7:$B$158,B45,Schemes!$C$7:$C$158,"Faculty/school")&gt;0,"Faculty/school; broader reach unverified",IF(K45&gt;0,"Programme/course; broader reach unverified","Scheme documented; reach unconfirmed"))))</x:f>
        <x:v>University-wide scheme/framework documented</x:v>
      </x:c>
    </x:row>
    <x:row r="46" ht="53" customHeight="1">
      <x:c r="A46" s="10" t="str">
        <x:v>UK</x:v>
      </x:c>
      <x:c r="B46" s="11" t="str">
        <x:v>Reading</x:v>
      </x:c>
      <x:c r="C46" s="10" t="str">
        <x:v>Additional UK sample</x:v>
      </x:c>
      <x:c r="D46" s="28" t="n">
        <x:v>2027</x:v>
      </x:c>
      <x:c r="E46" s="28" t="n">
        <x:v>196</x:v>
      </x:c>
      <x:c r="F46" s="10" t="str">
        <x:v>Yes</x:v>
      </x:c>
      <x:c r="G46" s="10" t="str">
        <x:v>https://www.topuniversities.com/qs-top-uni-wur</x:v>
      </x:c>
      <x:c r="H46" s="10" t="str">
        <x:v>10007802</x:v>
      </x:c>
      <x:c r="I46" s="28" t="n">
        <x:f>COUNTIF(Schemes!$B$7:$B$158,B46)</x:f>
        <x:v>1</x:v>
      </x:c>
      <x:c r="J46" s="28" t="n">
        <x:f>COUNTIFS(Schemes!$B$7:$B$158,B46,Schemes!$C$7:$C$158,"University-wide")</x:f>
        <x:v>1</x:v>
      </x:c>
      <x:c r="K46" s="28" t="n">
        <x:f>COUNTIFS(Schemes!$B$7:$B$158,B46,Schemes!$C$7:$C$158,"Cross-faculty")+COUNTIFS(Schemes!$B$7:$B$158,B46,Schemes!$C$7:$C$158,"Faculty/school")+COUNTIFS(Schemes!$B$7:$B$158,B46,Schemes!$C$7:$C$158,"Programme/course")</x:f>
        <x:v>0</x:v>
      </x:c>
      <x:c r="L46" s="28" t="n">
        <x:f>COUNTIFS(Schemes!$B$7:$B$158,B46,Schemes!$C$7:$C$158,"Not confirmed")</x:f>
        <x:v>0</x:v>
      </x:c>
      <x:c r="M46" s="10" t="str">
        <x:f>IF(J46&gt;0,"University-wide scheme/framework documented",IF(COUNTIFS(Schemes!$B$7:$B$158,B46,Schemes!$C$7:$C$158,"Cross-faculty")&gt;0,"Cross-faculty; broader reach unverified",IF(COUNTIFS(Schemes!$B$7:$B$158,B46,Schemes!$C$7:$C$158,"Faculty/school")&gt;0,"Faculty/school; broader reach unverified",IF(K46&gt;0,"Programme/course; broader reach unverified","Scheme documented; reach unconfirmed"))))</x:f>
        <x:v>University-wide scheme/framework documented</x:v>
      </x:c>
    </x:row>
    <x:row r="47" ht="53" customHeight="1">
      <x:c r="A47" s="10" t="str">
        <x:v>UK</x:v>
      </x:c>
      <x:c r="B47" s="11" t="str">
        <x:v>Surrey</x:v>
      </x:c>
      <x:c r="C47" s="10" t="str">
        <x:v>Additional UK sample</x:v>
      </x:c>
      <x:c r="D47" s="28" t="n">
        <x:v>2027</x:v>
      </x:c>
      <x:c r="E47" s="28" t="n">
        <x:v>246</x:v>
      </x:c>
      <x:c r="F47" s="10" t="str">
        <x:v>Yes</x:v>
      </x:c>
      <x:c r="G47" s="10" t="str">
        <x:v>https://www.topuniversities.com/universities/university-surrey</x:v>
      </x:c>
      <x:c r="H47" s="10" t="str">
        <x:v>10007160</x:v>
      </x:c>
      <x:c r="I47" s="28" t="n">
        <x:f>COUNTIF(Schemes!$B$7:$B$158,B47)</x:f>
        <x:v>1</x:v>
      </x:c>
      <x:c r="J47" s="28" t="n">
        <x:f>COUNTIFS(Schemes!$B$7:$B$158,B47,Schemes!$C$7:$C$158,"University-wide")</x:f>
        <x:v>1</x:v>
      </x:c>
      <x:c r="K47" s="28" t="n">
        <x:f>COUNTIFS(Schemes!$B$7:$B$158,B47,Schemes!$C$7:$C$158,"Cross-faculty")+COUNTIFS(Schemes!$B$7:$B$158,B47,Schemes!$C$7:$C$158,"Faculty/school")+COUNTIFS(Schemes!$B$7:$B$158,B47,Schemes!$C$7:$C$158,"Programme/course")</x:f>
        <x:v>0</x:v>
      </x:c>
      <x:c r="L47" s="28" t="n">
        <x:f>COUNTIFS(Schemes!$B$7:$B$158,B47,Schemes!$C$7:$C$158,"Not confirmed")</x:f>
        <x:v>0</x:v>
      </x:c>
      <x:c r="M47" s="10" t="str">
        <x:f>IF(J47&gt;0,"University-wide scheme/framework documented",IF(COUNTIFS(Schemes!$B$7:$B$158,B47,Schemes!$C$7:$C$158,"Cross-faculty")&gt;0,"Cross-faculty; broader reach unverified",IF(COUNTIFS(Schemes!$B$7:$B$158,B47,Schemes!$C$7:$C$158,"Faculty/school")&gt;0,"Faculty/school; broader reach unverified",IF(K47&gt;0,"Programme/course; broader reach unverified","Scheme documented; reach unconfirmed"))))</x:f>
        <x:v>University-wide scheme/framework documented</x:v>
      </x:c>
    </x:row>
    <x:row r="48" ht="53" customHeight="1">
      <x:c r="A48" s="10" t="str">
        <x:v>UK</x:v>
      </x:c>
      <x:c r="B48" s="11" t="str">
        <x:v>Sussex</x:v>
      </x:c>
      <x:c r="C48" s="10" t="str">
        <x:v>Additional UK sample</x:v>
      </x:c>
      <x:c r="D48" s="28" t="n">
        <x:v>2027</x:v>
      </x:c>
      <x:c r="E48" s="28" t="n">
        <x:v>273</x:v>
      </x:c>
      <x:c r="F48" s="10" t="str">
        <x:v>Yes</x:v>
      </x:c>
      <x:c r="G48" s="10" t="str">
        <x:v>https://www.topuniversities.com/universities/university-sussex</x:v>
      </x:c>
      <x:c r="H48" s="10" t="str">
        <x:v>10007806</x:v>
      </x:c>
      <x:c r="I48" s="28" t="n">
        <x:f>COUNTIF(Schemes!$B$7:$B$158,B48)</x:f>
        <x:v>1</x:v>
      </x:c>
      <x:c r="J48" s="28" t="n">
        <x:f>COUNTIFS(Schemes!$B$7:$B$158,B48,Schemes!$C$7:$C$158,"University-wide")</x:f>
        <x:v>1</x:v>
      </x:c>
      <x:c r="K48" s="28" t="n">
        <x:f>COUNTIFS(Schemes!$B$7:$B$158,B48,Schemes!$C$7:$C$158,"Cross-faculty")+COUNTIFS(Schemes!$B$7:$B$158,B48,Schemes!$C$7:$C$158,"Faculty/school")+COUNTIFS(Schemes!$B$7:$B$158,B48,Schemes!$C$7:$C$158,"Programme/course")</x:f>
        <x:v>0</x:v>
      </x:c>
      <x:c r="L48" s="28" t="n">
        <x:f>COUNTIFS(Schemes!$B$7:$B$158,B48,Schemes!$C$7:$C$158,"Not confirmed")</x:f>
        <x:v>0</x:v>
      </x:c>
      <x:c r="M48" s="10" t="str">
        <x:f>IF(J48&gt;0,"University-wide scheme/framework documented",IF(COUNTIFS(Schemes!$B$7:$B$158,B48,Schemes!$C$7:$C$158,"Cross-faculty")&gt;0,"Cross-faculty; broader reach unverified",IF(COUNTIFS(Schemes!$B$7:$B$158,B48,Schemes!$C$7:$C$158,"Faculty/school")&gt;0,"Faculty/school; broader reach unverified",IF(K48&gt;0,"Programme/course; broader reach unverified","Scheme documented; reach unconfirmed"))))</x:f>
        <x:v>University-wide scheme/framework documented</x:v>
      </x:c>
    </x:row>
    <x:row r="49" ht="53" customHeight="1">
      <x:c r="A49" s="10" t="str">
        <x:v>UK</x:v>
      </x:c>
      <x:c r="B49" s="11" t="str">
        <x:v>Leicester</x:v>
      </x:c>
      <x:c r="C49" s="10" t="str">
        <x:v>Additional UK sample</x:v>
      </x:c>
      <x:c r="D49" s="28" t="n">
        <x:v>2027</x:v>
      </x:c>
      <x:c r="E49" s="28" t="n">
        <x:v>314</x:v>
      </x:c>
      <x:c r="F49" s="10" t="str">
        <x:v>Yes</x:v>
      </x:c>
      <x:c r="G49" s="10" t="str">
        <x:v>https://www.topuniversities.com/universities/university-leicester</x:v>
      </x:c>
      <x:c r="H49" s="10" t="str">
        <x:v>10007796</x:v>
      </x:c>
      <x:c r="I49" s="28" t="n">
        <x:f>COUNTIF(Schemes!$B$7:$B$158,B49)</x:f>
        <x:v>2</x:v>
      </x:c>
      <x:c r="J49" s="28" t="n">
        <x:f>COUNTIFS(Schemes!$B$7:$B$158,B49,Schemes!$C$7:$C$158,"University-wide")</x:f>
        <x:v>2</x:v>
      </x:c>
      <x:c r="K49" s="28" t="n">
        <x:f>COUNTIFS(Schemes!$B$7:$B$158,B49,Schemes!$C$7:$C$158,"Cross-faculty")+COUNTIFS(Schemes!$B$7:$B$158,B49,Schemes!$C$7:$C$158,"Faculty/school")+COUNTIFS(Schemes!$B$7:$B$158,B49,Schemes!$C$7:$C$158,"Programme/course")</x:f>
        <x:v>0</x:v>
      </x:c>
      <x:c r="L49" s="28" t="n">
        <x:f>COUNTIFS(Schemes!$B$7:$B$158,B49,Schemes!$C$7:$C$158,"Not confirmed")</x:f>
        <x:v>0</x:v>
      </x:c>
      <x:c r="M49" s="10" t="str">
        <x:f>IF(J49&gt;0,"University-wide scheme/framework documented",IF(COUNTIFS(Schemes!$B$7:$B$158,B49,Schemes!$C$7:$C$158,"Cross-faculty")&gt;0,"Cross-faculty; broader reach unverified",IF(COUNTIFS(Schemes!$B$7:$B$158,B49,Schemes!$C$7:$C$158,"Faculty/school")&gt;0,"Faculty/school; broader reach unverified",IF(K49&gt;0,"Programme/course; broader reach unverified","Scheme documented; reach unconfirmed"))))</x:f>
        <x:v>University-wide scheme/framework documented</x:v>
      </x:c>
    </x:row>
    <x:row r="50" ht="53" customHeight="1">
      <x:c r="A50" s="10" t="str">
        <x:v>UK</x:v>
      </x:c>
      <x:c r="B50" s="11" t="str">
        <x:v>Strathclyde</x:v>
      </x:c>
      <x:c r="C50" s="10" t="str">
        <x:v>Additional UK sample</x:v>
      </x:c>
      <x:c r="D50" s="28" t="n">
        <x:v>2027</x:v>
      </x:c>
      <x:c r="E50" s="28" t="n">
        <x:v>230</x:v>
      </x:c>
      <x:c r="F50" s="10" t="str">
        <x:v>Yes</x:v>
      </x:c>
      <x:c r="G50" s="10" t="str">
        <x:v>https://www.topuniversities.com/universities/university-strathclyde</x:v>
      </x:c>
      <x:c r="H50" s="10" t="str">
        <x:v>10007805</x:v>
      </x:c>
      <x:c r="I50" s="28" t="n">
        <x:f>COUNTIF(Schemes!$B$7:$B$158,B50)</x:f>
        <x:v>1</x:v>
      </x:c>
      <x:c r="J50" s="28" t="n">
        <x:f>COUNTIFS(Schemes!$B$7:$B$158,B50,Schemes!$C$7:$C$158,"University-wide")</x:f>
        <x:v>1</x:v>
      </x:c>
      <x:c r="K50" s="28" t="n">
        <x:f>COUNTIFS(Schemes!$B$7:$B$158,B50,Schemes!$C$7:$C$158,"Cross-faculty")+COUNTIFS(Schemes!$B$7:$B$158,B50,Schemes!$C$7:$C$158,"Faculty/school")+COUNTIFS(Schemes!$B$7:$B$158,B50,Schemes!$C$7:$C$158,"Programme/course")</x:f>
        <x:v>0</x:v>
      </x:c>
      <x:c r="L50" s="28" t="n">
        <x:f>COUNTIFS(Schemes!$B$7:$B$158,B50,Schemes!$C$7:$C$158,"Not confirmed")</x:f>
        <x:v>0</x:v>
      </x:c>
      <x:c r="M50" s="10" t="str">
        <x:f>IF(J50&gt;0,"University-wide scheme/framework documented",IF(COUNTIFS(Schemes!$B$7:$B$158,B50,Schemes!$C$7:$C$158,"Cross-faculty")&gt;0,"Cross-faculty; broader reach unverified",IF(COUNTIFS(Schemes!$B$7:$B$158,B50,Schemes!$C$7:$C$158,"Faculty/school")&gt;0,"Faculty/school; broader reach unverified",IF(K50&gt;0,"Programme/course; broader reach unverified","Scheme documented; reach unconfirmed"))))</x:f>
        <x:v>University-wide scheme/framework documented</x:v>
      </x:c>
    </x:row>
    <x:row r="51" ht="53" customHeight="1">
      <x:c r="A51" s="10" t="str">
        <x:v>UK</x:v>
      </x:c>
      <x:c r="B51" s="11" t="str">
        <x:v>Heriot-Watt</x:v>
      </x:c>
      <x:c r="C51" s="10" t="str">
        <x:v>Additional UK sample</x:v>
      </x:c>
      <x:c r="D51" s="28" t="n">
        <x:v>2027</x:v>
      </x:c>
      <x:c r="E51" s="28" t="n">
        <x:v>325</x:v>
      </x:c>
      <x:c r="F51" s="10" t="str">
        <x:v>No</x:v>
      </x:c>
      <x:c r="G51" s="10" t="str">
        <x:v>https://www.topuniversities.com/universities/heriot-watt-university</x:v>
      </x:c>
      <x:c r="H51" s="10" t="str">
        <x:v>10007764</x:v>
      </x:c>
      <x:c r="I51" s="28" t="n">
        <x:f>COUNTIF(Schemes!$B$7:$B$158,B51)</x:f>
        <x:v>1</x:v>
      </x:c>
      <x:c r="J51" s="28" t="n">
        <x:f>COUNTIFS(Schemes!$B$7:$B$158,B51,Schemes!$C$7:$C$158,"University-wide")</x:f>
        <x:v>1</x:v>
      </x:c>
      <x:c r="K51" s="28" t="n">
        <x:f>COUNTIFS(Schemes!$B$7:$B$158,B51,Schemes!$C$7:$C$158,"Cross-faculty")+COUNTIFS(Schemes!$B$7:$B$158,B51,Schemes!$C$7:$C$158,"Faculty/school")+COUNTIFS(Schemes!$B$7:$B$158,B51,Schemes!$C$7:$C$158,"Programme/course")</x:f>
        <x:v>0</x:v>
      </x:c>
      <x:c r="L51" s="28" t="n">
        <x:f>COUNTIFS(Schemes!$B$7:$B$158,B51,Schemes!$C$7:$C$158,"Not confirmed")</x:f>
        <x:v>0</x:v>
      </x:c>
      <x:c r="M51" s="10" t="str">
        <x:f>IF(J51&gt;0,"University-wide scheme/framework documented",IF(COUNTIFS(Schemes!$B$7:$B$158,B51,Schemes!$C$7:$C$158,"Cross-faculty")&gt;0,"Cross-faculty; broader reach unverified",IF(COUNTIFS(Schemes!$B$7:$B$158,B51,Schemes!$C$7:$C$158,"Faculty/school")&gt;0,"Faculty/school; broader reach unverified",IF(K51&gt;0,"Programme/course; broader reach unverified","Scheme documented; reach unconfirmed"))))</x:f>
        <x:v>University-wide scheme/framework documented</x:v>
      </x:c>
    </x:row>
    <x:row r="52" ht="53" customHeight="1">
      <x:c r="A52" s="10" t="str">
        <x:v>UK</x:v>
      </x:c>
      <x:c r="B52" s="11" t="str">
        <x:v>East Anglia</x:v>
      </x:c>
      <x:c r="C52" s="10" t="str">
        <x:v>Additional UK sample</x:v>
      </x:c>
      <x:c r="D52" s="28" t="n">
        <x:v>2027</x:v>
      </x:c>
      <x:c r="E52" s="28" t="n">
        <x:v>381</x:v>
      </x:c>
      <x:c r="F52" s="10" t="str">
        <x:v>Yes</x:v>
      </x:c>
      <x:c r="G52" s="10" t="str">
        <x:v>https://www.topuniversities.com/universities/university-east-anglia-uea</x:v>
      </x:c>
      <x:c r="H52" s="10" t="str">
        <x:v>10007789</x:v>
      </x:c>
      <x:c r="I52" s="28" t="n">
        <x:f>COUNTIF(Schemes!$B$7:$B$158,B52)</x:f>
        <x:v>1</x:v>
      </x:c>
      <x:c r="J52" s="28" t="n">
        <x:f>COUNTIFS(Schemes!$B$7:$B$158,B52,Schemes!$C$7:$C$158,"University-wide")</x:f>
        <x:v>0</x:v>
      </x:c>
      <x:c r="K52" s="28" t="n">
        <x:f>COUNTIFS(Schemes!$B$7:$B$158,B52,Schemes!$C$7:$C$158,"Cross-faculty")+COUNTIFS(Schemes!$B$7:$B$158,B52,Schemes!$C$7:$C$158,"Faculty/school")+COUNTIFS(Schemes!$B$7:$B$158,B52,Schemes!$C$7:$C$158,"Programme/course")</x:f>
        <x:v>0</x:v>
      </x:c>
      <x:c r="L52" s="28" t="n">
        <x:f>COUNTIFS(Schemes!$B$7:$B$158,B52,Schemes!$C$7:$C$158,"Not confirmed")</x:f>
        <x:v>1</x:v>
      </x:c>
      <x:c r="M52" s="10" t="str">
        <x:f>IF(J52&gt;0,"University-wide scheme/framework documented",IF(COUNTIFS(Schemes!$B$7:$B$158,B52,Schemes!$C$7:$C$158,"Cross-faculty")&gt;0,"Cross-faculty; broader reach unverified",IF(COUNTIFS(Schemes!$B$7:$B$158,B52,Schemes!$C$7:$C$158,"Faculty/school")&gt;0,"Faculty/school; broader reach unverified",IF(K52&gt;0,"Programme/course; broader reach unverified","Scheme documented; reach unconfirmed"))))</x:f>
        <x:v>Scheme documented; reach unconfirmed</x:v>
      </x:c>
    </x:row>
    <x:row r="53" ht="53" customHeight="1">
      <x:c r="A53" s="10" t="str">
        <x:v>UK</x:v>
      </x:c>
      <x:c r="B53" s="11" t="str">
        <x:v>Dundee</x:v>
      </x:c>
      <x:c r="C53" s="10" t="str">
        <x:v>Additional UK sample</x:v>
      </x:c>
      <x:c r="D53" s="28" t="n">
        <x:v>2027</x:v>
      </x:c>
      <x:c r="E53" s="28" t="n">
        <x:v>447</x:v>
      </x:c>
      <x:c r="F53" s="10" t="str">
        <x:v>Yes</x:v>
      </x:c>
      <x:c r="G53" s="10" t="str">
        <x:v>https://www.topuniversities.com/universities/university-dundee</x:v>
      </x:c>
      <x:c r="H53" s="10" t="str">
        <x:v>10007852</x:v>
      </x:c>
      <x:c r="I53" s="28" t="n">
        <x:f>COUNTIF(Schemes!$B$7:$B$158,B53)</x:f>
        <x:v>1</x:v>
      </x:c>
      <x:c r="J53" s="28" t="n">
        <x:f>COUNTIFS(Schemes!$B$7:$B$158,B53,Schemes!$C$7:$C$158,"University-wide")</x:f>
        <x:v>1</x:v>
      </x:c>
      <x:c r="K53" s="28" t="n">
        <x:f>COUNTIFS(Schemes!$B$7:$B$158,B53,Schemes!$C$7:$C$158,"Cross-faculty")+COUNTIFS(Schemes!$B$7:$B$158,B53,Schemes!$C$7:$C$158,"Faculty/school")+COUNTIFS(Schemes!$B$7:$B$158,B53,Schemes!$C$7:$C$158,"Programme/course")</x:f>
        <x:v>0</x:v>
      </x:c>
      <x:c r="L53" s="28" t="n">
        <x:f>COUNTIFS(Schemes!$B$7:$B$158,B53,Schemes!$C$7:$C$158,"Not confirmed")</x:f>
        <x:v>0</x:v>
      </x:c>
      <x:c r="M53" s="10" t="str">
        <x:f>IF(J53&gt;0,"University-wide scheme/framework documented",IF(COUNTIFS(Schemes!$B$7:$B$158,B53,Schemes!$C$7:$C$158,"Cross-faculty")&gt;0,"Cross-faculty; broader reach unverified",IF(COUNTIFS(Schemes!$B$7:$B$158,B53,Schemes!$C$7:$C$158,"Faculty/school")&gt;0,"Faculty/school; broader reach unverified",IF(K53&gt;0,"Programme/course; broader reach unverified","Scheme documented; reach unconfirmed"))))</x:f>
        <x:v>University-wide scheme/framework documented</x:v>
      </x:c>
    </x:row>
    <x:row r="54" ht="53" customHeight="1">
      <x:c r="A54" s="10" t="str">
        <x:v>UK</x:v>
      </x:c>
      <x:c r="B54" s="11" t="str">
        <x:v>Swansea</x:v>
      </x:c>
      <x:c r="C54" s="10" t="str">
        <x:v>Additional UK sample</x:v>
      </x:c>
      <x:c r="D54" s="28" t="n">
        <x:v>2027</x:v>
      </x:c>
      <x:c r="E54" s="28" t="n">
        <x:v>322</x:v>
      </x:c>
      <x:c r="F54" s="10" t="str">
        <x:v>Yes</x:v>
      </x:c>
      <x:c r="G54" s="10" t="str">
        <x:v>https://www.topuniversities.com/universities/swansea-university</x:v>
      </x:c>
      <x:c r="H54" s="10" t="str">
        <x:v>10007855</x:v>
      </x:c>
      <x:c r="I54" s="28" t="n">
        <x:f>COUNTIF(Schemes!$B$7:$B$158,B54)</x:f>
        <x:v>1</x:v>
      </x:c>
      <x:c r="J54" s="28" t="n">
        <x:f>COUNTIFS(Schemes!$B$7:$B$158,B54,Schemes!$C$7:$C$158,"University-wide")</x:f>
        <x:v>1</x:v>
      </x:c>
      <x:c r="K54" s="28" t="n">
        <x:f>COUNTIFS(Schemes!$B$7:$B$158,B54,Schemes!$C$7:$C$158,"Cross-faculty")+COUNTIFS(Schemes!$B$7:$B$158,B54,Schemes!$C$7:$C$158,"Faculty/school")+COUNTIFS(Schemes!$B$7:$B$158,B54,Schemes!$C$7:$C$158,"Programme/course")</x:f>
        <x:v>0</x:v>
      </x:c>
      <x:c r="L54" s="28" t="n">
        <x:f>COUNTIFS(Schemes!$B$7:$B$158,B54,Schemes!$C$7:$C$158,"Not confirmed")</x:f>
        <x:v>0</x:v>
      </x:c>
      <x:c r="M54" s="10" t="str">
        <x:f>IF(J54&gt;0,"University-wide scheme/framework documented",IF(COUNTIFS(Schemes!$B$7:$B$158,B54,Schemes!$C$7:$C$158,"Cross-faculty")&gt;0,"Cross-faculty; broader reach unverified",IF(COUNTIFS(Schemes!$B$7:$B$158,B54,Schemes!$C$7:$C$158,"Faculty/school")&gt;0,"Faculty/school; broader reach unverified",IF(K54&gt;0,"Programme/course; broader reach unverified","Scheme documented; reach unconfirmed"))))</x:f>
        <x:v>University-wide scheme/framework documented</x:v>
      </x:c>
    </x:row>
    <x:row r="55" ht="53" customHeight="1">
      <x:c r="A55" s="10" t="str">
        <x:v>UK</x:v>
      </x:c>
      <x:c r="B55" s="11" t="str">
        <x:v>Essex</x:v>
      </x:c>
      <x:c r="C55" s="10" t="str">
        <x:v>Additional UK sample</x:v>
      </x:c>
      <x:c r="D55" s="28" t="n">
        <x:v>2027</x:v>
      </x:c>
      <x:c r="E55" s="28" t="n">
        <x:v>438</x:v>
      </x:c>
      <x:c r="F55" s="10" t="str">
        <x:v>Yes</x:v>
      </x:c>
      <x:c r="G55" s="10" t="str">
        <x:v>https://www.topuniversities.com/universities/essex-university</x:v>
      </x:c>
      <x:c r="H55" s="10" t="str">
        <x:v>10007791</x:v>
      </x:c>
      <x:c r="I55" s="28" t="n">
        <x:f>COUNTIF(Schemes!$B$7:$B$158,B55)</x:f>
        <x:v>1</x:v>
      </x:c>
      <x:c r="J55" s="28" t="n">
        <x:f>COUNTIFS(Schemes!$B$7:$B$158,B55,Schemes!$C$7:$C$158,"University-wide")</x:f>
        <x:v>1</x:v>
      </x:c>
      <x:c r="K55" s="28" t="n">
        <x:f>COUNTIFS(Schemes!$B$7:$B$158,B55,Schemes!$C$7:$C$158,"Cross-faculty")+COUNTIFS(Schemes!$B$7:$B$158,B55,Schemes!$C$7:$C$158,"Faculty/school")+COUNTIFS(Schemes!$B$7:$B$158,B55,Schemes!$C$7:$C$158,"Programme/course")</x:f>
        <x:v>0</x:v>
      </x:c>
      <x:c r="L55" s="28" t="n">
        <x:f>COUNTIFS(Schemes!$B$7:$B$158,B55,Schemes!$C$7:$C$158,"Not confirmed")</x:f>
        <x:v>0</x:v>
      </x:c>
      <x:c r="M55" s="10" t="str">
        <x:f>IF(J55&gt;0,"University-wide scheme/framework documented",IF(COUNTIFS(Schemes!$B$7:$B$158,B55,Schemes!$C$7:$C$158,"Cross-faculty")&gt;0,"Cross-faculty; broader reach unverified",IF(COUNTIFS(Schemes!$B$7:$B$158,B55,Schemes!$C$7:$C$158,"Faculty/school")&gt;0,"Faculty/school; broader reach unverified",IF(K55&gt;0,"Programme/course; broader reach unverified","Scheme documented; reach unconfirmed"))))</x:f>
        <x:v>University-wide scheme/framework documented</x:v>
      </x:c>
    </x:row>
    <x:row r="56" ht="53" customHeight="1">
      <x:c r="A56" s="10" t="str">
        <x:v>UK</x:v>
      </x:c>
      <x:c r="B56" s="11" t="str">
        <x:v>Kent</x:v>
      </x:c>
      <x:c r="C56" s="10" t="str">
        <x:v>Additional UK sample</x:v>
      </x:c>
      <x:c r="D56" s="28" t="n">
        <x:v>2027</x:v>
      </x:c>
      <x:c r="E56" s="28" t="n">
        <x:v>415</x:v>
      </x:c>
      <x:c r="F56" s="10" t="str">
        <x:v>No</x:v>
      </x:c>
      <x:c r="G56" s="10" t="str">
        <x:v>https://www.topuniversities.com/universities/university-kent</x:v>
      </x:c>
      <x:c r="H56" s="10" t="str">
        <x:v>10007150</x:v>
      </x:c>
      <x:c r="I56" s="28" t="n">
        <x:f>COUNTIF(Schemes!$B$7:$B$158,B56)</x:f>
        <x:v>1</x:v>
      </x:c>
      <x:c r="J56" s="28" t="n">
        <x:f>COUNTIFS(Schemes!$B$7:$B$158,B56,Schemes!$C$7:$C$158,"University-wide")</x:f>
        <x:v>1</x:v>
      </x:c>
      <x:c r="K56" s="28" t="n">
        <x:f>COUNTIFS(Schemes!$B$7:$B$158,B56,Schemes!$C$7:$C$158,"Cross-faculty")+COUNTIFS(Schemes!$B$7:$B$158,B56,Schemes!$C$7:$C$158,"Faculty/school")+COUNTIFS(Schemes!$B$7:$B$158,B56,Schemes!$C$7:$C$158,"Programme/course")</x:f>
        <x:v>0</x:v>
      </x:c>
      <x:c r="L56" s="28" t="n">
        <x:f>COUNTIFS(Schemes!$B$7:$B$158,B56,Schemes!$C$7:$C$158,"Not confirmed")</x:f>
        <x:v>0</x:v>
      </x:c>
      <x:c r="M56" s="10" t="str">
        <x:f>IF(J56&gt;0,"University-wide scheme/framework documented",IF(COUNTIFS(Schemes!$B$7:$B$158,B56,Schemes!$C$7:$C$158,"Cross-faculty")&gt;0,"Cross-faculty; broader reach unverified",IF(COUNTIFS(Schemes!$B$7:$B$158,B56,Schemes!$C$7:$C$158,"Faculty/school")&gt;0,"Faculty/school; broader reach unverified",IF(K56&gt;0,"Programme/course; broader reach unverified","Scheme documented; reach unconfirmed"))))</x:f>
        <x:v>University-wide scheme/framework documented</x:v>
      </x:c>
    </x:row>
    <x:row r="57" ht="53" customHeight="1">
      <x:c r="A57" s="10" t="str">
        <x:v>UK</x:v>
      </x:c>
      <x:c r="B57" s="11" t="str">
        <x:v>Brunel</x:v>
      </x:c>
      <x:c r="C57" s="10" t="str">
        <x:v>Additional UK sample</x:v>
      </x:c>
      <x:c r="D57" s="28" t="n">
        <x:v>2027</x:v>
      </x:c>
      <x:c r="E57" s="28" t="n">
        <x:v>353</x:v>
      </x:c>
      <x:c r="F57" s="10" t="str">
        <x:v>No</x:v>
      </x:c>
      <x:c r="G57" s="10" t="str">
        <x:v>https://www.topuniversities.com/universities/brunel-university-london</x:v>
      </x:c>
      <x:c r="H57" s="10" t="str">
        <x:v>10000961</x:v>
      </x:c>
      <x:c r="I57" s="28" t="n">
        <x:f>COUNTIF(Schemes!$B$7:$B$158,B57)</x:f>
        <x:v>1</x:v>
      </x:c>
      <x:c r="J57" s="28" t="n">
        <x:f>COUNTIFS(Schemes!$B$7:$B$158,B57,Schemes!$C$7:$C$158,"University-wide")</x:f>
        <x:v>1</x:v>
      </x:c>
      <x:c r="K57" s="28" t="n">
        <x:f>COUNTIFS(Schemes!$B$7:$B$158,B57,Schemes!$C$7:$C$158,"Cross-faculty")+COUNTIFS(Schemes!$B$7:$B$158,B57,Schemes!$C$7:$C$158,"Faculty/school")+COUNTIFS(Schemes!$B$7:$B$158,B57,Schemes!$C$7:$C$158,"Programme/course")</x:f>
        <x:v>0</x:v>
      </x:c>
      <x:c r="L57" s="28" t="n">
        <x:f>COUNTIFS(Schemes!$B$7:$B$158,B57,Schemes!$C$7:$C$158,"Not confirmed")</x:f>
        <x:v>0</x:v>
      </x:c>
      <x:c r="M57" s="10" t="str">
        <x:f>IF(J57&gt;0,"University-wide scheme/framework documented",IF(COUNTIFS(Schemes!$B$7:$B$158,B57,Schemes!$C$7:$C$158,"Cross-faculty")&gt;0,"Cross-faculty; broader reach unverified",IF(COUNTIFS(Schemes!$B$7:$B$158,B57,Schemes!$C$7:$C$158,"Faculty/school")&gt;0,"Faculty/school; broader reach unverified",IF(K57&gt;0,"Programme/course; broader reach unverified","Scheme documented; reach unconfirmed"))))</x:f>
        <x:v>University-wide scheme/framework documented</x:v>
      </x:c>
    </x:row>
    <x:row r="58" ht="53" customHeight="1">
      <x:c r="A58" s="10" t="str">
        <x:v>UK</x:v>
      </x:c>
      <x:c r="B58" s="11" t="str">
        <x:v>Aston</x:v>
      </x:c>
      <x:c r="C58" s="10" t="str">
        <x:v>Additional UK sample</x:v>
      </x:c>
      <x:c r="D58" s="28" t="n">
        <x:v>2027</x:v>
      </x:c>
      <x:c r="E58" s="28" t="n">
        <x:v>416</x:v>
      </x:c>
      <x:c r="F58" s="10" t="str">
        <x:v>Yes</x:v>
      </x:c>
      <x:c r="G58" s="10" t="str">
        <x:v>https://www.topuniversities.com/universities/aston-university</x:v>
      </x:c>
      <x:c r="H58" s="10" t="str">
        <x:v>10007759</x:v>
      </x:c>
      <x:c r="I58" s="28" t="n">
        <x:f>COUNTIF(Schemes!$B$7:$B$158,B58)</x:f>
        <x:v>1</x:v>
      </x:c>
      <x:c r="J58" s="28" t="n">
        <x:f>COUNTIFS(Schemes!$B$7:$B$158,B58,Schemes!$C$7:$C$158,"University-wide")</x:f>
        <x:v>1</x:v>
      </x:c>
      <x:c r="K58" s="28" t="n">
        <x:f>COUNTIFS(Schemes!$B$7:$B$158,B58,Schemes!$C$7:$C$158,"Cross-faculty")+COUNTIFS(Schemes!$B$7:$B$158,B58,Schemes!$C$7:$C$158,"Faculty/school")+COUNTIFS(Schemes!$B$7:$B$158,B58,Schemes!$C$7:$C$158,"Programme/course")</x:f>
        <x:v>0</x:v>
      </x:c>
      <x:c r="L58" s="28" t="n">
        <x:f>COUNTIFS(Schemes!$B$7:$B$158,B58,Schemes!$C$7:$C$158,"Not confirmed")</x:f>
        <x:v>0</x:v>
      </x:c>
      <x:c r="M58" s="10" t="str">
        <x:f>IF(J58&gt;0,"University-wide scheme/framework documented",IF(COUNTIFS(Schemes!$B$7:$B$158,B58,Schemes!$C$7:$C$158,"Cross-faculty")&gt;0,"Cross-faculty; broader reach unverified",IF(COUNTIFS(Schemes!$B$7:$B$158,B58,Schemes!$C$7:$C$158,"Faculty/school")&gt;0,"Faculty/school; broader reach unverified",IF(K58&gt;0,"Programme/course; broader reach unverified","Scheme documented; reach unconfirmed"))))</x:f>
        <x:v>University-wide scheme/framework documented</x:v>
      </x:c>
    </x:row>
    <x:row r="59" ht="53" customHeight="1">
      <x:c r="A59" s="10" t="str">
        <x:v>UK</x:v>
      </x:c>
      <x:c r="B59" s="11" t="str">
        <x:v>Stirling</x:v>
      </x:c>
      <x:c r="C59" s="10" t="str">
        <x:v>Additional UK sample</x:v>
      </x:c>
      <x:c r="D59" s="28" t="n">
        <x:v>2027</x:v>
      </x:c>
      <x:c r="E59" s="28" t="n">
        <x:v>560</x:v>
      </x:c>
      <x:c r="F59" s="10" t="str">
        <x:v>Yes</x:v>
      </x:c>
      <x:c r="G59" s="10" t="str">
        <x:v>https://www.topuniversities.com/universities/university-stirling</x:v>
      </x:c>
      <x:c r="H59" s="10" t="str">
        <x:v>10007804</x:v>
      </x:c>
      <x:c r="I59" s="28" t="n">
        <x:f>COUNTIF(Schemes!$B$7:$B$158,B59)</x:f>
        <x:v>1</x:v>
      </x:c>
      <x:c r="J59" s="28" t="n">
        <x:f>COUNTIFS(Schemes!$B$7:$B$158,B59,Schemes!$C$7:$C$158,"University-wide")</x:f>
        <x:v>1</x:v>
      </x:c>
      <x:c r="K59" s="28" t="n">
        <x:f>COUNTIFS(Schemes!$B$7:$B$158,B59,Schemes!$C$7:$C$158,"Cross-faculty")+COUNTIFS(Schemes!$B$7:$B$158,B59,Schemes!$C$7:$C$158,"Faculty/school")+COUNTIFS(Schemes!$B$7:$B$158,B59,Schemes!$C$7:$C$158,"Programme/course")</x:f>
        <x:v>0</x:v>
      </x:c>
      <x:c r="L59" s="28" t="n">
        <x:f>COUNTIFS(Schemes!$B$7:$B$158,B59,Schemes!$C$7:$C$158,"Not confirmed")</x:f>
        <x:v>0</x:v>
      </x:c>
      <x:c r="M59" s="10" t="str">
        <x:f>IF(J59&gt;0,"University-wide scheme/framework documented",IF(COUNTIFS(Schemes!$B$7:$B$158,B59,Schemes!$C$7:$C$158,"Cross-faculty")&gt;0,"Cross-faculty; broader reach unverified",IF(COUNTIFS(Schemes!$B$7:$B$158,B59,Schemes!$C$7:$C$158,"Faculty/school")&gt;0,"Faculty/school; broader reach unverified",IF(K59&gt;0,"Programme/course; broader reach unverified","Scheme documented; reach unconfirmed"))))</x:f>
        <x:v>University-wide scheme/framework documented</x:v>
      </x:c>
    </x:row>
    <x:row r="60" ht="53" customHeight="1">
      <x:c r="A60" s="10" t="str">
        <x:v>UK</x:v>
      </x:c>
      <x:c r="B60" s="11" t="str">
        <x:v>SOAS</x:v>
      </x:c>
      <x:c r="C60" s="10" t="str">
        <x:v>Additional UK sample</x:v>
      </x:c>
      <x:c r="D60" s="28" t="n">
        <x:v>2027</x:v>
      </x:c>
      <x:c r="E60" s="28" t="n">
        <x:v>458</x:v>
      </x:c>
      <x:c r="F60" s="10" t="str">
        <x:v>Yes</x:v>
      </x:c>
      <x:c r="G60" s="10" t="str">
        <x:v>https://www.topuniversities.com/universities/soas-university-london</x:v>
      </x:c>
      <x:c r="H60" s="10" t="str">
        <x:v>10007780</x:v>
      </x:c>
      <x:c r="I60" s="28" t="n">
        <x:f>COUNTIF(Schemes!$B$7:$B$158,B60)</x:f>
        <x:v>1</x:v>
      </x:c>
      <x:c r="J60" s="28" t="n">
        <x:f>COUNTIFS(Schemes!$B$7:$B$158,B60,Schemes!$C$7:$C$158,"University-wide")</x:f>
        <x:v>1</x:v>
      </x:c>
      <x:c r="K60" s="28" t="n">
        <x:f>COUNTIFS(Schemes!$B$7:$B$158,B60,Schemes!$C$7:$C$158,"Cross-faculty")+COUNTIFS(Schemes!$B$7:$B$158,B60,Schemes!$C$7:$C$158,"Faculty/school")+COUNTIFS(Schemes!$B$7:$B$158,B60,Schemes!$C$7:$C$158,"Programme/course")</x:f>
        <x:v>0</x:v>
      </x:c>
      <x:c r="L60" s="28" t="n">
        <x:f>COUNTIFS(Schemes!$B$7:$B$158,B60,Schemes!$C$7:$C$158,"Not confirmed")</x:f>
        <x:v>0</x:v>
      </x:c>
      <x:c r="M60" s="10" t="str">
        <x:f>IF(J60&gt;0,"University-wide scheme/framework documented",IF(COUNTIFS(Schemes!$B$7:$B$158,B60,Schemes!$C$7:$C$158,"Cross-faculty")&gt;0,"Cross-faculty; broader reach unverified",IF(COUNTIFS(Schemes!$B$7:$B$158,B60,Schemes!$C$7:$C$158,"Faculty/school")&gt;0,"Faculty/school; broader reach unverified",IF(K60&gt;0,"Programme/course; broader reach unverified","Scheme documented; reach unconfirmed"))))</x:f>
        <x:v>University-wide scheme/framework documented</x:v>
      </x:c>
    </x:row>
    <x:row r="61" ht="53" customHeight="1">
      <x:c r="A61" s="10" t="str">
        <x:v>UK</x:v>
      </x:c>
      <x:c r="B61" s="11" t="str">
        <x:v>Birkbeck</x:v>
      </x:c>
      <x:c r="C61" s="10" t="str">
        <x:v>Additional UK sample</x:v>
      </x:c>
      <x:c r="D61" s="28" t="n">
        <x:v>2027</x:v>
      </x:c>
      <x:c r="E61" s="28" t="n">
        <x:v>354</x:v>
      </x:c>
      <x:c r="F61" s="10" t="str">
        <x:v>Yes</x:v>
      </x:c>
      <x:c r="G61" s="10" t="str">
        <x:v>https://www.topuniversities.com/universities/birkbeck-university-london</x:v>
      </x:c>
      <x:c r="H61" s="10" t="str">
        <x:v>10007760</x:v>
      </x:c>
      <x:c r="I61" s="28" t="n">
        <x:f>COUNTIF(Schemes!$B$7:$B$158,B61)</x:f>
        <x:v>2</x:v>
      </x:c>
      <x:c r="J61" s="28" t="n">
        <x:f>COUNTIFS(Schemes!$B$7:$B$158,B61,Schemes!$C$7:$C$158,"University-wide")</x:f>
        <x:v>1</x:v>
      </x:c>
      <x:c r="K61" s="28" t="n">
        <x:f>COUNTIFS(Schemes!$B$7:$B$158,B61,Schemes!$C$7:$C$158,"Cross-faculty")+COUNTIFS(Schemes!$B$7:$B$158,B61,Schemes!$C$7:$C$158,"Faculty/school")+COUNTIFS(Schemes!$B$7:$B$158,B61,Schemes!$C$7:$C$158,"Programme/course")</x:f>
        <x:v>1</x:v>
      </x:c>
      <x:c r="L61" s="28" t="n">
        <x:f>COUNTIFS(Schemes!$B$7:$B$158,B61,Schemes!$C$7:$C$158,"Not confirmed")</x:f>
        <x:v>0</x:v>
      </x:c>
      <x:c r="M61" s="10" t="str">
        <x:f>IF(J61&gt;0,"University-wide scheme/framework documented",IF(COUNTIFS(Schemes!$B$7:$B$158,B61,Schemes!$C$7:$C$158,"Cross-faculty")&gt;0,"Cross-faculty; broader reach unverified",IF(COUNTIFS(Schemes!$B$7:$B$158,B61,Schemes!$C$7:$C$158,"Faculty/school")&gt;0,"Faculty/school; broader reach unverified",IF(K61&gt;0,"Programme/course; broader reach unverified","Scheme documented; reach unconfirmed"))))</x:f>
        <x:v>University-wide scheme/framework documented</x:v>
      </x:c>
    </x:row>
    <x:row r="62" ht="53" customHeight="1">
      <x:c r="A62" s="10" t="str">
        <x:v>UK</x:v>
      </x:c>
      <x:c r="B62" s="11" t="str">
        <x:v>Royal Holloway</x:v>
      </x:c>
      <x:c r="C62" s="10" t="str">
        <x:v>Additional UK sample</x:v>
      </x:c>
      <x:c r="D62" s="28" t="n">
        <x:v>2027</x:v>
      </x:c>
      <x:c r="E62" s="28" t="n">
        <x:v>485</x:v>
      </x:c>
      <x:c r="F62" s="10" t="str">
        <x:v>Yes</x:v>
      </x:c>
      <x:c r="G62" s="10" t="str">
        <x:v>https://www.topuniversities.com/universities/royal-holloway-university-london</x:v>
      </x:c>
      <x:c r="H62" s="10" t="str">
        <x:v>10005553</x:v>
      </x:c>
      <x:c r="I62" s="28" t="n">
        <x:f>COUNTIF(Schemes!$B$7:$B$158,B62)</x:f>
        <x:v>1</x:v>
      </x:c>
      <x:c r="J62" s="28" t="n">
        <x:f>COUNTIFS(Schemes!$B$7:$B$158,B62,Schemes!$C$7:$C$158,"University-wide")</x:f>
        <x:v>1</x:v>
      </x:c>
      <x:c r="K62" s="28" t="n">
        <x:f>COUNTIFS(Schemes!$B$7:$B$158,B62,Schemes!$C$7:$C$158,"Cross-faculty")+COUNTIFS(Schemes!$B$7:$B$158,B62,Schemes!$C$7:$C$158,"Faculty/school")+COUNTIFS(Schemes!$B$7:$B$158,B62,Schemes!$C$7:$C$158,"Programme/course")</x:f>
        <x:v>0</x:v>
      </x:c>
      <x:c r="L62" s="28" t="n">
        <x:f>COUNTIFS(Schemes!$B$7:$B$158,B62,Schemes!$C$7:$C$158,"Not confirmed")</x:f>
        <x:v>0</x:v>
      </x:c>
      <x:c r="M62" s="10" t="str">
        <x:f>IF(J62&gt;0,"University-wide scheme/framework documented",IF(COUNTIFS(Schemes!$B$7:$B$158,B62,Schemes!$C$7:$C$158,"Cross-faculty")&gt;0,"Cross-faculty; broader reach unverified",IF(COUNTIFS(Schemes!$B$7:$B$158,B62,Schemes!$C$7:$C$158,"Faculty/school")&gt;0,"Faculty/school; broader reach unverified",IF(K62&gt;0,"Programme/course; broader reach unverified","Scheme documented; reach unconfirmed"))))</x:f>
        <x:v>University-wide scheme/framework documented</x:v>
      </x:c>
    </x:row>
    <x:row r="63" ht="53" customHeight="1">
      <x:c r="A63" s="10" t="str">
        <x:v>UK</x:v>
      </x:c>
      <x:c r="B63" s="11" t="str">
        <x:v>City St George’s</x:v>
      </x:c>
      <x:c r="C63" s="10" t="str">
        <x:v>Additional UK sample</x:v>
      </x:c>
      <x:c r="D63" s="28" t="n">
        <x:v>2027</x:v>
      </x:c>
      <x:c r="E63" s="28" t="n">
        <x:v>361</x:v>
      </x:c>
      <x:c r="F63" s="10" t="str">
        <x:v>Yes</x:v>
      </x:c>
      <x:c r="G63" s="10" t="str">
        <x:v>https://www.topuniversities.com/universities/city-st-georges-university-london</x:v>
      </x:c>
      <x:c r="H63" s="10" t="str">
        <x:v>10001478</x:v>
      </x:c>
      <x:c r="I63" s="28" t="n">
        <x:f>COUNTIF(Schemes!$B$7:$B$158,B63)</x:f>
        <x:v>1</x:v>
      </x:c>
      <x:c r="J63" s="28" t="n">
        <x:f>COUNTIFS(Schemes!$B$7:$B$158,B63,Schemes!$C$7:$C$158,"University-wide")</x:f>
        <x:v>0</x:v>
      </x:c>
      <x:c r="K63" s="28" t="n">
        <x:f>COUNTIFS(Schemes!$B$7:$B$158,B63,Schemes!$C$7:$C$158,"Cross-faculty")+COUNTIFS(Schemes!$B$7:$B$158,B63,Schemes!$C$7:$C$158,"Faculty/school")+COUNTIFS(Schemes!$B$7:$B$158,B63,Schemes!$C$7:$C$158,"Programme/course")</x:f>
        <x:v>0</x:v>
      </x:c>
      <x:c r="L63" s="28" t="n">
        <x:f>COUNTIFS(Schemes!$B$7:$B$158,B63,Schemes!$C$7:$C$158,"Not confirmed")</x:f>
        <x:v>1</x:v>
      </x:c>
      <x:c r="M63" s="10" t="str">
        <x:f>IF(J63&gt;0,"University-wide scheme/framework documented",IF(COUNTIFS(Schemes!$B$7:$B$158,B63,Schemes!$C$7:$C$158,"Cross-faculty")&gt;0,"Cross-faculty; broader reach unverified",IF(COUNTIFS(Schemes!$B$7:$B$158,B63,Schemes!$C$7:$C$158,"Faculty/school")&gt;0,"Faculty/school; broader reach unverified",IF(K63&gt;0,"Programme/course; broader reach unverified","Scheme documented; reach unconfirmed"))))</x:f>
        <x:v>Scheme documented; reach unconfirmed</x:v>
      </x:c>
    </x:row>
    <x:row r="64" ht="53" customHeight="1">
      <x:c r="A64" s="10" t="str">
        <x:v>UK</x:v>
      </x:c>
      <x:c r="B64" s="11" t="str">
        <x:v>Oxford Brookes</x:v>
      </x:c>
      <x:c r="C64" s="10" t="str">
        <x:v>Additional UK sample</x:v>
      </x:c>
      <x:c r="D64" s="28" t="n">
        <x:v>2027</x:v>
      </x:c>
      <x:c r="E64" s="28" t="n">
        <x:v>411</x:v>
      </x:c>
      <x:c r="F64" s="10" t="str">
        <x:v>Yes</x:v>
      </x:c>
      <x:c r="G64" s="10" t="str">
        <x:v>https://www.topuniversities.com/universities/oxford-brookes-university</x:v>
      </x:c>
      <x:c r="H64" s="10" t="str">
        <x:v>10004930</x:v>
      </x:c>
      <x:c r="I64" s="28" t="n">
        <x:f>COUNTIF(Schemes!$B$7:$B$158,B64)</x:f>
        <x:v>2</x:v>
      </x:c>
      <x:c r="J64" s="28" t="n">
        <x:f>COUNTIFS(Schemes!$B$7:$B$158,B64,Schemes!$C$7:$C$158,"University-wide")</x:f>
        <x:v>1</x:v>
      </x:c>
      <x:c r="K64" s="28" t="n">
        <x:f>COUNTIFS(Schemes!$B$7:$B$158,B64,Schemes!$C$7:$C$158,"Cross-faculty")+COUNTIFS(Schemes!$B$7:$B$158,B64,Schemes!$C$7:$C$158,"Faculty/school")+COUNTIFS(Schemes!$B$7:$B$158,B64,Schemes!$C$7:$C$158,"Programme/course")</x:f>
        <x:v>1</x:v>
      </x:c>
      <x:c r="L64" s="28" t="n">
        <x:f>COUNTIFS(Schemes!$B$7:$B$158,B64,Schemes!$C$7:$C$158,"Not confirmed")</x:f>
        <x:v>0</x:v>
      </x:c>
      <x:c r="M64" s="10" t="str">
        <x:f>IF(J64&gt;0,"University-wide scheme/framework documented",IF(COUNTIFS(Schemes!$B$7:$B$158,B64,Schemes!$C$7:$C$158,"Cross-faculty")&gt;0,"Cross-faculty; broader reach unverified",IF(COUNTIFS(Schemes!$B$7:$B$158,B64,Schemes!$C$7:$C$158,"Faculty/school")&gt;0,"Faculty/school; broader reach unverified",IF(K64&gt;0,"Programme/course; broader reach unverified","Scheme documented; reach unconfirmed"))))</x:f>
        <x:v>University-wide scheme/framework documented</x:v>
      </x:c>
    </x:row>
    <x:row r="65" ht="53" customHeight="1">
      <x:c r="A65" s="10" t="str">
        <x:v>UK</x:v>
      </x:c>
      <x:c r="B65" s="11" t="str">
        <x:v>Northumbria</x:v>
      </x:c>
      <x:c r="C65" s="10" t="str">
        <x:v>Additional UK sample</x:v>
      </x:c>
      <x:c r="D65" s="28" t="n">
        <x:v>2027</x:v>
      </x:c>
      <x:c r="E65" s="28" t="n">
        <x:v>528</x:v>
      </x:c>
      <x:c r="F65" s="10" t="str">
        <x:v>Yes</x:v>
      </x:c>
      <x:c r="G65" s="10" t="str">
        <x:v>https://www.topuniversities.com/universities/northumbria-university-newcastle</x:v>
      </x:c>
      <x:c r="H65" s="10" t="str">
        <x:v>10001282</x:v>
      </x:c>
      <x:c r="I65" s="28" t="n">
        <x:f>COUNTIF(Schemes!$B$7:$B$158,B65)</x:f>
        <x:v>2</x:v>
      </x:c>
      <x:c r="J65" s="28" t="n">
        <x:f>COUNTIFS(Schemes!$B$7:$B$158,B65,Schemes!$C$7:$C$158,"University-wide")</x:f>
        <x:v>1</x:v>
      </x:c>
      <x:c r="K65" s="28" t="n">
        <x:f>COUNTIFS(Schemes!$B$7:$B$158,B65,Schemes!$C$7:$C$158,"Cross-faculty")+COUNTIFS(Schemes!$B$7:$B$158,B65,Schemes!$C$7:$C$158,"Faculty/school")+COUNTIFS(Schemes!$B$7:$B$158,B65,Schemes!$C$7:$C$158,"Programme/course")</x:f>
        <x:v>1</x:v>
      </x:c>
      <x:c r="L65" s="28" t="n">
        <x:f>COUNTIFS(Schemes!$B$7:$B$158,B65,Schemes!$C$7:$C$158,"Not confirmed")</x:f>
        <x:v>0</x:v>
      </x:c>
      <x:c r="M65" s="10" t="str">
        <x:f>IF(J65&gt;0,"University-wide scheme/framework documented",IF(COUNTIFS(Schemes!$B$7:$B$158,B65,Schemes!$C$7:$C$158,"Cross-faculty")&gt;0,"Cross-faculty; broader reach unverified",IF(COUNTIFS(Schemes!$B$7:$B$158,B65,Schemes!$C$7:$C$158,"Faculty/school")&gt;0,"Faculty/school; broader reach unverified",IF(K65&gt;0,"Programme/course; broader reach unverified","Scheme documented; reach unconfirmed"))))</x:f>
        <x:v>University-wide scheme/framework documented</x:v>
      </x:c>
    </x:row>
    <x:row r="66" ht="53" customHeight="1">
      <x:c r="A66" s="10" t="str">
        <x:v>UK</x:v>
      </x:c>
      <x:c r="B66" s="11" t="str">
        <x:v>Portsmouth</x:v>
      </x:c>
      <x:c r="C66" s="10" t="str">
        <x:v>Additional UK sample</x:v>
      </x:c>
      <x:c r="D66" s="28" t="n">
        <x:v>2027</x:v>
      </x:c>
      <x:c r="E66" s="28" t="n">
        <x:v>662</x:v>
      </x:c>
      <x:c r="F66" s="10" t="str">
        <x:v>Yes</x:v>
      </x:c>
      <x:c r="G66" s="10" t="str">
        <x:v>https://www.topuniversities.com/universities/university-portsmouth</x:v>
      </x:c>
      <x:c r="H66" s="10" t="str">
        <x:v>10007155</x:v>
      </x:c>
      <x:c r="I66" s="28" t="n">
        <x:f>COUNTIF(Schemes!$B$7:$B$158,B66)</x:f>
        <x:v>2</x:v>
      </x:c>
      <x:c r="J66" s="28" t="n">
        <x:f>COUNTIFS(Schemes!$B$7:$B$158,B66,Schemes!$C$7:$C$158,"University-wide")</x:f>
        <x:v>1</x:v>
      </x:c>
      <x:c r="K66" s="28" t="n">
        <x:f>COUNTIFS(Schemes!$B$7:$B$158,B66,Schemes!$C$7:$C$158,"Cross-faculty")+COUNTIFS(Schemes!$B$7:$B$158,B66,Schemes!$C$7:$C$158,"Faculty/school")+COUNTIFS(Schemes!$B$7:$B$158,B66,Schemes!$C$7:$C$158,"Programme/course")</x:f>
        <x:v>1</x:v>
      </x:c>
      <x:c r="L66" s="28" t="n">
        <x:f>COUNTIFS(Schemes!$B$7:$B$158,B66,Schemes!$C$7:$C$158,"Not confirmed")</x:f>
        <x:v>0</x:v>
      </x:c>
      <x:c r="M66" s="10" t="str">
        <x:f>IF(J66&gt;0,"University-wide scheme/framework documented",IF(COUNTIFS(Schemes!$B$7:$B$158,B66,Schemes!$C$7:$C$158,"Cross-faculty")&gt;0,"Cross-faculty; broader reach unverified",IF(COUNTIFS(Schemes!$B$7:$B$158,B66,Schemes!$C$7:$C$158,"Faculty/school")&gt;0,"Faculty/school; broader reach unverified",IF(K66&gt;0,"Programme/course; broader reach unverified","Scheme documented; reach unconfirmed"))))</x:f>
        <x:v>University-wide scheme/framework documented</x:v>
      </x:c>
    </x:row>
    <x:row r="67" ht="53" customHeight="1">
      <x:c r="A67" s="10" t="str">
        <x:v>UK</x:v>
      </x:c>
      <x:c r="B67" s="11" t="str">
        <x:v>Coventry</x:v>
      </x:c>
      <x:c r="C67" s="10" t="str">
        <x:v>Additional UK sample</x:v>
      </x:c>
      <x:c r="D67" s="28" t="n">
        <x:v>2027</x:v>
      </x:c>
      <x:c r="E67" s="28" t="n">
        <x:v>581</x:v>
      </x:c>
      <x:c r="F67" s="10" t="str">
        <x:v>Yes</x:v>
      </x:c>
      <x:c r="G67" s="10" t="str">
        <x:v>https://www.topuniversities.com/universities/coventry-university</x:v>
      </x:c>
      <x:c r="H67" s="10" t="str">
        <x:v>10001726</x:v>
      </x:c>
      <x:c r="I67" s="28" t="n">
        <x:f>COUNTIF(Schemes!$B$7:$B$158,B67)</x:f>
        <x:v>2</x:v>
      </x:c>
      <x:c r="J67" s="28" t="n">
        <x:f>COUNTIFS(Schemes!$B$7:$B$158,B67,Schemes!$C$7:$C$158,"University-wide")</x:f>
        <x:v>1</x:v>
      </x:c>
      <x:c r="K67" s="28" t="n">
        <x:f>COUNTIFS(Schemes!$B$7:$B$158,B67,Schemes!$C$7:$C$158,"Cross-faculty")+COUNTIFS(Schemes!$B$7:$B$158,B67,Schemes!$C$7:$C$158,"Faculty/school")+COUNTIFS(Schemes!$B$7:$B$158,B67,Schemes!$C$7:$C$158,"Programme/course")</x:f>
        <x:v>0</x:v>
      </x:c>
      <x:c r="L67" s="28" t="n">
        <x:f>COUNTIFS(Schemes!$B$7:$B$158,B67,Schemes!$C$7:$C$158,"Not confirmed")</x:f>
        <x:v>1</x:v>
      </x:c>
      <x:c r="M67" s="10" t="str">
        <x:f>IF(J67&gt;0,"University-wide scheme/framework documented",IF(COUNTIFS(Schemes!$B$7:$B$158,B67,Schemes!$C$7:$C$158,"Cross-faculty")&gt;0,"Cross-faculty; broader reach unverified",IF(COUNTIFS(Schemes!$B$7:$B$158,B67,Schemes!$C$7:$C$158,"Faculty/school")&gt;0,"Faculty/school; broader reach unverified",IF(K67&gt;0,"Programme/course; broader reach unverified","Scheme documented; reach unconfirmed"))))</x:f>
        <x:v>University-wide scheme/framework documented</x:v>
      </x:c>
    </x:row>
    <x:row r="68" ht="53" customHeight="1">
      <x:c r="A68" s="10" t="str">
        <x:v>UK</x:v>
      </x:c>
      <x:c r="B68" s="11" t="str">
        <x:v>Nottingham Trent</x:v>
      </x:c>
      <x:c r="C68" s="10" t="str">
        <x:v>Additional UK sample</x:v>
      </x:c>
      <x:c r="D68" s="28" t="n">
        <x:v>2027</x:v>
      </x:c>
      <x:c r="E68" s="28" t="n">
        <x:v>639</x:v>
      </x:c>
      <x:c r="F68" s="10" t="str">
        <x:v>Yes</x:v>
      </x:c>
      <x:c r="G68" s="10" t="str">
        <x:v>https://www.topuniversities.com/universities/nottingham-trent-university</x:v>
      </x:c>
      <x:c r="H68" s="10" t="str">
        <x:v>10004797</x:v>
      </x:c>
      <x:c r="I68" s="28" t="n">
        <x:f>COUNTIF(Schemes!$B$7:$B$158,B68)</x:f>
        <x:v>1</x:v>
      </x:c>
      <x:c r="J68" s="28" t="n">
        <x:f>COUNTIFS(Schemes!$B$7:$B$158,B68,Schemes!$C$7:$C$158,"University-wide")</x:f>
        <x:v>1</x:v>
      </x:c>
      <x:c r="K68" s="28" t="n">
        <x:f>COUNTIFS(Schemes!$B$7:$B$158,B68,Schemes!$C$7:$C$158,"Cross-faculty")+COUNTIFS(Schemes!$B$7:$B$158,B68,Schemes!$C$7:$C$158,"Faculty/school")+COUNTIFS(Schemes!$B$7:$B$158,B68,Schemes!$C$7:$C$158,"Programme/course")</x:f>
        <x:v>0</x:v>
      </x:c>
      <x:c r="L68" s="28" t="n">
        <x:f>COUNTIFS(Schemes!$B$7:$B$158,B68,Schemes!$C$7:$C$158,"Not confirmed")</x:f>
        <x:v>0</x:v>
      </x:c>
      <x:c r="M68" s="10" t="str">
        <x:f>IF(J68&gt;0,"University-wide scheme/framework documented",IF(COUNTIFS(Schemes!$B$7:$B$158,B68,Schemes!$C$7:$C$158,"Cross-faculty")&gt;0,"Cross-faculty; broader reach unverified",IF(COUNTIFS(Schemes!$B$7:$B$158,B68,Schemes!$C$7:$C$158,"Faculty/school")&gt;0,"Faculty/school; broader reach unverified",IF(K68&gt;0,"Programme/course; broader reach unverified","Scheme documented; reach unconfirmed"))))</x:f>
        <x:v>University-wide scheme/framework documented</x:v>
      </x:c>
    </x:row>
    <x:row r="69" ht="53" customHeight="1">
      <x:c r="A69" s="10" t="str">
        <x:v>UK</x:v>
      </x:c>
      <x:c r="B69" s="11" t="str">
        <x:v>Manchester Metropolitan</x:v>
      </x:c>
      <x:c r="C69" s="10" t="str">
        <x:v>Additional UK sample</x:v>
      </x:c>
      <x:c r="D69" s="28" t="n">
        <x:v>2027</x:v>
      </x:c>
      <x:c r="E69" s="28" t="n">
        <x:v>600</x:v>
      </x:c>
      <x:c r="F69" s="10" t="str">
        <x:v>Yes</x:v>
      </x:c>
      <x:c r="G69" s="10" t="str">
        <x:v>https://www.topuniversities.com/universities/manchester-metropolitan-university</x:v>
      </x:c>
      <x:c r="H69" s="10" t="str">
        <x:v>10004180</x:v>
      </x:c>
      <x:c r="I69" s="28" t="n">
        <x:f>COUNTIF(Schemes!$B$7:$B$158,B69)</x:f>
        <x:v>1</x:v>
      </x:c>
      <x:c r="J69" s="28" t="n">
        <x:f>COUNTIFS(Schemes!$B$7:$B$158,B69,Schemes!$C$7:$C$158,"University-wide")</x:f>
        <x:v>1</x:v>
      </x:c>
      <x:c r="K69" s="28" t="n">
        <x:f>COUNTIFS(Schemes!$B$7:$B$158,B69,Schemes!$C$7:$C$158,"Cross-faculty")+COUNTIFS(Schemes!$B$7:$B$158,B69,Schemes!$C$7:$C$158,"Faculty/school")+COUNTIFS(Schemes!$B$7:$B$158,B69,Schemes!$C$7:$C$158,"Programme/course")</x:f>
        <x:v>0</x:v>
      </x:c>
      <x:c r="L69" s="28" t="n">
        <x:f>COUNTIFS(Schemes!$B$7:$B$158,B69,Schemes!$C$7:$C$158,"Not confirmed")</x:f>
        <x:v>0</x:v>
      </x:c>
      <x:c r="M69" s="10" t="str">
        <x:f>IF(J69&gt;0,"University-wide scheme/framework documented",IF(COUNTIFS(Schemes!$B$7:$B$158,B69,Schemes!$C$7:$C$158,"Cross-faculty")&gt;0,"Cross-faculty; broader reach unverified",IF(COUNTIFS(Schemes!$B$7:$B$158,B69,Schemes!$C$7:$C$158,"Faculty/school")&gt;0,"Faculty/school; broader reach unverified",IF(K69&gt;0,"Programme/course; broader reach unverified","Scheme documented; reach unconfirmed"))))</x:f>
        <x:v>University-wide scheme/framework documented</x:v>
      </x:c>
    </x:row>
    <x:row r="70" ht="53" customHeight="1">
      <x:c r="A70" s="10" t="str">
        <x:v>UK</x:v>
      </x:c>
      <x:c r="B70" s="11" t="str">
        <x:v>Plymouth</x:v>
      </x:c>
      <x:c r="C70" s="10" t="str">
        <x:v>Additional UK sample</x:v>
      </x:c>
      <x:c r="D70" s="28" t="n">
        <x:v>2027</x:v>
      </x:c>
      <x:c r="E70" s="28" t="n">
        <x:v>691</x:v>
      </x:c>
      <x:c r="F70" s="10" t="str">
        <x:v>Yes</x:v>
      </x:c>
      <x:c r="G70" s="10" t="str">
        <x:v>https://www.topuniversities.com/universities/university-plymouth</x:v>
      </x:c>
      <x:c r="H70" s="10" t="str">
        <x:v>10007801</x:v>
      </x:c>
      <x:c r="I70" s="28" t="n">
        <x:f>COUNTIF(Schemes!$B$7:$B$158,B70)</x:f>
        <x:v>2</x:v>
      </x:c>
      <x:c r="J70" s="28" t="n">
        <x:f>COUNTIFS(Schemes!$B$7:$B$158,B70,Schemes!$C$7:$C$158,"University-wide")</x:f>
        <x:v>0</x:v>
      </x:c>
      <x:c r="K70" s="28" t="n">
        <x:f>COUNTIFS(Schemes!$B$7:$B$158,B70,Schemes!$C$7:$C$158,"Cross-faculty")+COUNTIFS(Schemes!$B$7:$B$158,B70,Schemes!$C$7:$C$158,"Faculty/school")+COUNTIFS(Schemes!$B$7:$B$158,B70,Schemes!$C$7:$C$158,"Programme/course")</x:f>
        <x:v>1</x:v>
      </x:c>
      <x:c r="L70" s="28" t="n">
        <x:f>COUNTIFS(Schemes!$B$7:$B$158,B70,Schemes!$C$7:$C$158,"Not confirmed")</x:f>
        <x:v>1</x:v>
      </x:c>
      <x:c r="M70" s="10" t="str">
        <x:f>IF(J70&gt;0,"University-wide scheme/framework documented",IF(COUNTIFS(Schemes!$B$7:$B$158,B70,Schemes!$C$7:$C$158,"Cross-faculty")&gt;0,"Cross-faculty; broader reach unverified",IF(COUNTIFS(Schemes!$B$7:$B$158,B70,Schemes!$C$7:$C$158,"Faculty/school")&gt;0,"Faculty/school; broader reach unverified",IF(K70&gt;0,"Programme/course; broader reach unverified","Scheme documented; reach unconfirmed"))))</x:f>
        <x:v>Faculty/school; broader reach unverified</x:v>
      </x:c>
    </x:row>
    <x:row r="71" ht="53" customHeight="1">
      <x:c r="A71" s="10" t="str">
        <x:v>US</x:v>
      </x:c>
      <x:c r="B71" s="11" t="str">
        <x:v>Massachusetts Institute of Technology</x:v>
      </x:c>
      <x:c r="C71" s="10" t="str">
        <x:v>US sample</x:v>
      </x:c>
      <x:c r="D71" s="28" t="n">
        <x:v>2027</x:v>
      </x:c>
      <x:c r="E71" s="28" t="n">
        <x:v>1</x:v>
      </x:c>
      <x:c r="F71" s="10" t="str">
        <x:v>No</x:v>
      </x:c>
      <x:c r="G71" s="10" t="str">
        <x:v>https://www.topuniversities.com/qs-top-uni-wur</x:v>
      </x:c>
      <x:c r="H71" s="10" t="str">
        <x:v>n.a.</x:v>
      </x:c>
      <x:c r="I71" s="28" t="n">
        <x:f>COUNTIF(Schemes!$B$7:$B$158,B71)</x:f>
        <x:v>1</x:v>
      </x:c>
      <x:c r="J71" s="28" t="n">
        <x:f>COUNTIFS(Schemes!$B$7:$B$158,B71,Schemes!$C$7:$C$158,"University-wide")</x:f>
        <x:v>1</x:v>
      </x:c>
      <x:c r="K71" s="28" t="n">
        <x:f>COUNTIFS(Schemes!$B$7:$B$158,B71,Schemes!$C$7:$C$158,"Cross-faculty")+COUNTIFS(Schemes!$B$7:$B$158,B71,Schemes!$C$7:$C$158,"Faculty/school")+COUNTIFS(Schemes!$B$7:$B$158,B71,Schemes!$C$7:$C$158,"Programme/course")</x:f>
        <x:v>0</x:v>
      </x:c>
      <x:c r="L71" s="28" t="n">
        <x:f>COUNTIFS(Schemes!$B$7:$B$158,B71,Schemes!$C$7:$C$158,"Not confirmed")</x:f>
        <x:v>0</x:v>
      </x:c>
      <x:c r="M71" s="10" t="str">
        <x:f>IF(J71&gt;0,"University-wide scheme/framework documented",IF(COUNTIFS(Schemes!$B$7:$B$158,B71,Schemes!$C$7:$C$158,"Cross-faculty")&gt;0,"Cross-faculty; broader reach unverified",IF(COUNTIFS(Schemes!$B$7:$B$158,B71,Schemes!$C$7:$C$158,"Faculty/school")&gt;0,"Faculty/school; broader reach unverified",IF(K71&gt;0,"Programme/course; broader reach unverified","Scheme documented; reach unconfirmed"))))</x:f>
        <x:v>University-wide scheme/framework documented</x:v>
      </x:c>
    </x:row>
    <x:row r="72" ht="53" customHeight="1">
      <x:c r="A72" s="10" t="str">
        <x:v>US</x:v>
      </x:c>
      <x:c r="B72" s="11" t="str">
        <x:v>Harvard</x:v>
      </x:c>
      <x:c r="C72" s="10" t="str">
        <x:v>US sample</x:v>
      </x:c>
      <x:c r="D72" s="28" t="n">
        <x:v>2027</x:v>
      </x:c>
      <x:c r="E72" s="28" t="n">
        <x:v>5</x:v>
      </x:c>
      <x:c r="F72" s="10" t="str">
        <x:v>No</x:v>
      </x:c>
      <x:c r="G72" s="10" t="str">
        <x:v>https://www.topuniversities.com/qs-top-uni-wur</x:v>
      </x:c>
      <x:c r="H72" s="10" t="str">
        <x:v>n.a.</x:v>
      </x:c>
      <x:c r="I72" s="28" t="n">
        <x:f>COUNTIF(Schemes!$B$7:$B$158,B72)</x:f>
        <x:v>1</x:v>
      </x:c>
      <x:c r="J72" s="28" t="n">
        <x:f>COUNTIFS(Schemes!$B$7:$B$158,B72,Schemes!$C$7:$C$158,"University-wide")</x:f>
        <x:v>1</x:v>
      </x:c>
      <x:c r="K72" s="28" t="n">
        <x:f>COUNTIFS(Schemes!$B$7:$B$158,B72,Schemes!$C$7:$C$158,"Cross-faculty")+COUNTIFS(Schemes!$B$7:$B$158,B72,Schemes!$C$7:$C$158,"Faculty/school")+COUNTIFS(Schemes!$B$7:$B$158,B72,Schemes!$C$7:$C$158,"Programme/course")</x:f>
        <x:v>0</x:v>
      </x:c>
      <x:c r="L72" s="28" t="n">
        <x:f>COUNTIFS(Schemes!$B$7:$B$158,B72,Schemes!$C$7:$C$158,"Not confirmed")</x:f>
        <x:v>0</x:v>
      </x:c>
      <x:c r="M72" s="10" t="str">
        <x:f>IF(J72&gt;0,"University-wide scheme/framework documented",IF(COUNTIFS(Schemes!$B$7:$B$158,B72,Schemes!$C$7:$C$158,"Cross-faculty")&gt;0,"Cross-faculty; broader reach unverified",IF(COUNTIFS(Schemes!$B$7:$B$158,B72,Schemes!$C$7:$C$158,"Faculty/school")&gt;0,"Faculty/school; broader reach unverified",IF(K72&gt;0,"Programme/course; broader reach unverified","Scheme documented; reach unconfirmed"))))</x:f>
        <x:v>University-wide scheme/framework documented</x:v>
      </x:c>
    </x:row>
    <x:row r="73" ht="53" customHeight="1">
      <x:c r="A73" s="10" t="str">
        <x:v>US</x:v>
      </x:c>
      <x:c r="B73" s="11" t="str">
        <x:v>Stanford</x:v>
      </x:c>
      <x:c r="C73" s="10" t="str">
        <x:v>US sample</x:v>
      </x:c>
      <x:c r="D73" s="28" t="n">
        <x:v>2027</x:v>
      </x:c>
      <x:c r="E73" s="28" t="n">
        <x:v>2</x:v>
      </x:c>
      <x:c r="F73" s="10" t="str">
        <x:v>Yes</x:v>
      </x:c>
      <x:c r="G73" s="10" t="str">
        <x:v>https://www.topuniversities.com/qs-top-uni-wur</x:v>
      </x:c>
      <x:c r="H73" s="10" t="str">
        <x:v>n.a.</x:v>
      </x:c>
      <x:c r="I73" s="28" t="n">
        <x:f>COUNTIF(Schemes!$B$7:$B$158,B73)</x:f>
        <x:v>1</x:v>
      </x:c>
      <x:c r="J73" s="28" t="n">
        <x:f>COUNTIFS(Schemes!$B$7:$B$158,B73,Schemes!$C$7:$C$158,"University-wide")</x:f>
        <x:v>1</x:v>
      </x:c>
      <x:c r="K73" s="28" t="n">
        <x:f>COUNTIFS(Schemes!$B$7:$B$158,B73,Schemes!$C$7:$C$158,"Cross-faculty")+COUNTIFS(Schemes!$B$7:$B$158,B73,Schemes!$C$7:$C$158,"Faculty/school")+COUNTIFS(Schemes!$B$7:$B$158,B73,Schemes!$C$7:$C$158,"Programme/course")</x:f>
        <x:v>0</x:v>
      </x:c>
      <x:c r="L73" s="28" t="n">
        <x:f>COUNTIFS(Schemes!$B$7:$B$158,B73,Schemes!$C$7:$C$158,"Not confirmed")</x:f>
        <x:v>0</x:v>
      </x:c>
      <x:c r="M73" s="10" t="str">
        <x:f>IF(J73&gt;0,"University-wide scheme/framework documented",IF(COUNTIFS(Schemes!$B$7:$B$158,B73,Schemes!$C$7:$C$158,"Cross-faculty")&gt;0,"Cross-faculty; broader reach unverified",IF(COUNTIFS(Schemes!$B$7:$B$158,B73,Schemes!$C$7:$C$158,"Faculty/school")&gt;0,"Faculty/school; broader reach unverified",IF(K73&gt;0,"Programme/course; broader reach unverified","Scheme documented; reach unconfirmed"))))</x:f>
        <x:v>University-wide scheme/framework documented</x:v>
      </x:c>
    </x:row>
    <x:row r="74" ht="53" customHeight="1">
      <x:c r="A74" s="10" t="str">
        <x:v>US</x:v>
      </x:c>
      <x:c r="B74" s="11" t="str">
        <x:v>California Institute of Technology</x:v>
      </x:c>
      <x:c r="C74" s="10" t="str">
        <x:v>US sample</x:v>
      </x:c>
      <x:c r="D74" s="28" t="n">
        <x:v>2027</x:v>
      </x:c>
      <x:c r="E74" s="28" t="n">
        <x:v>7</x:v>
      </x:c>
      <x:c r="F74" s="10" t="str">
        <x:v>No</x:v>
      </x:c>
      <x:c r="G74" s="10" t="str">
        <x:v>https://www.topuniversities.com/qs-top-uni-wur</x:v>
      </x:c>
      <x:c r="H74" s="10" t="str">
        <x:v>n.a.</x:v>
      </x:c>
      <x:c r="I74" s="28" t="n">
        <x:f>COUNTIF(Schemes!$B$7:$B$158,B74)</x:f>
        <x:v>1</x:v>
      </x:c>
      <x:c r="J74" s="28" t="n">
        <x:f>COUNTIFS(Schemes!$B$7:$B$158,B74,Schemes!$C$7:$C$158,"University-wide")</x:f>
        <x:v>1</x:v>
      </x:c>
      <x:c r="K74" s="28" t="n">
        <x:f>COUNTIFS(Schemes!$B$7:$B$158,B74,Schemes!$C$7:$C$158,"Cross-faculty")+COUNTIFS(Schemes!$B$7:$B$158,B74,Schemes!$C$7:$C$158,"Faculty/school")+COUNTIFS(Schemes!$B$7:$B$158,B74,Schemes!$C$7:$C$158,"Programme/course")</x:f>
        <x:v>0</x:v>
      </x:c>
      <x:c r="L74" s="28" t="n">
        <x:f>COUNTIFS(Schemes!$B$7:$B$158,B74,Schemes!$C$7:$C$158,"Not confirmed")</x:f>
        <x:v>0</x:v>
      </x:c>
      <x:c r="M74" s="10" t="str">
        <x:f>IF(J74&gt;0,"University-wide scheme/framework documented",IF(COUNTIFS(Schemes!$B$7:$B$158,B74,Schemes!$C$7:$C$158,"Cross-faculty")&gt;0,"Cross-faculty; broader reach unverified",IF(COUNTIFS(Schemes!$B$7:$B$158,B74,Schemes!$C$7:$C$158,"Faculty/school")&gt;0,"Faculty/school; broader reach unverified",IF(K74&gt;0,"Programme/course; broader reach unverified","Scheme documented; reach unconfirmed"))))</x:f>
        <x:v>University-wide scheme/framework documented</x:v>
      </x:c>
    </x:row>
    <x:row r="75" ht="53" customHeight="1">
      <x:c r="A75" s="10" t="str">
        <x:v>US</x:v>
      </x:c>
      <x:c r="B75" s="11" t="str">
        <x:v>California Berkeley</x:v>
      </x:c>
      <x:c r="C75" s="10" t="str">
        <x:v>US sample</x:v>
      </x:c>
      <x:c r="D75" s="28" t="n">
        <x:v>2027</x:v>
      </x:c>
      <x:c r="E75" s="28" t="n">
        <x:v>20</x:v>
      </x:c>
      <x:c r="F75" s="10" t="str">
        <x:v>Yes</x:v>
      </x:c>
      <x:c r="G75" s="10" t="str">
        <x:v>https://www.topuniversities.com/qs-top-uni-wur</x:v>
      </x:c>
      <x:c r="H75" s="10" t="str">
        <x:v>n.a.</x:v>
      </x:c>
      <x:c r="I75" s="28" t="n">
        <x:f>COUNTIF(Schemes!$B$7:$B$158,B75)</x:f>
        <x:v>1</x:v>
      </x:c>
      <x:c r="J75" s="28" t="n">
        <x:f>COUNTIFS(Schemes!$B$7:$B$158,B75,Schemes!$C$7:$C$158,"University-wide")</x:f>
        <x:v>1</x:v>
      </x:c>
      <x:c r="K75" s="28" t="n">
        <x:f>COUNTIFS(Schemes!$B$7:$B$158,B75,Schemes!$C$7:$C$158,"Cross-faculty")+COUNTIFS(Schemes!$B$7:$B$158,B75,Schemes!$C$7:$C$158,"Faculty/school")+COUNTIFS(Schemes!$B$7:$B$158,B75,Schemes!$C$7:$C$158,"Programme/course")</x:f>
        <x:v>0</x:v>
      </x:c>
      <x:c r="L75" s="28" t="n">
        <x:f>COUNTIFS(Schemes!$B$7:$B$158,B75,Schemes!$C$7:$C$158,"Not confirmed")</x:f>
        <x:v>0</x:v>
      </x:c>
      <x:c r="M75" s="10" t="str">
        <x:f>IF(J75&gt;0,"University-wide scheme/framework documented",IF(COUNTIFS(Schemes!$B$7:$B$158,B75,Schemes!$C$7:$C$158,"Cross-faculty")&gt;0,"Cross-faculty; broader reach unverified",IF(COUNTIFS(Schemes!$B$7:$B$158,B75,Schemes!$C$7:$C$158,"Faculty/school")&gt;0,"Faculty/school; broader reach unverified",IF(K75&gt;0,"Programme/course; broader reach unverified","Scheme documented; reach unconfirmed"))))</x:f>
        <x:v>University-wide scheme/framework documented</x:v>
      </x:c>
    </x:row>
    <x:row r="76" ht="53" customHeight="1">
      <x:c r="A76" s="10" t="str">
        <x:v>US</x:v>
      </x:c>
      <x:c r="B76" s="11" t="str">
        <x:v>Chicago</x:v>
      </x:c>
      <x:c r="C76" s="10" t="str">
        <x:v>US sample</x:v>
      </x:c>
      <x:c r="D76" s="28" t="n">
        <x:v>2027</x:v>
      </x:c>
      <x:c r="E76" s="28" t="n">
        <x:v>24</x:v>
      </x:c>
      <x:c r="F76" s="10" t="str">
        <x:v>No</x:v>
      </x:c>
      <x:c r="G76" s="10" t="str">
        <x:v>https://www.topuniversities.com/qs-top-uni-wur</x:v>
      </x:c>
      <x:c r="H76" s="10" t="str">
        <x:v>n.a.</x:v>
      </x:c>
      <x:c r="I76" s="28" t="n">
        <x:f>COUNTIF(Schemes!$B$7:$B$158,B76)</x:f>
        <x:v>1</x:v>
      </x:c>
      <x:c r="J76" s="28" t="n">
        <x:f>COUNTIFS(Schemes!$B$7:$B$158,B76,Schemes!$C$7:$C$158,"University-wide")</x:f>
        <x:v>1</x:v>
      </x:c>
      <x:c r="K76" s="28" t="n">
        <x:f>COUNTIFS(Schemes!$B$7:$B$158,B76,Schemes!$C$7:$C$158,"Cross-faculty")+COUNTIFS(Schemes!$B$7:$B$158,B76,Schemes!$C$7:$C$158,"Faculty/school")+COUNTIFS(Schemes!$B$7:$B$158,B76,Schemes!$C$7:$C$158,"Programme/course")</x:f>
        <x:v>0</x:v>
      </x:c>
      <x:c r="L76" s="28" t="n">
        <x:f>COUNTIFS(Schemes!$B$7:$B$158,B76,Schemes!$C$7:$C$158,"Not confirmed")</x:f>
        <x:v>0</x:v>
      </x:c>
      <x:c r="M76" s="10" t="str">
        <x:f>IF(J76&gt;0,"University-wide scheme/framework documented",IF(COUNTIFS(Schemes!$B$7:$B$158,B76,Schemes!$C$7:$C$158,"Cross-faculty")&gt;0,"Cross-faculty; broader reach unverified",IF(COUNTIFS(Schemes!$B$7:$B$158,B76,Schemes!$C$7:$C$158,"Faculty/school")&gt;0,"Faculty/school; broader reach unverified",IF(K76&gt;0,"Programme/course; broader reach unverified","Scheme documented; reach unconfirmed"))))</x:f>
        <x:v>University-wide scheme/framework documented</x:v>
      </x:c>
    </x:row>
    <x:row r="77" ht="53" customHeight="1">
      <x:c r="A77" s="10" t="str">
        <x:v>US</x:v>
      </x:c>
      <x:c r="B77" s="11" t="str">
        <x:v>Pennsylvania</x:v>
      </x:c>
      <x:c r="C77" s="10" t="str">
        <x:v>US sample</x:v>
      </x:c>
      <x:c r="D77" s="28" t="n">
        <x:v>2027</x:v>
      </x:c>
      <x:c r="E77" s="28" t="n">
        <x:v>15</x:v>
      </x:c>
      <x:c r="F77" s="10" t="str">
        <x:v>No</x:v>
      </x:c>
      <x:c r="G77" s="10" t="str">
        <x:v>https://www.topuniversities.com/qs-top-uni-wur</x:v>
      </x:c>
      <x:c r="H77" s="10" t="str">
        <x:v>n.a.</x:v>
      </x:c>
      <x:c r="I77" s="28" t="n">
        <x:f>COUNTIF(Schemes!$B$7:$B$158,B77)</x:f>
        <x:v>1</x:v>
      </x:c>
      <x:c r="J77" s="28" t="n">
        <x:f>COUNTIFS(Schemes!$B$7:$B$158,B77,Schemes!$C$7:$C$158,"University-wide")</x:f>
        <x:v>1</x:v>
      </x:c>
      <x:c r="K77" s="28" t="n">
        <x:f>COUNTIFS(Schemes!$B$7:$B$158,B77,Schemes!$C$7:$C$158,"Cross-faculty")+COUNTIFS(Schemes!$B$7:$B$158,B77,Schemes!$C$7:$C$158,"Faculty/school")+COUNTIFS(Schemes!$B$7:$B$158,B77,Schemes!$C$7:$C$158,"Programme/course")</x:f>
        <x:v>0</x:v>
      </x:c>
      <x:c r="L77" s="28" t="n">
        <x:f>COUNTIFS(Schemes!$B$7:$B$158,B77,Schemes!$C$7:$C$158,"Not confirmed")</x:f>
        <x:v>0</x:v>
      </x:c>
      <x:c r="M77" s="10" t="str">
        <x:f>IF(J77&gt;0,"University-wide scheme/framework documented",IF(COUNTIFS(Schemes!$B$7:$B$158,B77,Schemes!$C$7:$C$158,"Cross-faculty")&gt;0,"Cross-faculty; broader reach unverified",IF(COUNTIFS(Schemes!$B$7:$B$158,B77,Schemes!$C$7:$C$158,"Faculty/school")&gt;0,"Faculty/school; broader reach unverified",IF(K77&gt;0,"Programme/course; broader reach unverified","Scheme documented; reach unconfirmed"))))</x:f>
        <x:v>University-wide scheme/framework documented</x:v>
      </x:c>
    </x:row>
    <x:row r="78" ht="53" customHeight="1">
      <x:c r="A78" s="10" t="str">
        <x:v>US</x:v>
      </x:c>
      <x:c r="B78" s="11" t="str">
        <x:v>Cornell</x:v>
      </x:c>
      <x:c r="C78" s="10" t="str">
        <x:v>US sample</x:v>
      </x:c>
      <x:c r="D78" s="28" t="n">
        <x:v>2027</x:v>
      </x:c>
      <x:c r="E78" s="28" t="n">
        <x:v>16</x:v>
      </x:c>
      <x:c r="F78" s="10" t="str">
        <x:v>Yes</x:v>
      </x:c>
      <x:c r="G78" s="10" t="str">
        <x:v>https://www.topuniversities.com/qs-top-uni-wur</x:v>
      </x:c>
      <x:c r="H78" s="10" t="str">
        <x:v>n.a.</x:v>
      </x:c>
      <x:c r="I78" s="28" t="n">
        <x:f>COUNTIF(Schemes!$B$7:$B$158,B78)</x:f>
        <x:v>1</x:v>
      </x:c>
      <x:c r="J78" s="28" t="n">
        <x:f>COUNTIFS(Schemes!$B$7:$B$158,B78,Schemes!$C$7:$C$158,"University-wide")</x:f>
        <x:v>1</x:v>
      </x:c>
      <x:c r="K78" s="28" t="n">
        <x:f>COUNTIFS(Schemes!$B$7:$B$158,B78,Schemes!$C$7:$C$158,"Cross-faculty")+COUNTIFS(Schemes!$B$7:$B$158,B78,Schemes!$C$7:$C$158,"Faculty/school")+COUNTIFS(Schemes!$B$7:$B$158,B78,Schemes!$C$7:$C$158,"Programme/course")</x:f>
        <x:v>0</x:v>
      </x:c>
      <x:c r="L78" s="28" t="n">
        <x:f>COUNTIFS(Schemes!$B$7:$B$158,B78,Schemes!$C$7:$C$158,"Not confirmed")</x:f>
        <x:v>0</x:v>
      </x:c>
      <x:c r="M78" s="10" t="str">
        <x:f>IF(J78&gt;0,"University-wide scheme/framework documented",IF(COUNTIFS(Schemes!$B$7:$B$158,B78,Schemes!$C$7:$C$158,"Cross-faculty")&gt;0,"Cross-faculty; broader reach unverified",IF(COUNTIFS(Schemes!$B$7:$B$158,B78,Schemes!$C$7:$C$158,"Faculty/school")&gt;0,"Faculty/school; broader reach unverified",IF(K78&gt;0,"Programme/course; broader reach unverified","Scheme documented; reach unconfirmed"))))</x:f>
        <x:v>University-wide scheme/framework documented</x:v>
      </x:c>
    </x:row>
    <x:row r="79" ht="53" customHeight="1">
      <x:c r="A79" s="10" t="str">
        <x:v>US</x:v>
      </x:c>
      <x:c r="B79" s="11" t="str">
        <x:v>Yale</x:v>
      </x:c>
      <x:c r="C79" s="10" t="str">
        <x:v>US sample</x:v>
      </x:c>
      <x:c r="D79" s="28" t="n">
        <x:v>2027</x:v>
      </x:c>
      <x:c r="E79" s="28" t="n">
        <x:v>16</x:v>
      </x:c>
      <x:c r="F79" s="10" t="str">
        <x:v>Yes</x:v>
      </x:c>
      <x:c r="G79" s="10" t="str">
        <x:v>https://www.topuniversities.com/qs-top-uni-wur</x:v>
      </x:c>
      <x:c r="H79" s="10" t="str">
        <x:v>n.a.</x:v>
      </x:c>
      <x:c r="I79" s="28" t="n">
        <x:f>COUNTIF(Schemes!$B$7:$B$158,B79)</x:f>
        <x:v>1</x:v>
      </x:c>
      <x:c r="J79" s="28" t="n">
        <x:f>COUNTIFS(Schemes!$B$7:$B$158,B79,Schemes!$C$7:$C$158,"University-wide")</x:f>
        <x:v>1</x:v>
      </x:c>
      <x:c r="K79" s="28" t="n">
        <x:f>COUNTIFS(Schemes!$B$7:$B$158,B79,Schemes!$C$7:$C$158,"Cross-faculty")+COUNTIFS(Schemes!$B$7:$B$158,B79,Schemes!$C$7:$C$158,"Faculty/school")+COUNTIFS(Schemes!$B$7:$B$158,B79,Schemes!$C$7:$C$158,"Programme/course")</x:f>
        <x:v>0</x:v>
      </x:c>
      <x:c r="L79" s="28" t="n">
        <x:f>COUNTIFS(Schemes!$B$7:$B$158,B79,Schemes!$C$7:$C$158,"Not confirmed")</x:f>
        <x:v>0</x:v>
      </x:c>
      <x:c r="M79" s="10" t="str">
        <x:f>IF(J79&gt;0,"University-wide scheme/framework documented",IF(COUNTIFS(Schemes!$B$7:$B$158,B79,Schemes!$C$7:$C$158,"Cross-faculty")&gt;0,"Cross-faculty; broader reach unverified",IF(COUNTIFS(Schemes!$B$7:$B$158,B79,Schemes!$C$7:$C$158,"Faculty/school")&gt;0,"Faculty/school; broader reach unverified",IF(K79&gt;0,"Programme/course; broader reach unverified","Scheme documented; reach unconfirmed"))))</x:f>
        <x:v>University-wide scheme/framework documented</x:v>
      </x:c>
    </x:row>
    <x:row r="80" ht="53" customHeight="1">
      <x:c r="A80" s="10" t="str">
        <x:v>US</x:v>
      </x:c>
      <x:c r="B80" s="11" t="str">
        <x:v>Princeton</x:v>
      </x:c>
      <x:c r="C80" s="10" t="str">
        <x:v>US sample</x:v>
      </x:c>
      <x:c r="D80" s="28" t="n">
        <x:v>2027</x:v>
      </x:c>
      <x:c r="E80" s="28" t="n">
        <x:v>27</x:v>
      </x:c>
      <x:c r="F80" s="10" t="str">
        <x:v>No</x:v>
      </x:c>
      <x:c r="G80" s="10" t="str">
        <x:v>https://www.topuniversities.com/qs-top-uni-wur</x:v>
      </x:c>
      <x:c r="H80" s="10" t="str">
        <x:v>n.a.</x:v>
      </x:c>
      <x:c r="I80" s="28" t="n">
        <x:f>COUNTIF(Schemes!$B$7:$B$158,B80)</x:f>
        <x:v>1</x:v>
      </x:c>
      <x:c r="J80" s="28" t="n">
        <x:f>COUNTIFS(Schemes!$B$7:$B$158,B80,Schemes!$C$7:$C$158,"University-wide")</x:f>
        <x:v>1</x:v>
      </x:c>
      <x:c r="K80" s="28" t="n">
        <x:f>COUNTIFS(Schemes!$B$7:$B$158,B80,Schemes!$C$7:$C$158,"Cross-faculty")+COUNTIFS(Schemes!$B$7:$B$158,B80,Schemes!$C$7:$C$158,"Faculty/school")+COUNTIFS(Schemes!$B$7:$B$158,B80,Schemes!$C$7:$C$158,"Programme/course")</x:f>
        <x:v>0</x:v>
      </x:c>
      <x:c r="L80" s="28" t="n">
        <x:f>COUNTIFS(Schemes!$B$7:$B$158,B80,Schemes!$C$7:$C$158,"Not confirmed")</x:f>
        <x:v>0</x:v>
      </x:c>
      <x:c r="M80" s="10" t="str">
        <x:f>IF(J80&gt;0,"University-wide scheme/framework documented",IF(COUNTIFS(Schemes!$B$7:$B$158,B80,Schemes!$C$7:$C$158,"Cross-faculty")&gt;0,"Cross-faculty; broader reach unverified",IF(COUNTIFS(Schemes!$B$7:$B$158,B80,Schemes!$C$7:$C$158,"Faculty/school")&gt;0,"Faculty/school; broader reach unverified",IF(K80&gt;0,"Programme/course; broader reach unverified","Scheme documented; reach unconfirmed"))))</x:f>
        <x:v>University-wide scheme/framework documented</x:v>
      </x:c>
    </x:row>
    <x:row r="81" ht="53" customHeight="1">
      <x:c r="A81" s="10" t="str">
        <x:v>US</x:v>
      </x:c>
      <x:c r="B81" s="11" t="str">
        <x:v>Columbia</x:v>
      </x:c>
      <x:c r="C81" s="10" t="str">
        <x:v>US sample</x:v>
      </x:c>
      <x:c r="D81" s="28" t="n">
        <x:v>2027</x:v>
      </x:c>
      <x:c r="E81" s="28" t="n">
        <x:v>43</x:v>
      </x:c>
      <x:c r="F81" s="10" t="str">
        <x:v>Yes</x:v>
      </x:c>
      <x:c r="G81" s="10" t="str">
        <x:v>https://www.topuniversities.com/qs-top-uni-wur</x:v>
      </x:c>
      <x:c r="H81" s="10" t="str">
        <x:v>n.a.</x:v>
      </x:c>
      <x:c r="I81" s="28" t="n">
        <x:f>COUNTIF(Schemes!$B$7:$B$158,B81)</x:f>
        <x:v>2</x:v>
      </x:c>
      <x:c r="J81" s="28" t="n">
        <x:f>COUNTIFS(Schemes!$B$7:$B$158,B81,Schemes!$C$7:$C$158,"University-wide")</x:f>
        <x:v>0</x:v>
      </x:c>
      <x:c r="K81" s="28" t="n">
        <x:f>COUNTIFS(Schemes!$B$7:$B$158,B81,Schemes!$C$7:$C$158,"Cross-faculty")+COUNTIFS(Schemes!$B$7:$B$158,B81,Schemes!$C$7:$C$158,"Faculty/school")+COUNTIFS(Schemes!$B$7:$B$158,B81,Schemes!$C$7:$C$158,"Programme/course")</x:f>
        <x:v>2</x:v>
      </x:c>
      <x:c r="L81" s="28" t="n">
        <x:f>COUNTIFS(Schemes!$B$7:$B$158,B81,Schemes!$C$7:$C$158,"Not confirmed")</x:f>
        <x:v>0</x:v>
      </x:c>
      <x:c r="M81" s="10" t="str">
        <x:f>IF(J81&gt;0,"University-wide scheme/framework documented",IF(COUNTIFS(Schemes!$B$7:$B$158,B81,Schemes!$C$7:$C$158,"Cross-faculty")&gt;0,"Cross-faculty; broader reach unverified",IF(COUNTIFS(Schemes!$B$7:$B$158,B81,Schemes!$C$7:$C$158,"Faculty/school")&gt;0,"Faculty/school; broader reach unverified",IF(K81&gt;0,"Programme/course; broader reach unverified","Scheme documented; reach unconfirmed"))))</x:f>
        <x:v>Cross-faculty; broader reach unverified</x:v>
      </x:c>
    </x:row>
    <x:row r="82" ht="53" customHeight="1">
      <x:c r="A82" s="10" t="str">
        <x:v>US</x:v>
      </x:c>
      <x:c r="B82" s="11" t="str">
        <x:v>Johns Hopkins</x:v>
      </x:c>
      <x:c r="C82" s="10" t="str">
        <x:v>US sample</x:v>
      </x:c>
      <x:c r="D82" s="28" t="n">
        <x:v>2027</x:v>
      </x:c>
      <x:c r="E82" s="28" t="n">
        <x:v>20</x:v>
      </x:c>
      <x:c r="F82" s="10" t="str">
        <x:v>Yes</x:v>
      </x:c>
      <x:c r="G82" s="10" t="str">
        <x:v>https://www.topuniversities.com/qs-top-uni-wur</x:v>
      </x:c>
      <x:c r="H82" s="10" t="str">
        <x:v>n.a.</x:v>
      </x:c>
      <x:c r="I82" s="28" t="n">
        <x:f>COUNTIF(Schemes!$B$7:$B$158,B82)</x:f>
        <x:v>2</x:v>
      </x:c>
      <x:c r="J82" s="28" t="n">
        <x:f>COUNTIFS(Schemes!$B$7:$B$158,B82,Schemes!$C$7:$C$158,"University-wide")</x:f>
        <x:v>1</x:v>
      </x:c>
      <x:c r="K82" s="28" t="n">
        <x:f>COUNTIFS(Schemes!$B$7:$B$158,B82,Schemes!$C$7:$C$158,"Cross-faculty")+COUNTIFS(Schemes!$B$7:$B$158,B82,Schemes!$C$7:$C$158,"Faculty/school")+COUNTIFS(Schemes!$B$7:$B$158,B82,Schemes!$C$7:$C$158,"Programme/course")</x:f>
        <x:v>1</x:v>
      </x:c>
      <x:c r="L82" s="28" t="n">
        <x:f>COUNTIFS(Schemes!$B$7:$B$158,B82,Schemes!$C$7:$C$158,"Not confirmed")</x:f>
        <x:v>0</x:v>
      </x:c>
      <x:c r="M82" s="10" t="str">
        <x:f>IF(J82&gt;0,"University-wide scheme/framework documented",IF(COUNTIFS(Schemes!$B$7:$B$158,B82,Schemes!$C$7:$C$158,"Cross-faculty")&gt;0,"Cross-faculty; broader reach unverified",IF(COUNTIFS(Schemes!$B$7:$B$158,B82,Schemes!$C$7:$C$158,"Faculty/school")&gt;0,"Faculty/school; broader reach unverified",IF(K82&gt;0,"Programme/course; broader reach unverified","Scheme documented; reach unconfirmed"))))</x:f>
        <x:v>University-wide scheme/framework documented</x:v>
      </x:c>
    </x:row>
    <x:row r="83" ht="53" customHeight="1">
      <x:c r="A83" s="10" t="str">
        <x:v>US</x:v>
      </x:c>
      <x:c r="B83" s="11" t="str">
        <x:v>Michigan Ann Arbor</x:v>
      </x:c>
      <x:c r="C83" s="10" t="str">
        <x:v>US sample</x:v>
      </x:c>
      <x:c r="D83" s="28" t="n">
        <x:v>2027</x:v>
      </x:c>
      <x:c r="E83" s="28" t="n">
        <x:v>51</x:v>
      </x:c>
      <x:c r="F83" s="10" t="str">
        <x:v>No</x:v>
      </x:c>
      <x:c r="G83" s="10" t="str">
        <x:v>https://www.topuniversities.com/qs-top-uni-wur</x:v>
      </x:c>
      <x:c r="H83" s="10" t="str">
        <x:v>n.a.</x:v>
      </x:c>
      <x:c r="I83" s="28" t="n">
        <x:f>COUNTIF(Schemes!$B$7:$B$158,B83)</x:f>
        <x:v>1</x:v>
      </x:c>
      <x:c r="J83" s="28" t="n">
        <x:f>COUNTIFS(Schemes!$B$7:$B$158,B83,Schemes!$C$7:$C$158,"University-wide")</x:f>
        <x:v>1</x:v>
      </x:c>
      <x:c r="K83" s="28" t="n">
        <x:f>COUNTIFS(Schemes!$B$7:$B$158,B83,Schemes!$C$7:$C$158,"Cross-faculty")+COUNTIFS(Schemes!$B$7:$B$158,B83,Schemes!$C$7:$C$158,"Faculty/school")+COUNTIFS(Schemes!$B$7:$B$158,B83,Schemes!$C$7:$C$158,"Programme/course")</x:f>
        <x:v>0</x:v>
      </x:c>
      <x:c r="L83" s="28" t="n">
        <x:f>COUNTIFS(Schemes!$B$7:$B$158,B83,Schemes!$C$7:$C$158,"Not confirmed")</x:f>
        <x:v>0</x:v>
      </x:c>
      <x:c r="M83" s="10" t="str">
        <x:f>IF(J83&gt;0,"University-wide scheme/framework documented",IF(COUNTIFS(Schemes!$B$7:$B$158,B83,Schemes!$C$7:$C$158,"Cross-faculty")&gt;0,"Cross-faculty; broader reach unverified",IF(COUNTIFS(Schemes!$B$7:$B$158,B83,Schemes!$C$7:$C$158,"Faculty/school")&gt;0,"Faculty/school; broader reach unverified",IF(K83&gt;0,"Programme/course; broader reach unverified","Scheme documented; reach unconfirmed"))))</x:f>
        <x:v>University-wide scheme/framework documented</x:v>
      </x:c>
    </x:row>
    <x:row r="84" ht="53" customHeight="1">
      <x:c r="A84" s="10" t="str">
        <x:v>US</x:v>
      </x:c>
      <x:c r="B84" s="11" t="str">
        <x:v>California Los Angeles</x:v>
      </x:c>
      <x:c r="C84" s="10" t="str">
        <x:v>US sample</x:v>
      </x:c>
      <x:c r="D84" s="28" t="n">
        <x:v>2027</x:v>
      </x:c>
      <x:c r="E84" s="28" t="n">
        <x:v>49</x:v>
      </x:c>
      <x:c r="F84" s="10" t="str">
        <x:v>No</x:v>
      </x:c>
      <x:c r="G84" s="10" t="str">
        <x:v>https://www.topuniversities.com/qs-top-uni-wur</x:v>
      </x:c>
      <x:c r="H84" s="10" t="str">
        <x:v>n.a.</x:v>
      </x:c>
      <x:c r="I84" s="28" t="n">
        <x:f>COUNTIF(Schemes!$B$7:$B$158,B84)</x:f>
        <x:v>1</x:v>
      </x:c>
      <x:c r="J84" s="28" t="n">
        <x:f>COUNTIFS(Schemes!$B$7:$B$158,B84,Schemes!$C$7:$C$158,"University-wide")</x:f>
        <x:v>1</x:v>
      </x:c>
      <x:c r="K84" s="28" t="n">
        <x:f>COUNTIFS(Schemes!$B$7:$B$158,B84,Schemes!$C$7:$C$158,"Cross-faculty")+COUNTIFS(Schemes!$B$7:$B$158,B84,Schemes!$C$7:$C$158,"Faculty/school")+COUNTIFS(Schemes!$B$7:$B$158,B84,Schemes!$C$7:$C$158,"Programme/course")</x:f>
        <x:v>0</x:v>
      </x:c>
      <x:c r="L84" s="28" t="n">
        <x:f>COUNTIFS(Schemes!$B$7:$B$158,B84,Schemes!$C$7:$C$158,"Not confirmed")</x:f>
        <x:v>0</x:v>
      </x:c>
      <x:c r="M84" s="10" t="str">
        <x:f>IF(J84&gt;0,"University-wide scheme/framework documented",IF(COUNTIFS(Schemes!$B$7:$B$158,B84,Schemes!$C$7:$C$158,"Cross-faculty")&gt;0,"Cross-faculty; broader reach unverified",IF(COUNTIFS(Schemes!$B$7:$B$158,B84,Schemes!$C$7:$C$158,"Faculty/school")&gt;0,"Faculty/school; broader reach unverified",IF(K84&gt;0,"Programme/course; broader reach unverified","Scheme documented; reach unconfirmed"))))</x:f>
        <x:v>University-wide scheme/framework documented</x:v>
      </x:c>
    </x:row>
    <x:row r="85" ht="53" customHeight="1">
      <x:c r="A85" s="10" t="str">
        <x:v>US</x:v>
      </x:c>
      <x:c r="B85" s="11" t="str">
        <x:v>Duke</x:v>
      </x:c>
      <x:c r="C85" s="10" t="str">
        <x:v>US sample</x:v>
      </x:c>
      <x:c r="D85" s="28" t="n">
        <x:v>2027</x:v>
      </x:c>
      <x:c r="E85" s="28" t="n">
        <x:v>70</x:v>
      </x:c>
      <x:c r="F85" s="10" t="str">
        <x:v>No</x:v>
      </x:c>
      <x:c r="G85" s="10" t="str">
        <x:v>https://www.topuniversities.com/qs-top-uni-wur</x:v>
      </x:c>
      <x:c r="H85" s="10" t="str">
        <x:v>n.a.</x:v>
      </x:c>
      <x:c r="I85" s="28" t="n">
        <x:f>COUNTIF(Schemes!$B$7:$B$158,B85)</x:f>
        <x:v>1</x:v>
      </x:c>
      <x:c r="J85" s="28" t="n">
        <x:f>COUNTIFS(Schemes!$B$7:$B$158,B85,Schemes!$C$7:$C$158,"University-wide")</x:f>
        <x:v>1</x:v>
      </x:c>
      <x:c r="K85" s="28" t="n">
        <x:f>COUNTIFS(Schemes!$B$7:$B$158,B85,Schemes!$C$7:$C$158,"Cross-faculty")+COUNTIFS(Schemes!$B$7:$B$158,B85,Schemes!$C$7:$C$158,"Faculty/school")+COUNTIFS(Schemes!$B$7:$B$158,B85,Schemes!$C$7:$C$158,"Programme/course")</x:f>
        <x:v>0</x:v>
      </x:c>
      <x:c r="L85" s="28" t="n">
        <x:f>COUNTIFS(Schemes!$B$7:$B$158,B85,Schemes!$C$7:$C$158,"Not confirmed")</x:f>
        <x:v>0</x:v>
      </x:c>
      <x:c r="M85" s="10" t="str">
        <x:f>IF(J85&gt;0,"University-wide scheme/framework documented",IF(COUNTIFS(Schemes!$B$7:$B$158,B85,Schemes!$C$7:$C$158,"Cross-faculty")&gt;0,"Cross-faculty; broader reach unverified",IF(COUNTIFS(Schemes!$B$7:$B$158,B85,Schemes!$C$7:$C$158,"Faculty/school")&gt;0,"Faculty/school; broader reach unverified",IF(K85&gt;0,"Programme/course; broader reach unverified","Scheme documented; reach unconfirmed"))))</x:f>
        <x:v>University-wide scheme/framework documented</x:v>
      </x:c>
    </x:row>
    <x:row r="86" ht="53" customHeight="1">
      <x:c r="A86" s="10" t="str">
        <x:v>US</x:v>
      </x:c>
      <x:c r="B86" s="11" t="str">
        <x:v>New York University</x:v>
      </x:c>
      <x:c r="C86" s="10" t="str">
        <x:v>US sample</x:v>
      </x:c>
      <x:c r="D86" s="28" t="n">
        <x:v>2027</x:v>
      </x:c>
      <x:c r="E86" s="28" t="n">
        <x:v>58</x:v>
      </x:c>
      <x:c r="F86" s="10" t="str">
        <x:v>No</x:v>
      </x:c>
      <x:c r="G86" s="10" t="str">
        <x:v>https://www.topuniversities.com/qs-top-uni-wur</x:v>
      </x:c>
      <x:c r="H86" s="10" t="str">
        <x:v>n.a.</x:v>
      </x:c>
      <x:c r="I86" s="28" t="n">
        <x:f>COUNTIF(Schemes!$B$7:$B$158,B86)</x:f>
        <x:v>2</x:v>
      </x:c>
      <x:c r="J86" s="28" t="n">
        <x:f>COUNTIFS(Schemes!$B$7:$B$158,B86,Schemes!$C$7:$C$158,"University-wide")</x:f>
        <x:v>1</x:v>
      </x:c>
      <x:c r="K86" s="28" t="n">
        <x:f>COUNTIFS(Schemes!$B$7:$B$158,B86,Schemes!$C$7:$C$158,"Cross-faculty")+COUNTIFS(Schemes!$B$7:$B$158,B86,Schemes!$C$7:$C$158,"Faculty/school")+COUNTIFS(Schemes!$B$7:$B$158,B86,Schemes!$C$7:$C$158,"Programme/course")</x:f>
        <x:v>1</x:v>
      </x:c>
      <x:c r="L86" s="28" t="n">
        <x:f>COUNTIFS(Schemes!$B$7:$B$158,B86,Schemes!$C$7:$C$158,"Not confirmed")</x:f>
        <x:v>0</x:v>
      </x:c>
      <x:c r="M86" s="10" t="str">
        <x:f>IF(J86&gt;0,"University-wide scheme/framework documented",IF(COUNTIFS(Schemes!$B$7:$B$158,B86,Schemes!$C$7:$C$158,"Cross-faculty")&gt;0,"Cross-faculty; broader reach unverified",IF(COUNTIFS(Schemes!$B$7:$B$158,B86,Schemes!$C$7:$C$158,"Faculty/school")&gt;0,"Faculty/school; broader reach unverified",IF(K86&gt;0,"Programme/course; broader reach unverified","Scheme documented; reach unconfirmed"))))</x:f>
        <x:v>University-wide scheme/framework documented</x:v>
      </x:c>
    </x:row>
    <x:row r="87" ht="53" customHeight="1">
      <x:c r="A87" s="10" t="str">
        <x:v>US</x:v>
      </x:c>
      <x:c r="B87" s="11" t="str">
        <x:v>Northwestern</x:v>
      </x:c>
      <x:c r="C87" s="10" t="str">
        <x:v>US sample</x:v>
      </x:c>
      <x:c r="D87" s="28" t="n">
        <x:v>2027</x:v>
      </x:c>
      <x:c r="E87" s="28" t="n">
        <x:v>45</x:v>
      </x:c>
      <x:c r="F87" s="10" t="str">
        <x:v>Yes</x:v>
      </x:c>
      <x:c r="G87" s="10" t="str">
        <x:v>https://www.topuniversities.com/qs-top-uni-wur</x:v>
      </x:c>
      <x:c r="H87" s="10" t="str">
        <x:v>n.a.</x:v>
      </x:c>
      <x:c r="I87" s="28" t="n">
        <x:f>COUNTIF(Schemes!$B$7:$B$158,B87)</x:f>
        <x:v>1</x:v>
      </x:c>
      <x:c r="J87" s="28" t="n">
        <x:f>COUNTIFS(Schemes!$B$7:$B$158,B87,Schemes!$C$7:$C$158,"University-wide")</x:f>
        <x:v>1</x:v>
      </x:c>
      <x:c r="K87" s="28" t="n">
        <x:f>COUNTIFS(Schemes!$B$7:$B$158,B87,Schemes!$C$7:$C$158,"Cross-faculty")+COUNTIFS(Schemes!$B$7:$B$158,B87,Schemes!$C$7:$C$158,"Faculty/school")+COUNTIFS(Schemes!$B$7:$B$158,B87,Schemes!$C$7:$C$158,"Programme/course")</x:f>
        <x:v>0</x:v>
      </x:c>
      <x:c r="L87" s="28" t="n">
        <x:f>COUNTIFS(Schemes!$B$7:$B$158,B87,Schemes!$C$7:$C$158,"Not confirmed")</x:f>
        <x:v>0</x:v>
      </x:c>
      <x:c r="M87" s="10" t="str">
        <x:f>IF(J87&gt;0,"University-wide scheme/framework documented",IF(COUNTIFS(Schemes!$B$7:$B$158,B87,Schemes!$C$7:$C$158,"Cross-faculty")&gt;0,"Cross-faculty; broader reach unverified",IF(COUNTIFS(Schemes!$B$7:$B$158,B87,Schemes!$C$7:$C$158,"Faculty/school")&gt;0,"Faculty/school; broader reach unverified",IF(K87&gt;0,"Programme/course; broader reach unverified","Scheme documented; reach unconfirmed"))))</x:f>
        <x:v>University-wide scheme/framework documented</x:v>
      </x:c>
    </x:row>
    <x:row r="88" ht="53" customHeight="1">
      <x:c r="A88" s="10" t="str">
        <x:v>US</x:v>
      </x:c>
      <x:c r="B88" s="11" t="str">
        <x:v>Carnegie Mellon</x:v>
      </x:c>
      <x:c r="C88" s="10" t="str">
        <x:v>US sample</x:v>
      </x:c>
      <x:c r="D88" s="28" t="n">
        <x:v>2027</x:v>
      </x:c>
      <x:c r="E88" s="28" t="n">
        <x:v>55</x:v>
      </x:c>
      <x:c r="F88" s="10" t="str">
        <x:v>No</x:v>
      </x:c>
      <x:c r="G88" s="10" t="str">
        <x:v>https://www.topuniversities.com/qs-top-uni-wur</x:v>
      </x:c>
      <x:c r="H88" s="10" t="str">
        <x:v>n.a.</x:v>
      </x:c>
      <x:c r="I88" s="28" t="n">
        <x:f>COUNTIF(Schemes!$B$7:$B$158,B88)</x:f>
        <x:v>1</x:v>
      </x:c>
      <x:c r="J88" s="28" t="n">
        <x:f>COUNTIFS(Schemes!$B$7:$B$158,B88,Schemes!$C$7:$C$158,"University-wide")</x:f>
        <x:v>1</x:v>
      </x:c>
      <x:c r="K88" s="28" t="n">
        <x:f>COUNTIFS(Schemes!$B$7:$B$158,B88,Schemes!$C$7:$C$158,"Cross-faculty")+COUNTIFS(Schemes!$B$7:$B$158,B88,Schemes!$C$7:$C$158,"Faculty/school")+COUNTIFS(Schemes!$B$7:$B$158,B88,Schemes!$C$7:$C$158,"Programme/course")</x:f>
        <x:v>0</x:v>
      </x:c>
      <x:c r="L88" s="28" t="n">
        <x:f>COUNTIFS(Schemes!$B$7:$B$158,B88,Schemes!$C$7:$C$158,"Not confirmed")</x:f>
        <x:v>0</x:v>
      </x:c>
      <x:c r="M88" s="10" t="str">
        <x:f>IF(J88&gt;0,"University-wide scheme/framework documented",IF(COUNTIFS(Schemes!$B$7:$B$158,B88,Schemes!$C$7:$C$158,"Cross-faculty")&gt;0,"Cross-faculty; broader reach unverified",IF(COUNTIFS(Schemes!$B$7:$B$158,B88,Schemes!$C$7:$C$158,"Faculty/school")&gt;0,"Faculty/school; broader reach unverified",IF(K88&gt;0,"Programme/course; broader reach unverified","Scheme documented; reach unconfirmed"))))</x:f>
        <x:v>University-wide scheme/framework documented</x:v>
      </x:c>
    </x:row>
    <x:row r="89" ht="53" customHeight="1">
      <x:c r="A89" s="10" t="str">
        <x:v>US</x:v>
      </x:c>
      <x:c r="B89" s="11" t="str">
        <x:v>Southern California</x:v>
      </x:c>
      <x:c r="C89" s="10" t="str">
        <x:v>US sample</x:v>
      </x:c>
      <x:c r="D89" s="28" t="n">
        <x:v>2027</x:v>
      </x:c>
      <x:c r="E89" s="28" t="n">
        <x:v>153</x:v>
      </x:c>
      <x:c r="F89" s="10" t="str">
        <x:v>No</x:v>
      </x:c>
      <x:c r="G89" s="10" t="str">
        <x:v>https://www.topuniversities.com/qs-top-uni-wur</x:v>
      </x:c>
      <x:c r="H89" s="10" t="str">
        <x:v>n.a.</x:v>
      </x:c>
      <x:c r="I89" s="28" t="n">
        <x:f>COUNTIF(Schemes!$B$7:$B$158,B89)</x:f>
        <x:v>1</x:v>
      </x:c>
      <x:c r="J89" s="28" t="n">
        <x:f>COUNTIFS(Schemes!$B$7:$B$158,B89,Schemes!$C$7:$C$158,"University-wide")</x:f>
        <x:v>0</x:v>
      </x:c>
      <x:c r="K89" s="28" t="n">
        <x:f>COUNTIFS(Schemes!$B$7:$B$158,B89,Schemes!$C$7:$C$158,"Cross-faculty")+COUNTIFS(Schemes!$B$7:$B$158,B89,Schemes!$C$7:$C$158,"Faculty/school")+COUNTIFS(Schemes!$B$7:$B$158,B89,Schemes!$C$7:$C$158,"Programme/course")</x:f>
        <x:v>1</x:v>
      </x:c>
      <x:c r="L89" s="28" t="n">
        <x:f>COUNTIFS(Schemes!$B$7:$B$158,B89,Schemes!$C$7:$C$158,"Not confirmed")</x:f>
        <x:v>0</x:v>
      </x:c>
      <x:c r="M89" s="10" t="str">
        <x:f>IF(J89&gt;0,"University-wide scheme/framework documented",IF(COUNTIFS(Schemes!$B$7:$B$158,B89,Schemes!$C$7:$C$158,"Cross-faculty")&gt;0,"Cross-faculty; broader reach unverified",IF(COUNTIFS(Schemes!$B$7:$B$158,B89,Schemes!$C$7:$C$158,"Faculty/school")&gt;0,"Faculty/school; broader reach unverified",IF(K89&gt;0,"Programme/course; broader reach unverified","Scheme documented; reach unconfirmed"))))</x:f>
        <x:v>Cross-faculty; broader reach unverified</x:v>
      </x:c>
    </x:row>
    <x:row r="90" ht="53" customHeight="1">
      <x:c r="A90" s="10" t="str">
        <x:v>US</x:v>
      </x:c>
      <x:c r="B90" s="11" t="str">
        <x:v>Texas Austin</x:v>
      </x:c>
      <x:c r="C90" s="10" t="str">
        <x:v>US sample</x:v>
      </x:c>
      <x:c r="D90" s="28" t="n">
        <x:v>2027</x:v>
      </x:c>
      <x:c r="E90" s="28" t="n">
        <x:v>72</x:v>
      </x:c>
      <x:c r="F90" s="10" t="str">
        <x:v>No</x:v>
      </x:c>
      <x:c r="G90" s="10" t="str">
        <x:v>https://www.topuniversities.com/qs-top-uni-wur</x:v>
      </x:c>
      <x:c r="H90" s="10" t="str">
        <x:v>n.a.</x:v>
      </x:c>
      <x:c r="I90" s="28" t="n">
        <x:f>COUNTIF(Schemes!$B$7:$B$158,B90)</x:f>
        <x:v>2</x:v>
      </x:c>
      <x:c r="J90" s="28" t="n">
        <x:f>COUNTIFS(Schemes!$B$7:$B$158,B90,Schemes!$C$7:$C$158,"University-wide")</x:f>
        <x:v>1</x:v>
      </x:c>
      <x:c r="K90" s="28" t="n">
        <x:f>COUNTIFS(Schemes!$B$7:$B$158,B90,Schemes!$C$7:$C$158,"Cross-faculty")+COUNTIFS(Schemes!$B$7:$B$158,B90,Schemes!$C$7:$C$158,"Faculty/school")+COUNTIFS(Schemes!$B$7:$B$158,B90,Schemes!$C$7:$C$158,"Programme/course")</x:f>
        <x:v>1</x:v>
      </x:c>
      <x:c r="L90" s="28" t="n">
        <x:f>COUNTIFS(Schemes!$B$7:$B$158,B90,Schemes!$C$7:$C$158,"Not confirmed")</x:f>
        <x:v>0</x:v>
      </x:c>
      <x:c r="M90" s="10" t="str">
        <x:f>IF(J90&gt;0,"University-wide scheme/framework documented",IF(COUNTIFS(Schemes!$B$7:$B$158,B90,Schemes!$C$7:$C$158,"Cross-faculty")&gt;0,"Cross-faculty; broader reach unverified",IF(COUNTIFS(Schemes!$B$7:$B$158,B90,Schemes!$C$7:$C$158,"Faculty/school")&gt;0,"Faculty/school; broader reach unverified",IF(K90&gt;0,"Programme/course; broader reach unverified","Scheme documented; reach unconfirmed"))))</x:f>
        <x:v>University-wide scheme/framework documented</x:v>
      </x:c>
    </x:row>
    <x:row r="91" ht="53" customHeight="1">
      <x:c r="A91" s="10" t="str">
        <x:v>US</x:v>
      </x:c>
      <x:c r="B91" s="11" t="str">
        <x:v>California San Diego</x:v>
      </x:c>
      <x:c r="C91" s="10" t="str">
        <x:v>US sample</x:v>
      </x:c>
      <x:c r="D91" s="28" t="n">
        <x:v>2027</x:v>
      </x:c>
      <x:c r="E91" s="28" t="n">
        <x:v>81</x:v>
      </x:c>
      <x:c r="F91" s="10" t="str">
        <x:v>No</x:v>
      </x:c>
      <x:c r="G91" s="10" t="str">
        <x:v>https://www.topuniversities.com/qs-top-uni-wur</x:v>
      </x:c>
      <x:c r="H91" s="10" t="str">
        <x:v>n.a.</x:v>
      </x:c>
      <x:c r="I91" s="28" t="n">
        <x:f>COUNTIF(Schemes!$B$7:$B$158,B91)</x:f>
        <x:v>1</x:v>
      </x:c>
      <x:c r="J91" s="28" t="n">
        <x:f>COUNTIFS(Schemes!$B$7:$B$158,B91,Schemes!$C$7:$C$158,"University-wide")</x:f>
        <x:v>1</x:v>
      </x:c>
      <x:c r="K91" s="28" t="n">
        <x:f>COUNTIFS(Schemes!$B$7:$B$158,B91,Schemes!$C$7:$C$158,"Cross-faculty")+COUNTIFS(Schemes!$B$7:$B$158,B91,Schemes!$C$7:$C$158,"Faculty/school")+COUNTIFS(Schemes!$B$7:$B$158,B91,Schemes!$C$7:$C$158,"Programme/course")</x:f>
        <x:v>0</x:v>
      </x:c>
      <x:c r="L91" s="28" t="n">
        <x:f>COUNTIFS(Schemes!$B$7:$B$158,B91,Schemes!$C$7:$C$158,"Not confirmed")</x:f>
        <x:v>0</x:v>
      </x:c>
      <x:c r="M91" s="10" t="str">
        <x:f>IF(J91&gt;0,"University-wide scheme/framework documented",IF(COUNTIFS(Schemes!$B$7:$B$158,B91,Schemes!$C$7:$C$158,"Cross-faculty")&gt;0,"Cross-faculty; broader reach unverified",IF(COUNTIFS(Schemes!$B$7:$B$158,B91,Schemes!$C$7:$C$158,"Faculty/school")&gt;0,"Faculty/school; broader reach unverified",IF(K91&gt;0,"Programme/course; broader reach unverified","Scheme documented; reach unconfirmed"))))</x:f>
        <x:v>University-wide scheme/framework documented</x:v>
      </x:c>
    </x:row>
    <x:row r="92" ht="53" customHeight="1">
      <x:c r="A92" s="10" t="str">
        <x:v>US</x:v>
      </x:c>
      <x:c r="B92" s="11" t="str">
        <x:v>Brown</x:v>
      </x:c>
      <x:c r="C92" s="10" t="str">
        <x:v>US sample</x:v>
      </x:c>
      <x:c r="D92" s="28" t="n">
        <x:v>2027</x:v>
      </x:c>
      <x:c r="E92" s="28" t="n">
        <x:v>66</x:v>
      </x:c>
      <x:c r="F92" s="10" t="str">
        <x:v>No</x:v>
      </x:c>
      <x:c r="G92" s="10" t="str">
        <x:v>https://www.topuniversities.com/qs-top-uni-wur</x:v>
      </x:c>
      <x:c r="H92" s="10" t="str">
        <x:v>n.a.</x:v>
      </x:c>
      <x:c r="I92" s="28" t="n">
        <x:f>COUNTIF(Schemes!$B$7:$B$158,B92)</x:f>
        <x:v>1</x:v>
      </x:c>
      <x:c r="J92" s="28" t="n">
        <x:f>COUNTIFS(Schemes!$B$7:$B$158,B92,Schemes!$C$7:$C$158,"University-wide")</x:f>
        <x:v>1</x:v>
      </x:c>
      <x:c r="K92" s="28" t="n">
        <x:f>COUNTIFS(Schemes!$B$7:$B$158,B92,Schemes!$C$7:$C$158,"Cross-faculty")+COUNTIFS(Schemes!$B$7:$B$158,B92,Schemes!$C$7:$C$158,"Faculty/school")+COUNTIFS(Schemes!$B$7:$B$158,B92,Schemes!$C$7:$C$158,"Programme/course")</x:f>
        <x:v>0</x:v>
      </x:c>
      <x:c r="L92" s="28" t="n">
        <x:f>COUNTIFS(Schemes!$B$7:$B$158,B92,Schemes!$C$7:$C$158,"Not confirmed")</x:f>
        <x:v>0</x:v>
      </x:c>
      <x:c r="M92" s="10" t="str">
        <x:f>IF(J92&gt;0,"University-wide scheme/framework documented",IF(COUNTIFS(Schemes!$B$7:$B$158,B92,Schemes!$C$7:$C$158,"Cross-faculty")&gt;0,"Cross-faculty; broader reach unverified",IF(COUNTIFS(Schemes!$B$7:$B$158,B92,Schemes!$C$7:$C$158,"Faculty/school")&gt;0,"Faculty/school; broader reach unverified",IF(K92&gt;0,"Programme/course; broader reach unverified","Scheme documented; reach unconfirmed"))))</x:f>
        <x:v>University-wide scheme/framework documented</x:v>
      </x:c>
    </x:row>
    <x:row r="93" ht="53" customHeight="1">
      <x:c r="A93" s="10" t="str">
        <x:v>US</x:v>
      </x:c>
      <x:c r="B93" s="11" t="str">
        <x:v>Illinois Urbana-Champaign</x:v>
      </x:c>
      <x:c r="C93" s="10" t="str">
        <x:v>US sample</x:v>
      </x:c>
      <x:c r="D93" s="28" t="n">
        <x:v>2027</x:v>
      </x:c>
      <x:c r="E93" s="28" t="n">
        <x:v>74</x:v>
      </x:c>
      <x:c r="F93" s="10" t="str">
        <x:v>No</x:v>
      </x:c>
      <x:c r="G93" s="10" t="str">
        <x:v>https://www.topuniversities.com/qs-top-uni-wur</x:v>
      </x:c>
      <x:c r="H93" s="10" t="str">
        <x:v>n.a.</x:v>
      </x:c>
      <x:c r="I93" s="28" t="n">
        <x:f>COUNTIF(Schemes!$B$7:$B$158,B93)</x:f>
        <x:v>1</x:v>
      </x:c>
      <x:c r="J93" s="28" t="n">
        <x:f>COUNTIFS(Schemes!$B$7:$B$158,B93,Schemes!$C$7:$C$158,"University-wide")</x:f>
        <x:v>1</x:v>
      </x:c>
      <x:c r="K93" s="28" t="n">
        <x:f>COUNTIFS(Schemes!$B$7:$B$158,B93,Schemes!$C$7:$C$158,"Cross-faculty")+COUNTIFS(Schemes!$B$7:$B$158,B93,Schemes!$C$7:$C$158,"Faculty/school")+COUNTIFS(Schemes!$B$7:$B$158,B93,Schemes!$C$7:$C$158,"Programme/course")</x:f>
        <x:v>0</x:v>
      </x:c>
      <x:c r="L93" s="28" t="n">
        <x:f>COUNTIFS(Schemes!$B$7:$B$158,B93,Schemes!$C$7:$C$158,"Not confirmed")</x:f>
        <x:v>0</x:v>
      </x:c>
      <x:c r="M93" s="10" t="str">
        <x:f>IF(J93&gt;0,"University-wide scheme/framework documented",IF(COUNTIFS(Schemes!$B$7:$B$158,B93,Schemes!$C$7:$C$158,"Cross-faculty")&gt;0,"Cross-faculty; broader reach unverified",IF(COUNTIFS(Schemes!$B$7:$B$158,B93,Schemes!$C$7:$C$158,"Faculty/school")&gt;0,"Faculty/school; broader reach unverified",IF(K93&gt;0,"Programme/course; broader reach unverified","Scheme documented; reach unconfirmed"))))</x:f>
        <x:v>University-wide scheme/framework documented</x:v>
      </x:c>
    </x:row>
    <x:row r="94" ht="53" customHeight="1">
      <x:c r="A94" s="10" t="str">
        <x:v>US</x:v>
      </x:c>
      <x:c r="B94" s="11" t="str">
        <x:v>Georgia Institute of Technology</x:v>
      </x:c>
      <x:c r="C94" s="10" t="str">
        <x:v>US sample</x:v>
      </x:c>
      <x:c r="D94" s="28" t="n">
        <x:v>2027</x:v>
      </x:c>
      <x:c r="E94" s="28" t="n">
        <x:v>142</x:v>
      </x:c>
      <x:c r="F94" s="10" t="str">
        <x:v>Yes</x:v>
      </x:c>
      <x:c r="G94" s="10" t="str">
        <x:v>https://www.topuniversities.com/qs-top-uni-wur</x:v>
      </x:c>
      <x:c r="H94" s="10" t="str">
        <x:v>n.a.</x:v>
      </x:c>
      <x:c r="I94" s="28" t="n">
        <x:f>COUNTIF(Schemes!$B$7:$B$158,B94)</x:f>
        <x:v>1</x:v>
      </x:c>
      <x:c r="J94" s="28" t="n">
        <x:f>COUNTIFS(Schemes!$B$7:$B$158,B94,Schemes!$C$7:$C$158,"University-wide")</x:f>
        <x:v>1</x:v>
      </x:c>
      <x:c r="K94" s="28" t="n">
        <x:f>COUNTIFS(Schemes!$B$7:$B$158,B94,Schemes!$C$7:$C$158,"Cross-faculty")+COUNTIFS(Schemes!$B$7:$B$158,B94,Schemes!$C$7:$C$158,"Faculty/school")+COUNTIFS(Schemes!$B$7:$B$158,B94,Schemes!$C$7:$C$158,"Programme/course")</x:f>
        <x:v>0</x:v>
      </x:c>
      <x:c r="L94" s="28" t="n">
        <x:f>COUNTIFS(Schemes!$B$7:$B$158,B94,Schemes!$C$7:$C$158,"Not confirmed")</x:f>
        <x:v>0</x:v>
      </x:c>
      <x:c r="M94" s="10" t="str">
        <x:f>IF(J94&gt;0,"University-wide scheme/framework documented",IF(COUNTIFS(Schemes!$B$7:$B$158,B94,Schemes!$C$7:$C$158,"Cross-faculty")&gt;0,"Cross-faculty; broader reach unverified",IF(COUNTIFS(Schemes!$B$7:$B$158,B94,Schemes!$C$7:$C$158,"Faculty/school")&gt;0,"Faculty/school; broader reach unverified",IF(K94&gt;0,"Programme/course; broader reach unverified","Scheme documented; reach unconfirmed"))))</x:f>
        <x:v>University-wide scheme/framework documented</x:v>
      </x:c>
    </x:row>
    <x:row r="95" ht="53" customHeight="1">
      <x:c r="A95" s="10" t="str">
        <x:v>US</x:v>
      </x:c>
      <x:c r="B95" s="11" t="str">
        <x:v>Purdue</x:v>
      </x:c>
      <x:c r="C95" s="10" t="str">
        <x:v>US sample</x:v>
      </x:c>
      <x:c r="D95" s="28" t="n">
        <x:v>2027</x:v>
      </x:c>
      <x:c r="E95" s="28" t="n">
        <x:v>100</x:v>
      </x:c>
      <x:c r="F95" s="10" t="str">
        <x:v>Yes</x:v>
      </x:c>
      <x:c r="G95" s="10" t="str">
        <x:v>https://www.topuniversities.com/qs-top-uni-wur</x:v>
      </x:c>
      <x:c r="H95" s="10" t="str">
        <x:v>n.a.</x:v>
      </x:c>
      <x:c r="I95" s="28" t="n">
        <x:f>COUNTIF(Schemes!$B$7:$B$158,B95)</x:f>
        <x:v>1</x:v>
      </x:c>
      <x:c r="J95" s="28" t="n">
        <x:f>COUNTIFS(Schemes!$B$7:$B$158,B95,Schemes!$C$7:$C$158,"University-wide")</x:f>
        <x:v>1</x:v>
      </x:c>
      <x:c r="K95" s="28" t="n">
        <x:f>COUNTIFS(Schemes!$B$7:$B$158,B95,Schemes!$C$7:$C$158,"Cross-faculty")+COUNTIFS(Schemes!$B$7:$B$158,B95,Schemes!$C$7:$C$158,"Faculty/school")+COUNTIFS(Schemes!$B$7:$B$158,B95,Schemes!$C$7:$C$158,"Programme/course")</x:f>
        <x:v>0</x:v>
      </x:c>
      <x:c r="L95" s="28" t="n">
        <x:f>COUNTIFS(Schemes!$B$7:$B$158,B95,Schemes!$C$7:$C$158,"Not confirmed")</x:f>
        <x:v>0</x:v>
      </x:c>
      <x:c r="M95" s="10" t="str">
        <x:f>IF(J95&gt;0,"University-wide scheme/framework documented",IF(COUNTIFS(Schemes!$B$7:$B$158,B95,Schemes!$C$7:$C$158,"Cross-faculty")&gt;0,"Cross-faculty; broader reach unverified",IF(COUNTIFS(Schemes!$B$7:$B$158,B95,Schemes!$C$7:$C$158,"Faculty/school")&gt;0,"Faculty/school; broader reach unverified",IF(K95&gt;0,"Programme/course; broader reach unverified","Scheme documented; reach unconfirmed"))))</x:f>
        <x:v>University-wide scheme/framework documented</x:v>
      </x:c>
    </x:row>
    <x:row r="96" ht="53" customHeight="1">
      <x:c r="A96" s="10" t="str">
        <x:v>US</x:v>
      </x:c>
      <x:c r="B96" s="11" t="str">
        <x:v>Wisconsin Madison</x:v>
      </x:c>
      <x:c r="C96" s="10" t="str">
        <x:v>US sample</x:v>
      </x:c>
      <x:c r="D96" s="28" t="n">
        <x:v>2027</x:v>
      </x:c>
      <x:c r="E96" s="28" t="n">
        <x:v>131</x:v>
      </x:c>
      <x:c r="F96" s="10" t="str">
        <x:v>Yes</x:v>
      </x:c>
      <x:c r="G96" s="10" t="str">
        <x:v>https://www.topuniversities.com/qs-top-uni-wur</x:v>
      </x:c>
      <x:c r="H96" s="10" t="str">
        <x:v>n.a.</x:v>
      </x:c>
      <x:c r="I96" s="28" t="n">
        <x:f>COUNTIF(Schemes!$B$7:$B$158,B96)</x:f>
        <x:v>1</x:v>
      </x:c>
      <x:c r="J96" s="28" t="n">
        <x:f>COUNTIFS(Schemes!$B$7:$B$158,B96,Schemes!$C$7:$C$158,"University-wide")</x:f>
        <x:v>0</x:v>
      </x:c>
      <x:c r="K96" s="28" t="n">
        <x:f>COUNTIFS(Schemes!$B$7:$B$158,B96,Schemes!$C$7:$C$158,"Cross-faculty")+COUNTIFS(Schemes!$B$7:$B$158,B96,Schemes!$C$7:$C$158,"Faculty/school")+COUNTIFS(Schemes!$B$7:$B$158,B96,Schemes!$C$7:$C$158,"Programme/course")</x:f>
        <x:v>0</x:v>
      </x:c>
      <x:c r="L96" s="28" t="n">
        <x:f>COUNTIFS(Schemes!$B$7:$B$158,B96,Schemes!$C$7:$C$158,"Not confirmed")</x:f>
        <x:v>1</x:v>
      </x:c>
      <x:c r="M96" s="10" t="str">
        <x:f>IF(J96&gt;0,"University-wide scheme/framework documented",IF(COUNTIFS(Schemes!$B$7:$B$158,B96,Schemes!$C$7:$C$158,"Cross-faculty")&gt;0,"Cross-faculty; broader reach unverified",IF(COUNTIFS(Schemes!$B$7:$B$158,B96,Schemes!$C$7:$C$158,"Faculty/school")&gt;0,"Faculty/school; broader reach unverified",IF(K96&gt;0,"Programme/course; broader reach unverified","Scheme documented; reach unconfirmed"))))</x:f>
        <x:v>Scheme documented; reach unconfirmed</x:v>
      </x:c>
    </x:row>
    <x:row r="97" ht="53" customHeight="1">
      <x:c r="A97" s="10" t="str">
        <x:v>US</x:v>
      </x:c>
      <x:c r="B97" s="11" t="str">
        <x:v>Washington</x:v>
      </x:c>
      <x:c r="C97" s="10" t="str">
        <x:v>US sample</x:v>
      </x:c>
      <x:c r="D97" s="28" t="n">
        <x:v>2027</x:v>
      </x:c>
      <x:c r="E97" s="28" t="n">
        <x:v>92</x:v>
      </x:c>
      <x:c r="F97" s="10" t="str">
        <x:v>Yes</x:v>
      </x:c>
      <x:c r="G97" s="10" t="str">
        <x:v>https://www.topuniversities.com/qs-top-uni-wur</x:v>
      </x:c>
      <x:c r="H97" s="10" t="str">
        <x:v>n.a.</x:v>
      </x:c>
      <x:c r="I97" s="28" t="n">
        <x:f>COUNTIF(Schemes!$B$7:$B$158,B97)</x:f>
        <x:v>1</x:v>
      </x:c>
      <x:c r="J97" s="28" t="n">
        <x:f>COUNTIFS(Schemes!$B$7:$B$158,B97,Schemes!$C$7:$C$158,"University-wide")</x:f>
        <x:v>0</x:v>
      </x:c>
      <x:c r="K97" s="28" t="n">
        <x:f>COUNTIFS(Schemes!$B$7:$B$158,B97,Schemes!$C$7:$C$158,"Cross-faculty")+COUNTIFS(Schemes!$B$7:$B$158,B97,Schemes!$C$7:$C$158,"Faculty/school")+COUNTIFS(Schemes!$B$7:$B$158,B97,Schemes!$C$7:$C$158,"Programme/course")</x:f>
        <x:v>0</x:v>
      </x:c>
      <x:c r="L97" s="28" t="n">
        <x:f>COUNTIFS(Schemes!$B$7:$B$158,B97,Schemes!$C$7:$C$158,"Not confirmed")</x:f>
        <x:v>1</x:v>
      </x:c>
      <x:c r="M97" s="10" t="str">
        <x:f>IF(J97&gt;0,"University-wide scheme/framework documented",IF(COUNTIFS(Schemes!$B$7:$B$158,B97,Schemes!$C$7:$C$158,"Cross-faculty")&gt;0,"Cross-faculty; broader reach unverified",IF(COUNTIFS(Schemes!$B$7:$B$158,B97,Schemes!$C$7:$C$158,"Faculty/school")&gt;0,"Faculty/school; broader reach unverified",IF(K97&gt;0,"Programme/course; broader reach unverified","Scheme documented; reach unconfirmed"))))</x:f>
        <x:v>Scheme documented; reach unconfirmed</x:v>
      </x:c>
    </x:row>
    <x:row r="98" ht="53" customHeight="1">
      <x:c r="A98" s="10" t="str">
        <x:v>US</x:v>
      </x:c>
      <x:c r="B98" s="11" t="str">
        <x:v>Boston University</x:v>
      </x:c>
      <x:c r="C98" s="10" t="str">
        <x:v>US sample</x:v>
      </x:c>
      <x:c r="D98" s="28" t="n">
        <x:v>2027</x:v>
      </x:c>
      <x:c r="E98" s="28" t="n">
        <x:v>94</x:v>
      </x:c>
      <x:c r="F98" s="10" t="str">
        <x:v>No</x:v>
      </x:c>
      <x:c r="G98" s="10" t="str">
        <x:v>https://www.topuniversities.com/qs-top-uni-wur</x:v>
      </x:c>
      <x:c r="H98" s="10" t="str">
        <x:v>n.a.</x:v>
      </x:c>
      <x:c r="I98" s="28" t="n">
        <x:f>COUNTIF(Schemes!$B$7:$B$158,B98)</x:f>
        <x:v>1</x:v>
      </x:c>
      <x:c r="J98" s="28" t="n">
        <x:f>COUNTIFS(Schemes!$B$7:$B$158,B98,Schemes!$C$7:$C$158,"University-wide")</x:f>
        <x:v>1</x:v>
      </x:c>
      <x:c r="K98" s="28" t="n">
        <x:f>COUNTIFS(Schemes!$B$7:$B$158,B98,Schemes!$C$7:$C$158,"Cross-faculty")+COUNTIFS(Schemes!$B$7:$B$158,B98,Schemes!$C$7:$C$158,"Faculty/school")+COUNTIFS(Schemes!$B$7:$B$158,B98,Schemes!$C$7:$C$158,"Programme/course")</x:f>
        <x:v>0</x:v>
      </x:c>
      <x:c r="L98" s="28" t="n">
        <x:f>COUNTIFS(Schemes!$B$7:$B$158,B98,Schemes!$C$7:$C$158,"Not confirmed")</x:f>
        <x:v>0</x:v>
      </x:c>
      <x:c r="M98" s="10" t="str">
        <x:f>IF(J98&gt;0,"University-wide scheme/framework documented",IF(COUNTIFS(Schemes!$B$7:$B$158,B98,Schemes!$C$7:$C$158,"Cross-faculty")&gt;0,"Cross-faculty; broader reach unverified",IF(COUNTIFS(Schemes!$B$7:$B$158,B98,Schemes!$C$7:$C$158,"Faculty/school")&gt;0,"Faculty/school; broader reach unverified",IF(K98&gt;0,"Programme/course; broader reach unverified","Scheme documented; reach unconfirmed"))))</x:f>
        <x:v>University-wide scheme/framework documented</x:v>
      </x:c>
    </x:row>
    <x:row r="99" ht="53" customHeight="1">
      <x:c r="A99" s="10" t="str">
        <x:v>US</x:v>
      </x:c>
      <x:c r="B99" s="11" t="str">
        <x:v>Pennsylvania State</x:v>
      </x:c>
      <x:c r="C99" s="10" t="str">
        <x:v>US sample</x:v>
      </x:c>
      <x:c r="D99" s="28" t="n">
        <x:v>2027</x:v>
      </x:c>
      <x:c r="E99" s="28" t="n">
        <x:v>92</x:v>
      </x:c>
      <x:c r="F99" s="10" t="str">
        <x:v>Yes</x:v>
      </x:c>
      <x:c r="G99" s="10" t="str">
        <x:v>https://www.topuniversities.com/qs-top-uni-wur</x:v>
      </x:c>
      <x:c r="H99" s="10" t="str">
        <x:v>n.a.</x:v>
      </x:c>
      <x:c r="I99" s="28" t="n">
        <x:f>COUNTIF(Schemes!$B$7:$B$158,B99)</x:f>
        <x:v>2</x:v>
      </x:c>
      <x:c r="J99" s="28" t="n">
        <x:f>COUNTIFS(Schemes!$B$7:$B$158,B99,Schemes!$C$7:$C$158,"University-wide")</x:f>
        <x:v>1</x:v>
      </x:c>
      <x:c r="K99" s="28" t="n">
        <x:f>COUNTIFS(Schemes!$B$7:$B$158,B99,Schemes!$C$7:$C$158,"Cross-faculty")+COUNTIFS(Schemes!$B$7:$B$158,B99,Schemes!$C$7:$C$158,"Faculty/school")+COUNTIFS(Schemes!$B$7:$B$158,B99,Schemes!$C$7:$C$158,"Programme/course")</x:f>
        <x:v>1</x:v>
      </x:c>
      <x:c r="L99" s="28" t="n">
        <x:f>COUNTIFS(Schemes!$B$7:$B$158,B99,Schemes!$C$7:$C$158,"Not confirmed")</x:f>
        <x:v>0</x:v>
      </x:c>
      <x:c r="M99" s="10" t="str">
        <x:f>IF(J99&gt;0,"University-wide scheme/framework documented",IF(COUNTIFS(Schemes!$B$7:$B$158,B99,Schemes!$C$7:$C$158,"Cross-faculty")&gt;0,"Cross-faculty; broader reach unverified",IF(COUNTIFS(Schemes!$B$7:$B$158,B99,Schemes!$C$7:$C$158,"Faculty/school")&gt;0,"Faculty/school; broader reach unverified",IF(K99&gt;0,"Programme/course; broader reach unverified","Scheme documented; reach unconfirmed"))))</x:f>
        <x:v>University-wide scheme/framework documented</x:v>
      </x:c>
    </x:row>
    <x:row r="100" ht="53" customHeight="1">
      <x:c r="A100" s="10" t="str">
        <x:v>US</x:v>
      </x:c>
      <x:c r="B100" s="11" t="str">
        <x:v>Ohio State</x:v>
      </x:c>
      <x:c r="C100" s="10" t="str">
        <x:v>US sample</x:v>
      </x:c>
      <x:c r="D100" s="28" t="n">
        <x:v>2027</x:v>
      </x:c>
      <x:c r="E100" s="28" t="n">
        <x:v>201</x:v>
      </x:c>
      <x:c r="F100" s="10" t="str">
        <x:v>Yes</x:v>
      </x:c>
      <x:c r="G100" s="10" t="str">
        <x:v>https://www.topuniversities.com/universities/ohio-state-university</x:v>
      </x:c>
      <x:c r="H100" s="10" t="str">
        <x:v>n.a.</x:v>
      </x:c>
      <x:c r="I100" s="28" t="n">
        <x:f>COUNTIF(Schemes!$B$7:$B$158,B100)</x:f>
        <x:v>1</x:v>
      </x:c>
      <x:c r="J100" s="28" t="n">
        <x:f>COUNTIFS(Schemes!$B$7:$B$158,B100,Schemes!$C$7:$C$158,"University-wide")</x:f>
        <x:v>0</x:v>
      </x:c>
      <x:c r="K100" s="28" t="n">
        <x:f>COUNTIFS(Schemes!$B$7:$B$158,B100,Schemes!$C$7:$C$158,"Cross-faculty")+COUNTIFS(Schemes!$B$7:$B$158,B100,Schemes!$C$7:$C$158,"Faculty/school")+COUNTIFS(Schemes!$B$7:$B$158,B100,Schemes!$C$7:$C$158,"Programme/course")</x:f>
        <x:v>0</x:v>
      </x:c>
      <x:c r="L100" s="28" t="n">
        <x:f>COUNTIFS(Schemes!$B$7:$B$158,B100,Schemes!$C$7:$C$158,"Not confirmed")</x:f>
        <x:v>1</x:v>
      </x:c>
      <x:c r="M100" s="10" t="str">
        <x:f>IF(J100&gt;0,"University-wide scheme/framework documented",IF(COUNTIFS(Schemes!$B$7:$B$158,B100,Schemes!$C$7:$C$158,"Cross-faculty")&gt;0,"Cross-faculty; broader reach unverified",IF(COUNTIFS(Schemes!$B$7:$B$158,B100,Schemes!$C$7:$C$158,"Faculty/school")&gt;0,"Faculty/school; broader reach unverified",IF(K100&gt;0,"Programme/course; broader reach unverified","Scheme documented; reach unconfirmed"))))</x:f>
        <x:v>Scheme documented; reach unconfirmed</x:v>
      </x:c>
    </x:row>
    <x:row r="101" ht="53" customHeight="1">
      <x:c r="A101" s="10" t="str">
        <x:v>France</x:v>
      </x:c>
      <x:c r="B101" s="11" t="str">
        <x:v>PSL</x:v>
      </x:c>
      <x:c r="C101" s="10" t="str">
        <x:v>EU sample</x:v>
      </x:c>
      <x:c r="D101" s="28" t="n">
        <x:v>2027</x:v>
      </x:c>
      <x:c r="E101" s="28" t="n">
        <x:v>34</x:v>
      </x:c>
      <x:c r="F101" s="10" t="str">
        <x:v>No</x:v>
      </x:c>
      <x:c r="G101" s="10" t="str">
        <x:v>https://www.topuniversities.com/qs-top-uni-wur</x:v>
      </x:c>
      <x:c r="H101" s="10" t="str">
        <x:v>n.a.</x:v>
      </x:c>
      <x:c r="I101" s="28" t="n">
        <x:f>COUNTIF(Schemes!$B$7:$B$158,B101)</x:f>
        <x:v>2</x:v>
      </x:c>
      <x:c r="J101" s="28" t="n">
        <x:f>COUNTIFS(Schemes!$B$7:$B$158,B101,Schemes!$C$7:$C$158,"University-wide")</x:f>
        <x:v>0</x:v>
      </x:c>
      <x:c r="K101" s="28" t="n">
        <x:f>COUNTIFS(Schemes!$B$7:$B$158,B101,Schemes!$C$7:$C$158,"Cross-faculty")+COUNTIFS(Schemes!$B$7:$B$158,B101,Schemes!$C$7:$C$158,"Faculty/school")+COUNTIFS(Schemes!$B$7:$B$158,B101,Schemes!$C$7:$C$158,"Programme/course")</x:f>
        <x:v>2</x:v>
      </x:c>
      <x:c r="L101" s="28" t="n">
        <x:f>COUNTIFS(Schemes!$B$7:$B$158,B101,Schemes!$C$7:$C$158,"Not confirmed")</x:f>
        <x:v>0</x:v>
      </x:c>
      <x:c r="M101" s="10" t="str">
        <x:f>IF(J101&gt;0,"University-wide scheme/framework documented",IF(COUNTIFS(Schemes!$B$7:$B$158,B101,Schemes!$C$7:$C$158,"Cross-faculty")&gt;0,"Cross-faculty; broader reach unverified",IF(COUNTIFS(Schemes!$B$7:$B$158,B101,Schemes!$C$7:$C$158,"Faculty/school")&gt;0,"Faculty/school; broader reach unverified",IF(K101&gt;0,"Programme/course; broader reach unverified","Scheme documented; reach unconfirmed"))))</x:f>
        <x:v>Cross-faculty; broader reach unverified</x:v>
      </x:c>
    </x:row>
    <x:row r="102" ht="53" customHeight="1">
      <x:c r="A102" s="10" t="str">
        <x:v>France</x:v>
      </x:c>
      <x:c r="B102" s="11" t="str">
        <x:v>Paris-Saclay</x:v>
      </x:c>
      <x:c r="C102" s="10" t="str">
        <x:v>EU sample</x:v>
      </x:c>
      <x:c r="D102" s="28" t="n">
        <x:v>2027</x:v>
      </x:c>
      <x:c r="E102" s="28" t="n">
        <x:v>76</x:v>
      </x:c>
      <x:c r="F102" s="10" t="str">
        <x:v>No</x:v>
      </x:c>
      <x:c r="G102" s="10" t="str">
        <x:v>https://www.topuniversities.com/qs-top-uni-wur</x:v>
      </x:c>
      <x:c r="H102" s="10" t="str">
        <x:v>n.a.</x:v>
      </x:c>
      <x:c r="I102" s="28" t="n">
        <x:f>COUNTIF(Schemes!$B$7:$B$158,B102)</x:f>
        <x:v>1</x:v>
      </x:c>
      <x:c r="J102" s="28" t="n">
        <x:f>COUNTIFS(Schemes!$B$7:$B$158,B102,Schemes!$C$7:$C$158,"University-wide")</x:f>
        <x:v>0</x:v>
      </x:c>
      <x:c r="K102" s="28" t="n">
        <x:f>COUNTIFS(Schemes!$B$7:$B$158,B102,Schemes!$C$7:$C$158,"Cross-faculty")+COUNTIFS(Schemes!$B$7:$B$158,B102,Schemes!$C$7:$C$158,"Faculty/school")+COUNTIFS(Schemes!$B$7:$B$158,B102,Schemes!$C$7:$C$158,"Programme/course")</x:f>
        <x:v>0</x:v>
      </x:c>
      <x:c r="L102" s="28" t="n">
        <x:f>COUNTIFS(Schemes!$B$7:$B$158,B102,Schemes!$C$7:$C$158,"Not confirmed")</x:f>
        <x:v>1</x:v>
      </x:c>
      <x:c r="M102" s="10" t="str">
        <x:f>IF(J102&gt;0,"University-wide scheme/framework documented",IF(COUNTIFS(Schemes!$B$7:$B$158,B102,Schemes!$C$7:$C$158,"Cross-faculty")&gt;0,"Cross-faculty; broader reach unverified",IF(COUNTIFS(Schemes!$B$7:$B$158,B102,Schemes!$C$7:$C$158,"Faculty/school")&gt;0,"Faculty/school; broader reach unverified",IF(K102&gt;0,"Programme/course; broader reach unverified","Scheme documented; reach unconfirmed"))))</x:f>
        <x:v>Scheme documented; reach unconfirmed</x:v>
      </x:c>
    </x:row>
    <x:row r="103" ht="53" customHeight="1">
      <x:c r="A103" s="10" t="str">
        <x:v>France</x:v>
      </x:c>
      <x:c r="B103" s="11" t="str">
        <x:v>Sorbonne University</x:v>
      </x:c>
      <x:c r="C103" s="10" t="str">
        <x:v>EU sample</x:v>
      </x:c>
      <x:c r="D103" s="28" t="n">
        <x:v>2027</x:v>
      </x:c>
      <x:c r="E103" s="28" t="n">
        <x:v>73</x:v>
      </x:c>
      <x:c r="F103" s="10" t="str">
        <x:v>No</x:v>
      </x:c>
      <x:c r="G103" s="10" t="str">
        <x:v>https://www.topuniversities.com/qs-top-uni-wur</x:v>
      </x:c>
      <x:c r="H103" s="10" t="str">
        <x:v>n.a.</x:v>
      </x:c>
      <x:c r="I103" s="28" t="n">
        <x:f>COUNTIF(Schemes!$B$7:$B$158,B103)</x:f>
        <x:v>1</x:v>
      </x:c>
      <x:c r="J103" s="28" t="n">
        <x:f>COUNTIFS(Schemes!$B$7:$B$158,B103,Schemes!$C$7:$C$158,"University-wide")</x:f>
        <x:v>1</x:v>
      </x:c>
      <x:c r="K103" s="28" t="n">
        <x:f>COUNTIFS(Schemes!$B$7:$B$158,B103,Schemes!$C$7:$C$158,"Cross-faculty")+COUNTIFS(Schemes!$B$7:$B$158,B103,Schemes!$C$7:$C$158,"Faculty/school")+COUNTIFS(Schemes!$B$7:$B$158,B103,Schemes!$C$7:$C$158,"Programme/course")</x:f>
        <x:v>0</x:v>
      </x:c>
      <x:c r="L103" s="28" t="n">
        <x:f>COUNTIFS(Schemes!$B$7:$B$158,B103,Schemes!$C$7:$C$158,"Not confirmed")</x:f>
        <x:v>0</x:v>
      </x:c>
      <x:c r="M103" s="10" t="str">
        <x:f>IF(J103&gt;0,"University-wide scheme/framework documented",IF(COUNTIFS(Schemes!$B$7:$B$158,B103,Schemes!$C$7:$C$158,"Cross-faculty")&gt;0,"Cross-faculty; broader reach unverified",IF(COUNTIFS(Schemes!$B$7:$B$158,B103,Schemes!$C$7:$C$158,"Faculty/school")&gt;0,"Faculty/school; broader reach unverified",IF(K103&gt;0,"Programme/course; broader reach unverified","Scheme documented; reach unconfirmed"))))</x:f>
        <x:v>University-wide scheme/framework documented</x:v>
      </x:c>
    </x:row>
    <x:row r="104" ht="53" customHeight="1">
      <x:c r="A104" s="10" t="str">
        <x:v>France</x:v>
      </x:c>
      <x:c r="B104" s="11" t="str">
        <x:v>Institut Polytechnique de Paris</x:v>
      </x:c>
      <x:c r="C104" s="10" t="str">
        <x:v>EU sample</x:v>
      </x:c>
      <x:c r="D104" s="28" t="n">
        <x:v>2027</x:v>
      </x:c>
      <x:c r="E104" s="28" t="n">
        <x:v>43</x:v>
      </x:c>
      <x:c r="F104" s="10" t="str">
        <x:v>Yes</x:v>
      </x:c>
      <x:c r="G104" s="10" t="str">
        <x:v>https://www.topuniversities.com/qs-top-uni-wur</x:v>
      </x:c>
      <x:c r="H104" s="10" t="str">
        <x:v>n.a.</x:v>
      </x:c>
      <x:c r="I104" s="28" t="n">
        <x:f>COUNTIF(Schemes!$B$7:$B$158,B104)</x:f>
        <x:v>1</x:v>
      </x:c>
      <x:c r="J104" s="28" t="n">
        <x:f>COUNTIFS(Schemes!$B$7:$B$158,B104,Schemes!$C$7:$C$158,"University-wide")</x:f>
        <x:v>0</x:v>
      </x:c>
      <x:c r="K104" s="28" t="n">
        <x:f>COUNTIFS(Schemes!$B$7:$B$158,B104,Schemes!$C$7:$C$158,"Cross-faculty")+COUNTIFS(Schemes!$B$7:$B$158,B104,Schemes!$C$7:$C$158,"Faculty/school")+COUNTIFS(Schemes!$B$7:$B$158,B104,Schemes!$C$7:$C$158,"Programme/course")</x:f>
        <x:v>1</x:v>
      </x:c>
      <x:c r="L104" s="28" t="n">
        <x:f>COUNTIFS(Schemes!$B$7:$B$158,B104,Schemes!$C$7:$C$158,"Not confirmed")</x:f>
        <x:v>0</x:v>
      </x:c>
      <x:c r="M104" s="10" t="str">
        <x:f>IF(J104&gt;0,"University-wide scheme/framework documented",IF(COUNTIFS(Schemes!$B$7:$B$158,B104,Schemes!$C$7:$C$158,"Cross-faculty")&gt;0,"Cross-faculty; broader reach unverified",IF(COUNTIFS(Schemes!$B$7:$B$158,B104,Schemes!$C$7:$C$158,"Faculty/school")&gt;0,"Faculty/school; broader reach unverified",IF(K104&gt;0,"Programme/course; broader reach unverified","Scheme documented; reach unconfirmed"))))</x:f>
        <x:v>Programme/course; broader reach unverified</x:v>
      </x:c>
    </x:row>
    <x:row r="105" ht="53" customHeight="1">
      <x:c r="A105" s="10" t="str">
        <x:v>France</x:v>
      </x:c>
      <x:c r="B105" s="11" t="str">
        <x:v>Sciences Po</x:v>
      </x:c>
      <x:c r="C105" s="10" t="str">
        <x:v>EU sample</x:v>
      </x:c>
      <x:c r="D105" s="28" t="n">
        <x:v>2027</x:v>
      </x:c>
      <x:c r="E105" s="28" t="n">
        <x:v>354</x:v>
      </x:c>
      <x:c r="F105" s="10" t="str">
        <x:v>Yes</x:v>
      </x:c>
      <x:c r="G105" s="10" t="str">
        <x:v>https://www.topuniversities.com/universities/sciences-po</x:v>
      </x:c>
      <x:c r="H105" s="10" t="str">
        <x:v>n.a.</x:v>
      </x:c>
      <x:c r="I105" s="28" t="n">
        <x:f>COUNTIF(Schemes!$B$7:$B$158,B105)</x:f>
        <x:v>1</x:v>
      </x:c>
      <x:c r="J105" s="28" t="n">
        <x:f>COUNTIFS(Schemes!$B$7:$B$158,B105,Schemes!$C$7:$C$158,"University-wide")</x:f>
        <x:v>1</x:v>
      </x:c>
      <x:c r="K105" s="28" t="n">
        <x:f>COUNTIFS(Schemes!$B$7:$B$158,B105,Schemes!$C$7:$C$158,"Cross-faculty")+COUNTIFS(Schemes!$B$7:$B$158,B105,Schemes!$C$7:$C$158,"Faculty/school")+COUNTIFS(Schemes!$B$7:$B$158,B105,Schemes!$C$7:$C$158,"Programme/course")</x:f>
        <x:v>0</x:v>
      </x:c>
      <x:c r="L105" s="28" t="n">
        <x:f>COUNTIFS(Schemes!$B$7:$B$158,B105,Schemes!$C$7:$C$158,"Not confirmed")</x:f>
        <x:v>0</x:v>
      </x:c>
      <x:c r="M105" s="10" t="str">
        <x:f>IF(J105&gt;0,"University-wide scheme/framework documented",IF(COUNTIFS(Schemes!$B$7:$B$158,B105,Schemes!$C$7:$C$158,"Cross-faculty")&gt;0,"Cross-faculty; broader reach unverified",IF(COUNTIFS(Schemes!$B$7:$B$158,B105,Schemes!$C$7:$C$158,"Faculty/school")&gt;0,"Faculty/school; broader reach unverified",IF(K105&gt;0,"Programme/course; broader reach unverified","Scheme documented; reach unconfirmed"))))</x:f>
        <x:v>University-wide scheme/framework documented</x:v>
      </x:c>
    </x:row>
    <x:row r="106" ht="53" customHeight="1">
      <x:c r="A106" s="10" t="str">
        <x:v>Germany</x:v>
      </x:c>
      <x:c r="B106" s="11" t="str">
        <x:v>Technical University of Munich</x:v>
      </x:c>
      <x:c r="C106" s="10" t="str">
        <x:v>EU sample</x:v>
      </x:c>
      <x:c r="D106" s="28" t="n">
        <x:v>2027</x:v>
      </x:c>
      <x:c r="E106" s="28" t="n">
        <x:v>25</x:v>
      </x:c>
      <x:c r="F106" s="10" t="str">
        <x:v>No</x:v>
      </x:c>
      <x:c r="G106" s="10" t="str">
        <x:v>https://www.topuniversities.com/qs-top-uni-wur</x:v>
      </x:c>
      <x:c r="H106" s="10" t="str">
        <x:v>n.a.</x:v>
      </x:c>
      <x:c r="I106" s="28" t="n">
        <x:f>COUNTIF(Schemes!$B$7:$B$158,B106)</x:f>
        <x:v>1</x:v>
      </x:c>
      <x:c r="J106" s="28" t="n">
        <x:f>COUNTIFS(Schemes!$B$7:$B$158,B106,Schemes!$C$7:$C$158,"University-wide")</x:f>
        <x:v>1</x:v>
      </x:c>
      <x:c r="K106" s="28" t="n">
        <x:f>COUNTIFS(Schemes!$B$7:$B$158,B106,Schemes!$C$7:$C$158,"Cross-faculty")+COUNTIFS(Schemes!$B$7:$B$158,B106,Schemes!$C$7:$C$158,"Faculty/school")+COUNTIFS(Schemes!$B$7:$B$158,B106,Schemes!$C$7:$C$158,"Programme/course")</x:f>
        <x:v>0</x:v>
      </x:c>
      <x:c r="L106" s="28" t="n">
        <x:f>COUNTIFS(Schemes!$B$7:$B$158,B106,Schemes!$C$7:$C$158,"Not confirmed")</x:f>
        <x:v>0</x:v>
      </x:c>
      <x:c r="M106" s="10" t="str">
        <x:f>IF(J106&gt;0,"University-wide scheme/framework documented",IF(COUNTIFS(Schemes!$B$7:$B$158,B106,Schemes!$C$7:$C$158,"Cross-faculty")&gt;0,"Cross-faculty; broader reach unverified",IF(COUNTIFS(Schemes!$B$7:$B$158,B106,Schemes!$C$7:$C$158,"Faculty/school")&gt;0,"Faculty/school; broader reach unverified",IF(K106&gt;0,"Programme/course; broader reach unverified","Scheme documented; reach unconfirmed"))))</x:f>
        <x:v>University-wide scheme/framework documented</x:v>
      </x:c>
    </x:row>
    <x:row r="107" ht="53" customHeight="1">
      <x:c r="A107" s="10" t="str">
        <x:v>Germany</x:v>
      </x:c>
      <x:c r="B107" s="11" t="str">
        <x:v>LMU Munich</x:v>
      </x:c>
      <x:c r="C107" s="10" t="str">
        <x:v>EU sample</x:v>
      </x:c>
      <x:c r="D107" s="28" t="n">
        <x:v>2027</x:v>
      </x:c>
      <x:c r="E107" s="28" t="n">
        <x:v>61</x:v>
      </x:c>
      <x:c r="F107" s="10" t="str">
        <x:v>No</x:v>
      </x:c>
      <x:c r="G107" s="10" t="str">
        <x:v>https://www.topuniversities.com/qs-top-uni-wur</x:v>
      </x:c>
      <x:c r="H107" s="10" t="str">
        <x:v>n.a.</x:v>
      </x:c>
      <x:c r="I107" s="28" t="n">
        <x:f>COUNTIF(Schemes!$B$7:$B$158,B107)</x:f>
        <x:v>2</x:v>
      </x:c>
      <x:c r="J107" s="28" t="n">
        <x:f>COUNTIFS(Schemes!$B$7:$B$158,B107,Schemes!$C$7:$C$158,"University-wide")</x:f>
        <x:v>1</x:v>
      </x:c>
      <x:c r="K107" s="28" t="n">
        <x:f>COUNTIFS(Schemes!$B$7:$B$158,B107,Schemes!$C$7:$C$158,"Cross-faculty")+COUNTIFS(Schemes!$B$7:$B$158,B107,Schemes!$C$7:$C$158,"Faculty/school")+COUNTIFS(Schemes!$B$7:$B$158,B107,Schemes!$C$7:$C$158,"Programme/course")</x:f>
        <x:v>1</x:v>
      </x:c>
      <x:c r="L107" s="28" t="n">
        <x:f>COUNTIFS(Schemes!$B$7:$B$158,B107,Schemes!$C$7:$C$158,"Not confirmed")</x:f>
        <x:v>0</x:v>
      </x:c>
      <x:c r="M107" s="10" t="str">
        <x:f>IF(J107&gt;0,"University-wide scheme/framework documented",IF(COUNTIFS(Schemes!$B$7:$B$158,B107,Schemes!$C$7:$C$158,"Cross-faculty")&gt;0,"Cross-faculty; broader reach unverified",IF(COUNTIFS(Schemes!$B$7:$B$158,B107,Schemes!$C$7:$C$158,"Faculty/school")&gt;0,"Faculty/school; broader reach unverified",IF(K107&gt;0,"Programme/course; broader reach unverified","Scheme documented; reach unconfirmed"))))</x:f>
        <x:v>University-wide scheme/framework documented</x:v>
      </x:c>
    </x:row>
    <x:row r="108" ht="53" customHeight="1">
      <x:c r="A108" s="10" t="str">
        <x:v>Germany</x:v>
      </x:c>
      <x:c r="B108" s="11" t="str">
        <x:v>Heidelberg</x:v>
      </x:c>
      <x:c r="C108" s="10" t="str">
        <x:v>EU sample</x:v>
      </x:c>
      <x:c r="D108" s="28" t="n">
        <x:v>2027</x:v>
      </x:c>
      <x:c r="E108" s="28" t="n">
        <x:v>86</x:v>
      </x:c>
      <x:c r="F108" s="10" t="str">
        <x:v>No</x:v>
      </x:c>
      <x:c r="G108" s="10" t="str">
        <x:v>https://www.topuniversities.com/qs-top-uni-wur</x:v>
      </x:c>
      <x:c r="H108" s="10" t="str">
        <x:v>n.a.</x:v>
      </x:c>
      <x:c r="I108" s="28" t="n">
        <x:f>COUNTIF(Schemes!$B$7:$B$158,B108)</x:f>
        <x:v>1</x:v>
      </x:c>
      <x:c r="J108" s="28" t="n">
        <x:f>COUNTIFS(Schemes!$B$7:$B$158,B108,Schemes!$C$7:$C$158,"University-wide")</x:f>
        <x:v>1</x:v>
      </x:c>
      <x:c r="K108" s="28" t="n">
        <x:f>COUNTIFS(Schemes!$B$7:$B$158,B108,Schemes!$C$7:$C$158,"Cross-faculty")+COUNTIFS(Schemes!$B$7:$B$158,B108,Schemes!$C$7:$C$158,"Faculty/school")+COUNTIFS(Schemes!$B$7:$B$158,B108,Schemes!$C$7:$C$158,"Programme/course")</x:f>
        <x:v>0</x:v>
      </x:c>
      <x:c r="L108" s="28" t="n">
        <x:f>COUNTIFS(Schemes!$B$7:$B$158,B108,Schemes!$C$7:$C$158,"Not confirmed")</x:f>
        <x:v>0</x:v>
      </x:c>
      <x:c r="M108" s="10" t="str">
        <x:f>IF(J108&gt;0,"University-wide scheme/framework documented",IF(COUNTIFS(Schemes!$B$7:$B$158,B108,Schemes!$C$7:$C$158,"Cross-faculty")&gt;0,"Cross-faculty; broader reach unverified",IF(COUNTIFS(Schemes!$B$7:$B$158,B108,Schemes!$C$7:$C$158,"Faculty/school")&gt;0,"Faculty/school; broader reach unverified",IF(K108&gt;0,"Programme/course; broader reach unverified","Scheme documented; reach unconfirmed"))))</x:f>
        <x:v>University-wide scheme/framework documented</x:v>
      </x:c>
    </x:row>
    <x:row r="109" ht="53" customHeight="1">
      <x:c r="A109" s="10" t="str">
        <x:v>Germany</x:v>
      </x:c>
      <x:c r="B109" s="11" t="str">
        <x:v>RWTH Aachen</x:v>
      </x:c>
      <x:c r="C109" s="10" t="str">
        <x:v>EU sample</x:v>
      </x:c>
      <x:c r="D109" s="28" t="n">
        <x:v>2027</x:v>
      </x:c>
      <x:c r="E109" s="28" t="n">
        <x:v>104</x:v>
      </x:c>
      <x:c r="F109" s="10" t="str">
        <x:v>No</x:v>
      </x:c>
      <x:c r="G109" s="10" t="str">
        <x:v>https://www.topuniversities.com/qs-top-uni-wur</x:v>
      </x:c>
      <x:c r="H109" s="10" t="str">
        <x:v>n.a.</x:v>
      </x:c>
      <x:c r="I109" s="28" t="n">
        <x:f>COUNTIF(Schemes!$B$7:$B$158,B109)</x:f>
        <x:v>1</x:v>
      </x:c>
      <x:c r="J109" s="28" t="n">
        <x:f>COUNTIFS(Schemes!$B$7:$B$158,B109,Schemes!$C$7:$C$158,"University-wide")</x:f>
        <x:v>1</x:v>
      </x:c>
      <x:c r="K109" s="28" t="n">
        <x:f>COUNTIFS(Schemes!$B$7:$B$158,B109,Schemes!$C$7:$C$158,"Cross-faculty")+COUNTIFS(Schemes!$B$7:$B$158,B109,Schemes!$C$7:$C$158,"Faculty/school")+COUNTIFS(Schemes!$B$7:$B$158,B109,Schemes!$C$7:$C$158,"Programme/course")</x:f>
        <x:v>0</x:v>
      </x:c>
      <x:c r="L109" s="28" t="n">
        <x:f>COUNTIFS(Schemes!$B$7:$B$158,B109,Schemes!$C$7:$C$158,"Not confirmed")</x:f>
        <x:v>0</x:v>
      </x:c>
      <x:c r="M109" s="10" t="str">
        <x:f>IF(J109&gt;0,"University-wide scheme/framework documented",IF(COUNTIFS(Schemes!$B$7:$B$158,B109,Schemes!$C$7:$C$158,"Cross-faculty")&gt;0,"Cross-faculty; broader reach unverified",IF(COUNTIFS(Schemes!$B$7:$B$158,B109,Schemes!$C$7:$C$158,"Faculty/school")&gt;0,"Faculty/school; broader reach unverified",IF(K109&gt;0,"Programme/course; broader reach unverified","Scheme documented; reach unconfirmed"))))</x:f>
        <x:v>University-wide scheme/framework documented</x:v>
      </x:c>
    </x:row>
    <x:row r="110" ht="53" customHeight="1">
      <x:c r="A110" s="10" t="str">
        <x:v>Germany</x:v>
      </x:c>
      <x:c r="B110" s="11" t="str">
        <x:v>Karlsruhe Institute of Technology</x:v>
      </x:c>
      <x:c r="C110" s="10" t="str">
        <x:v>EU sample</x:v>
      </x:c>
      <x:c r="D110" s="28" t="n">
        <x:v>2027</x:v>
      </x:c>
      <x:c r="E110" s="28" t="n">
        <x:v>110</x:v>
      </x:c>
      <x:c r="F110" s="10" t="str">
        <x:v>No</x:v>
      </x:c>
      <x:c r="G110" s="10" t="str">
        <x:v>https://www.topuniversities.com/qs-top-uni-wur</x:v>
      </x:c>
      <x:c r="H110" s="10" t="str">
        <x:v>n.a.</x:v>
      </x:c>
      <x:c r="I110" s="28" t="n">
        <x:f>COUNTIF(Schemes!$B$7:$B$158,B110)</x:f>
        <x:v>1</x:v>
      </x:c>
      <x:c r="J110" s="28" t="n">
        <x:f>COUNTIFS(Schemes!$B$7:$B$158,B110,Schemes!$C$7:$C$158,"University-wide")</x:f>
        <x:v>1</x:v>
      </x:c>
      <x:c r="K110" s="28" t="n">
        <x:f>COUNTIFS(Schemes!$B$7:$B$158,B110,Schemes!$C$7:$C$158,"Cross-faculty")+COUNTIFS(Schemes!$B$7:$B$158,B110,Schemes!$C$7:$C$158,"Faculty/school")+COUNTIFS(Schemes!$B$7:$B$158,B110,Schemes!$C$7:$C$158,"Programme/course")</x:f>
        <x:v>0</x:v>
      </x:c>
      <x:c r="L110" s="28" t="n">
        <x:f>COUNTIFS(Schemes!$B$7:$B$158,B110,Schemes!$C$7:$C$158,"Not confirmed")</x:f>
        <x:v>0</x:v>
      </x:c>
      <x:c r="M110" s="10" t="str">
        <x:f>IF(J110&gt;0,"University-wide scheme/framework documented",IF(COUNTIFS(Schemes!$B$7:$B$158,B110,Schemes!$C$7:$C$158,"Cross-faculty")&gt;0,"Cross-faculty; broader reach unverified",IF(COUNTIFS(Schemes!$B$7:$B$158,B110,Schemes!$C$7:$C$158,"Faculty/school")&gt;0,"Faculty/school; broader reach unverified",IF(K110&gt;0,"Programme/course; broader reach unverified","Scheme documented; reach unconfirmed"))))</x:f>
        <x:v>University-wide scheme/framework documented</x:v>
      </x:c>
    </x:row>
    <x:row r="111" ht="53" customHeight="1">
      <x:c r="A111" s="10" t="str">
        <x:v>Germany</x:v>
      </x:c>
      <x:c r="B111" s="11" t="str">
        <x:v>Humboldt Berlin</x:v>
      </x:c>
      <x:c r="C111" s="10" t="str">
        <x:v>EU sample</x:v>
      </x:c>
      <x:c r="D111" s="28" t="n">
        <x:v>2027</x:v>
      </x:c>
      <x:c r="E111" s="28" t="n">
        <x:v>140</x:v>
      </x:c>
      <x:c r="F111" s="10" t="str">
        <x:v>Yes</x:v>
      </x:c>
      <x:c r="G111" s="10" t="str">
        <x:v>https://www.topuniversities.com/qs-top-uni-wur</x:v>
      </x:c>
      <x:c r="H111" s="10" t="str">
        <x:v>n.a.</x:v>
      </x:c>
      <x:c r="I111" s="28" t="n">
        <x:f>COUNTIF(Schemes!$B$7:$B$158,B111)</x:f>
        <x:v>1</x:v>
      </x:c>
      <x:c r="J111" s="28" t="n">
        <x:f>COUNTIFS(Schemes!$B$7:$B$158,B111,Schemes!$C$7:$C$158,"University-wide")</x:f>
        <x:v>1</x:v>
      </x:c>
      <x:c r="K111" s="28" t="n">
        <x:f>COUNTIFS(Schemes!$B$7:$B$158,B111,Schemes!$C$7:$C$158,"Cross-faculty")+COUNTIFS(Schemes!$B$7:$B$158,B111,Schemes!$C$7:$C$158,"Faculty/school")+COUNTIFS(Schemes!$B$7:$B$158,B111,Schemes!$C$7:$C$158,"Programme/course")</x:f>
        <x:v>0</x:v>
      </x:c>
      <x:c r="L111" s="28" t="n">
        <x:f>COUNTIFS(Schemes!$B$7:$B$158,B111,Schemes!$C$7:$C$158,"Not confirmed")</x:f>
        <x:v>0</x:v>
      </x:c>
      <x:c r="M111" s="10" t="str">
        <x:f>IF(J111&gt;0,"University-wide scheme/framework documented",IF(COUNTIFS(Schemes!$B$7:$B$158,B111,Schemes!$C$7:$C$158,"Cross-faculty")&gt;0,"Cross-faculty; broader reach unverified",IF(COUNTIFS(Schemes!$B$7:$B$158,B111,Schemes!$C$7:$C$158,"Faculty/school")&gt;0,"Faculty/school; broader reach unverified",IF(K111&gt;0,"Programme/course; broader reach unverified","Scheme documented; reach unconfirmed"))))</x:f>
        <x:v>University-wide scheme/framework documented</x:v>
      </x:c>
    </x:row>
    <x:row r="112" ht="53" customHeight="1">
      <x:c r="A112" s="10" t="str">
        <x:v>Netherlands</x:v>
      </x:c>
      <x:c r="B112" s="11" t="str">
        <x:v>Delft University of Technology</x:v>
      </x:c>
      <x:c r="C112" s="10" t="str">
        <x:v>EU sample</x:v>
      </x:c>
      <x:c r="D112" s="28" t="n">
        <x:v>2027</x:v>
      </x:c>
      <x:c r="E112" s="28" t="n">
        <x:v>48</x:v>
      </x:c>
      <x:c r="F112" s="10" t="str">
        <x:v>No</x:v>
      </x:c>
      <x:c r="G112" s="10" t="str">
        <x:v>https://www.topuniversities.com/qs-top-uni-wur</x:v>
      </x:c>
      <x:c r="H112" s="10" t="str">
        <x:v>n.a.</x:v>
      </x:c>
      <x:c r="I112" s="28" t="n">
        <x:f>COUNTIF(Schemes!$B$7:$B$158,B112)</x:f>
        <x:v>1</x:v>
      </x:c>
      <x:c r="J112" s="28" t="n">
        <x:f>COUNTIFS(Schemes!$B$7:$B$158,B112,Schemes!$C$7:$C$158,"University-wide")</x:f>
        <x:v>1</x:v>
      </x:c>
      <x:c r="K112" s="28" t="n">
        <x:f>COUNTIFS(Schemes!$B$7:$B$158,B112,Schemes!$C$7:$C$158,"Cross-faculty")+COUNTIFS(Schemes!$B$7:$B$158,B112,Schemes!$C$7:$C$158,"Faculty/school")+COUNTIFS(Schemes!$B$7:$B$158,B112,Schemes!$C$7:$C$158,"Programme/course")</x:f>
        <x:v>0</x:v>
      </x:c>
      <x:c r="L112" s="28" t="n">
        <x:f>COUNTIFS(Schemes!$B$7:$B$158,B112,Schemes!$C$7:$C$158,"Not confirmed")</x:f>
        <x:v>0</x:v>
      </x:c>
      <x:c r="M112" s="10" t="str">
        <x:f>IF(J112&gt;0,"University-wide scheme/framework documented",IF(COUNTIFS(Schemes!$B$7:$B$158,B112,Schemes!$C$7:$C$158,"Cross-faculty")&gt;0,"Cross-faculty; broader reach unverified",IF(COUNTIFS(Schemes!$B$7:$B$158,B112,Schemes!$C$7:$C$158,"Faculty/school")&gt;0,"Faculty/school; broader reach unverified",IF(K112&gt;0,"Programme/course; broader reach unverified","Scheme documented; reach unconfirmed"))))</x:f>
        <x:v>University-wide scheme/framework documented</x:v>
      </x:c>
    </x:row>
    <x:row r="113" ht="53" customHeight="1">
      <x:c r="A113" s="10" t="str">
        <x:v>Netherlands</x:v>
      </x:c>
      <x:c r="B113" s="11" t="str">
        <x:v>Amsterdam</x:v>
      </x:c>
      <x:c r="C113" s="10" t="str">
        <x:v>EU sample</x:v>
      </x:c>
      <x:c r="D113" s="28" t="n">
        <x:v>2027</x:v>
      </x:c>
      <x:c r="E113" s="28" t="n">
        <x:v>60</x:v>
      </x:c>
      <x:c r="F113" s="10" t="str">
        <x:v>No</x:v>
      </x:c>
      <x:c r="G113" s="10" t="str">
        <x:v>https://www.topuniversities.com/qs-top-uni-wur</x:v>
      </x:c>
      <x:c r="H113" s="10" t="str">
        <x:v>n.a.</x:v>
      </x:c>
      <x:c r="I113" s="28" t="n">
        <x:f>COUNTIF(Schemes!$B$7:$B$158,B113)</x:f>
        <x:v>1</x:v>
      </x:c>
      <x:c r="J113" s="28" t="n">
        <x:f>COUNTIFS(Schemes!$B$7:$B$158,B113,Schemes!$C$7:$C$158,"University-wide")</x:f>
        <x:v>1</x:v>
      </x:c>
      <x:c r="K113" s="28" t="n">
        <x:f>COUNTIFS(Schemes!$B$7:$B$158,B113,Schemes!$C$7:$C$158,"Cross-faculty")+COUNTIFS(Schemes!$B$7:$B$158,B113,Schemes!$C$7:$C$158,"Faculty/school")+COUNTIFS(Schemes!$B$7:$B$158,B113,Schemes!$C$7:$C$158,"Programme/course")</x:f>
        <x:v>0</x:v>
      </x:c>
      <x:c r="L113" s="28" t="n">
        <x:f>COUNTIFS(Schemes!$B$7:$B$158,B113,Schemes!$C$7:$C$158,"Not confirmed")</x:f>
        <x:v>0</x:v>
      </x:c>
      <x:c r="M113" s="10" t="str">
        <x:f>IF(J113&gt;0,"University-wide scheme/framework documented",IF(COUNTIFS(Schemes!$B$7:$B$158,B113,Schemes!$C$7:$C$158,"Cross-faculty")&gt;0,"Cross-faculty; broader reach unverified",IF(COUNTIFS(Schemes!$B$7:$B$158,B113,Schemes!$C$7:$C$158,"Faculty/school")&gt;0,"Faculty/school; broader reach unverified",IF(K113&gt;0,"Programme/course; broader reach unverified","Scheme documented; reach unconfirmed"))))</x:f>
        <x:v>University-wide scheme/framework documented</x:v>
      </x:c>
    </x:row>
    <x:row r="114" ht="53" customHeight="1">
      <x:c r="A114" s="10" t="str">
        <x:v>Netherlands</x:v>
      </x:c>
      <x:c r="B114" s="11" t="str">
        <x:v>Utrecht</x:v>
      </x:c>
      <x:c r="C114" s="10" t="str">
        <x:v>EU sample</x:v>
      </x:c>
      <x:c r="D114" s="28" t="n">
        <x:v>2027</x:v>
      </x:c>
      <x:c r="E114" s="28" t="n">
        <x:v>113</x:v>
      </x:c>
      <x:c r="F114" s="10" t="str">
        <x:v>Yes</x:v>
      </x:c>
      <x:c r="G114" s="10" t="str">
        <x:v>https://www.topuniversities.com/qs-top-uni-wur</x:v>
      </x:c>
      <x:c r="H114" s="10" t="str">
        <x:v>n.a.</x:v>
      </x:c>
      <x:c r="I114" s="28" t="n">
        <x:f>COUNTIF(Schemes!$B$7:$B$158,B114)</x:f>
        <x:v>1</x:v>
      </x:c>
      <x:c r="J114" s="28" t="n">
        <x:f>COUNTIFS(Schemes!$B$7:$B$158,B114,Schemes!$C$7:$C$158,"University-wide")</x:f>
        <x:v>1</x:v>
      </x:c>
      <x:c r="K114" s="28" t="n">
        <x:f>COUNTIFS(Schemes!$B$7:$B$158,B114,Schemes!$C$7:$C$158,"Cross-faculty")+COUNTIFS(Schemes!$B$7:$B$158,B114,Schemes!$C$7:$C$158,"Faculty/school")+COUNTIFS(Schemes!$B$7:$B$158,B114,Schemes!$C$7:$C$158,"Programme/course")</x:f>
        <x:v>0</x:v>
      </x:c>
      <x:c r="L114" s="28" t="n">
        <x:f>COUNTIFS(Schemes!$B$7:$B$158,B114,Schemes!$C$7:$C$158,"Not confirmed")</x:f>
        <x:v>0</x:v>
      </x:c>
      <x:c r="M114" s="10" t="str">
        <x:f>IF(J114&gt;0,"University-wide scheme/framework documented",IF(COUNTIFS(Schemes!$B$7:$B$158,B114,Schemes!$C$7:$C$158,"Cross-faculty")&gt;0,"Cross-faculty; broader reach unverified",IF(COUNTIFS(Schemes!$B$7:$B$158,B114,Schemes!$C$7:$C$158,"Faculty/school")&gt;0,"Faculty/school; broader reach unverified",IF(K114&gt;0,"Programme/course; broader reach unverified","Scheme documented; reach unconfirmed"))))</x:f>
        <x:v>University-wide scheme/framework documented</x:v>
      </x:c>
    </x:row>
    <x:row r="115" ht="53" customHeight="1">
      <x:c r="A115" s="10" t="str">
        <x:v>Netherlands</x:v>
      </x:c>
      <x:c r="B115" s="11" t="str">
        <x:v>Leiden</x:v>
      </x:c>
      <x:c r="C115" s="10" t="str">
        <x:v>EU sample</x:v>
      </x:c>
      <x:c r="D115" s="28" t="n">
        <x:v>2027</x:v>
      </x:c>
      <x:c r="E115" s="28" t="n">
        <x:v>119</x:v>
      </x:c>
      <x:c r="F115" s="10" t="str">
        <x:v>Yes</x:v>
      </x:c>
      <x:c r="G115" s="10" t="str">
        <x:v>https://www.topuniversities.com/qs-top-uni-wur</x:v>
      </x:c>
      <x:c r="H115" s="10" t="str">
        <x:v>n.a.</x:v>
      </x:c>
      <x:c r="I115" s="28" t="n">
        <x:f>COUNTIF(Schemes!$B$7:$B$158,B115)</x:f>
        <x:v>1</x:v>
      </x:c>
      <x:c r="J115" s="28" t="n">
        <x:f>COUNTIFS(Schemes!$B$7:$B$158,B115,Schemes!$C$7:$C$158,"University-wide")</x:f>
        <x:v>1</x:v>
      </x:c>
      <x:c r="K115" s="28" t="n">
        <x:f>COUNTIFS(Schemes!$B$7:$B$158,B115,Schemes!$C$7:$C$158,"Cross-faculty")+COUNTIFS(Schemes!$B$7:$B$158,B115,Schemes!$C$7:$C$158,"Faculty/school")+COUNTIFS(Schemes!$B$7:$B$158,B115,Schemes!$C$7:$C$158,"Programme/course")</x:f>
        <x:v>0</x:v>
      </x:c>
      <x:c r="L115" s="28" t="n">
        <x:f>COUNTIFS(Schemes!$B$7:$B$158,B115,Schemes!$C$7:$C$158,"Not confirmed")</x:f>
        <x:v>0</x:v>
      </x:c>
      <x:c r="M115" s="10" t="str">
        <x:f>IF(J115&gt;0,"University-wide scheme/framework documented",IF(COUNTIFS(Schemes!$B$7:$B$158,B115,Schemes!$C$7:$C$158,"Cross-faculty")&gt;0,"Cross-faculty; broader reach unverified",IF(COUNTIFS(Schemes!$B$7:$B$158,B115,Schemes!$C$7:$C$158,"Faculty/school")&gt;0,"Faculty/school; broader reach unverified",IF(K115&gt;0,"Programme/course; broader reach unverified","Scheme documented; reach unconfirmed"))))</x:f>
        <x:v>University-wide scheme/framework documented</x:v>
      </x:c>
    </x:row>
    <x:row r="116" ht="53" customHeight="1">
      <x:c r="A116" s="10" t="str">
        <x:v>Netherlands</x:v>
      </x:c>
      <x:c r="B116" s="11" t="str">
        <x:v>Wageningen</x:v>
      </x:c>
      <x:c r="C116" s="10" t="str">
        <x:v>EU sample</x:v>
      </x:c>
      <x:c r="D116" s="28" t="n">
        <x:v>2027</x:v>
      </x:c>
      <x:c r="E116" s="28" t="n">
        <x:v>154</x:v>
      </x:c>
      <x:c r="F116" s="10" t="str">
        <x:v>No</x:v>
      </x:c>
      <x:c r="G116" s="10" t="str">
        <x:v>https://www.topuniversities.com/qs-top-uni-wur</x:v>
      </x:c>
      <x:c r="H116" s="10" t="str">
        <x:v>n.a.</x:v>
      </x:c>
      <x:c r="I116" s="28" t="n">
        <x:f>COUNTIF(Schemes!$B$7:$B$158,B116)</x:f>
        <x:v>1</x:v>
      </x:c>
      <x:c r="J116" s="28" t="n">
        <x:f>COUNTIFS(Schemes!$B$7:$B$158,B116,Schemes!$C$7:$C$158,"University-wide")</x:f>
        <x:v>1</x:v>
      </x:c>
      <x:c r="K116" s="28" t="n">
        <x:f>COUNTIFS(Schemes!$B$7:$B$158,B116,Schemes!$C$7:$C$158,"Cross-faculty")+COUNTIFS(Schemes!$B$7:$B$158,B116,Schemes!$C$7:$C$158,"Faculty/school")+COUNTIFS(Schemes!$B$7:$B$158,B116,Schemes!$C$7:$C$158,"Programme/course")</x:f>
        <x:v>0</x:v>
      </x:c>
      <x:c r="L116" s="28" t="n">
        <x:f>COUNTIFS(Schemes!$B$7:$B$158,B116,Schemes!$C$7:$C$158,"Not confirmed")</x:f>
        <x:v>0</x:v>
      </x:c>
      <x:c r="M116" s="10" t="str">
        <x:f>IF(J116&gt;0,"University-wide scheme/framework documented",IF(COUNTIFS(Schemes!$B$7:$B$158,B116,Schemes!$C$7:$C$158,"Cross-faculty")&gt;0,"Cross-faculty; broader reach unverified",IF(COUNTIFS(Schemes!$B$7:$B$158,B116,Schemes!$C$7:$C$158,"Faculty/school")&gt;0,"Faculty/school; broader reach unverified",IF(K116&gt;0,"Programme/course; broader reach unverified","Scheme documented; reach unconfirmed"))))</x:f>
        <x:v>University-wide scheme/framework documented</x:v>
      </x:c>
    </x:row>
    <x:row r="117" ht="53" customHeight="1">
      <x:c r="A117" s="10" t="str">
        <x:v>Belgium</x:v>
      </x:c>
      <x:c r="B117" s="11" t="str">
        <x:v>KU Leuven</x:v>
      </x:c>
      <x:c r="C117" s="10" t="str">
        <x:v>EU sample</x:v>
      </x:c>
      <x:c r="D117" s="28" t="n">
        <x:v>2027</x:v>
      </x:c>
      <x:c r="E117" s="28" t="n">
        <x:v>59</x:v>
      </x:c>
      <x:c r="F117" s="10" t="str">
        <x:v>No</x:v>
      </x:c>
      <x:c r="G117" s="10" t="str">
        <x:v>https://www.topuniversities.com/qs-top-uni-wur</x:v>
      </x:c>
      <x:c r="H117" s="10" t="str">
        <x:v>n.a.</x:v>
      </x:c>
      <x:c r="I117" s="28" t="n">
        <x:f>COUNTIF(Schemes!$B$7:$B$158,B117)</x:f>
        <x:v>1</x:v>
      </x:c>
      <x:c r="J117" s="28" t="n">
        <x:f>COUNTIFS(Schemes!$B$7:$B$158,B117,Schemes!$C$7:$C$158,"University-wide")</x:f>
        <x:v>1</x:v>
      </x:c>
      <x:c r="K117" s="28" t="n">
        <x:f>COUNTIFS(Schemes!$B$7:$B$158,B117,Schemes!$C$7:$C$158,"Cross-faculty")+COUNTIFS(Schemes!$B$7:$B$158,B117,Schemes!$C$7:$C$158,"Faculty/school")+COUNTIFS(Schemes!$B$7:$B$158,B117,Schemes!$C$7:$C$158,"Programme/course")</x:f>
        <x:v>0</x:v>
      </x:c>
      <x:c r="L117" s="28" t="n">
        <x:f>COUNTIFS(Schemes!$B$7:$B$158,B117,Schemes!$C$7:$C$158,"Not confirmed")</x:f>
        <x:v>0</x:v>
      </x:c>
      <x:c r="M117" s="10" t="str">
        <x:f>IF(J117&gt;0,"University-wide scheme/framework documented",IF(COUNTIFS(Schemes!$B$7:$B$158,B117,Schemes!$C$7:$C$158,"Cross-faculty")&gt;0,"Cross-faculty; broader reach unverified",IF(COUNTIFS(Schemes!$B$7:$B$158,B117,Schemes!$C$7:$C$158,"Faculty/school")&gt;0,"Faculty/school; broader reach unverified",IF(K117&gt;0,"Programme/course; broader reach unverified","Scheme documented; reach unconfirmed"))))</x:f>
        <x:v>University-wide scheme/framework documented</x:v>
      </x:c>
    </x:row>
    <x:row r="118" ht="53" customHeight="1">
      <x:c r="A118" s="10" t="str">
        <x:v>Belgium</x:v>
      </x:c>
      <x:c r="B118" s="11" t="str">
        <x:v>Ghent</x:v>
      </x:c>
      <x:c r="C118" s="10" t="str">
        <x:v>EU sample</x:v>
      </x:c>
      <x:c r="D118" s="28" t="n">
        <x:v>2027</x:v>
      </x:c>
      <x:c r="E118" s="28" t="n">
        <x:v>150</x:v>
      </x:c>
      <x:c r="F118" s="10" t="str">
        <x:v>Yes</x:v>
      </x:c>
      <x:c r="G118" s="10" t="str">
        <x:v>https://www.topuniversities.com/qs-top-uni-wur</x:v>
      </x:c>
      <x:c r="H118" s="10" t="str">
        <x:v>n.a.</x:v>
      </x:c>
      <x:c r="I118" s="28" t="n">
        <x:f>COUNTIF(Schemes!$B$7:$B$158,B118)</x:f>
        <x:v>2</x:v>
      </x:c>
      <x:c r="J118" s="28" t="n">
        <x:f>COUNTIFS(Schemes!$B$7:$B$158,B118,Schemes!$C$7:$C$158,"University-wide")</x:f>
        <x:v>1</x:v>
      </x:c>
      <x:c r="K118" s="28" t="n">
        <x:f>COUNTIFS(Schemes!$B$7:$B$158,B118,Schemes!$C$7:$C$158,"Cross-faculty")+COUNTIFS(Schemes!$B$7:$B$158,B118,Schemes!$C$7:$C$158,"Faculty/school")+COUNTIFS(Schemes!$B$7:$B$158,B118,Schemes!$C$7:$C$158,"Programme/course")</x:f>
        <x:v>1</x:v>
      </x:c>
      <x:c r="L118" s="28" t="n">
        <x:f>COUNTIFS(Schemes!$B$7:$B$158,B118,Schemes!$C$7:$C$158,"Not confirmed")</x:f>
        <x:v>0</x:v>
      </x:c>
      <x:c r="M118" s="10" t="str">
        <x:f>IF(J118&gt;0,"University-wide scheme/framework documented",IF(COUNTIFS(Schemes!$B$7:$B$158,B118,Schemes!$C$7:$C$158,"Cross-faculty")&gt;0,"Cross-faculty; broader reach unverified",IF(COUNTIFS(Schemes!$B$7:$B$158,B118,Schemes!$C$7:$C$158,"Faculty/school")&gt;0,"Faculty/school; broader reach unverified",IF(K118&gt;0,"Programme/course; broader reach unverified","Scheme documented; reach unconfirmed"))))</x:f>
        <x:v>University-wide scheme/framework documented</x:v>
      </x:c>
    </x:row>
    <x:row r="119" ht="53" customHeight="1">
      <x:c r="A119" s="10" t="str">
        <x:v>Ireland</x:v>
      </x:c>
      <x:c r="B119" s="11" t="str">
        <x:v>Trinity College Dublin</x:v>
      </x:c>
      <x:c r="C119" s="10" t="str">
        <x:v>EU sample</x:v>
      </x:c>
      <x:c r="D119" s="28" t="n">
        <x:v>2027</x:v>
      </x:c>
      <x:c r="E119" s="28" t="n">
        <x:v>75</x:v>
      </x:c>
      <x:c r="F119" s="10" t="str">
        <x:v>No</x:v>
      </x:c>
      <x:c r="G119" s="10" t="str">
        <x:v>https://www.topuniversities.com/qs-top-uni-wur</x:v>
      </x:c>
      <x:c r="H119" s="10" t="str">
        <x:v>n.a.</x:v>
      </x:c>
      <x:c r="I119" s="28" t="n">
        <x:f>COUNTIF(Schemes!$B$7:$B$158,B119)</x:f>
        <x:v>1</x:v>
      </x:c>
      <x:c r="J119" s="28" t="n">
        <x:f>COUNTIFS(Schemes!$B$7:$B$158,B119,Schemes!$C$7:$C$158,"University-wide")</x:f>
        <x:v>1</x:v>
      </x:c>
      <x:c r="K119" s="28" t="n">
        <x:f>COUNTIFS(Schemes!$B$7:$B$158,B119,Schemes!$C$7:$C$158,"Cross-faculty")+COUNTIFS(Schemes!$B$7:$B$158,B119,Schemes!$C$7:$C$158,"Faculty/school")+COUNTIFS(Schemes!$B$7:$B$158,B119,Schemes!$C$7:$C$158,"Programme/course")</x:f>
        <x:v>0</x:v>
      </x:c>
      <x:c r="L119" s="28" t="n">
        <x:f>COUNTIFS(Schemes!$B$7:$B$158,B119,Schemes!$C$7:$C$158,"Not confirmed")</x:f>
        <x:v>0</x:v>
      </x:c>
      <x:c r="M119" s="10" t="str">
        <x:f>IF(J119&gt;0,"University-wide scheme/framework documented",IF(COUNTIFS(Schemes!$B$7:$B$158,B119,Schemes!$C$7:$C$158,"Cross-faculty")&gt;0,"Cross-faculty; broader reach unverified",IF(COUNTIFS(Schemes!$B$7:$B$158,B119,Schemes!$C$7:$C$158,"Faculty/school")&gt;0,"Faculty/school; broader reach unverified",IF(K119&gt;0,"Programme/course; broader reach unverified","Scheme documented; reach unconfirmed"))))</x:f>
        <x:v>University-wide scheme/framework documented</x:v>
      </x:c>
    </x:row>
    <x:row r="120" ht="53" customHeight="1">
      <x:c r="A120" s="10" t="str">
        <x:v>Ireland</x:v>
      </x:c>
      <x:c r="B120" s="11" t="str">
        <x:v>University College Dublin</x:v>
      </x:c>
      <x:c r="C120" s="10" t="str">
        <x:v>EU sample</x:v>
      </x:c>
      <x:c r="D120" s="28" t="n">
        <x:v>2027</x:v>
      </x:c>
      <x:c r="E120" s="28" t="n">
        <x:v>100</x:v>
      </x:c>
      <x:c r="F120" s="10" t="str">
        <x:v>Yes</x:v>
      </x:c>
      <x:c r="G120" s="10" t="str">
        <x:v>https://www.topuniversities.com/qs-top-uni-wur</x:v>
      </x:c>
      <x:c r="H120" s="10" t="str">
        <x:v>n.a.</x:v>
      </x:c>
      <x:c r="I120" s="28" t="n">
        <x:f>COUNTIF(Schemes!$B$7:$B$158,B120)</x:f>
        <x:v>1</x:v>
      </x:c>
      <x:c r="J120" s="28" t="n">
        <x:f>COUNTIFS(Schemes!$B$7:$B$158,B120,Schemes!$C$7:$C$158,"University-wide")</x:f>
        <x:v>1</x:v>
      </x:c>
      <x:c r="K120" s="28" t="n">
        <x:f>COUNTIFS(Schemes!$B$7:$B$158,B120,Schemes!$C$7:$C$158,"Cross-faculty")+COUNTIFS(Schemes!$B$7:$B$158,B120,Schemes!$C$7:$C$158,"Faculty/school")+COUNTIFS(Schemes!$B$7:$B$158,B120,Schemes!$C$7:$C$158,"Programme/course")</x:f>
        <x:v>0</x:v>
      </x:c>
      <x:c r="L120" s="28" t="n">
        <x:f>COUNTIFS(Schemes!$B$7:$B$158,B120,Schemes!$C$7:$C$158,"Not confirmed")</x:f>
        <x:v>0</x:v>
      </x:c>
      <x:c r="M120" s="10" t="str">
        <x:f>IF(J120&gt;0,"University-wide scheme/framework documented",IF(COUNTIFS(Schemes!$B$7:$B$158,B120,Schemes!$C$7:$C$158,"Cross-faculty")&gt;0,"Cross-faculty; broader reach unverified",IF(COUNTIFS(Schemes!$B$7:$B$158,B120,Schemes!$C$7:$C$158,"Faculty/school")&gt;0,"Faculty/school; broader reach unverified",IF(K120&gt;0,"Programme/course; broader reach unverified","Scheme documented; reach unconfirmed"))))</x:f>
        <x:v>University-wide scheme/framework documented</x:v>
      </x:c>
    </x:row>
    <x:row r="121" ht="53" customHeight="1">
      <x:c r="A121" s="10" t="str">
        <x:v>Denmark</x:v>
      </x:c>
      <x:c r="B121" s="11" t="str">
        <x:v>Copenhagen</x:v>
      </x:c>
      <x:c r="C121" s="10" t="str">
        <x:v>EU sample</x:v>
      </x:c>
      <x:c r="D121" s="28" t="n">
        <x:v>2027</x:v>
      </x:c>
      <x:c r="E121" s="28" t="n">
        <x:v>90</x:v>
      </x:c>
      <x:c r="F121" s="10" t="str">
        <x:v>Yes</x:v>
      </x:c>
      <x:c r="G121" s="10" t="str">
        <x:v>https://www.topuniversities.com/qs-top-uni-wur</x:v>
      </x:c>
      <x:c r="H121" s="10" t="str">
        <x:v>n.a.</x:v>
      </x:c>
      <x:c r="I121" s="28" t="n">
        <x:f>COUNTIF(Schemes!$B$7:$B$158,B121)</x:f>
        <x:v>1</x:v>
      </x:c>
      <x:c r="J121" s="28" t="n">
        <x:f>COUNTIFS(Schemes!$B$7:$B$158,B121,Schemes!$C$7:$C$158,"University-wide")</x:f>
        <x:v>1</x:v>
      </x:c>
      <x:c r="K121" s="28" t="n">
        <x:f>COUNTIFS(Schemes!$B$7:$B$158,B121,Schemes!$C$7:$C$158,"Cross-faculty")+COUNTIFS(Schemes!$B$7:$B$158,B121,Schemes!$C$7:$C$158,"Faculty/school")+COUNTIFS(Schemes!$B$7:$B$158,B121,Schemes!$C$7:$C$158,"Programme/course")</x:f>
        <x:v>0</x:v>
      </x:c>
      <x:c r="L121" s="28" t="n">
        <x:f>COUNTIFS(Schemes!$B$7:$B$158,B121,Schemes!$C$7:$C$158,"Not confirmed")</x:f>
        <x:v>0</x:v>
      </x:c>
      <x:c r="M121" s="10" t="str">
        <x:f>IF(J121&gt;0,"University-wide scheme/framework documented",IF(COUNTIFS(Schemes!$B$7:$B$158,B121,Schemes!$C$7:$C$158,"Cross-faculty")&gt;0,"Cross-faculty; broader reach unverified",IF(COUNTIFS(Schemes!$B$7:$B$158,B121,Schemes!$C$7:$C$158,"Faculty/school")&gt;0,"Faculty/school; broader reach unverified",IF(K121&gt;0,"Programme/course; broader reach unverified","Scheme documented; reach unconfirmed"))))</x:f>
        <x:v>University-wide scheme/framework documented</x:v>
      </x:c>
    </x:row>
    <x:row r="122" ht="53" customHeight="1">
      <x:c r="A122" s="10" t="str">
        <x:v>Denmark</x:v>
      </x:c>
      <x:c r="B122" s="11" t="str">
        <x:v>Aarhus</x:v>
      </x:c>
      <x:c r="C122" s="10" t="str">
        <x:v>EU sample</x:v>
      </x:c>
      <x:c r="D122" s="28" t="n">
        <x:v>2027</x:v>
      </x:c>
      <x:c r="E122" s="28" t="n">
        <x:v>128</x:v>
      </x:c>
      <x:c r="F122" s="10" t="str">
        <x:v>Yes</x:v>
      </x:c>
      <x:c r="G122" s="10" t="str">
        <x:v>https://www.topuniversities.com/qs-top-uni-wur</x:v>
      </x:c>
      <x:c r="H122" s="10" t="str">
        <x:v>n.a.</x:v>
      </x:c>
      <x:c r="I122" s="28" t="n">
        <x:f>COUNTIF(Schemes!$B$7:$B$158,B122)</x:f>
        <x:v>1</x:v>
      </x:c>
      <x:c r="J122" s="28" t="n">
        <x:f>COUNTIFS(Schemes!$B$7:$B$158,B122,Schemes!$C$7:$C$158,"University-wide")</x:f>
        <x:v>1</x:v>
      </x:c>
      <x:c r="K122" s="28" t="n">
        <x:f>COUNTIFS(Schemes!$B$7:$B$158,B122,Schemes!$C$7:$C$158,"Cross-faculty")+COUNTIFS(Schemes!$B$7:$B$158,B122,Schemes!$C$7:$C$158,"Faculty/school")+COUNTIFS(Schemes!$B$7:$B$158,B122,Schemes!$C$7:$C$158,"Programme/course")</x:f>
        <x:v>0</x:v>
      </x:c>
      <x:c r="L122" s="28" t="n">
        <x:f>COUNTIFS(Schemes!$B$7:$B$158,B122,Schemes!$C$7:$C$158,"Not confirmed")</x:f>
        <x:v>0</x:v>
      </x:c>
      <x:c r="M122" s="10" t="str">
        <x:f>IF(J122&gt;0,"University-wide scheme/framework documented",IF(COUNTIFS(Schemes!$B$7:$B$158,B122,Schemes!$C$7:$C$158,"Cross-faculty")&gt;0,"Cross-faculty; broader reach unverified",IF(COUNTIFS(Schemes!$B$7:$B$158,B122,Schemes!$C$7:$C$158,"Faculty/school")&gt;0,"Faculty/school; broader reach unverified",IF(K122&gt;0,"Programme/course; broader reach unverified","Scheme documented; reach unconfirmed"))))</x:f>
        <x:v>University-wide scheme/framework documented</x:v>
      </x:c>
    </x:row>
    <x:row r="123" ht="53" customHeight="1">
      <x:c r="A123" s="10" t="str">
        <x:v>Sweden</x:v>
      </x:c>
      <x:c r="B123" s="11" t="str">
        <x:v>Lund</x:v>
      </x:c>
      <x:c r="C123" s="10" t="str">
        <x:v>EU sample</x:v>
      </x:c>
      <x:c r="D123" s="28" t="n">
        <x:v>2027</x:v>
      </x:c>
      <x:c r="E123" s="28" t="n">
        <x:v>71</x:v>
      </x:c>
      <x:c r="F123" s="10" t="str">
        <x:v>No</x:v>
      </x:c>
      <x:c r="G123" s="10" t="str">
        <x:v>https://www.topuniversities.com/qs-top-uni-wur</x:v>
      </x:c>
      <x:c r="H123" s="10" t="str">
        <x:v>n.a.</x:v>
      </x:c>
      <x:c r="I123" s="28" t="n">
        <x:f>COUNTIF(Schemes!$B$7:$B$158,B123)</x:f>
        <x:v>1</x:v>
      </x:c>
      <x:c r="J123" s="28" t="n">
        <x:f>COUNTIFS(Schemes!$B$7:$B$158,B123,Schemes!$C$7:$C$158,"University-wide")</x:f>
        <x:v>1</x:v>
      </x:c>
      <x:c r="K123" s="28" t="n">
        <x:f>COUNTIFS(Schemes!$B$7:$B$158,B123,Schemes!$C$7:$C$158,"Cross-faculty")+COUNTIFS(Schemes!$B$7:$B$158,B123,Schemes!$C$7:$C$158,"Faculty/school")+COUNTIFS(Schemes!$B$7:$B$158,B123,Schemes!$C$7:$C$158,"Programme/course")</x:f>
        <x:v>0</x:v>
      </x:c>
      <x:c r="L123" s="28" t="n">
        <x:f>COUNTIFS(Schemes!$B$7:$B$158,B123,Schemes!$C$7:$C$158,"Not confirmed")</x:f>
        <x:v>0</x:v>
      </x:c>
      <x:c r="M123" s="10" t="str">
        <x:f>IF(J123&gt;0,"University-wide scheme/framework documented",IF(COUNTIFS(Schemes!$B$7:$B$158,B123,Schemes!$C$7:$C$158,"Cross-faculty")&gt;0,"Cross-faculty; broader reach unverified",IF(COUNTIFS(Schemes!$B$7:$B$158,B123,Schemes!$C$7:$C$158,"Faculty/school")&gt;0,"Faculty/school; broader reach unverified",IF(K123&gt;0,"Programme/course; broader reach unverified","Scheme documented; reach unconfirmed"))))</x:f>
        <x:v>University-wide scheme/framework documented</x:v>
      </x:c>
    </x:row>
    <x:row r="124" ht="53" customHeight="1">
      <x:c r="A124" s="10" t="str">
        <x:v>Sweden</x:v>
      </x:c>
      <x:c r="B124" s="11" t="str">
        <x:v>KTH Royal Institute of Technology</x:v>
      </x:c>
      <x:c r="C124" s="10" t="str">
        <x:v>EU sample</x:v>
      </x:c>
      <x:c r="D124" s="28" t="n">
        <x:v>2027</x:v>
      </x:c>
      <x:c r="E124" s="28" t="n">
        <x:v>82</x:v>
      </x:c>
      <x:c r="F124" s="10" t="str">
        <x:v>Yes</x:v>
      </x:c>
      <x:c r="G124" s="10" t="str">
        <x:v>https://www.topuniversities.com/qs-top-uni-wur</x:v>
      </x:c>
      <x:c r="H124" s="10" t="str">
        <x:v>n.a.</x:v>
      </x:c>
      <x:c r="I124" s="28" t="n">
        <x:f>COUNTIF(Schemes!$B$7:$B$158,B124)</x:f>
        <x:v>1</x:v>
      </x:c>
      <x:c r="J124" s="28" t="n">
        <x:f>COUNTIFS(Schemes!$B$7:$B$158,B124,Schemes!$C$7:$C$158,"University-wide")</x:f>
        <x:v>1</x:v>
      </x:c>
      <x:c r="K124" s="28" t="n">
        <x:f>COUNTIFS(Schemes!$B$7:$B$158,B124,Schemes!$C$7:$C$158,"Cross-faculty")+COUNTIFS(Schemes!$B$7:$B$158,B124,Schemes!$C$7:$C$158,"Faculty/school")+COUNTIFS(Schemes!$B$7:$B$158,B124,Schemes!$C$7:$C$158,"Programme/course")</x:f>
        <x:v>0</x:v>
      </x:c>
      <x:c r="L124" s="28" t="n">
        <x:f>COUNTIFS(Schemes!$B$7:$B$158,B124,Schemes!$C$7:$C$158,"Not confirmed")</x:f>
        <x:v>0</x:v>
      </x:c>
      <x:c r="M124" s="10" t="str">
        <x:f>IF(J124&gt;0,"University-wide scheme/framework documented",IF(COUNTIFS(Schemes!$B$7:$B$158,B124,Schemes!$C$7:$C$158,"Cross-faculty")&gt;0,"Cross-faculty; broader reach unverified",IF(COUNTIFS(Schemes!$B$7:$B$158,B124,Schemes!$C$7:$C$158,"Faculty/school")&gt;0,"Faculty/school; broader reach unverified",IF(K124&gt;0,"Programme/course; broader reach unverified","Scheme documented; reach unconfirmed"))))</x:f>
        <x:v>University-wide scheme/framework documented</x:v>
      </x:c>
    </x:row>
    <x:row r="125" ht="53" customHeight="1">
      <x:c r="A125" s="10" t="str">
        <x:v>Sweden</x:v>
      </x:c>
      <x:c r="B125" s="11" t="str">
        <x:v>Uppsala</x:v>
      </x:c>
      <x:c r="C125" s="10" t="str">
        <x:v>EU sample</x:v>
      </x:c>
      <x:c r="D125" s="28" t="n">
        <x:v>2027</x:v>
      </x:c>
      <x:c r="E125" s="28" t="n">
        <x:v>87</x:v>
      </x:c>
      <x:c r="F125" s="10" t="str">
        <x:v>Yes</x:v>
      </x:c>
      <x:c r="G125" s="10" t="str">
        <x:v>https://www.topuniversities.com/qs-top-uni-wur</x:v>
      </x:c>
      <x:c r="H125" s="10" t="str">
        <x:v>n.a.</x:v>
      </x:c>
      <x:c r="I125" s="28" t="n">
        <x:f>COUNTIF(Schemes!$B$7:$B$158,B125)</x:f>
        <x:v>1</x:v>
      </x:c>
      <x:c r="J125" s="28" t="n">
        <x:f>COUNTIFS(Schemes!$B$7:$B$158,B125,Schemes!$C$7:$C$158,"University-wide")</x:f>
        <x:v>0</x:v>
      </x:c>
      <x:c r="K125" s="28" t="n">
        <x:f>COUNTIFS(Schemes!$B$7:$B$158,B125,Schemes!$C$7:$C$158,"Cross-faculty")+COUNTIFS(Schemes!$B$7:$B$158,B125,Schemes!$C$7:$C$158,"Faculty/school")+COUNTIFS(Schemes!$B$7:$B$158,B125,Schemes!$C$7:$C$158,"Programme/course")</x:f>
        <x:v>0</x:v>
      </x:c>
      <x:c r="L125" s="28" t="n">
        <x:f>COUNTIFS(Schemes!$B$7:$B$158,B125,Schemes!$C$7:$C$158,"Not confirmed")</x:f>
        <x:v>1</x:v>
      </x:c>
      <x:c r="M125" s="10" t="str">
        <x:f>IF(J125&gt;0,"University-wide scheme/framework documented",IF(COUNTIFS(Schemes!$B$7:$B$158,B125,Schemes!$C$7:$C$158,"Cross-faculty")&gt;0,"Cross-faculty; broader reach unverified",IF(COUNTIFS(Schemes!$B$7:$B$158,B125,Schemes!$C$7:$C$158,"Faculty/school")&gt;0,"Faculty/school; broader reach unverified",IF(K125&gt;0,"Programme/course; broader reach unverified","Scheme documented; reach unconfirmed"))))</x:f>
        <x:v>Scheme documented; reach unconfirmed</x:v>
      </x:c>
    </x:row>
    <x:row r="126" ht="53" customHeight="1">
      <x:c r="A126" s="10" t="str">
        <x:v>Finland</x:v>
      </x:c>
      <x:c r="B126" s="11" t="str">
        <x:v>Aalto</x:v>
      </x:c>
      <x:c r="C126" s="10" t="str">
        <x:v>EU sample</x:v>
      </x:c>
      <x:c r="D126" s="28" t="n">
        <x:v>2027</x:v>
      </x:c>
      <x:c r="E126" s="28" t="n">
        <x:v>126</x:v>
      </x:c>
      <x:c r="F126" s="10" t="str">
        <x:v>Yes</x:v>
      </x:c>
      <x:c r="G126" s="10" t="str">
        <x:v>https://www.topuniversities.com/qs-top-uni-wur</x:v>
      </x:c>
      <x:c r="H126" s="10" t="str">
        <x:v>n.a.</x:v>
      </x:c>
      <x:c r="I126" s="28" t="n">
        <x:f>COUNTIF(Schemes!$B$7:$B$158,B126)</x:f>
        <x:v>1</x:v>
      </x:c>
      <x:c r="J126" s="28" t="n">
        <x:f>COUNTIFS(Schemes!$B$7:$B$158,B126,Schemes!$C$7:$C$158,"University-wide")</x:f>
        <x:v>1</x:v>
      </x:c>
      <x:c r="K126" s="28" t="n">
        <x:f>COUNTIFS(Schemes!$B$7:$B$158,B126,Schemes!$C$7:$C$158,"Cross-faculty")+COUNTIFS(Schemes!$B$7:$B$158,B126,Schemes!$C$7:$C$158,"Faculty/school")+COUNTIFS(Schemes!$B$7:$B$158,B126,Schemes!$C$7:$C$158,"Programme/course")</x:f>
        <x:v>0</x:v>
      </x:c>
      <x:c r="L126" s="28" t="n">
        <x:f>COUNTIFS(Schemes!$B$7:$B$158,B126,Schemes!$C$7:$C$158,"Not confirmed")</x:f>
        <x:v>0</x:v>
      </x:c>
      <x:c r="M126" s="10" t="str">
        <x:f>IF(J126&gt;0,"University-wide scheme/framework documented",IF(COUNTIFS(Schemes!$B$7:$B$158,B126,Schemes!$C$7:$C$158,"Cross-faculty")&gt;0,"Cross-faculty; broader reach unverified",IF(COUNTIFS(Schemes!$B$7:$B$158,B126,Schemes!$C$7:$C$158,"Faculty/school")&gt;0,"Faculty/school; broader reach unverified",IF(K126&gt;0,"Programme/course; broader reach unverified","Scheme documented; reach unconfirmed"))))</x:f>
        <x:v>University-wide scheme/framework documented</x:v>
      </x:c>
    </x:row>
    <x:row r="127" ht="53" customHeight="1">
      <x:c r="A127" s="10" t="str">
        <x:v>Finland</x:v>
      </x:c>
      <x:c r="B127" s="11" t="str">
        <x:v>Helsinki</x:v>
      </x:c>
      <x:c r="C127" s="10" t="str">
        <x:v>EU sample</x:v>
      </x:c>
      <x:c r="D127" s="28" t="n">
        <x:v>2027</x:v>
      </x:c>
      <x:c r="E127" s="28" t="n">
        <x:v>123</x:v>
      </x:c>
      <x:c r="F127" s="10" t="str">
        <x:v>Yes</x:v>
      </x:c>
      <x:c r="G127" s="10" t="str">
        <x:v>https://www.topuniversities.com/qs-top-uni-wur</x:v>
      </x:c>
      <x:c r="H127" s="10" t="str">
        <x:v>n.a.</x:v>
      </x:c>
      <x:c r="I127" s="28" t="n">
        <x:f>COUNTIF(Schemes!$B$7:$B$158,B127)</x:f>
        <x:v>1</x:v>
      </x:c>
      <x:c r="J127" s="28" t="n">
        <x:f>COUNTIFS(Schemes!$B$7:$B$158,B127,Schemes!$C$7:$C$158,"University-wide")</x:f>
        <x:v>1</x:v>
      </x:c>
      <x:c r="K127" s="28" t="n">
        <x:f>COUNTIFS(Schemes!$B$7:$B$158,B127,Schemes!$C$7:$C$158,"Cross-faculty")+COUNTIFS(Schemes!$B$7:$B$158,B127,Schemes!$C$7:$C$158,"Faculty/school")+COUNTIFS(Schemes!$B$7:$B$158,B127,Schemes!$C$7:$C$158,"Programme/course")</x:f>
        <x:v>0</x:v>
      </x:c>
      <x:c r="L127" s="28" t="n">
        <x:f>COUNTIFS(Schemes!$B$7:$B$158,B127,Schemes!$C$7:$C$158,"Not confirmed")</x:f>
        <x:v>0</x:v>
      </x:c>
      <x:c r="M127" s="10" t="str">
        <x:f>IF(J127&gt;0,"University-wide scheme/framework documented",IF(COUNTIFS(Schemes!$B$7:$B$158,B127,Schemes!$C$7:$C$158,"Cross-faculty")&gt;0,"Cross-faculty; broader reach unverified",IF(COUNTIFS(Schemes!$B$7:$B$158,B127,Schemes!$C$7:$C$158,"Faculty/school")&gt;0,"Faculty/school; broader reach unverified",IF(K127&gt;0,"Programme/course; broader reach unverified","Scheme documented; reach unconfirmed"))))</x:f>
        <x:v>University-wide scheme/framework documented</x:v>
      </x:c>
    </x:row>
    <x:row r="128" ht="53" customHeight="1">
      <x:c r="A128" s="10" t="str">
        <x:v>Spain</x:v>
      </x:c>
      <x:c r="B128" s="11" t="str">
        <x:v>Barcelona</x:v>
      </x:c>
      <x:c r="C128" s="10" t="str">
        <x:v>EU sample</x:v>
      </x:c>
      <x:c r="D128" s="28" t="n">
        <x:v>2027</x:v>
      </x:c>
      <x:c r="E128" s="28" t="n">
        <x:v>165</x:v>
      </x:c>
      <x:c r="F128" s="10" t="str">
        <x:v>Yes</x:v>
      </x:c>
      <x:c r="G128" s="10" t="str">
        <x:v>https://www.topuniversities.com/qs-top-uni-wur</x:v>
      </x:c>
      <x:c r="H128" s="10" t="str">
        <x:v>n.a.</x:v>
      </x:c>
      <x:c r="I128" s="28" t="n">
        <x:f>COUNTIF(Schemes!$B$7:$B$158,B128)</x:f>
        <x:v>2</x:v>
      </x:c>
      <x:c r="J128" s="28" t="n">
        <x:f>COUNTIFS(Schemes!$B$7:$B$158,B128,Schemes!$C$7:$C$158,"University-wide")</x:f>
        <x:v>0</x:v>
      </x:c>
      <x:c r="K128" s="28" t="n">
        <x:f>COUNTIFS(Schemes!$B$7:$B$158,B128,Schemes!$C$7:$C$158,"Cross-faculty")+COUNTIFS(Schemes!$B$7:$B$158,B128,Schemes!$C$7:$C$158,"Faculty/school")+COUNTIFS(Schemes!$B$7:$B$158,B128,Schemes!$C$7:$C$158,"Programme/course")</x:f>
        <x:v>2</x:v>
      </x:c>
      <x:c r="L128" s="28" t="n">
        <x:f>COUNTIFS(Schemes!$B$7:$B$158,B128,Schemes!$C$7:$C$158,"Not confirmed")</x:f>
        <x:v>0</x:v>
      </x:c>
      <x:c r="M128" s="10" t="str">
        <x:f>IF(J128&gt;0,"University-wide scheme/framework documented",IF(COUNTIFS(Schemes!$B$7:$B$158,B128,Schemes!$C$7:$C$158,"Cross-faculty")&gt;0,"Cross-faculty; broader reach unverified",IF(COUNTIFS(Schemes!$B$7:$B$158,B128,Schemes!$C$7:$C$158,"Faculty/school")&gt;0,"Faculty/school; broader reach unverified",IF(K128&gt;0,"Programme/course; broader reach unverified","Scheme documented; reach unconfirmed"))))</x:f>
        <x:v>Cross-faculty; broader reach unverified</x:v>
      </x:c>
    </x:row>
    <x:row r="129" ht="53" customHeight="1">
      <x:c r="A129" s="10" t="str">
        <x:v>Spain</x:v>
      </x:c>
      <x:c r="B129" s="11" t="str">
        <x:v>Pompeu Fabra</x:v>
      </x:c>
      <x:c r="C129" s="10" t="str">
        <x:v>EU sample</x:v>
      </x:c>
      <x:c r="D129" s="28" t="n">
        <x:v>2027</x:v>
      </x:c>
      <x:c r="E129" s="28" t="n">
        <x:v>263</x:v>
      </x:c>
      <x:c r="F129" s="10" t="str">
        <x:v>No</x:v>
      </x:c>
      <x:c r="G129" s="10" t="str">
        <x:v>https://www.topuniversities.com/universities/universitat-pompeu-fabra-barcelona</x:v>
      </x:c>
      <x:c r="H129" s="10" t="str">
        <x:v>n.a.</x:v>
      </x:c>
      <x:c r="I129" s="28" t="n">
        <x:f>COUNTIF(Schemes!$B$7:$B$158,B129)</x:f>
        <x:v>1</x:v>
      </x:c>
      <x:c r="J129" s="28" t="n">
        <x:f>COUNTIFS(Schemes!$B$7:$B$158,B129,Schemes!$C$7:$C$158,"University-wide")</x:f>
        <x:v>0</x:v>
      </x:c>
      <x:c r="K129" s="28" t="n">
        <x:f>COUNTIFS(Schemes!$B$7:$B$158,B129,Schemes!$C$7:$C$158,"Cross-faculty")+COUNTIFS(Schemes!$B$7:$B$158,B129,Schemes!$C$7:$C$158,"Faculty/school")+COUNTIFS(Schemes!$B$7:$B$158,B129,Schemes!$C$7:$C$158,"Programme/course")</x:f>
        <x:v>0</x:v>
      </x:c>
      <x:c r="L129" s="28" t="n">
        <x:f>COUNTIFS(Schemes!$B$7:$B$158,B129,Schemes!$C$7:$C$158,"Not confirmed")</x:f>
        <x:v>1</x:v>
      </x:c>
      <x:c r="M129" s="10" t="str">
        <x:f>IF(J129&gt;0,"University-wide scheme/framework documented",IF(COUNTIFS(Schemes!$B$7:$B$158,B129,Schemes!$C$7:$C$158,"Cross-faculty")&gt;0,"Cross-faculty; broader reach unverified",IF(COUNTIFS(Schemes!$B$7:$B$158,B129,Schemes!$C$7:$C$158,"Faculty/school")&gt;0,"Faculty/school; broader reach unverified",IF(K129&gt;0,"Programme/course; broader reach unverified","Scheme documented; reach unconfirmed"))))</x:f>
        <x:v>Scheme documented; reach unconfirmed</x:v>
      </x:c>
    </x:row>
    <x:row r="130" ht="53" customHeight="1">
      <x:c r="A130" s="10" t="str">
        <x:v>Italy</x:v>
      </x:c>
      <x:c r="B130" s="11" t="str">
        <x:v>Politecnico di Milano</x:v>
      </x:c>
      <x:c r="C130" s="10" t="str">
        <x:v>EU sample</x:v>
      </x:c>
      <x:c r="D130" s="28" t="n">
        <x:v>2027</x:v>
      </x:c>
      <x:c r="E130" s="28" t="n">
        <x:v>87</x:v>
      </x:c>
      <x:c r="F130" s="10" t="str">
        <x:v>Yes</x:v>
      </x:c>
      <x:c r="G130" s="10" t="str">
        <x:v>https://www.topuniversities.com/qs-top-uni-wur</x:v>
      </x:c>
      <x:c r="H130" s="10" t="str">
        <x:v>n.a.</x:v>
      </x:c>
      <x:c r="I130" s="28" t="n">
        <x:f>COUNTIF(Schemes!$B$7:$B$158,B130)</x:f>
        <x:v>1</x:v>
      </x:c>
      <x:c r="J130" s="28" t="n">
        <x:f>COUNTIFS(Schemes!$B$7:$B$158,B130,Schemes!$C$7:$C$158,"University-wide")</x:f>
        <x:v>1</x:v>
      </x:c>
      <x:c r="K130" s="28" t="n">
        <x:f>COUNTIFS(Schemes!$B$7:$B$158,B130,Schemes!$C$7:$C$158,"Cross-faculty")+COUNTIFS(Schemes!$B$7:$B$158,B130,Schemes!$C$7:$C$158,"Faculty/school")+COUNTIFS(Schemes!$B$7:$B$158,B130,Schemes!$C$7:$C$158,"Programme/course")</x:f>
        <x:v>0</x:v>
      </x:c>
      <x:c r="L130" s="28" t="n">
        <x:f>COUNTIFS(Schemes!$B$7:$B$158,B130,Schemes!$C$7:$C$158,"Not confirmed")</x:f>
        <x:v>0</x:v>
      </x:c>
      <x:c r="M130" s="10" t="str">
        <x:f>IF(J130&gt;0,"University-wide scheme/framework documented",IF(COUNTIFS(Schemes!$B$7:$B$158,B130,Schemes!$C$7:$C$158,"Cross-faculty")&gt;0,"Cross-faculty; broader reach unverified",IF(COUNTIFS(Schemes!$B$7:$B$158,B130,Schemes!$C$7:$C$158,"Faculty/school")&gt;0,"Faculty/school; broader reach unverified",IF(K130&gt;0,"Programme/course; broader reach unverified","Scheme documented; reach unconfirmed"))))</x:f>
        <x:v>University-wide scheme/framework documented</x:v>
      </x:c>
    </x:row>
    <x:row r="133" ht="27" customHeight="1">
      <x:c r="A133" s="30" t="str">
        <x:v>Classification and interpretation rules</x:v>
      </x:c>
      <x:c r="B133" s="30" t="str">
        <x:v>Classification and interpretation rules</x:v>
      </x:c>
      <x:c r="C133" s="30" t="str">
        <x:v>Classification and interpretation rules</x:v>
      </x:c>
      <x:c r="D133" s="30" t="str">
        <x:v>Classification and interpretation rules</x:v>
      </x:c>
      <x:c r="E133" s="30" t="str">
        <x:v>Classification and interpretation rules</x:v>
      </x:c>
      <x:c r="F133" s="30" t="str">
        <x:v>Classification and interpretation rules</x:v>
      </x:c>
      <x:c r="G133" s="30" t="str">
        <x:v>Classification and interpretation rules</x:v>
      </x:c>
      <x:c r="H133" s="30" t="str">
        <x:v>Classification and interpretation rules</x:v>
      </x:c>
      <x:c r="I133" s="30" t="str">
        <x:v>Classification and interpretation rules</x:v>
      </x:c>
      <x:c r="J133" s="30" t="str">
        <x:v>Classification and interpretation rules</x:v>
      </x:c>
      <x:c r="K133" s="30" t="str">
        <x:v>Classification and interpretation rules</x:v>
      </x:c>
      <x:c r="L133" s="30" t="str">
        <x:v>Classification and interpretation rules</x:v>
      </x:c>
      <x:c r="M133" s="30" t="str">
        <x:v>Classification and interpretation rules</x:v>
      </x:c>
    </x:row>
    <x:row r="135" ht="44" customHeight="1">
      <x:c r="A135" s="34" t="str">
        <x:v>University-wide</x:v>
      </x:c>
      <x:c r="B135" s="34" t="str">
        <x:v>University-wide</x:v>
      </x:c>
      <x:c r="C135" s="34" t="str">
        <x:v>University-wide</x:v>
      </x:c>
      <x:c r="D135" s="35" t="str">
        <x:v>Explicit availability across academic disciplines at the stated study level, or an institution-wide curriculum / coordination framework. May be selective or have degree exclusions and different credit rules; does not mean every student attends.</x:v>
      </x:c>
      <x:c r="E135" s="35" t="str">
        <x:v>Explicit availability across academic disciplines at the stated study level, or an institution-wide curriculum / coordination framework. May be selective or have degree exclusions and different credit rules; does not mean every student attends.</x:v>
      </x:c>
      <x:c r="F135" s="35" t="str">
        <x:v>Explicit availability across academic disciplines at the stated study level, or an institution-wide curriculum / coordination framework. May be selective or have degree exclusions and different credit rules; does not mean every student attends.</x:v>
      </x:c>
      <x:c r="G135" s="35" t="str">
        <x:v>Explicit availability across academic disciplines at the stated study level, or an institution-wide curriculum / coordination framework. May be selective or have degree exclusions and different credit rules; does not mean every student attends.</x:v>
      </x:c>
      <x:c r="H135" s="35" t="str">
        <x:v>Explicit availability across academic disciplines at the stated study level, or an institution-wide curriculum / coordination framework. May be selective or have degree exclusions and different credit rules; does not mean every student attends.</x:v>
      </x:c>
      <x:c r="I135" s="35" t="str">
        <x:v>Explicit availability across academic disciplines at the stated study level, or an institution-wide curriculum / coordination framework. May be selective or have degree exclusions and different credit rules; does not mean every student attends.</x:v>
      </x:c>
      <x:c r="J135" s="35" t="str">
        <x:v>Explicit availability across academic disciplines at the stated study level, or an institution-wide curriculum / coordination framework. May be selective or have degree exclusions and different credit rules; does not mean every student attends.</x:v>
      </x:c>
      <x:c r="K135" s="35" t="str">
        <x:v>Explicit availability across academic disciplines at the stated study level, or an institution-wide curriculum / coordination framework. May be selective or have degree exclusions and different credit rules; does not mean every student attends.</x:v>
      </x:c>
      <x:c r="L135" s="35" t="str">
        <x:v>Explicit availability across academic disciplines at the stated study level, or an institution-wide curriculum / coordination framework. May be selective or have degree exclusions and different credit rules; does not mean every student attends.</x:v>
      </x:c>
      <x:c r="M135" s="35" t="str">
        <x:v>Explicit availability across academic disciplines at the stated study level, or an institution-wide curriculum / coordination framework. May be selective or have degree exclusions and different credit rules; does not mean every student attends.</x:v>
      </x:c>
    </x:row>
    <x:row r="136" ht="44" customHeight="1">
      <x:c r="A136" s="31" t="str">
        <x:v>Cross-faculty</x:v>
      </x:c>
      <x:c r="B136" s="31" t="str">
        <x:v>Cross-faculty</x:v>
      </x:c>
      <x:c r="C136" s="31" t="str">
        <x:v>Cross-faculty</x:v>
      </x:c>
      <x:c r="D136" s="33" t="str">
        <x:v>Named faculties, schools or constituent colleges participate; institution-wide reach or all-discipline eligibility is not established.</x:v>
      </x:c>
      <x:c r="E136" s="33" t="str">
        <x:v>Named faculties, schools or constituent colleges participate; institution-wide reach or all-discipline eligibility is not established.</x:v>
      </x:c>
      <x:c r="F136" s="33" t="str">
        <x:v>Named faculties, schools or constituent colleges participate; institution-wide reach or all-discipline eligibility is not established.</x:v>
      </x:c>
      <x:c r="G136" s="33" t="str">
        <x:v>Named faculties, schools or constituent colleges participate; institution-wide reach or all-discipline eligibility is not established.</x:v>
      </x:c>
      <x:c r="H136" s="33" t="str">
        <x:v>Named faculties, schools or constituent colleges participate; institution-wide reach or all-discipline eligibility is not established.</x:v>
      </x:c>
      <x:c r="I136" s="33" t="str">
        <x:v>Named faculties, schools or constituent colleges participate; institution-wide reach or all-discipline eligibility is not established.</x:v>
      </x:c>
      <x:c r="J136" s="33" t="str">
        <x:v>Named faculties, schools or constituent colleges participate; institution-wide reach or all-discipline eligibility is not established.</x:v>
      </x:c>
      <x:c r="K136" s="33" t="str">
        <x:v>Named faculties, schools or constituent colleges participate; institution-wide reach or all-discipline eligibility is not established.</x:v>
      </x:c>
      <x:c r="L136" s="33" t="str">
        <x:v>Named faculties, schools or constituent colleges participate; institution-wide reach or all-discipline eligibility is not established.</x:v>
      </x:c>
      <x:c r="M136" s="33" t="str">
        <x:v>Named faculties, schools or constituent colleges participate; institution-wide reach or all-discipline eligibility is not established.</x:v>
      </x:c>
    </x:row>
    <x:row r="137" ht="44" customHeight="1">
      <x:c r="A137" s="34" t="str">
        <x:v>Faculty/school</x:v>
      </x:c>
      <x:c r="B137" s="34" t="str">
        <x:v>Faculty/school</x:v>
      </x:c>
      <x:c r="C137" s="34" t="str">
        <x:v>Faculty/school</x:v>
      </x:c>
      <x:c r="D137" s="35" t="str">
        <x:v>Academic participation is restricted to one faculty or school. Administrative home alone is insufficient for this classification.</x:v>
      </x:c>
      <x:c r="E137" s="35" t="str">
        <x:v>Academic participation is restricted to one faculty or school. Administrative home alone is insufficient for this classification.</x:v>
      </x:c>
      <x:c r="F137" s="35" t="str">
        <x:v>Academic participation is restricted to one faculty or school. Administrative home alone is insufficient for this classification.</x:v>
      </x:c>
      <x:c r="G137" s="35" t="str">
        <x:v>Academic participation is restricted to one faculty or school. Administrative home alone is insufficient for this classification.</x:v>
      </x:c>
      <x:c r="H137" s="35" t="str">
        <x:v>Academic participation is restricted to one faculty or school. Administrative home alone is insufficient for this classification.</x:v>
      </x:c>
      <x:c r="I137" s="35" t="str">
        <x:v>Academic participation is restricted to one faculty or school. Administrative home alone is insufficient for this classification.</x:v>
      </x:c>
      <x:c r="J137" s="35" t="str">
        <x:v>Academic participation is restricted to one faculty or school. Administrative home alone is insufficient for this classification.</x:v>
      </x:c>
      <x:c r="K137" s="35" t="str">
        <x:v>Academic participation is restricted to one faculty or school. Administrative home alone is insufficient for this classification.</x:v>
      </x:c>
      <x:c r="L137" s="35" t="str">
        <x:v>Academic participation is restricted to one faculty or school. Administrative home alone is insufficient for this classification.</x:v>
      </x:c>
      <x:c r="M137" s="35" t="str">
        <x:v>Academic participation is restricted to one faculty or school. Administrative home alone is insufficient for this classification.</x:v>
      </x:c>
    </x:row>
    <x:row r="138" ht="44" customHeight="1">
      <x:c r="A138" s="31" t="str">
        <x:v>Programme/course</x:v>
      </x:c>
      <x:c r="B138" s="31" t="str">
        <x:v>Programme/course</x:v>
      </x:c>
      <x:c r="C138" s="31" t="str">
        <x:v>Programme/course</x:v>
      </x:c>
      <x:c r="D138" s="33" t="str">
        <x:v>Specific degree, module, certificate or course cohort. Compulsion means required for that route unless wider compulsory reach is explicitly evidenced.</x:v>
      </x:c>
      <x:c r="E138" s="33" t="str">
        <x:v>Specific degree, module, certificate or course cohort. Compulsion means required for that route unless wider compulsory reach is explicitly evidenced.</x:v>
      </x:c>
      <x:c r="F138" s="33" t="str">
        <x:v>Specific degree, module, certificate or course cohort. Compulsion means required for that route unless wider compulsory reach is explicitly evidenced.</x:v>
      </x:c>
      <x:c r="G138" s="33" t="str">
        <x:v>Specific degree, module, certificate or course cohort. Compulsion means required for that route unless wider compulsory reach is explicitly evidenced.</x:v>
      </x:c>
      <x:c r="H138" s="33" t="str">
        <x:v>Specific degree, module, certificate or course cohort. Compulsion means required for that route unless wider compulsory reach is explicitly evidenced.</x:v>
      </x:c>
      <x:c r="I138" s="33" t="str">
        <x:v>Specific degree, module, certificate or course cohort. Compulsion means required for that route unless wider compulsory reach is explicitly evidenced.</x:v>
      </x:c>
      <x:c r="J138" s="33" t="str">
        <x:v>Specific degree, module, certificate or course cohort. Compulsion means required for that route unless wider compulsory reach is explicitly evidenced.</x:v>
      </x:c>
      <x:c r="K138" s="33" t="str">
        <x:v>Specific degree, module, certificate or course cohort. Compulsion means required for that route unless wider compulsory reach is explicitly evidenced.</x:v>
      </x:c>
      <x:c r="L138" s="33" t="str">
        <x:v>Specific degree, module, certificate or course cohort. Compulsion means required for that route unless wider compulsory reach is explicitly evidenced.</x:v>
      </x:c>
      <x:c r="M138" s="33" t="str">
        <x:v>Specific degree, module, certificate or course cohort. Compulsion means required for that route unless wider compulsory reach is explicitly evidenced.</x:v>
      </x:c>
    </x:row>
    <x:row r="139" ht="44" customHeight="1">
      <x:c r="A139" s="34" t="str">
        <x:v>Not confirmed</x:v>
      </x:c>
      <x:c r="B139" s="34" t="str">
        <x:v>Not confirmed</x:v>
      </x:c>
      <x:c r="C139" s="34" t="str">
        <x:v>Not confirmed</x:v>
      </x:c>
      <x:c r="D139" s="35" t="str">
        <x:v>A scheme is evidenced, but academic reach is inadequately established. Central hosting alone cannot prove all-faculty eligibility.</x:v>
      </x:c>
      <x:c r="E139" s="35" t="str">
        <x:v>A scheme is evidenced, but academic reach is inadequately established. Central hosting alone cannot prove all-faculty eligibility.</x:v>
      </x:c>
      <x:c r="F139" s="35" t="str">
        <x:v>A scheme is evidenced, but academic reach is inadequately established. Central hosting alone cannot prove all-faculty eligibility.</x:v>
      </x:c>
      <x:c r="G139" s="35" t="str">
        <x:v>A scheme is evidenced, but academic reach is inadequately established. Central hosting alone cannot prove all-faculty eligibility.</x:v>
      </x:c>
      <x:c r="H139" s="35" t="str">
        <x:v>A scheme is evidenced, but academic reach is inadequately established. Central hosting alone cannot prove all-faculty eligibility.</x:v>
      </x:c>
      <x:c r="I139" s="35" t="str">
        <x:v>A scheme is evidenced, but academic reach is inadequately established. Central hosting alone cannot prove all-faculty eligibility.</x:v>
      </x:c>
      <x:c r="J139" s="35" t="str">
        <x:v>A scheme is evidenced, but academic reach is inadequately established. Central hosting alone cannot prove all-faculty eligibility.</x:v>
      </x:c>
      <x:c r="K139" s="35" t="str">
        <x:v>A scheme is evidenced, but academic reach is inadequately established. Central hosting alone cannot prove all-faculty eligibility.</x:v>
      </x:c>
      <x:c r="L139" s="35" t="str">
        <x:v>A scheme is evidenced, but academic reach is inadequately established. Central hosting alone cannot prove all-faculty eligibility.</x:v>
      </x:c>
      <x:c r="M139" s="35" t="str">
        <x:v>A scheme is evidenced, but academic reach is inadequately established. Central hosting alone cannot prove all-faculty eligibility.</x:v>
      </x:c>
    </x:row>
    <x:row r="140" ht="44" customHeight="1">
      <x:c r="A140" s="31" t="str">
        <x:v>Scope evidence basis</x:v>
      </x:c>
      <x:c r="B140" s="31" t="str">
        <x:v>Scope evidence basis</x:v>
      </x:c>
      <x:c r="C140" s="31" t="str">
        <x:v>Scope evidence basis</x:v>
      </x:c>
      <x:c r="D140" s="33" t="str">
        <x:v>Direct eligibility: published access or cohort rules. Institutional framework: institution-wide curricular/support provision with course-level restrictions. Unconfirmed reach: broader eligibility unverified.</x:v>
      </x:c>
      <x:c r="E140" s="33" t="str">
        <x:v>Direct eligibility: published access or cohort rules. Institutional framework: institution-wide curricular/support provision with course-level restrictions. Unconfirmed reach: broader eligibility unverified.</x:v>
      </x:c>
      <x:c r="F140" s="33" t="str">
        <x:v>Direct eligibility: published access or cohort rules. Institutional framework: institution-wide curricular/support provision with course-level restrictions. Unconfirmed reach: broader eligibility unverified.</x:v>
      </x:c>
      <x:c r="G140" s="33" t="str">
        <x:v>Direct eligibility: published access or cohort rules. Institutional framework: institution-wide curricular/support provision with course-level restrictions. Unconfirmed reach: broader eligibility unverified.</x:v>
      </x:c>
      <x:c r="H140" s="33" t="str">
        <x:v>Direct eligibility: published access or cohort rules. Institutional framework: institution-wide curricular/support provision with course-level restrictions. Unconfirmed reach: broader eligibility unverified.</x:v>
      </x:c>
      <x:c r="I140" s="33" t="str">
        <x:v>Direct eligibility: published access or cohort rules. Institutional framework: institution-wide curricular/support provision with course-level restrictions. Unconfirmed reach: broader eligibility unverified.</x:v>
      </x:c>
      <x:c r="J140" s="33" t="str">
        <x:v>Direct eligibility: published access or cohort rules. Institutional framework: institution-wide curricular/support provision with course-level restrictions. Unconfirmed reach: broader eligibility unverified.</x:v>
      </x:c>
      <x:c r="K140" s="33" t="str">
        <x:v>Direct eligibility: published access or cohort rules. Institutional framework: institution-wide curricular/support provision with course-level restrictions. Unconfirmed reach: broader eligibility unverified.</x:v>
      </x:c>
      <x:c r="L140" s="33" t="str">
        <x:v>Direct eligibility: published access or cohort rules. Institutional framework: institution-wide curricular/support provision with course-level restrictions. Unconfirmed reach: broader eligibility unverified.</x:v>
      </x:c>
      <x:c r="M140" s="33" t="str">
        <x:v>Direct eligibility: published access or cohort rules. Institutional framework: institution-wide curricular/support provision with course-level restrictions. Unconfirmed reach: broader eligibility unverified.</x:v>
      </x:c>
    </x:row>
    <x:row r="141" ht="44" customHeight="1">
      <x:c r="A141" s="34" t="str">
        <x:v>Participation</x:v>
      </x:c>
      <x:c r="B141" s="34" t="str">
        <x:v>Participation</x:v>
      </x:c>
      <x:c r="C141" s="34" t="str">
        <x:v>Participation</x:v>
      </x:c>
      <x:c r="D141" s="35" t="str">
        <x:v>Compulsory: required within stated eligible route. Elective credit: optional credit course. Co-curricular: outside degree credit. Mixed/varies: different requirements, credit or routes. Not confirmed: source does not settle the point.</x:v>
      </x:c>
      <x:c r="E141" s="35" t="str">
        <x:v>Compulsory: required within stated eligible route. Elective credit: optional credit course. Co-curricular: outside degree credit. Mixed/varies: different requirements, credit or routes. Not confirmed: source does not settle the point.</x:v>
      </x:c>
      <x:c r="F141" s="35" t="str">
        <x:v>Compulsory: required within stated eligible route. Elective credit: optional credit course. Co-curricular: outside degree credit. Mixed/varies: different requirements, credit or routes. Not confirmed: source does not settle the point.</x:v>
      </x:c>
      <x:c r="G141" s="35" t="str">
        <x:v>Compulsory: required within stated eligible route. Elective credit: optional credit course. Co-curricular: outside degree credit. Mixed/varies: different requirements, credit or routes. Not confirmed: source does not settle the point.</x:v>
      </x:c>
      <x:c r="H141" s="35" t="str">
        <x:v>Compulsory: required within stated eligible route. Elective credit: optional credit course. Co-curricular: outside degree credit. Mixed/varies: different requirements, credit or routes. Not confirmed: source does not settle the point.</x:v>
      </x:c>
      <x:c r="I141" s="35" t="str">
        <x:v>Compulsory: required within stated eligible route. Elective credit: optional credit course. Co-curricular: outside degree credit. Mixed/varies: different requirements, credit or routes. Not confirmed: source does not settle the point.</x:v>
      </x:c>
      <x:c r="J141" s="35" t="str">
        <x:v>Compulsory: required within stated eligible route. Elective credit: optional credit course. Co-curricular: outside degree credit. Mixed/varies: different requirements, credit or routes. Not confirmed: source does not settle the point.</x:v>
      </x:c>
      <x:c r="K141" s="35" t="str">
        <x:v>Compulsory: required within stated eligible route. Elective credit: optional credit course. Co-curricular: outside degree credit. Mixed/varies: different requirements, credit or routes. Not confirmed: source does not settle the point.</x:v>
      </x:c>
      <x:c r="L141" s="35" t="str">
        <x:v>Compulsory: required within stated eligible route. Elective credit: optional credit course. Co-curricular: outside degree credit. Mixed/varies: different requirements, credit or routes. Not confirmed: source does not settle the point.</x:v>
      </x:c>
      <x:c r="M141" s="35" t="str">
        <x:v>Compulsory: required within stated eligible route. Elective credit: optional credit course. Co-curricular: outside degree credit. Mixed/varies: different requirements, credit or routes. Not confirmed: source does not settle the point.</x:v>
      </x:c>
    </x:row>
    <x:row r="142" ht="44" customHeight="1">
      <x:c r="A142" s="31" t="str">
        <x:v>Evidence currency</x:v>
      </x:c>
      <x:c r="B142" s="31" t="str">
        <x:v>Evidence currency</x:v>
      </x:c>
      <x:c r="C142" s="31" t="str">
        <x:v>Evidence currency</x:v>
      </x:c>
      <x:c r="D142" s="33" t="str">
        <x:v>Dated 2026/27 means explicit recent/future cycle or dated activity, not necessarily open applications. Dated earlier / mixed preserves older or mixed evidence. Undated page has no verified cycle. Paused and Ending identify constraints.</x:v>
      </x:c>
      <x:c r="E142" s="33" t="str">
        <x:v>Dated 2026/27 means explicit recent/future cycle or dated activity, not necessarily open applications. Dated earlier / mixed preserves older or mixed evidence. Undated page has no verified cycle. Paused and Ending identify constraints.</x:v>
      </x:c>
      <x:c r="F142" s="33" t="str">
        <x:v>Dated 2026/27 means explicit recent/future cycle or dated activity, not necessarily open applications. Dated earlier / mixed preserves older or mixed evidence. Undated page has no verified cycle. Paused and Ending identify constraints.</x:v>
      </x:c>
      <x:c r="G142" s="33" t="str">
        <x:v>Dated 2026/27 means explicit recent/future cycle or dated activity, not necessarily open applications. Dated earlier / mixed preserves older or mixed evidence. Undated page has no verified cycle. Paused and Ending identify constraints.</x:v>
      </x:c>
      <x:c r="H142" s="33" t="str">
        <x:v>Dated 2026/27 means explicit recent/future cycle or dated activity, not necessarily open applications. Dated earlier / mixed preserves older or mixed evidence. Undated page has no verified cycle. Paused and Ending identify constraints.</x:v>
      </x:c>
      <x:c r="I142" s="33" t="str">
        <x:v>Dated 2026/27 means explicit recent/future cycle or dated activity, not necessarily open applications. Dated earlier / mixed preserves older or mixed evidence. Undated page has no verified cycle. Paused and Ending identify constraints.</x:v>
      </x:c>
      <x:c r="J142" s="33" t="str">
        <x:v>Dated 2026/27 means explicit recent/future cycle or dated activity, not necessarily open applications. Dated earlier / mixed preserves older or mixed evidence. Undated page has no verified cycle. Paused and Ending identify constraints.</x:v>
      </x:c>
      <x:c r="K142" s="33" t="str">
        <x:v>Dated 2026/27 means explicit recent/future cycle or dated activity, not necessarily open applications. Dated earlier / mixed preserves older or mixed evidence. Undated page has no verified cycle. Paused and Ending identify constraints.</x:v>
      </x:c>
      <x:c r="L142" s="33" t="str">
        <x:v>Dated 2026/27 means explicit recent/future cycle or dated activity, not necessarily open applications. Dated earlier / mixed preserves older or mixed evidence. Undated page has no verified cycle. Paused and Ending identify constraints.</x:v>
      </x:c>
      <x:c r="M142" s="33" t="str">
        <x:v>Dated 2026/27 means explicit recent/future cycle or dated activity, not necessarily open applications. Dated earlier / mixed preserves older or mixed evidence. Undated page has no verified cycle. Paused and Ending identify constraints.</x:v>
      </x:c>
    </x:row>
    <x:row r="143" ht="44" customHeight="1">
      <x:c r="A143" s="34" t="str">
        <x:v>Search method</x:v>
      </x:c>
      <x:c r="B143" s="34" t="str">
        <x:v>Search method</x:v>
      </x:c>
      <x:c r="C143" s="34" t="str">
        <x:v>Search method</x:v>
      </x:c>
      <x:c r="D143" s="35" t="str">
        <x:v>Each institution was checked for a named academic/project example and wider central teaching, careers, enterprise, honours, service-learning or research opportunities. Broader schemes are separate rows where eligibility differs. This is not an exhaustive inventory of every module.</x:v>
      </x:c>
      <x:c r="E143" s="35" t="str">
        <x:v>Each institution was checked for a named academic/project example and wider central teaching, careers, enterprise, honours, service-learning or research opportunities. Broader schemes are separate rows where eligibility differs. This is not an exhaustive inventory of every module.</x:v>
      </x:c>
      <x:c r="F143" s="35" t="str">
        <x:v>Each institution was checked for a named academic/project example and wider central teaching, careers, enterprise, honours, service-learning or research opportunities. Broader schemes are separate rows where eligibility differs. This is not an exhaustive inventory of every module.</x:v>
      </x:c>
      <x:c r="G143" s="35" t="str">
        <x:v>Each institution was checked for a named academic/project example and wider central teaching, careers, enterprise, honours, service-learning or research opportunities. Broader schemes are separate rows where eligibility differs. This is not an exhaustive inventory of every module.</x:v>
      </x:c>
      <x:c r="H143" s="35" t="str">
        <x:v>Each institution was checked for a named academic/project example and wider central teaching, careers, enterprise, honours, service-learning or research opportunities. Broader schemes are separate rows where eligibility differs. This is not an exhaustive inventory of every module.</x:v>
      </x:c>
      <x:c r="I143" s="35" t="str">
        <x:v>Each institution was checked for a named academic/project example and wider central teaching, careers, enterprise, honours, service-learning or research opportunities. Broader schemes are separate rows where eligibility differs. This is not an exhaustive inventory of every module.</x:v>
      </x:c>
      <x:c r="J143" s="35" t="str">
        <x:v>Each institution was checked for a named academic/project example and wider central teaching, careers, enterprise, honours, service-learning or research opportunities. Broader schemes are separate rows where eligibility differs. This is not an exhaustive inventory of every module.</x:v>
      </x:c>
      <x:c r="K143" s="35" t="str">
        <x:v>Each institution was checked for a named academic/project example and wider central teaching, careers, enterprise, honours, service-learning or research opportunities. Broader schemes are separate rows where eligibility differs. This is not an exhaustive inventory of every module.</x:v>
      </x:c>
      <x:c r="L143" s="35" t="str">
        <x:v>Each institution was checked for a named academic/project example and wider central teaching, careers, enterprise, honours, service-learning or research opportunities. Broader schemes are separate rows where eligibility differs. This is not an exhaustive inventory of every module.</x:v>
      </x:c>
      <x:c r="M143" s="35" t="str">
        <x:v>Each institution was checked for a named academic/project example and wider central teaching, careers, enterprise, honours, service-learning or research opportunities. Broader schemes are separate rows where eligibility differs. This is not an exhaustive inventory of every module.</x:v>
      </x:c>
    </x:row>
    <x:row r="144" ht="44" customHeight="1">
      <x:c r="A144" s="31" t="str">
        <x:v>Revenue boundaries</x:v>
      </x:c>
      <x:c r="B144" s="31" t="str">
        <x:v>Revenue boundaries</x:v>
      </x:c>
      <x:c r="C144" s="31" t="str">
        <x:v>Revenue boundaries</x:v>
      </x:c>
      <x:c r="D144" s="33" t="str">
        <x:v>Comparable CPD/CE business-and-community income: user-supplied HESA 2024/25. Accounts categories may overlap and differ. Only HESA provider rows feed the UK dashboard total; accounts and Australian metrics retain their own reporting periods, units and scope.</x:v>
      </x:c>
      <x:c r="E144" s="33" t="str">
        <x:v>Comparable CPD/CE business-and-community income: user-supplied HESA 2024/25. Accounts categories may overlap and differ. Only HESA provider rows feed the UK dashboard total; accounts and Australian metrics retain their own reporting periods, units and scope.</x:v>
      </x:c>
      <x:c r="F144" s="33" t="str">
        <x:v>Comparable CPD/CE business-and-community income: user-supplied HESA 2024/25. Accounts categories may overlap and differ. Only HESA provider rows feed the UK dashboard total; accounts and Australian metrics retain their own reporting periods, units and scope.</x:v>
      </x:c>
      <x:c r="G144" s="33" t="str">
        <x:v>Comparable CPD/CE business-and-community income: user-supplied HESA 2024/25. Accounts categories may overlap and differ. Only HESA provider rows feed the UK dashboard total; accounts and Australian metrics retain their own reporting periods, units and scope.</x:v>
      </x:c>
      <x:c r="H144" s="33" t="str">
        <x:v>Comparable CPD/CE business-and-community income: user-supplied HESA 2024/25. Accounts categories may overlap and differ. Only HESA provider rows feed the UK dashboard total; accounts and Australian metrics retain their own reporting periods, units and scope.</x:v>
      </x:c>
      <x:c r="I144" s="33" t="str">
        <x:v>Comparable CPD/CE business-and-community income: user-supplied HESA 2024/25. Accounts categories may overlap and differ. Only HESA provider rows feed the UK dashboard total; accounts and Australian metrics retain their own reporting periods, units and scope.</x:v>
      </x:c>
      <x:c r="J144" s="33" t="str">
        <x:v>Comparable CPD/CE business-and-community income: user-supplied HESA 2024/25. Accounts categories may overlap and differ. Only HESA provider rows feed the UK dashboard total; accounts and Australian metrics retain their own reporting periods, units and scope.</x:v>
      </x:c>
      <x:c r="K144" s="33" t="str">
        <x:v>Comparable CPD/CE business-and-community income: user-supplied HESA 2024/25. Accounts categories may overlap and differ. Only HESA provider rows feed the UK dashboard total; accounts and Australian metrics retain their own reporting periods, units and scope.</x:v>
      </x:c>
      <x:c r="L144" s="33" t="str">
        <x:v>Comparable CPD/CE business-and-community income: user-supplied HESA 2024/25. Accounts categories may overlap and differ. Only HESA provider rows feed the UK dashboard total; accounts and Australian metrics retain their own reporting periods, units and scope.</x:v>
      </x:c>
      <x:c r="M144" s="33" t="str">
        <x:v>Comparable CPD/CE business-and-community income: user-supplied HESA 2024/25. Accounts categories may overlap and differ. Only HESA provider rows feed the UK dashboard total; accounts and Australian metrics retain their own reporting periods, units and scope.</x:v>
      </x:c>
    </x:row>
    <x:row r="145" ht="44" customHeight="1">
      <x:c r="A145" s="34" t="str">
        <x:v>Missing values</x:v>
      </x:c>
      <x:c r="B145" s="34" t="str">
        <x:v>Missing values</x:v>
      </x:c>
      <x:c r="C145" s="34" t="str">
        <x:v>Missing values</x:v>
      </x:c>
      <x:c r="D145" s="35" t="str">
        <x:v>n.a. = unavailable or not applicable, not zero. Provider zeros are reported HESA values. Income per learner day is unavailable if days are zero. HESA growth cannot be inferred from a single year.</x:v>
      </x:c>
      <x:c r="E145" s="35" t="str">
        <x:v>n.a. = unavailable or not applicable, not zero. Provider zeros are reported HESA values. Income per learner day is unavailable if days are zero. HESA growth cannot be inferred from a single year.</x:v>
      </x:c>
      <x:c r="F145" s="35" t="str">
        <x:v>n.a. = unavailable or not applicable, not zero. Provider zeros are reported HESA values. Income per learner day is unavailable if days are zero. HESA growth cannot be inferred from a single year.</x:v>
      </x:c>
      <x:c r="G145" s="35" t="str">
        <x:v>n.a. = unavailable or not applicable, not zero. Provider zeros are reported HESA values. Income per learner day is unavailable if days are zero. HESA growth cannot be inferred from a single year.</x:v>
      </x:c>
      <x:c r="H145" s="35" t="str">
        <x:v>n.a. = unavailable or not applicable, not zero. Provider zeros are reported HESA values. Income per learner day is unavailable if days are zero. HESA growth cannot be inferred from a single year.</x:v>
      </x:c>
      <x:c r="I145" s="35" t="str">
        <x:v>n.a. = unavailable or not applicable, not zero. Provider zeros are reported HESA values. Income per learner day is unavailable if days are zero. HESA growth cannot be inferred from a single year.</x:v>
      </x:c>
      <x:c r="J145" s="35" t="str">
        <x:v>n.a. = unavailable or not applicable, not zero. Provider zeros are reported HESA values. Income per learner day is unavailable if days are zero. HESA growth cannot be inferred from a single year.</x:v>
      </x:c>
      <x:c r="K145" s="35" t="str">
        <x:v>n.a. = unavailable or not applicable, not zero. Provider zeros are reported HESA values. Income per learner day is unavailable if days are zero. HESA growth cannot be inferred from a single year.</x:v>
      </x:c>
      <x:c r="L145" s="35" t="str">
        <x:v>n.a. = unavailable or not applicable, not zero. Provider zeros are reported HESA values. Income per learner day is unavailable if days are zero. HESA growth cannot be inferred from a single year.</x:v>
      </x:c>
      <x:c r="M145" s="35" t="str">
        <x:v>n.a. = unavailable or not applicable, not zero. Provider zeros are reported HESA values. Income per learner day is unavailable if days are zero. HESA growth cannot be inferred from a single year.</x:v>
      </x:c>
    </x:row>
    <x:row r="146" ht="44" customHeight="1">
      <x:c r="A146" s="31" t="str">
        <x:v>Refresh</x:v>
      </x:c>
      <x:c r="B146" s="31" t="str">
        <x:v>Refresh</x:v>
      </x:c>
      <x:c r="C146" s="31" t="str">
        <x:v>Refresh</x:v>
      </x:c>
      <x:c r="D146" s="33" t="str">
        <x:v>Update raw provider inputs with stable UKPRNs, same definitions and units, and academic year/source totals together. Rankings recalculate within 206 rows; extend ranges and tables if provider count changes. Update scheme scope, eligibility, sources and dates together.</x:v>
      </x:c>
      <x:c r="E146" s="33" t="str">
        <x:v>Update raw provider inputs with stable UKPRNs, same definitions and units, and academic year/source totals together. Rankings recalculate within 206 rows; extend ranges and tables if provider count changes. Update scheme scope, eligibility, sources and dates together.</x:v>
      </x:c>
      <x:c r="F146" s="33" t="str">
        <x:v>Update raw provider inputs with stable UKPRNs, same definitions and units, and academic year/source totals together. Rankings recalculate within 206 rows; extend ranges and tables if provider count changes. Update scheme scope, eligibility, sources and dates together.</x:v>
      </x:c>
      <x:c r="G146" s="33" t="str">
        <x:v>Update raw provider inputs with stable UKPRNs, same definitions and units, and academic year/source totals together. Rankings recalculate within 206 rows; extend ranges and tables if provider count changes. Update scheme scope, eligibility, sources and dates together.</x:v>
      </x:c>
      <x:c r="H146" s="33" t="str">
        <x:v>Update raw provider inputs with stable UKPRNs, same definitions and units, and academic year/source totals together. Rankings recalculate within 206 rows; extend ranges and tables if provider count changes. Update scheme scope, eligibility, sources and dates together.</x:v>
      </x:c>
      <x:c r="I146" s="33" t="str">
        <x:v>Update raw provider inputs with stable UKPRNs, same definitions and units, and academic year/source totals together. Rankings recalculate within 206 rows; extend ranges and tables if provider count changes. Update scheme scope, eligibility, sources and dates together.</x:v>
      </x:c>
      <x:c r="J146" s="33" t="str">
        <x:v>Update raw provider inputs with stable UKPRNs, same definitions and units, and academic year/source totals together. Rankings recalculate within 206 rows; extend ranges and tables if provider count changes. Update scheme scope, eligibility, sources and dates together.</x:v>
      </x:c>
      <x:c r="K146" s="33" t="str">
        <x:v>Update raw provider inputs with stable UKPRNs, same definitions and units, and academic year/source totals together. Rankings recalculate within 206 rows; extend ranges and tables if provider count changes. Update scheme scope, eligibility, sources and dates together.</x:v>
      </x:c>
      <x:c r="L146" s="33" t="str">
        <x:v>Update raw provider inputs with stable UKPRNs, same definitions and units, and academic year/source totals together. Rankings recalculate within 206 rows; extend ranges and tables if provider count changes. Update scheme scope, eligibility, sources and dates together.</x:v>
      </x:c>
      <x:c r="M146" s="33" t="str">
        <x:v>Update raw provider inputs with stable UKPRNs, same definitions and units, and academic year/source totals together. Rankings recalculate within 206 rows; extend ranges and tables if provider count changes. Update scheme scope, eligibility, sources and dates together.</x:v>
      </x:c>
    </x:row>
  </x:sheetData>
  <x:mergeCells>
    <x:mergeCell ref="A2:F2"/>
    <x:mergeCell ref="A3:F3"/>
    <x:mergeCell ref="A4:F4"/>
    <x:mergeCell ref="A133:M133"/>
    <x:mergeCell ref="A135:C135"/>
    <x:mergeCell ref="D135:M135"/>
    <x:mergeCell ref="A136:C136"/>
    <x:mergeCell ref="D136:M136"/>
    <x:mergeCell ref="A137:C137"/>
    <x:mergeCell ref="D137:M137"/>
    <x:mergeCell ref="A138:C138"/>
    <x:mergeCell ref="D138:M138"/>
    <x:mergeCell ref="A139:C139"/>
    <x:mergeCell ref="D139:M139"/>
    <x:mergeCell ref="A140:C140"/>
    <x:mergeCell ref="D140:M140"/>
    <x:mergeCell ref="A141:C141"/>
    <x:mergeCell ref="D141:M141"/>
    <x:mergeCell ref="A142:C142"/>
    <x:mergeCell ref="D142:M142"/>
    <x:mergeCell ref="A143:C143"/>
    <x:mergeCell ref="D143:M143"/>
    <x:mergeCell ref="A144:C144"/>
    <x:mergeCell ref="D144:M144"/>
    <x:mergeCell ref="A145:C145"/>
    <x:mergeCell ref="D145:M145"/>
    <x:mergeCell ref="A146:C146"/>
    <x:mergeCell ref="D146:M146"/>
  </x:mergeCells>
  <x:pageMargins left="0.7" right="0.7" top="0.75" bottom="0.75" header="0.3" footer="0.3"/>
  <x:tableParts count="1">
    <x:tablePart xmlns:r="http://schemas.openxmlformats.org/officeDocument/2006/relationships" r:id="R206545c3d6ba4ed9"/>
  </x:tableParts>
</x:worksheet>
</file>